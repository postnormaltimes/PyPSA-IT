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a16f78b1e4427f" /></Relationships>
</file>

<file path=xl/workbook.xml><?xml version="1.0" encoding="utf-8"?>
<x:workbook xmlns:x="http://schemas.openxmlformats.org/spreadsheetml/2006/main">
  <x:sheets>
    <x:sheet xmlns:r="http://schemas.openxmlformats.org/officeDocument/2006/relationships" name="00_README" sheetId="1" r:id="R8d6dde3985ba4614"/>
    <x:sheet xmlns:r="http://schemas.openxmlformats.org/officeDocument/2006/relationships" name="01_COUNTRY_REGISTER" sheetId="2" r:id="Rfe0ad856e6bc4ef7"/>
    <x:sheet xmlns:r="http://schemas.openxmlformats.org/officeDocument/2006/relationships" name="02_CANONICAL_STACK" sheetId="3" r:id="Rd9539758c58b4273"/>
    <x:sheet xmlns:r="http://schemas.openxmlformats.org/officeDocument/2006/relationships" name="03_RUNTIME_INPUTS" sheetId="4" r:id="R3a5cc8077c194699"/>
    <x:sheet xmlns:r="http://schemas.openxmlformats.org/officeDocument/2006/relationships" name="04_RUNTIME_SUMMARY" sheetId="5" r:id="R70e703cfee2b435f"/>
    <x:sheet xmlns:r="http://schemas.openxmlformats.org/officeDocument/2006/relationships" name="05_DEMAND_STORAGE" sheetId="6" r:id="R7d99811a4bb34315"/>
    <x:sheet xmlns:r="http://schemas.openxmlformats.org/officeDocument/2006/relationships" name="06_CROSS_COUNTRY_RULES" sheetId="7" r:id="R4ad00b639f614196"/>
    <x:sheet xmlns:r="http://schemas.openxmlformats.org/officeDocument/2006/relationships" name="07_PYPSA_CONTRACT" sheetId="8" r:id="R0461c93119734199"/>
    <x:sheet xmlns:r="http://schemas.openxmlformats.org/officeDocument/2006/relationships" name="08_QA_FREEZE" sheetId="9" r:id="R03558fbe50384e9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
    <x:numFmt numFmtId="202" formatCode="0.000000"/>
  </x:numFmts>
  <x:fonts count="9">
    <x:font>
      <x:sz val="11"/>
      <x:name val="Carlito"/>
    </x:font>
    <x:font>
      <x:b/>
      <x:sz val="16"/>
      <x:color rgb="FFFFFFFF"/>
      <x:name val="Aptos Display"/>
    </x:font>
    <x:font>
      <x:sz val="10"/>
      <x:color rgb="FF1F1F1F"/>
      <x:name val="Aptos"/>
    </x:font>
    <x:font>
      <x:b/>
      <x:sz val="9"/>
      <x:color rgb="FFFFFFFF"/>
      <x:name val="Aptos"/>
    </x:font>
    <x:font>
      <x:sz val="9"/>
      <x:color rgb="FF1F1F1F"/>
      <x:name val="Aptos"/>
    </x:font>
    <x:font>
      <x:b/>
      <x:sz val="11"/>
      <x:color rgb="FF1F1F1F"/>
      <x:name val="Aptos"/>
    </x:font>
    <x:font>
      <x:b/>
      <x:sz val="8"/>
      <x:color rgb="FFFFFFFF"/>
      <x:name val="Aptos"/>
    </x:font>
    <x:font>
      <x:sz val="8"/>
      <x:color rgb="FF1F1F1F"/>
      <x:name val="Aptos"/>
    </x:font>
    <x:font>
      <x:b/>
      <x:sz val="10"/>
      <x:color rgb="FF1F1F1F"/>
      <x:name val="Aptos"/>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FFFFFF"/>
      </x:patternFill>
    </x:fill>
    <x:fill>
      <x:patternFill patternType="solid">
        <x:fgColor rgb="FFD9EAF7"/>
      </x:patternFill>
    </x:fill>
  </x:fills>
  <x:borders count="24">
    <x:border/>
    <x:border/>
    <x:border>
      <x:left/>
      <x:top/>
    </x:border>
    <x:border>
      <x:top/>
    </x:border>
    <x:border>
      <x:right/>
      <x:top/>
    </x:border>
    <x:border>
      <x:left/>
      <x:bottom/>
    </x:border>
    <x:border>
      <x:bottom/>
    </x:border>
    <x:border>
      <x:right/>
      <x:bottom/>
    </x:border>
    <x:border>
      <x:left/>
      <x:top/>
    </x:border>
    <x:border>
      <x:top/>
    </x:border>
    <x:border>
      <x:right/>
      <x:top/>
    </x:border>
    <x:border>
      <x:left/>
      <x:bottom/>
    </x:border>
    <x:border>
      <x:bottom/>
    </x:border>
    <x:border>
      <x:right/>
      <x:bottom/>
    </x:border>
    <x:border>
      <x:left/>
      <x:top/>
      <x:bottom/>
    </x:border>
    <x:border>
      <x:top/>
      <x:bottom/>
    </x:border>
    <x:border>
      <x:right/>
      <x:top/>
      <x:bottom/>
    </x:border>
    <x:border>
      <x:left/>
      <x:top/>
      <x:bottom/>
    </x:border>
    <x:border>
      <x:top/>
      <x:bottom/>
    </x:border>
    <x:border>
      <x:right/>
      <x:top/>
      <x:bottom/>
    </x:border>
    <x:border>
      <x:left/>
    </x:border>
    <x:border>
      <x:right/>
    </x:border>
    <x:border>
      <x:left/>
    </x:border>
    <x:border>
      <x:right/>
    </x:border>
  </x:borders>
  <x:cellStyleXfs count="1">
    <x:xf numFmtId="0" fontId="0" fillId="0" borderId="0"/>
  </x:cellStyleXfs>
  <x:cellXfs count="16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3"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3" borderId="14" xfId="0" applyNumberFormat="1" applyFont="1" applyFill="1" applyBorder="1" applyAlignment="1">
      <x:alignment vertical="center" wrapText="1"/>
    </x:xf>
    <x:xf numFmtId="0" fontId="3" fillId="3" borderId="15" xfId="0" applyNumberFormat="1" applyFont="1" applyFill="1" applyBorder="1" applyAlignment="1">
      <x:alignment vertical="center" wrapText="1"/>
    </x:xf>
    <x:xf numFmtId="0" fontId="3" fillId="3" borderId="16" xfId="0" applyNumberFormat="1" applyFont="1" applyFill="1" applyBorder="1" applyAlignment="1">
      <x:alignment vertical="center" wrapText="1"/>
    </x:xf>
    <x:xf numFmtId="0" fontId="3" fillId="3" borderId="17" xfId="0" applyNumberFormat="1" applyFont="1" applyFill="1" applyBorder="1" applyAlignment="1">
      <x:alignment vertical="center" wrapText="1"/>
    </x:xf>
    <x:xf numFmtId="0" fontId="3" fillId="3" borderId="18" xfId="0" applyNumberFormat="1" applyFont="1" applyFill="1" applyBorder="1" applyAlignment="1">
      <x:alignment vertical="center" wrapText="1"/>
    </x:xf>
    <x:xf numFmtId="0" fontId="3" fillId="3" borderId="19"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3" fillId="4" borderId="15" xfId="0" applyNumberFormat="1" applyFont="1" applyFill="1" applyBorder="1" applyAlignment="1">
      <x:alignment vertical="center" wrapText="1"/>
    </x:xf>
    <x:xf numFmtId="0" fontId="4" fillId="4" borderId="3"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3" fillId="4" borderId="18" xfId="0" applyNumberFormat="1" applyFont="1" applyFill="1" applyBorder="1" applyAlignment="1">
      <x:alignment vertical="center" wrapText="1"/>
    </x:xf>
    <x:xf numFmtId="0" fontId="4" fillId="4" borderId="9"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2"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0" borderId="20" xfId="0" applyNumberFormat="1" applyFont="1" applyFill="1" applyBorder="1" applyAlignment="1">
      <x:alignment vertical="top" wrapText="1"/>
    </x:xf>
    <x:xf numFmtId="0" fontId="2" fillId="0" borderId="21" xfId="0" applyNumberFormat="1" applyFont="1" applyFill="1" applyBorder="1" applyAlignment="1">
      <x:alignment vertical="top" wrapText="1"/>
    </x:xf>
    <x:xf numFmtId="0" fontId="2" fillId="0" borderId="22" xfId="0" applyNumberFormat="1" applyFont="1" applyFill="1" applyBorder="1" applyAlignment="1">
      <x:alignment vertical="top" wrapText="1"/>
    </x:xf>
    <x:xf numFmtId="0" fontId="2" fillId="0" borderId="2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1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1" fontId="4" fillId="0" borderId="9"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12"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14" xfId="0" applyNumberFormat="1" applyFont="1" applyFill="1" applyBorder="1" applyAlignment="1">
      <x:alignment vertical="center" wrapText="1"/>
    </x:xf>
    <x:xf numFmtId="0" fontId="6" fillId="3" borderId="15" xfId="0" applyNumberFormat="1" applyFont="1" applyFill="1" applyBorder="1" applyAlignment="1">
      <x:alignment vertical="center" wrapText="1"/>
    </x:xf>
    <x:xf numFmtId="0" fontId="6" fillId="3" borderId="16"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6" fillId="3" borderId="17" xfId="0" applyNumberFormat="1" applyFont="1" applyFill="1" applyBorder="1" applyAlignment="1">
      <x:alignment vertical="center" wrapText="1"/>
    </x:xf>
    <x:xf numFmtId="0" fontId="6" fillId="3" borderId="18" xfId="0" applyNumberFormat="1" applyFont="1" applyFill="1" applyBorder="1" applyAlignment="1">
      <x:alignment vertical="center" wrapText="1"/>
    </x:xf>
    <x:xf numFmtId="0" fontId="6" fillId="3" borderId="19" xfId="0" applyNumberFormat="1" applyFont="1" applyFill="1" applyBorder="1" applyAlignment="1">
      <x:alignment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1" xfId="0" applyNumberFormat="1" applyFont="1" applyFill="1" applyBorder="1"/>
    <x:xf numFmtId="0" fontId="7" fillId="0" borderId="1"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wrapText="1"/>
    </x:xf>
    <x:xf numFmtId="0" fontId="7"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0" borderId="1" xfId="0" applyNumberFormat="1" applyFont="1" applyFill="1" applyBorder="1" applyAlignment="1">
      <x:alignment wrapText="1"/>
    </x:xf>
    <x:xf numFmtId="0" fontId="7"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4"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0" xfId="0" applyNumberFormat="1" applyFont="1" applyFill="1" applyBorder="1" applyAlignment="1">
      <x:alignment vertical="top" wrapText="1"/>
    </x:xf>
    <x:xf numFmtId="0" fontId="7" fillId="0" borderId="22"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3" xfId="0" applyNumberFormat="1" applyFont="1" applyFill="1" applyBorder="1" applyAlignment="1">
      <x:alignment vertical="top" wrapText="1"/>
    </x:xf>
    <x:xf numFmtId="202" fontId="7" fillId="0" borderId="3" xfId="0" applyNumberFormat="1" applyFont="1" applyFill="1" applyBorder="1" applyAlignment="1">
      <x:alignment vertical="top" wrapText="1"/>
    </x:xf>
    <x:xf numFmtId="202" fontId="7" fillId="0" borderId="0" xfId="0" applyNumberFormat="1" applyFont="1" applyFill="1" applyBorder="1" applyAlignment="1">
      <x:alignment vertical="top" wrapText="1"/>
    </x:xf>
    <x:xf numFmtId="202" fontId="7" fillId="0" borderId="6" xfId="0" applyNumberFormat="1" applyFont="1" applyFill="1" applyBorder="1" applyAlignment="1">
      <x:alignment vertical="top" wrapText="1"/>
    </x:xf>
    <x:xf numFmtId="202" fontId="7" fillId="0" borderId="9" xfId="0" applyNumberFormat="1" applyFont="1" applyFill="1" applyBorder="1" applyAlignment="1">
      <x:alignment vertical="top" wrapText="1"/>
    </x:xf>
    <x:xf numFmtId="202" fontId="7" fillId="0" borderId="1" xfId="0" applyNumberFormat="1" applyFont="1" applyFill="1" applyBorder="1" applyAlignment="1">
      <x:alignment vertical="top" wrapText="1"/>
    </x:xf>
    <x:xf numFmtId="202" fontId="7" fillId="0" borderId="1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2" fontId="4" fillId="0" borderId="6" xfId="0" applyNumberFormat="1" applyFont="1" applyFill="1" applyBorder="1" applyAlignment="1">
      <x:alignment vertical="top" wrapText="1"/>
    </x:xf>
    <x:xf numFmtId="202" fontId="4" fillId="0" borderId="9"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202" fontId="4" fillId="0" borderId="12" xfId="0" applyNumberFormat="1" applyFont="1" applyFill="1" applyBorder="1" applyAlignment="1">
      <x:alignment vertical="top" wrapText="1"/>
    </x:xf>
    <x:xf numFmtId="0" fontId="8" fillId="5" borderId="0" xfId="0" applyNumberFormat="1" applyFont="1" applyFill="1" applyBorder="1"/>
    <x:xf numFmtId="0" fontId="8" fillId="5" borderId="1" xfId="0" applyNumberFormat="1" applyFont="1" applyFill="1" applyBorder="1"/>
    <x:xf numFmtId="0" fontId="8" fillId="5" borderId="14" xfId="0" applyNumberFormat="1" applyFont="1" applyFill="1" applyBorder="1"/>
    <x:xf numFmtId="0" fontId="8" fillId="5" borderId="15" xfId="0" applyNumberFormat="1" applyFont="1" applyFill="1" applyBorder="1"/>
    <x:xf numFmtId="0" fontId="8" fillId="5" borderId="16" xfId="0" applyNumberFormat="1" applyFont="1" applyFill="1" applyBorder="1"/>
    <x:xf numFmtId="0" fontId="8" fillId="5" borderId="17" xfId="0" applyNumberFormat="1" applyFont="1" applyFill="1" applyBorder="1"/>
    <x:xf numFmtId="0" fontId="8" fillId="5" borderId="18" xfId="0" applyNumberFormat="1" applyFont="1" applyFill="1" applyBorder="1"/>
    <x:xf numFmtId="0" fontId="8" fillId="5" borderId="19" xfId="0" applyNumberFormat="1" applyFont="1" applyFill="1" applyBorder="1"/>
    <x:xf numFmtId="0" fontId="8" fillId="5" borderId="14" xfId="0" applyNumberFormat="1" applyFont="1" applyFill="1" applyBorder="1" applyAlignment="1">
      <x:alignment wrapText="1"/>
    </x:xf>
    <x:xf numFmtId="0" fontId="8" fillId="5" borderId="15" xfId="0" applyNumberFormat="1" applyFont="1" applyFill="1" applyBorder="1" applyAlignment="1">
      <x:alignment wrapText="1"/>
    </x:xf>
    <x:xf numFmtId="0" fontId="8" fillId="5" borderId="16" xfId="0" applyNumberFormat="1" applyFont="1" applyFill="1" applyBorder="1" applyAlignment="1">
      <x:alignment wrapText="1"/>
    </x:xf>
  </x:cellXfs>
  <x:cellStyles count="1">
    <x:cellStyle name="Normal" xfId="0"/>
  </x:cellStyles>
  <x:dxfs count="7">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AF2F8"/>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2a77ad20794881" /><Relationship Type="http://schemas.openxmlformats.org/officeDocument/2006/relationships/theme" Target="/xl/theme/theme1.xml" Id="Rbf16b180b65b4146" /><Relationship Type="http://schemas.microsoft.com/office/2022/11/relationships/FeaturePropertyBag" Target="/xl/featurePropertyBag/featurePropertyBag.xml" Id="Rd463fddc75074daa" /><Relationship Type="http://schemas.openxmlformats.org/officeDocument/2006/relationships/sharedStrings" Target="/xl/sharedStrings.xml" Id="R39963d4799d7430d" /><Relationship Type="http://schemas.openxmlformats.org/officeDocument/2006/relationships/worksheet" Target="/xl/worksheets/sheet1.xml" Id="R8d6dde3985ba4614" /><Relationship Type="http://schemas.openxmlformats.org/officeDocument/2006/relationships/worksheet" Target="/xl/worksheets/sheet2.xml" Id="Rfe0ad856e6bc4ef7" /><Relationship Type="http://schemas.openxmlformats.org/officeDocument/2006/relationships/worksheet" Target="/xl/worksheets/sheet3.xml" Id="Rd9539758c58b4273" /><Relationship Type="http://schemas.openxmlformats.org/officeDocument/2006/relationships/worksheet" Target="/xl/worksheets/sheet4.xml" Id="R3a5cc8077c194699" /><Relationship Type="http://schemas.openxmlformats.org/officeDocument/2006/relationships/worksheet" Target="/xl/worksheets/sheet5.xml" Id="R70e703cfee2b435f" /><Relationship Type="http://schemas.openxmlformats.org/officeDocument/2006/relationships/worksheet" Target="/xl/worksheets/sheet6.xml" Id="R7d99811a4bb34315" /><Relationship Type="http://schemas.openxmlformats.org/officeDocument/2006/relationships/worksheet" Target="/xl/worksheets/sheet7.xml" Id="R4ad00b639f614196" /><Relationship Type="http://schemas.openxmlformats.org/officeDocument/2006/relationships/worksheet" Target="/xl/worksheets/sheet8.xml" Id="R0461c93119734199" /><Relationship Type="http://schemas.openxmlformats.org/officeDocument/2006/relationships/worksheet" Target="/xl/worksheets/sheet9.xml" Id="R03558fbe50384e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Research">
  <a:themeElements>
    <a:clrScheme name="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Research">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32" hidden="0" customWidth="1"/>
    <x:col min="3" max="3" width="56" hidden="0" customWidth="1"/>
    <x:col min="4" max="4" width="3" hidden="0" customWidth="1"/>
    <x:col min="5" max="5" width="28" hidden="0" customWidth="1"/>
    <x:col min="6" max="6" width="29" hidden="0" customWidth="1"/>
  </x:cols>
  <x:sheetData>
    <x:row r="1" ht="28" customHeight="1">
      <x:c r="A1" s="6" t="str">
        <x:v>MEM — ETX-7A: External-country harmonisation and static freeze</x:v>
      </x:c>
      <x:c r="B1" s="6" t="str">
        <x:v>MEM — ETX-7A: External-country harmonisation and static freeze</x:v>
      </x:c>
      <x:c r="C1" s="6" t="str">
        <x:v>MEM — ETX-7A: External-country harmonisation and static freeze</x:v>
      </x:c>
      <x:c r="D1" s="6" t="str">
        <x:v>MEM — ETX-7A: External-country harmonisation and static freeze</x:v>
      </x:c>
      <x:c r="E1" s="6" t="str">
        <x:v>MEM — ETX-7A: External-country harmonisation and static freeze</x:v>
      </x:c>
      <x:c r="F1" s="6" t="str">
        <x:v>MEM — ETX-7A: External-country harmonisation and static freeze</x:v>
      </x:c>
    </x:row>
    <x:row r="2">
      <x:c r="A2" s="14" t="str">
        <x:v>Scope: nine external country nodes (FR, CH, AT, SI, HR, ME, GR, MT, TN); Italy is excluded. ETX-7A does not reopen country research. It preserves each ETX-6R numerical authority, harmonises technology labels and runtime roles, integrates Croatia into the consolidated contract, and mechanically completes Greece from the final NECP tables.</x:v>
      </x:c>
      <x:c r="B2" s="15"/>
      <x:c r="C2" s="15"/>
      <x:c r="D2" s="15"/>
      <x:c r="E2" s="15"/>
      <x:c r="F2" s="16"/>
    </x:row>
    <x:row r="3">
      <x:c r="A3" s="17"/>
      <x:c r="B3" s="18"/>
      <x:c r="C3" s="18"/>
      <x:c r="D3" s="18"/>
      <x:c r="E3" s="18"/>
      <x:c r="F3" s="19"/>
    </x:row>
    <x:row r="5">
      <x:c r="A5" s="34" t="str">
        <x:v>Freeze KPI</x:v>
      </x:c>
      <x:c r="B5" s="35" t="str">
        <x:v>Value</x:v>
      </x:c>
      <x:c r="C5" s="35" t="str">
        <x:v>Interpretation</x:v>
      </x:c>
      <x:c r="D5" s="62"/>
      <x:c r="E5" s="35" t="str">
        <x:v>Governance KPI</x:v>
      </x:c>
      <x:c r="F5" s="36" t="str">
        <x:v>Value</x:v>
      </x:c>
    </x:row>
    <x:row r="6">
      <x:c r="A6" s="46" t="str">
        <x:v>External country nodes</x:v>
      </x:c>
      <x:c r="B6" s="47" t="n">
        <x:v>9</x:v>
      </x:c>
      <x:c r="C6" s="47" t="str">
        <x:v>All nine external nodes now governed by one static contract.</x:v>
      </x:c>
      <x:c r="D6" s="63"/>
      <x:c r="E6" s="47" t="str">
        <x:v>Canonical rows</x:v>
      </x:c>
      <x:c r="F6" s="48" t="n">
        <x:v>207</x:v>
      </x:c>
    </x:row>
    <x:row r="7">
      <x:c r="A7" s="49" t="str">
        <x:v>Runtime input rows</x:v>
      </x:c>
      <x:c r="B7" s="44" t="n">
        <x:v>161</x:v>
      </x:c>
      <x:c r="C7" s="44" t="str">
        <x:v>Rows permitted to create/set runtime assets or load.</x:v>
      </x:c>
      <x:c r="D7" s="64"/>
      <x:c r="E7" s="44" t="str">
        <x:v>Non-runtime rows</x:v>
      </x:c>
      <x:c r="F7" s="50" t="n">
        <x:v>46</x:v>
      </x:c>
    </x:row>
    <x:row r="8">
      <x:c r="A8" s="49" t="str">
        <x:v>Harmonised runtime keys</x:v>
      </x:c>
      <x:c r="B8" s="44" t="n">
        <x:v>157</x:v>
      </x:c>
      <x:c r="C8" s="44" t="str">
        <x:v>Country × harmonised group × unit combinations.</x:v>
      </x:c>
      <x:c r="D8" s="64"/>
      <x:c r="E8" s="44" t="str">
        <x:v>Unresolved runtime fields</x:v>
      </x:c>
      <x:c r="F8" s="50" t="n">
        <x:v>0</x:v>
      </x:c>
    </x:row>
    <x:row r="9">
      <x:c r="A9" s="49" t="str">
        <x:v>Direct TYNDP/Open-TYNDP capacity fills</x:v>
      </x:c>
      <x:c r="B9" s="44" t="n">
        <x:v>0</x:v>
      </x:c>
      <x:c r="C9" s="44" t="str">
        <x:v>No final runtime capacity is sourced directly from TYNDP/Open-TYNDP.</x:v>
      </x:c>
      <x:c r="D9" s="64"/>
      <x:c r="E9" s="44" t="str">
        <x:v>powerplantmatching fills</x:v>
      </x:c>
      <x:c r="F9" s="50" t="n">
        <x:v>0</x:v>
      </x:c>
    </x:row>
    <x:row r="10">
      <x:c r="A10" s="51" t="str">
        <x:v>Freeze status</x:v>
      </x:c>
      <x:c r="B10" s="52" t="str">
        <x:v>ETX7A_EXTERNAL_COUNTRY_STATIC_FREEZE_COMPLETE</x:v>
      </x:c>
      <x:c r="C10" s="52" t="str">
        <x:v>Static capacities/demand/storage are frozen for PyPSA handoff.</x:v>
      </x:c>
      <x:c r="D10" s="65"/>
      <x:c r="E10" s="52" t="str">
        <x:v>Next phase</x:v>
      </x:c>
      <x:c r="F10" s="53" t="str">
        <x:v>ETX-7B</x:v>
      </x:c>
    </x:row>
    <x:row r="12" ht="21" customHeight="1">
      <x:c r="A12" s="72" t="str">
        <x:v>Freeze contract</x:v>
      </x:c>
      <x:c r="B12" s="72" t="str">
        <x:v>Freeze contract</x:v>
      </x:c>
      <x:c r="C12" s="72" t="str">
        <x:v>Freeze contract</x:v>
      </x:c>
      <x:c r="D12" s="72" t="str">
        <x:v>Freeze contract</x:v>
      </x:c>
      <x:c r="E12" s="72" t="str">
        <x:v>Freeze contract</x:v>
      </x:c>
      <x:c r="F12" s="72" t="str">
        <x:v>Freeze contract</x:v>
      </x:c>
    </x:row>
    <x:row r="13">
      <x:c r="A13" s="34" t="str">
        <x:v>Rule</x:v>
      </x:c>
      <x:c r="B13" s="35" t="str">
        <x:v>ETX-7A implementation meaning</x:v>
      </x:c>
      <x:c r="C13" s="35" t="str"/>
      <x:c r="D13" s="35" t="str"/>
      <x:c r="E13" s="35" t="str"/>
      <x:c r="F13" s="36" t="str"/>
    </x:row>
    <x:row r="14">
      <x:c r="A14" s="46" t="str">
        <x:v>Numerical authority</x:v>
      </x:c>
      <x:c r="B14" s="47" t="str">
        <x:v>Country closures remain numerically authoritative. Harmonisation changes taxonomy and governance, not scenario values.</x:v>
      </x:c>
      <x:c r="C14" s="47" t="str"/>
      <x:c r="D14" s="47" t="str"/>
      <x:c r="E14" s="47" t="str"/>
      <x:c r="F14" s="48" t="str"/>
    </x:row>
    <x:row r="15">
      <x:c r="A15" s="49" t="str">
        <x:v>Runtime roles</x:v>
      </x:c>
      <x:c r="B15" s="44" t="str">
        <x:v>Only IMPLEMENT, IMPLEMENT_TOTAL, IMPLEMENT_STORAGE_PAIR and IMPLEMENT_CARRIER_SPLIT create/set runtime inputs.</x:v>
      </x:c>
      <x:c r="C15" s="44" t="str"/>
      <x:c r="D15" s="44" t="str"/>
      <x:c r="E15" s="44" t="str"/>
      <x:c r="F15" s="50" t="str"/>
    </x:row>
    <x:row r="16">
      <x:c r="A16" s="49" t="str">
        <x:v>Non-runtime rows</x:v>
      </x:c>
      <x:c r="B16" s="44" t="str">
        <x:v>DERIVATION_DETAIL_ONLY and QA_CONTROL_ONLY remain traceable but must never become extra PyPSA assets.</x:v>
      </x:c>
      <x:c r="C16" s="44" t="str"/>
      <x:c r="D16" s="44" t="str"/>
      <x:c r="E16" s="44" t="str"/>
      <x:c r="F16" s="50" t="str"/>
    </x:row>
    <x:row r="17">
      <x:c r="A17" s="49" t="str">
        <x:v>Storage</x:v>
      </x:c>
      <x:c r="B17" s="44" t="str">
        <x:v>Preserve charge power, discharge power and energy separately whenever source evidence permits; do not force symmetry except where explicitly mapped.</x:v>
      </x:c>
      <x:c r="C17" s="44" t="str"/>
      <x:c r="D17" s="44" t="str"/>
      <x:c r="E17" s="44" t="str"/>
      <x:c r="F17" s="50" t="str"/>
    </x:row>
    <x:row r="18">
      <x:c r="A18" s="49" t="str">
        <x:v>Physical location</x:v>
      </x:c>
      <x:c r="B18" s="44" t="str">
        <x:v>A physical generating unit belongs to one physical model node. Commercial ownership/entitlement remains QA only where it would duplicate the asset.</x:v>
      </x:c>
      <x:c r="C18" s="44" t="str"/>
      <x:c r="D18" s="44" t="str"/>
      <x:c r="E18" s="44" t="str"/>
      <x:c r="F18" s="50" t="str"/>
    </x:row>
    <x:row r="19">
      <x:c r="A19" s="49" t="str">
        <x:v>Demand</x:v>
      </x:c>
      <x:c r="B19" s="44" t="str">
        <x:v>Use the frozen country load perimeter and do not add storage charging/losses again when storage is modelled endogenously.</x:v>
      </x:c>
      <x:c r="C19" s="44" t="str"/>
      <x:c r="D19" s="44" t="str"/>
      <x:c r="E19" s="44" t="str"/>
      <x:c r="F19" s="50" t="str"/>
    </x:row>
    <x:row r="20">
      <x:c r="A20" s="51" t="str">
        <x:v>Replacement trigger</x:v>
      </x:c>
      <x:c r="B20" s="52" t="str">
        <x:v>Reopen a country capacity only if a later authoritative source materially supersedes the frozen national scenario/benchmark.</x:v>
      </x:c>
      <x:c r="C20" s="52" t="str"/>
      <x:c r="D20" s="52" t="str"/>
      <x:c r="E20" s="52" t="str"/>
      <x:c r="F20" s="53" t="str"/>
    </x:row>
    <x:row r="22" ht="21" customHeight="1">
      <x:c r="A22" s="72" t="str">
        <x:v>Phase conclusion</x:v>
      </x:c>
      <x:c r="B22" s="72" t="str">
        <x:v>Phase conclusion</x:v>
      </x:c>
      <x:c r="C22" s="72" t="str">
        <x:v>Phase conclusion</x:v>
      </x:c>
      <x:c r="D22" s="72" t="str">
        <x:v>Phase conclusion</x:v>
      </x:c>
      <x:c r="E22" s="72" t="str">
        <x:v>Phase conclusion</x:v>
      </x:c>
      <x:c r="F22" s="72" t="str">
        <x:v>Phase conclusion</x:v>
      </x:c>
    </x:row>
    <x:row r="23">
      <x:c r="A23" s="14" t="str">
        <x:v>ETX-7A closes the static external-country capacity/demand/storage layer. Remaining work is implementation, not national-capacity research: PyPSA component instantiation, hourly chronology, hydro inflows, storage efficiencies, technical costs/emissions, distributed-battery availability, and external interface/network constraints. Croatia is now inside the same contract as the original eight external markets, while the Slovenia/Croatia Krško physical-location rule is frozen regionally.</x:v>
      </x:c>
      <x:c r="B23" s="15"/>
      <x:c r="C23" s="15"/>
      <x:c r="D23" s="15"/>
      <x:c r="E23" s="15"/>
      <x:c r="F23" s="16"/>
    </x:row>
    <x:row r="24">
      <x:c r="A24" s="74"/>
      <x:c r="B24" s="12"/>
      <x:c r="C24" s="12"/>
      <x:c r="D24" s="12"/>
      <x:c r="E24" s="12"/>
      <x:c r="F24" s="75"/>
    </x:row>
    <x:row r="25">
      <x:c r="A25" s="74"/>
      <x:c r="B25" s="12"/>
      <x:c r="C25" s="12"/>
      <x:c r="D25" s="12"/>
      <x:c r="E25" s="12"/>
      <x:c r="F25" s="75"/>
    </x:row>
    <x:row r="26">
      <x:c r="A26" s="17"/>
      <x:c r="B26" s="18"/>
      <x:c r="C26" s="18"/>
      <x:c r="D26" s="18"/>
      <x:c r="E26" s="18"/>
      <x:c r="F26" s="19"/>
    </x:row>
  </x:sheetData>
  <x:mergeCells>
    <x:mergeCell ref="A1:F1"/>
    <x:mergeCell ref="A2:F3"/>
    <x:mergeCell ref="A12:F12"/>
    <x:mergeCell ref="B14:F14"/>
    <x:mergeCell ref="B15:F15"/>
    <x:mergeCell ref="B16:F16"/>
    <x:mergeCell ref="B17:F17"/>
    <x:mergeCell ref="B18:F18"/>
    <x:mergeCell ref="B19:F19"/>
    <x:mergeCell ref="B20:F20"/>
    <x:mergeCell ref="A22:F22"/>
    <x:mergeCell ref="A23:F26"/>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6" hidden="0" customWidth="1"/>
    <x:col min="3" max="3" width="30" hidden="0" customWidth="1"/>
    <x:col min="4" max="4" width="38" hidden="0" customWidth="1"/>
    <x:col min="5" max="5" width="30" hidden="0" customWidth="1"/>
    <x:col min="6" max="6" width="34" hidden="0" customWidth="1"/>
    <x:col min="7" max="7" width="14" hidden="0" customWidth="1"/>
    <x:col min="8" max="8" width="15" hidden="0" customWidth="1"/>
    <x:col min="9" max="9" width="15" hidden="0" customWidth="1"/>
    <x:col min="10" max="10" width="13" hidden="0" customWidth="1"/>
    <x:col min="11" max="11" width="13" hidden="0" customWidth="1"/>
    <x:col min="12" max="12" width="62" hidden="0" customWidth="1"/>
  </x:cols>
  <x:sheetData>
    <x:row r="1" ht="28" customHeight="1">
      <x:c r="A1" s="6" t="str">
        <x:v>ETX-7A country register and freeze status</x:v>
      </x:c>
      <x:c r="B1" s="6" t="str">
        <x:v>ETX-7A country register and freeze status</x:v>
      </x:c>
      <x:c r="C1" s="6" t="str">
        <x:v>ETX-7A country register and freeze status</x:v>
      </x:c>
      <x:c r="D1" s="6" t="str">
        <x:v>ETX-7A country register and freeze status</x:v>
      </x:c>
      <x:c r="E1" s="6" t="str">
        <x:v>ETX-7A country register and freeze status</x:v>
      </x:c>
      <x:c r="F1" s="6" t="str">
        <x:v>ETX-7A country register and freeze status</x:v>
      </x:c>
      <x:c r="G1" s="6" t="str">
        <x:v>ETX-7A country register and freeze status</x:v>
      </x:c>
      <x:c r="H1" s="6" t="str">
        <x:v>ETX-7A country register and freeze status</x:v>
      </x:c>
      <x:c r="I1" s="6" t="str">
        <x:v>ETX-7A country register and freeze status</x:v>
      </x:c>
      <x:c r="J1" s="6" t="str">
        <x:v>ETX-7A country register and freeze status</x:v>
      </x:c>
      <x:c r="K1" s="6" t="str">
        <x:v>ETX-7A country register and freeze status</x:v>
      </x:c>
      <x:c r="L1" s="6" t="str">
        <x:v>ETX-7A country register and freeze status</x:v>
      </x:c>
    </x:row>
    <x:row r="2">
      <x:c r="A2" s="78" t="str">
        <x:v>One row per external node. Demand and row-count columns are formula-linked to the harmonised runtime/canonical sheets.</x:v>
      </x:c>
      <x:c r="B2" s="79"/>
      <x:c r="C2" s="79"/>
      <x:c r="D2" s="79"/>
      <x:c r="E2" s="79"/>
      <x:c r="F2" s="79"/>
      <x:c r="G2" s="79"/>
      <x:c r="H2" s="79"/>
      <x:c r="I2" s="79"/>
      <x:c r="J2" s="79"/>
      <x:c r="K2" s="79"/>
      <x:c r="L2" s="80"/>
    </x:row>
    <x:row r="4">
      <x:c r="A4" s="34" t="str">
        <x:v>Code</x:v>
      </x:c>
      <x:c r="B4" s="35" t="str">
        <x:v>Country</x:v>
      </x:c>
      <x:c r="C4" s="35" t="str">
        <x:v>Selected Base</x:v>
      </x:c>
      <x:c r="D4" s="35" t="str">
        <x:v>Closure Status</x:v>
      </x:c>
      <x:c r="E4" s="35" t="str">
        <x:v>Freeze Origin</x:v>
      </x:c>
      <x:c r="F4" s="35" t="str">
        <x:v>Source Authority</x:v>
      </x:c>
      <x:c r="G4" s="35" t="str">
        <x:v>Freeze Status</x:v>
      </x:c>
      <x:c r="H4" s="35" t="str">
        <x:v>Demand 2040 (TWh)</x:v>
      </x:c>
      <x:c r="I4" s="35" t="str">
        <x:v>Demand 2050 (TWh)</x:v>
      </x:c>
      <x:c r="J4" s="35" t="str">
        <x:v>Canonical rows</x:v>
      </x:c>
      <x:c r="K4" s="35" t="str">
        <x:v>Runtime rows</x:v>
      </x:c>
      <x:c r="L4" s="36" t="str">
        <x:v>Key caveat</x:v>
      </x:c>
    </x:row>
    <x:row r="5">
      <x:c r="A5" s="46" t="str">
        <x:v>FR</x:v>
      </x:c>
      <x:c r="B5" s="47" t="str">
        <x:v>France</x:v>
      </x:c>
      <x:c r="C5" s="47" t="str">
        <x:v>RTE_2026_N1_MEDIAN_DEMAND</x:v>
      </x:c>
      <x:c r="D5" s="47" t="str">
        <x:v>FR_SIMULATION_READY_NATIONAL_BENCHMARK_DERIVED</x:v>
      </x:c>
      <x:c r="E5" s="47" t="str">
        <x:v>ETX-6R_COUNTRY_CLOSURE</x:v>
      </x:c>
      <x:c r="F5" s="47" t="str">
        <x:v>MEM_ETX6R_FR_National_Closure_v1.2</x:v>
      </x:c>
      <x:c r="G5" s="47" t="str">
        <x:v>FROZEN</x:v>
      </x:c>
      <x:c r="H5" s="84" t="n">
        <x:f>SUMIFS('04_RUNTIME_SUMMARY'!$E$5:$E$200,'04_RUNTIME_SUMMARY'!$A$5:$A$200,A5,'04_RUNTIME_SUMMARY'!$C$5:$C$200,"demand",'04_RUNTIME_SUMMARY'!$D$5:$D$200,"TWh")</x:f>
        <x:v>650</x:v>
      </x:c>
      <x:c r="I5" s="84" t="n">
        <x:f>SUMIFS('04_RUNTIME_SUMMARY'!$F$5:$F$200,'04_RUNTIME_SUMMARY'!$A$5:$A$200,A5,'04_RUNTIME_SUMMARY'!$C$5:$C$200,"demand",'04_RUNTIME_SUMMARY'!$D$5:$D$200,"TWh")</x:f>
        <x:v>850</x:v>
      </x:c>
      <x:c r="J5" s="90" t="n">
        <x:f>COUNTIF('02_CANONICAL_STACK'!$A$5:$A$220,A5)</x:f>
        <x:v>22</x:v>
      </x:c>
      <x:c r="K5" s="90" t="n">
        <x:f>COUNTIF('03_RUNTIME_INPUTS'!$A$5:$A$175,A5)</x:f>
        <x:v>18</x:v>
      </x:c>
      <x:c r="L5" s="48" t="str">
        <x:v>RTE 2026 N1 Base; thermal/BESS are fixed-capacity bridges where RTE leaves flexibility endogenous. Replace only on stronger final RTE results.</x:v>
      </x:c>
    </x:row>
    <x:row r="6">
      <x:c r="A6" s="49" t="str">
        <x:v>CH</x:v>
      </x:c>
      <x:c r="B6" s="44" t="str">
        <x:v>Switzerland</x:v>
      </x:c>
      <x:c r="C6" s="44" t="str">
        <x:v>CH_ZERO_BASIS</x:v>
      </x:c>
      <x:c r="D6" s="44" t="str">
        <x:v>CH_SIMULATION_READY_NATIONAL_DERIVED</x:v>
      </x:c>
      <x:c r="E6" s="44" t="str">
        <x:v>ETX-6R_COUNTRY_CLOSURE</x:v>
      </x:c>
      <x:c r="F6" s="44" t="str">
        <x:v>MEM_ETX6R_CH_National_Closure_v1.0</x:v>
      </x:c>
      <x:c r="G6" s="44" t="str">
        <x:v>FROZEN</x:v>
      </x:c>
      <x:c r="H6" s="85" t="n">
        <x:f>SUMIFS('04_RUNTIME_SUMMARY'!$E$5:$E$200,'04_RUNTIME_SUMMARY'!$A$5:$A$200,A6,'04_RUNTIME_SUMMARY'!$C$5:$C$200,"demand",'04_RUNTIME_SUMMARY'!$D$5:$D$200,"TWh")</x:f>
        <x:v>71.5</x:v>
      </x:c>
      <x:c r="I6" s="85" t="n">
        <x:f>SUMIFS('04_RUNTIME_SUMMARY'!$F$5:$F$200,'04_RUNTIME_SUMMARY'!$A$5:$A$200,A6,'04_RUNTIME_SUMMARY'!$C$5:$C$200,"demand",'04_RUNTIME_SUMMARY'!$D$5:$D$200,"TWh")</x:f>
        <x:v>76</x:v>
      </x:c>
      <x:c r="J6" s="91" t="n">
        <x:f>COUNTIF('02_CANONICAL_STACK'!$A$5:$A$220,A6)</x:f>
        <x:v>29</x:v>
      </x:c>
      <x:c r="K6" s="91" t="n">
        <x:f>COUNTIF('03_RUNTIME_INPUTS'!$A$5:$A$175,A6)</x:f>
        <x:v>23</x:v>
      </x:c>
      <x:c r="L6" s="50" t="str">
        <x:v>Keep home/distributed BESS separate from merchant grid BESS; preserve asymmetric PHS pump/turbine ratings.</x:v>
      </x:c>
    </x:row>
    <x:row r="7">
      <x:c r="A7" s="49" t="str">
        <x:v>AT</x:v>
      </x:c>
      <x:c r="B7" s="44" t="str">
        <x:v>Austria</x:v>
      </x:c>
      <x:c r="C7" s="44" t="str">
        <x:v>AT_BASE_WAM2025</x:v>
      </x:c>
      <x:c r="D7" s="44" t="str">
        <x:v>AT_SIMULATION_READY_NATIONAL_BENCHMARK_DERIVED</x:v>
      </x:c>
      <x:c r="E7" s="44" t="str">
        <x:v>ETX-6R_COUNTRY_CLOSURE</x:v>
      </x:c>
      <x:c r="F7" s="44" t="str">
        <x:v>MEM_ETX6R_AT_National_Closure_v1.0</x:v>
      </x:c>
      <x:c r="G7" s="44" t="str">
        <x:v>FROZEN</x:v>
      </x:c>
      <x:c r="H7" s="85" t="n">
        <x:f>SUMIFS('04_RUNTIME_SUMMARY'!$E$5:$E$200,'04_RUNTIME_SUMMARY'!$A$5:$A$200,A7,'04_RUNTIME_SUMMARY'!$C$5:$C$200,"demand",'04_RUNTIME_SUMMARY'!$D$5:$D$200,"TWh")</x:f>
        <x:v>109</x:v>
      </x:c>
      <x:c r="I7" s="85" t="n">
        <x:f>SUMIFS('04_RUNTIME_SUMMARY'!$F$5:$F$200,'04_RUNTIME_SUMMARY'!$A$5:$A$200,A7,'04_RUNTIME_SUMMARY'!$C$5:$C$200,"demand",'04_RUNTIME_SUMMARY'!$D$5:$D$200,"TWh")</x:f>
        <x:v>121</x:v>
      </x:c>
      <x:c r="J7" s="91" t="n">
        <x:f>COUNTIF('02_CANONICAL_STACK'!$A$5:$A$220,A7)</x:f>
        <x:v>24</x:v>
      </x:c>
      <x:c r="K7" s="91" t="n">
        <x:f>COUNTIF('03_RUNTIME_INPUTS'!$A$5:$A$175,A7)</x:f>
        <x:v>20</x:v>
      </x:c>
      <x:c r="L7" s="50" t="str">
        <x:v>National closure follows physical Austrian geography; hydro/control-zone membership and small-BESS wholesale availability remain ETX-7B sensitivities. Demand already embeds electrolysis.</x:v>
      </x:c>
    </x:row>
    <x:row r="8">
      <x:c r="A8" s="49" t="str">
        <x:v>SI</x:v>
      </x:c>
      <x:c r="B8" s="44" t="str">
        <x:v>Slovenia</x:v>
      </x:c>
      <x:c r="C8" s="44" t="str">
        <x:v>SI_DU-JE</x:v>
      </x:c>
      <x:c r="D8" s="44" t="str">
        <x:v>SI_SIMULATION_READY_NATIONAL_BENCHMARK_DERIVED</x:v>
      </x:c>
      <x:c r="E8" s="44" t="str">
        <x:v>ETX-6R_COUNTRY_CLOSURE</x:v>
      </x:c>
      <x:c r="F8" s="44" t="str">
        <x:v>MEM_ETX6R_SI_National_Closure_v1.0</x:v>
      </x:c>
      <x:c r="G8" s="44" t="str">
        <x:v>FROZEN</x:v>
      </x:c>
      <x:c r="H8" s="85" t="n">
        <x:f>SUMIFS('04_RUNTIME_SUMMARY'!$E$5:$E$200,'04_RUNTIME_SUMMARY'!$A$5:$A$200,A8,'04_RUNTIME_SUMMARY'!$C$5:$C$200,"demand",'04_RUNTIME_SUMMARY'!$D$5:$D$200,"TWh")</x:f>
        <x:v>20.2</x:v>
      </x:c>
      <x:c r="I8" s="85" t="n">
        <x:f>SUMIFS('04_RUNTIME_SUMMARY'!$F$5:$F$200,'04_RUNTIME_SUMMARY'!$A$5:$A$200,A8,'04_RUNTIME_SUMMARY'!$C$5:$C$200,"demand",'04_RUNTIME_SUMMARY'!$D$5:$D$200,"TWh")</x:f>
        <x:v>27.5</x:v>
      </x:c>
      <x:c r="J8" s="91" t="n">
        <x:f>COUNTIF('02_CANONICAL_STACK'!$A$5:$A$220,A8)</x:f>
        <x:v>20</x:v>
      </x:c>
      <x:c r="K8" s="91" t="n">
        <x:f>COUNTIF('03_RUNTIME_INPUTS'!$A$5:$A$175,A8)</x:f>
        <x:v>16</x:v>
      </x:c>
      <x:c r="L8" s="50" t="str">
        <x:v>Full physical Krško/NEK is represented on Slovenia; low-carbon-gas fuel costs/efficiencies remain an implementation mapping.</x:v>
      </x:c>
    </x:row>
    <x:row r="9">
      <x:c r="A9" s="49" t="str">
        <x:v>HR</x:v>
      </x:c>
      <x:c r="B9" s="44" t="str">
        <x:v>Croatia</x:v>
      </x:c>
      <x:c r="C9" s="44" t="str">
        <x:v>HR_WAM2025_WITH_S2_DEMAND_BRIDGE</x:v>
      </x:c>
      <x:c r="D9" s="44" t="str">
        <x:v>HR_SIMULATION_READY_NATIONAL_BENCHMARK_DERIVED</x:v>
      </x:c>
      <x:c r="E9" s="44" t="str">
        <x:v>ETX-6R_COUNTRY_CLOSURE</x:v>
      </x:c>
      <x:c r="F9" s="44" t="str">
        <x:v>MEM_ETX6R_HR_National_Closure_v1.0</x:v>
      </x:c>
      <x:c r="G9" s="44" t="str">
        <x:v>FROZEN</x:v>
      </x:c>
      <x:c r="H9" s="85" t="n">
        <x:f>SUMIFS('04_RUNTIME_SUMMARY'!$E$5:$E$200,'04_RUNTIME_SUMMARY'!$A$5:$A$200,A9,'04_RUNTIME_SUMMARY'!$C$5:$C$200,"demand",'04_RUNTIME_SUMMARY'!$D$5:$D$200,"TWh")</x:f>
        <x:v>21.166</x:v>
      </x:c>
      <x:c r="I9" s="85" t="n">
        <x:f>SUMIFS('04_RUNTIME_SUMMARY'!$F$5:$F$200,'04_RUNTIME_SUMMARY'!$A$5:$A$200,A9,'04_RUNTIME_SUMMARY'!$C$5:$C$200,"demand",'04_RUNTIME_SUMMARY'!$D$5:$D$200,"TWh")</x:f>
        <x:v>24.423</x:v>
      </x:c>
      <x:c r="J9" s="91" t="n">
        <x:f>COUNTIF('02_CANONICAL_STACK'!$A$5:$A$220,A9)</x:f>
        <x:v>21</x:v>
      </x:c>
      <x:c r="K9" s="91" t="n">
        <x:f>COUNTIF('03_RUNTIME_INPUTS'!$A$5:$A$175,A9)</x:f>
        <x:v>17</x:v>
      </x:c>
      <x:c r="L9" s="50" t="str">
        <x:v>Croatian 348 MW Krško entitlement is QA only. No Croatian nuclear generator; physical host-country Slovenia timing governs the regional Base.</x:v>
      </x:c>
    </x:row>
    <x:row r="10">
      <x:c r="A10" s="49" t="str">
        <x:v>ME</x:v>
      </x:c>
      <x:c r="B10" s="44" t="str">
        <x:v>Montenegro</x:v>
      </x:c>
      <x:c r="C10" s="44" t="str">
        <x:v>ME_NECP_WAM2025</x:v>
      </x:c>
      <x:c r="D10" s="44" t="str">
        <x:v>ME_SIMULATION_READY_USER_OVERRIDE_CLOSED</x:v>
      </x:c>
      <x:c r="E10" s="44" t="str">
        <x:v>ETX-6R_COUNTRY_CLOSURE</x:v>
      </x:c>
      <x:c r="F10" s="44" t="str">
        <x:v>MEM_ETX6R_ME_National_Closure_v1.1</x:v>
      </x:c>
      <x:c r="G10" s="44" t="str">
        <x:v>FROZEN</x:v>
      </x:c>
      <x:c r="H10" s="85" t="n">
        <x:f>SUMIFS('04_RUNTIME_SUMMARY'!$E$5:$E$200,'04_RUNTIME_SUMMARY'!$A$5:$A$200,A10,'04_RUNTIME_SUMMARY'!$C$5:$C$200,"demand",'04_RUNTIME_SUMMARY'!$D$5:$D$200,"TWh")</x:f>
        <x:v>3.6422</x:v>
      </x:c>
      <x:c r="I10" s="85" t="n">
        <x:f>SUMIFS('04_RUNTIME_SUMMARY'!$F$5:$F$200,'04_RUNTIME_SUMMARY'!$A$5:$A$200,A10,'04_RUNTIME_SUMMARY'!$C$5:$C$200,"demand",'04_RUNTIME_SUMMARY'!$D$5:$D$200,"TWh")</x:f>
        <x:v>3.6784</x:v>
      </x:c>
      <x:c r="J10" s="91" t="n">
        <x:f>COUNTIF('02_CANONICAL_STACK'!$A$5:$A$220,A10)</x:f>
        <x:v>20</x:v>
      </x:c>
      <x:c r="K10" s="91" t="n">
        <x:f>COUNTIF('03_RUNTIME_INPUTS'!$A$5:$A$175,A10)</x:f>
        <x:v>17</x:v>
      </x:c>
      <x:c r="L10" s="50" t="str">
        <x:v>User override is frozen: PV = 2.608334 GW and biogas = 0.087 GW in both horizons.</x:v>
      </x:c>
    </x:row>
    <x:row r="11">
      <x:c r="A11" s="49" t="str">
        <x:v>MT</x:v>
      </x:c>
      <x:c r="B11" s="44" t="str">
        <x:v>Malta</x:v>
      </x:c>
      <x:c r="C11" s="44" t="str">
        <x:v>MT_POLICY_BASE_WEM2025_SHIFT2026</x:v>
      </x:c>
      <x:c r="D11" s="44" t="str">
        <x:v>MT_SIMULATION_READY_NATIONAL_POLICY_DERIVED</x:v>
      </x:c>
      <x:c r="E11" s="44" t="str">
        <x:v>ETX-6R_COUNTRY_CLOSURE</x:v>
      </x:c>
      <x:c r="F11" s="44" t="str">
        <x:v>MEM_ETX6R_MT_National_Closure_v1.0</x:v>
      </x:c>
      <x:c r="G11" s="44" t="str">
        <x:v>FROZEN</x:v>
      </x:c>
      <x:c r="H11" s="85" t="n">
        <x:f>SUMIFS('04_RUNTIME_SUMMARY'!$E$5:$E$200,'04_RUNTIME_SUMMARY'!$A$5:$A$200,A11,'04_RUNTIME_SUMMARY'!$C$5:$C$200,"demand",'04_RUNTIME_SUMMARY'!$D$5:$D$200,"TWh")</x:f>
        <x:v>4.4</x:v>
      </x:c>
      <x:c r="I11" s="85" t="n">
        <x:f>SUMIFS('04_RUNTIME_SUMMARY'!$F$5:$F$200,'04_RUNTIME_SUMMARY'!$A$5:$A$200,A11,'04_RUNTIME_SUMMARY'!$C$5:$C$200,"demand",'04_RUNTIME_SUMMARY'!$D$5:$D$200,"TWh")</x:f>
        <x:v>4.4</x:v>
      </x:c>
      <x:c r="J11" s="91" t="n">
        <x:f>COUNTIF('02_CANONICAL_STACK'!$A$5:$A$220,A11)</x:f>
        <x:v>24</x:v>
      </x:c>
      <x:c r="K11" s="91" t="n">
        <x:f>COUNTIF('03_RUNTIME_INPUTS'!$A$5:$A$175,A11)</x:f>
        <x:v>17</x:v>
      </x:c>
      <x:c r="L11" s="50" t="str">
        <x:v>4.4 TWh long-run demand bridge and current thermal capacity carry-forward; offshore policy target and BESS floor remain policy/benchmark inputs.</x:v>
      </x:c>
    </x:row>
    <x:row r="12">
      <x:c r="A12" s="49" t="str">
        <x:v>TN</x:v>
      </x:c>
      <x:c r="B12" s="44" t="str">
        <x:v>Tunisia</x:v>
      </x:c>
      <x:c r="C12" s="44" t="str">
        <x:v>TN_BaC_NATIONAL_LONG_RUN</x:v>
      </x:c>
      <x:c r="D12" s="44" t="str">
        <x:v>TN_SIMULATION_READY_NATIONAL_BENCHMARK_WITH_TECHNICAL_PHS_ENERGY_FILL</x:v>
      </x:c>
      <x:c r="E12" s="44" t="str">
        <x:v>ETX-6R_COUNTRY_CLOSURE</x:v>
      </x:c>
      <x:c r="F12" s="44" t="str">
        <x:v>MEM_ETX6R_TN_National_Closure_v1.0</x:v>
      </x:c>
      <x:c r="G12" s="44" t="str">
        <x:v>FROZEN</x:v>
      </x:c>
      <x:c r="H12" s="85" t="n">
        <x:f>SUMIFS('04_RUNTIME_SUMMARY'!$E$5:$E$200,'04_RUNTIME_SUMMARY'!$A$5:$A$200,A12,'04_RUNTIME_SUMMARY'!$C$5:$C$200,"demand",'04_RUNTIME_SUMMARY'!$D$5:$D$200,"TWh")</x:f>
        <x:v>43.333333333333336</x:v>
      </x:c>
      <x:c r="I12" s="85" t="n">
        <x:f>SUMIFS('04_RUNTIME_SUMMARY'!$F$5:$F$200,'04_RUNTIME_SUMMARY'!$A$5:$A$200,A12,'04_RUNTIME_SUMMARY'!$C$5:$C$200,"demand",'04_RUNTIME_SUMMARY'!$D$5:$D$200,"TWh")</x:f>
        <x:v>64.5</x:v>
      </x:c>
      <x:c r="J12" s="91" t="n">
        <x:f>COUNTIF('02_CANONICAL_STACK'!$A$5:$A$220,A12)</x:f>
        <x:v>29</x:v>
      </x:c>
      <x:c r="K12" s="91" t="n">
        <x:f>COUNTIF('03_RUNTIME_INPUTS'!$A$5:$A$175,A12)</x:f>
        <x:v>18</x:v>
      </x:c>
      <x:c r="L12" s="50" t="str">
        <x:v>BaC system-production proxy controls load; 2.4 GWh PHS working energy is a technical fill; later 18.3 GW SNBC RES aggregate remains QA only.</x:v>
      </x:c>
    </x:row>
    <x:row r="13">
      <x:c r="A13" s="51" t="str">
        <x:v>GR</x:v>
      </x:c>
      <x:c r="B13" s="52" t="str">
        <x:v>Greece</x:v>
      </x:c>
      <x:c r="C13" s="52" t="str">
        <x:v>GR_WAM_FINAL_NECP_2024</x:v>
      </x:c>
      <x:c r="D13" s="52" t="str">
        <x:v>GR_SIMULATION_READY_FINAL_NECP_DIRECT</x:v>
      </x:c>
      <x:c r="E13" s="52" t="str">
        <x:v>ETX-2_ACCEPTED_BASE_PLUS_FINAL_NECP_MECHANICAL_EXTRACTION</x:v>
      </x:c>
      <x:c r="F13" s="52" t="str">
        <x:v>Greece final updated NECP (Dec 2024 / submitted Jan 2025)</x:v>
      </x:c>
      <x:c r="G13" s="52" t="str">
        <x:v>FROZEN</x:v>
      </x:c>
      <x:c r="H13" s="86" t="n">
        <x:f>SUMIFS('04_RUNTIME_SUMMARY'!$E$5:$E$200,'04_RUNTIME_SUMMARY'!$A$5:$A$200,A13,'04_RUNTIME_SUMMARY'!$C$5:$C$200,"demand",'04_RUNTIME_SUMMARY'!$D$5:$D$200,"TWh")</x:f>
        <x:v>85.9</x:v>
      </x:c>
      <x:c r="I13" s="86" t="n">
        <x:f>SUMIFS('04_RUNTIME_SUMMARY'!$F$5:$F$200,'04_RUNTIME_SUMMARY'!$A$5:$A$200,A13,'04_RUNTIME_SUMMARY'!$C$5:$C$200,"demand",'04_RUNTIME_SUMMARY'!$D$5:$D$200,"TWh")</x:f>
        <x:v>127.4</x:v>
      </x:c>
      <x:c r="J13" s="92" t="n">
        <x:f>COUNTIF('02_CANONICAL_STACK'!$A$5:$A$220,A13)</x:f>
        <x:v>18</x:v>
      </x:c>
      <x:c r="K13" s="92" t="n">
        <x:f>COUNTIF('03_RUNTIME_INPUTS'!$A$5:$A$175,A13)</x:f>
        <x:v>15</x:v>
      </x:c>
      <x:c r="L13" s="53" t="str">
        <x:v>Final NECP storage tables completed mechanically in ETX-7A. Demand excludes storage losses because storage is endogenous.</x:v>
      </x:c>
    </x:row>
  </x:sheetData>
  <x:mergeCells>
    <x:mergeCell ref="A1:L1"/>
    <x:mergeCell ref="A2:L2"/>
  </x:mergeCells>
  <x:conditionalFormatting sqref="G5:G13">
    <x:cfRule type="expression" dxfId="0" priority="1">
      <x:formula>G5="FROZEN"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5" hidden="0" customWidth="1"/>
    <x:col min="3" max="3" width="27" hidden="0" customWidth="1"/>
    <x:col min="4" max="4" width="32" hidden="0" customWidth="1"/>
    <x:col min="5" max="5" width="31" hidden="0" customWidth="1"/>
    <x:col min="6" max="6" width="26" hidden="0" customWidth="1"/>
    <x:col min="7" max="7" width="9" hidden="0" customWidth="1"/>
    <x:col min="8" max="8" width="32" hidden="0" customWidth="1"/>
    <x:col min="9" max="9" width="25" hidden="0" customWidth="1"/>
    <x:col min="10" max="10" width="25" hidden="0" customWidth="1"/>
    <x:col min="11" max="11" width="9" hidden="0" customWidth="1"/>
    <x:col min="12" max="12" width="13" hidden="0" customWidth="1"/>
    <x:col min="13" max="13" width="32" hidden="0" customWidth="1"/>
    <x:col min="14" max="14" width="11" hidden="0" customWidth="1"/>
    <x:col min="15" max="15" width="25" hidden="0" customWidth="1"/>
    <x:col min="16" max="16" width="25" hidden="0" customWidth="1"/>
    <x:col min="17" max="17" width="13" hidden="0" customWidth="1"/>
    <x:col min="18" max="18" width="32" hidden="0" customWidth="1"/>
    <x:col min="19" max="19" width="11" hidden="0" customWidth="1"/>
    <x:col min="20" max="20" width="25" hidden="0" customWidth="1"/>
    <x:col min="21" max="21" width="25" hidden="0" customWidth="1"/>
    <x:col min="22" max="22" width="11" hidden="0" customWidth="1"/>
    <x:col min="23" max="23" width="26" hidden="0" customWidth="1"/>
    <x:col min="24" max="24" width="13" hidden="0" customWidth="1"/>
    <x:col min="25" max="25" width="60" hidden="0" customWidth="1"/>
    <x:col min="26" max="26" width="60" hidden="0" customWidth="1"/>
    <x:col min="27" max="27" width="54" hidden="0" customWidth="1"/>
    <x:col min="28" max="28" width="30" hidden="0" customWidth="1"/>
  </x:cols>
  <x:sheetData>
    <x:row r="1" ht="28" customHeight="1">
      <x:c r="A1" s="6" t="str">
        <x:v>Canonical external-country stack — all source, derivation and QA rows</x:v>
      </x:c>
      <x:c r="B1" s="6" t="str">
        <x:v>Canonical external-country stack — all source, derivation and QA rows</x:v>
      </x:c>
      <x:c r="C1" s="6" t="str">
        <x:v>Canonical external-country stack — all source, derivation and QA rows</x:v>
      </x:c>
      <x:c r="D1" s="6" t="str">
        <x:v>Canonical external-country stack — all source, derivation and QA rows</x:v>
      </x:c>
      <x:c r="E1" s="6" t="str">
        <x:v>Canonical external-country stack — all source, derivation and QA rows</x:v>
      </x:c>
      <x:c r="F1" s="6" t="str">
        <x:v>Canonical external-country stack — all source, derivation and QA rows</x:v>
      </x:c>
      <x:c r="G1" s="6" t="str">
        <x:v>Canonical external-country stack — all source, derivation and QA rows</x:v>
      </x:c>
      <x:c r="H1" s="6" t="str">
        <x:v>Canonical external-country stack — all source, derivation and QA rows</x:v>
      </x:c>
      <x:c r="I1" s="6" t="str">
        <x:v>Canonical external-country stack — all source, derivation and QA rows</x:v>
      </x:c>
      <x:c r="J1" s="6" t="str">
        <x:v>Canonical external-country stack — all source, derivation and QA rows</x:v>
      </x:c>
      <x:c r="K1" s="6" t="str">
        <x:v>Canonical external-country stack — all source, derivation and QA rows</x:v>
      </x:c>
      <x:c r="L1" s="6" t="str">
        <x:v>Canonical external-country stack — all source, derivation and QA rows</x:v>
      </x:c>
      <x:c r="M1" s="6" t="str">
        <x:v>Canonical external-country stack — all source, derivation and QA rows</x:v>
      </x:c>
      <x:c r="N1" s="6" t="str">
        <x:v>Canonical external-country stack — all source, derivation and QA rows</x:v>
      </x:c>
      <x:c r="O1" s="6" t="str">
        <x:v>Canonical external-country stack — all source, derivation and QA rows</x:v>
      </x:c>
      <x:c r="P1" s="6" t="str">
        <x:v>Canonical external-country stack — all source, derivation and QA rows</x:v>
      </x:c>
      <x:c r="Q1" s="6" t="str">
        <x:v>Canonical external-country stack — all source, derivation and QA rows</x:v>
      </x:c>
      <x:c r="R1" s="6" t="str">
        <x:v>Canonical external-country stack — all source, derivation and QA rows</x:v>
      </x:c>
      <x:c r="S1" s="6" t="str">
        <x:v>Canonical external-country stack — all source, derivation and QA rows</x:v>
      </x:c>
      <x:c r="T1" s="6" t="str">
        <x:v>Canonical external-country stack — all source, derivation and QA rows</x:v>
      </x:c>
      <x:c r="U1" s="6" t="str">
        <x:v>Canonical external-country stack — all source, derivation and QA rows</x:v>
      </x:c>
      <x:c r="V1" s="6" t="str">
        <x:v>Canonical external-country stack — all source, derivation and QA rows</x:v>
      </x:c>
      <x:c r="W1" s="6" t="str">
        <x:v>Canonical external-country stack — all source, derivation and QA rows</x:v>
      </x:c>
      <x:c r="X1" s="6" t="str">
        <x:v>Canonical external-country stack — all source, derivation and QA rows</x:v>
      </x:c>
      <x:c r="Y1" s="6" t="str">
        <x:v>Canonical external-country stack — all source, derivation and QA rows</x:v>
      </x:c>
      <x:c r="Z1" s="6" t="str">
        <x:v>Canonical external-country stack — all source, derivation and QA rows</x:v>
      </x:c>
      <x:c r="AA1" s="6" t="str">
        <x:v>Canonical external-country stack — all source, derivation and QA rows</x:v>
      </x:c>
      <x:c r="AB1" s="6" t="str">
        <x:v>Canonical external-country stack — all source, derivation and QA rows</x:v>
      </x:c>
    </x:row>
    <x:row r="2">
      <x:c r="A2" s="78" t="str">
        <x:v>207 canonical rows. This sheet preserves source-country semantics and provenance. Runtime Include is governed strictly by Runtime Role.</x:v>
      </x:c>
      <x:c r="B2" s="79"/>
      <x:c r="C2" s="79"/>
      <x:c r="D2" s="79"/>
      <x:c r="E2" s="79"/>
      <x:c r="F2" s="79"/>
      <x:c r="G2" s="79"/>
      <x:c r="H2" s="79"/>
      <x:c r="I2" s="79"/>
      <x:c r="J2" s="79"/>
      <x:c r="K2" s="79"/>
      <x:c r="L2" s="79"/>
      <x:c r="M2" s="79"/>
      <x:c r="N2" s="79"/>
      <x:c r="O2" s="79"/>
      <x:c r="P2" s="79"/>
      <x:c r="Q2" s="79"/>
      <x:c r="R2" s="79"/>
      <x:c r="S2" s="79"/>
      <x:c r="T2" s="79"/>
      <x:c r="U2" s="79"/>
      <x:c r="V2" s="79"/>
      <x:c r="W2" s="79"/>
      <x:c r="X2" s="79"/>
      <x:c r="Y2" s="79"/>
      <x:c r="Z2" s="79"/>
      <x:c r="AA2" s="79"/>
      <x:c r="AB2" s="80"/>
    </x:row>
    <x:row r="4">
      <x:c r="A4" s="102" t="str">
        <x:v>Country code</x:v>
      </x:c>
      <x:c r="B4" s="103" t="str">
        <x:v>Country</x:v>
      </x:c>
      <x:c r="C4" s="103" t="str">
        <x:v>Selected Base</x:v>
      </x:c>
      <x:c r="D4" s="103" t="str">
        <x:v>Closure Status</x:v>
      </x:c>
      <x:c r="E4" s="103" t="str">
        <x:v>Source workbook</x:v>
      </x:c>
      <x:c r="F4" s="103" t="str">
        <x:v>Source sheet</x:v>
      </x:c>
      <x:c r="G4" s="103" t="str">
        <x:v>Source row</x:v>
      </x:c>
      <x:c r="H4" s="103" t="str">
        <x:v>Category</x:v>
      </x:c>
      <x:c r="I4" s="103" t="str">
        <x:v>Source group</x:v>
      </x:c>
      <x:c r="J4" s="103" t="str">
        <x:v>Harmonised group</x:v>
      </x:c>
      <x:c r="K4" s="103" t="str">
        <x:v>Unit</x:v>
      </x:c>
      <x:c r="L4" s="103" t="str">
        <x:v>2040 value</x:v>
      </x:c>
      <x:c r="M4" s="103" t="str">
        <x:v>2040 evidence</x:v>
      </x:c>
      <x:c r="N4" s="103" t="str">
        <x:v>2040 quality</x:v>
      </x:c>
      <x:c r="O4" s="103" t="str">
        <x:v>2040 source ID</x:v>
      </x:c>
      <x:c r="P4" s="103" t="str">
        <x:v>2040 closure</x:v>
      </x:c>
      <x:c r="Q4" s="103" t="str">
        <x:v>2050 value</x:v>
      </x:c>
      <x:c r="R4" s="103" t="str">
        <x:v>2050 evidence</x:v>
      </x:c>
      <x:c r="S4" s="103" t="str">
        <x:v>2050 quality</x:v>
      </x:c>
      <x:c r="T4" s="103" t="str">
        <x:v>2050 source ID</x:v>
      </x:c>
      <x:c r="U4" s="103" t="str">
        <x:v>2050 closure</x:v>
      </x:c>
      <x:c r="V4" s="103" t="str">
        <x:v>Use in Base</x:v>
      </x:c>
      <x:c r="W4" s="103" t="str">
        <x:v>Runtime role</x:v>
      </x:c>
      <x:c r="X4" s="103" t="str">
        <x:v>Runtime include</x:v>
      </x:c>
      <x:c r="Y4" s="103" t="str">
        <x:v>National-source reasoning</x:v>
      </x:c>
      <x:c r="Z4" s="103" t="str">
        <x:v>Residual / mapping note</x:v>
      </x:c>
      <x:c r="AA4" s="103" t="str">
        <x:v>Source URL</x:v>
      </x:c>
      <x:c r="AB4" s="104" t="str">
        <x:v>Freeze origin</x:v>
      </x:c>
    </x:row>
    <x:row r="5">
      <x:c r="A5" s="122" t="str">
        <x:v>FR</x:v>
      </x:c>
      <x:c r="B5" s="123" t="str">
        <x:v>France</x:v>
      </x:c>
      <x:c r="C5" s="123" t="str">
        <x:v>RTE_2026_N1_MEDIAN_DEMAND</x:v>
      </x:c>
      <x:c r="D5" s="123" t="str">
        <x:v>FR_SIMULATION_READY_NATIONAL_BENCHMARK_DERIVED</x:v>
      </x:c>
      <x:c r="E5" s="123" t="str">
        <x:v>MEM_ETX6R_FR_National_Closure_v1.2</x:v>
      </x:c>
      <x:c r="F5" s="123" t="str">
        <x:v>01_FR_CAPACITY_STACK</x:v>
      </x:c>
      <x:c r="G5" s="123" t="n">
        <x:v>5</x:v>
      </x:c>
      <x:c r="H5" s="123" t="str">
        <x:v>Annual electricity demand</x:v>
      </x:c>
      <x:c r="I5" s="123" t="str">
        <x:v>load</x:v>
      </x:c>
      <x:c r="J5" s="123" t="str">
        <x:v>demand</x:v>
      </x:c>
      <x:c r="K5" s="123" t="str">
        <x:v>TWh</x:v>
      </x:c>
      <x:c r="L5" s="142" t="n">
        <x:v>650</x:v>
      </x:c>
      <x:c r="M5" s="123" t="str">
        <x:v>OFFICIAL_CHART_CONTROL</x:v>
      </x:c>
      <x:c r="N5" s="123" t="str">
        <x:v>C</x:v>
      </x:c>
      <x:c r="O5" s="123" t="str">
        <x:v>FR_RTE_FE2026</x:v>
      </x:c>
      <x:c r="P5" s="123" t="str">
        <x:v>CLOSED_NATIONAL_DERIVED</x:v>
      </x:c>
      <x:c r="Q5" s="142" t="n">
        <x:v>850</x:v>
      </x:c>
      <x:c r="R5" s="123" t="str">
        <x:v>OFFICIAL_SCENARIO_INPUT</x:v>
      </x:c>
      <x:c r="S5" s="123" t="str">
        <x:v>A</x:v>
      </x:c>
      <x:c r="T5" s="123" t="str">
        <x:v>FR_RTE_FE2026</x:v>
      </x:c>
      <x:c r="U5" s="123" t="str">
        <x:v>CLOSED_NATIONAL_DIRECT</x:v>
      </x:c>
      <x:c r="V5" s="123" t="str">
        <x:v>YES</x:v>
      </x:c>
      <x:c r="W5" s="123" t="str">
        <x:v>IMPLEMENT</x:v>
      </x:c>
      <x:c r="X5" s="124" t="b">
        <x:v>1</x:v>
      </x:c>
      <x:c r="Y5" s="123" t="str">
        <x:v>Selected demand trajectory remains RTE 2026 N1 / median demand.</x:v>
      </x:c>
      <x:c r="Z5" s="123" t="str">
        <x:v>2040 chart control; 2050 direct.</x:v>
      </x:c>
      <x:c r="AA5" s="123" t="str">
        <x:v>https://www.rte-france.com/donnees-publications/etudes-prospectives/futurs-energetique-2050</x:v>
      </x:c>
      <x:c r="AB5" s="125" t="str">
        <x:v>ETX-6R_COUNTRY_CLOSURE</x:v>
      </x:c>
    </x:row>
    <x:row r="6">
      <x:c r="A6" s="126" t="str">
        <x:v>FR</x:v>
      </x:c>
      <x:c r="B6" s="118" t="str">
        <x:v>France</x:v>
      </x:c>
      <x:c r="C6" s="118" t="str">
        <x:v>RTE_2026_N1_MEDIAN_DEMAND</x:v>
      </x:c>
      <x:c r="D6" s="118" t="str">
        <x:v>FR_SIMULATION_READY_NATIONAL_BENCHMARK_DERIVED</x:v>
      </x:c>
      <x:c r="E6" s="118" t="str">
        <x:v>MEM_ETX6R_FR_National_Closure_v1.2</x:v>
      </x:c>
      <x:c r="F6" s="118" t="str">
        <x:v>01_FR_CAPACITY_STACK</x:v>
      </x:c>
      <x:c r="G6" s="118" t="n">
        <x:v>6</x:v>
      </x:c>
      <x:c r="H6" s="118" t="str">
        <x:v>Existing nuclear</x:v>
      </x:c>
      <x:c r="I6" s="118" t="str">
        <x:v>nuclear_existing</x:v>
      </x:c>
      <x:c r="J6" s="118" t="str">
        <x:v>nuclear_existing</x:v>
      </x:c>
      <x:c r="K6" s="118" t="str">
        <x:v>GW</x:v>
      </x:c>
      <x:c r="L6" s="143" t="n">
        <x:v>59</x:v>
      </x:c>
      <x:c r="M6" s="118" t="str">
        <x:v>OFFICIAL_CHART_CONTROL</x:v>
      </x:c>
      <x:c r="N6" s="118" t="str">
        <x:v>C</x:v>
      </x:c>
      <x:c r="O6" s="118" t="str">
        <x:v>FR_RTE_FE2026</x:v>
      </x:c>
      <x:c r="P6" s="118" t="str">
        <x:v>CLOSED_NATIONAL_DIRECT</x:v>
      </x:c>
      <x:c r="Q6" s="143" t="n">
        <x:v>40</x:v>
      </x:c>
      <x:c r="R6" s="118" t="str">
        <x:v>OFFICIAL_SCENARIO_INPUT</x:v>
      </x:c>
      <x:c r="S6" s="118" t="str">
        <x:v>A/B</x:v>
      </x:c>
      <x:c r="T6" s="118" t="str">
        <x:v>FR_RTE_FE2026</x:v>
      </x:c>
      <x:c r="U6" s="118" t="str">
        <x:v>CLOSED_NATIONAL_DIRECT</x:v>
      </x:c>
      <x:c r="V6" s="118" t="str">
        <x:v>DERIVATION ONLY</x:v>
      </x:c>
      <x:c r="W6" s="118" t="str">
        <x:v>DERIVATION_DETAIL_ONLY</x:v>
      </x:c>
      <x:c r="X6" s="119" t="b">
        <x:v>0</x:v>
      </x:c>
      <x:c r="Y6" s="118" t="str">
        <x:v>RTE median lifetime-extension trajectory.</x:v>
      </x:c>
      <x:c r="Z6" s="118" t="str">
        <x:v>Existing fleet only.</x:v>
      </x:c>
      <x:c r="AA6" s="118" t="str">
        <x:v>https://assets.rte-france.com/prod/public/2026-04/RTE-Reactualisation-FE-2050-consultation-publique-2026-propositions-detaillees.pdf</x:v>
      </x:c>
      <x:c r="AB6" s="127" t="str">
        <x:v>ETX-6R_COUNTRY_CLOSURE</x:v>
      </x:c>
    </x:row>
    <x:row r="7">
      <x:c r="A7" s="126" t="str">
        <x:v>FR</x:v>
      </x:c>
      <x:c r="B7" s="118" t="str">
        <x:v>France</x:v>
      </x:c>
      <x:c r="C7" s="118" t="str">
        <x:v>RTE_2026_N1_MEDIAN_DEMAND</x:v>
      </x:c>
      <x:c r="D7" s="118" t="str">
        <x:v>FR_SIMULATION_READY_NATIONAL_BENCHMARK_DERIVED</x:v>
      </x:c>
      <x:c r="E7" s="118" t="str">
        <x:v>MEM_ETX6R_FR_National_Closure_v1.2</x:v>
      </x:c>
      <x:c r="F7" s="118" t="str">
        <x:v>01_FR_CAPACITY_STACK</x:v>
      </x:c>
      <x:c r="G7" s="118" t="n">
        <x:v>7</x:v>
      </x:c>
      <x:c r="H7" s="118" t="str">
        <x:v>New EPR2</x:v>
      </x:c>
      <x:c r="I7" s="118" t="str">
        <x:v>nuclear_new_epr2</x:v>
      </x:c>
      <x:c r="J7" s="118" t="str">
        <x:v>nuclear_new_epr2</x:v>
      </x:c>
      <x:c r="K7" s="118" t="str">
        <x:v>GW</x:v>
      </x:c>
      <x:c r="L7" s="143" t="n">
        <x:v>3.25</x:v>
      </x:c>
      <x:c r="M7" s="118" t="str">
        <x:v>DERIVED_FROM_OFFICIAL_COMPONENTS</x:v>
      </x:c>
      <x:c r="N7" s="118" t="str">
        <x:v>B</x:v>
      </x:c>
      <x:c r="O7" s="118" t="str">
        <x:v>FR_RTE_FE2026+EDF_EPR2</x:v>
      </x:c>
      <x:c r="P7" s="118" t="str">
        <x:v>CLOSED_NATIONAL_DERIVED</x:v>
      </x:c>
      <x:c r="Q7" s="143" t="n">
        <x:v>13</x:v>
      </x:c>
      <x:c r="R7" s="118" t="str">
        <x:v>OFFICIAL_SCENARIO_INPUT</x:v>
      </x:c>
      <x:c r="S7" s="118" t="str">
        <x:v>A</x:v>
      </x:c>
      <x:c r="T7" s="118" t="str">
        <x:v>FR_RTE_FE2026</x:v>
      </x:c>
      <x:c r="U7" s="118" t="str">
        <x:v>CLOSED_NATIONAL_DIRECT</x:v>
      </x:c>
      <x:c r="V7" s="118" t="str">
        <x:v>DERIVATION ONLY</x:v>
      </x:c>
      <x:c r="W7" s="118" t="str">
        <x:v>DERIVATION_DETAIL_ONLY</x:v>
      </x:c>
      <x:c r="X7" s="119" t="b">
        <x:v>0</x:v>
      </x:c>
      <x:c r="Y7" s="118" t="str">
        <x:v>First N1 pair represented by 2040; 8 reactors ≈13 GW by 2050.</x:v>
      </x:c>
      <x:c r="Z7" s="118" t="str">
        <x:v>See FR-D01.</x:v>
      </x:c>
      <x:c r="AA7" s="118" t="str">
        <x:v>https://www.edf.fr/groupe-edf/produire-une-energie-respectueuse-du-climat/lenergie-nucleaire/nouveau-nucleaire/programme-epr2</x:v>
      </x:c>
      <x:c r="AB7" s="127" t="str">
        <x:v>ETX-6R_COUNTRY_CLOSURE</x:v>
      </x:c>
    </x:row>
    <x:row r="8">
      <x:c r="A8" s="126" t="str">
        <x:v>FR</x:v>
      </x:c>
      <x:c r="B8" s="118" t="str">
        <x:v>France</x:v>
      </x:c>
      <x:c r="C8" s="118" t="str">
        <x:v>RTE_2026_N1_MEDIAN_DEMAND</x:v>
      </x:c>
      <x:c r="D8" s="118" t="str">
        <x:v>FR_SIMULATION_READY_NATIONAL_BENCHMARK_DERIVED</x:v>
      </x:c>
      <x:c r="E8" s="118" t="str">
        <x:v>MEM_ETX6R_FR_National_Closure_v1.2</x:v>
      </x:c>
      <x:c r="F8" s="118" t="str">
        <x:v>01_FR_CAPACITY_STACK</x:v>
      </x:c>
      <x:c r="G8" s="118" t="n">
        <x:v>8</x:v>
      </x:c>
      <x:c r="H8" s="118" t="str">
        <x:v>Total nuclear</x:v>
      </x:c>
      <x:c r="I8" s="118" t="str">
        <x:v>nuclear</x:v>
      </x:c>
      <x:c r="J8" s="118" t="str">
        <x:v>nuclear</x:v>
      </x:c>
      <x:c r="K8" s="118" t="str">
        <x:v>GW</x:v>
      </x:c>
      <x:c r="L8" s="143" t="n">
        <x:v>62.25</x:v>
      </x:c>
      <x:c r="M8" s="118" t="str">
        <x:v>DERIVED_FROM_OFFICIAL_COMPONENTS</x:v>
      </x:c>
      <x:c r="N8" s="118" t="str">
        <x:v>B/C</x:v>
      </x:c>
      <x:c r="O8" s="118" t="str">
        <x:v>FR_RTE_FE2026+EDF_EPR2</x:v>
      </x:c>
      <x:c r="P8" s="118" t="str">
        <x:v>CLOSED_NATIONAL_DERIVED</x:v>
      </x:c>
      <x:c r="Q8" s="143" t="n">
        <x:v>54</x:v>
      </x:c>
      <x:c r="R8" s="118" t="str">
        <x:v>OFFICIAL_SCENARIO_INPUT</x:v>
      </x:c>
      <x:c r="S8" s="118" t="str">
        <x:v>A</x:v>
      </x:c>
      <x:c r="T8" s="118" t="str">
        <x:v>FR_RTE_FE2026</x:v>
      </x:c>
      <x:c r="U8" s="118" t="str">
        <x:v>CLOSED_NATIONAL_DIRECT</x:v>
      </x:c>
      <x:c r="V8" s="118" t="str">
        <x:v>YES</x:v>
      </x:c>
      <x:c r="W8" s="118" t="str">
        <x:v>IMPLEMENT_TOTAL</x:v>
      </x:c>
      <x:c r="X8" s="119" t="b">
        <x:v>1</x:v>
      </x:c>
      <x:c r="Y8" s="118" t="str">
        <x:v>2040 existing + first EPR2 pair; 2050 direct N1 total.</x:v>
      </x:c>
      <x:c r="Z8" s="118" t="str">
        <x:v>See FR-D02.</x:v>
      </x:c>
      <x:c r="AA8" s="118" t="str">
        <x:v>https://assets.rte-france.com/prod/public/2026-04/RTE-Reactualisation-FE-2050-consultation-publique-2026-propositions-detaillees.pdf</x:v>
      </x:c>
      <x:c r="AB8" s="127" t="str">
        <x:v>ETX-6R_COUNTRY_CLOSURE</x:v>
      </x:c>
    </x:row>
    <x:row r="9">
      <x:c r="A9" s="126" t="str">
        <x:v>FR</x:v>
      </x:c>
      <x:c r="B9" s="118" t="str">
        <x:v>France</x:v>
      </x:c>
      <x:c r="C9" s="118" t="str">
        <x:v>RTE_2026_N1_MEDIAN_DEMAND</x:v>
      </x:c>
      <x:c r="D9" s="118" t="str">
        <x:v>FR_SIMULATION_READY_NATIONAL_BENCHMARK_DERIVED</x:v>
      </x:c>
      <x:c r="E9" s="118" t="str">
        <x:v>MEM_ETX6R_FR_National_Closure_v1.2</x:v>
      </x:c>
      <x:c r="F9" s="118" t="str">
        <x:v>01_FR_CAPACITY_STACK</x:v>
      </x:c>
      <x:c r="G9" s="118" t="n">
        <x:v>9</x:v>
      </x:c>
      <x:c r="H9" s="118" t="str">
        <x:v>SMR</x:v>
      </x:c>
      <x:c r="I9" s="118" t="str">
        <x:v>smr</x:v>
      </x:c>
      <x:c r="J9" s="118" t="str">
        <x:v>nuclear_smr</x:v>
      </x:c>
      <x:c r="K9" s="118" t="str">
        <x:v>GW</x:v>
      </x:c>
      <x:c r="L9" s="143" t="n">
        <x:v>0</x:v>
      </x:c>
      <x:c r="M9" s="118" t="str">
        <x:v>SELECTED_SCENARIO_ZERO</x:v>
      </x:c>
      <x:c r="N9" s="118" t="str">
        <x:v>A</x:v>
      </x:c>
      <x:c r="O9" s="118" t="str">
        <x:v>FR_RTE_FE2026</x:v>
      </x:c>
      <x:c r="P9" s="118" t="str">
        <x:v>ZERO_SELECTED_SCENARIO</x:v>
      </x:c>
      <x:c r="Q9" s="143" t="n">
        <x:v>0</x:v>
      </x:c>
      <x:c r="R9" s="118" t="str">
        <x:v>SELECTED_SCENARIO_ZERO</x:v>
      </x:c>
      <x:c r="S9" s="118" t="str">
        <x:v>A</x:v>
      </x:c>
      <x:c r="T9" s="118" t="str">
        <x:v>FR_RTE_FE2026</x:v>
      </x:c>
      <x:c r="U9" s="118" t="str">
        <x:v>ZERO_SELECTED_SCENARIO</x:v>
      </x:c>
      <x:c r="V9" s="118" t="str">
        <x:v>YES</x:v>
      </x:c>
      <x:c r="W9" s="118" t="str">
        <x:v>IMPLEMENT</x:v>
      </x:c>
      <x:c r="X9" s="119" t="b">
        <x:v>1</x:v>
      </x:c>
      <x:c r="Y9" s="118" t="str">
        <x:v>Selected N1 contains no SMR capacity.</x:v>
      </x:c>
      <x:c r="Z9" s="118"/>
      <x:c r="AA9" s="118" t="str">
        <x:v>https://assets.rte-france.com/prod/public/2026-04/RTE-Reactualisation-FE-2050-consultation-publique-2026-propositions-detaillees.pdf</x:v>
      </x:c>
      <x:c r="AB9" s="127" t="str">
        <x:v>ETX-6R_COUNTRY_CLOSURE</x:v>
      </x:c>
    </x:row>
    <x:row r="10">
      <x:c r="A10" s="126" t="str">
        <x:v>FR</x:v>
      </x:c>
      <x:c r="B10" s="118" t="str">
        <x:v>France</x:v>
      </x:c>
      <x:c r="C10" s="118" t="str">
        <x:v>RTE_2026_N1_MEDIAN_DEMAND</x:v>
      </x:c>
      <x:c r="D10" s="118" t="str">
        <x:v>FR_SIMULATION_READY_NATIONAL_BENCHMARK_DERIVED</x:v>
      </x:c>
      <x:c r="E10" s="118" t="str">
        <x:v>MEM_ETX6R_FR_National_Closure_v1.2</x:v>
      </x:c>
      <x:c r="F10" s="118" t="str">
        <x:v>01_FR_CAPACITY_STACK</x:v>
      </x:c>
      <x:c r="G10" s="118" t="n">
        <x:v>10</x:v>
      </x:c>
      <x:c r="H10" s="118" t="str">
        <x:v>Solar PV</x:v>
      </x:c>
      <x:c r="I10" s="118" t="str">
        <x:v>solar</x:v>
      </x:c>
      <x:c r="J10" s="118" t="str">
        <x:v>solar_pv</x:v>
      </x:c>
      <x:c r="K10" s="118" t="str">
        <x:v>GW</x:v>
      </x:c>
      <x:c r="L10" s="143" t="n">
        <x:v>87.47635846659034</x:v>
      </x:c>
      <x:c r="M10" s="118" t="str">
        <x:v>RTE_PRIOR_EDITION_BENCHMARK_DERIVED</x:v>
      </x:c>
      <x:c r="N10" s="118" t="str">
        <x:v>B/C</x:v>
      </x:c>
      <x:c r="O10" s="118" t="str">
        <x:v>FR_RTE_FE2022_CH4+FR_RTE_FE2026+FR_RTE_SDDR2025</x:v>
      </x:c>
      <x:c r="P10" s="118" t="str">
        <x:v>CLOSED_NATIONAL_BENCHMARK_DERIVED</x:v>
      </x:c>
      <x:c r="Q10" s="143" t="n">
        <x:v>145</x:v>
      </x:c>
      <x:c r="R10" s="118" t="str">
        <x:v>OFFICIAL_SCENARIO_INPUT</x:v>
      </x:c>
      <x:c r="S10" s="118" t="str">
        <x:v>A</x:v>
      </x:c>
      <x:c r="T10" s="118" t="str">
        <x:v>FR_RTE_FE2026</x:v>
      </x:c>
      <x:c r="U10" s="118" t="str">
        <x:v>CLOSED_NATIONAL_DIRECT</x:v>
      </x:c>
      <x:c r="V10" s="118" t="str">
        <x:v>YES</x:v>
      </x:c>
      <x:c r="W10" s="118" t="str">
        <x:v>IMPLEMENT</x:v>
      </x:c>
      <x:c r="X10" s="119" t="b">
        <x:v>1</x:v>
      </x:c>
      <x:c r="Y10" s="118" t="str">
        <x:v>2040 derived from old N1 trajectory, updated by new/old N1 PV endpoint ratio and normalized with the newer 135 GW terrestrial-VRE control.</x:v>
      </x:c>
      <x:c r="Z10" s="118" t="str">
        <x:v>See FR-D06 to FR-D11.</x:v>
      </x:c>
      <x:c r="AA10" s="118" t="str">
        <x:v>https://assets.rte-france.com/prod/public/2021-11/BP2050_rapport-complet_chapitre4_production-electricite_0.pdf</x:v>
      </x:c>
      <x:c r="AB10" s="127" t="str">
        <x:v>ETX-6R_COUNTRY_CLOSURE</x:v>
      </x:c>
    </x:row>
    <x:row r="11">
      <x:c r="A11" s="126" t="str">
        <x:v>FR</x:v>
      </x:c>
      <x:c r="B11" s="118" t="str">
        <x:v>France</x:v>
      </x:c>
      <x:c r="C11" s="118" t="str">
        <x:v>RTE_2026_N1_MEDIAN_DEMAND</x:v>
      </x:c>
      <x:c r="D11" s="118" t="str">
        <x:v>FR_SIMULATION_READY_NATIONAL_BENCHMARK_DERIVED</x:v>
      </x:c>
      <x:c r="E11" s="118" t="str">
        <x:v>MEM_ETX6R_FR_National_Closure_v1.2</x:v>
      </x:c>
      <x:c r="F11" s="118" t="str">
        <x:v>01_FR_CAPACITY_STACK</x:v>
      </x:c>
      <x:c r="G11" s="118" t="n">
        <x:v>11</x:v>
      </x:c>
      <x:c r="H11" s="118" t="str">
        <x:v>Onshore wind</x:v>
      </x:c>
      <x:c r="I11" s="118" t="str">
        <x:v>onwind</x:v>
      </x:c>
      <x:c r="J11" s="118" t="str">
        <x:v>wind_onshore</x:v>
      </x:c>
      <x:c r="K11" s="118" t="str">
        <x:v>GW</x:v>
      </x:c>
      <x:c r="L11" s="143" t="n">
        <x:v>47.52364153340965</x:v>
      </x:c>
      <x:c r="M11" s="118" t="str">
        <x:v>RTE_PRIOR_EDITION_BENCHMARK_DERIVED</x:v>
      </x:c>
      <x:c r="N11" s="118" t="str">
        <x:v>B/C</x:v>
      </x:c>
      <x:c r="O11" s="118" t="str">
        <x:v>FR_RTE_FE2022_CH4+FR_RTE_FE2026+FR_RTE_SDDR2025</x:v>
      </x:c>
      <x:c r="P11" s="118" t="str">
        <x:v>CLOSED_NATIONAL_BENCHMARK_DERIVED</x:v>
      </x:c>
      <x:c r="Q11" s="143" t="n">
        <x:v>65</x:v>
      </x:c>
      <x:c r="R11" s="118" t="str">
        <x:v>OFFICIAL_SCENARIO_INPUT</x:v>
      </x:c>
      <x:c r="S11" s="118" t="str">
        <x:v>A</x:v>
      </x:c>
      <x:c r="T11" s="118" t="str">
        <x:v>FR_RTE_FE2026</x:v>
      </x:c>
      <x:c r="U11" s="118" t="str">
        <x:v>CLOSED_NATIONAL_DIRECT</x:v>
      </x:c>
      <x:c r="V11" s="118" t="str">
        <x:v>YES</x:v>
      </x:c>
      <x:c r="W11" s="118" t="str">
        <x:v>IMPLEMENT</x:v>
      </x:c>
      <x:c r="X11" s="119" t="b">
        <x:v>1</x:v>
      </x:c>
      <x:c r="Y11" s="118" t="str">
        <x:v>Same benchmark method as PV, with technology-specific endpoint ratio.</x:v>
      </x:c>
      <x:c r="Z11" s="118" t="str">
        <x:v>See FR-D07 to FR-D12.</x:v>
      </x:c>
      <x:c r="AA11" s="118" t="str">
        <x:v>https://assets.rte-france.com/prod/public/2021-11/BP2050_rapport-complet_chapitre4_production-electricite_0.pdf</x:v>
      </x:c>
      <x:c r="AB11" s="127" t="str">
        <x:v>ETX-6R_COUNTRY_CLOSURE</x:v>
      </x:c>
    </x:row>
    <x:row r="12">
      <x:c r="A12" s="126" t="str">
        <x:v>FR</x:v>
      </x:c>
      <x:c r="B12" s="118" t="str">
        <x:v>France</x:v>
      </x:c>
      <x:c r="C12" s="118" t="str">
        <x:v>RTE_2026_N1_MEDIAN_DEMAND</x:v>
      </x:c>
      <x:c r="D12" s="118" t="str">
        <x:v>FR_SIMULATION_READY_NATIONAL_BENCHMARK_DERIVED</x:v>
      </x:c>
      <x:c r="E12" s="118" t="str">
        <x:v>MEM_ETX6R_FR_National_Closure_v1.2</x:v>
      </x:c>
      <x:c r="F12" s="118" t="str">
        <x:v>01_FR_CAPACITY_STACK</x:v>
      </x:c>
      <x:c r="G12" s="118" t="n">
        <x:v>12</x:v>
      </x:c>
      <x:c r="H12" s="118" t="str">
        <x:v>PV + onshore wind aggregate</x:v>
      </x:c>
      <x:c r="I12" s="118" t="str">
        <x:v>terrestrial_vre_total</x:v>
      </x:c>
      <x:c r="J12" s="118" t="str">
        <x:v>terrestrial_vre_total</x:v>
      </x:c>
      <x:c r="K12" s="118" t="str">
        <x:v>GW</x:v>
      </x:c>
      <x:c r="L12" s="143" t="n">
        <x:v>135</x:v>
      </x:c>
      <x:c r="M12" s="118" t="str">
        <x:v>OFFICIAL_NATIONAL_PLANNING_CONTROL</x:v>
      </x:c>
      <x:c r="N12" s="118" t="str">
        <x:v>A/B</x:v>
      </x:c>
      <x:c r="O12" s="118" t="str">
        <x:v>FR_RTE_SDDR2025</x:v>
      </x:c>
      <x:c r="P12" s="118" t="str">
        <x:v>QA_CONTROL_ONLY</x:v>
      </x:c>
      <x:c r="Q12" s="143" t="n">
        <x:v>210</x:v>
      </x:c>
      <x:c r="R12" s="118" t="str">
        <x:v>DERIVED_FROM_OFFICIAL_COMPONENTS</x:v>
      </x:c>
      <x:c r="S12" s="118" t="str">
        <x:v>A</x:v>
      </x:c>
      <x:c r="T12" s="118" t="str">
        <x:v>FR_RTE_FE2026</x:v>
      </x:c>
      <x:c r="U12" s="118" t="str">
        <x:v>QA_CONTROL_ONLY</x:v>
      </x:c>
      <x:c r="V12" s="118" t="str">
        <x:v>QA ONLY</x:v>
      </x:c>
      <x:c r="W12" s="118" t="str">
        <x:v>QA_CONTROL_ONLY</x:v>
      </x:c>
      <x:c r="X12" s="119" t="b">
        <x:v>0</x:v>
      </x:c>
      <x:c r="Y12" s="118" t="str">
        <x:v>National aggregate used only to constrain/check the 2040 split.</x:v>
      </x:c>
      <x:c r="Z12" s="118" t="str">
        <x:v>Do not implement as a separate asset.</x:v>
      </x:c>
      <x:c r="AA12" s="118" t="str">
        <x:v>https://assets.rte-france.com/prod/public/2025-06/2025-06-06-sddr-rapport-complet.pdf</x:v>
      </x:c>
      <x:c r="AB12" s="127" t="str">
        <x:v>ETX-6R_COUNTRY_CLOSURE</x:v>
      </x:c>
    </x:row>
    <x:row r="13">
      <x:c r="A13" s="126" t="str">
        <x:v>FR</x:v>
      </x:c>
      <x:c r="B13" s="118" t="str">
        <x:v>France</x:v>
      </x:c>
      <x:c r="C13" s="118" t="str">
        <x:v>RTE_2026_N1_MEDIAN_DEMAND</x:v>
      </x:c>
      <x:c r="D13" s="118" t="str">
        <x:v>FR_SIMULATION_READY_NATIONAL_BENCHMARK_DERIVED</x:v>
      </x:c>
      <x:c r="E13" s="118" t="str">
        <x:v>MEM_ETX6R_FR_National_Closure_v1.2</x:v>
      </x:c>
      <x:c r="F13" s="118" t="str">
        <x:v>01_FR_CAPACITY_STACK</x:v>
      </x:c>
      <x:c r="G13" s="118" t="n">
        <x:v>13</x:v>
      </x:c>
      <x:c r="H13" s="118" t="str">
        <x:v>Offshore wind</x:v>
      </x:c>
      <x:c r="I13" s="118" t="str">
        <x:v>offwind</x:v>
      </x:c>
      <x:c r="J13" s="118" t="str">
        <x:v>wind_offshore</x:v>
      </x:c>
      <x:c r="K13" s="118" t="str">
        <x:v>GW</x:v>
      </x:c>
      <x:c r="L13" s="143" t="n">
        <x:v>26</x:v>
      </x:c>
      <x:c r="M13" s="118" t="str">
        <x:v>OFFICIAL_NATIONAL_PLANNING_INPUT</x:v>
      </x:c>
      <x:c r="N13" s="118" t="str">
        <x:v>A</x:v>
      </x:c>
      <x:c r="O13" s="118" t="str">
        <x:v>FR_RTE_FE2026</x:v>
      </x:c>
      <x:c r="P13" s="118" t="str">
        <x:v>CLOSED_NATIONAL_DIRECT</x:v>
      </x:c>
      <x:c r="Q13" s="143" t="n">
        <x:v>40</x:v>
      </x:c>
      <x:c r="R13" s="118" t="str">
        <x:v>OFFICIAL_SCENARIO_INPUT</x:v>
      </x:c>
      <x:c r="S13" s="118" t="str">
        <x:v>A</x:v>
      </x:c>
      <x:c r="T13" s="118" t="str">
        <x:v>FR_RTE_FE2026</x:v>
      </x:c>
      <x:c r="U13" s="118" t="str">
        <x:v>CLOSED_NATIONAL_DIRECT</x:v>
      </x:c>
      <x:c r="V13" s="118" t="str">
        <x:v>YES</x:v>
      </x:c>
      <x:c r="W13" s="118" t="str">
        <x:v>IMPLEMENT</x:v>
      </x:c>
      <x:c r="X13" s="119" t="b">
        <x:v>1</x:v>
      </x:c>
      <x:c r="Y13" s="118" t="str">
        <x:v>26 GW national 2040 planning control; selected N1 2050 =40 GW.</x:v>
      </x:c>
      <x:c r="Z13" s="118"/>
      <x:c r="AA13" s="118" t="str">
        <x:v>https://assets.rte-france.com/prod/public/2026-04/RTE-Reactualisation-FE-2050-consultation-publique-2026-propositions-detaillees.pdf</x:v>
      </x:c>
      <x:c r="AB13" s="127" t="str">
        <x:v>ETX-6R_COUNTRY_CLOSURE</x:v>
      </x:c>
    </x:row>
    <x:row r="14">
      <x:c r="A14" s="126" t="str">
        <x:v>FR</x:v>
      </x:c>
      <x:c r="B14" s="118" t="str">
        <x:v>France</x:v>
      </x:c>
      <x:c r="C14" s="118" t="str">
        <x:v>RTE_2026_N1_MEDIAN_DEMAND</x:v>
      </x:c>
      <x:c r="D14" s="118" t="str">
        <x:v>FR_SIMULATION_READY_NATIONAL_BENCHMARK_DERIVED</x:v>
      </x:c>
      <x:c r="E14" s="118" t="str">
        <x:v>MEM_ETX6R_FR_National_Closure_v1.2</x:v>
      </x:c>
      <x:c r="F14" s="118" t="str">
        <x:v>01_FR_CAPACITY_STACK</x:v>
      </x:c>
      <x:c r="G14" s="118" t="n">
        <x:v>14</x:v>
      </x:c>
      <x:c r="H14" s="118" t="str">
        <x:v>Hydro excluding PHS</x:v>
      </x:c>
      <x:c r="I14" s="118" t="str">
        <x:v>hydro_non_phs</x:v>
      </x:c>
      <x:c r="J14" s="118" t="str">
        <x:v>hydro_non_phs</x:v>
      </x:c>
      <x:c r="K14" s="118" t="str">
        <x:v>GW</x:v>
      </x:c>
      <x:c r="L14" s="143" t="n">
        <x:v>22</x:v>
      </x:c>
      <x:c r="M14" s="118" t="str">
        <x:v>DERIVED_FROM_OFFICIAL_COMPONENTS</x:v>
      </x:c>
      <x:c r="N14" s="118" t="str">
        <x:v>B</x:v>
      </x:c>
      <x:c r="O14" s="118" t="str">
        <x:v>FR_RTE_FE2026</x:v>
      </x:c>
      <x:c r="P14" s="118" t="str">
        <x:v>CLOSED_NATIONAL_DERIVED</x:v>
      </x:c>
      <x:c r="Q14" s="143" t="n">
        <x:v>22</x:v>
      </x:c>
      <x:c r="R14" s="118" t="str">
        <x:v>DERIVED_FROM_OFFICIAL_COMPONENTS</x:v>
      </x:c>
      <x:c r="S14" s="118" t="str">
        <x:v>B</x:v>
      </x:c>
      <x:c r="T14" s="118" t="str">
        <x:v>FR_RTE_FE2026</x:v>
      </x:c>
      <x:c r="U14" s="118" t="str">
        <x:v>CLOSED_NATIONAL_DERIVED</x:v>
      </x:c>
      <x:c r="V14" s="118" t="str">
        <x:v>YES</x:v>
      </x:c>
      <x:c r="W14" s="118" t="str">
        <x:v>IMPLEMENT</x:v>
      </x:c>
      <x:c r="X14" s="119" t="b">
        <x:v>1</x:v>
      </x:c>
      <x:c r="Y14" s="118" t="str">
        <x:v>~21 GW current + ~1 GW by 2035, then stable.</x:v>
      </x:c>
      <x:c r="Z14" s="118" t="str">
        <x:v>RoR/reservoir split is implementation mapping.</x:v>
      </x:c>
      <x:c r="AA14" s="118" t="str">
        <x:v>https://assets.rte-france.com/prod/public/2026-04/RTE-Reactualisation-FE-2050-consultation-publique-2026-propositions-detaillees.pdf</x:v>
      </x:c>
      <x:c r="AB14" s="127" t="str">
        <x:v>ETX-6R_COUNTRY_CLOSURE</x:v>
      </x:c>
    </x:row>
    <x:row r="15">
      <x:c r="A15" s="126" t="str">
        <x:v>FR</x:v>
      </x:c>
      <x:c r="B15" s="118" t="str">
        <x:v>France</x:v>
      </x:c>
      <x:c r="C15" s="118" t="str">
        <x:v>RTE_2026_N1_MEDIAN_DEMAND</x:v>
      </x:c>
      <x:c r="D15" s="118" t="str">
        <x:v>FR_SIMULATION_READY_NATIONAL_BENCHMARK_DERIVED</x:v>
      </x:c>
      <x:c r="E15" s="118" t="str">
        <x:v>MEM_ETX6R_FR_National_Closure_v1.2</x:v>
      </x:c>
      <x:c r="F15" s="118" t="str">
        <x:v>01_FR_CAPACITY_STACK</x:v>
      </x:c>
      <x:c r="G15" s="118" t="n">
        <x:v>15</x:v>
      </x:c>
      <x:c r="H15" s="118" t="str">
        <x:v>Pumped storage power</x:v>
      </x:c>
      <x:c r="I15" s="118" t="str">
        <x:v>PHS_power</x:v>
      </x:c>
      <x:c r="J15" s="118" t="str">
        <x:v>phs_discharge_power</x:v>
      </x:c>
      <x:c r="K15" s="118" t="str">
        <x:v>GW</x:v>
      </x:c>
      <x:c r="L15" s="143" t="n">
        <x:v>7.3</x:v>
      </x:c>
      <x:c r="M15" s="118" t="str">
        <x:v>DERIVED_FROM_OFFICIAL_COMPONENTS</x:v>
      </x:c>
      <x:c r="N15" s="118" t="str">
        <x:v>B/C</x:v>
      </x:c>
      <x:c r="O15" s="118" t="str">
        <x:v>FR_PPE3+FR_RTE_FE2026</x:v>
      </x:c>
      <x:c r="P15" s="118" t="str">
        <x:v>CLOSED_NATIONAL_DERIVED</x:v>
      </x:c>
      <x:c r="Q15" s="143" t="n">
        <x:v>8.5</x:v>
      </x:c>
      <x:c r="R15" s="118" t="str">
        <x:v>OFFICIAL_COMMON_TECH_ASSUMPTION</x:v>
      </x:c>
      <x:c r="S15" s="118" t="str">
        <x:v>A/B</x:v>
      </x:c>
      <x:c r="T15" s="118" t="str">
        <x:v>FR_RTE_FE2026</x:v>
      </x:c>
      <x:c r="U15" s="118" t="str">
        <x:v>CLOSED_NATIONAL_DIRECT</x:v>
      </x:c>
      <x:c r="V15" s="118" t="str">
        <x:v>YES</x:v>
      </x:c>
      <x:c r="W15" s="118" t="str">
        <x:v>IMPLEMENT_STORAGE_PAIR</x:v>
      </x:c>
      <x:c r="X15" s="119" t="b">
        <x:v>1</x:v>
      </x:c>
      <x:c r="Y15" s="118" t="str">
        <x:v>2040 interpolation between official 2035/2050 national milestones.</x:v>
      </x:c>
      <x:c r="Z15" s="118" t="str">
        <x:v>See FR-D03.</x:v>
      </x:c>
      <x:c r="AA15" s="118" t="str">
        <x:v>https://www.economie.gouv.fr/ppe-3-programmation-pluriannuelle-de-lenergie</x:v>
      </x:c>
      <x:c r="AB15" s="127" t="str">
        <x:v>ETX-6R_COUNTRY_CLOSURE</x:v>
      </x:c>
    </x:row>
    <x:row r="16">
      <x:c r="A16" s="126" t="str">
        <x:v>FR</x:v>
      </x:c>
      <x:c r="B16" s="118" t="str">
        <x:v>France</x:v>
      </x:c>
      <x:c r="C16" s="118" t="str">
        <x:v>RTE_2026_N1_MEDIAN_DEMAND</x:v>
      </x:c>
      <x:c r="D16" s="118" t="str">
        <x:v>FR_SIMULATION_READY_NATIONAL_BENCHMARK_DERIVED</x:v>
      </x:c>
      <x:c r="E16" s="118" t="str">
        <x:v>MEM_ETX6R_FR_National_Closure_v1.2</x:v>
      </x:c>
      <x:c r="F16" s="118" t="str">
        <x:v>01_FR_CAPACITY_STACK</x:v>
      </x:c>
      <x:c r="G16" s="118" t="n">
        <x:v>16</x:v>
      </x:c>
      <x:c r="H16" s="118" t="str">
        <x:v>Pumped storage energy</x:v>
      </x:c>
      <x:c r="I16" s="118" t="str">
        <x:v>PHS_energy</x:v>
      </x:c>
      <x:c r="J16" s="118" t="str">
        <x:v>phs_energy</x:v>
      </x:c>
      <x:c r="K16" s="118" t="str">
        <x:v>GWh</x:v>
      </x:c>
      <x:c r="L16" s="143" t="n">
        <x:v>146</x:v>
      </x:c>
      <x:c r="M16" s="118" t="str">
        <x:v>DERIVED_FROM_OFFICIAL_COMPONENTS</x:v>
      </x:c>
      <x:c r="N16" s="118" t="str">
        <x:v>B/C</x:v>
      </x:c>
      <x:c r="O16" s="118" t="str">
        <x:v>FR_PPE3+FR_RTE_FE2026</x:v>
      </x:c>
      <x:c r="P16" s="118" t="str">
        <x:v>CLOSED_NATIONAL_DERIVED</x:v>
      </x:c>
      <x:c r="Q16" s="143" t="n">
        <x:v>170</x:v>
      </x:c>
      <x:c r="R16" s="118" t="str">
        <x:v>OFFICIAL_COMMON_TECH_ASSUMPTION</x:v>
      </x:c>
      <x:c r="S16" s="118" t="str">
        <x:v>A/B</x:v>
      </x:c>
      <x:c r="T16" s="118" t="str">
        <x:v>FR_RTE_FE2026</x:v>
      </x:c>
      <x:c r="U16" s="118" t="str">
        <x:v>CLOSED_NATIONAL_DIRECT</x:v>
      </x:c>
      <x:c r="V16" s="118" t="str">
        <x:v>YES</x:v>
      </x:c>
      <x:c r="W16" s="118" t="str">
        <x:v>IMPLEMENT_STORAGE_PAIR</x:v>
      </x:c>
      <x:c r="X16" s="119" t="b">
        <x:v>1</x:v>
      </x:c>
      <x:c r="Y16" s="118" t="str">
        <x:v>2040 follows derived power with RTE incremental duration.</x:v>
      </x:c>
      <x:c r="Z16" s="118" t="str">
        <x:v>See FR-D04.</x:v>
      </x:c>
      <x:c r="AA16" s="118" t="str">
        <x:v>https://assets.rte-france.com/prod/public/2026-04/RTE-Reactualisation-FE-2050-consultation-publique-2026-propositions-detaillees.pdf</x:v>
      </x:c>
      <x:c r="AB16" s="127" t="str">
        <x:v>ETX-6R_COUNTRY_CLOSURE</x:v>
      </x:c>
    </x:row>
    <x:row r="17">
      <x:c r="A17" s="126" t="str">
        <x:v>FR</x:v>
      </x:c>
      <x:c r="B17" s="118" t="str">
        <x:v>France</x:v>
      </x:c>
      <x:c r="C17" s="118" t="str">
        <x:v>RTE_2026_N1_MEDIAN_DEMAND</x:v>
      </x:c>
      <x:c r="D17" s="118" t="str">
        <x:v>FR_SIMULATION_READY_NATIONAL_BENCHMARK_DERIVED</x:v>
      </x:c>
      <x:c r="E17" s="118" t="str">
        <x:v>MEM_ETX6R_FR_National_Closure_v1.2</x:v>
      </x:c>
      <x:c r="F17" s="118" t="str">
        <x:v>01_FR_CAPACITY_STACK</x:v>
      </x:c>
      <x:c r="G17" s="118" t="n">
        <x:v>17</x:v>
      </x:c>
      <x:c r="H17" s="118" t="str">
        <x:v>BESS power</x:v>
      </x:c>
      <x:c r="I17" s="118" t="str">
        <x:v>battery_power</x:v>
      </x:c>
      <x:c r="J17" s="118" t="str">
        <x:v>bess_grid_power</x:v>
      </x:c>
      <x:c r="K17" s="118" t="str">
        <x:v>GW</x:v>
      </x:c>
      <x:c r="L17" s="143" t="n">
        <x:v>2.117702448210923</x:v>
      </x:c>
      <x:c r="M17" s="118" t="str">
        <x:v>RTE_PRIOR_EDITION_BENCHMARK_DERIVED</x:v>
      </x:c>
      <x:c r="N17" s="118" t="str">
        <x:v>C</x:v>
      </x:c>
      <x:c r="O17" s="118" t="str">
        <x:v>FR_RTE_FE2022_CH7+FR_RTE_FE2026</x:v>
      </x:c>
      <x:c r="P17" s="118" t="str">
        <x:v>CLOSED_NATIONAL_BENCHMARK_DERIVED</x:v>
      </x:c>
      <x:c r="Q17" s="143" t="n">
        <x:v>11.059322033898306</x:v>
      </x:c>
      <x:c r="R17" s="118" t="str">
        <x:v>RTE_PRIOR_EDITION_BENCHMARK_DERIVED</x:v>
      </x:c>
      <x:c r="S17" s="118" t="str">
        <x:v>B/C</x:v>
      </x:c>
      <x:c r="T17" s="118" t="str">
        <x:v>FR_RTE_FE2022_CH5+FR_RTE_FE2026</x:v>
      </x:c>
      <x:c r="U17" s="118" t="str">
        <x:v>CLOSED_NATIONAL_BENCHMARK_DERIVED</x:v>
      </x:c>
      <x:c r="V17" s="118" t="str">
        <x:v>YES</x:v>
      </x:c>
      <x:c r="W17" s="118" t="str">
        <x:v>IMPLEMENT_STORAGE_PAIR</x:v>
      </x:c>
      <x:c r="X17" s="119" t="b">
        <x:v>1</x:v>
      </x:c>
      <x:c r="Y17" s="118" t="str">
        <x:v>RTE 2026 repeats the previous optimization logic; prior-N1 battery/PV relationship is updated to the new PV endpoint.</x:v>
      </x:c>
      <x:c r="Z17" s="118" t="str">
        <x:v>See FR-D13 to FR-D14.</x:v>
      </x:c>
      <x:c r="AA17" s="118" t="str">
        <x:v>https://assets.rte-france.com/prod/public/2022-06/FE2050%20_Rapport%20complet_7.pdf</x:v>
      </x:c>
      <x:c r="AB17" s="127" t="str">
        <x:v>ETX-6R_COUNTRY_CLOSURE</x:v>
      </x:c>
    </x:row>
    <x:row r="18">
      <x:c r="A18" s="126" t="str">
        <x:v>FR</x:v>
      </x:c>
      <x:c r="B18" s="118" t="str">
        <x:v>France</x:v>
      </x:c>
      <x:c r="C18" s="118" t="str">
        <x:v>RTE_2026_N1_MEDIAN_DEMAND</x:v>
      </x:c>
      <x:c r="D18" s="118" t="str">
        <x:v>FR_SIMULATION_READY_NATIONAL_BENCHMARK_DERIVED</x:v>
      </x:c>
      <x:c r="E18" s="118" t="str">
        <x:v>MEM_ETX6R_FR_National_Closure_v1.2</x:v>
      </x:c>
      <x:c r="F18" s="118" t="str">
        <x:v>01_FR_CAPACITY_STACK</x:v>
      </x:c>
      <x:c r="G18" s="118" t="n">
        <x:v>18</x:v>
      </x:c>
      <x:c r="H18" s="118" t="str">
        <x:v>BESS energy</x:v>
      </x:c>
      <x:c r="I18" s="118" t="str">
        <x:v>battery_energy</x:v>
      </x:c>
      <x:c r="J18" s="118" t="str">
        <x:v>bess_grid_energy</x:v>
      </x:c>
      <x:c r="K18" s="118" t="str">
        <x:v>GWh</x:v>
      </x:c>
      <x:c r="L18" s="143" t="n">
        <x:v>8.470809792843692</x:v>
      </x:c>
      <x:c r="M18" s="118" t="str">
        <x:v>RTE_PRIOR_EDITION_BENCHMARK_DERIVED</x:v>
      </x:c>
      <x:c r="N18" s="118" t="str">
        <x:v>B/C</x:v>
      </x:c>
      <x:c r="O18" s="118" t="str">
        <x:v>FR_RTE_FE2022_CH7+FR_RTE_FE2026</x:v>
      </x:c>
      <x:c r="P18" s="118" t="str">
        <x:v>CLOSED_NATIONAL_BENCHMARK_DERIVED</x:v>
      </x:c>
      <x:c r="Q18" s="143" t="n">
        <x:v>44.237288135593225</x:v>
      </x:c>
      <x:c r="R18" s="118" t="str">
        <x:v>RTE_PRIOR_EDITION_BENCHMARK_DERIVED</x:v>
      </x:c>
      <x:c r="S18" s="118" t="str">
        <x:v>B/C</x:v>
      </x:c>
      <x:c r="T18" s="118" t="str">
        <x:v>FR_RTE_FE2022_CH7+FR_RTE_FE2026</x:v>
      </x:c>
      <x:c r="U18" s="118" t="str">
        <x:v>CLOSED_NATIONAL_BENCHMARK_DERIVED</x:v>
      </x:c>
      <x:c r="V18" s="118" t="str">
        <x:v>YES</x:v>
      </x:c>
      <x:c r="W18" s="118" t="str">
        <x:v>IMPLEMENT_STORAGE_PAIR</x:v>
      </x:c>
      <x:c r="X18" s="119" t="b">
        <x:v>1</x:v>
      </x:c>
      <x:c r="Y18" s="118" t="str">
        <x:v>4 h duration selected for Stage-A spot-market arbitrage representation, consistent with previous RTE reference treatment.</x:v>
      </x:c>
      <x:c r="Z18" s="118" t="str">
        <x:v>See FR-D15 to FR-D16.</x:v>
      </x:c>
      <x:c r="AA18" s="118" t="str">
        <x:v>https://assets.rte-france.com/prod/public/2022-06/FE2050%20_Rapport%20complet_7.pdf</x:v>
      </x:c>
      <x:c r="AB18" s="127" t="str">
        <x:v>ETX-6R_COUNTRY_CLOSURE</x:v>
      </x:c>
    </x:row>
    <x:row r="19">
      <x:c r="A19" s="126" t="str">
        <x:v>FR</x:v>
      </x:c>
      <x:c r="B19" s="118" t="str">
        <x:v>France</x:v>
      </x:c>
      <x:c r="C19" s="118" t="str">
        <x:v>RTE_2026_N1_MEDIAN_DEMAND</x:v>
      </x:c>
      <x:c r="D19" s="118" t="str">
        <x:v>FR_SIMULATION_READY_NATIONAL_BENCHMARK_DERIVED</x:v>
      </x:c>
      <x:c r="E19" s="118" t="str">
        <x:v>MEM_ETX6R_FR_National_Closure_v1.2</x:v>
      </x:c>
      <x:c r="F19" s="118" t="str">
        <x:v>01_FR_CAPACITY_STACK</x:v>
      </x:c>
      <x:c r="G19" s="118" t="n">
        <x:v>19</x:v>
      </x:c>
      <x:c r="H19" s="118" t="str">
        <x:v>Coal / lignite</x:v>
      </x:c>
      <x:c r="I19" s="118" t="str">
        <x:v>coal_lignite</x:v>
      </x:c>
      <x:c r="J19" s="118" t="str">
        <x:v>coal_lignite</x:v>
      </x:c>
      <x:c r="K19" s="118" t="str">
        <x:v>GW</x:v>
      </x:c>
      <x:c r="L19" s="143" t="n">
        <x:v>0</x:v>
      </x:c>
      <x:c r="M19" s="118" t="str">
        <x:v>OFFICIAL_POLICY_ZERO</x:v>
      </x:c>
      <x:c r="N19" s="118" t="str">
        <x:v>A</x:v>
      </x:c>
      <x:c r="O19" s="118" t="str">
        <x:v>FR_PPE3</x:v>
      </x:c>
      <x:c r="P19" s="118" t="str">
        <x:v>ZERO_BY_POLICY</x:v>
      </x:c>
      <x:c r="Q19" s="143" t="n">
        <x:v>0</x:v>
      </x:c>
      <x:c r="R19" s="118" t="str">
        <x:v>OFFICIAL_POLICY_ZERO</x:v>
      </x:c>
      <x:c r="S19" s="118" t="str">
        <x:v>A</x:v>
      </x:c>
      <x:c r="T19" s="118" t="str">
        <x:v>FR_PPE3</x:v>
      </x:c>
      <x:c r="U19" s="118" t="str">
        <x:v>ZERO_BY_POLICY</x:v>
      </x:c>
      <x:c r="V19" s="118" t="str">
        <x:v>YES</x:v>
      </x:c>
      <x:c r="W19" s="118" t="str">
        <x:v>IMPLEMENT</x:v>
      </x:c>
      <x:c r="X19" s="119" t="b">
        <x:v>1</x:v>
      </x:c>
      <x:c r="Y19" s="118" t="str">
        <x:v>Coal exit before model horizons.</x:v>
      </x:c>
      <x:c r="Z19" s="118"/>
      <x:c r="AA19" s="118" t="str">
        <x:v>https://www.economie.gouv.fr/ppe-3-programmation-pluriannuelle-de-lenergie</x:v>
      </x:c>
      <x:c r="AB19" s="127" t="str">
        <x:v>ETX-6R_COUNTRY_CLOSURE</x:v>
      </x:c>
    </x:row>
    <x:row r="20">
      <x:c r="A20" s="126" t="str">
        <x:v>FR</x:v>
      </x:c>
      <x:c r="B20" s="118" t="str">
        <x:v>France</x:v>
      </x:c>
      <x:c r="C20" s="118" t="str">
        <x:v>RTE_2026_N1_MEDIAN_DEMAND</x:v>
      </x:c>
      <x:c r="D20" s="118" t="str">
        <x:v>FR_SIMULATION_READY_NATIONAL_BENCHMARK_DERIVED</x:v>
      </x:c>
      <x:c r="E20" s="118" t="str">
        <x:v>MEM_ETX6R_FR_National_Closure_v1.2</x:v>
      </x:c>
      <x:c r="F20" s="118" t="str">
        <x:v>01_FR_CAPACITY_STACK</x:v>
      </x:c>
      <x:c r="G20" s="118" t="n">
        <x:v>20</x:v>
      </x:c>
      <x:c r="H20" s="118" t="str">
        <x:v>Dispatchable thermal total</x:v>
      </x:c>
      <x:c r="I20" s="118" t="str">
        <x:v>thermal_dispatchable</x:v>
      </x:c>
      <x:c r="J20" s="118" t="str">
        <x:v>thermal_dispatchable</x:v>
      </x:c>
      <x:c r="K20" s="118" t="str">
        <x:v>GW</x:v>
      </x:c>
      <x:c r="L20" s="143" t="n">
        <x:v>6</x:v>
      </x:c>
      <x:c r="M20" s="118" t="str">
        <x:v>RTE_PRIOR_EDITION_BENCHMARK_DERIVED</x:v>
      </x:c>
      <x:c r="N20" s="118" t="str">
        <x:v>C</x:v>
      </x:c>
      <x:c r="O20" s="118" t="str">
        <x:v>FR_RTE_FE2022_CH7+FR_RTE_FE2026</x:v>
      </x:c>
      <x:c r="P20" s="118" t="str">
        <x:v>CLOSED_NATIONAL_BENCHMARK_DERIVED</x:v>
      </x:c>
      <x:c r="Q20" s="143" t="n">
        <x:v>11.5</x:v>
      </x:c>
      <x:c r="R20" s="118" t="str">
        <x:v>RTE_PRIOR_EDITION_BENCHMARK_DERIVED</x:v>
      </x:c>
      <x:c r="S20" s="118" t="str">
        <x:v>A/B</x:v>
      </x:c>
      <x:c r="T20" s="118" t="str">
        <x:v>FR_RTE_FE2022_CH5+FR_RTE_FE2026</x:v>
      </x:c>
      <x:c r="U20" s="118" t="str">
        <x:v>CLOSED_NATIONAL_BENCHMARK_DERIVED</x:v>
      </x:c>
      <x:c r="V20" s="118" t="str">
        <x:v>QA ONLY</x:v>
      </x:c>
      <x:c r="W20" s="118" t="str">
        <x:v>QA_CONTROL_ONLY</x:v>
      </x:c>
      <x:c r="X20" s="119" t="b">
        <x:v>0</x:v>
      </x:c>
      <x:c r="Y20" s="118" t="str">
        <x:v>Previous N1 optimized requirement copied with minimal adjustment because 2026 again leaves the thermal-vs-battery result endogenous.</x:v>
      </x:c>
      <x:c r="Z20" s="118" t="str">
        <x:v>See FR-D17 and FR-D20.</x:v>
      </x:c>
      <x:c r="AA20" s="118" t="str">
        <x:v>https://assets.rte-france.com/prod/public/2022-06/FE2050%20_Rapport%20complet_7.pdf</x:v>
      </x:c>
      <x:c r="AB20" s="127" t="str">
        <x:v>ETX-6R_COUNTRY_CLOSURE</x:v>
      </x:c>
    </x:row>
    <x:row r="21">
      <x:c r="A21" s="126" t="str">
        <x:v>FR</x:v>
      </x:c>
      <x:c r="B21" s="118" t="str">
        <x:v>France</x:v>
      </x:c>
      <x:c r="C21" s="118" t="str">
        <x:v>RTE_2026_N1_MEDIAN_DEMAND</x:v>
      </x:c>
      <x:c r="D21" s="118" t="str">
        <x:v>FR_SIMULATION_READY_NATIONAL_BENCHMARK_DERIVED</x:v>
      </x:c>
      <x:c r="E21" s="118" t="str">
        <x:v>MEM_ETX6R_FR_National_Closure_v1.2</x:v>
      </x:c>
      <x:c r="F21" s="118" t="str">
        <x:v>01_FR_CAPACITY_STACK</x:v>
      </x:c>
      <x:c r="G21" s="118" t="n">
        <x:v>21</x:v>
      </x:c>
      <x:c r="H21" s="118" t="str">
        <x:v>Methane thermal</x:v>
      </x:c>
      <x:c r="I21" s="118" t="str">
        <x:v>thermal_methane</x:v>
      </x:c>
      <x:c r="J21" s="118" t="str">
        <x:v>thermal_methane_gas</x:v>
      </x:c>
      <x:c r="K21" s="118" t="str">
        <x:v>GW</x:v>
      </x:c>
      <x:c r="L21" s="143" t="n">
        <x:v>4</x:v>
      </x:c>
      <x:c r="M21" s="118" t="str">
        <x:v>RTE_PRIOR_EDITION_BENCHMARK_DERIVED</x:v>
      </x:c>
      <x:c r="N21" s="118" t="str">
        <x:v>C</x:v>
      </x:c>
      <x:c r="O21" s="118" t="str">
        <x:v>FR_RTE_FE2022_CH7</x:v>
      </x:c>
      <x:c r="P21" s="118" t="str">
        <x:v>CLOSED_NATIONAL_BENCHMARK_DERIVED</x:v>
      </x:c>
      <x:c r="Q21" s="143" t="n">
        <x:v>0</x:v>
      </x:c>
      <x:c r="R21" s="118" t="str">
        <x:v>RTE_PRIOR_EDITION_BENCHMARK_DERIVED</x:v>
      </x:c>
      <x:c r="S21" s="118" t="str">
        <x:v>A/B</x:v>
      </x:c>
      <x:c r="T21" s="118" t="str">
        <x:v>FR_RTE_FE2022_CH5+FR_PPE3</x:v>
      </x:c>
      <x:c r="U21" s="118" t="str">
        <x:v>CLOSED_NATIONAL_BENCHMARK_DERIVED</x:v>
      </x:c>
      <x:c r="V21" s="118" t="str">
        <x:v>YES</x:v>
      </x:c>
      <x:c r="W21" s="118" t="str">
        <x:v>IMPLEMENT_CARRIER_SPLIT</x:v>
      </x:c>
      <x:c r="X21" s="119" t="b">
        <x:v>1</x:v>
      </x:c>
      <x:c r="Y21" s="118" t="str">
        <x:v>2040 existing-methane segment from prior N1 benchmark; 2050 fossil methane set to zero as remaining thermal is decarbonised.</x:v>
      </x:c>
      <x:c r="Z21" s="118" t="str">
        <x:v>Do not add on top of thermal total; this is its fuel split.</x:v>
      </x:c>
      <x:c r="AA21" s="118" t="str">
        <x:v>https://assets.rte-france.com/prod/public/2022-06/FE2050%20_Rapport%20complet_7.pdf</x:v>
      </x:c>
      <x:c r="AB21" s="127" t="str">
        <x:v>ETX-6R_COUNTRY_CLOSURE</x:v>
      </x:c>
    </x:row>
    <x:row r="22">
      <x:c r="A22" s="126" t="str">
        <x:v>FR</x:v>
      </x:c>
      <x:c r="B22" s="118" t="str">
        <x:v>France</x:v>
      </x:c>
      <x:c r="C22" s="118" t="str">
        <x:v>RTE_2026_N1_MEDIAN_DEMAND</x:v>
      </x:c>
      <x:c r="D22" s="118" t="str">
        <x:v>FR_SIMULATION_READY_NATIONAL_BENCHMARK_DERIVED</x:v>
      </x:c>
      <x:c r="E22" s="118" t="str">
        <x:v>MEM_ETX6R_FR_National_Closure_v1.2</x:v>
      </x:c>
      <x:c r="F22" s="118" t="str">
        <x:v>01_FR_CAPACITY_STACK</x:v>
      </x:c>
      <x:c r="G22" s="118" t="n">
        <x:v>22</x:v>
      </x:c>
      <x:c r="H22" s="118" t="str">
        <x:v>Hydrogen / low-carbon thermal</x:v>
      </x:c>
      <x:c r="I22" s="118" t="str">
        <x:v>thermal_h2_lowcarbon</x:v>
      </x:c>
      <x:c r="J22" s="118" t="str">
        <x:v>thermal_lowcarbon_gas_h2</x:v>
      </x:c>
      <x:c r="K22" s="118" t="str">
        <x:v>GW</x:v>
      </x:c>
      <x:c r="L22" s="143" t="n">
        <x:v>2</x:v>
      </x:c>
      <x:c r="M22" s="118" t="str">
        <x:v>RTE_PRIOR_EDITION_BENCHMARK_DERIVED</x:v>
      </x:c>
      <x:c r="N22" s="118" t="str">
        <x:v>C</x:v>
      </x:c>
      <x:c r="O22" s="118" t="str">
        <x:v>FR_RTE_FE2022_CH7+FR_RTE_FE2026</x:v>
      </x:c>
      <x:c r="P22" s="118" t="str">
        <x:v>CLOSED_NATIONAL_BENCHMARK_DERIVED</x:v>
      </x:c>
      <x:c r="Q22" s="143" t="n">
        <x:v>11.5</x:v>
      </x:c>
      <x:c r="R22" s="118" t="str">
        <x:v>RTE_PRIOR_EDITION_BENCHMARK_DERIVED</x:v>
      </x:c>
      <x:c r="S22" s="118" t="str">
        <x:v>B</x:v>
      </x:c>
      <x:c r="T22" s="118" t="str">
        <x:v>FR_RTE_FE2022_CH5+FR_RTE_FE2026</x:v>
      </x:c>
      <x:c r="U22" s="118" t="str">
        <x:v>CLOSED_NATIONAL_BENCHMARK_DERIVED</x:v>
      </x:c>
      <x:c r="V22" s="118" t="str">
        <x:v>YES</x:v>
      </x:c>
      <x:c r="W22" s="118" t="str">
        <x:v>IMPLEMENT_CARRIER_SPLIT</x:v>
      </x:c>
      <x:c r="X22" s="119" t="b">
        <x:v>1</x:v>
      </x:c>
      <x:c r="Y22" s="118" t="str">
        <x:v>Use hydrogen as Base carrier because it was the previous RTE reference technology; biomethane/e-methane/CCS stay sensitivities.</x:v>
      </x:c>
      <x:c r="Z22" s="118" t="str">
        <x:v>Fuel split of thermal total, not additional capacity.</x:v>
      </x:c>
      <x:c r="AA22" s="118" t="str">
        <x:v>https://assets.rte-france.com/prod/public/2022-06/FE2050%20_Rapport%20complet_7.pdf</x:v>
      </x:c>
      <x:c r="AB22" s="127" t="str">
        <x:v>ETX-6R_COUNTRY_CLOSURE</x:v>
      </x:c>
    </x:row>
    <x:row r="23">
      <x:c r="A23" s="126" t="str">
        <x:v>FR</x:v>
      </x:c>
      <x:c r="B23" s="118" t="str">
        <x:v>France</x:v>
      </x:c>
      <x:c r="C23" s="118" t="str">
        <x:v>RTE_2026_N1_MEDIAN_DEMAND</x:v>
      </x:c>
      <x:c r="D23" s="118" t="str">
        <x:v>FR_SIMULATION_READY_NATIONAL_BENCHMARK_DERIVED</x:v>
      </x:c>
      <x:c r="E23" s="118" t="str">
        <x:v>MEM_ETX6R_FR_National_Closure_v1.2</x:v>
      </x:c>
      <x:c r="F23" s="118" t="str">
        <x:v>01_FR_CAPACITY_STACK</x:v>
      </x:c>
      <x:c r="G23" s="118" t="n">
        <x:v>23</x:v>
      </x:c>
      <x:c r="H23" s="118" t="str">
        <x:v>Oil / gasoil peakers</x:v>
      </x:c>
      <x:c r="I23" s="118" t="str">
        <x:v>thermal_oil</x:v>
      </x:c>
      <x:c r="J23" s="118" t="str">
        <x:v>thermal_oil_liquid</x:v>
      </x:c>
      <x:c r="K23" s="118" t="str">
        <x:v>GW</x:v>
      </x:c>
      <x:c r="L23" s="143" t="n">
        <x:v>0</x:v>
      </x:c>
      <x:c r="M23" s="118" t="str">
        <x:v>RTE_PRIOR_EDITION_BENCHMARK_DERIVED</x:v>
      </x:c>
      <x:c r="N23" s="118" t="str">
        <x:v>B/C</x:v>
      </x:c>
      <x:c r="O23" s="118" t="str">
        <x:v>FR_RTE_FE2022_CH7+FR_PPE3</x:v>
      </x:c>
      <x:c r="P23" s="118" t="str">
        <x:v>CLOSED_NATIONAL_BENCHMARK_DERIVED</x:v>
      </x:c>
      <x:c r="Q23" s="143" t="n">
        <x:v>0</x:v>
      </x:c>
      <x:c r="R23" s="118" t="str">
        <x:v>RTE_PRIOR_EDITION_BENCHMARK_DERIVED</x:v>
      </x:c>
      <x:c r="S23" s="118" t="str">
        <x:v>A/B</x:v>
      </x:c>
      <x:c r="T23" s="118" t="str">
        <x:v>FR_RTE_FE2022_CH7+FR_PPE3</x:v>
      </x:c>
      <x:c r="U23" s="118" t="str">
        <x:v>CLOSED_NATIONAL_BENCHMARK_DERIVED</x:v>
      </x:c>
      <x:c r="V23" s="118" t="str">
        <x:v>YES</x:v>
      </x:c>
      <x:c r="W23" s="118" t="str">
        <x:v>IMPLEMENT_CARRIER_SPLIT</x:v>
      </x:c>
      <x:c r="X23" s="119" t="b">
        <x:v>1</x:v>
      </x:c>
      <x:c r="Y23" s="118" t="str">
        <x:v>No material other-non-renewable segment in prior N1 from 2040; policy direction is fossil exit.</x:v>
      </x:c>
      <x:c r="Z23" s="118"/>
      <x:c r="AA23" s="118" t="str">
        <x:v>https://assets.rte-france.com/prod/public/2022-06/FE2050%20_Rapport%20complet_7.pdf</x:v>
      </x:c>
      <x:c r="AB23" s="127" t="str">
        <x:v>ETX-6R_COUNTRY_CLOSURE</x:v>
      </x:c>
    </x:row>
    <x:row r="24">
      <x:c r="A24" s="126" t="str">
        <x:v>FR</x:v>
      </x:c>
      <x:c r="B24" s="118" t="str">
        <x:v>France</x:v>
      </x:c>
      <x:c r="C24" s="118" t="str">
        <x:v>RTE_2026_N1_MEDIAN_DEMAND</x:v>
      </x:c>
      <x:c r="D24" s="118" t="str">
        <x:v>FR_SIMULATION_READY_NATIONAL_BENCHMARK_DERIVED</x:v>
      </x:c>
      <x:c r="E24" s="118" t="str">
        <x:v>MEM_ETX6R_FR_National_Closure_v1.2</x:v>
      </x:c>
      <x:c r="F24" s="118" t="str">
        <x:v>01_FR_CAPACITY_STACK</x:v>
      </x:c>
      <x:c r="G24" s="118" t="n">
        <x:v>24</x:v>
      </x:c>
      <x:c r="H24" s="118" t="str">
        <x:v>Bioenergy total</x:v>
      </x:c>
      <x:c r="I24" s="118" t="str">
        <x:v>bioenergy_total</x:v>
      </x:c>
      <x:c r="J24" s="118" t="str">
        <x:v>bioenergy_biomass</x:v>
      </x:c>
      <x:c r="K24" s="118" t="str">
        <x:v>GW</x:v>
      </x:c>
      <x:c r="L24" s="143" t="n">
        <x:v>1.7</x:v>
      </x:c>
      <x:c r="M24" s="118" t="str">
        <x:v>DERIVED_FROM_OFFICIAL_COMPONENTS</x:v>
      </x:c>
      <x:c r="N24" s="118" t="str">
        <x:v>C</x:v>
      </x:c>
      <x:c r="O24" s="118" t="str">
        <x:v>FR_RTE_FE2026</x:v>
      </x:c>
      <x:c r="P24" s="118" t="str">
        <x:v>CLOSED_NATIONAL_DERIVED</x:v>
      </x:c>
      <x:c r="Q24" s="143" t="n">
        <x:v>1.3</x:v>
      </x:c>
      <x:c r="R24" s="118" t="str">
        <x:v>OFFICIAL_COMMON_TECH_ASSUMPTION</x:v>
      </x:c>
      <x:c r="S24" s="118" t="str">
        <x:v>A</x:v>
      </x:c>
      <x:c r="T24" s="118" t="str">
        <x:v>FR_RTE_FE2026</x:v>
      </x:c>
      <x:c r="U24" s="118" t="str">
        <x:v>CLOSED_NATIONAL_DIRECT</x:v>
      </x:c>
      <x:c r="V24" s="118" t="str">
        <x:v>YES</x:v>
      </x:c>
      <x:c r="W24" s="118" t="str">
        <x:v>IMPLEMENT</x:v>
      </x:c>
      <x:c r="X24" s="119" t="b">
        <x:v>1</x:v>
      </x:c>
      <x:c r="Y24" s="118" t="str">
        <x:v>RTE common assumption declines from ~2.3 GW current to 1.3 GW in 2050.</x:v>
      </x:c>
      <x:c r="Z24" s="118" t="str">
        <x:v>2040 interpolation; internal biomass/waste split is mapping.</x:v>
      </x:c>
      <x:c r="AA24" s="118" t="str">
        <x:v>https://assets.rte-france.com/prod/public/2026-04/RTE-Reactualisation-FE-2050-consultation-publique-2026-propositions-detaillees.pdf</x:v>
      </x:c>
      <x:c r="AB24" s="127" t="str">
        <x:v>ETX-6R_COUNTRY_CLOSURE</x:v>
      </x:c>
    </x:row>
    <x:row r="25">
      <x:c r="A25" s="126" t="str">
        <x:v>FR</x:v>
      </x:c>
      <x:c r="B25" s="118" t="str">
        <x:v>France</x:v>
      </x:c>
      <x:c r="C25" s="118" t="str">
        <x:v>RTE_2026_N1_MEDIAN_DEMAND</x:v>
      </x:c>
      <x:c r="D25" s="118" t="str">
        <x:v>FR_SIMULATION_READY_NATIONAL_BENCHMARK_DERIVED</x:v>
      </x:c>
      <x:c r="E25" s="118" t="str">
        <x:v>MEM_ETX6R_FR_National_Closure_v1.2</x:v>
      </x:c>
      <x:c r="F25" s="118" t="str">
        <x:v>01_FR_CAPACITY_STACK</x:v>
      </x:c>
      <x:c r="G25" s="118" t="n">
        <x:v>25</x:v>
      </x:c>
      <x:c r="H25" s="118" t="str">
        <x:v>Marine energy excl. offshore wind</x:v>
      </x:c>
      <x:c r="I25" s="118" t="str">
        <x:v>marine_other</x:v>
      </x:c>
      <x:c r="J25" s="118" t="str">
        <x:v>marine_other</x:v>
      </x:c>
      <x:c r="K25" s="118" t="str">
        <x:v>GW</x:v>
      </x:c>
      <x:c r="L25" s="143" t="n">
        <x:v>0</x:v>
      </x:c>
      <x:c r="M25" s="118" t="str">
        <x:v>SELECTED_SCENARIO_ZERO</x:v>
      </x:c>
      <x:c r="N25" s="118" t="str">
        <x:v>A/B</x:v>
      </x:c>
      <x:c r="O25" s="118" t="str">
        <x:v>FR_RTE_FE2026</x:v>
      </x:c>
      <x:c r="P25" s="118" t="str">
        <x:v>ZERO_SELECTED_SCENARIO</x:v>
      </x:c>
      <x:c r="Q25" s="143" t="n">
        <x:v>0</x:v>
      </x:c>
      <x:c r="R25" s="118" t="str">
        <x:v>SELECTED_SCENARIO_ZERO</x:v>
      </x:c>
      <x:c r="S25" s="118" t="str">
        <x:v>A/B</x:v>
      </x:c>
      <x:c r="T25" s="118" t="str">
        <x:v>FR_RTE_FE2026</x:v>
      </x:c>
      <x:c r="U25" s="118" t="str">
        <x:v>ZERO_SELECTED_SCENARIO</x:v>
      </x:c>
      <x:c r="V25" s="118" t="str">
        <x:v>YES</x:v>
      </x:c>
      <x:c r="W25" s="118" t="str">
        <x:v>IMPLEMENT</x:v>
      </x:c>
      <x:c r="X25" s="119" t="b">
        <x:v>1</x:v>
      </x:c>
      <x:c r="Y25" s="118" t="str">
        <x:v>N1 has no marine-energy build.</x:v>
      </x:c>
      <x:c r="Z25" s="118"/>
      <x:c r="AA25" s="118" t="str">
        <x:v>https://assets.rte-france.com/prod/public/2026-04/RTE-Reactualisation-FE-2050-consultation-publique-2026-propositions-detaillees.pdf</x:v>
      </x:c>
      <x:c r="AB25" s="127" t="str">
        <x:v>ETX-6R_COUNTRY_CLOSURE</x:v>
      </x:c>
    </x:row>
    <x:row r="26">
      <x:c r="A26" s="126" t="str">
        <x:v>FR</x:v>
      </x:c>
      <x:c r="B26" s="118" t="str">
        <x:v>France</x:v>
      </x:c>
      <x:c r="C26" s="118" t="str">
        <x:v>RTE_2026_N1_MEDIAN_DEMAND</x:v>
      </x:c>
      <x:c r="D26" s="118" t="str">
        <x:v>FR_SIMULATION_READY_NATIONAL_BENCHMARK_DERIVED</x:v>
      </x:c>
      <x:c r="E26" s="118" t="str">
        <x:v>MEM_ETX6R_FR_National_Closure_v1.2</x:v>
      </x:c>
      <x:c r="F26" s="118" t="str">
        <x:v>01_FR_CAPACITY_STACK</x:v>
      </x:c>
      <x:c r="G26" s="118" t="n">
        <x:v>26</x:v>
      </x:c>
      <x:c r="H26" s="118" t="str">
        <x:v>Geothermal electricity</x:v>
      </x:c>
      <x:c r="I26" s="118" t="str">
        <x:v>geothermal</x:v>
      </x:c>
      <x:c r="J26" s="118" t="str">
        <x:v>geothermal</x:v>
      </x:c>
      <x:c r="K26" s="118" t="str">
        <x:v>GW</x:v>
      </x:c>
      <x:c r="L26" s="143" t="n">
        <x:v>0</x:v>
      </x:c>
      <x:c r="M26" s="118" t="str">
        <x:v>OFFICIAL_COMMON_TECH_ASSUMPTION</x:v>
      </x:c>
      <x:c r="N26" s="118" t="str">
        <x:v>A</x:v>
      </x:c>
      <x:c r="O26" s="118" t="str">
        <x:v>FR_RTE_FE2026</x:v>
      </x:c>
      <x:c r="P26" s="118" t="str">
        <x:v>ZERO_NATIONAL_ASSUMPTION</x:v>
      </x:c>
      <x:c r="Q26" s="143" t="n">
        <x:v>0</x:v>
      </x:c>
      <x:c r="R26" s="118" t="str">
        <x:v>OFFICIAL_COMMON_TECH_ASSUMPTION</x:v>
      </x:c>
      <x:c r="S26" s="118" t="str">
        <x:v>A</x:v>
      </x:c>
      <x:c r="T26" s="118" t="str">
        <x:v>FR_RTE_FE2026</x:v>
      </x:c>
      <x:c r="U26" s="118" t="str">
        <x:v>ZERO_NATIONAL_ASSUMPTION</x:v>
      </x:c>
      <x:c r="V26" s="118" t="str">
        <x:v>YES</x:v>
      </x:c>
      <x:c r="W26" s="118" t="str">
        <x:v>IMPLEMENT</x:v>
      </x:c>
      <x:c r="X26" s="119" t="b">
        <x:v>1</x:v>
      </x:c>
      <x:c r="Y26" s="118" t="str">
        <x:v>No significant metropolitan geothermal-electric volume in RTE assumptions.</x:v>
      </x:c>
      <x:c r="Z26" s="118"/>
      <x:c r="AA26" s="118" t="str">
        <x:v>https://assets.rte-france.com/prod/public/2026-04/RTE-Reactualisation-FE-2050-consultation-publique-2026-propositions-detaillees.pdf</x:v>
      </x:c>
      <x:c r="AB26" s="127" t="str">
        <x:v>ETX-6R_COUNTRY_CLOSURE</x:v>
      </x:c>
    </x:row>
    <x:row r="27">
      <x:c r="A27" s="126" t="str">
        <x:v>CH</x:v>
      </x:c>
      <x:c r="B27" s="118" t="str">
        <x:v>Switzerland</x:v>
      </x:c>
      <x:c r="C27" s="118" t="str">
        <x:v>CH_ZERO_BASIS</x:v>
      </x:c>
      <x:c r="D27" s="118" t="str">
        <x:v>CH_SIMULATION_READY_NATIONAL_DERIVED</x:v>
      </x:c>
      <x:c r="E27" s="118" t="str">
        <x:v>MEM_ETX6R_CH_National_Closure_v1.0</x:v>
      </x:c>
      <x:c r="F27" s="118" t="str">
        <x:v>01_CH_CAPACITY_STACK</x:v>
      </x:c>
      <x:c r="G27" s="118" t="n">
        <x:v>5</x:v>
      </x:c>
      <x:c r="H27" s="118" t="str">
        <x:v>Annual electricity demand</x:v>
      </x:c>
      <x:c r="I27" s="118" t="str">
        <x:v>load</x:v>
      </x:c>
      <x:c r="J27" s="118" t="str">
        <x:v>demand</x:v>
      </x:c>
      <x:c r="K27" s="118" t="str">
        <x:v>TWh</x:v>
      </x:c>
      <x:c r="L27" s="143" t="n">
        <x:v>71.5</x:v>
      </x:c>
      <x:c r="M27" s="118" t="str">
        <x:v>OFFICIAL_SCENARIO_INPUT</x:v>
      </x:c>
      <x:c r="N27" s="118" t="str">
        <x:v>A</x:v>
      </x:c>
      <x:c r="O27" s="118" t="str">
        <x:v>CH_EP2050_SUMMARY</x:v>
      </x:c>
      <x:c r="P27" s="118" t="str">
        <x:v>CLOSED_NATIONAL_DIRECT</x:v>
      </x:c>
      <x:c r="Q27" s="143" t="n">
        <x:v>76</x:v>
      </x:c>
      <x:c r="R27" s="118" t="str">
        <x:v>OFFICIAL_SCENARIO_INPUT</x:v>
      </x:c>
      <x:c r="S27" s="118" t="str">
        <x:v>A</x:v>
      </x:c>
      <x:c r="T27" s="118" t="str">
        <x:v>CH_EP2050_SUMMARY</x:v>
      </x:c>
      <x:c r="U27" s="118" t="str">
        <x:v>CLOSED_NATIONAL_DIRECT</x:v>
      </x:c>
      <x:c r="V27" s="118" t="str">
        <x:v>YES</x:v>
      </x:c>
      <x:c r="W27" s="118" t="str">
        <x:v>IMPLEMENT</x:v>
      </x:c>
      <x:c r="X27" s="119" t="b">
        <x:v>1</x:v>
      </x:c>
      <x:c r="Y27" s="118" t="str">
        <x:v>Use Landesverbrauch: end-use + losses + transformation-sector electricity uses, excluding storage-pump consumption.</x:v>
      </x:c>
      <x:c r="Z27" s="118" t="str">
        <x:v>Scale the 2019-climate hourly load profile to these annual totals.</x:v>
      </x:c>
      <x:c r="AA27" s="118" t="str">
        <x:v>https://pubdb.bfe.admin.ch/de/publication/download/10320</x:v>
      </x:c>
      <x:c r="AB27" s="127" t="str">
        <x:v>ETX-6R_COUNTRY_CLOSURE</x:v>
      </x:c>
    </x:row>
    <x:row r="28">
      <x:c r="A28" s="126" t="str">
        <x:v>CH</x:v>
      </x:c>
      <x:c r="B28" s="118" t="str">
        <x:v>Switzerland</x:v>
      </x:c>
      <x:c r="C28" s="118" t="str">
        <x:v>CH_ZERO_BASIS</x:v>
      </x:c>
      <x:c r="D28" s="118" t="str">
        <x:v>CH_SIMULATION_READY_NATIONAL_DERIVED</x:v>
      </x:c>
      <x:c r="E28" s="118" t="str">
        <x:v>MEM_ETX6R_CH_National_Closure_v1.0</x:v>
      </x:c>
      <x:c r="F28" s="118" t="str">
        <x:v>01_CH_CAPACITY_STACK</x:v>
      </x:c>
      <x:c r="G28" s="118" t="n">
        <x:v>6</x:v>
      </x:c>
      <x:c r="H28" s="118" t="str">
        <x:v>Nuclear</x:v>
      </x:c>
      <x:c r="I28" s="118" t="str">
        <x:v>nuclear</x:v>
      </x:c>
      <x:c r="J28" s="118" t="str">
        <x:v>nuclear</x:v>
      </x:c>
      <x:c r="K28" s="118" t="str">
        <x:v>GW</x:v>
      </x:c>
      <x:c r="L28" s="143" t="n">
        <x:v>0</x:v>
      </x:c>
      <x:c r="M28" s="118" t="str">
        <x:v>OFFICIAL_SCENARIO_INPUT</x:v>
      </x:c>
      <x:c r="N28" s="118" t="str">
        <x:v>A</x:v>
      </x:c>
      <x:c r="O28" s="118" t="str">
        <x:v>CH_EP2050_SHORT</x:v>
      </x:c>
      <x:c r="P28" s="118" t="str">
        <x:v>ZERO_SELECTED_SCENARIO</x:v>
      </x:c>
      <x:c r="Q28" s="143" t="n">
        <x:v>0</x:v>
      </x:c>
      <x:c r="R28" s="118" t="str">
        <x:v>OFFICIAL_SCENARIO_INPUT</x:v>
      </x:c>
      <x:c r="S28" s="118" t="str">
        <x:v>A</x:v>
      </x:c>
      <x:c r="T28" s="118" t="str">
        <x:v>CH_EP2050_SHORT</x:v>
      </x:c>
      <x:c r="U28" s="118" t="str">
        <x:v>ZERO_SELECTED_SCENARIO</x:v>
      </x:c>
      <x:c r="V28" s="118" t="str">
        <x:v>YES</x:v>
      </x:c>
      <x:c r="W28" s="118" t="str">
        <x:v>IMPLEMENT</x:v>
      </x:c>
      <x:c r="X28" s="119" t="b">
        <x:v>1</x:v>
      </x:c>
      <x:c r="Y28" s="118" t="str">
        <x:v>ZERO Basis has no nuclear capacity from 2035 onward.</x:v>
      </x:c>
      <x:c r="Z28" s="118" t="str">
        <x:v>Explicit zero.</x:v>
      </x:c>
      <x:c r="AA28" s="118" t="str">
        <x:v>https://pubdb.bfe.admin.ch/de/publication/download/10323</x:v>
      </x:c>
      <x:c r="AB28" s="127" t="str">
        <x:v>ETX-6R_COUNTRY_CLOSURE</x:v>
      </x:c>
    </x:row>
    <x:row r="29">
      <x:c r="A29" s="126" t="str">
        <x:v>CH</x:v>
      </x:c>
      <x:c r="B29" s="118" t="str">
        <x:v>Switzerland</x:v>
      </x:c>
      <x:c r="C29" s="118" t="str">
        <x:v>CH_ZERO_BASIS</x:v>
      </x:c>
      <x:c r="D29" s="118" t="str">
        <x:v>CH_SIMULATION_READY_NATIONAL_DERIVED</x:v>
      </x:c>
      <x:c r="E29" s="118" t="str">
        <x:v>MEM_ETX6R_CH_National_Closure_v1.0</x:v>
      </x:c>
      <x:c r="F29" s="118" t="str">
        <x:v>01_CH_CAPACITY_STACK</x:v>
      </x:c>
      <x:c r="G29" s="118" t="n">
        <x:v>7</x:v>
      </x:c>
      <x:c r="H29" s="118" t="str">
        <x:v>Coal / lignite</x:v>
      </x:c>
      <x:c r="I29" s="118" t="str">
        <x:v>coal_lignite</x:v>
      </x:c>
      <x:c r="J29" s="118" t="str">
        <x:v>coal_lignite</x:v>
      </x:c>
      <x:c r="K29" s="118" t="str">
        <x:v>GW</x:v>
      </x:c>
      <x:c r="L29" s="143" t="n">
        <x:v>0</x:v>
      </x:c>
      <x:c r="M29" s="118" t="str">
        <x:v>SELECTED_SCENARIO_ZERO</x:v>
      </x:c>
      <x:c r="N29" s="118" t="str">
        <x:v>A/B</x:v>
      </x:c>
      <x:c r="O29" s="118" t="str">
        <x:v>CH_EP2050_SHORT</x:v>
      </x:c>
      <x:c r="P29" s="118" t="str">
        <x:v>ZERO_SELECTED_SCENARIO</x:v>
      </x:c>
      <x:c r="Q29" s="143" t="n">
        <x:v>0</x:v>
      </x:c>
      <x:c r="R29" s="118" t="str">
        <x:v>SELECTED_SCENARIO_ZERO</x:v>
      </x:c>
      <x:c r="S29" s="118" t="str">
        <x:v>A/B</x:v>
      </x:c>
      <x:c r="T29" s="118" t="str">
        <x:v>CH_EP2050_SHORT</x:v>
      </x:c>
      <x:c r="U29" s="118" t="str">
        <x:v>ZERO_SELECTED_SCENARIO</x:v>
      </x:c>
      <x:c r="V29" s="118" t="str">
        <x:v>YES</x:v>
      </x:c>
      <x:c r="W29" s="118" t="str">
        <x:v>IMPLEMENT</x:v>
      </x:c>
      <x:c r="X29" s="119" t="b">
        <x:v>1</x:v>
      </x:c>
      <x:c r="Y29" s="118" t="str">
        <x:v>No coal/lignite generation fleet is present in the selected Swiss ZERO-Basis stack.</x:v>
      </x:c>
      <x:c r="Z29" s="118" t="str">
        <x:v>Explicit zero for canonical taxonomy.</x:v>
      </x:c>
      <x:c r="AA29" s="118" t="str">
        <x:v>https://pubdb.bfe.admin.ch/de/publication/download/10323</x:v>
      </x:c>
      <x:c r="AB29" s="127" t="str">
        <x:v>ETX-6R_COUNTRY_CLOSURE</x:v>
      </x:c>
    </x:row>
    <x:row r="30">
      <x:c r="A30" s="126" t="str">
        <x:v>CH</x:v>
      </x:c>
      <x:c r="B30" s="118" t="str">
        <x:v>Switzerland</x:v>
      </x:c>
      <x:c r="C30" s="118" t="str">
        <x:v>CH_ZERO_BASIS</x:v>
      </x:c>
      <x:c r="D30" s="118" t="str">
        <x:v>CH_SIMULATION_READY_NATIONAL_DERIVED</x:v>
      </x:c>
      <x:c r="E30" s="118" t="str">
        <x:v>MEM_ETX6R_CH_National_Closure_v1.0</x:v>
      </x:c>
      <x:c r="F30" s="118" t="str">
        <x:v>01_CH_CAPACITY_STACK</x:v>
      </x:c>
      <x:c r="G30" s="118" t="n">
        <x:v>8</x:v>
      </x:c>
      <x:c r="H30" s="118" t="str">
        <x:v>Oil / gasoil generation</x:v>
      </x:c>
      <x:c r="I30" s="118" t="str">
        <x:v>thermal_oil</x:v>
      </x:c>
      <x:c r="J30" s="118" t="str">
        <x:v>thermal_oil_liquid</x:v>
      </x:c>
      <x:c r="K30" s="118" t="str">
        <x:v>GW</x:v>
      </x:c>
      <x:c r="L30" s="143" t="n">
        <x:v>0</x:v>
      </x:c>
      <x:c r="M30" s="118" t="str">
        <x:v>SELECTED_SCENARIO_ZERO</x:v>
      </x:c>
      <x:c r="N30" s="118" t="str">
        <x:v>B</x:v>
      </x:c>
      <x:c r="O30" s="118" t="str">
        <x:v>CH_STORAGE_2025</x:v>
      </x:c>
      <x:c r="P30" s="118" t="str">
        <x:v>ZERO_SELECTED_SCENARIO</x:v>
      </x:c>
      <x:c r="Q30" s="143" t="n">
        <x:v>0</x:v>
      </x:c>
      <x:c r="R30" s="118" t="str">
        <x:v>SELECTED_SCENARIO_ZERO</x:v>
      </x:c>
      <x:c r="S30" s="118" t="str">
        <x:v>B</x:v>
      </x:c>
      <x:c r="T30" s="118" t="str">
        <x:v>CH_STORAGE_2025</x:v>
      </x:c>
      <x:c r="U30" s="118" t="str">
        <x:v>ZERO_SELECTED_SCENARIO</x:v>
      </x:c>
      <x:c r="V30" s="118" t="str">
        <x:v>YES</x:v>
      </x:c>
      <x:c r="W30" s="118" t="str">
        <x:v>IMPLEMENT</x:v>
      </x:c>
      <x:c r="X30" s="119" t="b">
        <x:v>1</x:v>
      </x:c>
      <x:c r="Y30" s="118" t="str">
        <x:v>No oil-fired generation investment is required in the BFE Base; oil only appears as a crisis-reserve option in sensitivity analysis.</x:v>
      </x:c>
      <x:c r="Z30" s="118" t="str">
        <x:v>Explicit zero in the regular Base.</x:v>
      </x:c>
      <x:c r="AA30" s="118" t="str">
        <x:v>https://pubdb.bfe.admin.ch/de/publication/download/12392</x:v>
      </x:c>
      <x:c r="AB30" s="127" t="str">
        <x:v>ETX-6R_COUNTRY_CLOSURE</x:v>
      </x:c>
    </x:row>
    <x:row r="31">
      <x:c r="A31" s="126" t="str">
        <x:v>CH</x:v>
      </x:c>
      <x:c r="B31" s="118" t="str">
        <x:v>Switzerland</x:v>
      </x:c>
      <x:c r="C31" s="118" t="str">
        <x:v>CH_ZERO_BASIS</x:v>
      </x:c>
      <x:c r="D31" s="118" t="str">
        <x:v>CH_SIMULATION_READY_NATIONAL_DERIVED</x:v>
      </x:c>
      <x:c r="E31" s="118" t="str">
        <x:v>MEM_ETX6R_CH_National_Closure_v1.0</x:v>
      </x:c>
      <x:c r="F31" s="118" t="str">
        <x:v>01_CH_CAPACITY_STACK</x:v>
      </x:c>
      <x:c r="G31" s="118" t="n">
        <x:v>9</x:v>
      </x:c>
      <x:c r="H31" s="118" t="str">
        <x:v>Dedicated backup gas / H2 turbines</x:v>
      </x:c>
      <x:c r="I31" s="118" t="str">
        <x:v>thermal_backup</x:v>
      </x:c>
      <x:c r="J31" s="118" t="str">
        <x:v>thermal_backup_other</x:v>
      </x:c>
      <x:c r="K31" s="118" t="str">
        <x:v>GW</x:v>
      </x:c>
      <x:c r="L31" s="143" t="n">
        <x:v>0</x:v>
      </x:c>
      <x:c r="M31" s="118" t="str">
        <x:v>SELECTED_SCENARIO_ZERO</x:v>
      </x:c>
      <x:c r="N31" s="118" t="str">
        <x:v>A/B</x:v>
      </x:c>
      <x:c r="O31" s="118" t="str">
        <x:v>CH_WINTERSTROM</x:v>
      </x:c>
      <x:c r="P31" s="118" t="str">
        <x:v>ZERO_SELECTED_SCENARIO</x:v>
      </x:c>
      <x:c r="Q31" s="143" t="n">
        <x:v>0</x:v>
      </x:c>
      <x:c r="R31" s="118" t="str">
        <x:v>SELECTED_SCENARIO_ZERO</x:v>
      </x:c>
      <x:c r="S31" s="118" t="str">
        <x:v>A/B</x:v>
      </x:c>
      <x:c r="T31" s="118" t="str">
        <x:v>CH_WINTERSTROM</x:v>
      </x:c>
      <x:c r="U31" s="118" t="str">
        <x:v>ZERO_SELECTED_SCENARIO</x:v>
      </x:c>
      <x:c r="V31" s="118" t="str">
        <x:v>YES</x:v>
      </x:c>
      <x:c r="W31" s="118" t="str">
        <x:v>IMPLEMENT</x:v>
      </x:c>
      <x:c r="X31" s="119" t="b">
        <x:v>1</x:v>
      </x:c>
      <x:c r="Y31" s="118" t="str">
        <x:v>ZERO Basis needs no dedicated backup plants; the 2.5 GW gas-turbine build belongs to ZERO B, not the selected Base.</x:v>
      </x:c>
      <x:c r="Z31" s="118" t="str">
        <x:v>CHP/other thermal capacity is represented separately below.</x:v>
      </x:c>
      <x:c r="AA31" s="118" t="str">
        <x:v>https://pubdb.bfe.admin.ch/de/publication/download/10641</x:v>
      </x:c>
      <x:c r="AB31" s="127" t="str">
        <x:v>ETX-6R_COUNTRY_CLOSURE</x:v>
      </x:c>
    </x:row>
    <x:row r="32">
      <x:c r="A32" s="126" t="str">
        <x:v>CH</x:v>
      </x:c>
      <x:c r="B32" s="118" t="str">
        <x:v>Switzerland</x:v>
      </x:c>
      <x:c r="C32" s="118" t="str">
        <x:v>CH_ZERO_BASIS</x:v>
      </x:c>
      <x:c r="D32" s="118" t="str">
        <x:v>CH_SIMULATION_READY_NATIONAL_DERIVED</x:v>
      </x:c>
      <x:c r="E32" s="118" t="str">
        <x:v>MEM_ETX6R_CH_National_Closure_v1.0</x:v>
      </x:c>
      <x:c r="F32" s="118" t="str">
        <x:v>01_CH_CAPACITY_STACK</x:v>
      </x:c>
      <x:c r="G32" s="118" t="n">
        <x:v>10</x:v>
      </x:c>
      <x:c r="H32" s="118" t="str">
        <x:v>Solar PV</x:v>
      </x:c>
      <x:c r="I32" s="118" t="str">
        <x:v>solar</x:v>
      </x:c>
      <x:c r="J32" s="118" t="str">
        <x:v>solar_pv</x:v>
      </x:c>
      <x:c r="K32" s="118" t="str">
        <x:v>GW</x:v>
      </x:c>
      <x:c r="L32" s="143" t="n">
        <x:v>24.07</x:v>
      </x:c>
      <x:c r="M32" s="118" t="str">
        <x:v>OFFICIAL_SCENARIO_INPUT</x:v>
      </x:c>
      <x:c r="N32" s="118" t="str">
        <x:v>A</x:v>
      </x:c>
      <x:c r="O32" s="118" t="str">
        <x:v>CH_SZR_2040</x:v>
      </x:c>
      <x:c r="P32" s="118" t="str">
        <x:v>CLOSED_NATIONAL_DIRECT</x:v>
      </x:c>
      <x:c r="Q32" s="143" t="n">
        <x:v>37.5</x:v>
      </x:c>
      <x:c r="R32" s="118" t="str">
        <x:v>OFFICIAL_SCENARIO_INPUT</x:v>
      </x:c>
      <x:c r="S32" s="118" t="str">
        <x:v>A</x:v>
      </x:c>
      <x:c r="T32" s="118" t="str">
        <x:v>CH_EP2050_SHORT</x:v>
      </x:c>
      <x:c r="U32" s="118" t="str">
        <x:v>CLOSED_NATIONAL_DIRECT</x:v>
      </x:c>
      <x:c r="V32" s="118" t="str">
        <x:v>YES</x:v>
      </x:c>
      <x:c r="W32" s="118" t="str">
        <x:v>IMPLEMENT</x:v>
      </x:c>
      <x:c r="X32" s="119" t="b">
        <x:v>1</x:v>
      </x:c>
      <x:c r="Y32" s="118" t="str">
        <x:v>Scenario-1 grid-planning value in 2040; direct ZERO-Basis endpoint in 2050.</x:v>
      </x:c>
      <x:c r="Z32" s="118"/>
      <x:c r="AA32" s="118" t="str">
        <x:v>https://pubdb.bfe.admin.ch/de/publication/download/10749</x:v>
      </x:c>
      <x:c r="AB32" s="127" t="str">
        <x:v>ETX-6R_COUNTRY_CLOSURE</x:v>
      </x:c>
    </x:row>
    <x:row r="33">
      <x:c r="A33" s="126" t="str">
        <x:v>CH</x:v>
      </x:c>
      <x:c r="B33" s="118" t="str">
        <x:v>Switzerland</x:v>
      </x:c>
      <x:c r="C33" s="118" t="str">
        <x:v>CH_ZERO_BASIS</x:v>
      </x:c>
      <x:c r="D33" s="118" t="str">
        <x:v>CH_SIMULATION_READY_NATIONAL_DERIVED</x:v>
      </x:c>
      <x:c r="E33" s="118" t="str">
        <x:v>MEM_ETX6R_CH_National_Closure_v1.0</x:v>
      </x:c>
      <x:c r="F33" s="118" t="str">
        <x:v>01_CH_CAPACITY_STACK</x:v>
      </x:c>
      <x:c r="G33" s="118" t="n">
        <x:v>11</x:v>
      </x:c>
      <x:c r="H33" s="118" t="str">
        <x:v>Onshore wind</x:v>
      </x:c>
      <x:c r="I33" s="118" t="str">
        <x:v>onwind</x:v>
      </x:c>
      <x:c r="J33" s="118" t="str">
        <x:v>wind_onshore</x:v>
      </x:c>
      <x:c r="K33" s="118" t="str">
        <x:v>GW</x:v>
      </x:c>
      <x:c r="L33" s="143" t="n">
        <x:v>1.15</x:v>
      </x:c>
      <x:c r="M33" s="118" t="str">
        <x:v>OFFICIAL_SCENARIO_INPUT</x:v>
      </x:c>
      <x:c r="N33" s="118" t="str">
        <x:v>A</x:v>
      </x:c>
      <x:c r="O33" s="118" t="str">
        <x:v>CH_SZR_2040</x:v>
      </x:c>
      <x:c r="P33" s="118" t="str">
        <x:v>CLOSED_NATIONAL_DIRECT</x:v>
      </x:c>
      <x:c r="Q33" s="143" t="n">
        <x:v>2.2</x:v>
      </x:c>
      <x:c r="R33" s="118" t="str">
        <x:v>OFFICIAL_SCENARIO_INPUT</x:v>
      </x:c>
      <x:c r="S33" s="118" t="str">
        <x:v>A</x:v>
      </x:c>
      <x:c r="T33" s="118" t="str">
        <x:v>CH_EP2050_SHORT</x:v>
      </x:c>
      <x:c r="U33" s="118" t="str">
        <x:v>CLOSED_NATIONAL_DIRECT</x:v>
      </x:c>
      <x:c r="V33" s="118" t="str">
        <x:v>YES</x:v>
      </x:c>
      <x:c r="W33" s="118" t="str">
        <x:v>IMPLEMENT</x:v>
      </x:c>
      <x:c r="X33" s="119" t="b">
        <x:v>1</x:v>
      </x:c>
      <x:c r="Y33" s="118" t="str">
        <x:v>Scenario-1 grid-planning value in 2040; direct ZERO-Basis endpoint in 2050.</x:v>
      </x:c>
      <x:c r="Z33" s="118"/>
      <x:c r="AA33" s="118" t="str">
        <x:v>https://pubdb.bfe.admin.ch/de/publication/download/10749</x:v>
      </x:c>
      <x:c r="AB33" s="127" t="str">
        <x:v>ETX-6R_COUNTRY_CLOSURE</x:v>
      </x:c>
    </x:row>
    <x:row r="34">
      <x:c r="A34" s="126" t="str">
        <x:v>CH</x:v>
      </x:c>
      <x:c r="B34" s="118" t="str">
        <x:v>Switzerland</x:v>
      </x:c>
      <x:c r="C34" s="118" t="str">
        <x:v>CH_ZERO_BASIS</x:v>
      </x:c>
      <x:c r="D34" s="118" t="str">
        <x:v>CH_SIMULATION_READY_NATIONAL_DERIVED</x:v>
      </x:c>
      <x:c r="E34" s="118" t="str">
        <x:v>MEM_ETX6R_CH_National_Closure_v1.0</x:v>
      </x:c>
      <x:c r="F34" s="118" t="str">
        <x:v>01_CH_CAPACITY_STACK</x:v>
      </x:c>
      <x:c r="G34" s="118" t="n">
        <x:v>12</x:v>
      </x:c>
      <x:c r="H34" s="118" t="str">
        <x:v>Hydro total</x:v>
      </x:c>
      <x:c r="I34" s="118" t="str">
        <x:v>hydro_total</x:v>
      </x:c>
      <x:c r="J34" s="118" t="str">
        <x:v>hydro_total</x:v>
      </x:c>
      <x:c r="K34" s="118" t="str">
        <x:v>GW</x:v>
      </x:c>
      <x:c r="L34" s="143" t="n">
        <x:v>19.26</x:v>
      </x:c>
      <x:c r="M34" s="118" t="str">
        <x:v>OFFICIAL_SCENARIO_INPUT</x:v>
      </x:c>
      <x:c r="N34" s="118" t="str">
        <x:v>A</x:v>
      </x:c>
      <x:c r="O34" s="118" t="str">
        <x:v>CH_SZR_2040</x:v>
      </x:c>
      <x:c r="P34" s="118" t="str">
        <x:v>QA_CONTROL_ONLY</x:v>
      </x:c>
      <x:c r="Q34" s="143" t="n">
        <x:v>20</x:v>
      </x:c>
      <x:c r="R34" s="118" t="str">
        <x:v>OFFICIAL_SCENARIO_INPUT</x:v>
      </x:c>
      <x:c r="S34" s="118" t="str">
        <x:v>A</x:v>
      </x:c>
      <x:c r="T34" s="118" t="str">
        <x:v>CH_EP2050_SHORT</x:v>
      </x:c>
      <x:c r="U34" s="118" t="str">
        <x:v>QA_CONTROL_ONLY</x:v>
      </x:c>
      <x:c r="V34" s="118" t="str">
        <x:v>QA ONLY</x:v>
      </x:c>
      <x:c r="W34" s="118" t="str">
        <x:v>QA_CONTROL_ONLY</x:v>
      </x:c>
      <x:c r="X34" s="119" t="b">
        <x:v>0</x:v>
      </x:c>
      <x:c r="Y34" s="118" t="str">
        <x:v>Direct national total used to reconcile detailed hydro categories.</x:v>
      </x:c>
      <x:c r="Z34" s="118" t="str">
        <x:v>Do not create a separate hydro asset from this row.</x:v>
      </x:c>
      <x:c r="AA34" s="118" t="str">
        <x:v>https://pubdb.bfe.admin.ch/de/publication/download/10323</x:v>
      </x:c>
      <x:c r="AB34" s="127" t="str">
        <x:v>ETX-6R_COUNTRY_CLOSURE</x:v>
      </x:c>
    </x:row>
    <x:row r="35">
      <x:c r="A35" s="126" t="str">
        <x:v>CH</x:v>
      </x:c>
      <x:c r="B35" s="118" t="str">
        <x:v>Switzerland</x:v>
      </x:c>
      <x:c r="C35" s="118" t="str">
        <x:v>CH_ZERO_BASIS</x:v>
      </x:c>
      <x:c r="D35" s="118" t="str">
        <x:v>CH_SIMULATION_READY_NATIONAL_DERIVED</x:v>
      </x:c>
      <x:c r="E35" s="118" t="str">
        <x:v>MEM_ETX6R_CH_National_Closure_v1.0</x:v>
      </x:c>
      <x:c r="F35" s="118" t="str">
        <x:v>01_CH_CAPACITY_STACK</x:v>
      </x:c>
      <x:c r="G35" s="118" t="n">
        <x:v>13</x:v>
      </x:c>
      <x:c r="H35" s="118" t="str">
        <x:v>Run-of-river hydro</x:v>
      </x:c>
      <x:c r="I35" s="118" t="str">
        <x:v>ror_hydro</x:v>
      </x:c>
      <x:c r="J35" s="118" t="str">
        <x:v>hydro_non_phs</x:v>
      </x:c>
      <x:c r="K35" s="118" t="str">
        <x:v>GW</x:v>
      </x:c>
      <x:c r="L35" s="143" t="n">
        <x:v>3.35</x:v>
      </x:c>
      <x:c r="M35" s="118" t="str">
        <x:v>OFFICIAL_SCENARIO_INPUT</x:v>
      </x:c>
      <x:c r="N35" s="118" t="str">
        <x:v>A</x:v>
      </x:c>
      <x:c r="O35" s="118" t="str">
        <x:v>CH_SZR_2040</x:v>
      </x:c>
      <x:c r="P35" s="118" t="str">
        <x:v>CLOSED_NATIONAL_DIRECT</x:v>
      </x:c>
      <x:c r="Q35" s="143" t="n">
        <x:v>3.4479117479443135</x:v>
      </x:c>
      <x:c r="R35" s="118" t="str">
        <x:v>DERIVED_FROM_OFFICIAL_COMPONENTS</x:v>
      </x:c>
      <x:c r="S35" s="118" t="str">
        <x:v>B/C</x:v>
      </x:c>
      <x:c r="T35" s="118" t="str">
        <x:v>CH_EP2050_SHORT+CH_WINTERSTROM</x:v>
      </x:c>
      <x:c r="U35" s="118" t="str">
        <x:v>CLOSED_NATIONAL_DERIVED</x:v>
      </x:c>
      <x:c r="V35" s="118" t="str">
        <x:v>YES</x:v>
      </x:c>
      <x:c r="W35" s="118" t="str">
        <x:v>IMPLEMENT</x:v>
      </x:c>
      <x:c r="X35" s="119" t="b">
        <x:v>1</x:v>
      </x:c>
      <x:c r="Y35" s="118" t="str">
        <x:v>2040 direct. 2050 derived from official 2040 capacity and 2040→2050 generation evolution, then normalized to the direct 20 GW total after reservoir/PHS controls.</x:v>
      </x:c>
      <x:c r="Z35" s="118" t="str">
        <x:v>See CH-D12 to CH-D16.</x:v>
      </x:c>
      <x:c r="AA35" s="118" t="str">
        <x:v>https://pubdb.bfe.admin.ch/de/publication/download/10749</x:v>
      </x:c>
      <x:c r="AB35" s="127" t="str">
        <x:v>ETX-6R_COUNTRY_CLOSURE</x:v>
      </x:c>
    </x:row>
    <x:row r="36">
      <x:c r="A36" s="126" t="str">
        <x:v>CH</x:v>
      </x:c>
      <x:c r="B36" s="118" t="str">
        <x:v>Switzerland</x:v>
      </x:c>
      <x:c r="C36" s="118" t="str">
        <x:v>CH_ZERO_BASIS</x:v>
      </x:c>
      <x:c r="D36" s="118" t="str">
        <x:v>CH_SIMULATION_READY_NATIONAL_DERIVED</x:v>
      </x:c>
      <x:c r="E36" s="118" t="str">
        <x:v>MEM_ETX6R_CH_National_Closure_v1.0</x:v>
      </x:c>
      <x:c r="F36" s="118" t="str">
        <x:v>01_CH_CAPACITY_STACK</x:v>
      </x:c>
      <x:c r="G36" s="118" t="n">
        <x:v>14</x:v>
      </x:c>
      <x:c r="H36" s="118" t="str">
        <x:v>Reservoir hydro</x:v>
      </x:c>
      <x:c r="I36" s="118" t="str">
        <x:v>reservoir_hydro</x:v>
      </x:c>
      <x:c r="J36" s="118" t="str">
        <x:v>hydro_non_phs</x:v>
      </x:c>
      <x:c r="K36" s="118" t="str">
        <x:v>GW</x:v>
      </x:c>
      <x:c r="L36" s="143" t="n">
        <x:v>8.93</x:v>
      </x:c>
      <x:c r="M36" s="118" t="str">
        <x:v>OFFICIAL_SCENARIO_INPUT</x:v>
      </x:c>
      <x:c r="N36" s="118" t="str">
        <x:v>A</x:v>
      </x:c>
      <x:c r="O36" s="118" t="str">
        <x:v>CH_SZR_2040</x:v>
      </x:c>
      <x:c r="P36" s="118" t="str">
        <x:v>CLOSED_NATIONAL_DIRECT</x:v>
      </x:c>
      <x:c r="Q36" s="143" t="n">
        <x:v>9.1</x:v>
      </x:c>
      <x:c r="R36" s="118" t="str">
        <x:v>OFFICIAL_CHART_CONTROL</x:v>
      </x:c>
      <x:c r="S36" s="118" t="str">
        <x:v>C</x:v>
      </x:c>
      <x:c r="T36" s="118" t="str">
        <x:v>CH_WINTERSTROM</x:v>
      </x:c>
      <x:c r="U36" s="118" t="str">
        <x:v>CLOSED_NATIONAL_DIRECT</x:v>
      </x:c>
      <x:c r="V36" s="118" t="str">
        <x:v>YES</x:v>
      </x:c>
      <x:c r="W36" s="118" t="str">
        <x:v>IMPLEMENT</x:v>
      </x:c>
      <x:c r="X36" s="119" t="b">
        <x:v>1</x:v>
      </x:c>
      <x:c r="Y36" s="118" t="str">
        <x:v>2040 direct. BFE Winterstrom places reservoir hydro just above 9 GW by 2050; 9.1 GW is the rounded chart control.</x:v>
      </x:c>
      <x:c r="Z36" s="118" t="str">
        <x:v>Reservoir-energy/inflow chronology remains a later hydro-runtime input, not a capacity gap.</x:v>
      </x:c>
      <x:c r="AA36" s="118" t="str">
        <x:v>https://pubdb.bfe.admin.ch/de/publication/download/10641</x:v>
      </x:c>
      <x:c r="AB36" s="127" t="str">
        <x:v>ETX-6R_COUNTRY_CLOSURE</x:v>
      </x:c>
    </x:row>
    <x:row r="37">
      <x:c r="A37" s="126" t="str">
        <x:v>CH</x:v>
      </x:c>
      <x:c r="B37" s="118" t="str">
        <x:v>Switzerland</x:v>
      </x:c>
      <x:c r="C37" s="118" t="str">
        <x:v>CH_ZERO_BASIS</x:v>
      </x:c>
      <x:c r="D37" s="118" t="str">
        <x:v>CH_SIMULATION_READY_NATIONAL_DERIVED</x:v>
      </x:c>
      <x:c r="E37" s="118" t="str">
        <x:v>MEM_ETX6R_CH_National_Closure_v1.0</x:v>
      </x:c>
      <x:c r="F37" s="118" t="str">
        <x:v>01_CH_CAPACITY_STACK</x:v>
      </x:c>
      <x:c r="G37" s="118" t="n">
        <x:v>15</x:v>
      </x:c>
      <x:c r="H37" s="118" t="str">
        <x:v>Small hydro</x:v>
      </x:c>
      <x:c r="I37" s="118" t="str">
        <x:v>small_hydro</x:v>
      </x:c>
      <x:c r="J37" s="118" t="str">
        <x:v>hydro_non_phs</x:v>
      </x:c>
      <x:c r="K37" s="118" t="str">
        <x:v>GW</x:v>
      </x:c>
      <x:c r="L37" s="143" t="n">
        <x:v>0.96</x:v>
      </x:c>
      <x:c r="M37" s="118" t="str">
        <x:v>OFFICIAL_SCENARIO_INPUT</x:v>
      </x:c>
      <x:c r="N37" s="118" t="str">
        <x:v>A</x:v>
      </x:c>
      <x:c r="O37" s="118" t="str">
        <x:v>CH_SZR_2040</x:v>
      </x:c>
      <x:c r="P37" s="118" t="str">
        <x:v>CLOSED_NATIONAL_DIRECT</x:v>
      </x:c>
      <x:c r="Q37" s="143" t="n">
        <x:v>1.452088252055687</x:v>
      </x:c>
      <x:c r="R37" s="118" t="str">
        <x:v>DERIVED_FROM_OFFICIAL_COMPONENTS</x:v>
      </x:c>
      <x:c r="S37" s="118" t="str">
        <x:v>B/C</x:v>
      </x:c>
      <x:c r="T37" s="118" t="str">
        <x:v>CH_EP2050_SHORT+CH_WINTERSTROM</x:v>
      </x:c>
      <x:c r="U37" s="118" t="str">
        <x:v>CLOSED_NATIONAL_DERIVED</x:v>
      </x:c>
      <x:c r="V37" s="118" t="str">
        <x:v>YES</x:v>
      </x:c>
      <x:c r="W37" s="118" t="str">
        <x:v>IMPLEMENT</x:v>
      </x:c>
      <x:c r="X37" s="119" t="b">
        <x:v>1</x:v>
      </x:c>
      <x:c r="Y37" s="118" t="str">
        <x:v>2040 direct. 2050 uses the official generation-growth ratio and residual hydro-capacity normalization.</x:v>
      </x:c>
      <x:c r="Z37" s="118" t="str">
        <x:v>See CH-D13 to CH-D17.</x:v>
      </x:c>
      <x:c r="AA37" s="118" t="str">
        <x:v>https://pubdb.bfe.admin.ch/de/publication/download/10749</x:v>
      </x:c>
      <x:c r="AB37" s="127" t="str">
        <x:v>ETX-6R_COUNTRY_CLOSURE</x:v>
      </x:c>
    </x:row>
    <x:row r="38">
      <x:c r="A38" s="126" t="str">
        <x:v>CH</x:v>
      </x:c>
      <x:c r="B38" s="118" t="str">
        <x:v>Switzerland</x:v>
      </x:c>
      <x:c r="C38" s="118" t="str">
        <x:v>CH_ZERO_BASIS</x:v>
      </x:c>
      <x:c r="D38" s="118" t="str">
        <x:v>CH_SIMULATION_READY_NATIONAL_DERIVED</x:v>
      </x:c>
      <x:c r="E38" s="118" t="str">
        <x:v>MEM_ETX6R_CH_National_Closure_v1.0</x:v>
      </x:c>
      <x:c r="F38" s="118" t="str">
        <x:v>01_CH_CAPACITY_STACK</x:v>
      </x:c>
      <x:c r="G38" s="118" t="n">
        <x:v>16</x:v>
      </x:c>
      <x:c r="H38" s="118" t="str">
        <x:v>PHS turbine / discharge power</x:v>
      </x:c>
      <x:c r="I38" s="118" t="str">
        <x:v>phs_turbine</x:v>
      </x:c>
      <x:c r="J38" s="118" t="str">
        <x:v>phs_discharge_power</x:v>
      </x:c>
      <x:c r="K38" s="118" t="str">
        <x:v>GW</x:v>
      </x:c>
      <x:c r="L38" s="143" t="n">
        <x:v>6.02</x:v>
      </x:c>
      <x:c r="M38" s="118" t="str">
        <x:v>OFFICIAL_SCENARIO_INPUT</x:v>
      </x:c>
      <x:c r="N38" s="118" t="str">
        <x:v>A</x:v>
      </x:c>
      <x:c r="O38" s="118" t="str">
        <x:v>CH_SZR_2040</x:v>
      </x:c>
      <x:c r="P38" s="118" t="str">
        <x:v>CLOSED_NATIONAL_DIRECT</x:v>
      </x:c>
      <x:c r="Q38" s="143" t="n">
        <x:v>6</x:v>
      </x:c>
      <x:c r="R38" s="118" t="str">
        <x:v>OFFICIAL_CHART_CONTROL</x:v>
      </x:c>
      <x:c r="S38" s="118" t="str">
        <x:v>A/B</x:v>
      </x:c>
      <x:c r="T38" s="118" t="str">
        <x:v>CH_WINTERSTROM</x:v>
      </x:c>
      <x:c r="U38" s="118" t="str">
        <x:v>CLOSED_NATIONAL_DIRECT</x:v>
      </x:c>
      <x:c r="V38" s="118" t="str">
        <x:v>YES</x:v>
      </x:c>
      <x:c r="W38" s="118" t="str">
        <x:v>IMPLEMENT_STORAGE_PAIR</x:v>
      </x:c>
      <x:c r="X38" s="119" t="b">
        <x:v>1</x:v>
      </x:c>
      <x:c r="Y38" s="118" t="str">
        <x:v>BFE: turbine power reaches about 6 GW by 2040 and stays at that long-run order of magnitude.</x:v>
      </x:c>
      <x:c r="Z38" s="118" t="str">
        <x:v>Use Store+Links or another representation that permits asymmetric pump/turbine power.</x:v>
      </x:c>
      <x:c r="AA38" s="118" t="str">
        <x:v>https://pubdb.bfe.admin.ch/de/publication/download/10641</x:v>
      </x:c>
      <x:c r="AB38" s="127" t="str">
        <x:v>ETX-6R_COUNTRY_CLOSURE</x:v>
      </x:c>
    </x:row>
    <x:row r="39">
      <x:c r="A39" s="126" t="str">
        <x:v>CH</x:v>
      </x:c>
      <x:c r="B39" s="118" t="str">
        <x:v>Switzerland</x:v>
      </x:c>
      <x:c r="C39" s="118" t="str">
        <x:v>CH_ZERO_BASIS</x:v>
      </x:c>
      <x:c r="D39" s="118" t="str">
        <x:v>CH_SIMULATION_READY_NATIONAL_DERIVED</x:v>
      </x:c>
      <x:c r="E39" s="118" t="str">
        <x:v>MEM_ETX6R_CH_National_Closure_v1.0</x:v>
      </x:c>
      <x:c r="F39" s="118" t="str">
        <x:v>01_CH_CAPACITY_STACK</x:v>
      </x:c>
      <x:c r="G39" s="118" t="n">
        <x:v>17</x:v>
      </x:c>
      <x:c r="H39" s="118" t="str">
        <x:v>PHS pump / charge power</x:v>
      </x:c>
      <x:c r="I39" s="118" t="str">
        <x:v>phs_pump</x:v>
      </x:c>
      <x:c r="J39" s="118" t="str">
        <x:v>phs_charge_power</x:v>
      </x:c>
      <x:c r="K39" s="118" t="str">
        <x:v>GW</x:v>
      </x:c>
      <x:c r="L39" s="143" t="n">
        <x:v>5.45</x:v>
      </x:c>
      <x:c r="M39" s="118" t="str">
        <x:v>OFFICIAL_SCENARIO_INPUT</x:v>
      </x:c>
      <x:c r="N39" s="118" t="str">
        <x:v>A</x:v>
      </x:c>
      <x:c r="O39" s="118" t="str">
        <x:v>CH_SZR_2040</x:v>
      </x:c>
      <x:c r="P39" s="118" t="str">
        <x:v>CLOSED_NATIONAL_DIRECT</x:v>
      </x:c>
      <x:c r="Q39" s="143" t="n">
        <x:v>5.45</x:v>
      </x:c>
      <x:c r="R39" s="118" t="str">
        <x:v>NATIONAL_TRAJECTORY_CARRY_FORWARD</x:v>
      </x:c>
      <x:c r="S39" s="118" t="str">
        <x:v>B/C</x:v>
      </x:c>
      <x:c r="T39" s="118" t="str">
        <x:v>CH_SZR_2040+CH_WINTERSTROM</x:v>
      </x:c>
      <x:c r="U39" s="118" t="str">
        <x:v>CLOSED_NATIONAL_BENCHMARK_DERIVED</x:v>
      </x:c>
      <x:c r="V39" s="118" t="str">
        <x:v>YES</x:v>
      </x:c>
      <x:c r="W39" s="118" t="str">
        <x:v>IMPLEMENT_STORAGE_PAIR</x:v>
      </x:c>
      <x:c r="X39" s="119" t="b">
        <x:v>1</x:v>
      </x:c>
      <x:c r="Y39" s="118" t="str">
        <x:v>2040 direct. BFE states pump and turbine expansion is essentially completed by 2040; 2040 pump power is retained to 2050.</x:v>
      </x:c>
      <x:c r="Z39" s="118" t="str">
        <x:v>Do not force symmetric 6 GW charging power.</x:v>
      </x:c>
      <x:c r="AA39" s="118" t="str">
        <x:v>https://pubdb.bfe.admin.ch/de/publication/download/10749</x:v>
      </x:c>
      <x:c r="AB39" s="127" t="str">
        <x:v>ETX-6R_COUNTRY_CLOSURE</x:v>
      </x:c>
    </x:row>
    <x:row r="40">
      <x:c r="A40" s="126" t="str">
        <x:v>CH</x:v>
      </x:c>
      <x:c r="B40" s="118" t="str">
        <x:v>Switzerland</x:v>
      </x:c>
      <x:c r="C40" s="118" t="str">
        <x:v>CH_ZERO_BASIS</x:v>
      </x:c>
      <x:c r="D40" s="118" t="str">
        <x:v>CH_SIMULATION_READY_NATIONAL_DERIVED</x:v>
      </x:c>
      <x:c r="E40" s="118" t="str">
        <x:v>MEM_ETX6R_CH_National_Closure_v1.0</x:v>
      </x:c>
      <x:c r="F40" s="118" t="str">
        <x:v>01_CH_CAPACITY_STACK</x:v>
      </x:c>
      <x:c r="G40" s="118" t="n">
        <x:v>18</x:v>
      </x:c>
      <x:c r="H40" s="118" t="str">
        <x:v>PHS energy capacity</x:v>
      </x:c>
      <x:c r="I40" s="118" t="str">
        <x:v>phs_energy</x:v>
      </x:c>
      <x:c r="J40" s="118" t="str">
        <x:v>phs_energy</x:v>
      </x:c>
      <x:c r="K40" s="118" t="str">
        <x:v>GWh</x:v>
      </x:c>
      <x:c r="L40" s="143" t="n">
        <x:v>1410</x:v>
      </x:c>
      <x:c r="M40" s="118" t="str">
        <x:v>OFFICIAL_SCENARIO_INPUT</x:v>
      </x:c>
      <x:c r="N40" s="118" t="str">
        <x:v>A</x:v>
      </x:c>
      <x:c r="O40" s="118" t="str">
        <x:v>CH_SZR_2040</x:v>
      </x:c>
      <x:c r="P40" s="118" t="str">
        <x:v>CLOSED_NATIONAL_DIRECT</x:v>
      </x:c>
      <x:c r="Q40" s="143" t="n">
        <x:v>1410</x:v>
      </x:c>
      <x:c r="R40" s="118" t="str">
        <x:v>NATIONAL_TRAJECTORY_CARRY_FORWARD</x:v>
      </x:c>
      <x:c r="S40" s="118" t="str">
        <x:v>B/C</x:v>
      </x:c>
      <x:c r="T40" s="118" t="str">
        <x:v>CH_SZR_2040+CH_WINTERSTROM</x:v>
      </x:c>
      <x:c r="U40" s="118" t="str">
        <x:v>CLOSED_NATIONAL_BENCHMARK_DERIVED</x:v>
      </x:c>
      <x:c r="V40" s="118" t="str">
        <x:v>YES</x:v>
      </x:c>
      <x:c r="W40" s="118" t="str">
        <x:v>IMPLEMENT_STORAGE_PAIR</x:v>
      </x:c>
      <x:c r="X40" s="119" t="b">
        <x:v>1</x:v>
      </x:c>
      <x:c r="Y40" s="118" t="str">
        <x:v>Scenario-1 national model gives 1.41 TWh in 2040; the post-2040 PHS trajectory is essentially flat, so energy is carried forward.</x:v>
      </x:c>
      <x:c r="Z40" s="118" t="str">
        <x:v>This is limiting-basin PHS energy, distinct from reservoir-hydro seasonal storage.</x:v>
      </x:c>
      <x:c r="AA40" s="118" t="str">
        <x:v>https://pubdb.bfe.admin.ch/de/publication/download/10749</x:v>
      </x:c>
      <x:c r="AB40" s="127" t="str">
        <x:v>ETX-6R_COUNTRY_CLOSURE</x:v>
      </x:c>
    </x:row>
    <x:row r="41">
      <x:c r="A41" s="126" t="str">
        <x:v>CH</x:v>
      </x:c>
      <x:c r="B41" s="118" t="str">
        <x:v>Switzerland</x:v>
      </x:c>
      <x:c r="C41" s="118" t="str">
        <x:v>CH_ZERO_BASIS</x:v>
      </x:c>
      <x:c r="D41" s="118" t="str">
        <x:v>CH_SIMULATION_READY_NATIONAL_DERIVED</x:v>
      </x:c>
      <x:c r="E41" s="118" t="str">
        <x:v>MEM_ETX6R_CH_National_Closure_v1.0</x:v>
      </x:c>
      <x:c r="F41" s="118" t="str">
        <x:v>01_CH_CAPACITY_STACK</x:v>
      </x:c>
      <x:c r="G41" s="118" t="n">
        <x:v>19</x:v>
      </x:c>
      <x:c r="H41" s="118" t="str">
        <x:v>Decentralized / home BESS power</x:v>
      </x:c>
      <x:c r="I41" s="118" t="str">
        <x:v>battery_home_power</x:v>
      </x:c>
      <x:c r="J41" s="118" t="str">
        <x:v>bess_distributed_power</x:v>
      </x:c>
      <x:c r="K41" s="118" t="str">
        <x:v>GW</x:v>
      </x:c>
      <x:c r="L41" s="143" t="n">
        <x:v>5.55</x:v>
      </x:c>
      <x:c r="M41" s="118" t="str">
        <x:v>OFFICIAL_SCENARIO_INPUT</x:v>
      </x:c>
      <x:c r="N41" s="118" t="str">
        <x:v>A</x:v>
      </x:c>
      <x:c r="O41" s="118" t="str">
        <x:v>CH_SZR_2040</x:v>
      </x:c>
      <x:c r="P41" s="118" t="str">
        <x:v>CLOSED_NATIONAL_DIRECT</x:v>
      </x:c>
      <x:c r="Q41" s="143" t="n">
        <x:v>9</x:v>
      </x:c>
      <x:c r="R41" s="118" t="str">
        <x:v>OFFICIAL_CHART_CONTROL</x:v>
      </x:c>
      <x:c r="S41" s="118" t="str">
        <x:v>A/B</x:v>
      </x:c>
      <x:c r="T41" s="118" t="str">
        <x:v>CH_WINTERSTROM</x:v>
      </x:c>
      <x:c r="U41" s="118" t="str">
        <x:v>CLOSED_NATIONAL_DIRECT</x:v>
      </x:c>
      <x:c r="V41" s="118" t="str">
        <x:v>YES</x:v>
      </x:c>
      <x:c r="W41" s="118" t="str">
        <x:v>IMPLEMENT_STORAGE_PAIR</x:v>
      </x:c>
      <x:c r="X41" s="119" t="b">
        <x:v>1</x:v>
      </x:c>
      <x:c r="Y41" s="118" t="str">
        <x:v>EP2050+ ties decentralized batteries to PV installations; BFE gives 5.55 GW in 2040 and around 9 GW in 2050.</x:v>
      </x:c>
      <x:c r="Z41" s="118" t="str">
        <x:v>Home storage should not automatically receive unrestricted wholesale-market dispatch in the runtime model.</x:v>
      </x:c>
      <x:c r="AA41" s="118" t="str">
        <x:v>https://pubdb.bfe.admin.ch/de/publication/download/10749</x:v>
      </x:c>
      <x:c r="AB41" s="127" t="str">
        <x:v>ETX-6R_COUNTRY_CLOSURE</x:v>
      </x:c>
    </x:row>
    <x:row r="42">
      <x:c r="A42" s="126" t="str">
        <x:v>CH</x:v>
      </x:c>
      <x:c r="B42" s="118" t="str">
        <x:v>Switzerland</x:v>
      </x:c>
      <x:c r="C42" s="118" t="str">
        <x:v>CH_ZERO_BASIS</x:v>
      </x:c>
      <x:c r="D42" s="118" t="str">
        <x:v>CH_SIMULATION_READY_NATIONAL_DERIVED</x:v>
      </x:c>
      <x:c r="E42" s="118" t="str">
        <x:v>MEM_ETX6R_CH_National_Closure_v1.0</x:v>
      </x:c>
      <x:c r="F42" s="118" t="str">
        <x:v>01_CH_CAPACITY_STACK</x:v>
      </x:c>
      <x:c r="G42" s="118" t="n">
        <x:v>20</x:v>
      </x:c>
      <x:c r="H42" s="118" t="str">
        <x:v>Decentralized / home BESS energy</x:v>
      </x:c>
      <x:c r="I42" s="118" t="str">
        <x:v>battery_home_energy</x:v>
      </x:c>
      <x:c r="J42" s="118" t="str">
        <x:v>bess_distributed_energy</x:v>
      </x:c>
      <x:c r="K42" s="118" t="str">
        <x:v>GWh</x:v>
      </x:c>
      <x:c r="L42" s="143" t="n">
        <x:v>2.78</x:v>
      </x:c>
      <x:c r="M42" s="118" t="str">
        <x:v>OFFICIAL_SCENARIO_INPUT</x:v>
      </x:c>
      <x:c r="N42" s="118" t="str">
        <x:v>A</x:v>
      </x:c>
      <x:c r="O42" s="118" t="str">
        <x:v>CH_SZR_2040</x:v>
      </x:c>
      <x:c r="P42" s="118" t="str">
        <x:v>CLOSED_NATIONAL_DIRECT</x:v>
      </x:c>
      <x:c r="Q42" s="143" t="n">
        <x:v>4.5</x:v>
      </x:c>
      <x:c r="R42" s="118" t="str">
        <x:v>DERIVED_FROM_OFFICIAL_COMPONENTS</x:v>
      </x:c>
      <x:c r="S42" s="118" t="str">
        <x:v>B</x:v>
      </x:c>
      <x:c r="T42" s="118" t="str">
        <x:v>CH_SZR_2040+CH_WINTERSTROM</x:v>
      </x:c>
      <x:c r="U42" s="118" t="str">
        <x:v>CLOSED_NATIONAL_DERIVED</x:v>
      </x:c>
      <x:c r="V42" s="118" t="str">
        <x:v>YES</x:v>
      </x:c>
      <x:c r="W42" s="118" t="str">
        <x:v>IMPLEMENT_STORAGE_PAIR</x:v>
      </x:c>
      <x:c r="X42" s="119" t="b">
        <x:v>1</x:v>
      </x:c>
      <x:c r="Y42" s="118" t="str">
        <x:v>BFE assumption: average home battery 5 kWh storage / 10 kW charging power = 0.5 h; apply same scenario assumption to the 9 GW 2050 fleet.</x:v>
      </x:c>
      <x:c r="Z42" s="118" t="str">
        <x:v>2050 implementation keeps the selected ZERO-Basis 0.5 h home-battery assumption. The 2025 BFE storage study separately assumes ~11.5 GWh usable PV-home-storage capacity for network-use analysis; retain that newer figure as a later sensitivity/QA benchmark rather than silently replacing the selected scenario architecture.</x:v>
      </x:c>
      <x:c r="AA42" s="118" t="str">
        <x:v>https://pubdb.bfe.admin.ch/de/publication/download/10749</x:v>
      </x:c>
      <x:c r="AB42" s="127" t="str">
        <x:v>ETX-6R_COUNTRY_CLOSURE</x:v>
      </x:c>
    </x:row>
    <x:row r="43">
      <x:c r="A43" s="126" t="str">
        <x:v>CH</x:v>
      </x:c>
      <x:c r="B43" s="118" t="str">
        <x:v>Switzerland</x:v>
      </x:c>
      <x:c r="C43" s="118" t="str">
        <x:v>CH_ZERO_BASIS</x:v>
      </x:c>
      <x:c r="D43" s="118" t="str">
        <x:v>CH_SIMULATION_READY_NATIONAL_DERIVED</x:v>
      </x:c>
      <x:c r="E43" s="118" t="str">
        <x:v>MEM_ETX6R_CH_National_Closure_v1.0</x:v>
      </x:c>
      <x:c r="F43" s="118" t="str">
        <x:v>01_CH_CAPACITY_STACK</x:v>
      </x:c>
      <x:c r="G43" s="118" t="n">
        <x:v>21</x:v>
      </x:c>
      <x:c r="H43" s="118" t="str">
        <x:v>Grid-scale BESS power</x:v>
      </x:c>
      <x:c r="I43" s="118" t="str">
        <x:v>battery_grid_power</x:v>
      </x:c>
      <x:c r="J43" s="118" t="str">
        <x:v>bess_grid_power</x:v>
      </x:c>
      <x:c r="K43" s="118" t="str">
        <x:v>GW</x:v>
      </x:c>
      <x:c r="L43" s="143" t="n">
        <x:v>2.9427272727272724</x:v>
      </x:c>
      <x:c r="M43" s="118" t="str">
        <x:v>BFE_2025_STORAGE_BENCHMARK_DERIVED</x:v>
      </x:c>
      <x:c r="N43" s="118" t="str">
        <x:v>B/C</x:v>
      </x:c>
      <x:c r="O43" s="118" t="str">
        <x:v>CH_STORAGE_2025</x:v>
      </x:c>
      <x:c r="P43" s="118" t="str">
        <x:v>CLOSED_NATIONAL_BENCHMARK_DERIVED</x:v>
      </x:c>
      <x:c r="Q43" s="143" t="n">
        <x:v>3.2746478873239435</x:v>
      </x:c>
      <x:c r="R43" s="118" t="str">
        <x:v>BFE_2025_STORAGE_BENCHMARK_DERIVED</x:v>
      </x:c>
      <x:c r="S43" s="118" t="str">
        <x:v>B/C</x:v>
      </x:c>
      <x:c r="T43" s="118" t="str">
        <x:v>CH_STORAGE_2025</x:v>
      </x:c>
      <x:c r="U43" s="118" t="str">
        <x:v>CLOSED_NATIONAL_BENCHMARK_DERIVED</x:v>
      </x:c>
      <x:c r="V43" s="118" t="str">
        <x:v>YES</x:v>
      </x:c>
      <x:c r="W43" s="118" t="str">
        <x:v>IMPLEMENT_STORAGE_PAIR</x:v>
      </x:c>
      <x:c r="X43" s="119" t="b">
        <x:v>1</x:v>
      </x:c>
      <x:c r="Y43" s="118" t="str">
        <x:v>Newer BFE study finds economically optimal large batteries in a Base built on ZERO Basis. Values are translated to the selected ZERO-Basis PV trajectory.</x:v>
      </x:c>
      <x:c r="Z43" s="118" t="str">
        <x:v>National-study overlay, not an original 2020 ZERO-Basis exogenous input. See CH-D02 to CH-D10.</x:v>
      </x:c>
      <x:c r="AA43" s="118" t="str">
        <x:v>https://pubdb.bfe.admin.ch/de/publication/download/12392</x:v>
      </x:c>
      <x:c r="AB43" s="127" t="str">
        <x:v>ETX-6R_COUNTRY_CLOSURE</x:v>
      </x:c>
    </x:row>
    <x:row r="44">
      <x:c r="A44" s="126" t="str">
        <x:v>CH</x:v>
      </x:c>
      <x:c r="B44" s="118" t="str">
        <x:v>Switzerland</x:v>
      </x:c>
      <x:c r="C44" s="118" t="str">
        <x:v>CH_ZERO_BASIS</x:v>
      </x:c>
      <x:c r="D44" s="118" t="str">
        <x:v>CH_SIMULATION_READY_NATIONAL_DERIVED</x:v>
      </x:c>
      <x:c r="E44" s="118" t="str">
        <x:v>MEM_ETX6R_CH_National_Closure_v1.0</x:v>
      </x:c>
      <x:c r="F44" s="118" t="str">
        <x:v>01_CH_CAPACITY_STACK</x:v>
      </x:c>
      <x:c r="G44" s="118" t="n">
        <x:v>22</x:v>
      </x:c>
      <x:c r="H44" s="118" t="str">
        <x:v>Grid-scale BESS energy</x:v>
      </x:c>
      <x:c r="I44" s="118" t="str">
        <x:v>battery_grid_energy</x:v>
      </x:c>
      <x:c r="J44" s="118" t="str">
        <x:v>bess_grid_energy</x:v>
      </x:c>
      <x:c r="K44" s="118" t="str">
        <x:v>GWh</x:v>
      </x:c>
      <x:c r="L44" s="143" t="n">
        <x:v>15.14121212121212</x:v>
      </x:c>
      <x:c r="M44" s="118" t="str">
        <x:v>BFE_2025_STORAGE_BENCHMARK_DERIVED</x:v>
      </x:c>
      <x:c r="N44" s="118" t="str">
        <x:v>B/C</x:v>
      </x:c>
      <x:c r="O44" s="118" t="str">
        <x:v>CH_STORAGE_2025</x:v>
      </x:c>
      <x:c r="P44" s="118" t="str">
        <x:v>CLOSED_NATIONAL_BENCHMARK_DERIVED</x:v>
      </x:c>
      <x:c r="Q44" s="143" t="n">
        <x:v>16.267605633802816</x:v>
      </x:c>
      <x:c r="R44" s="118" t="str">
        <x:v>BFE_2025_STORAGE_BENCHMARK_DERIVED</x:v>
      </x:c>
      <x:c r="S44" s="118" t="str">
        <x:v>B/C</x:v>
      </x:c>
      <x:c r="T44" s="118" t="str">
        <x:v>CH_STORAGE_2025</x:v>
      </x:c>
      <x:c r="U44" s="118" t="str">
        <x:v>CLOSED_NATIONAL_BENCHMARK_DERIVED</x:v>
      </x:c>
      <x:c r="V44" s="118" t="str">
        <x:v>YES</x:v>
      </x:c>
      <x:c r="W44" s="118" t="str">
        <x:v>IMPLEMENT_STORAGE_PAIR</x:v>
      </x:c>
      <x:c r="X44" s="119" t="b">
        <x:v>1</x:v>
      </x:c>
      <x:c r="Y44" s="118" t="str">
        <x:v>Derived consistently with grid-scale BESS power from the BFE 2035/2050 power-and-energy results.</x:v>
      </x:c>
      <x:c r="Z44" s="118" t="str">
        <x:v>See CH-D05 to CH-D10.</x:v>
      </x:c>
      <x:c r="AA44" s="118" t="str">
        <x:v>https://pubdb.bfe.admin.ch/de/publication/download/12392</x:v>
      </x:c>
      <x:c r="AB44" s="127" t="str">
        <x:v>ETX-6R_COUNTRY_CLOSURE</x:v>
      </x:c>
    </x:row>
    <x:row r="45">
      <x:c r="A45" s="126" t="str">
        <x:v>CH</x:v>
      </x:c>
      <x:c r="B45" s="118" t="str">
        <x:v>Switzerland</x:v>
      </x:c>
      <x:c r="C45" s="118" t="str">
        <x:v>CH_ZERO_BASIS</x:v>
      </x:c>
      <x:c r="D45" s="118" t="str">
        <x:v>CH_SIMULATION_READY_NATIONAL_DERIVED</x:v>
      </x:c>
      <x:c r="E45" s="118" t="str">
        <x:v>MEM_ETX6R_CH_National_Closure_v1.0</x:v>
      </x:c>
      <x:c r="F45" s="118" t="str">
        <x:v>01_CH_CAPACITY_STACK</x:v>
      </x:c>
      <x:c r="G45" s="118" t="n">
        <x:v>23</x:v>
      </x:c>
      <x:c r="H45" s="118" t="str">
        <x:v>Total battery power</x:v>
      </x:c>
      <x:c r="I45" s="118" t="str">
        <x:v>battery_total_power</x:v>
      </x:c>
      <x:c r="J45" s="118" t="str">
        <x:v>battery_total_power</x:v>
      </x:c>
      <x:c r="K45" s="118" t="str">
        <x:v>GW</x:v>
      </x:c>
      <x:c r="L45" s="143" t="n">
        <x:v>8.492727272727272</x:v>
      </x:c>
      <x:c r="M45" s="118" t="str">
        <x:v>DERIVED_FROM_OFFICIAL_COMPONENTS</x:v>
      </x:c>
      <x:c r="N45" s="118" t="str">
        <x:v>B</x:v>
      </x:c>
      <x:c r="O45" s="118" t="str">
        <x:v>CH_SZR_2040+CH_STORAGE_2025</x:v>
      </x:c>
      <x:c r="P45" s="118" t="str">
        <x:v>QA_CONTROL_ONLY</x:v>
      </x:c>
      <x:c r="Q45" s="143" t="n">
        <x:v>12.274647887323944</x:v>
      </x:c>
      <x:c r="R45" s="118" t="str">
        <x:v>DERIVED_FROM_OFFICIAL_COMPONENTS</x:v>
      </x:c>
      <x:c r="S45" s="118" t="str">
        <x:v>B</x:v>
      </x:c>
      <x:c r="T45" s="118" t="str">
        <x:v>CH_WINTERSTROM+CH_STORAGE_2025</x:v>
      </x:c>
      <x:c r="U45" s="118" t="str">
        <x:v>QA_CONTROL_ONLY</x:v>
      </x:c>
      <x:c r="V45" s="118" t="str">
        <x:v>QA ONLY</x:v>
      </x:c>
      <x:c r="W45" s="118" t="str">
        <x:v>QA_CONTROL_ONLY</x:v>
      </x:c>
      <x:c r="X45" s="119" t="b">
        <x:v>0</x:v>
      </x:c>
      <x:c r="Y45" s="118" t="str">
        <x:v>Home + grid-scale battery power, shown only as a reconciliation control.</x:v>
      </x:c>
      <x:c r="Z45" s="118" t="str">
        <x:v>Do not create an additional battery asset.</x:v>
      </x:c>
      <x:c r="AA45" s="118" t="str">
        <x:v>https://pubdb.bfe.admin.ch/de/publication/download/12392</x:v>
      </x:c>
      <x:c r="AB45" s="127" t="str">
        <x:v>ETX-6R_COUNTRY_CLOSURE</x:v>
      </x:c>
    </x:row>
    <x:row r="46">
      <x:c r="A46" s="126" t="str">
        <x:v>CH</x:v>
      </x:c>
      <x:c r="B46" s="118" t="str">
        <x:v>Switzerland</x:v>
      </x:c>
      <x:c r="C46" s="118" t="str">
        <x:v>CH_ZERO_BASIS</x:v>
      </x:c>
      <x:c r="D46" s="118" t="str">
        <x:v>CH_SIMULATION_READY_NATIONAL_DERIVED</x:v>
      </x:c>
      <x:c r="E46" s="118" t="str">
        <x:v>MEM_ETX6R_CH_National_Closure_v1.0</x:v>
      </x:c>
      <x:c r="F46" s="118" t="str">
        <x:v>01_CH_CAPACITY_STACK</x:v>
      </x:c>
      <x:c r="G46" s="118" t="n">
        <x:v>24</x:v>
      </x:c>
      <x:c r="H46" s="118" t="str">
        <x:v>Total battery energy</x:v>
      </x:c>
      <x:c r="I46" s="118" t="str">
        <x:v>battery_total_energy</x:v>
      </x:c>
      <x:c r="J46" s="118" t="str">
        <x:v>battery_total_energy</x:v>
      </x:c>
      <x:c r="K46" s="118" t="str">
        <x:v>GWh</x:v>
      </x:c>
      <x:c r="L46" s="143" t="n">
        <x:v>17.921212121212122</x:v>
      </x:c>
      <x:c r="M46" s="118" t="str">
        <x:v>DERIVED_FROM_OFFICIAL_COMPONENTS</x:v>
      </x:c>
      <x:c r="N46" s="118" t="str">
        <x:v>B</x:v>
      </x:c>
      <x:c r="O46" s="118" t="str">
        <x:v>CH_SZR_2040+CH_STORAGE_2025</x:v>
      </x:c>
      <x:c r="P46" s="118" t="str">
        <x:v>QA_CONTROL_ONLY</x:v>
      </x:c>
      <x:c r="Q46" s="143" t="n">
        <x:v>20.767605633802816</x:v>
      </x:c>
      <x:c r="R46" s="118" t="str">
        <x:v>DERIVED_FROM_OFFICIAL_COMPONENTS</x:v>
      </x:c>
      <x:c r="S46" s="118" t="str">
        <x:v>B</x:v>
      </x:c>
      <x:c r="T46" s="118" t="str">
        <x:v>CH_WINTERSTROM+CH_STORAGE_2025</x:v>
      </x:c>
      <x:c r="U46" s="118" t="str">
        <x:v>QA_CONTROL_ONLY</x:v>
      </x:c>
      <x:c r="V46" s="118" t="str">
        <x:v>QA ONLY</x:v>
      </x:c>
      <x:c r="W46" s="118" t="str">
        <x:v>QA_CONTROL_ONLY</x:v>
      </x:c>
      <x:c r="X46" s="119" t="b">
        <x:v>0</x:v>
      </x:c>
      <x:c r="Y46" s="118" t="str">
        <x:v>Home + grid-scale battery energy, shown only as a reconciliation control.</x:v>
      </x:c>
      <x:c r="Z46" s="118" t="str">
        <x:v>Do not create an additional battery store.</x:v>
      </x:c>
      <x:c r="AA46" s="118" t="str">
        <x:v>https://pubdb.bfe.admin.ch/de/publication/download/12392</x:v>
      </x:c>
      <x:c r="AB46" s="127" t="str">
        <x:v>ETX-6R_COUNTRY_CLOSURE</x:v>
      </x:c>
    </x:row>
    <x:row r="47">
      <x:c r="A47" s="126" t="str">
        <x:v>CH</x:v>
      </x:c>
      <x:c r="B47" s="118" t="str">
        <x:v>Switzerland</x:v>
      </x:c>
      <x:c r="C47" s="118" t="str">
        <x:v>CH_ZERO_BASIS</x:v>
      </x:c>
      <x:c r="D47" s="118" t="str">
        <x:v>CH_SIMULATION_READY_NATIONAL_DERIVED</x:v>
      </x:c>
      <x:c r="E47" s="118" t="str">
        <x:v>MEM_ETX6R_CH_National_Closure_v1.0</x:v>
      </x:c>
      <x:c r="F47" s="118" t="str">
        <x:v>01_CH_CAPACITY_STACK</x:v>
      </x:c>
      <x:c r="G47" s="118" t="n">
        <x:v>25</x:v>
      </x:c>
      <x:c r="H47" s="118" t="str">
        <x:v>WKK / thermal + geothermal total</x:v>
      </x:c>
      <x:c r="I47" s="118" t="str">
        <x:v>wkk_total</x:v>
      </x:c>
      <x:c r="J47" s="118" t="str">
        <x:v>wkk_total</x:v>
      </x:c>
      <x:c r="K47" s="118" t="str">
        <x:v>GW</x:v>
      </x:c>
      <x:c r="L47" s="143" t="n">
        <x:v>1.06</x:v>
      </x:c>
      <x:c r="M47" s="118" t="str">
        <x:v>DERIVED_FROM_OFFICIAL_COMPONENTS</x:v>
      </x:c>
      <x:c r="N47" s="118" t="str">
        <x:v>A/B</x:v>
      </x:c>
      <x:c r="O47" s="118" t="str">
        <x:v>CH_SZR_2040</x:v>
      </x:c>
      <x:c r="P47" s="118" t="str">
        <x:v>QA_CONTROL_ONLY</x:v>
      </x:c>
      <x:c r="Q47" s="143" t="n">
        <x:v>1.4</x:v>
      </x:c>
      <x:c r="R47" s="118" t="str">
        <x:v>OFFICIAL_CHART_CONTROL</x:v>
      </x:c>
      <x:c r="S47" s="118" t="str">
        <x:v>A/B</x:v>
      </x:c>
      <x:c r="T47" s="118" t="str">
        <x:v>CH_WKK_EXCURSUS</x:v>
      </x:c>
      <x:c r="U47" s="118" t="str">
        <x:v>QA_CONTROL_ONLY</x:v>
      </x:c>
      <x:c r="V47" s="118" t="str">
        <x:v>QA ONLY</x:v>
      </x:c>
      <x:c r="W47" s="118" t="str">
        <x:v>QA_CONTROL_ONLY</x:v>
      </x:c>
      <x:c r="X47" s="119" t="b">
        <x:v>0</x:v>
      </x:c>
      <x:c r="Y47" s="118" t="str">
        <x:v>2040 sum of detailed national components. 2050 BFE WKK trajectory reaches ~1.4 GW.</x:v>
      </x:c>
      <x:c r="Z47" s="118" t="str">
        <x:v>Detailed component rows are implemented instead.</x:v>
      </x:c>
      <x:c r="AA47" s="118" t="str">
        <x:v>https://pubdb.bfe.admin.ch/de/publication/download/10621</x:v>
      </x:c>
      <x:c r="AB47" s="127" t="str">
        <x:v>ETX-6R_COUNTRY_CLOSURE</x:v>
      </x:c>
    </x:row>
    <x:row r="48">
      <x:c r="A48" s="126" t="str">
        <x:v>CH</x:v>
      </x:c>
      <x:c r="B48" s="118" t="str">
        <x:v>Switzerland</x:v>
      </x:c>
      <x:c r="C48" s="118" t="str">
        <x:v>CH_ZERO_BASIS</x:v>
      </x:c>
      <x:c r="D48" s="118" t="str">
        <x:v>CH_SIMULATION_READY_NATIONAL_DERIVED</x:v>
      </x:c>
      <x:c r="E48" s="118" t="str">
        <x:v>MEM_ETX6R_CH_National_Closure_v1.0</x:v>
      </x:c>
      <x:c r="F48" s="118" t="str">
        <x:v>01_CH_CAPACITY_STACK</x:v>
      </x:c>
      <x:c r="G48" s="118" t="n">
        <x:v>26</x:v>
      </x:c>
      <x:c r="H48" s="118" t="str">
        <x:v>Waste incineration CHP (KVA)</x:v>
      </x:c>
      <x:c r="I48" s="118" t="str">
        <x:v>waste_chp</x:v>
      </x:c>
      <x:c r="J48" s="118" t="str">
        <x:v>waste_chp</x:v>
      </x:c>
      <x:c r="K48" s="118" t="str">
        <x:v>GW</x:v>
      </x:c>
      <x:c r="L48" s="143" t="n">
        <x:v>0.42</x:v>
      </x:c>
      <x:c r="M48" s="118" t="str">
        <x:v>OFFICIAL_SCENARIO_INPUT</x:v>
      </x:c>
      <x:c r="N48" s="118" t="str">
        <x:v>A</x:v>
      </x:c>
      <x:c r="O48" s="118" t="str">
        <x:v>CH_SZR_2040</x:v>
      </x:c>
      <x:c r="P48" s="118" t="str">
        <x:v>CLOSED_NATIONAL_DIRECT</x:v>
      </x:c>
      <x:c r="Q48" s="143" t="n">
        <x:v>0.42</x:v>
      </x:c>
      <x:c r="R48" s="118" t="str">
        <x:v>NATIONAL_TRAJECTORY_CARRY_FORWARD</x:v>
      </x:c>
      <x:c r="S48" s="118" t="str">
        <x:v>B</x:v>
      </x:c>
      <x:c r="T48" s="118" t="str">
        <x:v>CH_WKK_EXCURSUS</x:v>
      </x:c>
      <x:c r="U48" s="118" t="str">
        <x:v>CLOSED_NATIONAL_BENCHMARK_DERIVED</x:v>
      </x:c>
      <x:c r="V48" s="118" t="str">
        <x:v>YES</x:v>
      </x:c>
      <x:c r="W48" s="118" t="str">
        <x:v>IMPLEMENT</x:v>
      </x:c>
      <x:c r="X48" s="119" t="b">
        <x:v>1</x:v>
      </x:c>
      <x:c r="Y48" s="118" t="str">
        <x:v>2040 direct. BFE states KVA output remains around today's level through 2050; capacity is carried forward.</x:v>
      </x:c>
      <x:c r="Z48" s="118" t="str">
        <x:v>Waste has both fossil and biogenic content; handle emissions/fuel mix in technical parameters rather than splitting capacity.</x:v>
      </x:c>
      <x:c r="AA48" s="118" t="str">
        <x:v>https://pubdb.bfe.admin.ch/de/publication/download/10621</x:v>
      </x:c>
      <x:c r="AB48" s="127" t="str">
        <x:v>ETX-6R_COUNTRY_CLOSURE</x:v>
      </x:c>
    </x:row>
    <x:row r="49">
      <x:c r="A49" s="126" t="str">
        <x:v>CH</x:v>
      </x:c>
      <x:c r="B49" s="118" t="str">
        <x:v>Switzerland</x:v>
      </x:c>
      <x:c r="C49" s="118" t="str">
        <x:v>CH_ZERO_BASIS</x:v>
      </x:c>
      <x:c r="D49" s="118" t="str">
        <x:v>CH_SIMULATION_READY_NATIONAL_DERIVED</x:v>
      </x:c>
      <x:c r="E49" s="118" t="str">
        <x:v>MEM_ETX6R_CH_National_Closure_v1.0</x:v>
      </x:c>
      <x:c r="F49" s="118" t="str">
        <x:v>01_CH_CAPACITY_STACK</x:v>
      </x:c>
      <x:c r="G49" s="118" t="n">
        <x:v>27</x:v>
      </x:c>
      <x:c r="H49" s="118" t="str">
        <x:v>Other central thermal CHP</x:v>
      </x:c>
      <x:c r="I49" s="118" t="str">
        <x:v>thermal_other_chp</x:v>
      </x:c>
      <x:c r="J49" s="118" t="str">
        <x:v>thermal_other_chp</x:v>
      </x:c>
      <x:c r="K49" s="118" t="str">
        <x:v>GW</x:v>
      </x:c>
      <x:c r="L49" s="143" t="n">
        <x:v>0.2</x:v>
      </x:c>
      <x:c r="M49" s="118" t="str">
        <x:v>OFFICIAL_SCENARIO_INPUT</x:v>
      </x:c>
      <x:c r="N49" s="118" t="str">
        <x:v>A</x:v>
      </x:c>
      <x:c r="O49" s="118" t="str">
        <x:v>CH_SZR_2040</x:v>
      </x:c>
      <x:c r="P49" s="118" t="str">
        <x:v>CLOSED_NATIONAL_DIRECT</x:v>
      </x:c>
      <x:c r="Q49" s="143" t="n">
        <x:v>0.2</x:v>
      </x:c>
      <x:c r="R49" s="118" t="str">
        <x:v>NATIONAL_TRAJECTORY_CARRY_FORWARD</x:v>
      </x:c>
      <x:c r="S49" s="118" t="str">
        <x:v>B/C</x:v>
      </x:c>
      <x:c r="T49" s="118" t="str">
        <x:v>CH_WKK_EXCURSUS</x:v>
      </x:c>
      <x:c r="U49" s="118" t="str">
        <x:v>CLOSED_NATIONAL_BENCHMARK_DERIVED</x:v>
      </x:c>
      <x:c r="V49" s="118" t="str">
        <x:v>YES</x:v>
      </x:c>
      <x:c r="W49" s="118" t="str">
        <x:v>IMPLEMENT</x:v>
      </x:c>
      <x:c r="X49" s="119" t="b">
        <x:v>1</x:v>
      </x:c>
      <x:c r="Y49" s="118" t="str">
        <x:v>Existing central gas turbines remain as CHP capacity while natural gas is progressively replaced by biomethane by 2050.</x:v>
      </x:c>
      <x:c r="Z49" s="118" t="str">
        <x:v>Capacity held constant; fuel treatment transitions toward biomethane.</x:v>
      </x:c>
      <x:c r="AA49" s="118" t="str">
        <x:v>https://pubdb.bfe.admin.ch/de/publication/download/10621</x:v>
      </x:c>
      <x:c r="AB49" s="127" t="str">
        <x:v>ETX-6R_COUNTRY_CLOSURE</x:v>
      </x:c>
    </x:row>
    <x:row r="50">
      <x:c r="A50" s="126" t="str">
        <x:v>CH</x:v>
      </x:c>
      <x:c r="B50" s="118" t="str">
        <x:v>Switzerland</x:v>
      </x:c>
      <x:c r="C50" s="118" t="str">
        <x:v>CH_ZERO_BASIS</x:v>
      </x:c>
      <x:c r="D50" s="118" t="str">
        <x:v>CH_SIMULATION_READY_NATIONAL_DERIVED</x:v>
      </x:c>
      <x:c r="E50" s="118" t="str">
        <x:v>MEM_ETX6R_CH_National_Closure_v1.0</x:v>
      </x:c>
      <x:c r="F50" s="118" t="str">
        <x:v>01_CH_CAPACITY_STACK</x:v>
      </x:c>
      <x:c r="G50" s="118" t="n">
        <x:v>28</x:v>
      </x:c>
      <x:c r="H50" s="118" t="str">
        <x:v>Biomass wood CHP</x:v>
      </x:c>
      <x:c r="I50" s="118" t="str">
        <x:v>biomass_chp</x:v>
      </x:c>
      <x:c r="J50" s="118" t="str">
        <x:v>bioenergy_biomass</x:v>
      </x:c>
      <x:c r="K50" s="118" t="str">
        <x:v>GW</x:v>
      </x:c>
      <x:c r="L50" s="143" t="n">
        <x:v>0.07</x:v>
      </x:c>
      <x:c r="M50" s="118" t="str">
        <x:v>OFFICIAL_SCENARIO_INPUT</x:v>
      </x:c>
      <x:c r="N50" s="118" t="str">
        <x:v>A</x:v>
      </x:c>
      <x:c r="O50" s="118" t="str">
        <x:v>CH_SZR_2040</x:v>
      </x:c>
      <x:c r="P50" s="118" t="str">
        <x:v>CLOSED_NATIONAL_DIRECT</x:v>
      </x:c>
      <x:c r="Q50" s="143" t="n">
        <x:v>0.07</x:v>
      </x:c>
      <x:c r="R50" s="118" t="str">
        <x:v>DERIVED_FROM_OFFICIAL_COMPONENTS</x:v>
      </x:c>
      <x:c r="S50" s="118" t="str">
        <x:v>B</x:v>
      </x:c>
      <x:c r="T50" s="118" t="str">
        <x:v>CH_EP2050_SUMMARY</x:v>
      </x:c>
      <x:c r="U50" s="118" t="str">
        <x:v>CLOSED_NATIONAL_DERIVED</x:v>
      </x:c>
      <x:c r="V50" s="118" t="str">
        <x:v>YES</x:v>
      </x:c>
      <x:c r="W50" s="118" t="str">
        <x:v>IMPLEMENT</x:v>
      </x:c>
      <x:c r="X50" s="119" t="b">
        <x:v>1</x:v>
      </x:c>
      <x:c r="Y50" s="118" t="str">
        <x:v>2040 direct; biomass-electricity generation remains about 0.2 TWh from 2040 to 2050, so capacity is retained.</x:v>
      </x:c>
      <x:c r="Z50" s="118" t="str">
        <x:v>See CH-D18.</x:v>
      </x:c>
      <x:c r="AA50" s="118" t="str">
        <x:v>https://pubdb.bfe.admin.ch/de/publication/download/10320</x:v>
      </x:c>
      <x:c r="AB50" s="127" t="str">
        <x:v>ETX-6R_COUNTRY_CLOSURE</x:v>
      </x:c>
    </x:row>
    <x:row r="51">
      <x:c r="A51" s="126" t="str">
        <x:v>CH</x:v>
      </x:c>
      <x:c r="B51" s="118" t="str">
        <x:v>Switzerland</x:v>
      </x:c>
      <x:c r="C51" s="118" t="str">
        <x:v>CH_ZERO_BASIS</x:v>
      </x:c>
      <x:c r="D51" s="118" t="str">
        <x:v>CH_SIMULATION_READY_NATIONAL_DERIVED</x:v>
      </x:c>
      <x:c r="E51" s="118" t="str">
        <x:v>MEM_ETX6R_CH_National_Closure_v1.0</x:v>
      </x:c>
      <x:c r="F51" s="118" t="str">
        <x:v>01_CH_CAPACITY_STACK</x:v>
      </x:c>
      <x:c r="G51" s="118" t="n">
        <x:v>29</x:v>
      </x:c>
      <x:c r="H51" s="118" t="str">
        <x:v>Biogas / biomethane CHP</x:v>
      </x:c>
      <x:c r="I51" s="118" t="str">
        <x:v>biogas_chp</x:v>
      </x:c>
      <x:c r="J51" s="118" t="str">
        <x:v>bioenergy_biogas</x:v>
      </x:c>
      <x:c r="K51" s="118" t="str">
        <x:v>GW</x:v>
      </x:c>
      <x:c r="L51" s="143" t="n">
        <x:v>0.25</x:v>
      </x:c>
      <x:c r="M51" s="118" t="str">
        <x:v>OFFICIAL_SCENARIO_INPUT</x:v>
      </x:c>
      <x:c r="N51" s="118" t="str">
        <x:v>A</x:v>
      </x:c>
      <x:c r="O51" s="118" t="str">
        <x:v>CH_SZR_2040</x:v>
      </x:c>
      <x:c r="P51" s="118" t="str">
        <x:v>CLOSED_NATIONAL_DIRECT</x:v>
      </x:c>
      <x:c r="Q51" s="143" t="n">
        <x:v>0.37499999999999994</x:v>
      </x:c>
      <x:c r="R51" s="118" t="str">
        <x:v>DERIVED_FROM_OFFICIAL_COMPONENTS</x:v>
      </x:c>
      <x:c r="S51" s="118" t="str">
        <x:v>B</x:v>
      </x:c>
      <x:c r="T51" s="118" t="str">
        <x:v>CH_EP2050_SUMMARY+CH_WKK_EXCURSUS</x:v>
      </x:c>
      <x:c r="U51" s="118" t="str">
        <x:v>CLOSED_NATIONAL_DERIVED</x:v>
      </x:c>
      <x:c r="V51" s="118" t="str">
        <x:v>YES</x:v>
      </x:c>
      <x:c r="W51" s="118" t="str">
        <x:v>IMPLEMENT</x:v>
      </x:c>
      <x:c r="X51" s="119" t="b">
        <x:v>1</x:v>
      </x:c>
      <x:c r="Y51" s="118" t="str">
        <x:v>2040 direct. Capacity is scaled by official ZERO-Basis biogas generation growth from 0.8 TWh in 2040 to 1.2 TWh in 2050.</x:v>
      </x:c>
      <x:c r="Z51" s="118" t="str">
        <x:v>See CH-D19.</x:v>
      </x:c>
      <x:c r="AA51" s="118" t="str">
        <x:v>https://pubdb.bfe.admin.ch/de/publication/download/10621</x:v>
      </x:c>
      <x:c r="AB51" s="127" t="str">
        <x:v>ETX-6R_COUNTRY_CLOSURE</x:v>
      </x:c>
    </x:row>
    <x:row r="52">
      <x:c r="A52" s="126" t="str">
        <x:v>CH</x:v>
      </x:c>
      <x:c r="B52" s="118" t="str">
        <x:v>Switzerland</x:v>
      </x:c>
      <x:c r="C52" s="118" t="str">
        <x:v>CH_ZERO_BASIS</x:v>
      </x:c>
      <x:c r="D52" s="118" t="str">
        <x:v>CH_SIMULATION_READY_NATIONAL_DERIVED</x:v>
      </x:c>
      <x:c r="E52" s="118" t="str">
        <x:v>MEM_ETX6R_CH_National_Closure_v1.0</x:v>
      </x:c>
      <x:c r="F52" s="118" t="str">
        <x:v>01_CH_CAPACITY_STACK</x:v>
      </x:c>
      <x:c r="G52" s="118" t="n">
        <x:v>30</x:v>
      </x:c>
      <x:c r="H52" s="118" t="str">
        <x:v>Wastewater / ARA CHP</x:v>
      </x:c>
      <x:c r="I52" s="118" t="str">
        <x:v>ara_chp</x:v>
      </x:c>
      <x:c r="J52" s="118" t="str">
        <x:v>waste_chp</x:v>
      </x:c>
      <x:c r="K52" s="118" t="str">
        <x:v>GW</x:v>
      </x:c>
      <x:c r="L52" s="143" t="n">
        <x:v>0.03</x:v>
      </x:c>
      <x:c r="M52" s="118" t="str">
        <x:v>OFFICIAL_SCENARIO_INPUT</x:v>
      </x:c>
      <x:c r="N52" s="118" t="str">
        <x:v>A</x:v>
      </x:c>
      <x:c r="O52" s="118" t="str">
        <x:v>CH_SZR_2040</x:v>
      </x:c>
      <x:c r="P52" s="118" t="str">
        <x:v>CLOSED_NATIONAL_DIRECT</x:v>
      </x:c>
      <x:c r="Q52" s="143" t="n">
        <x:v>0.03</x:v>
      </x:c>
      <x:c r="R52" s="118" t="str">
        <x:v>DERIVED_FROM_OFFICIAL_COMPONENTS</x:v>
      </x:c>
      <x:c r="S52" s="118" t="str">
        <x:v>B</x:v>
      </x:c>
      <x:c r="T52" s="118" t="str">
        <x:v>CH_EP2050_SUMMARY</x:v>
      </x:c>
      <x:c r="U52" s="118" t="str">
        <x:v>CLOSED_NATIONAL_DERIVED</x:v>
      </x:c>
      <x:c r="V52" s="118" t="str">
        <x:v>YES</x:v>
      </x:c>
      <x:c r="W52" s="118" t="str">
        <x:v>IMPLEMENT</x:v>
      </x:c>
      <x:c r="X52" s="119" t="b">
        <x:v>1</x:v>
      </x:c>
      <x:c r="Y52" s="118" t="str">
        <x:v>ZERO-Basis ARA electricity generation remains ~0.1 TWh from 2040 to 2050; retain capacity.</x:v>
      </x:c>
      <x:c r="Z52" s="118" t="str">
        <x:v>See CH-D20.</x:v>
      </x:c>
      <x:c r="AA52" s="118" t="str">
        <x:v>https://pubdb.bfe.admin.ch/de/publication/download/10320</x:v>
      </x:c>
      <x:c r="AB52" s="127" t="str">
        <x:v>ETX-6R_COUNTRY_CLOSURE</x:v>
      </x:c>
    </x:row>
    <x:row r="53">
      <x:c r="A53" s="126" t="str">
        <x:v>CH</x:v>
      </x:c>
      <x:c r="B53" s="118" t="str">
        <x:v>Switzerland</x:v>
      </x:c>
      <x:c r="C53" s="118" t="str">
        <x:v>CH_ZERO_BASIS</x:v>
      </x:c>
      <x:c r="D53" s="118" t="str">
        <x:v>CH_SIMULATION_READY_NATIONAL_DERIVED</x:v>
      </x:c>
      <x:c r="E53" s="118" t="str">
        <x:v>MEM_ETX6R_CH_National_Closure_v1.0</x:v>
      </x:c>
      <x:c r="F53" s="118" t="str">
        <x:v>01_CH_CAPACITY_STACK</x:v>
      </x:c>
      <x:c r="G53" s="118" t="n">
        <x:v>31</x:v>
      </x:c>
      <x:c r="H53" s="118" t="str">
        <x:v>Geothermal electricity / CHP</x:v>
      </x:c>
      <x:c r="I53" s="118" t="str">
        <x:v>geothermal</x:v>
      </x:c>
      <x:c r="J53" s="118" t="str">
        <x:v>geothermal</x:v>
      </x:c>
      <x:c r="K53" s="118" t="str">
        <x:v>GW</x:v>
      </x:c>
      <x:c r="L53" s="143" t="n">
        <x:v>0.09</x:v>
      </x:c>
      <x:c r="M53" s="118" t="str">
        <x:v>OFFICIAL_SCENARIO_INPUT</x:v>
      </x:c>
      <x:c r="N53" s="118" t="str">
        <x:v>A</x:v>
      </x:c>
      <x:c r="O53" s="118" t="str">
        <x:v>CH_SZR_2040</x:v>
      </x:c>
      <x:c r="P53" s="118" t="str">
        <x:v>CLOSED_NATIONAL_DIRECT</x:v>
      </x:c>
      <x:c r="Q53" s="143" t="n">
        <x:v>0.3</x:v>
      </x:c>
      <x:c r="R53" s="118" t="str">
        <x:v>DERIVED_FROM_OFFICIAL_COMPONENTS</x:v>
      </x:c>
      <x:c r="S53" s="118" t="str">
        <x:v>B/C</x:v>
      </x:c>
      <x:c r="T53" s="118" t="str">
        <x:v>CH_EP2050_SUMMARY+CH_WKK_EXCURSUS</x:v>
      </x:c>
      <x:c r="U53" s="118" t="str">
        <x:v>CLOSED_NATIONAL_DERIVED</x:v>
      </x:c>
      <x:c r="V53" s="118" t="str">
        <x:v>YES</x:v>
      </x:c>
      <x:c r="W53" s="118" t="str">
        <x:v>IMPLEMENT</x:v>
      </x:c>
      <x:c r="X53" s="119" t="b">
        <x:v>1</x:v>
      </x:c>
      <x:c r="Y53" s="118" t="str">
        <x:v>2040 direct. Scale capacity with official geothermal generation growth from 0.6 TWh in 2040 to 2.0 TWh in 2050.</x:v>
      </x:c>
      <x:c r="Z53" s="118" t="str">
        <x:v>See CH-D21.</x:v>
      </x:c>
      <x:c r="AA53" s="118" t="str">
        <x:v>https://pubdb.bfe.admin.ch/de/publication/download/10621</x:v>
      </x:c>
      <x:c r="AB53" s="127" t="str">
        <x:v>ETX-6R_COUNTRY_CLOSURE</x:v>
      </x:c>
    </x:row>
    <x:row r="54">
      <x:c r="A54" s="126" t="str">
        <x:v>CH</x:v>
      </x:c>
      <x:c r="B54" s="118" t="str">
        <x:v>Switzerland</x:v>
      </x:c>
      <x:c r="C54" s="118" t="str">
        <x:v>CH_ZERO_BASIS</x:v>
      </x:c>
      <x:c r="D54" s="118" t="str">
        <x:v>CH_SIMULATION_READY_NATIONAL_DERIVED</x:v>
      </x:c>
      <x:c r="E54" s="118" t="str">
        <x:v>MEM_ETX6R_CH_National_Closure_v1.0</x:v>
      </x:c>
      <x:c r="F54" s="118" t="str">
        <x:v>01_CH_CAPACITY_STACK</x:v>
      </x:c>
      <x:c r="G54" s="118" t="n">
        <x:v>32</x:v>
      </x:c>
      <x:c r="H54" s="118" t="str">
        <x:v>Fossil plants aggregate</x:v>
      </x:c>
      <x:c r="I54" s="118" t="str">
        <x:v>thermal_fossil_aggregate</x:v>
      </x:c>
      <x:c r="J54" s="118" t="str">
        <x:v>thermal_fossil_aggregate</x:v>
      </x:c>
      <x:c r="K54" s="118" t="str">
        <x:v>GW</x:v>
      </x:c>
      <x:c r="L54" s="143" t="n">
        <x:v>0.4</x:v>
      </x:c>
      <x:c r="M54" s="118" t="str">
        <x:v>OFFICIAL_SCENARIO_INPUT</x:v>
      </x:c>
      <x:c r="N54" s="118" t="str">
        <x:v>A</x:v>
      </x:c>
      <x:c r="O54" s="118" t="str">
        <x:v>CH_EP2050_SHORT</x:v>
      </x:c>
      <x:c r="P54" s="118" t="str">
        <x:v>QA_CONTROL_ONLY</x:v>
      </x:c>
      <x:c r="Q54" s="143" t="n">
        <x:v>0.3</x:v>
      </x:c>
      <x:c r="R54" s="118" t="str">
        <x:v>OFFICIAL_SCENARIO_INPUT</x:v>
      </x:c>
      <x:c r="S54" s="118" t="str">
        <x:v>A</x:v>
      </x:c>
      <x:c r="T54" s="118" t="str">
        <x:v>CH_EP2050_SHORT</x:v>
      </x:c>
      <x:c r="U54" s="118" t="str">
        <x:v>QA_CONTROL_ONLY</x:v>
      </x:c>
      <x:c r="V54" s="118" t="str">
        <x:v>QA ONLY</x:v>
      </x:c>
      <x:c r="W54" s="118" t="str">
        <x:v>QA_CONTROL_ONLY</x:v>
      </x:c>
      <x:c r="X54" s="119" t="b">
        <x:v>0</x:v>
      </x:c>
      <x:c r="Y54" s="118" t="str">
        <x:v>Coarse EP2050+ aggregate retained as a QA control. Detailed KVA/thermal CHP rows are the implementation authority.</x:v>
      </x:c>
      <x:c r="Z54" s="118" t="str">
        <x:v>Capacity categories contain mixed fossil/renewable fuels, so do not force exact summation to this rounded group.</x:v>
      </x:c>
      <x:c r="AA54" s="118" t="str">
        <x:v>https://pubdb.bfe.admin.ch/de/publication/download/10323</x:v>
      </x:c>
      <x:c r="AB54" s="127" t="str">
        <x:v>ETX-6R_COUNTRY_CLOSURE</x:v>
      </x:c>
    </x:row>
    <x:row r="55">
      <x:c r="A55" s="126" t="str">
        <x:v>CH</x:v>
      </x:c>
      <x:c r="B55" s="118" t="str">
        <x:v>Switzerland</x:v>
      </x:c>
      <x:c r="C55" s="118" t="str">
        <x:v>CH_ZERO_BASIS</x:v>
      </x:c>
      <x:c r="D55" s="118" t="str">
        <x:v>CH_SIMULATION_READY_NATIONAL_DERIVED</x:v>
      </x:c>
      <x:c r="E55" s="118" t="str">
        <x:v>MEM_ETX6R_CH_National_Closure_v1.0</x:v>
      </x:c>
      <x:c r="F55" s="118" t="str">
        <x:v>01_CH_CAPACITY_STACK</x:v>
      </x:c>
      <x:c r="G55" s="118" t="n">
        <x:v>33</x:v>
      </x:c>
      <x:c r="H55" s="118" t="str">
        <x:v>Renewable coupled generation aggregate</x:v>
      </x:c>
      <x:c r="I55" s="118" t="str">
        <x:v>renewable_coupled_aggregate</x:v>
      </x:c>
      <x:c r="J55" s="118" t="str">
        <x:v>renewable_coupled_aggregate</x:v>
      </x:c>
      <x:c r="K55" s="118" t="str">
        <x:v>GW</x:v>
      </x:c>
      <x:c r="L55" s="143" t="n">
        <x:v>0.6</x:v>
      </x:c>
      <x:c r="M55" s="118" t="str">
        <x:v>OFFICIAL_SCENARIO_INPUT</x:v>
      </x:c>
      <x:c r="N55" s="118" t="str">
        <x:v>A</x:v>
      </x:c>
      <x:c r="O55" s="118" t="str">
        <x:v>CH_EP2050_SHORT</x:v>
      </x:c>
      <x:c r="P55" s="118" t="str">
        <x:v>QA_CONTROL_ONLY</x:v>
      </x:c>
      <x:c r="Q55" s="143" t="n">
        <x:v>1</x:v>
      </x:c>
      <x:c r="R55" s="118" t="str">
        <x:v>OFFICIAL_SCENARIO_INPUT</x:v>
      </x:c>
      <x:c r="S55" s="118" t="str">
        <x:v>A</x:v>
      </x:c>
      <x:c r="T55" s="118" t="str">
        <x:v>CH_EP2050_SHORT</x:v>
      </x:c>
      <x:c r="U55" s="118" t="str">
        <x:v>QA_CONTROL_ONLY</x:v>
      </x:c>
      <x:c r="V55" s="118" t="str">
        <x:v>QA ONLY</x:v>
      </x:c>
      <x:c r="W55" s="118" t="str">
        <x:v>QA_CONTROL_ONLY</x:v>
      </x:c>
      <x:c r="X55" s="119" t="b">
        <x:v>0</x:v>
      </x:c>
      <x:c r="Y55" s="118" t="str">
        <x:v>Coarse EP2050+ renewable-coupled aggregate retained as QA only.</x:v>
      </x:c>
      <x:c r="Z55" s="118" t="str">
        <x:v>Detailed biomass/biogas/ARA/geothermal/KVA treatment is implemented instead.</x:v>
      </x:c>
      <x:c r="AA55" s="118" t="str">
        <x:v>https://pubdb.bfe.admin.ch/de/publication/download/10323</x:v>
      </x:c>
      <x:c r="AB55" s="127" t="str">
        <x:v>ETX-6R_COUNTRY_CLOSURE</x:v>
      </x:c>
    </x:row>
    <x:row r="56">
      <x:c r="A56" s="126" t="str">
        <x:v>AT</x:v>
      </x:c>
      <x:c r="B56" s="118" t="str">
        <x:v>Austria</x:v>
      </x:c>
      <x:c r="C56" s="118" t="str">
        <x:v>AT_BASE_WAM2025</x:v>
      </x:c>
      <x:c r="D56" s="118" t="str">
        <x:v>AT_SIMULATION_READY_NATIONAL_BENCHMARK_DERIVED</x:v>
      </x:c>
      <x:c r="E56" s="118" t="str">
        <x:v>MEM_ETX6R_AT_National_Closure_v1.0</x:v>
      </x:c>
      <x:c r="F56" s="118" t="str">
        <x:v>01_AT_CAPACITY_STACK</x:v>
      </x:c>
      <x:c r="G56" s="118" t="n">
        <x:v>5</x:v>
      </x:c>
      <x:c r="H56" s="118" t="str">
        <x:v>Annual electricity demand</x:v>
      </x:c>
      <x:c r="I56" s="118" t="str">
        <x:v>load</x:v>
      </x:c>
      <x:c r="J56" s="118" t="str">
        <x:v>demand</x:v>
      </x:c>
      <x:c r="K56" s="118" t="str">
        <x:v>TWh</x:v>
      </x:c>
      <x:c r="L56" s="143" t="n">
        <x:v>109</x:v>
      </x:c>
      <x:c r="M56" s="118" t="str">
        <x:v>OFFICIAL_SCENARIO_INPUT</x:v>
      </x:c>
      <x:c r="N56" s="118" t="str">
        <x:v>A</x:v>
      </x:c>
      <x:c r="O56" s="118" t="str">
        <x:v>AT_WAM2025</x:v>
      </x:c>
      <x:c r="P56" s="118" t="str">
        <x:v>CLOSED_NATIONAL_DIRECT</x:v>
      </x:c>
      <x:c r="Q56" s="143" t="n">
        <x:v>121</x:v>
      </x:c>
      <x:c r="R56" s="118" t="str">
        <x:v>OFFICIAL_SCENARIO_INPUT</x:v>
      </x:c>
      <x:c r="S56" s="118" t="str">
        <x:v>A</x:v>
      </x:c>
      <x:c r="T56" s="118" t="str">
        <x:v>AT_WAM2025</x:v>
      </x:c>
      <x:c r="U56" s="118" t="str">
        <x:v>CLOSED_NATIONAL_DIRECT</x:v>
      </x:c>
      <x:c r="V56" s="118" t="str">
        <x:v>YES</x:v>
      </x:c>
      <x:c r="W56" s="118" t="str">
        <x:v>IMPLEMENT</x:v>
      </x:c>
      <x:c r="X56" s="119" t="b">
        <x:v>1</x:v>
      </x:c>
      <x:c r="Y56" s="118" t="str">
        <x:v>WAM 2025 Table 18 directly gives 109 TWh in 2040 and 121 TWh in 2050. The figure includes sector-energy consumption, transport losses and electrolysis transformation input.</x:v>
      </x:c>
      <x:c r="Z56" s="118" t="str">
        <x:v>Do not add a separate electrolyser load in Stage A unless the embedded WAM electricity is correspondingly removed.</x:v>
      </x:c>
      <x:c r="AA56" s="118" t="str">
        <x:v>https://www.umweltbundesamt.at/fileadmin/site/publikationen/rep0995.pdf</x:v>
      </x:c>
      <x:c r="AB56" s="127" t="str">
        <x:v>ETX-6R_COUNTRY_CLOSURE</x:v>
      </x:c>
    </x:row>
    <x:row r="57">
      <x:c r="A57" s="126" t="str">
        <x:v>AT</x:v>
      </x:c>
      <x:c r="B57" s="118" t="str">
        <x:v>Austria</x:v>
      </x:c>
      <x:c r="C57" s="118" t="str">
        <x:v>AT_BASE_WAM2025</x:v>
      </x:c>
      <x:c r="D57" s="118" t="str">
        <x:v>AT_SIMULATION_READY_NATIONAL_BENCHMARK_DERIVED</x:v>
      </x:c>
      <x:c r="E57" s="118" t="str">
        <x:v>MEM_ETX6R_AT_National_Closure_v1.0</x:v>
      </x:c>
      <x:c r="F57" s="118" t="str">
        <x:v>01_AT_CAPACITY_STACK</x:v>
      </x:c>
      <x:c r="G57" s="118" t="n">
        <x:v>6</x:v>
      </x:c>
      <x:c r="H57" s="118" t="str">
        <x:v>Nuclear</x:v>
      </x:c>
      <x:c r="I57" s="118" t="str">
        <x:v>nuclear</x:v>
      </x:c>
      <x:c r="J57" s="118" t="str">
        <x:v>nuclear</x:v>
      </x:c>
      <x:c r="K57" s="118" t="str">
        <x:v>GW</x:v>
      </x:c>
      <x:c r="L57" s="143" t="n">
        <x:v>0</x:v>
      </x:c>
      <x:c r="M57" s="118" t="str">
        <x:v>OFFICIAL_POLICY_ZERO</x:v>
      </x:c>
      <x:c r="N57" s="118" t="str">
        <x:v>A</x:v>
      </x:c>
      <x:c r="O57" s="118" t="str">
        <x:v>AT_WAM2025</x:v>
      </x:c>
      <x:c r="P57" s="118" t="str">
        <x:v>ZERO_SELECTED_SCENARIO</x:v>
      </x:c>
      <x:c r="Q57" s="143" t="n">
        <x:v>0</x:v>
      </x:c>
      <x:c r="R57" s="118" t="str">
        <x:v>OFFICIAL_POLICY_ZERO</x:v>
      </x:c>
      <x:c r="S57" s="118" t="str">
        <x:v>A</x:v>
      </x:c>
      <x:c r="T57" s="118" t="str">
        <x:v>AT_WAM2025</x:v>
      </x:c>
      <x:c r="U57" s="118" t="str">
        <x:v>ZERO_SELECTED_SCENARIO</x:v>
      </x:c>
      <x:c r="V57" s="118" t="str">
        <x:v>YES</x:v>
      </x:c>
      <x:c r="W57" s="118" t="str">
        <x:v>IMPLEMENT</x:v>
      </x:c>
      <x:c r="X57" s="119" t="b">
        <x:v>1</x:v>
      </x:c>
      <x:c r="Y57" s="118" t="str">
        <x:v>Austria has no nuclear generation in the selected national pathway.</x:v>
      </x:c>
      <x:c r="Z57" s="118" t="str">
        <x:v>Explicit zero.</x:v>
      </x:c>
      <x:c r="AA57" s="118" t="str">
        <x:v>https://www.umweltbundesamt.at/fileadmin/site/publikationen/rep0995.pdf</x:v>
      </x:c>
      <x:c r="AB57" s="127" t="str">
        <x:v>ETX-6R_COUNTRY_CLOSURE</x:v>
      </x:c>
    </x:row>
    <x:row r="58">
      <x:c r="A58" s="126" t="str">
        <x:v>AT</x:v>
      </x:c>
      <x:c r="B58" s="118" t="str">
        <x:v>Austria</x:v>
      </x:c>
      <x:c r="C58" s="118" t="str">
        <x:v>AT_BASE_WAM2025</x:v>
      </x:c>
      <x:c r="D58" s="118" t="str">
        <x:v>AT_SIMULATION_READY_NATIONAL_BENCHMARK_DERIVED</x:v>
      </x:c>
      <x:c r="E58" s="118" t="str">
        <x:v>MEM_ETX6R_AT_National_Closure_v1.0</x:v>
      </x:c>
      <x:c r="F58" s="118" t="str">
        <x:v>01_AT_CAPACITY_STACK</x:v>
      </x:c>
      <x:c r="G58" s="118" t="n">
        <x:v>7</x:v>
      </x:c>
      <x:c r="H58" s="118" t="str">
        <x:v>Coal / lignite</x:v>
      </x:c>
      <x:c r="I58" s="118" t="str">
        <x:v>coal_lignite</x:v>
      </x:c>
      <x:c r="J58" s="118" t="str">
        <x:v>coal_lignite</x:v>
      </x:c>
      <x:c r="K58" s="118" t="str">
        <x:v>GW</x:v>
      </x:c>
      <x:c r="L58" s="143" t="n">
        <x:v>0</x:v>
      </x:c>
      <x:c r="M58" s="118" t="str">
        <x:v>OFFICIAL_POLICY_ZERO</x:v>
      </x:c>
      <x:c r="N58" s="118" t="str">
        <x:v>A</x:v>
      </x:c>
      <x:c r="O58" s="118" t="str">
        <x:v>AT_WAM2025</x:v>
      </x:c>
      <x:c r="P58" s="118" t="str">
        <x:v>ZERO_SELECTED_SCENARIO</x:v>
      </x:c>
      <x:c r="Q58" s="143" t="n">
        <x:v>0</x:v>
      </x:c>
      <x:c r="R58" s="118" t="str">
        <x:v>OFFICIAL_POLICY_ZERO</x:v>
      </x:c>
      <x:c r="S58" s="118" t="str">
        <x:v>A</x:v>
      </x:c>
      <x:c r="T58" s="118" t="str">
        <x:v>AT_WAM2025</x:v>
      </x:c>
      <x:c r="U58" s="118" t="str">
        <x:v>ZERO_SELECTED_SCENARIO</x:v>
      </x:c>
      <x:c r="V58" s="118" t="str">
        <x:v>YES</x:v>
      </x:c>
      <x:c r="W58" s="118" t="str">
        <x:v>IMPLEMENT</x:v>
      </x:c>
      <x:c r="X58" s="119" t="b">
        <x:v>1</x:v>
      </x:c>
      <x:c r="Y58" s="118" t="str">
        <x:v>No coal/lignite generation capacity is retained in the WAM future stack.</x:v>
      </x:c>
      <x:c r="Z58" s="118" t="str">
        <x:v>Explicit zero.</x:v>
      </x:c>
      <x:c r="AA58" s="118" t="str">
        <x:v>https://www.umweltbundesamt.at/fileadmin/site/publikationen/rep0995.pdf</x:v>
      </x:c>
      <x:c r="AB58" s="127" t="str">
        <x:v>ETX-6R_COUNTRY_CLOSURE</x:v>
      </x:c>
    </x:row>
    <x:row r="59">
      <x:c r="A59" s="126" t="str">
        <x:v>AT</x:v>
      </x:c>
      <x:c r="B59" s="118" t="str">
        <x:v>Austria</x:v>
      </x:c>
      <x:c r="C59" s="118" t="str">
        <x:v>AT_BASE_WAM2025</x:v>
      </x:c>
      <x:c r="D59" s="118" t="str">
        <x:v>AT_SIMULATION_READY_NATIONAL_BENCHMARK_DERIVED</x:v>
      </x:c>
      <x:c r="E59" s="118" t="str">
        <x:v>MEM_ETX6R_AT_National_Closure_v1.0</x:v>
      </x:c>
      <x:c r="F59" s="118" t="str">
        <x:v>01_AT_CAPACITY_STACK</x:v>
      </x:c>
      <x:c r="G59" s="118" t="n">
        <x:v>8</x:v>
      </x:c>
      <x:c r="H59" s="118" t="str">
        <x:v>Offshore wind</x:v>
      </x:c>
      <x:c r="I59" s="118" t="str">
        <x:v>offwind</x:v>
      </x:c>
      <x:c r="J59" s="118" t="str">
        <x:v>wind_offshore</x:v>
      </x:c>
      <x:c r="K59" s="118" t="str">
        <x:v>GW</x:v>
      </x:c>
      <x:c r="L59" s="143" t="n">
        <x:v>0</x:v>
      </x:c>
      <x:c r="M59" s="118" t="str">
        <x:v>NATIONAL_GEOGRAPHIC_ZERO</x:v>
      </x:c>
      <x:c r="N59" s="118" t="str">
        <x:v>A</x:v>
      </x:c>
      <x:c r="O59" s="118" t="str">
        <x:v>AT_WAM2025</x:v>
      </x:c>
      <x:c r="P59" s="118" t="str">
        <x:v>ZERO_SELECTED_SCENARIO</x:v>
      </x:c>
      <x:c r="Q59" s="143" t="n">
        <x:v>0</x:v>
      </x:c>
      <x:c r="R59" s="118" t="str">
        <x:v>NATIONAL_GEOGRAPHIC_ZERO</x:v>
      </x:c>
      <x:c r="S59" s="118" t="str">
        <x:v>A</x:v>
      </x:c>
      <x:c r="T59" s="118" t="str">
        <x:v>AT_WAM2025</x:v>
      </x:c>
      <x:c r="U59" s="118" t="str">
        <x:v>ZERO_SELECTED_SCENARIO</x:v>
      </x:c>
      <x:c r="V59" s="118" t="str">
        <x:v>YES</x:v>
      </x:c>
      <x:c r="W59" s="118" t="str">
        <x:v>IMPLEMENT</x:v>
      </x:c>
      <x:c r="X59" s="119" t="b">
        <x:v>1</x:v>
      </x:c>
      <x:c r="Y59" s="118" t="str">
        <x:v>Austria is landlocked; WAM wind is onshore.</x:v>
      </x:c>
      <x:c r="Z59" s="118" t="str">
        <x:v>Explicit zero.</x:v>
      </x:c>
      <x:c r="AA59" s="118" t="str">
        <x:v>https://www.umweltbundesamt.at/fileadmin/site/publikationen/rep0995.pdf</x:v>
      </x:c>
      <x:c r="AB59" s="127" t="str">
        <x:v>ETX-6R_COUNTRY_CLOSURE</x:v>
      </x:c>
    </x:row>
    <x:row r="60">
      <x:c r="A60" s="126" t="str">
        <x:v>AT</x:v>
      </x:c>
      <x:c r="B60" s="118" t="str">
        <x:v>Austria</x:v>
      </x:c>
      <x:c r="C60" s="118" t="str">
        <x:v>AT_BASE_WAM2025</x:v>
      </x:c>
      <x:c r="D60" s="118" t="str">
        <x:v>AT_SIMULATION_READY_NATIONAL_BENCHMARK_DERIVED</x:v>
      </x:c>
      <x:c r="E60" s="118" t="str">
        <x:v>MEM_ETX6R_AT_National_Closure_v1.0</x:v>
      </x:c>
      <x:c r="F60" s="118" t="str">
        <x:v>01_AT_CAPACITY_STACK</x:v>
      </x:c>
      <x:c r="G60" s="118" t="n">
        <x:v>9</x:v>
      </x:c>
      <x:c r="H60" s="118" t="str">
        <x:v>Geothermal electricity</x:v>
      </x:c>
      <x:c r="I60" s="118" t="str">
        <x:v>geothermal</x:v>
      </x:c>
      <x:c r="J60" s="118" t="str">
        <x:v>geothermal</x:v>
      </x:c>
      <x:c r="K60" s="118" t="str">
        <x:v>GW</x:v>
      </x:c>
      <x:c r="L60" s="143" t="n">
        <x:v>0</x:v>
      </x:c>
      <x:c r="M60" s="118" t="str">
        <x:v>OFFICIAL_SCENARIO_ZERO</x:v>
      </x:c>
      <x:c r="N60" s="118" t="str">
        <x:v>A/B</x:v>
      </x:c>
      <x:c r="O60" s="118" t="str">
        <x:v>AT_WAM2025</x:v>
      </x:c>
      <x:c r="P60" s="118" t="str">
        <x:v>ZERO_SELECTED_SCENARIO</x:v>
      </x:c>
      <x:c r="Q60" s="143" t="n">
        <x:v>0</x:v>
      </x:c>
      <x:c r="R60" s="118" t="str">
        <x:v>OFFICIAL_SCENARIO_ZERO</x:v>
      </x:c>
      <x:c r="S60" s="118" t="str">
        <x:v>A/B</x:v>
      </x:c>
      <x:c r="T60" s="118" t="str">
        <x:v>AT_WAM2025</x:v>
      </x:c>
      <x:c r="U60" s="118" t="str">
        <x:v>ZERO_SELECTED_SCENARIO</x:v>
      </x:c>
      <x:c r="V60" s="118" t="str">
        <x:v>YES</x:v>
      </x:c>
      <x:c r="W60" s="118" t="str">
        <x:v>IMPLEMENT</x:v>
      </x:c>
      <x:c r="X60" s="119" t="b">
        <x:v>1</x:v>
      </x:c>
      <x:c r="Y60" s="118" t="str">
        <x:v>WAM electricity generation from 'Umgebungswärme etc.' is 0 TWh in 2040 and 2050; no separate geothermal-electric fleet is required.</x:v>
      </x:c>
      <x:c r="Z60" s="118" t="str">
        <x:v>Geothermal heat is outside the electricity-generation stack.</x:v>
      </x:c>
      <x:c r="AA60" s="118" t="str">
        <x:v>https://www.umweltbundesamt.at/fileadmin/site/publikationen/rep0995.pdf</x:v>
      </x:c>
      <x:c r="AB60" s="127" t="str">
        <x:v>ETX-6R_COUNTRY_CLOSURE</x:v>
      </x:c>
    </x:row>
    <x:row r="61">
      <x:c r="A61" s="126" t="str">
        <x:v>AT</x:v>
      </x:c>
      <x:c r="B61" s="118" t="str">
        <x:v>Austria</x:v>
      </x:c>
      <x:c r="C61" s="118" t="str">
        <x:v>AT_BASE_WAM2025</x:v>
      </x:c>
      <x:c r="D61" s="118" t="str">
        <x:v>AT_SIMULATION_READY_NATIONAL_BENCHMARK_DERIVED</x:v>
      </x:c>
      <x:c r="E61" s="118" t="str">
        <x:v>MEM_ETX6R_AT_National_Closure_v1.0</x:v>
      </x:c>
      <x:c r="F61" s="118" t="str">
        <x:v>01_AT_CAPACITY_STACK</x:v>
      </x:c>
      <x:c r="G61" s="118" t="n">
        <x:v>10</x:v>
      </x:c>
      <x:c r="H61" s="118" t="str">
        <x:v>Solar PV</x:v>
      </x:c>
      <x:c r="I61" s="118" t="str">
        <x:v>solar</x:v>
      </x:c>
      <x:c r="J61" s="118" t="str">
        <x:v>solar_pv</x:v>
      </x:c>
      <x:c r="K61" s="118" t="str">
        <x:v>GW</x:v>
      </x:c>
      <x:c r="L61" s="143" t="n">
        <x:v>30</x:v>
      </x:c>
      <x:c r="M61" s="118" t="str">
        <x:v>OFFICIAL_SCENARIO_INPUT</x:v>
      </x:c>
      <x:c r="N61" s="118" t="str">
        <x:v>A</x:v>
      </x:c>
      <x:c r="O61" s="118" t="str">
        <x:v>AT_WAM2040_CAPACITY</x:v>
      </x:c>
      <x:c r="P61" s="118" t="str">
        <x:v>CLOSED_NATIONAL_DIRECT</x:v>
      </x:c>
      <x:c r="Q61" s="143" t="n">
        <x:v>35</x:v>
      </x:c>
      <x:c r="R61" s="118" t="str">
        <x:v>DERIVED_FROM_OFFICIAL_COMPONENTS</x:v>
      </x:c>
      <x:c r="S61" s="118" t="str">
        <x:v>B</x:v>
      </x:c>
      <x:c r="T61" s="118" t="str">
        <x:v>AT_WAM2025</x:v>
      </x:c>
      <x:c r="U61" s="118" t="str">
        <x:v>CLOSED_NATIONAL_DERIVED</x:v>
      </x:c>
      <x:c r="V61" s="118" t="str">
        <x:v>YES</x:v>
      </x:c>
      <x:c r="W61" s="118" t="str">
        <x:v>IMPLEMENT</x:v>
      </x:c>
      <x:c r="X61" s="119" t="b">
        <x:v>1</x:v>
      </x:c>
      <x:c r="Y61" s="118" t="str">
        <x:v>2040 direct national WAM capacity. 2050 follows WAM PV generation from 30 to 35 TWh using the 2040 WAM capacity relationship.</x:v>
      </x:c>
      <x:c r="Z61" s="118" t="str">
        <x:v>See AT-D01.</x:v>
      </x:c>
      <x:c r="AA61" s="118" t="str">
        <x:v>https://pb1-medien.apg.at/im/dl/apg-1687747003/APG_Netzentwicklungsplan_2025.pdf</x:v>
      </x:c>
      <x:c r="AB61" s="127" t="str">
        <x:v>ETX-6R_COUNTRY_CLOSURE</x:v>
      </x:c>
    </x:row>
    <x:row r="62">
      <x:c r="A62" s="126" t="str">
        <x:v>AT</x:v>
      </x:c>
      <x:c r="B62" s="118" t="str">
        <x:v>Austria</x:v>
      </x:c>
      <x:c r="C62" s="118" t="str">
        <x:v>AT_BASE_WAM2025</x:v>
      </x:c>
      <x:c r="D62" s="118" t="str">
        <x:v>AT_SIMULATION_READY_NATIONAL_BENCHMARK_DERIVED</x:v>
      </x:c>
      <x:c r="E62" s="118" t="str">
        <x:v>MEM_ETX6R_AT_National_Closure_v1.0</x:v>
      </x:c>
      <x:c r="F62" s="118" t="str">
        <x:v>01_AT_CAPACITY_STACK</x:v>
      </x:c>
      <x:c r="G62" s="118" t="n">
        <x:v>11</x:v>
      </x:c>
      <x:c r="H62" s="118" t="str">
        <x:v>Onshore wind</x:v>
      </x:c>
      <x:c r="I62" s="118" t="str">
        <x:v>onwind</x:v>
      </x:c>
      <x:c r="J62" s="118" t="str">
        <x:v>wind_onshore</x:v>
      </x:c>
      <x:c r="K62" s="118" t="str">
        <x:v>GW</x:v>
      </x:c>
      <x:c r="L62" s="143" t="n">
        <x:v>9.6</x:v>
      </x:c>
      <x:c r="M62" s="118" t="str">
        <x:v>OFFICIAL_SCENARIO_INPUT</x:v>
      </x:c>
      <x:c r="N62" s="118" t="str">
        <x:v>A</x:v>
      </x:c>
      <x:c r="O62" s="118" t="str">
        <x:v>AT_WAM2040_CAPACITY</x:v>
      </x:c>
      <x:c r="P62" s="118" t="str">
        <x:v>CLOSED_NATIONAL_DIRECT</x:v>
      </x:c>
      <x:c r="Q62" s="143" t="n">
        <x:v>10.799999999999999</x:v>
      </x:c>
      <x:c r="R62" s="118" t="str">
        <x:v>DERIVED_FROM_OFFICIAL_COMPONENTS</x:v>
      </x:c>
      <x:c r="S62" s="118" t="str">
        <x:v>B</x:v>
      </x:c>
      <x:c r="T62" s="118" t="str">
        <x:v>AT_WAM2025</x:v>
      </x:c>
      <x:c r="U62" s="118" t="str">
        <x:v>CLOSED_NATIONAL_DERIVED</x:v>
      </x:c>
      <x:c r="V62" s="118" t="str">
        <x:v>YES</x:v>
      </x:c>
      <x:c r="W62" s="118" t="str">
        <x:v>IMPLEMENT</x:v>
      </x:c>
      <x:c r="X62" s="119" t="b">
        <x:v>1</x:v>
      </x:c>
      <x:c r="Y62" s="118" t="str">
        <x:v>2040 direct national WAM value. 2050 follows WAM wind generation from 24 to 27 TWh.</x:v>
      </x:c>
      <x:c r="Z62" s="118" t="str">
        <x:v>This is a material correction versus ETX-5, where 16/18 GW came from TYNDP NT rather than the selected national WAM pathway. See AT-D02.</x:v>
      </x:c>
      <x:c r="AA62" s="118" t="str">
        <x:v>https://pb1-medien.apg.at/im/dl/apg-1687747003/APG_Netzentwicklungsplan_2025.pdf</x:v>
      </x:c>
      <x:c r="AB62" s="127" t="str">
        <x:v>ETX-6R_COUNTRY_CLOSURE</x:v>
      </x:c>
    </x:row>
    <x:row r="63">
      <x:c r="A63" s="126" t="str">
        <x:v>AT</x:v>
      </x:c>
      <x:c r="B63" s="118" t="str">
        <x:v>Austria</x:v>
      </x:c>
      <x:c r="C63" s="118" t="str">
        <x:v>AT_BASE_WAM2025</x:v>
      </x:c>
      <x:c r="D63" s="118" t="str">
        <x:v>AT_SIMULATION_READY_NATIONAL_BENCHMARK_DERIVED</x:v>
      </x:c>
      <x:c r="E63" s="118" t="str">
        <x:v>MEM_ETX6R_AT_National_Closure_v1.0</x:v>
      </x:c>
      <x:c r="F63" s="118" t="str">
        <x:v>01_AT_CAPACITY_STACK</x:v>
      </x:c>
      <x:c r="G63" s="118" t="n">
        <x:v>12</x:v>
      </x:c>
      <x:c r="H63" s="118" t="str">
        <x:v>Bioenergy / other renewables</x:v>
      </x:c>
      <x:c r="I63" s="118" t="str">
        <x:v>bioenergy_other_res</x:v>
      </x:c>
      <x:c r="J63" s="118" t="str">
        <x:v>bioenergy_biomass</x:v>
      </x:c>
      <x:c r="K63" s="118" t="str">
        <x:v>GW</x:v>
      </x:c>
      <x:c r="L63" s="143" t="n">
        <x:v>0.866</x:v>
      </x:c>
      <x:c r="M63" s="118" t="str">
        <x:v>OFFICIAL_SCENARIO_INPUT</x:v>
      </x:c>
      <x:c r="N63" s="118" t="str">
        <x:v>A/B</x:v>
      </x:c>
      <x:c r="O63" s="118" t="str">
        <x:v>AT_WAM2040_CAPACITY</x:v>
      </x:c>
      <x:c r="P63" s="118" t="str">
        <x:v>CLOSED_NATIONAL_DIRECT</x:v>
      </x:c>
      <x:c r="Q63" s="143" t="n">
        <x:v>0.866</x:v>
      </x:c>
      <x:c r="R63" s="118" t="str">
        <x:v>DERIVED_FROM_OFFICIAL_COMPONENTS</x:v>
      </x:c>
      <x:c r="S63" s="118" t="str">
        <x:v>B</x:v>
      </x:c>
      <x:c r="T63" s="118" t="str">
        <x:v>AT_WAM2025</x:v>
      </x:c>
      <x:c r="U63" s="118" t="str">
        <x:v>CLOSED_NATIONAL_DERIVED</x:v>
      </x:c>
      <x:c r="V63" s="118" t="str">
        <x:v>YES</x:v>
      </x:c>
      <x:c r="W63" s="118" t="str">
        <x:v>IMPLEMENT</x:v>
      </x:c>
      <x:c r="X63" s="119" t="b">
        <x:v>1</x:v>
      </x:c>
      <x:c r="Y63" s="118" t="str">
        <x:v>APG's national WAM row gives 0.866 GW 'other renewables' in 2040; WAM biomass incl. biomethane generation is 6 TWh in both 2040 and 2050.</x:v>
      </x:c>
      <x:c r="Z63" s="118" t="str">
        <x:v>Aggregate bioenergy/other-RES carrier. Avoid double counting waste/biomass subcomponents unless disaggregated later. See AT-D03.</x:v>
      </x:c>
      <x:c r="AA63" s="118" t="str">
        <x:v>https://pb1-medien.apg.at/im/dl/apg-1687747003/APG_Netzentwicklungsplan_2025.pdf</x:v>
      </x:c>
      <x:c r="AB63" s="127" t="str">
        <x:v>ETX-6R_COUNTRY_CLOSURE</x:v>
      </x:c>
    </x:row>
    <x:row r="64">
      <x:c r="A64" s="126" t="str">
        <x:v>AT</x:v>
      </x:c>
      <x:c r="B64" s="118" t="str">
        <x:v>Austria</x:v>
      </x:c>
      <x:c r="C64" s="118" t="str">
        <x:v>AT_BASE_WAM2025</x:v>
      </x:c>
      <x:c r="D64" s="118" t="str">
        <x:v>AT_SIMULATION_READY_NATIONAL_BENCHMARK_DERIVED</x:v>
      </x:c>
      <x:c r="E64" s="118" t="str">
        <x:v>MEM_ETX6R_AT_National_Closure_v1.0</x:v>
      </x:c>
      <x:c r="F64" s="118" t="str">
        <x:v>01_AT_CAPACITY_STACK</x:v>
      </x:c>
      <x:c r="G64" s="118" t="n">
        <x:v>13</x:v>
      </x:c>
      <x:c r="H64" s="118" t="str">
        <x:v>Hydro total turbine power</x:v>
      </x:c>
      <x:c r="I64" s="118" t="str">
        <x:v>hydro_total</x:v>
      </x:c>
      <x:c r="J64" s="118" t="str">
        <x:v>hydro_total</x:v>
      </x:c>
      <x:c r="K64" s="118" t="str">
        <x:v>GW</x:v>
      </x:c>
      <x:c r="L64" s="143" t="n">
        <x:v>19.191</x:v>
      </x:c>
      <x:c r="M64" s="118" t="str">
        <x:v>DERIVED_FROM_NATIONAL_COMPONENTS</x:v>
      </x:c>
      <x:c r="N64" s="118" t="str">
        <x:v>B</x:v>
      </x:c>
      <x:c r="O64" s="118" t="str">
        <x:v>AT_OENIP+AT_APG_NEP2025</x:v>
      </x:c>
      <x:c r="P64" s="118" t="str">
        <x:v>QA_CONTROL_ONLY</x:v>
      </x:c>
      <x:c r="Q64" s="143" t="n">
        <x:v>19.191</x:v>
      </x:c>
      <x:c r="R64" s="118" t="str">
        <x:v>NATIONAL_TRAJECTORY_CARRY_FORWARD</x:v>
      </x:c>
      <x:c r="S64" s="118" t="str">
        <x:v>B/C</x:v>
      </x:c>
      <x:c r="T64" s="118" t="str">
        <x:v>AT_WAM2025</x:v>
      </x:c>
      <x:c r="U64" s="118" t="str">
        <x:v>QA_CONTROL_ONLY</x:v>
      </x:c>
      <x:c r="V64" s="118" t="str">
        <x:v>QA ONLY</x:v>
      </x:c>
      <x:c r="W64" s="118" t="str">
        <x:v>QA_CONTROL_ONLY</x:v>
      </x:c>
      <x:c r="X64" s="119" t="b">
        <x:v>0</x:v>
      </x:c>
      <x:c r="Y64" s="118" t="str">
        <x:v>Sum of national run-of-river, reservoir and PHS turbine benchmarks.</x:v>
      </x:c>
      <x:c r="Z64" s="118" t="str">
        <x:v>National-geography control; do not create a separate hydro asset. See AT-D04.</x:v>
      </x:c>
      <x:c r="AA64" s="118" t="str">
        <x:v>https://www.bmwet.gv.at/Services/Publikationen/publikationen-energie/netzinfrastrukturplan.html</x:v>
      </x:c>
      <x:c r="AB64" s="127" t="str">
        <x:v>ETX-6R_COUNTRY_CLOSURE</x:v>
      </x:c>
    </x:row>
    <x:row r="65">
      <x:c r="A65" s="126" t="str">
        <x:v>AT</x:v>
      </x:c>
      <x:c r="B65" s="118" t="str">
        <x:v>Austria</x:v>
      </x:c>
      <x:c r="C65" s="118" t="str">
        <x:v>AT_BASE_WAM2025</x:v>
      </x:c>
      <x:c r="D65" s="118" t="str">
        <x:v>AT_SIMULATION_READY_NATIONAL_BENCHMARK_DERIVED</x:v>
      </x:c>
      <x:c r="E65" s="118" t="str">
        <x:v>MEM_ETX6R_AT_National_Closure_v1.0</x:v>
      </x:c>
      <x:c r="F65" s="118" t="str">
        <x:v>01_AT_CAPACITY_STACK</x:v>
      </x:c>
      <x:c r="G65" s="118" t="n">
        <x:v>14</x:v>
      </x:c>
      <x:c r="H65" s="118" t="str">
        <x:v>Run-of-river hydro</x:v>
      </x:c>
      <x:c r="I65" s="118" t="str">
        <x:v>ror_hydro</x:v>
      </x:c>
      <x:c r="J65" s="118" t="str">
        <x:v>hydro_non_phs</x:v>
      </x:c>
      <x:c r="K65" s="118" t="str">
        <x:v>GW</x:v>
      </x:c>
      <x:c r="L65" s="143" t="n">
        <x:v>7.318</x:v>
      </x:c>
      <x:c r="M65" s="118" t="str">
        <x:v>NATIONAL_INFRASTRUCTURE_BENCHMARK</x:v>
      </x:c>
      <x:c r="N65" s="118" t="str">
        <x:v>A/B</x:v>
      </x:c>
      <x:c r="O65" s="118" t="str">
        <x:v>AT_APG_NEP2025</x:v>
      </x:c>
      <x:c r="P65" s="118" t="str">
        <x:v>CLOSED_NATIONAL_BENCHMARK_DERIVED</x:v>
      </x:c>
      <x:c r="Q65" s="143" t="n">
        <x:v>7.318</x:v>
      </x:c>
      <x:c r="R65" s="118" t="str">
        <x:v>NATIONAL_TRAJECTORY_CARRY_FORWARD</x:v>
      </x:c>
      <x:c r="S65" s="118" t="str">
        <x:v>B</x:v>
      </x:c>
      <x:c r="T65" s="118" t="str">
        <x:v>AT_WAM2025+AT_APG_NEP2025</x:v>
      </x:c>
      <x:c r="U65" s="118" t="str">
        <x:v>CLOSED_NATIONAL_BENCHMARK_DERIVED</x:v>
      </x:c>
      <x:c r="V65" s="118" t="str">
        <x:v>YES</x:v>
      </x:c>
      <x:c r="W65" s="118" t="str">
        <x:v>IMPLEMENT</x:v>
      </x:c>
      <x:c r="X65" s="119" t="b">
        <x:v>1</x:v>
      </x:c>
      <x:c r="Y65" s="118" t="str">
        <x:v>Latest national APG/ÖNIP 2040 planning benchmark; carried to 2050 because WAM hydro generation is flat at 49 TWh.</x:v>
      </x:c>
      <x:c r="Z65" s="118" t="str">
        <x:v>National-geography basis. ETX-7 should confirm whether node membership follows physical-country or control-zone connection. See AT-D05.</x:v>
      </x:c>
      <x:c r="AA65" s="118" t="str">
        <x:v>https://pb1-medien.apg.at/im/dl/apg-1687747003/APG_Netzentwicklungsplan_2025.pdf</x:v>
      </x:c>
      <x:c r="AB65" s="127" t="str">
        <x:v>ETX-6R_COUNTRY_CLOSURE</x:v>
      </x:c>
    </x:row>
    <x:row r="66">
      <x:c r="A66" s="126" t="str">
        <x:v>AT</x:v>
      </x:c>
      <x:c r="B66" s="118" t="str">
        <x:v>Austria</x:v>
      </x:c>
      <x:c r="C66" s="118" t="str">
        <x:v>AT_BASE_WAM2025</x:v>
      </x:c>
      <x:c r="D66" s="118" t="str">
        <x:v>AT_SIMULATION_READY_NATIONAL_BENCHMARK_DERIVED</x:v>
      </x:c>
      <x:c r="E66" s="118" t="str">
        <x:v>MEM_ETX6R_AT_National_Closure_v1.0</x:v>
      </x:c>
      <x:c r="F66" s="118" t="str">
        <x:v>01_AT_CAPACITY_STACK</x:v>
      </x:c>
      <x:c r="G66" s="118" t="n">
        <x:v>15</x:v>
      </x:c>
      <x:c r="H66" s="118" t="str">
        <x:v>Reservoir / storage hydro turbine</x:v>
      </x:c>
      <x:c r="I66" s="118" t="str">
        <x:v>reservoir_hydro</x:v>
      </x:c>
      <x:c r="J66" s="118" t="str">
        <x:v>hydro_non_phs</x:v>
      </x:c>
      <x:c r="K66" s="118" t="str">
        <x:v>GW</x:v>
      </x:c>
      <x:c r="L66" s="143" t="n">
        <x:v>4.43</x:v>
      </x:c>
      <x:c r="M66" s="118" t="str">
        <x:v>OFFICIAL_NATIONAL_INFRASTRUCTURE_INPUT</x:v>
      </x:c>
      <x:c r="N66" s="118" t="str">
        <x:v>A</x:v>
      </x:c>
      <x:c r="O66" s="118" t="str">
        <x:v>AT_OENIP</x:v>
      </x:c>
      <x:c r="P66" s="118" t="str">
        <x:v>CLOSED_NATIONAL_DIRECT</x:v>
      </x:c>
      <x:c r="Q66" s="143" t="n">
        <x:v>4.43</x:v>
      </x:c>
      <x:c r="R66" s="118" t="str">
        <x:v>NATIONAL_TRAJECTORY_CARRY_FORWARD</x:v>
      </x:c>
      <x:c r="S66" s="118" t="str">
        <x:v>B</x:v>
      </x:c>
      <x:c r="T66" s="118" t="str">
        <x:v>AT_WAM2025+AT_OENIP</x:v>
      </x:c>
      <x:c r="U66" s="118" t="str">
        <x:v>CLOSED_NATIONAL_BENCHMARK_DERIVED</x:v>
      </x:c>
      <x:c r="V66" s="118" t="str">
        <x:v>YES</x:v>
      </x:c>
      <x:c r="W66" s="118" t="str">
        <x:v>IMPLEMENT</x:v>
      </x:c>
      <x:c r="X66" s="119" t="b">
        <x:v>1</x:v>
      </x:c>
      <x:c r="Y66" s="118" t="str">
        <x:v>ÖNIP Table 28 directly gives 4.430 GW reservoir-storage turbine power in 2040; carry to 2050 with flat WAM hydro generation.</x:v>
      </x:c>
      <x:c r="Z66" s="118" t="str">
        <x:v>Reservoir energy/inflow chronology is separate from PHS working energy. See AT-D06.</x:v>
      </x:c>
      <x:c r="AA66" s="118" t="str">
        <x:v>https://www.bmwet.gv.at/dam/jcr:f67c2aa8-4019-4e7b-94ae-e1c847911a05/Integrierter-oesterreichischer-Netzinfrastrukturplan.pdf</x:v>
      </x:c>
      <x:c r="AB66" s="127" t="str">
        <x:v>ETX-6R_COUNTRY_CLOSURE</x:v>
      </x:c>
    </x:row>
    <x:row r="67">
      <x:c r="A67" s="126" t="str">
        <x:v>AT</x:v>
      </x:c>
      <x:c r="B67" s="118" t="str">
        <x:v>Austria</x:v>
      </x:c>
      <x:c r="C67" s="118" t="str">
        <x:v>AT_BASE_WAM2025</x:v>
      </x:c>
      <x:c r="D67" s="118" t="str">
        <x:v>AT_SIMULATION_READY_NATIONAL_BENCHMARK_DERIVED</x:v>
      </x:c>
      <x:c r="E67" s="118" t="str">
        <x:v>MEM_ETX6R_AT_National_Closure_v1.0</x:v>
      </x:c>
      <x:c r="F67" s="118" t="str">
        <x:v>01_AT_CAPACITY_STACK</x:v>
      </x:c>
      <x:c r="G67" s="118" t="n">
        <x:v>16</x:v>
      </x:c>
      <x:c r="H67" s="118" t="str">
        <x:v>PHS turbine / discharge power</x:v>
      </x:c>
      <x:c r="I67" s="118" t="str">
        <x:v>phs_turbine</x:v>
      </x:c>
      <x:c r="J67" s="118" t="str">
        <x:v>phs_discharge_power</x:v>
      </x:c>
      <x:c r="K67" s="118" t="str">
        <x:v>GW</x:v>
      </x:c>
      <x:c r="L67" s="143" t="n">
        <x:v>7.443</x:v>
      </x:c>
      <x:c r="M67" s="118" t="str">
        <x:v>OFFICIAL_NATIONAL_INFRASTRUCTURE_INPUT</x:v>
      </x:c>
      <x:c r="N67" s="118" t="str">
        <x:v>A</x:v>
      </x:c>
      <x:c r="O67" s="118" t="str">
        <x:v>AT_OENIP</x:v>
      </x:c>
      <x:c r="P67" s="118" t="str">
        <x:v>CLOSED_NATIONAL_DIRECT</x:v>
      </x:c>
      <x:c r="Q67" s="143" t="n">
        <x:v>7.443</x:v>
      </x:c>
      <x:c r="R67" s="118" t="str">
        <x:v>NATIONAL_TRAJECTORY_CARRY_FORWARD</x:v>
      </x:c>
      <x:c r="S67" s="118" t="str">
        <x:v>B</x:v>
      </x:c>
      <x:c r="T67" s="118" t="str">
        <x:v>AT_WAM2025+AT_OENIP</x:v>
      </x:c>
      <x:c r="U67" s="118" t="str">
        <x:v>CLOSED_NATIONAL_BENCHMARK_DERIVED</x:v>
      </x:c>
      <x:c r="V67" s="118" t="str">
        <x:v>YES</x:v>
      </x:c>
      <x:c r="W67" s="118" t="str">
        <x:v>IMPLEMENT_STORAGE_PAIR</x:v>
      </x:c>
      <x:c r="X67" s="119" t="b">
        <x:v>1</x:v>
      </x:c>
      <x:c r="Y67" s="118" t="str">
        <x:v>ÖNIP Table 27 directly gives 7.443 GW turbine power in 2040; carry to 2050 because no later national project endpoint was identified and WAM hydro generation is flat.</x:v>
      </x:c>
      <x:c r="Z67" s="118" t="str">
        <x:v>Keep distinct from reservoir hydro. See AT-D07.</x:v>
      </x:c>
      <x:c r="AA67" s="118" t="str">
        <x:v>https://www.bmwet.gv.at/dam/jcr:f67c2aa8-4019-4e7b-94ae-e1c847911a05/Integrierter-oesterreichischer-Netzinfrastrukturplan.pdf</x:v>
      </x:c>
      <x:c r="AB67" s="127" t="str">
        <x:v>ETX-6R_COUNTRY_CLOSURE</x:v>
      </x:c>
    </x:row>
    <x:row r="68">
      <x:c r="A68" s="126" t="str">
        <x:v>AT</x:v>
      </x:c>
      <x:c r="B68" s="118" t="str">
        <x:v>Austria</x:v>
      </x:c>
      <x:c r="C68" s="118" t="str">
        <x:v>AT_BASE_WAM2025</x:v>
      </x:c>
      <x:c r="D68" s="118" t="str">
        <x:v>AT_SIMULATION_READY_NATIONAL_BENCHMARK_DERIVED</x:v>
      </x:c>
      <x:c r="E68" s="118" t="str">
        <x:v>MEM_ETX6R_AT_National_Closure_v1.0</x:v>
      </x:c>
      <x:c r="F68" s="118" t="str">
        <x:v>01_AT_CAPACITY_STACK</x:v>
      </x:c>
      <x:c r="G68" s="118" t="n">
        <x:v>17</x:v>
      </x:c>
      <x:c r="H68" s="118" t="str">
        <x:v>PHS pump / charge power</x:v>
      </x:c>
      <x:c r="I68" s="118" t="str">
        <x:v>phs_pump</x:v>
      </x:c>
      <x:c r="J68" s="118" t="str">
        <x:v>phs_charge_power</x:v>
      </x:c>
      <x:c r="K68" s="118" t="str">
        <x:v>GW</x:v>
      </x:c>
      <x:c r="L68" s="143" t="n">
        <x:v>6.59</x:v>
      </x:c>
      <x:c r="M68" s="118" t="str">
        <x:v>OFFICIAL_NATIONAL_INFRASTRUCTURE_INPUT</x:v>
      </x:c>
      <x:c r="N68" s="118" t="str">
        <x:v>A</x:v>
      </x:c>
      <x:c r="O68" s="118" t="str">
        <x:v>AT_OENIP</x:v>
      </x:c>
      <x:c r="P68" s="118" t="str">
        <x:v>CLOSED_NATIONAL_DIRECT</x:v>
      </x:c>
      <x:c r="Q68" s="143" t="n">
        <x:v>6.59</x:v>
      </x:c>
      <x:c r="R68" s="118" t="str">
        <x:v>NATIONAL_TRAJECTORY_CARRY_FORWARD</x:v>
      </x:c>
      <x:c r="S68" s="118" t="str">
        <x:v>B</x:v>
      </x:c>
      <x:c r="T68" s="118" t="str">
        <x:v>AT_OENIP</x:v>
      </x:c>
      <x:c r="U68" s="118" t="str">
        <x:v>CLOSED_NATIONAL_BENCHMARK_DERIVED</x:v>
      </x:c>
      <x:c r="V68" s="118" t="str">
        <x:v>YES</x:v>
      </x:c>
      <x:c r="W68" s="118" t="str">
        <x:v>IMPLEMENT_STORAGE_PAIR</x:v>
      </x:c>
      <x:c r="X68" s="119" t="b">
        <x:v>1</x:v>
      </x:c>
      <x:c r="Y68" s="118" t="str">
        <x:v>ÖNIP Table 27 directly gives 6.590 GW pump power in 2040; retain to 2050.</x:v>
      </x:c>
      <x:c r="Z68" s="118" t="str">
        <x:v>Do not force symmetric charging/discharging power. See AT-D08.</x:v>
      </x:c>
      <x:c r="AA68" s="118" t="str">
        <x:v>https://www.bmwet.gv.at/dam/jcr:f67c2aa8-4019-4e7b-94ae-e1c847911a05/Integrierter-oesterreichischer-Netzinfrastrukturplan.pdf</x:v>
      </x:c>
      <x:c r="AB68" s="127" t="str">
        <x:v>ETX-6R_COUNTRY_CLOSURE</x:v>
      </x:c>
    </x:row>
    <x:row r="69">
      <x:c r="A69" s="126" t="str">
        <x:v>AT</x:v>
      </x:c>
      <x:c r="B69" s="118" t="str">
        <x:v>Austria</x:v>
      </x:c>
      <x:c r="C69" s="118" t="str">
        <x:v>AT_BASE_WAM2025</x:v>
      </x:c>
      <x:c r="D69" s="118" t="str">
        <x:v>AT_SIMULATION_READY_NATIONAL_BENCHMARK_DERIVED</x:v>
      </x:c>
      <x:c r="E69" s="118" t="str">
        <x:v>MEM_ETX6R_AT_National_Closure_v1.0</x:v>
      </x:c>
      <x:c r="F69" s="118" t="str">
        <x:v>01_AT_CAPACITY_STACK</x:v>
      </x:c>
      <x:c r="G69" s="118" t="n">
        <x:v>18</x:v>
      </x:c>
      <x:c r="H69" s="118" t="str">
        <x:v>PHS working energy</x:v>
      </x:c>
      <x:c r="I69" s="118" t="str">
        <x:v>phs_energy</x:v>
      </x:c>
      <x:c r="J69" s="118" t="str">
        <x:v>phs_energy</x:v>
      </x:c>
      <x:c r="K69" s="118" t="str">
        <x:v>GWh</x:v>
      </x:c>
      <x:c r="L69" s="143" t="n">
        <x:v>223.23152671089383</x:v>
      </x:c>
      <x:c r="M69" s="118" t="str">
        <x:v>NATIONAL_BENCHMARK_DERIVED</x:v>
      </x:c>
      <x:c r="N69" s="118" t="str">
        <x:v>B/C</x:v>
      </x:c>
      <x:c r="O69" s="118" t="str">
        <x:v>AT_OENIP_2023+AT_OENIP</x:v>
      </x:c>
      <x:c r="P69" s="118" t="str">
        <x:v>CLOSED_NATIONAL_BENCHMARK_DERIVED</x:v>
      </x:c>
      <x:c r="Q69" s="143" t="n">
        <x:v>223.23152671089383</x:v>
      </x:c>
      <x:c r="R69" s="118" t="str">
        <x:v>NATIONAL_TRAJECTORY_CARRY_FORWARD</x:v>
      </x:c>
      <x:c r="S69" s="118" t="str">
        <x:v>C</x:v>
      </x:c>
      <x:c r="T69" s="118" t="str">
        <x:v>AT_OENIP_2023+AT_WAM2025</x:v>
      </x:c>
      <x:c r="U69" s="118" t="str">
        <x:v>CLOSED_NATIONAL_BENCHMARK_DERIVED</x:v>
      </x:c>
      <x:c r="V69" s="118" t="str">
        <x:v>YES</x:v>
      </x:c>
      <x:c r="W69" s="118" t="str">
        <x:v>IMPLEMENT_STORAGE_PAIR</x:v>
      </x:c>
      <x:c r="X69" s="119" t="b">
        <x:v>1</x:v>
      </x:c>
      <x:c r="Y69" s="118" t="str">
        <x:v>Earlier official NIP gives 171.795 GWh working energy for 5.728 GW PHS turbine stock; scale to final 2040 7.443 GW power, then carry to 2050.</x:v>
      </x:c>
      <x:c r="Z69" s="118" t="str">
        <x:v>Working energy is the pump-available energy constrained by lower reservoirs, not full seasonal reservoir energy. See AT-D09/AT-D10.</x:v>
      </x:c>
      <x:c r="AA69" s="118" t="str">
        <x:v>https://www.bmwet.gv.at/dam/jcr:a5cb364f-a257-4c96-ad19-a36cbb7f1493/OENIP-2023.pdf</x:v>
      </x:c>
      <x:c r="AB69" s="127" t="str">
        <x:v>ETX-6R_COUNTRY_CLOSURE</x:v>
      </x:c>
    </x:row>
    <x:row r="70">
      <x:c r="A70" s="126" t="str">
        <x:v>AT</x:v>
      </x:c>
      <x:c r="B70" s="118" t="str">
        <x:v>Austria</x:v>
      </x:c>
      <x:c r="C70" s="118" t="str">
        <x:v>AT_BASE_WAM2025</x:v>
      </x:c>
      <x:c r="D70" s="118" t="str">
        <x:v>AT_SIMULATION_READY_NATIONAL_BENCHMARK_DERIVED</x:v>
      </x:c>
      <x:c r="E70" s="118" t="str">
        <x:v>MEM_ETX6R_AT_National_Closure_v1.0</x:v>
      </x:c>
      <x:c r="F70" s="118" t="str">
        <x:v>01_AT_CAPACITY_STACK</x:v>
      </x:c>
      <x:c r="G70" s="118" t="n">
        <x:v>19</x:v>
      </x:c>
      <x:c r="H70" s="118" t="str">
        <x:v>Grid-scale BESS power</x:v>
      </x:c>
      <x:c r="I70" s="118" t="str">
        <x:v>battery_grid_power</x:v>
      </x:c>
      <x:c r="J70" s="118" t="str">
        <x:v>bess_grid_power</x:v>
      </x:c>
      <x:c r="K70" s="118" t="str">
        <x:v>GW</x:v>
      </x:c>
      <x:c r="L70" s="143" t="n">
        <x:v>1.9646341463414634</x:v>
      </x:c>
      <x:c r="M70" s="118" t="str">
        <x:v>APG_2025_FLEX_BENCHMARK_DERIVED</x:v>
      </x:c>
      <x:c r="N70" s="118" t="str">
        <x:v>B/C</x:v>
      </x:c>
      <x:c r="O70" s="118" t="str">
        <x:v>AT_APG_FLEX2025</x:v>
      </x:c>
      <x:c r="P70" s="118" t="str">
        <x:v>CLOSED_NATIONAL_BENCHMARK_DERIVED</x:v>
      </x:c>
      <x:c r="Q70" s="143" t="n">
        <x:v>2.2920731707317072</x:v>
      </x:c>
      <x:c r="R70" s="118" t="str">
        <x:v>APG_2025_FLEX_BENCHMARK_DERIVED</x:v>
      </x:c>
      <x:c r="S70" s="118" t="str">
        <x:v>C</x:v>
      </x:c>
      <x:c r="T70" s="118" t="str">
        <x:v>AT_APG_FLEX2025+AT_WAM2025</x:v>
      </x:c>
      <x:c r="U70" s="118" t="str">
        <x:v>CLOSED_NATIONAL_BENCHMARK_DERIVED</x:v>
      </x:c>
      <x:c r="V70" s="118" t="str">
        <x:v>YES</x:v>
      </x:c>
      <x:c r="W70" s="118" t="str">
        <x:v>IMPLEMENT_STORAGE_PAIR</x:v>
      </x:c>
      <x:c r="X70" s="119" t="b">
        <x:v>1</x:v>
      </x:c>
      <x:c r="Y70" s="118" t="str">
        <x:v>APG 2025 national flexibility BASE gives 2.685 GW grid BESS in 2040 under 41 GW PV. Translate to WAM's 30 GW PV; extend to 2050 with WAM PV growth.</x:v>
      </x:c>
      <x:c r="Z70" s="118" t="str">
        <x:v>Study result is a national benchmark, not a direct WAM capacity. See AT-D11/12/16.</x:v>
      </x:c>
      <x:c r="AA70" s="118" t="str">
        <x:v>https://pb1-medien.apg.at/im/dl/apg-346990302/Flexibilitaets_und_Speicherbedarf_im_AT_Energiesystem_APG_PV-Austria_TU-Graz_d-fine.pdf</x:v>
      </x:c>
      <x:c r="AB70" s="127" t="str">
        <x:v>ETX-6R_COUNTRY_CLOSURE</x:v>
      </x:c>
    </x:row>
    <x:row r="71">
      <x:c r="A71" s="126" t="str">
        <x:v>AT</x:v>
      </x:c>
      <x:c r="B71" s="118" t="str">
        <x:v>Austria</x:v>
      </x:c>
      <x:c r="C71" s="118" t="str">
        <x:v>AT_BASE_WAM2025</x:v>
      </x:c>
      <x:c r="D71" s="118" t="str">
        <x:v>AT_SIMULATION_READY_NATIONAL_BENCHMARK_DERIVED</x:v>
      </x:c>
      <x:c r="E71" s="118" t="str">
        <x:v>MEM_ETX6R_AT_National_Closure_v1.0</x:v>
      </x:c>
      <x:c r="F71" s="118" t="str">
        <x:v>01_AT_CAPACITY_STACK</x:v>
      </x:c>
      <x:c r="G71" s="118" t="n">
        <x:v>20</x:v>
      </x:c>
      <x:c r="H71" s="118" t="str">
        <x:v>Grid-scale BESS energy</x:v>
      </x:c>
      <x:c r="I71" s="118" t="str">
        <x:v>battery_grid_energy</x:v>
      </x:c>
      <x:c r="J71" s="118" t="str">
        <x:v>bess_grid_energy</x:v>
      </x:c>
      <x:c r="K71" s="118" t="str">
        <x:v>GWh</x:v>
      </x:c>
      <x:c r="L71" s="143" t="n">
        <x:v>3.9292682926829268</x:v>
      </x:c>
      <x:c r="M71" s="118" t="str">
        <x:v>APG_2025_FLEX_BENCHMARK_DERIVED</x:v>
      </x:c>
      <x:c r="N71" s="118" t="str">
        <x:v>B/C</x:v>
      </x:c>
      <x:c r="O71" s="118" t="str">
        <x:v>AT_APG_FLEX2025</x:v>
      </x:c>
      <x:c r="P71" s="118" t="str">
        <x:v>CLOSED_NATIONAL_BENCHMARK_DERIVED</x:v>
      </x:c>
      <x:c r="Q71" s="143" t="n">
        <x:v>4.5841463414634145</x:v>
      </x:c>
      <x:c r="R71" s="118" t="str">
        <x:v>APG_2025_FLEX_BENCHMARK_DERIVED</x:v>
      </x:c>
      <x:c r="S71" s="118" t="str">
        <x:v>C</x:v>
      </x:c>
      <x:c r="T71" s="118" t="str">
        <x:v>AT_APG_FLEX2025+AT_WAM2025</x:v>
      </x:c>
      <x:c r="U71" s="118" t="str">
        <x:v>CLOSED_NATIONAL_BENCHMARK_DERIVED</x:v>
      </x:c>
      <x:c r="V71" s="118" t="str">
        <x:v>YES</x:v>
      </x:c>
      <x:c r="W71" s="118" t="str">
        <x:v>IMPLEMENT_STORAGE_PAIR</x:v>
      </x:c>
      <x:c r="X71" s="119" t="b">
        <x:v>1</x:v>
      </x:c>
      <x:c r="Y71" s="118" t="str">
        <x:v>APG study assumes 2-hour battery duration.</x:v>
      </x:c>
      <x:c r="Z71" s="118" t="str">
        <x:v>See AT-D14/18.</x:v>
      </x:c>
      <x:c r="AA71" s="118" t="str">
        <x:v>https://pb1-medien.apg.at/im/dl/apg-346990302/Flexibilitaets_und_Speicherbedarf_im_AT_Energiesystem_APG_PV-Austria_TU-Graz_d-fine.pdf</x:v>
      </x:c>
      <x:c r="AB71" s="127" t="str">
        <x:v>ETX-6R_COUNTRY_CLOSURE</x:v>
      </x:c>
    </x:row>
    <x:row r="72">
      <x:c r="A72" s="126" t="str">
        <x:v>AT</x:v>
      </x:c>
      <x:c r="B72" s="118" t="str">
        <x:v>Austria</x:v>
      </x:c>
      <x:c r="C72" s="118" t="str">
        <x:v>AT_BASE_WAM2025</x:v>
      </x:c>
      <x:c r="D72" s="118" t="str">
        <x:v>AT_SIMULATION_READY_NATIONAL_BENCHMARK_DERIVED</x:v>
      </x:c>
      <x:c r="E72" s="118" t="str">
        <x:v>MEM_ETX6R_AT_National_Closure_v1.0</x:v>
      </x:c>
      <x:c r="F72" s="118" t="str">
        <x:v>01_AT_CAPACITY_STACK</x:v>
      </x:c>
      <x:c r="G72" s="118" t="n">
        <x:v>21</x:v>
      </x:c>
      <x:c r="H72" s="118" t="str">
        <x:v>Small / behind-the-meter BESS power</x:v>
      </x:c>
      <x:c r="I72" s="118" t="str">
        <x:v>battery_small_power</x:v>
      </x:c>
      <x:c r="J72" s="118" t="str">
        <x:v>bess_distributed_power</x:v>
      </x:c>
      <x:c r="K72" s="118" t="str">
        <x:v>GW</x:v>
      </x:c>
      <x:c r="L72" s="143" t="n">
        <x:v>4.390243902439025</x:v>
      </x:c>
      <x:c r="M72" s="118" t="str">
        <x:v>APG_2025_FLEX_BENCHMARK_DERIVED</x:v>
      </x:c>
      <x:c r="N72" s="118" t="str">
        <x:v>B/C</x:v>
      </x:c>
      <x:c r="O72" s="118" t="str">
        <x:v>AT_APG_FLEX2025</x:v>
      </x:c>
      <x:c r="P72" s="118" t="str">
        <x:v>CLOSED_NATIONAL_BENCHMARK_DERIVED</x:v>
      </x:c>
      <x:c r="Q72" s="143" t="n">
        <x:v>5.121951219512196</x:v>
      </x:c>
      <x:c r="R72" s="118" t="str">
        <x:v>APG_2025_FLEX_BENCHMARK_DERIVED</x:v>
      </x:c>
      <x:c r="S72" s="118" t="str">
        <x:v>C</x:v>
      </x:c>
      <x:c r="T72" s="118" t="str">
        <x:v>AT_APG_FLEX2025+AT_WAM2025</x:v>
      </x:c>
      <x:c r="U72" s="118" t="str">
        <x:v>CLOSED_NATIONAL_BENCHMARK_DERIVED</x:v>
      </x:c>
      <x:c r="V72" s="118" t="str">
        <x:v>YES</x:v>
      </x:c>
      <x:c r="W72" s="118" t="str">
        <x:v>IMPLEMENT_STORAGE_PAIR</x:v>
      </x:c>
      <x:c r="X72" s="119" t="b">
        <x:v>1</x:v>
      </x:c>
      <x:c r="Y72" s="118" t="str">
        <x:v>APG 2025 BASE gives 6.0 GW small/home/commercial batteries in 2040 under 41 GW PV; translate to WAM PV and carry relationship to 2050.</x:v>
      </x:c>
      <x:c r="Z72" s="118" t="str">
        <x:v>Source assumes system-supportive dispatch; ETX-7 should preserve a distinct small-BESS category so merchant availability can be constrained if desired. See AT-D13/17.</x:v>
      </x:c>
      <x:c r="AA72" s="118" t="str">
        <x:v>https://pb1-medien.apg.at/im/dl/apg-346990302/Flexibilitaets_und_Speicherbedarf_im_AT_Energiesystem_APG_PV-Austria_TU-Graz_d-fine.pdf</x:v>
      </x:c>
      <x:c r="AB72" s="127" t="str">
        <x:v>ETX-6R_COUNTRY_CLOSURE</x:v>
      </x:c>
    </x:row>
    <x:row r="73">
      <x:c r="A73" s="126" t="str">
        <x:v>AT</x:v>
      </x:c>
      <x:c r="B73" s="118" t="str">
        <x:v>Austria</x:v>
      </x:c>
      <x:c r="C73" s="118" t="str">
        <x:v>AT_BASE_WAM2025</x:v>
      </x:c>
      <x:c r="D73" s="118" t="str">
        <x:v>AT_SIMULATION_READY_NATIONAL_BENCHMARK_DERIVED</x:v>
      </x:c>
      <x:c r="E73" s="118" t="str">
        <x:v>MEM_ETX6R_AT_National_Closure_v1.0</x:v>
      </x:c>
      <x:c r="F73" s="118" t="str">
        <x:v>01_AT_CAPACITY_STACK</x:v>
      </x:c>
      <x:c r="G73" s="118" t="n">
        <x:v>22</x:v>
      </x:c>
      <x:c r="H73" s="118" t="str">
        <x:v>Small / behind-the-meter BESS energy</x:v>
      </x:c>
      <x:c r="I73" s="118" t="str">
        <x:v>battery_small_energy</x:v>
      </x:c>
      <x:c r="J73" s="118" t="str">
        <x:v>bess_distributed_energy</x:v>
      </x:c>
      <x:c r="K73" s="118" t="str">
        <x:v>GWh</x:v>
      </x:c>
      <x:c r="L73" s="143" t="n">
        <x:v>8.78048780487805</x:v>
      </x:c>
      <x:c r="M73" s="118" t="str">
        <x:v>APG_2025_FLEX_BENCHMARK_DERIVED</x:v>
      </x:c>
      <x:c r="N73" s="118" t="str">
        <x:v>B/C</x:v>
      </x:c>
      <x:c r="O73" s="118" t="str">
        <x:v>AT_APG_FLEX2025</x:v>
      </x:c>
      <x:c r="P73" s="118" t="str">
        <x:v>CLOSED_NATIONAL_BENCHMARK_DERIVED</x:v>
      </x:c>
      <x:c r="Q73" s="143" t="n">
        <x:v>10.243902439024392</x:v>
      </x:c>
      <x:c r="R73" s="118" t="str">
        <x:v>APG_2025_FLEX_BENCHMARK_DERIVED</x:v>
      </x:c>
      <x:c r="S73" s="118" t="str">
        <x:v>C</x:v>
      </x:c>
      <x:c r="T73" s="118" t="str">
        <x:v>AT_APG_FLEX2025+AT_WAM2025</x:v>
      </x:c>
      <x:c r="U73" s="118" t="str">
        <x:v>CLOSED_NATIONAL_BENCHMARK_DERIVED</x:v>
      </x:c>
      <x:c r="V73" s="118" t="str">
        <x:v>YES</x:v>
      </x:c>
      <x:c r="W73" s="118" t="str">
        <x:v>IMPLEMENT_STORAGE_PAIR</x:v>
      </x:c>
      <x:c r="X73" s="119" t="b">
        <x:v>1</x:v>
      </x:c>
      <x:c r="Y73" s="118" t="str">
        <x:v>Two-hour duration from APG 2025 study.</x:v>
      </x:c>
      <x:c r="Z73" s="118" t="str">
        <x:v>See AT-D15/19.</x:v>
      </x:c>
      <x:c r="AA73" s="118" t="str">
        <x:v>https://pb1-medien.apg.at/im/dl/apg-346990302/Flexibilitaets_und_Speicherbedarf_im_AT_Energiesystem_APG_PV-Austria_TU-Graz_d-fine.pdf</x:v>
      </x:c>
      <x:c r="AB73" s="127" t="str">
        <x:v>ETX-6R_COUNTRY_CLOSURE</x:v>
      </x:c>
    </x:row>
    <x:row r="74">
      <x:c r="A74" s="126" t="str">
        <x:v>AT</x:v>
      </x:c>
      <x:c r="B74" s="118" t="str">
        <x:v>Austria</x:v>
      </x:c>
      <x:c r="C74" s="118" t="str">
        <x:v>AT_BASE_WAM2025</x:v>
      </x:c>
      <x:c r="D74" s="118" t="str">
        <x:v>AT_SIMULATION_READY_NATIONAL_BENCHMARK_DERIVED</x:v>
      </x:c>
      <x:c r="E74" s="118" t="str">
        <x:v>MEM_ETX6R_AT_National_Closure_v1.0</x:v>
      </x:c>
      <x:c r="F74" s="118" t="str">
        <x:v>01_AT_CAPACITY_STACK</x:v>
      </x:c>
      <x:c r="G74" s="118" t="n">
        <x:v>23</x:v>
      </x:c>
      <x:c r="H74" s="118" t="str">
        <x:v>Total BESS power</x:v>
      </x:c>
      <x:c r="I74" s="118" t="str">
        <x:v>battery_total_power</x:v>
      </x:c>
      <x:c r="J74" s="118" t="str">
        <x:v>battery_total_power</x:v>
      </x:c>
      <x:c r="K74" s="118" t="str">
        <x:v>GW</x:v>
      </x:c>
      <x:c r="L74" s="143" t="n">
        <x:v>6.354878048780488</x:v>
      </x:c>
      <x:c r="M74" s="118" t="str">
        <x:v>DERIVED_FROM_OFFICIAL_COMPONENTS</x:v>
      </x:c>
      <x:c r="N74" s="118" t="str">
        <x:v>B</x:v>
      </x:c>
      <x:c r="O74" s="118" t="str">
        <x:v>AT_APG_FLEX2025</x:v>
      </x:c>
      <x:c r="P74" s="118" t="str">
        <x:v>QA_CONTROL_ONLY</x:v>
      </x:c>
      <x:c r="Q74" s="143" t="n">
        <x:v>7.414024390243903</x:v>
      </x:c>
      <x:c r="R74" s="118" t="str">
        <x:v>DERIVED_FROM_OFFICIAL_COMPONENTS</x:v>
      </x:c>
      <x:c r="S74" s="118" t="str">
        <x:v>B/C</x:v>
      </x:c>
      <x:c r="T74" s="118" t="str">
        <x:v>AT_APG_FLEX2025+AT_WAM2025</x:v>
      </x:c>
      <x:c r="U74" s="118" t="str">
        <x:v>QA_CONTROL_ONLY</x:v>
      </x:c>
      <x:c r="V74" s="118" t="str">
        <x:v>QA ONLY</x:v>
      </x:c>
      <x:c r="W74" s="118" t="str">
        <x:v>QA_CONTROL_ONLY</x:v>
      </x:c>
      <x:c r="X74" s="119" t="b">
        <x:v>0</x:v>
      </x:c>
      <x:c r="Y74" s="118" t="str">
        <x:v>Grid-scale + small battery power, retained as QA only.</x:v>
      </x:c>
      <x:c r="Z74" s="118" t="str">
        <x:v>Do not add as an extra storage asset. See AT-D20/21.</x:v>
      </x:c>
      <x:c r="AA74" s="118" t="str">
        <x:v>https://pb1-medien.apg.at/im/dl/apg-346990302/Flexibilitaets_und_Speicherbedarf_im_AT_Energiesystem_APG_PV-Austria_TU-Graz_d-fine.pdf</x:v>
      </x:c>
      <x:c r="AB74" s="127" t="str">
        <x:v>ETX-6R_COUNTRY_CLOSURE</x:v>
      </x:c>
    </x:row>
    <x:row r="75">
      <x:c r="A75" s="126" t="str">
        <x:v>AT</x:v>
      </x:c>
      <x:c r="B75" s="118" t="str">
        <x:v>Austria</x:v>
      </x:c>
      <x:c r="C75" s="118" t="str">
        <x:v>AT_BASE_WAM2025</x:v>
      </x:c>
      <x:c r="D75" s="118" t="str">
        <x:v>AT_SIMULATION_READY_NATIONAL_BENCHMARK_DERIVED</x:v>
      </x:c>
      <x:c r="E75" s="118" t="str">
        <x:v>MEM_ETX6R_AT_National_Closure_v1.0</x:v>
      </x:c>
      <x:c r="F75" s="118" t="str">
        <x:v>01_AT_CAPACITY_STACK</x:v>
      </x:c>
      <x:c r="G75" s="118" t="n">
        <x:v>24</x:v>
      </x:c>
      <x:c r="H75" s="118" t="str">
        <x:v>Total BESS energy</x:v>
      </x:c>
      <x:c r="I75" s="118" t="str">
        <x:v>battery_total_energy</x:v>
      </x:c>
      <x:c r="J75" s="118" t="str">
        <x:v>battery_total_energy</x:v>
      </x:c>
      <x:c r="K75" s="118" t="str">
        <x:v>GWh</x:v>
      </x:c>
      <x:c r="L75" s="143" t="n">
        <x:v>12.709756097560977</x:v>
      </x:c>
      <x:c r="M75" s="118" t="str">
        <x:v>DERIVED_FROM_OFFICIAL_COMPONENTS</x:v>
      </x:c>
      <x:c r="N75" s="118" t="str">
        <x:v>B</x:v>
      </x:c>
      <x:c r="O75" s="118" t="str">
        <x:v>AT_APG_FLEX2025</x:v>
      </x:c>
      <x:c r="P75" s="118" t="str">
        <x:v>QA_CONTROL_ONLY</x:v>
      </x:c>
      <x:c r="Q75" s="143" t="n">
        <x:v>14.828048780487807</x:v>
      </x:c>
      <x:c r="R75" s="118" t="str">
        <x:v>DERIVED_FROM_OFFICIAL_COMPONENTS</x:v>
      </x:c>
      <x:c r="S75" s="118" t="str">
        <x:v>B/C</x:v>
      </x:c>
      <x:c r="T75" s="118" t="str">
        <x:v>AT_APG_FLEX2025+AT_WAM2025</x:v>
      </x:c>
      <x:c r="U75" s="118" t="str">
        <x:v>QA_CONTROL_ONLY</x:v>
      </x:c>
      <x:c r="V75" s="118" t="str">
        <x:v>QA ONLY</x:v>
      </x:c>
      <x:c r="W75" s="118" t="str">
        <x:v>QA_CONTROL_ONLY</x:v>
      </x:c>
      <x:c r="X75" s="119" t="b">
        <x:v>0</x:v>
      </x:c>
      <x:c r="Y75" s="118" t="str">
        <x:v>Grid-scale + small battery energy, retained as QA only.</x:v>
      </x:c>
      <x:c r="Z75" s="118" t="str">
        <x:v>Do not add as an extra storage asset. See AT-D22/23.</x:v>
      </x:c>
      <x:c r="AA75" s="118" t="str">
        <x:v>https://pb1-medien.apg.at/im/dl/apg-346990302/Flexibilitaets_und_Speicherbedarf_im_AT_Energiesystem_APG_PV-Austria_TU-Graz_d-fine.pdf</x:v>
      </x:c>
      <x:c r="AB75" s="127" t="str">
        <x:v>ETX-6R_COUNTRY_CLOSURE</x:v>
      </x:c>
    </x:row>
    <x:row r="76">
      <x:c r="A76" s="126" t="str">
        <x:v>AT</x:v>
      </x:c>
      <x:c r="B76" s="118" t="str">
        <x:v>Austria</x:v>
      </x:c>
      <x:c r="C76" s="118" t="str">
        <x:v>AT_BASE_WAM2025</x:v>
      </x:c>
      <x:c r="D76" s="118" t="str">
        <x:v>AT_SIMULATION_READY_NATIONAL_BENCHMARK_DERIVED</x:v>
      </x:c>
      <x:c r="E76" s="118" t="str">
        <x:v>MEM_ETX6R_AT_National_Closure_v1.0</x:v>
      </x:c>
      <x:c r="F76" s="118" t="str">
        <x:v>01_AT_CAPACITY_STACK</x:v>
      </x:c>
      <x:c r="G76" s="118" t="n">
        <x:v>25</x:v>
      </x:c>
      <x:c r="H76" s="118" t="str">
        <x:v>Dispatchable thermal total</x:v>
      </x:c>
      <x:c r="I76" s="118" t="str">
        <x:v>thermal_dispatchable_total</x:v>
      </x:c>
      <x:c r="J76" s="118" t="str">
        <x:v>thermal_dispatchable_total</x:v>
      </x:c>
      <x:c r="K76" s="118" t="str">
        <x:v>GW</x:v>
      </x:c>
      <x:c r="L76" s="143" t="n">
        <x:v>4.29</x:v>
      </x:c>
      <x:c r="M76" s="118" t="str">
        <x:v>OFFICIAL_NATIONAL_INFRASTRUCTURE_INPUT</x:v>
      </x:c>
      <x:c r="N76" s="118" t="str">
        <x:v>A</x:v>
      </x:c>
      <x:c r="O76" s="118" t="str">
        <x:v>AT_OENIP</x:v>
      </x:c>
      <x:c r="P76" s="118" t="str">
        <x:v>QA_CONTROL_ONLY</x:v>
      </x:c>
      <x:c r="Q76" s="143" t="n">
        <x:v>4.29</x:v>
      </x:c>
      <x:c r="R76" s="118" t="str">
        <x:v>NATIONAL_TRAJECTORY_CARRY_FORWARD</x:v>
      </x:c>
      <x:c r="S76" s="118" t="str">
        <x:v>B</x:v>
      </x:c>
      <x:c r="T76" s="118" t="str">
        <x:v>AT_WAM2025+AT_OENIP</x:v>
      </x:c>
      <x:c r="U76" s="118" t="str">
        <x:v>QA_CONTROL_ONLY</x:v>
      </x:c>
      <x:c r="V76" s="118" t="str">
        <x:v>QA ONLY</x:v>
      </x:c>
      <x:c r="W76" s="118" t="str">
        <x:v>QA_CONTROL_ONLY</x:v>
      </x:c>
      <x:c r="X76" s="119" t="b">
        <x:v>0</x:v>
      </x:c>
      <x:c r="Y76" s="118" t="str">
        <x:v>ÖNIP fixes 4.290 GW controllable CHP power in 2040. WAM fossil electricity stays at 4 TWh in both 2040 and 2050, so total capacity is carried forward.</x:v>
      </x:c>
      <x:c r="Z76" s="118" t="str">
        <x:v>Detailed carrier split below is implementation authority. See AT-D24.</x:v>
      </x:c>
      <x:c r="AA76" s="118" t="str">
        <x:v>https://www.bmwet.gv.at/dam/jcr:f67c2aa8-4019-4e7b-94ae-e1c847911a05/Integrierter-oesterreichischer-Netzinfrastrukturplan.pdf</x:v>
      </x:c>
      <x:c r="AB76" s="127" t="str">
        <x:v>ETX-6R_COUNTRY_CLOSURE</x:v>
      </x:c>
    </x:row>
    <x:row r="77">
      <x:c r="A77" s="126" t="str">
        <x:v>AT</x:v>
      </x:c>
      <x:c r="B77" s="118" t="str">
        <x:v>Austria</x:v>
      </x:c>
      <x:c r="C77" s="118" t="str">
        <x:v>AT_BASE_WAM2025</x:v>
      </x:c>
      <x:c r="D77" s="118" t="str">
        <x:v>AT_SIMULATION_READY_NATIONAL_BENCHMARK_DERIVED</x:v>
      </x:c>
      <x:c r="E77" s="118" t="str">
        <x:v>MEM_ETX6R_AT_National_Closure_v1.0</x:v>
      </x:c>
      <x:c r="F77" s="118" t="str">
        <x:v>01_AT_CAPACITY_STACK</x:v>
      </x:c>
      <x:c r="G77" s="118" t="n">
        <x:v>26</x:v>
      </x:c>
      <x:c r="H77" s="118" t="str">
        <x:v>Methane / gas CHP and peakers</x:v>
      </x:c>
      <x:c r="I77" s="118" t="str">
        <x:v>thermal_methane</x:v>
      </x:c>
      <x:c r="J77" s="118" t="str">
        <x:v>thermal_methane_gas</x:v>
      </x:c>
      <x:c r="K77" s="118" t="str">
        <x:v>GW</x:v>
      </x:c>
      <x:c r="L77" s="143" t="n">
        <x:v>4.29</x:v>
      </x:c>
      <x:c r="M77" s="118" t="str">
        <x:v>WAM_FUEL_MAPPING_FROM_NATIONAL_BENCHMARK</x:v>
      </x:c>
      <x:c r="N77" s="118" t="str">
        <x:v>B/C</x:v>
      </x:c>
      <x:c r="O77" s="118" t="str">
        <x:v>AT_WAM2025+AT_OENIP</x:v>
      </x:c>
      <x:c r="P77" s="118" t="str">
        <x:v>CLOSED_NATIONAL_BENCHMARK_DERIVED</x:v>
      </x:c>
      <x:c r="Q77" s="143" t="n">
        <x:v>4.29</x:v>
      </x:c>
      <x:c r="R77" s="118" t="str">
        <x:v>WAM_FUEL_MAPPING_FROM_NATIONAL_BENCHMARK</x:v>
      </x:c>
      <x:c r="S77" s="118" t="str">
        <x:v>B/C</x:v>
      </x:c>
      <x:c r="T77" s="118" t="str">
        <x:v>AT_WAM2025+AT_OENIP</x:v>
      </x:c>
      <x:c r="U77" s="118" t="str">
        <x:v>CLOSED_NATIONAL_BENCHMARK_DERIVED</x:v>
      </x:c>
      <x:c r="V77" s="118" t="str">
        <x:v>YES</x:v>
      </x:c>
      <x:c r="W77" s="118" t="str">
        <x:v>IMPLEMENT_CARRIER_SPLIT</x:v>
      </x:c>
      <x:c r="X77" s="119" t="b">
        <x:v>1</x:v>
      </x:c>
      <x:c r="Y77" s="118" t="str">
        <x:v>Selected WAM retains 4 TWh fossil generation and 0 TWh hydrogen generation in both horizons. Therefore the 4.29 GW controllable national benchmark is mapped to methane/gas in the Stage-A Base.</x:v>
      </x:c>
      <x:c r="Z77" s="118" t="str">
        <x:v>ÖNIP Transition itself uses renewable gases by 2040; that fuel switch is not transplanted into WAM. See AT-D24.</x:v>
      </x:c>
      <x:c r="AA77" s="118" t="str">
        <x:v>https://www.umweltbundesamt.at/fileadmin/site/publikationen/rep0995.pdf</x:v>
      </x:c>
      <x:c r="AB77" s="127" t="str">
        <x:v>ETX-6R_COUNTRY_CLOSURE</x:v>
      </x:c>
    </x:row>
    <x:row r="78">
      <x:c r="A78" s="126" t="str">
        <x:v>AT</x:v>
      </x:c>
      <x:c r="B78" s="118" t="str">
        <x:v>Austria</x:v>
      </x:c>
      <x:c r="C78" s="118" t="str">
        <x:v>AT_BASE_WAM2025</x:v>
      </x:c>
      <x:c r="D78" s="118" t="str">
        <x:v>AT_SIMULATION_READY_NATIONAL_BENCHMARK_DERIVED</x:v>
      </x:c>
      <x:c r="E78" s="118" t="str">
        <x:v>MEM_ETX6R_AT_National_Closure_v1.0</x:v>
      </x:c>
      <x:c r="F78" s="118" t="str">
        <x:v>01_AT_CAPACITY_STACK</x:v>
      </x:c>
      <x:c r="G78" s="118" t="n">
        <x:v>27</x:v>
      </x:c>
      <x:c r="H78" s="118" t="str">
        <x:v>Hydrogen-fired thermal</x:v>
      </x:c>
      <x:c r="I78" s="118" t="str">
        <x:v>thermal_h2</x:v>
      </x:c>
      <x:c r="J78" s="118" t="str">
        <x:v>thermal_lowcarbon_gas_h2</x:v>
      </x:c>
      <x:c r="K78" s="118" t="str">
        <x:v>GW</x:v>
      </x:c>
      <x:c r="L78" s="143" t="n">
        <x:v>0</x:v>
      </x:c>
      <x:c r="M78" s="118" t="str">
        <x:v>OFFICIAL_SCENARIO_ZERO</x:v>
      </x:c>
      <x:c r="N78" s="118" t="str">
        <x:v>A/B</x:v>
      </x:c>
      <x:c r="O78" s="118" t="str">
        <x:v>AT_WAM2025</x:v>
      </x:c>
      <x:c r="P78" s="118" t="str">
        <x:v>ZERO_SELECTED_SCENARIO</x:v>
      </x:c>
      <x:c r="Q78" s="143" t="n">
        <x:v>0</x:v>
      </x:c>
      <x:c r="R78" s="118" t="str">
        <x:v>OFFICIAL_SCENARIO_ZERO</x:v>
      </x:c>
      <x:c r="S78" s="118" t="str">
        <x:v>A/B</x:v>
      </x:c>
      <x:c r="T78" s="118" t="str">
        <x:v>AT_WAM2025</x:v>
      </x:c>
      <x:c r="U78" s="118" t="str">
        <x:v>ZERO_SELECTED_SCENARIO</x:v>
      </x:c>
      <x:c r="V78" s="118" t="str">
        <x:v>YES</x:v>
      </x:c>
      <x:c r="W78" s="118" t="str">
        <x:v>IMPLEMENT_CARRIER_SPLIT</x:v>
      </x:c>
      <x:c r="X78" s="119" t="b">
        <x:v>1</x:v>
      </x:c>
      <x:c r="Y78" s="118" t="str">
        <x:v>WAM Table 19 gives 0 TWh hydrogen-fired electricity in 2040 and 2050.</x:v>
      </x:c>
      <x:c r="Z78" s="118" t="str">
        <x:v>H2-ready capability is not equivalent to H2 fuel use in the selected Base.</x:v>
      </x:c>
      <x:c r="AA78" s="118" t="str">
        <x:v>https://www.umweltbundesamt.at/fileadmin/site/publikationen/rep0995.pdf</x:v>
      </x:c>
      <x:c r="AB78" s="127" t="str">
        <x:v>ETX-6R_COUNTRY_CLOSURE</x:v>
      </x:c>
    </x:row>
    <x:row r="79">
      <x:c r="A79" s="126" t="str">
        <x:v>AT</x:v>
      </x:c>
      <x:c r="B79" s="118" t="str">
        <x:v>Austria</x:v>
      </x:c>
      <x:c r="C79" s="118" t="str">
        <x:v>AT_BASE_WAM2025</x:v>
      </x:c>
      <x:c r="D79" s="118" t="str">
        <x:v>AT_SIMULATION_READY_NATIONAL_BENCHMARK_DERIVED</x:v>
      </x:c>
      <x:c r="E79" s="118" t="str">
        <x:v>MEM_ETX6R_AT_National_Closure_v1.0</x:v>
      </x:c>
      <x:c r="F79" s="118" t="str">
        <x:v>01_AT_CAPACITY_STACK</x:v>
      </x:c>
      <x:c r="G79" s="118" t="n">
        <x:v>28</x:v>
      </x:c>
      <x:c r="H79" s="118" t="str">
        <x:v>Oil / other fossil thermal</x:v>
      </x:c>
      <x:c r="I79" s="118" t="str">
        <x:v>thermal_oil_other</x:v>
      </x:c>
      <x:c r="J79" s="118" t="str">
        <x:v>thermal_oil_liquid</x:v>
      </x:c>
      <x:c r="K79" s="118" t="str">
        <x:v>GW</x:v>
      </x:c>
      <x:c r="L79" s="143" t="n">
        <x:v>0</x:v>
      </x:c>
      <x:c r="M79" s="118" t="str">
        <x:v>NATIONAL_BENCHMARK_ZERO</x:v>
      </x:c>
      <x:c r="N79" s="118" t="str">
        <x:v>B/C</x:v>
      </x:c>
      <x:c r="O79" s="118" t="str">
        <x:v>AT_OENIP+AT_WAM2025</x:v>
      </x:c>
      <x:c r="P79" s="118" t="str">
        <x:v>CLOSED_NATIONAL_BENCHMARK_DERIVED</x:v>
      </x:c>
      <x:c r="Q79" s="143" t="n">
        <x:v>0</x:v>
      </x:c>
      <x:c r="R79" s="118" t="str">
        <x:v>NATIONAL_BENCHMARK_ZERO</x:v>
      </x:c>
      <x:c r="S79" s="118" t="str">
        <x:v>B/C</x:v>
      </x:c>
      <x:c r="T79" s="118" t="str">
        <x:v>AT_OENIP+AT_WAM2025</x:v>
      </x:c>
      <x:c r="U79" s="118" t="str">
        <x:v>CLOSED_NATIONAL_BENCHMARK_DERIVED</x:v>
      </x:c>
      <x:c r="V79" s="118" t="str">
        <x:v>YES</x:v>
      </x:c>
      <x:c r="W79" s="118" t="str">
        <x:v>IMPLEMENT_CARRIER_SPLIT</x:v>
      </x:c>
      <x:c r="X79" s="119" t="b">
        <x:v>1</x:v>
      </x:c>
      <x:c r="Y79" s="118" t="str">
        <x:v>The future controllable-power benchmark is gas/CHP-based; no separate oil/coal fleet is required for the selected WAM Stage-A representation.</x:v>
      </x:c>
      <x:c r="Z79" s="118" t="str">
        <x:v>If later plant-level implementation retains emergency oil units, they must be offset from the gas aggregate rather than added on top.</x:v>
      </x:c>
      <x:c r="AA79" s="118" t="str">
        <x:v>https://www.bmwet.gv.at/dam/jcr:f67c2aa8-4019-4e7b-94ae-e1c847911a05/Integrierter-oesterreichischer-Netzinfrastrukturplan.pdf</x:v>
      </x:c>
      <x:c r="AB79" s="127" t="str">
        <x:v>ETX-6R_COUNTRY_CLOSURE</x:v>
      </x:c>
    </x:row>
    <x:row r="80">
      <x:c r="A80" s="126" t="str">
        <x:v>SI</x:v>
      </x:c>
      <x:c r="B80" s="118" t="str">
        <x:v>Slovenia</x:v>
      </x:c>
      <x:c r="C80" s="118" t="str">
        <x:v>SI_DU-JE</x:v>
      </x:c>
      <x:c r="D80" s="118" t="str">
        <x:v>SI_SIMULATION_READY_NATIONAL_BENCHMARK_DERIVED</x:v>
      </x:c>
      <x:c r="E80" s="118" t="str">
        <x:v>MEM_ETX6R_SI_National_Closure_v1.0</x:v>
      </x:c>
      <x:c r="F80" s="118" t="str">
        <x:v>01_SI_CAPACITY_STACK</x:v>
      </x:c>
      <x:c r="G80" s="118" t="n">
        <x:v>5</x:v>
      </x:c>
      <x:c r="H80" s="118" t="str">
        <x:v>Annual electricity demand</x:v>
      </x:c>
      <x:c r="I80" s="118" t="str">
        <x:v>load</x:v>
      </x:c>
      <x:c r="J80" s="118" t="str">
        <x:v>demand</x:v>
      </x:c>
      <x:c r="K80" s="118" t="str">
        <x:v>TWh</x:v>
      </x:c>
      <x:c r="L80" s="143" t="n">
        <x:v>20.2</x:v>
      </x:c>
      <x:c r="M80" s="118" t="str">
        <x:v>DERIVED_FROM_OFFICIAL_COMPONENTS</x:v>
      </x:c>
      <x:c r="N80" s="118" t="str">
        <x:v>C</x:v>
      </x:c>
      <x:c r="O80" s="118" t="str">
        <x:v>SI_NEPN_BALANCE_2024</x:v>
      </x:c>
      <x:c r="P80" s="118" t="str">
        <x:v>CLOSED_NATIONAL_DERIVED</x:v>
      </x:c>
      <x:c r="Q80" s="143" t="n">
        <x:v>27.5</x:v>
      </x:c>
      <x:c r="R80" s="118" t="str">
        <x:v>DERIVED_FROM_OFFICIAL_COMPONENTS</x:v>
      </x:c>
      <x:c r="S80" s="118" t="str">
        <x:v>C</x:v>
      </x:c>
      <x:c r="T80" s="118" t="str">
        <x:v>SI_NEPN_BALANCE_2024</x:v>
      </x:c>
      <x:c r="U80" s="118" t="str">
        <x:v>CLOSED_NATIONAL_DERIVED</x:v>
      </x:c>
      <x:c r="V80" s="118" t="str">
        <x:v>YES</x:v>
      </x:c>
      <x:c r="W80" s="118" t="str">
        <x:v>IMPLEMENT</x:v>
      </x:c>
      <x:c r="X80" s="119" t="b">
        <x:v>1</x:v>
      </x:c>
      <x:c r="Y80" s="118" t="str">
        <x:v>Stage-A demand = final use + losses/own use + electricity for hydrogen production; pumping is excluded because storage dispatch is endogenous.</x:v>
      </x:c>
      <x:c r="Z80" s="118" t="str">
        <x:v>Annual load control only; hourly chronology is scaled later.</x:v>
      </x:c>
      <x:c r="AA80" s="118" t="str">
        <x:v>https://www.energetika-portal.si/dokumenti/strateski-razvojni-dokumenti/nacionalni-energetski-in-podnebni-nacrt-2024/dokumenti/</x:v>
      </x:c>
      <x:c r="AB80" s="127" t="str">
        <x:v>ETX-6R_COUNTRY_CLOSURE</x:v>
      </x:c>
    </x:row>
    <x:row r="81">
      <x:c r="A81" s="126" t="str">
        <x:v>SI</x:v>
      </x:c>
      <x:c r="B81" s="118" t="str">
        <x:v>Slovenia</x:v>
      </x:c>
      <x:c r="C81" s="118" t="str">
        <x:v>SI_DU-JE</x:v>
      </x:c>
      <x:c r="D81" s="118" t="str">
        <x:v>SI_SIMULATION_READY_NATIONAL_BENCHMARK_DERIVED</x:v>
      </x:c>
      <x:c r="E81" s="118" t="str">
        <x:v>MEM_ETX6R_SI_National_Closure_v1.0</x:v>
      </x:c>
      <x:c r="F81" s="118" t="str">
        <x:v>01_SI_CAPACITY_STACK</x:v>
      </x:c>
      <x:c r="G81" s="118" t="n">
        <x:v>6</x:v>
      </x:c>
      <x:c r="H81" s="118" t="str">
        <x:v>Existing NEK</x:v>
      </x:c>
      <x:c r="I81" s="118" t="str">
        <x:v>nuclear_existing</x:v>
      </x:c>
      <x:c r="J81" s="118" t="str">
        <x:v>nuclear_existing</x:v>
      </x:c>
      <x:c r="K81" s="118" t="str">
        <x:v>GW</x:v>
      </x:c>
      <x:c r="L81" s="143" t="n">
        <x:v>0.696</x:v>
      </x:c>
      <x:c r="M81" s="118" t="str">
        <x:v>OFFICIAL_EXISTING_CAPACITY</x:v>
      </x:c>
      <x:c r="N81" s="118" t="str">
        <x:v>A/B</x:v>
      </x:c>
      <x:c r="O81" s="118" t="str">
        <x:v>SI_NEPN_FINAL_REPORT_2024</x:v>
      </x:c>
      <x:c r="P81" s="118" t="str">
        <x:v>CLOSED_NATIONAL_DIRECT</x:v>
      </x:c>
      <x:c r="Q81" s="143" t="n">
        <x:v>0</x:v>
      </x:c>
      <x:c r="R81" s="118" t="str">
        <x:v>OFFICIAL_SCENARIO_RETIREMENT</x:v>
      </x:c>
      <x:c r="S81" s="118" t="str">
        <x:v>A</x:v>
      </x:c>
      <x:c r="T81" s="118" t="str">
        <x:v>SI_NEPN_FINAL_REPORT_2024</x:v>
      </x:c>
      <x:c r="U81" s="118" t="str">
        <x:v>ZERO_SELECTED_SCENARIO</x:v>
      </x:c>
      <x:c r="V81" s="118" t="str">
        <x:v>DERIVATION ONLY</x:v>
      </x:c>
      <x:c r="W81" s="118" t="str">
        <x:v>DERIVATION_DETAIL_ONLY</x:v>
      </x:c>
      <x:c r="X81" s="119" t="b">
        <x:v>0</x:v>
      </x:c>
      <x:c r="Y81" s="118" t="str">
        <x:v>NEK continues through 2043 and is retired before 2050.</x:v>
      </x:c>
      <x:c r="Z81" s="118" t="str">
        <x:v>Component of total nuclear; do not add separately when total nuclear is implemented.</x:v>
      </x:c>
      <x:c r="AA81" s="118" t="str">
        <x:v>https://www.energetika-portal.si/fileadmin/dokumenti/publikacije/nepn/dokumenti/strpodl-nepn_pos_dec2024.pdf</x:v>
      </x:c>
      <x:c r="AB81" s="127" t="str">
        <x:v>ETX-6R_COUNTRY_CLOSURE</x:v>
      </x:c>
    </x:row>
    <x:row r="82">
      <x:c r="A82" s="126" t="str">
        <x:v>SI</x:v>
      </x:c>
      <x:c r="B82" s="118" t="str">
        <x:v>Slovenia</x:v>
      </x:c>
      <x:c r="C82" s="118" t="str">
        <x:v>SI_DU-JE</x:v>
      </x:c>
      <x:c r="D82" s="118" t="str">
        <x:v>SI_SIMULATION_READY_NATIONAL_BENCHMARK_DERIVED</x:v>
      </x:c>
      <x:c r="E82" s="118" t="str">
        <x:v>MEM_ETX6R_SI_National_Closure_v1.0</x:v>
      </x:c>
      <x:c r="F82" s="118" t="str">
        <x:v>01_SI_CAPACITY_STACK</x:v>
      </x:c>
      <x:c r="G82" s="118" t="n">
        <x:v>7</x:v>
      </x:c>
      <x:c r="H82" s="118" t="str">
        <x:v>JEK2 large nuclear</x:v>
      </x:c>
      <x:c r="I82" s="118" t="str">
        <x:v>nuclear_new_large</x:v>
      </x:c>
      <x:c r="J82" s="118" t="str">
        <x:v>nuclear_new_large</x:v>
      </x:c>
      <x:c r="K82" s="118" t="str">
        <x:v>GW</x:v>
      </x:c>
      <x:c r="L82" s="143" t="n">
        <x:v>1.1</x:v>
      </x:c>
      <x:c r="M82" s="118" t="str">
        <x:v>OFFICIAL_SCENARIO_INPUT</x:v>
      </x:c>
      <x:c r="N82" s="118" t="str">
        <x:v>A</x:v>
      </x:c>
      <x:c r="O82" s="118" t="str">
        <x:v>SI_NEPN_FINAL_REPORT_2024</x:v>
      </x:c>
      <x:c r="P82" s="118" t="str">
        <x:v>CLOSED_NATIONAL_DIRECT</x:v>
      </x:c>
      <x:c r="Q82" s="143" t="n">
        <x:v>1.1</x:v>
      </x:c>
      <x:c r="R82" s="118" t="str">
        <x:v>OFFICIAL_SCENARIO_INPUT</x:v>
      </x:c>
      <x:c r="S82" s="118" t="str">
        <x:v>A</x:v>
      </x:c>
      <x:c r="T82" s="118" t="str">
        <x:v>SI_NEPN_FINAL_REPORT_2024</x:v>
      </x:c>
      <x:c r="U82" s="118" t="str">
        <x:v>CLOSED_NATIONAL_DIRECT</x:v>
      </x:c>
      <x:c r="V82" s="118" t="str">
        <x:v>DERIVATION ONLY</x:v>
      </x:c>
      <x:c r="W82" s="118" t="str">
        <x:v>DERIVATION_DETAIL_ONLY</x:v>
      </x:c>
      <x:c r="X82" s="119" t="b">
        <x:v>0</x:v>
      </x:c>
      <x:c r="Y82" s="118" t="str">
        <x:v>DU-JE assumes a new 1.1 GW nuclear unit by 2040.</x:v>
      </x:c>
      <x:c r="Z82" s="118" t="str">
        <x:v>Component of total nuclear.</x:v>
      </x:c>
      <x:c r="AA82" s="118" t="str">
        <x:v>https://www.energetika-portal.si/fileadmin/dokumenti/publikacije/nepn/dokumenti/strpodl-nepn_pos_dec2024.pdf</x:v>
      </x:c>
      <x:c r="AB82" s="127" t="str">
        <x:v>ETX-6R_COUNTRY_CLOSURE</x:v>
      </x:c>
    </x:row>
    <x:row r="83">
      <x:c r="A83" s="126" t="str">
        <x:v>SI</x:v>
      </x:c>
      <x:c r="B83" s="118" t="str">
        <x:v>Slovenia</x:v>
      </x:c>
      <x:c r="C83" s="118" t="str">
        <x:v>SI_DU-JE</x:v>
      </x:c>
      <x:c r="D83" s="118" t="str">
        <x:v>SI_SIMULATION_READY_NATIONAL_BENCHMARK_DERIVED</x:v>
      </x:c>
      <x:c r="E83" s="118" t="str">
        <x:v>MEM_ETX6R_SI_National_Closure_v1.0</x:v>
      </x:c>
      <x:c r="F83" s="118" t="str">
        <x:v>01_SI_CAPACITY_STACK</x:v>
      </x:c>
      <x:c r="G83" s="118" t="n">
        <x:v>8</x:v>
      </x:c>
      <x:c r="H83" s="118" t="str">
        <x:v>SMR</x:v>
      </x:c>
      <x:c r="I83" s="118" t="str">
        <x:v>nuclear_smr</x:v>
      </x:c>
      <x:c r="J83" s="118" t="str">
        <x:v>nuclear_smr</x:v>
      </x:c>
      <x:c r="K83" s="118" t="str">
        <x:v>GW</x:v>
      </x:c>
      <x:c r="L83" s="143" t="n">
        <x:v>0</x:v>
      </x:c>
      <x:c r="M83" s="118" t="str">
        <x:v>OFFICIAL_SCENARIO_ZERO</x:v>
      </x:c>
      <x:c r="N83" s="118" t="str">
        <x:v>A</x:v>
      </x:c>
      <x:c r="O83" s="118" t="str">
        <x:v>SI_NEPN_FINAL_REPORT_2024</x:v>
      </x:c>
      <x:c r="P83" s="118" t="str">
        <x:v>ZERO_SELECTED_SCENARIO</x:v>
      </x:c>
      <x:c r="Q83" s="143" t="n">
        <x:v>0.25</x:v>
      </x:c>
      <x:c r="R83" s="118" t="str">
        <x:v>OFFICIAL_SCENARIO_INPUT</x:v>
      </x:c>
      <x:c r="S83" s="118" t="str">
        <x:v>A</x:v>
      </x:c>
      <x:c r="T83" s="118" t="str">
        <x:v>SI_NEPN_FINAL_REPORT_2024</x:v>
      </x:c>
      <x:c r="U83" s="118" t="str">
        <x:v>CLOSED_NATIONAL_DIRECT</x:v>
      </x:c>
      <x:c r="V83" s="118" t="str">
        <x:v>DERIVATION ONLY</x:v>
      </x:c>
      <x:c r="W83" s="118" t="str">
        <x:v>DERIVATION_DETAIL_ONLY</x:v>
      </x:c>
      <x:c r="X83" s="119" t="b">
        <x:v>0</x:v>
      </x:c>
      <x:c r="Y83" s="118" t="str">
        <x:v>DU-JE adds a 250 MW SMR by 2050.</x:v>
      </x:c>
      <x:c r="Z83" s="118" t="str">
        <x:v>Component of total nuclear.</x:v>
      </x:c>
      <x:c r="AA83" s="118" t="str">
        <x:v>https://www.energetika-portal.si/fileadmin/dokumenti/publikacije/nepn/dokumenti/strpodl-nepn_pos_dec2024.pdf</x:v>
      </x:c>
      <x:c r="AB83" s="127" t="str">
        <x:v>ETX-6R_COUNTRY_CLOSURE</x:v>
      </x:c>
    </x:row>
    <x:row r="84">
      <x:c r="A84" s="126" t="str">
        <x:v>SI</x:v>
      </x:c>
      <x:c r="B84" s="118" t="str">
        <x:v>Slovenia</x:v>
      </x:c>
      <x:c r="C84" s="118" t="str">
        <x:v>SI_DU-JE</x:v>
      </x:c>
      <x:c r="D84" s="118" t="str">
        <x:v>SI_SIMULATION_READY_NATIONAL_BENCHMARK_DERIVED</x:v>
      </x:c>
      <x:c r="E84" s="118" t="str">
        <x:v>MEM_ETX6R_SI_National_Closure_v1.0</x:v>
      </x:c>
      <x:c r="F84" s="118" t="str">
        <x:v>01_SI_CAPACITY_STACK</x:v>
      </x:c>
      <x:c r="G84" s="118" t="n">
        <x:v>9</x:v>
      </x:c>
      <x:c r="H84" s="118" t="str">
        <x:v>Total nuclear</x:v>
      </x:c>
      <x:c r="I84" s="118" t="str">
        <x:v>nuclear</x:v>
      </x:c>
      <x:c r="J84" s="118" t="str">
        <x:v>nuclear</x:v>
      </x:c>
      <x:c r="K84" s="118" t="str">
        <x:v>GW</x:v>
      </x:c>
      <x:c r="L84" s="143" t="n">
        <x:v>1.796</x:v>
      </x:c>
      <x:c r="M84" s="118" t="str">
        <x:v>DERIVED_FROM_OFFICIAL_COMPONENTS</x:v>
      </x:c>
      <x:c r="N84" s="118" t="str">
        <x:v>A/B</x:v>
      </x:c>
      <x:c r="O84" s="118" t="str">
        <x:v>SI_NEPN_FINAL_REPORT_2024</x:v>
      </x:c>
      <x:c r="P84" s="118" t="str">
        <x:v>CLOSED_NATIONAL_DERIVED</x:v>
      </x:c>
      <x:c r="Q84" s="143" t="n">
        <x:v>1.35</x:v>
      </x:c>
      <x:c r="R84" s="118" t="str">
        <x:v>DERIVED_FROM_OFFICIAL_COMPONENTS</x:v>
      </x:c>
      <x:c r="S84" s="118" t="str">
        <x:v>A</x:v>
      </x:c>
      <x:c r="T84" s="118" t="str">
        <x:v>SI_NEPN_FINAL_REPORT_2024</x:v>
      </x:c>
      <x:c r="U84" s="118" t="str">
        <x:v>CLOSED_NATIONAL_DERIVED</x:v>
      </x:c>
      <x:c r="V84" s="118" t="str">
        <x:v>YES</x:v>
      </x:c>
      <x:c r="W84" s="118" t="str">
        <x:v>IMPLEMENT_TOTAL</x:v>
      </x:c>
      <x:c r="X84" s="119" t="b">
        <x:v>1</x:v>
      </x:c>
      <x:c r="Y84" s="118" t="str">
        <x:v>2040 = NEK + JEK2. 2050 = JEK2 + SMR after NEK retirement.</x:v>
      </x:c>
      <x:c r="Z84" s="118" t="str">
        <x:v>See SI-D03/SI-D04.</x:v>
      </x:c>
      <x:c r="AA84" s="118" t="str">
        <x:v>https://www.energetika-portal.si/fileadmin/dokumenti/publikacije/nepn/dokumenti/strpodl-nepn_pos_dec2024.pdf</x:v>
      </x:c>
      <x:c r="AB84" s="127" t="str">
        <x:v>ETX-6R_COUNTRY_CLOSURE</x:v>
      </x:c>
    </x:row>
    <x:row r="85">
      <x:c r="A85" s="126" t="str">
        <x:v>SI</x:v>
      </x:c>
      <x:c r="B85" s="118" t="str">
        <x:v>Slovenia</x:v>
      </x:c>
      <x:c r="C85" s="118" t="str">
        <x:v>SI_DU-JE</x:v>
      </x:c>
      <x:c r="D85" s="118" t="str">
        <x:v>SI_SIMULATION_READY_NATIONAL_BENCHMARK_DERIVED</x:v>
      </x:c>
      <x:c r="E85" s="118" t="str">
        <x:v>MEM_ETX6R_SI_National_Closure_v1.0</x:v>
      </x:c>
      <x:c r="F85" s="118" t="str">
        <x:v>01_SI_CAPACITY_STACK</x:v>
      </x:c>
      <x:c r="G85" s="118" t="n">
        <x:v>10</x:v>
      </x:c>
      <x:c r="H85" s="118" t="str">
        <x:v>Coal / lignite</x:v>
      </x:c>
      <x:c r="I85" s="118" t="str">
        <x:v>coal_lignite</x:v>
      </x:c>
      <x:c r="J85" s="118" t="str">
        <x:v>coal_lignite</x:v>
      </x:c>
      <x:c r="K85" s="118" t="str">
        <x:v>GW</x:v>
      </x:c>
      <x:c r="L85" s="143" t="n">
        <x:v>0</x:v>
      </x:c>
      <x:c r="M85" s="118" t="str">
        <x:v>OFFICIAL_POLICY_ZERO</x:v>
      </x:c>
      <x:c r="N85" s="118" t="str">
        <x:v>A</x:v>
      </x:c>
      <x:c r="O85" s="118" t="str">
        <x:v>SI_NEPN_FINAL_REPORT_2024</x:v>
      </x:c>
      <x:c r="P85" s="118" t="str">
        <x:v>ZERO_SELECTED_SCENARIO</x:v>
      </x:c>
      <x:c r="Q85" s="143" t="n">
        <x:v>0</x:v>
      </x:c>
      <x:c r="R85" s="118" t="str">
        <x:v>OFFICIAL_POLICY_ZERO</x:v>
      </x:c>
      <x:c r="S85" s="118" t="str">
        <x:v>A</x:v>
      </x:c>
      <x:c r="T85" s="118" t="str">
        <x:v>SI_NEPN_FINAL_REPORT_2024</x:v>
      </x:c>
      <x:c r="U85" s="118" t="str">
        <x:v>ZERO_SELECTED_SCENARIO</x:v>
      </x:c>
      <x:c r="V85" s="118" t="str">
        <x:v>YES</x:v>
      </x:c>
      <x:c r="W85" s="118" t="str">
        <x:v>IMPLEMENT</x:v>
      </x:c>
      <x:c r="X85" s="119" t="b">
        <x:v>1</x:v>
      </x:c>
      <x:c r="Y85" s="118" t="str">
        <x:v>Lignite and imported coal are phased out by 2033/2030 respectively.</x:v>
      </x:c>
      <x:c r="Z85" s="118" t="str">
        <x:v>Explicit zero in both model horizons.</x:v>
      </x:c>
      <x:c r="AA85" s="118" t="str">
        <x:v>https://www.energetika-portal.si/fileadmin/dokumenti/publikacije/nepn/dokumenti/strpodl-nepn_pos_dec2024.pdf</x:v>
      </x:c>
      <x:c r="AB85" s="127" t="str">
        <x:v>ETX-6R_COUNTRY_CLOSURE</x:v>
      </x:c>
    </x:row>
    <x:row r="86">
      <x:c r="A86" s="126" t="str">
        <x:v>SI</x:v>
      </x:c>
      <x:c r="B86" s="118" t="str">
        <x:v>Slovenia</x:v>
      </x:c>
      <x:c r="C86" s="118" t="str">
        <x:v>SI_DU-JE</x:v>
      </x:c>
      <x:c r="D86" s="118" t="str">
        <x:v>SI_SIMULATION_READY_NATIONAL_BENCHMARK_DERIVED</x:v>
      </x:c>
      <x:c r="E86" s="118" t="str">
        <x:v>MEM_ETX6R_SI_National_Closure_v1.0</x:v>
      </x:c>
      <x:c r="F86" s="118" t="str">
        <x:v>01_SI_CAPACITY_STACK</x:v>
      </x:c>
      <x:c r="G86" s="118" t="n">
        <x:v>11</x:v>
      </x:c>
      <x:c r="H86" s="118" t="str">
        <x:v>Oil / liquid-fuel thermal</x:v>
      </x:c>
      <x:c r="I86" s="118" t="str">
        <x:v>thermal_oil</x:v>
      </x:c>
      <x:c r="J86" s="118" t="str">
        <x:v>thermal_oil_liquid</x:v>
      </x:c>
      <x:c r="K86" s="118" t="str">
        <x:v>GW</x:v>
      </x:c>
      <x:c r="L86" s="143" t="n">
        <x:v>0</x:v>
      </x:c>
      <x:c r="M86" s="118" t="str">
        <x:v>NATIONAL_BENCHMARK_ZERO</x:v>
      </x:c>
      <x:c r="N86" s="118" t="str">
        <x:v>B/C</x:v>
      </x:c>
      <x:c r="O86" s="118" t="str">
        <x:v>SI_NEPN_FINAL_REPORT_2024</x:v>
      </x:c>
      <x:c r="P86" s="118" t="str">
        <x:v>CLOSED_NATIONAL_BENCHMARK_DERIVED</x:v>
      </x:c>
      <x:c r="Q86" s="143" t="n">
        <x:v>0</x:v>
      </x:c>
      <x:c r="R86" s="118" t="str">
        <x:v>NATIONAL_BENCHMARK_ZERO</x:v>
      </x:c>
      <x:c r="S86" s="118" t="str">
        <x:v>B/C</x:v>
      </x:c>
      <x:c r="T86" s="118" t="str">
        <x:v>SI_NEPN_FINAL_REPORT_2024</x:v>
      </x:c>
      <x:c r="U86" s="118" t="str">
        <x:v>CLOSED_NATIONAL_BENCHMARK_DERIVED</x:v>
      </x:c>
      <x:c r="V86" s="118" t="str">
        <x:v>YES</x:v>
      </x:c>
      <x:c r="W86" s="118" t="str">
        <x:v>IMPLEMENT_CARRIER_SPLIT</x:v>
      </x:c>
      <x:c r="X86" s="119" t="b">
        <x:v>1</x:v>
      </x:c>
      <x:c r="Y86" s="118" t="str">
        <x:v>DU-JE future dispatchable thermal architecture is gas-based; no material separate oil fleet is retained in the national future stack.</x:v>
      </x:c>
      <x:c r="Z86" s="118" t="str">
        <x:v>If emergency liquid-fuel backup is retained later, subtract it from the gas envelope rather than adding capacity.</x:v>
      </x:c>
      <x:c r="AA86" s="118" t="str">
        <x:v>https://www.energetika-portal.si/fileadmin/dokumenti/publikacije/nepn/dokumenti/strpodl-nepn_pos_dec2024.pdf</x:v>
      </x:c>
      <x:c r="AB86" s="127" t="str">
        <x:v>ETX-6R_COUNTRY_CLOSURE</x:v>
      </x:c>
    </x:row>
    <x:row r="87">
      <x:c r="A87" s="126" t="str">
        <x:v>SI</x:v>
      </x:c>
      <x:c r="B87" s="118" t="str">
        <x:v>Slovenia</x:v>
      </x:c>
      <x:c r="C87" s="118" t="str">
        <x:v>SI_DU-JE</x:v>
      </x:c>
      <x:c r="D87" s="118" t="str">
        <x:v>SI_SIMULATION_READY_NATIONAL_BENCHMARK_DERIVED</x:v>
      </x:c>
      <x:c r="E87" s="118" t="str">
        <x:v>MEM_ETX6R_SI_National_Closure_v1.0</x:v>
      </x:c>
      <x:c r="F87" s="118" t="str">
        <x:v>01_SI_CAPACITY_STACK</x:v>
      </x:c>
      <x:c r="G87" s="118" t="n">
        <x:v>12</x:v>
      </x:c>
      <x:c r="H87" s="118" t="str">
        <x:v>Solar PV</x:v>
      </x:c>
      <x:c r="I87" s="118" t="str">
        <x:v>solar</x:v>
      </x:c>
      <x:c r="J87" s="118" t="str">
        <x:v>solar_pv</x:v>
      </x:c>
      <x:c r="K87" s="118" t="str">
        <x:v>GW</x:v>
      </x:c>
      <x:c r="L87" s="143" t="n">
        <x:v>6.686089887640449</x:v>
      </x:c>
      <x:c r="M87" s="118" t="str">
        <x:v>DERIVED_FROM_OFFICIAL_COMPONENTS</x:v>
      </x:c>
      <x:c r="N87" s="118" t="str">
        <x:v>B/C</x:v>
      </x:c>
      <x:c r="O87" s="118" t="str">
        <x:v>SI_NEPN_BALANCE_2024</x:v>
      </x:c>
      <x:c r="P87" s="118" t="str">
        <x:v>CLOSED_NATIONAL_DERIVED</x:v>
      </x:c>
      <x:c r="Q87" s="143" t="n">
        <x:v>7.629</x:v>
      </x:c>
      <x:c r="R87" s="118" t="str">
        <x:v>OFFICIAL_SCENARIO_INPUT</x:v>
      </x:c>
      <x:c r="S87" s="118" t="str">
        <x:v>A</x:v>
      </x:c>
      <x:c r="T87" s="118" t="str">
        <x:v>SI_NEPN_BALANCE_2024</x:v>
      </x:c>
      <x:c r="U87" s="118" t="str">
        <x:v>CLOSED_NATIONAL_DIRECT</x:v>
      </x:c>
      <x:c r="V87" s="118" t="str">
        <x:v>YES</x:v>
      </x:c>
      <x:c r="W87" s="118" t="str">
        <x:v>IMPLEMENT</x:v>
      </x:c>
      <x:c r="X87" s="119" t="b">
        <x:v>1</x:v>
      </x:c>
      <x:c r="Y87" s="118" t="str">
        <x:v>2050 direct DU-JE capacity. 2040 preserves the scenario's PV generation/capacity relationship.</x:v>
      </x:c>
      <x:c r="Z87" s="118" t="str">
        <x:v>See SI-D01.</x:v>
      </x:c>
      <x:c r="AA87" s="118" t="str">
        <x:v>https://www.energetika-portal.si/dokumenti/strateski-razvojni-dokumenti/nacionalni-energetski-in-podnebni-nacrt-2024/dokumenti/</x:v>
      </x:c>
      <x:c r="AB87" s="127" t="str">
        <x:v>ETX-6R_COUNTRY_CLOSURE</x:v>
      </x:c>
    </x:row>
    <x:row r="88">
      <x:c r="A88" s="126" t="str">
        <x:v>SI</x:v>
      </x:c>
      <x:c r="B88" s="118" t="str">
        <x:v>Slovenia</x:v>
      </x:c>
      <x:c r="C88" s="118" t="str">
        <x:v>SI_DU-JE</x:v>
      </x:c>
      <x:c r="D88" s="118" t="str">
        <x:v>SI_SIMULATION_READY_NATIONAL_BENCHMARK_DERIVED</x:v>
      </x:c>
      <x:c r="E88" s="118" t="str">
        <x:v>MEM_ETX6R_SI_National_Closure_v1.0</x:v>
      </x:c>
      <x:c r="F88" s="118" t="str">
        <x:v>01_SI_CAPACITY_STACK</x:v>
      </x:c>
      <x:c r="G88" s="118" t="n">
        <x:v>13</x:v>
      </x:c>
      <x:c r="H88" s="118" t="str">
        <x:v>Onshore wind</x:v>
      </x:c>
      <x:c r="I88" s="118" t="str">
        <x:v>onwind</x:v>
      </x:c>
      <x:c r="J88" s="118" t="str">
        <x:v>wind_onshore</x:v>
      </x:c>
      <x:c r="K88" s="118" t="str">
        <x:v>GW</x:v>
      </x:c>
      <x:c r="L88" s="143" t="n">
        <x:v>0.4191666666666667</x:v>
      </x:c>
      <x:c r="M88" s="118" t="str">
        <x:v>DERIVED_FROM_OFFICIAL_COMPONENTS</x:v>
      </x:c>
      <x:c r="N88" s="118" t="str">
        <x:v>B/C</x:v>
      </x:c>
      <x:c r="O88" s="118" t="str">
        <x:v>SI_NEPN_BALANCE_2024</x:v>
      </x:c>
      <x:c r="P88" s="118" t="str">
        <x:v>CLOSED_NATIONAL_DERIVED</x:v>
      </x:c>
      <x:c r="Q88" s="143" t="n">
        <x:v>0.503</x:v>
      </x:c>
      <x:c r="R88" s="118" t="str">
        <x:v>OFFICIAL_SCENARIO_INPUT</x:v>
      </x:c>
      <x:c r="S88" s="118" t="str">
        <x:v>A</x:v>
      </x:c>
      <x:c r="T88" s="118" t="str">
        <x:v>SI_NEPN_BALANCE_2024</x:v>
      </x:c>
      <x:c r="U88" s="118" t="str">
        <x:v>CLOSED_NATIONAL_DIRECT</x:v>
      </x:c>
      <x:c r="V88" s="118" t="str">
        <x:v>YES</x:v>
      </x:c>
      <x:c r="W88" s="118" t="str">
        <x:v>IMPLEMENT</x:v>
      </x:c>
      <x:c r="X88" s="119" t="b">
        <x:v>1</x:v>
      </x:c>
      <x:c r="Y88" s="118" t="str">
        <x:v>2050 direct DU-JE capacity; 2040 derived from the scenario's 2040/2050 wind-generation relationship.</x:v>
      </x:c>
      <x:c r="Z88" s="118" t="str">
        <x:v>See SI-D02.</x:v>
      </x:c>
      <x:c r="AA88" s="118" t="str">
        <x:v>https://www.energetika-portal.si/dokumenti/strateski-razvojni-dokumenti/nacionalni-energetski-in-podnebni-nacrt-2024/dokumenti/</x:v>
      </x:c>
      <x:c r="AB88" s="127" t="str">
        <x:v>ETX-6R_COUNTRY_CLOSURE</x:v>
      </x:c>
    </x:row>
    <x:row r="89">
      <x:c r="A89" s="126" t="str">
        <x:v>SI</x:v>
      </x:c>
      <x:c r="B89" s="118" t="str">
        <x:v>Slovenia</x:v>
      </x:c>
      <x:c r="C89" s="118" t="str">
        <x:v>SI_DU-JE</x:v>
      </x:c>
      <x:c r="D89" s="118" t="str">
        <x:v>SI_SIMULATION_READY_NATIONAL_BENCHMARK_DERIVED</x:v>
      </x:c>
      <x:c r="E89" s="118" t="str">
        <x:v>MEM_ETX6R_SI_National_Closure_v1.0</x:v>
      </x:c>
      <x:c r="F89" s="118" t="str">
        <x:v>01_SI_CAPACITY_STACK</x:v>
      </x:c>
      <x:c r="G89" s="118" t="n">
        <x:v>14</x:v>
      </x:c>
      <x:c r="H89" s="118" t="str">
        <x:v>Offshore wind</x:v>
      </x:c>
      <x:c r="I89" s="118" t="str">
        <x:v>offwind</x:v>
      </x:c>
      <x:c r="J89" s="118" t="str">
        <x:v>wind_offshore</x:v>
      </x:c>
      <x:c r="K89" s="118" t="str">
        <x:v>GW</x:v>
      </x:c>
      <x:c r="L89" s="143" t="n">
        <x:v>0</x:v>
      </x:c>
      <x:c r="M89" s="118" t="str">
        <x:v>NATIONAL_GEOGRAPHIC_ZERO</x:v>
      </x:c>
      <x:c r="N89" s="118" t="str">
        <x:v>A</x:v>
      </x:c>
      <x:c r="O89" s="118" t="str">
        <x:v>SI_NEPN_FINAL_REPORT_2024</x:v>
      </x:c>
      <x:c r="P89" s="118" t="str">
        <x:v>ZERO_SELECTED_SCENARIO</x:v>
      </x:c>
      <x:c r="Q89" s="143" t="n">
        <x:v>0</x:v>
      </x:c>
      <x:c r="R89" s="118" t="str">
        <x:v>NATIONAL_GEOGRAPHIC_ZERO</x:v>
      </x:c>
      <x:c r="S89" s="118" t="str">
        <x:v>A</x:v>
      </x:c>
      <x:c r="T89" s="118" t="str">
        <x:v>SI_NEPN_FINAL_REPORT_2024</x:v>
      </x:c>
      <x:c r="U89" s="118" t="str">
        <x:v>ZERO_SELECTED_SCENARIO</x:v>
      </x:c>
      <x:c r="V89" s="118" t="str">
        <x:v>YES</x:v>
      </x:c>
      <x:c r="W89" s="118" t="str">
        <x:v>IMPLEMENT</x:v>
      </x:c>
      <x:c r="X89" s="119" t="b">
        <x:v>1</x:v>
      </x:c>
      <x:c r="Y89" s="118" t="str">
        <x:v>No offshore-wind pathway is present for Slovenia in DU-JE.</x:v>
      </x:c>
      <x:c r="Z89" s="118" t="str">
        <x:v>Explicit zero.</x:v>
      </x:c>
      <x:c r="AA89" s="118" t="str">
        <x:v>https://www.energetika-portal.si/fileadmin/dokumenti/publikacije/nepn/dokumenti/strpodl-nepn_pos_dec2024.pdf</x:v>
      </x:c>
      <x:c r="AB89" s="127" t="str">
        <x:v>ETX-6R_COUNTRY_CLOSURE</x:v>
      </x:c>
    </x:row>
    <x:row r="90">
      <x:c r="A90" s="126" t="str">
        <x:v>SI</x:v>
      </x:c>
      <x:c r="B90" s="118" t="str">
        <x:v>Slovenia</x:v>
      </x:c>
      <x:c r="C90" s="118" t="str">
        <x:v>SI_DU-JE</x:v>
      </x:c>
      <x:c r="D90" s="118" t="str">
        <x:v>SI_SIMULATION_READY_NATIONAL_BENCHMARK_DERIVED</x:v>
      </x:c>
      <x:c r="E90" s="118" t="str">
        <x:v>MEM_ETX6R_SI_National_Closure_v1.0</x:v>
      </x:c>
      <x:c r="F90" s="118" t="str">
        <x:v>01_SI_CAPACITY_STACK</x:v>
      </x:c>
      <x:c r="G90" s="118" t="n">
        <x:v>15</x:v>
      </x:c>
      <x:c r="H90" s="118" t="str">
        <x:v>Non-PHS hydro</x:v>
      </x:c>
      <x:c r="I90" s="118" t="str">
        <x:v>hydro_non_phs</x:v>
      </x:c>
      <x:c r="J90" s="118" t="str">
        <x:v>hydro_non_phs</x:v>
      </x:c>
      <x:c r="K90" s="118" t="str">
        <x:v>GW</x:v>
      </x:c>
      <x:c r="L90" s="143" t="n">
        <x:v>1.29</x:v>
      </x:c>
      <x:c r="M90" s="118" t="str">
        <x:v>OFFICIAL_CHART_CONTROL</x:v>
      </x:c>
      <x:c r="N90" s="118" t="str">
        <x:v>C</x:v>
      </x:c>
      <x:c r="O90" s="118" t="str">
        <x:v>SI_NEPN_FINAL_REPORT_2024</x:v>
      </x:c>
      <x:c r="P90" s="118" t="str">
        <x:v>CLOSED_NATIONAL_DERIVED</x:v>
      </x:c>
      <x:c r="Q90" s="143" t="n">
        <x:v>1.29</x:v>
      </x:c>
      <x:c r="R90" s="118" t="str">
        <x:v>NATIONAL_TRAJECTORY_CARRY_FORWARD</x:v>
      </x:c>
      <x:c r="S90" s="118" t="str">
        <x:v>C</x:v>
      </x:c>
      <x:c r="T90" s="118" t="str">
        <x:v>SI_NEPN_FINAL_REPORT_2024</x:v>
      </x:c>
      <x:c r="U90" s="118" t="str">
        <x:v>CLOSED_NATIONAL_BENCHMARK_DERIVED</x:v>
      </x:c>
      <x:c r="V90" s="118" t="str">
        <x:v>YES</x:v>
      </x:c>
      <x:c r="W90" s="118" t="str">
        <x:v>IMPLEMENT</x:v>
      </x:c>
      <x:c r="X90" s="119" t="b">
        <x:v>1</x:v>
      </x:c>
      <x:c r="Y90" s="118" t="str">
        <x:v>Figure 112 gives 1.0 GW existing large HE + 0.11 GW new HE + 0.18 GW small HE by 2035. Table 34 says the DU hydro expansion is completed by 2040.</x:v>
      </x:c>
      <x:c r="Z90" s="118" t="str">
        <x:v>2050 carries the completed 2040 national stack. See SI-D05/SI-D06.</x:v>
      </x:c>
      <x:c r="AA90" s="118" t="str">
        <x:v>https://www.energetika-portal.si/fileadmin/dokumenti/publikacije/nepn/dokumenti/strpodl-nepn_pos_dec2024.pdf</x:v>
      </x:c>
      <x:c r="AB90" s="127" t="str">
        <x:v>ETX-6R_COUNTRY_CLOSURE</x:v>
      </x:c>
    </x:row>
    <x:row r="91">
      <x:c r="A91" s="126" t="str">
        <x:v>SI</x:v>
      </x:c>
      <x:c r="B91" s="118" t="str">
        <x:v>Slovenia</x:v>
      </x:c>
      <x:c r="C91" s="118" t="str">
        <x:v>SI_DU-JE</x:v>
      </x:c>
      <x:c r="D91" s="118" t="str">
        <x:v>SI_SIMULATION_READY_NATIONAL_BENCHMARK_DERIVED</x:v>
      </x:c>
      <x:c r="E91" s="118" t="str">
        <x:v>MEM_ETX6R_SI_National_Closure_v1.0</x:v>
      </x:c>
      <x:c r="F91" s="118" t="str">
        <x:v>01_SI_CAPACITY_STACK</x:v>
      </x:c>
      <x:c r="G91" s="118" t="n">
        <x:v>16</x:v>
      </x:c>
      <x:c r="H91" s="118" t="str">
        <x:v>PHS turbine / discharge power</x:v>
      </x:c>
      <x:c r="I91" s="118" t="str">
        <x:v>phs_turbine</x:v>
      </x:c>
      <x:c r="J91" s="118" t="str">
        <x:v>phs_discharge_power</x:v>
      </x:c>
      <x:c r="K91" s="118" t="str">
        <x:v>GW</x:v>
      </x:c>
      <x:c r="L91" s="143" t="n">
        <x:v>0.625</x:v>
      </x:c>
      <x:c r="M91" s="118" t="str">
        <x:v>DERIVED_FROM_OFFICIAL_PROJECTS</x:v>
      </x:c>
      <x:c r="N91" s="118" t="str">
        <x:v>B</x:v>
      </x:c>
      <x:c r="O91" s="118" t="str">
        <x:v>SI_NEPN_FINAL_REPORT_2024+SI_SENG_AVCE+SI_HSE_KOZJAK</x:v>
      </x:c>
      <x:c r="P91" s="118" t="str">
        <x:v>CLOSED_NATIONAL_DERIVED</x:v>
      </x:c>
      <x:c r="Q91" s="143" t="n">
        <x:v>0.8049999999999999</x:v>
      </x:c>
      <x:c r="R91" s="118" t="str">
        <x:v>DERIVED_FROM_OFFICIAL_PROJECTS</x:v>
      </x:c>
      <x:c r="S91" s="118" t="str">
        <x:v>B/C</x:v>
      </x:c>
      <x:c r="T91" s="118" t="str">
        <x:v>SI_NEPN_FINAL_REPORT_2024+SI_SENG_AVCE+SI_HSE_KOZJAK</x:v>
      </x:c>
      <x:c r="U91" s="118" t="str">
        <x:v>CLOSED_NATIONAL_DERIVED</x:v>
      </x:c>
      <x:c r="V91" s="118" t="str">
        <x:v>YES</x:v>
      </x:c>
      <x:c r="W91" s="118" t="str">
        <x:v>IMPLEMENT_STORAGE_PAIR</x:v>
      </x:c>
      <x:c r="X91" s="119" t="b">
        <x:v>1</x:v>
      </x:c>
      <x:c r="Y91" s="118" t="str">
        <x:v>2040 = existing Avče 185 MW + new 440 MW Kozjak-class PHS. 2050 adds the second 180 MW PHS scheduled by 2045.</x:v>
      </x:c>
      <x:c r="Z91" s="118" t="str">
        <x:v>See SI-D11/SI-D14.</x:v>
      </x:c>
      <x:c r="AA91" s="118" t="str">
        <x:v>https://www.energetika-portal.si/fileadmin/dokumenti/publikacije/nepn/dokumenti/strpodl-nepn_pos_dec2024.pdf</x:v>
      </x:c>
      <x:c r="AB91" s="127" t="str">
        <x:v>ETX-6R_COUNTRY_CLOSURE</x:v>
      </x:c>
    </x:row>
    <x:row r="92">
      <x:c r="A92" s="126" t="str">
        <x:v>SI</x:v>
      </x:c>
      <x:c r="B92" s="118" t="str">
        <x:v>Slovenia</x:v>
      </x:c>
      <x:c r="C92" s="118" t="str">
        <x:v>SI_DU-JE</x:v>
      </x:c>
      <x:c r="D92" s="118" t="str">
        <x:v>SI_SIMULATION_READY_NATIONAL_BENCHMARK_DERIVED</x:v>
      </x:c>
      <x:c r="E92" s="118" t="str">
        <x:v>MEM_ETX6R_SI_National_Closure_v1.0</x:v>
      </x:c>
      <x:c r="F92" s="118" t="str">
        <x:v>01_SI_CAPACITY_STACK</x:v>
      </x:c>
      <x:c r="G92" s="118" t="n">
        <x:v>17</x:v>
      </x:c>
      <x:c r="H92" s="118" t="str">
        <x:v>PHS pump / charge power</x:v>
      </x:c>
      <x:c r="I92" s="118" t="str">
        <x:v>phs_pump</x:v>
      </x:c>
      <x:c r="J92" s="118" t="str">
        <x:v>phs_charge_power</x:v>
      </x:c>
      <x:c r="K92" s="118" t="str">
        <x:v>GW</x:v>
      </x:c>
      <x:c r="L92" s="143" t="n">
        <x:v>0.62</x:v>
      </x:c>
      <x:c r="M92" s="118" t="str">
        <x:v>DERIVED_FROM_OFFICIAL_PROJECTS</x:v>
      </x:c>
      <x:c r="N92" s="118" t="str">
        <x:v>B/C</x:v>
      </x:c>
      <x:c r="O92" s="118" t="str">
        <x:v>SI_NEPN_FINAL_REPORT_2024+SI_SENG_AVCE+SI_HSE_KOZJAK</x:v>
      </x:c>
      <x:c r="P92" s="118" t="str">
        <x:v>CLOSED_NATIONAL_DERIVED</x:v>
      </x:c>
      <x:c r="Q92" s="143" t="n">
        <x:v>0.8</x:v>
      </x:c>
      <x:c r="R92" s="118" t="str">
        <x:v>DERIVED_FROM_OFFICIAL_PROJECTS</x:v>
      </x:c>
      <x:c r="S92" s="118" t="str">
        <x:v>C</x:v>
      </x:c>
      <x:c r="T92" s="118" t="str">
        <x:v>SI_NEPN_FINAL_REPORT_2024+SI_SENG_AVCE+SI_HSE_KOZJAK</x:v>
      </x:c>
      <x:c r="U92" s="118" t="str">
        <x:v>CLOSED_NATIONAL_DERIVED</x:v>
      </x:c>
      <x:c r="V92" s="118" t="str">
        <x:v>YES</x:v>
      </x:c>
      <x:c r="W92" s="118" t="str">
        <x:v>IMPLEMENT_STORAGE_PAIR</x:v>
      </x:c>
      <x:c r="X92" s="119" t="b">
        <x:v>1</x:v>
      </x:c>
      <x:c r="Y92" s="118" t="str">
        <x:v>Avče has 180 MW pumping; Kozjak and the later 180 MW unit are treated as symmetric Stage-A benchmarks.</x:v>
      </x:c>
      <x:c r="Z92" s="118" t="str">
        <x:v>See SI-D12/SI-D15.</x:v>
      </x:c>
      <x:c r="AA92" s="118" t="str">
        <x:v>https://www.seng.si/sl/nase-elektrarne/crpalna-hidroelektrarna/</x:v>
      </x:c>
      <x:c r="AB92" s="127" t="str">
        <x:v>ETX-6R_COUNTRY_CLOSURE</x:v>
      </x:c>
    </x:row>
    <x:row r="93">
      <x:c r="A93" s="126" t="str">
        <x:v>SI</x:v>
      </x:c>
      <x:c r="B93" s="118" t="str">
        <x:v>Slovenia</x:v>
      </x:c>
      <x:c r="C93" s="118" t="str">
        <x:v>SI_DU-JE</x:v>
      </x:c>
      <x:c r="D93" s="118" t="str">
        <x:v>SI_SIMULATION_READY_NATIONAL_BENCHMARK_DERIVED</x:v>
      </x:c>
      <x:c r="E93" s="118" t="str">
        <x:v>MEM_ETX6R_SI_National_Closure_v1.0</x:v>
      </x:c>
      <x:c r="F93" s="118" t="str">
        <x:v>01_SI_CAPACITY_STACK</x:v>
      </x:c>
      <x:c r="G93" s="118" t="n">
        <x:v>18</x:v>
      </x:c>
      <x:c r="H93" s="118" t="str">
        <x:v>PHS energy capacity</x:v>
      </x:c>
      <x:c r="I93" s="118" t="str">
        <x:v>phs_energy</x:v>
      </x:c>
      <x:c r="J93" s="118" t="str">
        <x:v>phs_energy</x:v>
      </x:c>
      <x:c r="K93" s="118" t="str">
        <x:v>GWh</x:v>
      </x:c>
      <x:c r="L93" s="143" t="n">
        <x:v>8.8508</x:v>
      </x:c>
      <x:c r="M93" s="118" t="str">
        <x:v>DERIVED_FROM_OFFICIAL_PROJECTS</x:v>
      </x:c>
      <x:c r="N93" s="118" t="str">
        <x:v>B/C</x:v>
      </x:c>
      <x:c r="O93" s="118" t="str">
        <x:v>SI_SENG_AVCE+SI_HSE_KOZJAK</x:v>
      </x:c>
      <x:c r="P93" s="118" t="str">
        <x:v>CLOSED_NATIONAL_BENCHMARK_DERIVED</x:v>
      </x:c>
      <x:c r="Q93" s="143" t="n">
        <x:v>11.193829318181818</x:v>
      </x:c>
      <x:c r="R93" s="118" t="str">
        <x:v>DERIVED_FROM_OFFICIAL_PROJECTS</x:v>
      </x:c>
      <x:c r="S93" s="118" t="str">
        <x:v>C</x:v>
      </x:c>
      <x:c r="T93" s="118" t="str">
        <x:v>SI_SENG_AVCE+SI_HSE_KOZJAK</x:v>
      </x:c>
      <x:c r="U93" s="118" t="str">
        <x:v>CLOSED_NATIONAL_BENCHMARK_DERIVED</x:v>
      </x:c>
      <x:c r="V93" s="118" t="str">
        <x:v>YES</x:v>
      </x:c>
      <x:c r="W93" s="118" t="str">
        <x:v>IMPLEMENT_STORAGE_PAIR</x:v>
      </x:c>
      <x:c r="X93" s="119" t="b">
        <x:v>1</x:v>
      </x:c>
      <x:c r="Y93" s="118" t="str">
        <x:v>Potential-energy nominal storage derived from official useful reservoir volumes and heads. The later unspecified 180 MW PHS uses Kozjak's national-project duration benchmark.</x:v>
      </x:c>
      <x:c r="Z93" s="118" t="str">
        <x:v>See SI-D07 to SI-D17.</x:v>
      </x:c>
      <x:c r="AA93" s="118" t="str">
        <x:v>https://www.hse.si/sl/pospesenovzeleno/projekti-skupine-hse/</x:v>
      </x:c>
      <x:c r="AB93" s="127" t="str">
        <x:v>ETX-6R_COUNTRY_CLOSURE</x:v>
      </x:c>
    </x:row>
    <x:row r="94">
      <x:c r="A94" s="126" t="str">
        <x:v>SI</x:v>
      </x:c>
      <x:c r="B94" s="118" t="str">
        <x:v>Slovenia</x:v>
      </x:c>
      <x:c r="C94" s="118" t="str">
        <x:v>SI_DU-JE</x:v>
      </x:c>
      <x:c r="D94" s="118" t="str">
        <x:v>SI_SIMULATION_READY_NATIONAL_BENCHMARK_DERIVED</x:v>
      </x:c>
      <x:c r="E94" s="118" t="str">
        <x:v>MEM_ETX6R_SI_National_Closure_v1.0</x:v>
      </x:c>
      <x:c r="F94" s="118" t="str">
        <x:v>01_SI_CAPACITY_STACK</x:v>
      </x:c>
      <x:c r="G94" s="118" t="n">
        <x:v>19</x:v>
      </x:c>
      <x:c r="H94" s="118" t="str">
        <x:v>BESS power</x:v>
      </x:c>
      <x:c r="I94" s="118" t="str">
        <x:v>battery_power</x:v>
      </x:c>
      <x:c r="J94" s="118" t="str">
        <x:v>bess_grid_power</x:v>
      </x:c>
      <x:c r="K94" s="118" t="str">
        <x:v>GW</x:v>
      </x:c>
      <x:c r="L94" s="143" t="n">
        <x:v>1</x:v>
      </x:c>
      <x:c r="M94" s="118" t="str">
        <x:v>OFFICIAL_CHART_CONTROL</x:v>
      </x:c>
      <x:c r="N94" s="118" t="str">
        <x:v>C</x:v>
      </x:c>
      <x:c r="O94" s="118" t="str">
        <x:v>SI_NEPN_FINAL_REPORT_2024</x:v>
      </x:c>
      <x:c r="P94" s="118" t="str">
        <x:v>CLOSED_NATIONAL_DIRECT</x:v>
      </x:c>
      <x:c r="Q94" s="143" t="n">
        <x:v>1.2</x:v>
      </x:c>
      <x:c r="R94" s="118" t="str">
        <x:v>OFFICIAL_CHART_CONTROL</x:v>
      </x:c>
      <x:c r="S94" s="118" t="str">
        <x:v>C</x:v>
      </x:c>
      <x:c r="T94" s="118" t="str">
        <x:v>SI_NEPN_FINAL_REPORT_2024</x:v>
      </x:c>
      <x:c r="U94" s="118" t="str">
        <x:v>CLOSED_NATIONAL_DIRECT</x:v>
      </x:c>
      <x:c r="V94" s="118" t="str">
        <x:v>YES</x:v>
      </x:c>
      <x:c r="W94" s="118" t="str">
        <x:v>IMPLEMENT_STORAGE_PAIR</x:v>
      </x:c>
      <x:c r="X94" s="119" t="b">
        <x:v>1</x:v>
      </x:c>
      <x:c r="Y94" s="118" t="str">
        <x:v>NEPN Figure 113 DU-JE battery-power bars are approximately 1.0 GW in 2040 and 1.2 GW in 2050.</x:v>
      </x:c>
      <x:c r="Z94" s="118" t="str">
        <x:v>Chart-derived control; 2035 Figure 112 independently shows 650 MW BESS and supports the trajectory.</x:v>
      </x:c>
      <x:c r="AA94" s="118" t="str">
        <x:v>https://www.energetika-portal.si/fileadmin/dokumenti/publikacije/nepn/dokumenti/strpodl-nepn_pos_dec2024.pdf</x:v>
      </x:c>
      <x:c r="AB94" s="127" t="str">
        <x:v>ETX-6R_COUNTRY_CLOSURE</x:v>
      </x:c>
    </x:row>
    <x:row r="95">
      <x:c r="A95" s="126" t="str">
        <x:v>SI</x:v>
      </x:c>
      <x:c r="B95" s="118" t="str">
        <x:v>Slovenia</x:v>
      </x:c>
      <x:c r="C95" s="118" t="str">
        <x:v>SI_DU-JE</x:v>
      </x:c>
      <x:c r="D95" s="118" t="str">
        <x:v>SI_SIMULATION_READY_NATIONAL_BENCHMARK_DERIVED</x:v>
      </x:c>
      <x:c r="E95" s="118" t="str">
        <x:v>MEM_ETX6R_SI_National_Closure_v1.0</x:v>
      </x:c>
      <x:c r="F95" s="118" t="str">
        <x:v>01_SI_CAPACITY_STACK</x:v>
      </x:c>
      <x:c r="G95" s="118" t="n">
        <x:v>20</x:v>
      </x:c>
      <x:c r="H95" s="118" t="str">
        <x:v>BESS energy</x:v>
      </x:c>
      <x:c r="I95" s="118" t="str">
        <x:v>battery_energy</x:v>
      </x:c>
      <x:c r="J95" s="118" t="str">
        <x:v>bess_grid_energy</x:v>
      </x:c>
      <x:c r="K95" s="118" t="str">
        <x:v>GWh</x:v>
      </x:c>
      <x:c r="L95" s="143" t="n">
        <x:v>2.5</x:v>
      </x:c>
      <x:c r="M95" s="118" t="str">
        <x:v>OFFICIAL_CHART_CONTROL</x:v>
      </x:c>
      <x:c r="N95" s="118" t="str">
        <x:v>C</x:v>
      </x:c>
      <x:c r="O95" s="118" t="str">
        <x:v>SI_NEPN_FINAL_REPORT_2024</x:v>
      </x:c>
      <x:c r="P95" s="118" t="str">
        <x:v>CLOSED_NATIONAL_DIRECT</x:v>
      </x:c>
      <x:c r="Q95" s="143" t="n">
        <x:v>3.6</x:v>
      </x:c>
      <x:c r="R95" s="118" t="str">
        <x:v>OFFICIAL_CHART_CONTROL</x:v>
      </x:c>
      <x:c r="S95" s="118" t="str">
        <x:v>C</x:v>
      </x:c>
      <x:c r="T95" s="118" t="str">
        <x:v>SI_NEPN_FINAL_REPORT_2024</x:v>
      </x:c>
      <x:c r="U95" s="118" t="str">
        <x:v>CLOSED_NATIONAL_DIRECT</x:v>
      </x:c>
      <x:c r="V95" s="118" t="str">
        <x:v>YES</x:v>
      </x:c>
      <x:c r="W95" s="118" t="str">
        <x:v>IMPLEMENT_STORAGE_PAIR</x:v>
      </x:c>
      <x:c r="X95" s="119" t="b">
        <x:v>1</x:v>
      </x:c>
      <x:c r="Y95" s="118" t="str">
        <x:v>Approximate DU-JE capacity line digitised from NEPN Figure 113.</x:v>
      </x:c>
      <x:c r="Z95" s="118" t="str">
        <x:v>Implied durations ~2.5 h in 2040 and ~3.0 h in 2050; retain as a sensitivity priority because values are graph-derived.</x:v>
      </x:c>
      <x:c r="AA95" s="118" t="str">
        <x:v>https://www.energetika-portal.si/fileadmin/dokumenti/publikacije/nepn/dokumenti/strpodl-nepn_pos_dec2024.pdf</x:v>
      </x:c>
      <x:c r="AB95" s="127" t="str">
        <x:v>ETX-6R_COUNTRY_CLOSURE</x:v>
      </x:c>
    </x:row>
    <x:row r="96">
      <x:c r="A96" s="126" t="str">
        <x:v>SI</x:v>
      </x:c>
      <x:c r="B96" s="118" t="str">
        <x:v>Slovenia</x:v>
      </x:c>
      <x:c r="C96" s="118" t="str">
        <x:v>SI_DU-JE</x:v>
      </x:c>
      <x:c r="D96" s="118" t="str">
        <x:v>SI_SIMULATION_READY_NATIONAL_BENCHMARK_DERIVED</x:v>
      </x:c>
      <x:c r="E96" s="118" t="str">
        <x:v>MEM_ETX6R_SI_National_Closure_v1.0</x:v>
      </x:c>
      <x:c r="F96" s="118" t="str">
        <x:v>01_SI_CAPACITY_STACK</x:v>
      </x:c>
      <x:c r="G96" s="118" t="n">
        <x:v>21</x:v>
      </x:c>
      <x:c r="H96" s="118" t="str">
        <x:v>Dispatchable gas total</x:v>
      </x:c>
      <x:c r="I96" s="118" t="str">
        <x:v>thermal_gas_total</x:v>
      </x:c>
      <x:c r="J96" s="118" t="str">
        <x:v>thermal_gas_total</x:v>
      </x:c>
      <x:c r="K96" s="118" t="str">
        <x:v>GW</x:v>
      </x:c>
      <x:c r="L96" s="143" t="n">
        <x:v>1.1400000000000001</x:v>
      </x:c>
      <x:c r="M96" s="118" t="str">
        <x:v>DERIVED_FROM_OFFICIAL_COMPONENTS</x:v>
      </x:c>
      <x:c r="N96" s="118" t="str">
        <x:v>B/C</x:v>
      </x:c>
      <x:c r="O96" s="118" t="str">
        <x:v>SI_NEPN_FINAL_REPORT_2024</x:v>
      </x:c>
      <x:c r="P96" s="118" t="str">
        <x:v>QA_CONTROL_ONLY</x:v>
      </x:c>
      <x:c r="Q96" s="143" t="n">
        <x:v>1.1400000000000001</x:v>
      </x:c>
      <x:c r="R96" s="118" t="str">
        <x:v>NATIONAL_TRAJECTORY_CARRY_FORWARD</x:v>
      </x:c>
      <x:c r="S96" s="118" t="str">
        <x:v>B/C</x:v>
      </x:c>
      <x:c r="T96" s="118" t="str">
        <x:v>SI_NEPN_FINAL_REPORT_2024</x:v>
      </x:c>
      <x:c r="U96" s="118" t="str">
        <x:v>QA_CONTROL_ONLY</x:v>
      </x:c>
      <x:c r="V96" s="118" t="str">
        <x:v>QA ONLY</x:v>
      </x:c>
      <x:c r="W96" s="118" t="str">
        <x:v>QA_CONTROL_ONLY</x:v>
      </x:c>
      <x:c r="X96" s="119" t="b">
        <x:v>0</x:v>
      </x:c>
      <x:c r="Y96" s="118" t="str">
        <x:v>Figure 112 gives ~640 MW existing gas plus 500 MW strategic gas reserve by 2035. DU-JE retains gaseous generation through 2050.</x:v>
      </x:c>
      <x:c r="Z96" s="118" t="str">
        <x:v>Carrier split below is implementation authority. See SI-D20/SI-D21.</x:v>
      </x:c>
      <x:c r="AA96" s="118" t="str">
        <x:v>https://www.energetika-portal.si/fileadmin/dokumenti/publikacije/nepn/dokumenti/strpodl-nepn_pos_dec2024.pdf</x:v>
      </x:c>
      <x:c r="AB96" s="127" t="str">
        <x:v>ETX-6R_COUNTRY_CLOSURE</x:v>
      </x:c>
    </x:row>
    <x:row r="97">
      <x:c r="A97" s="126" t="str">
        <x:v>SI</x:v>
      </x:c>
      <x:c r="B97" s="118" t="str">
        <x:v>Slovenia</x:v>
      </x:c>
      <x:c r="C97" s="118" t="str">
        <x:v>SI_DU-JE</x:v>
      </x:c>
      <x:c r="D97" s="118" t="str">
        <x:v>SI_SIMULATION_READY_NATIONAL_BENCHMARK_DERIVED</x:v>
      </x:c>
      <x:c r="E97" s="118" t="str">
        <x:v>MEM_ETX6R_SI_National_Closure_v1.0</x:v>
      </x:c>
      <x:c r="F97" s="118" t="str">
        <x:v>01_SI_CAPACITY_STACK</x:v>
      </x:c>
      <x:c r="G97" s="118" t="n">
        <x:v>22</x:v>
      </x:c>
      <x:c r="H97" s="118" t="str">
        <x:v>Methane / fossil gas thermal</x:v>
      </x:c>
      <x:c r="I97" s="118" t="str">
        <x:v>thermal_methane</x:v>
      </x:c>
      <x:c r="J97" s="118" t="str">
        <x:v>thermal_methane_gas</x:v>
      </x:c>
      <x:c r="K97" s="118" t="str">
        <x:v>GW</x:v>
      </x:c>
      <x:c r="L97" s="143" t="n">
        <x:v>0.6839999999999999</x:v>
      </x:c>
      <x:c r="M97" s="118" t="str">
        <x:v>NATIONAL_FUEL_MAPPING_BENCHMARK</x:v>
      </x:c>
      <x:c r="N97" s="118" t="str">
        <x:v>C</x:v>
      </x:c>
      <x:c r="O97" s="118" t="str">
        <x:v>SI_NEPN_FINAL_REPORT_2024</x:v>
      </x:c>
      <x:c r="P97" s="118" t="str">
        <x:v>CLOSED_NATIONAL_BENCHMARK_DERIVED</x:v>
      </x:c>
      <x:c r="Q97" s="143" t="n">
        <x:v>0</x:v>
      </x:c>
      <x:c r="R97" s="118" t="str">
        <x:v>OFFICIAL_SCENARIO_ZERO</x:v>
      </x:c>
      <x:c r="S97" s="118" t="str">
        <x:v>A/B</x:v>
      </x:c>
      <x:c r="T97" s="118" t="str">
        <x:v>SI_NEPN_FINAL_REPORT_2024</x:v>
      </x:c>
      <x:c r="U97" s="118" t="str">
        <x:v>ZERO_SELECTED_SCENARIO</x:v>
      </x:c>
      <x:c r="V97" s="118" t="str">
        <x:v>YES</x:v>
      </x:c>
      <x:c r="W97" s="118" t="str">
        <x:v>IMPLEMENT_CARRIER_SPLIT</x:v>
      </x:c>
      <x:c r="X97" s="119" t="b">
        <x:v>1</x:v>
      </x:c>
      <x:c r="Y97" s="118" t="str">
        <x:v>DU specifies a gradual fuel transition. For Stage A, allocate the 1.14 GW 2040 gas envelope using the official DU 2040 gas-use benchmark: 60% fossil gas / 40% renewable-low-carbon gas.</x:v>
      </x:c>
      <x:c r="Z97" s="118" t="str">
        <x:v>Capacity allocation is a benchmark from the national fuel-use ratio, not a published dedicated-unit split. By 2050 fossil gaseous fuels are explicitly eliminated.</x:v>
      </x:c>
      <x:c r="AA97" s="118" t="str">
        <x:v>https://www.energetika-portal.si/fileadmin/dokumenti/publikacije/nepn/dokumenti/strpodl-nepn_pos_dec2024.pdf</x:v>
      </x:c>
      <x:c r="AB97" s="127" t="str">
        <x:v>ETX-6R_COUNTRY_CLOSURE</x:v>
      </x:c>
    </x:row>
    <x:row r="98">
      <x:c r="A98" s="126" t="str">
        <x:v>SI</x:v>
      </x:c>
      <x:c r="B98" s="118" t="str">
        <x:v>Slovenia</x:v>
      </x:c>
      <x:c r="C98" s="118" t="str">
        <x:v>SI_DU-JE</x:v>
      </x:c>
      <x:c r="D98" s="118" t="str">
        <x:v>SI_SIMULATION_READY_NATIONAL_BENCHMARK_DERIVED</x:v>
      </x:c>
      <x:c r="E98" s="118" t="str">
        <x:v>MEM_ETX6R_SI_National_Closure_v1.0</x:v>
      </x:c>
      <x:c r="F98" s="118" t="str">
        <x:v>01_SI_CAPACITY_STACK</x:v>
      </x:c>
      <x:c r="G98" s="118" t="n">
        <x:v>23</x:v>
      </x:c>
      <x:c r="H98" s="118" t="str">
        <x:v>Renewable / low-carbon gas thermal</x:v>
      </x:c>
      <x:c r="I98" s="118" t="str">
        <x:v>thermal_lowcarbon_gas</x:v>
      </x:c>
      <x:c r="J98" s="118" t="str">
        <x:v>thermal_lowcarbon_gas_h2</x:v>
      </x:c>
      <x:c r="K98" s="118" t="str">
        <x:v>GW</x:v>
      </x:c>
      <x:c r="L98" s="143" t="n">
        <x:v>0.45599999999999996</x:v>
      </x:c>
      <x:c r="M98" s="118" t="str">
        <x:v>NATIONAL_FUEL_MAPPING_BENCHMARK</x:v>
      </x:c>
      <x:c r="N98" s="118" t="str">
        <x:v>C</x:v>
      </x:c>
      <x:c r="O98" s="118" t="str">
        <x:v>SI_NEPN_FINAL_REPORT_2024</x:v>
      </x:c>
      <x:c r="P98" s="118" t="str">
        <x:v>CLOSED_NATIONAL_BENCHMARK_DERIVED</x:v>
      </x:c>
      <x:c r="Q98" s="143" t="n">
        <x:v>1.14</x:v>
      </x:c>
      <x:c r="R98" s="118" t="str">
        <x:v>OFFICIAL_SCENARIO_FUEL_TRANSITION</x:v>
      </x:c>
      <x:c r="S98" s="118" t="str">
        <x:v>B</x:v>
      </x:c>
      <x:c r="T98" s="118" t="str">
        <x:v>SI_NEPN_FINAL_REPORT_2024</x:v>
      </x:c>
      <x:c r="U98" s="118" t="str">
        <x:v>CLOSED_NATIONAL_BENCHMARK_DERIVED</x:v>
      </x:c>
      <x:c r="V98" s="118" t="str">
        <x:v>YES</x:v>
      </x:c>
      <x:c r="W98" s="118" t="str">
        <x:v>IMPLEMENT_CARRIER_SPLIT</x:v>
      </x:c>
      <x:c r="X98" s="119" t="b">
        <x:v>1</x:v>
      </x:c>
      <x:c r="Y98" s="118" t="str">
        <x:v>2040 low-carbon-gas capacity uses the official DU 40% green-gas share as a proportional benchmark; 2050 maps the full 1.14 GW envelope to renewable/low-carbon gases.</x:v>
      </x:c>
      <x:c r="Z98" s="118" t="str">
        <x:v>Fuel cost/emissions mapping remains an ETX-7 technical-parameter task; do not add this capacity on top of the 1.14 GW aggregate.</x:v>
      </x:c>
      <x:c r="AA98" s="118" t="str">
        <x:v>https://www.energetika-portal.si/fileadmin/dokumenti/publikacije/nepn/dokumenti/strpodl-nepn_pos_dec2024.pdf</x:v>
      </x:c>
      <x:c r="AB98" s="127" t="str">
        <x:v>ETX-6R_COUNTRY_CLOSURE</x:v>
      </x:c>
    </x:row>
    <x:row r="99">
      <x:c r="A99" s="126" t="str">
        <x:v>SI</x:v>
      </x:c>
      <x:c r="B99" s="118" t="str">
        <x:v>Slovenia</x:v>
      </x:c>
      <x:c r="C99" s="118" t="str">
        <x:v>SI_DU-JE</x:v>
      </x:c>
      <x:c r="D99" s="118" t="str">
        <x:v>SI_SIMULATION_READY_NATIONAL_BENCHMARK_DERIVED</x:v>
      </x:c>
      <x:c r="E99" s="118" t="str">
        <x:v>MEM_ETX6R_SI_National_Closure_v1.0</x:v>
      </x:c>
      <x:c r="F99" s="118" t="str">
        <x:v>01_SI_CAPACITY_STACK</x:v>
      </x:c>
      <x:c r="G99" s="118" t="n">
        <x:v>24</x:v>
      </x:c>
      <x:c r="H99" s="118" t="str">
        <x:v>Distributed CHP / bioenergy-waste aggregate</x:v>
      </x:c>
      <x:c r="I99" s="118" t="str">
        <x:v>distributed_chp_bio_waste</x:v>
      </x:c>
      <x:c r="J99" s="118" t="str">
        <x:v>thermal_other_chp</x:v>
      </x:c>
      <x:c r="K99" s="118" t="str">
        <x:v>GW</x:v>
      </x:c>
      <x:c r="L99" s="143" t="n">
        <x:v>0.216</x:v>
      </x:c>
      <x:c r="M99" s="118" t="str">
        <x:v>OFFICIAL_CHART_CONTROL</x:v>
      </x:c>
      <x:c r="N99" s="118" t="str">
        <x:v>C</x:v>
      </x:c>
      <x:c r="O99" s="118" t="str">
        <x:v>SI_NEPN_FINAL_REPORT_2024</x:v>
      </x:c>
      <x:c r="P99" s="118" t="str">
        <x:v>CLOSED_NATIONAL_BENCHMARK_DERIVED</x:v>
      </x:c>
      <x:c r="Q99" s="143" t="n">
        <x:v>0.216</x:v>
      </x:c>
      <x:c r="R99" s="118" t="str">
        <x:v>NATIONAL_TRAJECTORY_CARRY_FORWARD</x:v>
      </x:c>
      <x:c r="S99" s="118" t="str">
        <x:v>C</x:v>
      </x:c>
      <x:c r="T99" s="118" t="str">
        <x:v>SI_NEPN_FINAL_REPORT_2024</x:v>
      </x:c>
      <x:c r="U99" s="118" t="str">
        <x:v>CLOSED_NATIONAL_BENCHMARK_DERIVED</x:v>
      </x:c>
      <x:c r="V99" s="118" t="str">
        <x:v>YES</x:v>
      </x:c>
      <x:c r="W99" s="118" t="str">
        <x:v>IMPLEMENT</x:v>
      </x:c>
      <x:c r="X99" s="119" t="b">
        <x:v>1</x:v>
      </x:c>
      <x:c r="Y99" s="118" t="str">
        <x:v>Figure 112 gives ~196 MW predicted smaller/distributed CHP in 2035, while Table 34 separately specifies a new 20 MWe wood-biomass CHP unit. Stage A therefore uses 216 MW in aggregate.</x:v>
      </x:c>
      <x:c r="Z99" s="118" t="str">
        <x:v>Aggregate avoids false precision across small CHP/waste/biogas categories while preserving the explicit 20 MW biomass addition.</x:v>
      </x:c>
      <x:c r="AA99" s="118" t="str">
        <x:v>https://www.energetika-portal.si/fileadmin/dokumenti/publikacije/nepn/dokumenti/strpodl-nepn_pos_dec2024.pdf</x:v>
      </x:c>
      <x:c r="AB99" s="127" t="str">
        <x:v>ETX-6R_COUNTRY_CLOSURE</x:v>
      </x:c>
    </x:row>
    <x:row r="100">
      <x:c r="A100" s="126" t="str">
        <x:v>HR</x:v>
      </x:c>
      <x:c r="B100" s="118" t="str">
        <x:v>Croatia</x:v>
      </x:c>
      <x:c r="C100" s="118" t="str">
        <x:v>HR_WAM2025_WITH_S2_DEMAND_BRIDGE</x:v>
      </x:c>
      <x:c r="D100" s="118" t="str">
        <x:v>HR_SIMULATION_READY_NATIONAL_BENCHMARK_DERIVED</x:v>
      </x:c>
      <x:c r="E100" s="118" t="str">
        <x:v>MEM_ETX6R_HR_National_Closure_v1.0</x:v>
      </x:c>
      <x:c r="F100" s="118" t="str">
        <x:v>01_HR_CAPACITY_STACK</x:v>
      </x:c>
      <x:c r="G100" s="118" t="n">
        <x:v>5</x:v>
      </x:c>
      <x:c r="H100" s="118" t="str">
        <x:v>Annual electricity demand</x:v>
      </x:c>
      <x:c r="I100" s="118" t="str">
        <x:v>load</x:v>
      </x:c>
      <x:c r="J100" s="118" t="str">
        <x:v>demand</x:v>
      </x:c>
      <x:c r="K100" s="118" t="str">
        <x:v>TWh</x:v>
      </x:c>
      <x:c r="L100" s="143" t="n">
        <x:v>21.166</x:v>
      </x:c>
      <x:c r="M100" s="118" t="str">
        <x:v>NATIONAL_PRIOR_SCENARIO_INPUT</x:v>
      </x:c>
      <x:c r="N100" s="118" t="str">
        <x:v>B/C</x:v>
      </x:c>
      <x:c r="O100" s="118" t="str">
        <x:v>HR_GREENBOOK_S2+HR_HOPS_2026</x:v>
      </x:c>
      <x:c r="P100" s="118" t="str">
        <x:v>CLOSED_NATIONAL_BENCHMARK_DERIVED</x:v>
      </x:c>
      <x:c r="Q100" s="143" t="n">
        <x:v>24.423</x:v>
      </x:c>
      <x:c r="R100" s="118" t="str">
        <x:v>NATIONAL_PRIOR_SCENARIO_INPUT</x:v>
      </x:c>
      <x:c r="S100" s="118" t="str">
        <x:v>B/C</x:v>
      </x:c>
      <x:c r="T100" s="118" t="str">
        <x:v>HR_GREENBOOK_S2+HR_HOPS_2026</x:v>
      </x:c>
      <x:c r="U100" s="118" t="str">
        <x:v>CLOSED_NATIONAL_BENCHMARK_DERIVED</x:v>
      </x:c>
      <x:c r="V100" s="118" t="str">
        <x:v>YES</x:v>
      </x:c>
      <x:c r="W100" s="118" t="str">
        <x:v>IMPLEMENT</x:v>
      </x:c>
      <x:c r="X100" s="119" t="b">
        <x:v>1</x:v>
      </x:c>
      <x:c r="Y100" s="118" t="str">
        <x:v>Exact Green Book S2 total-delivered values are retained because the latest HOPS 2026-2035 plan explicitly still bases its long-run electricity-consumption forecast to 2050 on the Green Book.</x:v>
      </x:c>
      <x:c r="Z100" s="118" t="str">
        <x:v>Uses 21.166/24.423 TWh exact table values rather than rounded chart labels 21.2/24.4. Pumped-storage charging remains endogenous.</x:v>
      </x:c>
      <x:c r="AA100" s="118" t="str">
        <x:v>https://mingo.gov.hr/UserDocsImages/UPRAVA%20ZA%20ENERGETIKU/Strategije,%20planovi%20i%20programi/Analiza%20i%20podloga%20za%20izradu%20Strategije%20energetskog%20razvoja%20Republike%20Hrvatske%20-ZELENA%20KNJIGA%20_kona%C4%8Dna%20verzija%20(002).pdf</x:v>
      </x:c>
      <x:c r="AB100" s="127" t="str">
        <x:v>ETX-6R_COUNTRY_CLOSURE</x:v>
      </x:c>
    </x:row>
    <x:row r="101">
      <x:c r="A101" s="126" t="str">
        <x:v>HR</x:v>
      </x:c>
      <x:c r="B101" s="118" t="str">
        <x:v>Croatia</x:v>
      </x:c>
      <x:c r="C101" s="118" t="str">
        <x:v>HR_WAM2025_WITH_S2_DEMAND_BRIDGE</x:v>
      </x:c>
      <x:c r="D101" s="118" t="str">
        <x:v>HR_SIMULATION_READY_NATIONAL_BENCHMARK_DERIVED</x:v>
      </x:c>
      <x:c r="E101" s="118" t="str">
        <x:v>MEM_ETX6R_HR_National_Closure_v1.0</x:v>
      </x:c>
      <x:c r="F101" s="118" t="str">
        <x:v>01_HR_CAPACITY_STACK</x:v>
      </x:c>
      <x:c r="G101" s="118" t="n">
        <x:v>6</x:v>
      </x:c>
      <x:c r="H101" s="118" t="str">
        <x:v>Physical nuclear in Croatia node</x:v>
      </x:c>
      <x:c r="I101" s="118" t="str">
        <x:v>nuclear</x:v>
      </x:c>
      <x:c r="J101" s="118" t="str">
        <x:v>nuclear</x:v>
      </x:c>
      <x:c r="K101" s="118" t="str">
        <x:v>GW</x:v>
      </x:c>
      <x:c r="L101" s="143" t="n">
        <x:v>0</x:v>
      </x:c>
      <x:c r="M101" s="118" t="str">
        <x:v>PHYSICAL_LOCATION_ZERO</x:v>
      </x:c>
      <x:c r="N101" s="118" t="str">
        <x:v>A</x:v>
      </x:c>
      <x:c r="O101" s="118" t="str">
        <x:v>HR_NECP2025+SI_ETX6R</x:v>
      </x:c>
      <x:c r="P101" s="118" t="str">
        <x:v>ZERO_PHYSICAL_NODE</x:v>
      </x:c>
      <x:c r="Q101" s="143" t="n">
        <x:v>0</x:v>
      </x:c>
      <x:c r="R101" s="118" t="str">
        <x:v>PHYSICAL_LOCATION_ZERO</x:v>
      </x:c>
      <x:c r="S101" s="118" t="str">
        <x:v>A</x:v>
      </x:c>
      <x:c r="T101" s="118" t="str">
        <x:v>HR_NECP2025+SI_ETX6R</x:v>
      </x:c>
      <x:c r="U101" s="118" t="str">
        <x:v>ZERO_PHYSICAL_NODE</x:v>
      </x:c>
      <x:c r="V101" s="118" t="str">
        <x:v>YES</x:v>
      </x:c>
      <x:c r="W101" s="118" t="str">
        <x:v>IMPLEMENT</x:v>
      </x:c>
      <x:c r="X101" s="119" t="b">
        <x:v>1</x:v>
      </x:c>
      <x:c r="Y101" s="118" t="str">
        <x:v>Krško is physically located in Slovenia. The regional MEM model already represents the physical nuclear plant on the Slovenia node.</x:v>
      </x:c>
      <x:c r="Z101" s="118" t="str">
        <x:v>Do not create a duplicate Croatian nuclear generator. Croatia's entitlement is recorded separately below.</x:v>
      </x:c>
      <x:c r="AA101" s="118" t="str">
        <x:v>https://mzozt.gov.hr/UserDocsImages/KLIMA/NECP_Update%20_CRO_EN_FINAL.pdf</x:v>
      </x:c>
      <x:c r="AB101" s="127" t="str">
        <x:v>ETX-6R_COUNTRY_CLOSURE</x:v>
      </x:c>
    </x:row>
    <x:row r="102">
      <x:c r="A102" s="126" t="str">
        <x:v>HR</x:v>
      </x:c>
      <x:c r="B102" s="118" t="str">
        <x:v>Croatia</x:v>
      </x:c>
      <x:c r="C102" s="118" t="str">
        <x:v>HR_WAM2025_WITH_S2_DEMAND_BRIDGE</x:v>
      </x:c>
      <x:c r="D102" s="118" t="str">
        <x:v>HR_SIMULATION_READY_NATIONAL_BENCHMARK_DERIVED</x:v>
      </x:c>
      <x:c r="E102" s="118" t="str">
        <x:v>MEM_ETX6R_HR_National_Closure_v1.0</x:v>
      </x:c>
      <x:c r="F102" s="118" t="str">
        <x:v>01_HR_CAPACITY_STACK</x:v>
      </x:c>
      <x:c r="G102" s="118" t="n">
        <x:v>7</x:v>
      </x:c>
      <x:c r="H102" s="118" t="str">
        <x:v>Croatian Krško contractual entitlement</x:v>
      </x:c>
      <x:c r="I102" s="118" t="str">
        <x:v>nuclear_entitlement</x:v>
      </x:c>
      <x:c r="J102" s="118" t="str">
        <x:v>nuclear_entitlement</x:v>
      </x:c>
      <x:c r="K102" s="118" t="str">
        <x:v>GW</x:v>
      </x:c>
      <x:c r="L102" s="143" t="n">
        <x:v>0.348</x:v>
      </x:c>
      <x:c r="M102" s="118" t="str">
        <x:v>OFFICIAL_SCENARIO_ACCOUNTING_INPUT</x:v>
      </x:c>
      <x:c r="N102" s="118" t="str">
        <x:v>A</x:v>
      </x:c>
      <x:c r="O102" s="118" t="str">
        <x:v>HR_NECP2025</x:v>
      </x:c>
      <x:c r="P102" s="118" t="str">
        <x:v>QA_CONTROL_ONLY</x:v>
      </x:c>
      <x:c r="Q102" s="143" t="n">
        <x:v>0.348</x:v>
      </x:c>
      <x:c r="R102" s="118" t="str">
        <x:v>OFFICIAL_SCENARIO_ACCOUNTING_INPUT</x:v>
      </x:c>
      <x:c r="S102" s="118" t="str">
        <x:v>A</x:v>
      </x:c>
      <x:c r="T102" s="118" t="str">
        <x:v>HR_NECP2025</x:v>
      </x:c>
      <x:c r="U102" s="118" t="str">
        <x:v>QA_CONTROL_ONLY</x:v>
      </x:c>
      <x:c r="V102" s="118" t="str">
        <x:v>QA ONLY</x:v>
      </x:c>
      <x:c r="W102" s="118" t="str">
        <x:v>QA_CONTROL_ONLY</x:v>
      </x:c>
      <x:c r="X102" s="119" t="b">
        <x:v>0</x:v>
      </x:c>
      <x:c r="Y102" s="118" t="str">
        <x:v>Final WAM capacity table includes 348 MW, reflecting Croatia's 50% entitlement to Krško output despite the plant being physically in Slovenia.</x:v>
      </x:c>
      <x:c r="Z102" s="118" t="str">
        <x:v>2040 entitlement is compatible with SI plant operation. 2050 WAM assumes possible life extension beyond 2043, while SI DU-JE retires NEK after 2043. Regional Base follows physical-host SI timing; lifetime extension is a cross-country sensitivity.</x:v>
      </x:c>
      <x:c r="AA102" s="118" t="str">
        <x:v>https://mzozt.gov.hr/UserDocsImages/KLIMA/NECP_Update%20_CRO_EN_FINAL.pdf</x:v>
      </x:c>
      <x:c r="AB102" s="127" t="str">
        <x:v>ETX-6R_COUNTRY_CLOSURE</x:v>
      </x:c>
    </x:row>
    <x:row r="103">
      <x:c r="A103" s="126" t="str">
        <x:v>HR</x:v>
      </x:c>
      <x:c r="B103" s="118" t="str">
        <x:v>Croatia</x:v>
      </x:c>
      <x:c r="C103" s="118" t="str">
        <x:v>HR_WAM2025_WITH_S2_DEMAND_BRIDGE</x:v>
      </x:c>
      <x:c r="D103" s="118" t="str">
        <x:v>HR_SIMULATION_READY_NATIONAL_BENCHMARK_DERIVED</x:v>
      </x:c>
      <x:c r="E103" s="118" t="str">
        <x:v>MEM_ETX6R_HR_National_Closure_v1.0</x:v>
      </x:c>
      <x:c r="F103" s="118" t="str">
        <x:v>01_HR_CAPACITY_STACK</x:v>
      </x:c>
      <x:c r="G103" s="118" t="n">
        <x:v>8</x:v>
      </x:c>
      <x:c r="H103" s="118" t="str">
        <x:v>Coal / lignite</x:v>
      </x:c>
      <x:c r="I103" s="118" t="str">
        <x:v>coal_lignite</x:v>
      </x:c>
      <x:c r="J103" s="118" t="str">
        <x:v>coal_lignite</x:v>
      </x:c>
      <x:c r="K103" s="118" t="str">
        <x:v>GW</x:v>
      </x:c>
      <x:c r="L103" s="143" t="n">
        <x:v>0</x:v>
      </x:c>
      <x:c r="M103" s="118" t="str">
        <x:v>OFFICIAL_SCENARIO_INPUT</x:v>
      </x:c>
      <x:c r="N103" s="118" t="str">
        <x:v>A</x:v>
      </x:c>
      <x:c r="O103" s="118" t="str">
        <x:v>HR_NECP2025</x:v>
      </x:c>
      <x:c r="P103" s="118" t="str">
        <x:v>ZERO_SELECTED_SCENARIO</x:v>
      </x:c>
      <x:c r="Q103" s="143" t="n">
        <x:v>0</x:v>
      </x:c>
      <x:c r="R103" s="118" t="str">
        <x:v>OFFICIAL_SCENARIO_INPUT</x:v>
      </x:c>
      <x:c r="S103" s="118" t="str">
        <x:v>A</x:v>
      </x:c>
      <x:c r="T103" s="118" t="str">
        <x:v>HR_NECP2025</x:v>
      </x:c>
      <x:c r="U103" s="118" t="str">
        <x:v>ZERO_SELECTED_SCENARIO</x:v>
      </x:c>
      <x:c r="V103" s="118" t="str">
        <x:v>YES</x:v>
      </x:c>
      <x:c r="W103" s="118" t="str">
        <x:v>IMPLEMENT</x:v>
      </x:c>
      <x:c r="X103" s="119" t="b">
        <x:v>1</x:v>
      </x:c>
      <x:c r="Y103" s="118" t="str">
        <x:v>Final WAM Table 2-6 is zero by 2040/2050; Plomin 2 is scheduled to close by end-2032.</x:v>
      </x:c>
      <x:c r="Z103" s="118" t="str">
        <x:v>Explicit zero.</x:v>
      </x:c>
      <x:c r="AA103" s="118" t="str">
        <x:v>https://mzozt.gov.hr/UserDocsImages/KLIMA/NECP_Update%20_CRO_EN_FINAL.pdf</x:v>
      </x:c>
      <x:c r="AB103" s="127" t="str">
        <x:v>ETX-6R_COUNTRY_CLOSURE</x:v>
      </x:c>
    </x:row>
    <x:row r="104">
      <x:c r="A104" s="126" t="str">
        <x:v>HR</x:v>
      </x:c>
      <x:c r="B104" s="118" t="str">
        <x:v>Croatia</x:v>
      </x:c>
      <x:c r="C104" s="118" t="str">
        <x:v>HR_WAM2025_WITH_S2_DEMAND_BRIDGE</x:v>
      </x:c>
      <x:c r="D104" s="118" t="str">
        <x:v>HR_SIMULATION_READY_NATIONAL_BENCHMARK_DERIVED</x:v>
      </x:c>
      <x:c r="E104" s="118" t="str">
        <x:v>MEM_ETX6R_HR_National_Closure_v1.0</x:v>
      </x:c>
      <x:c r="F104" s="118" t="str">
        <x:v>01_HR_CAPACITY_STACK</x:v>
      </x:c>
      <x:c r="G104" s="118" t="n">
        <x:v>9</x:v>
      </x:c>
      <x:c r="H104" s="118" t="str">
        <x:v>Fuel oil thermal</x:v>
      </x:c>
      <x:c r="I104" s="118" t="str">
        <x:v>thermal_oil</x:v>
      </x:c>
      <x:c r="J104" s="118" t="str">
        <x:v>thermal_oil_liquid</x:v>
      </x:c>
      <x:c r="K104" s="118" t="str">
        <x:v>GW</x:v>
      </x:c>
      <x:c r="L104" s="143" t="n">
        <x:v>0</x:v>
      </x:c>
      <x:c r="M104" s="118" t="str">
        <x:v>OFFICIAL_SCENARIO_INPUT</x:v>
      </x:c>
      <x:c r="N104" s="118" t="str">
        <x:v>A</x:v>
      </x:c>
      <x:c r="O104" s="118" t="str">
        <x:v>HR_NECP2025</x:v>
      </x:c>
      <x:c r="P104" s="118" t="str">
        <x:v>ZERO_SELECTED_SCENARIO</x:v>
      </x:c>
      <x:c r="Q104" s="143" t="n">
        <x:v>0</x:v>
      </x:c>
      <x:c r="R104" s="118" t="str">
        <x:v>OFFICIAL_SCENARIO_INPUT</x:v>
      </x:c>
      <x:c r="S104" s="118" t="str">
        <x:v>A</x:v>
      </x:c>
      <x:c r="T104" s="118" t="str">
        <x:v>HR_NECP2025</x:v>
      </x:c>
      <x:c r="U104" s="118" t="str">
        <x:v>ZERO_SELECTED_SCENARIO</x:v>
      </x:c>
      <x:c r="V104" s="118" t="str">
        <x:v>YES</x:v>
      </x:c>
      <x:c r="W104" s="118" t="str">
        <x:v>IMPLEMENT</x:v>
      </x:c>
      <x:c r="X104" s="119" t="b">
        <x:v>1</x:v>
      </x:c>
      <x:c r="Y104" s="118" t="str">
        <x:v>Final WAM Table 2-6 gives zero fuel-oil capacity in both horizons.</x:v>
      </x:c>
      <x:c r="Z104" s="118" t="str">
        <x:v>Explicit zero.</x:v>
      </x:c>
      <x:c r="AA104" s="118" t="str">
        <x:v>https://mzozt.gov.hr/UserDocsImages/KLIMA/NECP_Update%20_CRO_EN_FINAL.pdf</x:v>
      </x:c>
      <x:c r="AB104" s="127" t="str">
        <x:v>ETX-6R_COUNTRY_CLOSURE</x:v>
      </x:c>
    </x:row>
    <x:row r="105">
      <x:c r="A105" s="126" t="str">
        <x:v>HR</x:v>
      </x:c>
      <x:c r="B105" s="118" t="str">
        <x:v>Croatia</x:v>
      </x:c>
      <x:c r="C105" s="118" t="str">
        <x:v>HR_WAM2025_WITH_S2_DEMAND_BRIDGE</x:v>
      </x:c>
      <x:c r="D105" s="118" t="str">
        <x:v>HR_SIMULATION_READY_NATIONAL_BENCHMARK_DERIVED</x:v>
      </x:c>
      <x:c r="E105" s="118" t="str">
        <x:v>MEM_ETX6R_HR_National_Closure_v1.0</x:v>
      </x:c>
      <x:c r="F105" s="118" t="str">
        <x:v>01_HR_CAPACITY_STACK</x:v>
      </x:c>
      <x:c r="G105" s="118" t="n">
        <x:v>10</x:v>
      </x:c>
      <x:c r="H105" s="118" t="str">
        <x:v>Gas thermal / CHP</x:v>
      </x:c>
      <x:c r="I105" s="118" t="str">
        <x:v>thermal_gas</x:v>
      </x:c>
      <x:c r="J105" s="118" t="str">
        <x:v>thermal_methane_gas</x:v>
      </x:c>
      <x:c r="K105" s="118" t="str">
        <x:v>GW</x:v>
      </x:c>
      <x:c r="L105" s="143" t="n">
        <x:v>0.831</x:v>
      </x:c>
      <x:c r="M105" s="118" t="str">
        <x:v>OFFICIAL_SCENARIO_INPUT</x:v>
      </x:c>
      <x:c r="N105" s="118" t="str">
        <x:v>A</x:v>
      </x:c>
      <x:c r="O105" s="118" t="str">
        <x:v>HR_NECP2025</x:v>
      </x:c>
      <x:c r="P105" s="118" t="str">
        <x:v>CLOSED_NATIONAL_DIRECT</x:v>
      </x:c>
      <x:c r="Q105" s="143" t="n">
        <x:v>0.461</x:v>
      </x:c>
      <x:c r="R105" s="118" t="str">
        <x:v>OFFICIAL_SCENARIO_INPUT</x:v>
      </x:c>
      <x:c r="S105" s="118" t="str">
        <x:v>A</x:v>
      </x:c>
      <x:c r="T105" s="118" t="str">
        <x:v>HR_NECP2025</x:v>
      </x:c>
      <x:c r="U105" s="118" t="str">
        <x:v>CLOSED_NATIONAL_DIRECT</x:v>
      </x:c>
      <x:c r="V105" s="118" t="str">
        <x:v>YES</x:v>
      </x:c>
      <x:c r="W105" s="118" t="str">
        <x:v>IMPLEMENT</x:v>
      </x:c>
      <x:c r="X105" s="119" t="b">
        <x:v>1</x:v>
      </x:c>
      <x:c r="Y105" s="118" t="str">
        <x:v>Direct final WAM Table 2-6 gas capacity.</x:v>
      </x:c>
      <x:c r="Z105" s="118" t="str">
        <x:v>Fuel, efficiency and CHP heat-credit treatment are ETX-7 technical-parameter tasks; no extra gas capacity should be imported.</x:v>
      </x:c>
      <x:c r="AA105" s="118" t="str">
        <x:v>https://mzozt.gov.hr/UserDocsImages/KLIMA/NECP_Update%20_CRO_EN_FINAL.pdf</x:v>
      </x:c>
      <x:c r="AB105" s="127" t="str">
        <x:v>ETX-6R_COUNTRY_CLOSURE</x:v>
      </x:c>
    </x:row>
    <x:row r="106">
      <x:c r="A106" s="126" t="str">
        <x:v>HR</x:v>
      </x:c>
      <x:c r="B106" s="118" t="str">
        <x:v>Croatia</x:v>
      </x:c>
      <x:c r="C106" s="118" t="str">
        <x:v>HR_WAM2025_WITH_S2_DEMAND_BRIDGE</x:v>
      </x:c>
      <x:c r="D106" s="118" t="str">
        <x:v>HR_SIMULATION_READY_NATIONAL_BENCHMARK_DERIVED</x:v>
      </x:c>
      <x:c r="E106" s="118" t="str">
        <x:v>MEM_ETX6R_HR_National_Closure_v1.0</x:v>
      </x:c>
      <x:c r="F106" s="118" t="str">
        <x:v>01_HR_CAPACITY_STACK</x:v>
      </x:c>
      <x:c r="G106" s="118" t="n">
        <x:v>11</x:v>
      </x:c>
      <x:c r="H106" s="118" t="str">
        <x:v>Biomass</x:v>
      </x:c>
      <x:c r="I106" s="118" t="str">
        <x:v>biomass</x:v>
      </x:c>
      <x:c r="J106" s="118" t="str">
        <x:v>bioenergy_biomass</x:v>
      </x:c>
      <x:c r="K106" s="118" t="str">
        <x:v>GW</x:v>
      </x:c>
      <x:c r="L106" s="143" t="n">
        <x:v>0.135</x:v>
      </x:c>
      <x:c r="M106" s="118" t="str">
        <x:v>OFFICIAL_SCENARIO_INPUT</x:v>
      </x:c>
      <x:c r="N106" s="118" t="str">
        <x:v>A</x:v>
      </x:c>
      <x:c r="O106" s="118" t="str">
        <x:v>HR_NECP2025</x:v>
      </x:c>
      <x:c r="P106" s="118" t="str">
        <x:v>CLOSED_NATIONAL_DIRECT</x:v>
      </x:c>
      <x:c r="Q106" s="143" t="n">
        <x:v>0.135</x:v>
      </x:c>
      <x:c r="R106" s="118" t="str">
        <x:v>OFFICIAL_SCENARIO_INPUT</x:v>
      </x:c>
      <x:c r="S106" s="118" t="str">
        <x:v>A</x:v>
      </x:c>
      <x:c r="T106" s="118" t="str">
        <x:v>HR_NECP2025</x:v>
      </x:c>
      <x:c r="U106" s="118" t="str">
        <x:v>CLOSED_NATIONAL_DIRECT</x:v>
      </x:c>
      <x:c r="V106" s="118" t="str">
        <x:v>YES</x:v>
      </x:c>
      <x:c r="W106" s="118" t="str">
        <x:v>IMPLEMENT</x:v>
      </x:c>
      <x:c r="X106" s="119" t="b">
        <x:v>1</x:v>
      </x:c>
      <x:c r="Y106" s="118" t="str">
        <x:v>Direct final WAM Table 2-6.</x:v>
      </x:c>
      <x:c r="Z106" s="118"/>
      <x:c r="AA106" s="118" t="str">
        <x:v>https://mzozt.gov.hr/UserDocsImages/KLIMA/NECP_Update%20_CRO_EN_FINAL.pdf</x:v>
      </x:c>
      <x:c r="AB106" s="127" t="str">
        <x:v>ETX-6R_COUNTRY_CLOSURE</x:v>
      </x:c>
    </x:row>
    <x:row r="107">
      <x:c r="A107" s="126" t="str">
        <x:v>HR</x:v>
      </x:c>
      <x:c r="B107" s="118" t="str">
        <x:v>Croatia</x:v>
      </x:c>
      <x:c r="C107" s="118" t="str">
        <x:v>HR_WAM2025_WITH_S2_DEMAND_BRIDGE</x:v>
      </x:c>
      <x:c r="D107" s="118" t="str">
        <x:v>HR_SIMULATION_READY_NATIONAL_BENCHMARK_DERIVED</x:v>
      </x:c>
      <x:c r="E107" s="118" t="str">
        <x:v>MEM_ETX6R_HR_National_Closure_v1.0</x:v>
      </x:c>
      <x:c r="F107" s="118" t="str">
        <x:v>01_HR_CAPACITY_STACK</x:v>
      </x:c>
      <x:c r="G107" s="118" t="n">
        <x:v>12</x:v>
      </x:c>
      <x:c r="H107" s="118" t="str">
        <x:v>Biogas</x:v>
      </x:c>
      <x:c r="I107" s="118" t="str">
        <x:v>biogas</x:v>
      </x:c>
      <x:c r="J107" s="118" t="str">
        <x:v>bioenergy_biogas</x:v>
      </x:c>
      <x:c r="K107" s="118" t="str">
        <x:v>GW</x:v>
      </x:c>
      <x:c r="L107" s="143" t="n">
        <x:v>0.059</x:v>
      </x:c>
      <x:c r="M107" s="118" t="str">
        <x:v>OFFICIAL_SCENARIO_INPUT</x:v>
      </x:c>
      <x:c r="N107" s="118" t="str">
        <x:v>A</x:v>
      </x:c>
      <x:c r="O107" s="118" t="str">
        <x:v>HR_NECP2025</x:v>
      </x:c>
      <x:c r="P107" s="118" t="str">
        <x:v>CLOSED_NATIONAL_DIRECT</x:v>
      </x:c>
      <x:c r="Q107" s="143" t="n">
        <x:v>0.059</x:v>
      </x:c>
      <x:c r="R107" s="118" t="str">
        <x:v>OFFICIAL_SCENARIO_INPUT</x:v>
      </x:c>
      <x:c r="S107" s="118" t="str">
        <x:v>A</x:v>
      </x:c>
      <x:c r="T107" s="118" t="str">
        <x:v>HR_NECP2025</x:v>
      </x:c>
      <x:c r="U107" s="118" t="str">
        <x:v>CLOSED_NATIONAL_DIRECT</x:v>
      </x:c>
      <x:c r="V107" s="118" t="str">
        <x:v>YES</x:v>
      </x:c>
      <x:c r="W107" s="118" t="str">
        <x:v>IMPLEMENT</x:v>
      </x:c>
      <x:c r="X107" s="119" t="b">
        <x:v>1</x:v>
      </x:c>
      <x:c r="Y107" s="118" t="str">
        <x:v>Direct final WAM Table 2-6.</x:v>
      </x:c>
      <x:c r="Z107" s="118"/>
      <x:c r="AA107" s="118" t="str">
        <x:v>https://mzozt.gov.hr/UserDocsImages/KLIMA/NECP_Update%20_CRO_EN_FINAL.pdf</x:v>
      </x:c>
      <x:c r="AB107" s="127" t="str">
        <x:v>ETX-6R_COUNTRY_CLOSURE</x:v>
      </x:c>
    </x:row>
    <x:row r="108">
      <x:c r="A108" s="126" t="str">
        <x:v>HR</x:v>
      </x:c>
      <x:c r="B108" s="118" t="str">
        <x:v>Croatia</x:v>
      </x:c>
      <x:c r="C108" s="118" t="str">
        <x:v>HR_WAM2025_WITH_S2_DEMAND_BRIDGE</x:v>
      </x:c>
      <x:c r="D108" s="118" t="str">
        <x:v>HR_SIMULATION_READY_NATIONAL_BENCHMARK_DERIVED</x:v>
      </x:c>
      <x:c r="E108" s="118" t="str">
        <x:v>MEM_ETX6R_HR_National_Closure_v1.0</x:v>
      </x:c>
      <x:c r="F108" s="118" t="str">
        <x:v>01_HR_CAPACITY_STACK</x:v>
      </x:c>
      <x:c r="G108" s="118" t="n">
        <x:v>13</x:v>
      </x:c>
      <x:c r="H108" s="118" t="str">
        <x:v>Geothermal electricity</x:v>
      </x:c>
      <x:c r="I108" s="118" t="str">
        <x:v>geothermal</x:v>
      </x:c>
      <x:c r="J108" s="118" t="str">
        <x:v>geothermal</x:v>
      </x:c>
      <x:c r="K108" s="118" t="str">
        <x:v>GW</x:v>
      </x:c>
      <x:c r="L108" s="143" t="n">
        <x:v>0.318</x:v>
      </x:c>
      <x:c r="M108" s="118" t="str">
        <x:v>OFFICIAL_SCENARIO_INPUT</x:v>
      </x:c>
      <x:c r="N108" s="118" t="str">
        <x:v>A</x:v>
      </x:c>
      <x:c r="O108" s="118" t="str">
        <x:v>HR_NECP2025</x:v>
      </x:c>
      <x:c r="P108" s="118" t="str">
        <x:v>CLOSED_NATIONAL_DIRECT</x:v>
      </x:c>
      <x:c r="Q108" s="143" t="n">
        <x:v>0.405</x:v>
      </x:c>
      <x:c r="R108" s="118" t="str">
        <x:v>OFFICIAL_SCENARIO_INPUT</x:v>
      </x:c>
      <x:c r="S108" s="118" t="str">
        <x:v>A</x:v>
      </x:c>
      <x:c r="T108" s="118" t="str">
        <x:v>HR_NECP2025</x:v>
      </x:c>
      <x:c r="U108" s="118" t="str">
        <x:v>CLOSED_NATIONAL_DIRECT</x:v>
      </x:c>
      <x:c r="V108" s="118" t="str">
        <x:v>YES</x:v>
      </x:c>
      <x:c r="W108" s="118" t="str">
        <x:v>IMPLEMENT</x:v>
      </x:c>
      <x:c r="X108" s="119" t="b">
        <x:v>1</x:v>
      </x:c>
      <x:c r="Y108" s="118" t="str">
        <x:v>Direct final WAM Table 2-6.</x:v>
      </x:c>
      <x:c r="Z108" s="118"/>
      <x:c r="AA108" s="118" t="str">
        <x:v>https://mzozt.gov.hr/UserDocsImages/KLIMA/NECP_Update%20_CRO_EN_FINAL.pdf</x:v>
      </x:c>
      <x:c r="AB108" s="127" t="str">
        <x:v>ETX-6R_COUNTRY_CLOSURE</x:v>
      </x:c>
    </x:row>
    <x:row r="109">
      <x:c r="A109" s="126" t="str">
        <x:v>HR</x:v>
      </x:c>
      <x:c r="B109" s="118" t="str">
        <x:v>Croatia</x:v>
      </x:c>
      <x:c r="C109" s="118" t="str">
        <x:v>HR_WAM2025_WITH_S2_DEMAND_BRIDGE</x:v>
      </x:c>
      <x:c r="D109" s="118" t="str">
        <x:v>HR_SIMULATION_READY_NATIONAL_BENCHMARK_DERIVED</x:v>
      </x:c>
      <x:c r="E109" s="118" t="str">
        <x:v>MEM_ETX6R_HR_National_Closure_v1.0</x:v>
      </x:c>
      <x:c r="F109" s="118" t="str">
        <x:v>01_HR_CAPACITY_STACK</x:v>
      </x:c>
      <x:c r="G109" s="118" t="n">
        <x:v>14</x:v>
      </x:c>
      <x:c r="H109" s="118" t="str">
        <x:v>Onshore wind</x:v>
      </x:c>
      <x:c r="I109" s="118" t="str">
        <x:v>onwind</x:v>
      </x:c>
      <x:c r="J109" s="118" t="str">
        <x:v>wind_onshore</x:v>
      </x:c>
      <x:c r="K109" s="118" t="str">
        <x:v>GW</x:v>
      </x:c>
      <x:c r="L109" s="143" t="n">
        <x:v>3.563</x:v>
      </x:c>
      <x:c r="M109" s="118" t="str">
        <x:v>OFFICIAL_SCENARIO_INPUT</x:v>
      </x:c>
      <x:c r="N109" s="118" t="str">
        <x:v>A</x:v>
      </x:c>
      <x:c r="O109" s="118" t="str">
        <x:v>HR_NECP2025</x:v>
      </x:c>
      <x:c r="P109" s="118" t="str">
        <x:v>CLOSED_NATIONAL_DIRECT</x:v>
      </x:c>
      <x:c r="Q109" s="143" t="n">
        <x:v>4.353</x:v>
      </x:c>
      <x:c r="R109" s="118" t="str">
        <x:v>OFFICIAL_SCENARIO_INPUT</x:v>
      </x:c>
      <x:c r="S109" s="118" t="str">
        <x:v>A</x:v>
      </x:c>
      <x:c r="T109" s="118" t="str">
        <x:v>HR_NECP2025</x:v>
      </x:c>
      <x:c r="U109" s="118" t="str">
        <x:v>CLOSED_NATIONAL_DIRECT</x:v>
      </x:c>
      <x:c r="V109" s="118" t="str">
        <x:v>YES</x:v>
      </x:c>
      <x:c r="W109" s="118" t="str">
        <x:v>IMPLEMENT</x:v>
      </x:c>
      <x:c r="X109" s="119" t="b">
        <x:v>1</x:v>
      </x:c>
      <x:c r="Y109" s="118" t="str">
        <x:v>Final WAM Table 2-6 gives a single 'Wind' category. No quantified offshore-WAM build is published, so the Stage-A Base assigns this capacity to onshore wind.</x:v>
      </x:c>
      <x:c r="Z109" s="118" t="str">
        <x:v>If a later official source quantifies offshore wind within the WAM total, reallocate within—not on top of—the WAM wind total.</x:v>
      </x:c>
      <x:c r="AA109" s="118" t="str">
        <x:v>https://mzozt.gov.hr/UserDocsImages/KLIMA/NECP_Update%20_CRO_EN_FINAL.pdf</x:v>
      </x:c>
      <x:c r="AB109" s="127" t="str">
        <x:v>ETX-6R_COUNTRY_CLOSURE</x:v>
      </x:c>
    </x:row>
    <x:row r="110">
      <x:c r="A110" s="126" t="str">
        <x:v>HR</x:v>
      </x:c>
      <x:c r="B110" s="118" t="str">
        <x:v>Croatia</x:v>
      </x:c>
      <x:c r="C110" s="118" t="str">
        <x:v>HR_WAM2025_WITH_S2_DEMAND_BRIDGE</x:v>
      </x:c>
      <x:c r="D110" s="118" t="str">
        <x:v>HR_SIMULATION_READY_NATIONAL_BENCHMARK_DERIVED</x:v>
      </x:c>
      <x:c r="E110" s="118" t="str">
        <x:v>MEM_ETX6R_HR_National_Closure_v1.0</x:v>
      </x:c>
      <x:c r="F110" s="118" t="str">
        <x:v>01_HR_CAPACITY_STACK</x:v>
      </x:c>
      <x:c r="G110" s="118" t="n">
        <x:v>15</x:v>
      </x:c>
      <x:c r="H110" s="118" t="str">
        <x:v>Offshore wind</x:v>
      </x:c>
      <x:c r="I110" s="118" t="str">
        <x:v>offwind</x:v>
      </x:c>
      <x:c r="J110" s="118" t="str">
        <x:v>wind_offshore</x:v>
      </x:c>
      <x:c r="K110" s="118" t="str">
        <x:v>GW</x:v>
      </x:c>
      <x:c r="L110" s="143" t="n">
        <x:v>0</x:v>
      </x:c>
      <x:c r="M110" s="118" t="str">
        <x:v>NATIONAL_NO_QUANTIFIED_BUILD</x:v>
      </x:c>
      <x:c r="N110" s="118" t="str">
        <x:v>B</x:v>
      </x:c>
      <x:c r="O110" s="118" t="str">
        <x:v>HR_NECP2025</x:v>
      </x:c>
      <x:c r="P110" s="118" t="str">
        <x:v>CLOSED_NATIONAL_BENCHMARK_DERIVED</x:v>
      </x:c>
      <x:c r="Q110" s="143" t="n">
        <x:v>0</x:v>
      </x:c>
      <x:c r="R110" s="118" t="str">
        <x:v>NATIONAL_NO_QUANTIFIED_BUILD</x:v>
      </x:c>
      <x:c r="S110" s="118" t="str">
        <x:v>B</x:v>
      </x:c>
      <x:c r="T110" s="118" t="str">
        <x:v>HR_NECP2025</x:v>
      </x:c>
      <x:c r="U110" s="118" t="str">
        <x:v>CLOSED_NATIONAL_BENCHMARK_DERIVED</x:v>
      </x:c>
      <x:c r="V110" s="118" t="str">
        <x:v>YES</x:v>
      </x:c>
      <x:c r="W110" s="118" t="str">
        <x:v>IMPLEMENT</x:v>
      </x:c>
      <x:c r="X110" s="119" t="b">
        <x:v>1</x:v>
      </x:c>
      <x:c r="Y110" s="118" t="str">
        <x:v>The final NECP establishes planning/regulatory work for offshore wind but gives no WAM capacity target or separate build in Table 2-6.</x:v>
      </x:c>
      <x:c r="Z110" s="118" t="str">
        <x:v>Base zero prevents double counting against the direct WAM 'Wind' total; offshore becomes a later sensitivity if an official target emerges.</x:v>
      </x:c>
      <x:c r="AA110" s="118" t="str">
        <x:v>https://mzozt.gov.hr/UserDocsImages/KLIMA/NECP_Update%20_CRO_EN_FINAL.pdf</x:v>
      </x:c>
      <x:c r="AB110" s="127" t="str">
        <x:v>ETX-6R_COUNTRY_CLOSURE</x:v>
      </x:c>
    </x:row>
    <x:row r="111">
      <x:c r="A111" s="126" t="str">
        <x:v>HR</x:v>
      </x:c>
      <x:c r="B111" s="118" t="str">
        <x:v>Croatia</x:v>
      </x:c>
      <x:c r="C111" s="118" t="str">
        <x:v>HR_WAM2025_WITH_S2_DEMAND_BRIDGE</x:v>
      </x:c>
      <x:c r="D111" s="118" t="str">
        <x:v>HR_SIMULATION_READY_NATIONAL_BENCHMARK_DERIVED</x:v>
      </x:c>
      <x:c r="E111" s="118" t="str">
        <x:v>MEM_ETX6R_HR_National_Closure_v1.0</x:v>
      </x:c>
      <x:c r="F111" s="118" t="str">
        <x:v>01_HR_CAPACITY_STACK</x:v>
      </x:c>
      <x:c r="G111" s="118" t="n">
        <x:v>16</x:v>
      </x:c>
      <x:c r="H111" s="118" t="str">
        <x:v>Solar PV</x:v>
      </x:c>
      <x:c r="I111" s="118" t="str">
        <x:v>solar</x:v>
      </x:c>
      <x:c r="J111" s="118" t="str">
        <x:v>solar_pv</x:v>
      </x:c>
      <x:c r="K111" s="118" t="str">
        <x:v>GW</x:v>
      </x:c>
      <x:c r="L111" s="143" t="n">
        <x:v>4.86</x:v>
      </x:c>
      <x:c r="M111" s="118" t="str">
        <x:v>OFFICIAL_SCENARIO_INPUT</x:v>
      </x:c>
      <x:c r="N111" s="118" t="str">
        <x:v>A</x:v>
      </x:c>
      <x:c r="O111" s="118" t="str">
        <x:v>HR_NECP2025</x:v>
      </x:c>
      <x:c r="P111" s="118" t="str">
        <x:v>CLOSED_NATIONAL_DIRECT</x:v>
      </x:c>
      <x:c r="Q111" s="143" t="n">
        <x:v>5.77</x:v>
      </x:c>
      <x:c r="R111" s="118" t="str">
        <x:v>OFFICIAL_SCENARIO_INPUT</x:v>
      </x:c>
      <x:c r="S111" s="118" t="str">
        <x:v>A</x:v>
      </x:c>
      <x:c r="T111" s="118" t="str">
        <x:v>HR_NECP2025</x:v>
      </x:c>
      <x:c r="U111" s="118" t="str">
        <x:v>CLOSED_NATIONAL_DIRECT</x:v>
      </x:c>
      <x:c r="V111" s="118" t="str">
        <x:v>YES</x:v>
      </x:c>
      <x:c r="W111" s="118" t="str">
        <x:v>IMPLEMENT</x:v>
      </x:c>
      <x:c r="X111" s="119" t="b">
        <x:v>1</x:v>
      </x:c>
      <x:c r="Y111" s="118" t="str">
        <x:v>Direct final WAM Table 2-6.</x:v>
      </x:c>
      <x:c r="Z111" s="118"/>
      <x:c r="AA111" s="118" t="str">
        <x:v>https://mzozt.gov.hr/UserDocsImages/KLIMA/NECP_Update%20_CRO_EN_FINAL.pdf</x:v>
      </x:c>
      <x:c r="AB111" s="127" t="str">
        <x:v>ETX-6R_COUNTRY_CLOSURE</x:v>
      </x:c>
    </x:row>
    <x:row r="112">
      <x:c r="A112" s="126" t="str">
        <x:v>HR</x:v>
      </x:c>
      <x:c r="B112" s="118" t="str">
        <x:v>Croatia</x:v>
      </x:c>
      <x:c r="C112" s="118" t="str">
        <x:v>HR_WAM2025_WITH_S2_DEMAND_BRIDGE</x:v>
      </x:c>
      <x:c r="D112" s="118" t="str">
        <x:v>HR_SIMULATION_READY_NATIONAL_BENCHMARK_DERIVED</x:v>
      </x:c>
      <x:c r="E112" s="118" t="str">
        <x:v>MEM_ETX6R_HR_National_Closure_v1.0</x:v>
      </x:c>
      <x:c r="F112" s="118" t="str">
        <x:v>01_HR_CAPACITY_STACK</x:v>
      </x:c>
      <x:c r="G112" s="118" t="n">
        <x:v>17</x:v>
      </x:c>
      <x:c r="H112" s="118" t="str">
        <x:v>Hydro total turbine power</x:v>
      </x:c>
      <x:c r="I112" s="118" t="str">
        <x:v>hydro_total</x:v>
      </x:c>
      <x:c r="J112" s="118" t="str">
        <x:v>hydro_total</x:v>
      </x:c>
      <x:c r="K112" s="118" t="str">
        <x:v>GW</x:v>
      </x:c>
      <x:c r="L112" s="143" t="n">
        <x:v>2.98</x:v>
      </x:c>
      <x:c r="M112" s="118" t="str">
        <x:v>OFFICIAL_SCENARIO_INPUT</x:v>
      </x:c>
      <x:c r="N112" s="118" t="str">
        <x:v>A</x:v>
      </x:c>
      <x:c r="O112" s="118" t="str">
        <x:v>HR_NECP2025</x:v>
      </x:c>
      <x:c r="P112" s="118" t="str">
        <x:v>QA_CONTROL_ONLY</x:v>
      </x:c>
      <x:c r="Q112" s="143" t="n">
        <x:v>3.2</x:v>
      </x:c>
      <x:c r="R112" s="118" t="str">
        <x:v>OFFICIAL_SCENARIO_INPUT</x:v>
      </x:c>
      <x:c r="S112" s="118" t="str">
        <x:v>A</x:v>
      </x:c>
      <x:c r="T112" s="118" t="str">
        <x:v>HR_NECP2025</x:v>
      </x:c>
      <x:c r="U112" s="118" t="str">
        <x:v>QA_CONTROL_ONLY</x:v>
      </x:c>
      <x:c r="V112" s="118" t="str">
        <x:v>QA ONLY</x:v>
      </x:c>
      <x:c r="W112" s="118" t="str">
        <x:v>QA_CONTROL_ONLY</x:v>
      </x:c>
      <x:c r="X112" s="119" t="b">
        <x:v>0</x:v>
      </x:c>
      <x:c r="Y112" s="118" t="str">
        <x:v>Direct final WAM hydro total.</x:v>
      </x:c>
      <x:c r="Z112" s="118" t="str">
        <x:v>Detailed non-PHS and PHS rows below are the implementation authority; do not create an extra hydro asset.</x:v>
      </x:c>
      <x:c r="AA112" s="118" t="str">
        <x:v>https://mzozt.gov.hr/UserDocsImages/KLIMA/NECP_Update%20_CRO_EN_FINAL.pdf</x:v>
      </x:c>
      <x:c r="AB112" s="127" t="str">
        <x:v>ETX-6R_COUNTRY_CLOSURE</x:v>
      </x:c>
    </x:row>
    <x:row r="113">
      <x:c r="A113" s="126" t="str">
        <x:v>HR</x:v>
      </x:c>
      <x:c r="B113" s="118" t="str">
        <x:v>Croatia</x:v>
      </x:c>
      <x:c r="C113" s="118" t="str">
        <x:v>HR_WAM2025_WITH_S2_DEMAND_BRIDGE</x:v>
      </x:c>
      <x:c r="D113" s="118" t="str">
        <x:v>HR_SIMULATION_READY_NATIONAL_BENCHMARK_DERIVED</x:v>
      </x:c>
      <x:c r="E113" s="118" t="str">
        <x:v>MEM_ETX6R_HR_National_Closure_v1.0</x:v>
      </x:c>
      <x:c r="F113" s="118" t="str">
        <x:v>01_HR_CAPACITY_STACK</x:v>
      </x:c>
      <x:c r="G113" s="118" t="n">
        <x:v>18</x:v>
      </x:c>
      <x:c r="H113" s="118" t="str">
        <x:v>Non-PHS hydro</x:v>
      </x:c>
      <x:c r="I113" s="118" t="str">
        <x:v>hydro_non_phs</x:v>
      </x:c>
      <x:c r="J113" s="118" t="str">
        <x:v>hydro_non_phs</x:v>
      </x:c>
      <x:c r="K113" s="118" t="str">
        <x:v>GW</x:v>
      </x:c>
      <x:c r="L113" s="143" t="n">
        <x:v>2.56</x:v>
      </x:c>
      <x:c r="M113" s="118" t="str">
        <x:v>DERIVED_FROM_OFFICIAL_COMPONENTS</x:v>
      </x:c>
      <x:c r="N113" s="118" t="str">
        <x:v>B</x:v>
      </x:c>
      <x:c r="O113" s="118" t="str">
        <x:v>HR_NECP2025+HR_GREENBOOK_S2+HR_HEP_SENJ2</x:v>
      </x:c>
      <x:c r="P113" s="118" t="str">
        <x:v>CLOSED_NATIONAL_DERIVED</x:v>
      </x:c>
      <x:c r="Q113" s="143" t="n">
        <x:v>2.7800000000000002</x:v>
      </x:c>
      <x:c r="R113" s="118" t="str">
        <x:v>DERIVED_FROM_OFFICIAL_COMPONENTS</x:v>
      </x:c>
      <x:c r="S113" s="118" t="str">
        <x:v>B/C</x:v>
      </x:c>
      <x:c r="T113" s="118" t="str">
        <x:v>HR_NECP2025+HR_GREENBOOK_S2</x:v>
      </x:c>
      <x:c r="U113" s="118" t="str">
        <x:v>CLOSED_NATIONAL_DERIVED</x:v>
      </x:c>
      <x:c r="V113" s="118" t="str">
        <x:v>YES</x:v>
      </x:c>
      <x:c r="W113" s="118" t="str">
        <x:v>IMPLEMENT</x:v>
      </x:c>
      <x:c r="X113" s="119" t="b">
        <x:v>1</x:v>
      </x:c>
      <x:c r="Y113" s="118" t="str">
        <x:v>Residual of direct WAM hydro total after the nationally benchmarked PHS turbine stock.</x:v>
      </x:c>
      <x:c r="Z113" s="118" t="str">
        <x:v>2040 result is strongly cross-checked by HEP Senj 2 (+412 MW), HEP hydro revitalisation (+170 MW), and smaller additions. See HR-D11/12.</x:v>
      </x:c>
      <x:c r="AA113" s="118" t="str">
        <x:v>https://mzozt.gov.hr/UserDocsImages/KLIMA/NECP_Update%20_CRO_EN_FINAL.pdf</x:v>
      </x:c>
      <x:c r="AB113" s="127" t="str">
        <x:v>ETX-6R_COUNTRY_CLOSURE</x:v>
      </x:c>
    </x:row>
    <x:row r="114">
      <x:c r="A114" s="126" t="str">
        <x:v>HR</x:v>
      </x:c>
      <x:c r="B114" s="118" t="str">
        <x:v>Croatia</x:v>
      </x:c>
      <x:c r="C114" s="118" t="str">
        <x:v>HR_WAM2025_WITH_S2_DEMAND_BRIDGE</x:v>
      </x:c>
      <x:c r="D114" s="118" t="str">
        <x:v>HR_SIMULATION_READY_NATIONAL_BENCHMARK_DERIVED</x:v>
      </x:c>
      <x:c r="E114" s="118" t="str">
        <x:v>MEM_ETX6R_HR_National_Closure_v1.0</x:v>
      </x:c>
      <x:c r="F114" s="118" t="str">
        <x:v>01_HR_CAPACITY_STACK</x:v>
      </x:c>
      <x:c r="G114" s="118" t="n">
        <x:v>19</x:v>
      </x:c>
      <x:c r="H114" s="118" t="str">
        <x:v>PHS turbine / discharge power</x:v>
      </x:c>
      <x:c r="I114" s="118" t="str">
        <x:v>phs_turbine</x:v>
      </x:c>
      <x:c r="J114" s="118" t="str">
        <x:v>phs_discharge_power</x:v>
      </x:c>
      <x:c r="K114" s="118" t="str">
        <x:v>GW</x:v>
      </x:c>
      <x:c r="L114" s="143" t="n">
        <x:v>0.42000000000000004</x:v>
      </x:c>
      <x:c r="M114" s="118" t="str">
        <x:v>NATIONAL_PRIOR_SCENARIO_BENCHMARK_DERIVED</x:v>
      </x:c>
      <x:c r="N114" s="118" t="str">
        <x:v>B/C</x:v>
      </x:c>
      <x:c r="O114" s="118" t="str">
        <x:v>HR_NECP2025+HR_GREENBOOK_S2+HR_HEP_VELEBIT</x:v>
      </x:c>
      <x:c r="P114" s="118" t="str">
        <x:v>CLOSED_NATIONAL_BENCHMARK_DERIVED</x:v>
      </x:c>
      <x:c r="Q114" s="143" t="n">
        <x:v>0.42000000000000004</x:v>
      </x:c>
      <x:c r="R114" s="118" t="str">
        <x:v>NATIONAL_PRIOR_SCENARIO_BENCHMARK_DERIVED</x:v>
      </x:c>
      <x:c r="S114" s="118" t="str">
        <x:v>B/C</x:v>
      </x:c>
      <x:c r="T114" s="118" t="str">
        <x:v>HR_NECP2025+HR_GREENBOOK_S2+HR_HEP_VELEBIT</x:v>
      </x:c>
      <x:c r="U114" s="118" t="str">
        <x:v>CLOSED_NATIONAL_BENCHMARK_DERIVED</x:v>
      </x:c>
      <x:c r="V114" s="118" t="str">
        <x:v>YES</x:v>
      </x:c>
      <x:c r="W114" s="118" t="str">
        <x:v>IMPLEMENT_STORAGE_PAIR</x:v>
      </x:c>
      <x:c r="X114" s="119" t="b">
        <x:v>1</x:v>
      </x:c>
      <x:c r="Y114" s="118" t="str">
        <x:v>Existing RHE Velebit 270 MW turbine + one 150 MW additional PHS from the previous national strategy benchmark. Latest NECP moves the new-PHS expectation to by 2030.</x:v>
      </x:c>
      <x:c r="Z114" s="118" t="str">
        <x:v>No second additional PHS is quantified after 2030 in the final WAM. See HR-D04/05.</x:v>
      </x:c>
      <x:c r="AA114" s="118" t="str">
        <x:v>https://www.hep.hr/proizvodnja/hidroelektrane-1528/pp-he-jug/rhe-velebit/1546</x:v>
      </x:c>
      <x:c r="AB114" s="127" t="str">
        <x:v>ETX-6R_COUNTRY_CLOSURE</x:v>
      </x:c>
    </x:row>
    <x:row r="115">
      <x:c r="A115" s="126" t="str">
        <x:v>HR</x:v>
      </x:c>
      <x:c r="B115" s="118" t="str">
        <x:v>Croatia</x:v>
      </x:c>
      <x:c r="C115" s="118" t="str">
        <x:v>HR_WAM2025_WITH_S2_DEMAND_BRIDGE</x:v>
      </x:c>
      <x:c r="D115" s="118" t="str">
        <x:v>HR_SIMULATION_READY_NATIONAL_BENCHMARK_DERIVED</x:v>
      </x:c>
      <x:c r="E115" s="118" t="str">
        <x:v>MEM_ETX6R_HR_National_Closure_v1.0</x:v>
      </x:c>
      <x:c r="F115" s="118" t="str">
        <x:v>01_HR_CAPACITY_STACK</x:v>
      </x:c>
      <x:c r="G115" s="118" t="n">
        <x:v>20</x:v>
      </x:c>
      <x:c r="H115" s="118" t="str">
        <x:v>PHS pump / charge power</x:v>
      </x:c>
      <x:c r="I115" s="118" t="str">
        <x:v>phs_pump</x:v>
      </x:c>
      <x:c r="J115" s="118" t="str">
        <x:v>phs_charge_power</x:v>
      </x:c>
      <x:c r="K115" s="118" t="str">
        <x:v>GW</x:v>
      </x:c>
      <x:c r="L115" s="143" t="n">
        <x:v>0.39</x:v>
      </x:c>
      <x:c r="M115" s="118" t="str">
        <x:v>NATIONAL_PRIOR_SCENARIO_BENCHMARK_DERIVED</x:v>
      </x:c>
      <x:c r="N115" s="118" t="str">
        <x:v>C</x:v>
      </x:c>
      <x:c r="O115" s="118" t="str">
        <x:v>HR_NECP2025+HR_GREENBOOK_S2+HR_HEP_VELEBIT</x:v>
      </x:c>
      <x:c r="P115" s="118" t="str">
        <x:v>CLOSED_NATIONAL_BENCHMARK_DERIVED</x:v>
      </x:c>
      <x:c r="Q115" s="143" t="n">
        <x:v>0.39</x:v>
      </x:c>
      <x:c r="R115" s="118" t="str">
        <x:v>NATIONAL_PRIOR_SCENARIO_BENCHMARK_DERIVED</x:v>
      </x:c>
      <x:c r="S115" s="118" t="str">
        <x:v>C</x:v>
      </x:c>
      <x:c r="T115" s="118" t="str">
        <x:v>HR_NECP2025+HR_GREENBOOK_S2+HR_HEP_VELEBIT</x:v>
      </x:c>
      <x:c r="U115" s="118" t="str">
        <x:v>CLOSED_NATIONAL_BENCHMARK_DERIVED</x:v>
      </x:c>
      <x:c r="V115" s="118" t="str">
        <x:v>YES</x:v>
      </x:c>
      <x:c r="W115" s="118" t="str">
        <x:v>IMPLEMENT_STORAGE_PAIR</x:v>
      </x:c>
      <x:c r="X115" s="119" t="b">
        <x:v>1</x:v>
      </x:c>
      <x:c r="Y115" s="118" t="str">
        <x:v>Existing RHE Velebit pump = 240 MW; new 150 MW PHS is treated as symmetric because the previous national strategy only publishes one plant-power figure.</x:v>
      </x:c>
      <x:c r="Z115" s="118" t="str">
        <x:v>Preserve charge/discharge asymmetry: 420 MW turbine vs 390 MW pump.</x:v>
      </x:c>
      <x:c r="AA115" s="118" t="str">
        <x:v>https://www.hep.hr/proizvodnja/hidroelektrane-1528/pp-he-jug/rhe-velebit/1546</x:v>
      </x:c>
      <x:c r="AB115" s="127" t="str">
        <x:v>ETX-6R_COUNTRY_CLOSURE</x:v>
      </x:c>
    </x:row>
    <x:row r="116">
      <x:c r="A116" s="126" t="str">
        <x:v>HR</x:v>
      </x:c>
      <x:c r="B116" s="118" t="str">
        <x:v>Croatia</x:v>
      </x:c>
      <x:c r="C116" s="118" t="str">
        <x:v>HR_WAM2025_WITH_S2_DEMAND_BRIDGE</x:v>
      </x:c>
      <x:c r="D116" s="118" t="str">
        <x:v>HR_SIMULATION_READY_NATIONAL_BENCHMARK_DERIVED</x:v>
      </x:c>
      <x:c r="E116" s="118" t="str">
        <x:v>MEM_ETX6R_HR_National_Closure_v1.0</x:v>
      </x:c>
      <x:c r="F116" s="118" t="str">
        <x:v>01_HR_CAPACITY_STACK</x:v>
      </x:c>
      <x:c r="G116" s="118" t="n">
        <x:v>21</x:v>
      </x:c>
      <x:c r="H116" s="118" t="str">
        <x:v>PHS nominal energy</x:v>
      </x:c>
      <x:c r="I116" s="118" t="str">
        <x:v>phs_energy</x:v>
      </x:c>
      <x:c r="J116" s="118" t="str">
        <x:v>phs_energy</x:v>
      </x:c>
      <x:c r="K116" s="118" t="str">
        <x:v>GWh</x:v>
      </x:c>
      <x:c r="L116" s="143" t="n">
        <x:v>4.17761575</x:v>
      </x:c>
      <x:c r="M116" s="118" t="str">
        <x:v>NATIONAL_PROJECT_BENCHMARK_DERIVED</x:v>
      </x:c>
      <x:c r="N116" s="118" t="str">
        <x:v>C</x:v>
      </x:c>
      <x:c r="O116" s="118" t="str">
        <x:v>HR_HEP_VELEBIT+HR_GREENBOOK_S2</x:v>
      </x:c>
      <x:c r="P116" s="118" t="str">
        <x:v>CLOSED_NATIONAL_BENCHMARK_DERIVED</x:v>
      </x:c>
      <x:c r="Q116" s="143" t="n">
        <x:v>4.17761575</x:v>
      </x:c>
      <x:c r="R116" s="118" t="str">
        <x:v>NATIONAL_PROJECT_BENCHMARK_DERIVED</x:v>
      </x:c>
      <x:c r="S116" s="118" t="str">
        <x:v>C</x:v>
      </x:c>
      <x:c r="T116" s="118" t="str">
        <x:v>HR_HEP_VELEBIT+HR_GREENBOOK_S2</x:v>
      </x:c>
      <x:c r="U116" s="118" t="str">
        <x:v>CLOSED_NATIONAL_BENCHMARK_DERIVED</x:v>
      </x:c>
      <x:c r="V116" s="118" t="str">
        <x:v>YES</x:v>
      </x:c>
      <x:c r="W116" s="118" t="str">
        <x:v>IMPLEMENT_STORAGE_PAIR</x:v>
      </x:c>
      <x:c r="X116" s="119" t="b">
        <x:v>1</x:v>
      </x:c>
      <x:c r="Y116" s="118" t="str">
        <x:v>Existing RHE Velebit energy is derived from HEP's lower-basin volume and operating elevations; the additional 150 MW PHS uses Velebit's national-project turbine-duration benchmark.</x:v>
      </x:c>
      <x:c r="Z116" s="118" t="str">
        <x:v>Nominal gravitational potential energy; apply standard storage efficiencies separately. See HR-D07 to HR-D10.</x:v>
      </x:c>
      <x:c r="AA116" s="118" t="str">
        <x:v>https://www.hep.hr/proizvodnja/hidroelektrane-1528/pp-he-jug/rhe-velebit/1546</x:v>
      </x:c>
      <x:c r="AB116" s="127" t="str">
        <x:v>ETX-6R_COUNTRY_CLOSURE</x:v>
      </x:c>
    </x:row>
    <x:row r="117">
      <x:c r="A117" s="126" t="str">
        <x:v>HR</x:v>
      </x:c>
      <x:c r="B117" s="118" t="str">
        <x:v>Croatia</x:v>
      </x:c>
      <x:c r="C117" s="118" t="str">
        <x:v>HR_WAM2025_WITH_S2_DEMAND_BRIDGE</x:v>
      </x:c>
      <x:c r="D117" s="118" t="str">
        <x:v>HR_SIMULATION_READY_NATIONAL_BENCHMARK_DERIVED</x:v>
      </x:c>
      <x:c r="E117" s="118" t="str">
        <x:v>MEM_ETX6R_HR_National_Closure_v1.0</x:v>
      </x:c>
      <x:c r="F117" s="118" t="str">
        <x:v>01_HR_CAPACITY_STACK</x:v>
      </x:c>
      <x:c r="G117" s="118" t="n">
        <x:v>22</x:v>
      </x:c>
      <x:c r="H117" s="118" t="str">
        <x:v>BESS power</x:v>
      </x:c>
      <x:c r="I117" s="118" t="str">
        <x:v>battery_power</x:v>
      </x:c>
      <x:c r="J117" s="118" t="str">
        <x:v>bess_grid_power</x:v>
      </x:c>
      <x:c r="K117" s="118" t="str">
        <x:v>GW</x:v>
      </x:c>
      <x:c r="L117" s="143" t="n">
        <x:v>0.5449663561076604</x:v>
      </x:c>
      <x:c r="M117" s="118" t="str">
        <x:v>NATIONAL_PRIOR_SCENARIO_BENCHMARK_DERIVED</x:v>
      </x:c>
      <x:c r="N117" s="118" t="str">
        <x:v>C</x:v>
      </x:c>
      <x:c r="O117" s="118" t="str">
        <x:v>HR_NECP2025+HR_GREENBOOK_S2</x:v>
      </x:c>
      <x:c r="P117" s="118" t="str">
        <x:v>CLOSED_NATIONAL_BENCHMARK_DERIVED</x:v>
      </x:c>
      <x:c r="Q117" s="143" t="n">
        <x:v>0.738366156090445</x:v>
      </x:c>
      <x:c r="R117" s="118" t="str">
        <x:v>NATIONAL_PRIOR_SCENARIO_BENCHMARK_DERIVED</x:v>
      </x:c>
      <x:c r="S117" s="118" t="str">
        <x:v>C</x:v>
      </x:c>
      <x:c r="T117" s="118" t="str">
        <x:v>HR_NECP2025+HR_GREENBOOK_S2</x:v>
      </x:c>
      <x:c r="U117" s="118" t="str">
        <x:v>CLOSED_NATIONAL_BENCHMARK_DERIVED</x:v>
      </x:c>
      <x:c r="V117" s="118" t="str">
        <x:v>YES</x:v>
      </x:c>
      <x:c r="W117" s="118" t="str">
        <x:v>IMPLEMENT_STORAGE_PAIR</x:v>
      </x:c>
      <x:c r="X117" s="119" t="b">
        <x:v>1</x:v>
      </x:c>
      <x:c r="Y117" s="118" t="str">
        <x:v>Previous national S2 battery trajectory is scaled by the final-WAM / old-S2 VRE-capacity ratio separately in 2040 and 2050.</x:v>
      </x:c>
      <x:c r="Z117" s="118" t="str">
        <x:v>Final NECP direct 2030 target is 250 MW; the ratio method independently gives ~218 MW at 2030 and therefore provides a reasonable validation. See HR-D13 to HR-D19.</x:v>
      </x:c>
      <x:c r="AA117" s="118" t="str">
        <x:v>https://mzozt.gov.hr/UserDocsImages/KLIMA/NECP_Update%20_CRO_EN_FINAL.pdf</x:v>
      </x:c>
      <x:c r="AB117" s="127" t="str">
        <x:v>ETX-6R_COUNTRY_CLOSURE</x:v>
      </x:c>
    </x:row>
    <x:row r="118">
      <x:c r="A118" s="126" t="str">
        <x:v>HR</x:v>
      </x:c>
      <x:c r="B118" s="118" t="str">
        <x:v>Croatia</x:v>
      </x:c>
      <x:c r="C118" s="118" t="str">
        <x:v>HR_WAM2025_WITH_S2_DEMAND_BRIDGE</x:v>
      </x:c>
      <x:c r="D118" s="118" t="str">
        <x:v>HR_SIMULATION_READY_NATIONAL_BENCHMARK_DERIVED</x:v>
      </x:c>
      <x:c r="E118" s="118" t="str">
        <x:v>MEM_ETX6R_HR_National_Closure_v1.0</x:v>
      </x:c>
      <x:c r="F118" s="118" t="str">
        <x:v>01_HR_CAPACITY_STACK</x:v>
      </x:c>
      <x:c r="G118" s="118" t="n">
        <x:v>23</x:v>
      </x:c>
      <x:c r="H118" s="118" t="str">
        <x:v>BESS energy</x:v>
      </x:c>
      <x:c r="I118" s="118" t="str">
        <x:v>battery_energy</x:v>
      </x:c>
      <x:c r="J118" s="118" t="str">
        <x:v>bess_grid_energy</x:v>
      </x:c>
      <x:c r="K118" s="118" t="str">
        <x:v>GWh</x:v>
      </x:c>
      <x:c r="L118" s="143" t="n">
        <x:v>2.1798654244306417</x:v>
      </x:c>
      <x:c r="M118" s="118" t="str">
        <x:v>DERIVED_FROM_OFFICIAL_COMPONENTS</x:v>
      </x:c>
      <x:c r="N118" s="118" t="str">
        <x:v>B/C</x:v>
      </x:c>
      <x:c r="O118" s="118" t="str">
        <x:v>HR_NECP2025+HR_GREENBOOK_S2</x:v>
      </x:c>
      <x:c r="P118" s="118" t="str">
        <x:v>CLOSED_NATIONAL_DERIVED</x:v>
      </x:c>
      <x:c r="Q118" s="143" t="n">
        <x:v>2.95346462436178</x:v>
      </x:c>
      <x:c r="R118" s="118" t="str">
        <x:v>DERIVED_FROM_OFFICIAL_COMPONENTS</x:v>
      </x:c>
      <x:c r="S118" s="118" t="str">
        <x:v>B/C</x:v>
      </x:c>
      <x:c r="T118" s="118" t="str">
        <x:v>HR_NECP2025+HR_GREENBOOK_S2</x:v>
      </x:c>
      <x:c r="U118" s="118" t="str">
        <x:v>CLOSED_NATIONAL_DERIVED</x:v>
      </x:c>
      <x:c r="V118" s="118" t="str">
        <x:v>YES</x:v>
      </x:c>
      <x:c r="W118" s="118" t="str">
        <x:v>IMPLEMENT_STORAGE_PAIR</x:v>
      </x:c>
      <x:c r="X118" s="119" t="b">
        <x:v>1</x:v>
      </x:c>
      <x:c r="Y118" s="118" t="str">
        <x:v>Final NECP assumes 1:4 battery power-to-energy ratio (four-hour storage).</x:v>
      </x:c>
      <x:c r="Z118" s="118" t="str">
        <x:v>See HR-D20/21.</x:v>
      </x:c>
      <x:c r="AA118" s="118" t="str">
        <x:v>https://mzozt.gov.hr/UserDocsImages/KLIMA/NECP_Update%20_CRO_EN_FINAL.pdf</x:v>
      </x:c>
      <x:c r="AB118" s="127" t="str">
        <x:v>ETX-6R_COUNTRY_CLOSURE</x:v>
      </x:c>
    </x:row>
    <x:row r="119">
      <x:c r="A119" s="126" t="str">
        <x:v>HR</x:v>
      </x:c>
      <x:c r="B119" s="118" t="str">
        <x:v>Croatia</x:v>
      </x:c>
      <x:c r="C119" s="118" t="str">
        <x:v>HR_WAM2025_WITH_S2_DEMAND_BRIDGE</x:v>
      </x:c>
      <x:c r="D119" s="118" t="str">
        <x:v>HR_SIMULATION_READY_NATIONAL_BENCHMARK_DERIVED</x:v>
      </x:c>
      <x:c r="E119" s="118" t="str">
        <x:v>MEM_ETX6R_HR_National_Closure_v1.0</x:v>
      </x:c>
      <x:c r="F119" s="118" t="str">
        <x:v>01_HR_CAPACITY_STACK</x:v>
      </x:c>
      <x:c r="G119" s="118" t="n">
        <x:v>24</x:v>
      </x:c>
      <x:c r="H119" s="118" t="str">
        <x:v>Published WAM total incl. Krško entitlement</x:v>
      </x:c>
      <x:c r="I119" s="118" t="str">
        <x:v>wam_total_incl_krsko</x:v>
      </x:c>
      <x:c r="J119" s="118" t="str">
        <x:v>wam_total_incl_krsko</x:v>
      </x:c>
      <x:c r="K119" s="118" t="str">
        <x:v>GW</x:v>
      </x:c>
      <x:c r="L119" s="143" t="n">
        <x:v>13.094</x:v>
      </x:c>
      <x:c r="M119" s="118" t="str">
        <x:v>OFFICIAL_SCENARIO_INPUT</x:v>
      </x:c>
      <x:c r="N119" s="118" t="str">
        <x:v>A</x:v>
      </x:c>
      <x:c r="O119" s="118" t="str">
        <x:v>HR_NECP2025</x:v>
      </x:c>
      <x:c r="P119" s="118" t="str">
        <x:v>QA_CONTROL_ONLY</x:v>
      </x:c>
      <x:c r="Q119" s="143" t="n">
        <x:v>14.732</x:v>
      </x:c>
      <x:c r="R119" s="118" t="str">
        <x:v>OFFICIAL_SCENARIO_INPUT</x:v>
      </x:c>
      <x:c r="S119" s="118" t="str">
        <x:v>A</x:v>
      </x:c>
      <x:c r="T119" s="118" t="str">
        <x:v>HR_NECP2025</x:v>
      </x:c>
      <x:c r="U119" s="118" t="str">
        <x:v>QA_CONTROL_ONLY</x:v>
      </x:c>
      <x:c r="V119" s="118" t="str">
        <x:v>QA ONLY</x:v>
      </x:c>
      <x:c r="W119" s="118" t="str">
        <x:v>QA_CONTROL_ONLY</x:v>
      </x:c>
      <x:c r="X119" s="119" t="b">
        <x:v>0</x:v>
      </x:c>
      <x:c r="Y119" s="118" t="str">
        <x:v>Direct final WAM Table 2-6 total, including 348 MW Croatian Krško entitlement.</x:v>
      </x:c>
      <x:c r="Z119" s="118" t="str">
        <x:v>Accounting QA only; not the physical Croatia-node generation total.</x:v>
      </x:c>
      <x:c r="AA119" s="118" t="str">
        <x:v>https://mzozt.gov.hr/UserDocsImages/KLIMA/NECP_Update%20_CRO_EN_FINAL.pdf</x:v>
      </x:c>
      <x:c r="AB119" s="127" t="str">
        <x:v>ETX-6R_COUNTRY_CLOSURE</x:v>
      </x:c>
    </x:row>
    <x:row r="120">
      <x:c r="A120" s="126" t="str">
        <x:v>HR</x:v>
      </x:c>
      <x:c r="B120" s="118" t="str">
        <x:v>Croatia</x:v>
      </x:c>
      <x:c r="C120" s="118" t="str">
        <x:v>HR_WAM2025_WITH_S2_DEMAND_BRIDGE</x:v>
      </x:c>
      <x:c r="D120" s="118" t="str">
        <x:v>HR_SIMULATION_READY_NATIONAL_BENCHMARK_DERIVED</x:v>
      </x:c>
      <x:c r="E120" s="118" t="str">
        <x:v>MEM_ETX6R_HR_National_Closure_v1.0</x:v>
      </x:c>
      <x:c r="F120" s="118" t="str">
        <x:v>01_HR_CAPACITY_STACK</x:v>
      </x:c>
      <x:c r="G120" s="118" t="n">
        <x:v>25</x:v>
      </x:c>
      <x:c r="H120" s="118" t="str">
        <x:v>Physical Croatia generation total excl. Krško entitlement</x:v>
      </x:c>
      <x:c r="I120" s="118" t="str">
        <x:v>physical_generation_total</x:v>
      </x:c>
      <x:c r="J120" s="118" t="str">
        <x:v>physical_generation_total</x:v>
      </x:c>
      <x:c r="K120" s="118" t="str">
        <x:v>GW</x:v>
      </x:c>
      <x:c r="L120" s="143" t="n">
        <x:v>12.746000000000002</x:v>
      </x:c>
      <x:c r="M120" s="118" t="str">
        <x:v>DERIVED_FROM_OFFICIAL_COMPONENTS</x:v>
      </x:c>
      <x:c r="N120" s="118" t="str">
        <x:v>A/B</x:v>
      </x:c>
      <x:c r="O120" s="118" t="str">
        <x:v>HR_NECP2025</x:v>
      </x:c>
      <x:c r="P120" s="118" t="str">
        <x:v>QA_CONTROL_ONLY</x:v>
      </x:c>
      <x:c r="Q120" s="143" t="n">
        <x:v>14.383</x:v>
      </x:c>
      <x:c r="R120" s="118" t="str">
        <x:v>DERIVED_FROM_OFFICIAL_COMPONENTS</x:v>
      </x:c>
      <x:c r="S120" s="118" t="str">
        <x:v>A/B</x:v>
      </x:c>
      <x:c r="T120" s="118" t="str">
        <x:v>HR_NECP2025</x:v>
      </x:c>
      <x:c r="U120" s="118" t="str">
        <x:v>QA_CONTROL_ONLY</x:v>
      </x:c>
      <x:c r="V120" s="118" t="str">
        <x:v>QA ONLY</x:v>
      </x:c>
      <x:c r="W120" s="118" t="str">
        <x:v>QA_CONTROL_ONLY</x:v>
      </x:c>
      <x:c r="X120" s="119" t="b">
        <x:v>0</x:v>
      </x:c>
      <x:c r="Y120" s="118" t="str">
        <x:v>Sum of detailed final-WAM physical-country generation components, excluding the 348 MW Croatian Krško entitlement.</x:v>
      </x:c>
      <x:c r="Z120" s="118" t="str">
        <x:v>2050 detailed components sum to 14.383 GW versus 14.384 GW implied by published total minus entitlement; retain the detailed-component sum and flag the 1 MW source-rounding discrepancy.</x:v>
      </x:c>
      <x:c r="AA120" s="118" t="str">
        <x:v>https://mzozt.gov.hr/UserDocsImages/KLIMA/NECP_Update%20_CRO_EN_FINAL.pdf</x:v>
      </x:c>
      <x:c r="AB120" s="127" t="str">
        <x:v>ETX-6R_COUNTRY_CLOSURE</x:v>
      </x:c>
    </x:row>
    <x:row r="121">
      <x:c r="A121" s="126" t="str">
        <x:v>ME</x:v>
      </x:c>
      <x:c r="B121" s="118" t="str">
        <x:v>Montenegro</x:v>
      </x:c>
      <x:c r="C121" s="118" t="str">
        <x:v>ME_NECP_WAM2025</x:v>
      </x:c>
      <x:c r="D121" s="118" t="str">
        <x:v>ME_SIMULATION_READY_USER_OVERRIDE_CLOSED</x:v>
      </x:c>
      <x:c r="E121" s="118" t="str">
        <x:v>MEM_ETX6R_ME_National_Closure_v1.1</x:v>
      </x:c>
      <x:c r="F121" s="118" t="str">
        <x:v>01_ME_CAPACITY_STACK</x:v>
      </x:c>
      <x:c r="G121" s="118" t="n">
        <x:v>5</x:v>
      </x:c>
      <x:c r="H121" s="118" t="str">
        <x:v>Annual electricity demand</x:v>
      </x:c>
      <x:c r="I121" s="118" t="str">
        <x:v>load</x:v>
      </x:c>
      <x:c r="J121" s="118" t="str">
        <x:v>demand</x:v>
      </x:c>
      <x:c r="K121" s="118" t="str">
        <x:v>TWh</x:v>
      </x:c>
      <x:c r="L121" s="143" t="n">
        <x:v>3.6422</x:v>
      </x:c>
      <x:c r="M121" s="118" t="str">
        <x:v>OFFICIAL_SCENARIO_INPUT</x:v>
      </x:c>
      <x:c r="N121" s="118" t="str">
        <x:v>A</x:v>
      </x:c>
      <x:c r="O121" s="118" t="str">
        <x:v>ME_NECP2025</x:v>
      </x:c>
      <x:c r="P121" s="118" t="str">
        <x:v>CLOSED_NATIONAL_DIRECT</x:v>
      </x:c>
      <x:c r="Q121" s="143" t="n">
        <x:v>3.6784</x:v>
      </x:c>
      <x:c r="R121" s="118" t="str">
        <x:v>OFFICIAL_SCENARIO_INPUT</x:v>
      </x:c>
      <x:c r="S121" s="118" t="str">
        <x:v>A</x:v>
      </x:c>
      <x:c r="T121" s="118" t="str">
        <x:v>ME_NECP2025</x:v>
      </x:c>
      <x:c r="U121" s="118" t="str">
        <x:v>CLOSED_NATIONAL_DIRECT</x:v>
      </x:c>
      <x:c r="V121" s="118" t="str">
        <x:v>YES</x:v>
      </x:c>
      <x:c r="W121" s="118" t="str">
        <x:v>IMPLEMENT</x:v>
      </x:c>
      <x:c r="X121" s="119" t="b">
        <x:v>1</x:v>
      </x:c>
      <x:c r="Y121" s="118" t="str">
        <x:v>Final NECP Table 5.6 directly gives WAM electricity demand of 3,642.2 GWh in 2040 and 3,678.4 GWh in 2050.</x:v>
      </x:c>
      <x:c r="Z121" s="118" t="str">
        <x:v>Pumping/storage charging is endogenous; do not add it separately to annual load.</x:v>
      </x:c>
      <x:c r="AA121" s="118" t="str">
        <x:v>https://www.gov.me/en/documents/f7048fe6-1342-49c6-95c9-1066dfdbba6f</x:v>
      </x:c>
      <x:c r="AB121" s="127" t="str">
        <x:v>ETX-6R_COUNTRY_CLOSURE</x:v>
      </x:c>
    </x:row>
    <x:row r="122">
      <x:c r="A122" s="126" t="str">
        <x:v>ME</x:v>
      </x:c>
      <x:c r="B122" s="118" t="str">
        <x:v>Montenegro</x:v>
      </x:c>
      <x:c r="C122" s="118" t="str">
        <x:v>ME_NECP_WAM2025</x:v>
      </x:c>
      <x:c r="D122" s="118" t="str">
        <x:v>ME_SIMULATION_READY_USER_OVERRIDE_CLOSED</x:v>
      </x:c>
      <x:c r="E122" s="118" t="str">
        <x:v>MEM_ETX6R_ME_National_Closure_v1.1</x:v>
      </x:c>
      <x:c r="F122" s="118" t="str">
        <x:v>01_ME_CAPACITY_STACK</x:v>
      </x:c>
      <x:c r="G122" s="118" t="n">
        <x:v>6</x:v>
      </x:c>
      <x:c r="H122" s="118" t="str">
        <x:v>Nuclear</x:v>
      </x:c>
      <x:c r="I122" s="118" t="str">
        <x:v>nuclear</x:v>
      </x:c>
      <x:c r="J122" s="118" t="str">
        <x:v>nuclear</x:v>
      </x:c>
      <x:c r="K122" s="118" t="str">
        <x:v>GW</x:v>
      </x:c>
      <x:c r="L122" s="143" t="n">
        <x:v>0</x:v>
      </x:c>
      <x:c r="M122" s="118" t="str">
        <x:v>OFFICIAL_SCENARIO_ZERO</x:v>
      </x:c>
      <x:c r="N122" s="118" t="str">
        <x:v>A/B</x:v>
      </x:c>
      <x:c r="O122" s="118" t="str">
        <x:v>ME_NECP2025</x:v>
      </x:c>
      <x:c r="P122" s="118" t="str">
        <x:v>ZERO_SELECTED_SCENARIO</x:v>
      </x:c>
      <x:c r="Q122" s="143" t="n">
        <x:v>0</x:v>
      </x:c>
      <x:c r="R122" s="118" t="str">
        <x:v>OFFICIAL_SCENARIO_ZERO</x:v>
      </x:c>
      <x:c r="S122" s="118" t="str">
        <x:v>A/B</x:v>
      </x:c>
      <x:c r="T122" s="118" t="str">
        <x:v>ME_NECP2025</x:v>
      </x:c>
      <x:c r="U122" s="118" t="str">
        <x:v>ZERO_SELECTED_SCENARIO</x:v>
      </x:c>
      <x:c r="V122" s="118" t="str">
        <x:v>YES</x:v>
      </x:c>
      <x:c r="W122" s="118" t="str">
        <x:v>IMPLEMENT</x:v>
      </x:c>
      <x:c r="X122" s="119" t="b">
        <x:v>1</x:v>
      </x:c>
      <x:c r="Y122" s="118" t="str">
        <x:v>No nuclear generation unit or nuclear build is present in the selected national WAM power-system model.</x:v>
      </x:c>
      <x:c r="Z122" s="118" t="str">
        <x:v>Explicit Base zero.</x:v>
      </x:c>
      <x:c r="AA122" s="118" t="str">
        <x:v>https://www.gov.me/en/documents/f7048fe6-1342-49c6-95c9-1066dfdbba6f</x:v>
      </x:c>
      <x:c r="AB122" s="127" t="str">
        <x:v>ETX-6R_COUNTRY_CLOSURE</x:v>
      </x:c>
    </x:row>
    <x:row r="123">
      <x:c r="A123" s="126" t="str">
        <x:v>ME</x:v>
      </x:c>
      <x:c r="B123" s="118" t="str">
        <x:v>Montenegro</x:v>
      </x:c>
      <x:c r="C123" s="118" t="str">
        <x:v>ME_NECP_WAM2025</x:v>
      </x:c>
      <x:c r="D123" s="118" t="str">
        <x:v>ME_SIMULATION_READY_USER_OVERRIDE_CLOSED</x:v>
      </x:c>
      <x:c r="E123" s="118" t="str">
        <x:v>MEM_ETX6R_ME_National_Closure_v1.1</x:v>
      </x:c>
      <x:c r="F123" s="118" t="str">
        <x:v>01_ME_CAPACITY_STACK</x:v>
      </x:c>
      <x:c r="G123" s="118" t="n">
        <x:v>7</x:v>
      </x:c>
      <x:c r="H123" s="118" t="str">
        <x:v>Coal / lignite</x:v>
      </x:c>
      <x:c r="I123" s="118" t="str">
        <x:v>coal_lignite</x:v>
      </x:c>
      <x:c r="J123" s="118" t="str">
        <x:v>coal_lignite</x:v>
      </x:c>
      <x:c r="K123" s="118" t="str">
        <x:v>GW</x:v>
      </x:c>
      <x:c r="L123" s="143" t="n">
        <x:v>0.225</x:v>
      </x:c>
      <x:c r="M123" s="118" t="str">
        <x:v>OFFICIAL_EXISTING_UNIT_WITH_RETIREMENT</x:v>
      </x:c>
      <x:c r="N123" s="118" t="str">
        <x:v>A</x:v>
      </x:c>
      <x:c r="O123" s="118" t="str">
        <x:v>ME_NECP2025</x:v>
      </x:c>
      <x:c r="P123" s="118" t="str">
        <x:v>CLOSED_NATIONAL_DIRECT</x:v>
      </x:c>
      <x:c r="Q123" s="143" t="n">
        <x:v>0</x:v>
      </x:c>
      <x:c r="R123" s="118" t="str">
        <x:v>OFFICIAL_RETIREMENT_ZERO</x:v>
      </x:c>
      <x:c r="S123" s="118" t="str">
        <x:v>A</x:v>
      </x:c>
      <x:c r="T123" s="118" t="str">
        <x:v>ME_NECP2025</x:v>
      </x:c>
      <x:c r="U123" s="118" t="str">
        <x:v>ZERO_AFTER_RETIREMENT</x:v>
      </x:c>
      <x:c r="V123" s="118" t="str">
        <x:v>YES</x:v>
      </x:c>
      <x:c r="W123" s="118" t="str">
        <x:v>IMPLEMENT</x:v>
      </x:c>
      <x:c r="X123" s="119" t="b">
        <x:v>1</x:v>
      </x:c>
      <x:c r="Y123" s="118" t="str">
        <x:v>TPP Pljevlja is the only thermal power plant represented in WAM. The final NECP states it remains in operation until the end of 2040 and is placed in cold reserve after 2040.</x:v>
      </x:c>
      <x:c r="Z123" s="118" t="str">
        <x:v>2040 is a boundary year: keep the physical 225 MW fleet for the 2040 annual simulation; 2050 is zero. A separate retirement-timing sensitivity can be considered later.</x:v>
      </x:c>
      <x:c r="AA123" s="118" t="str">
        <x:v>https://www.gov.me/en/documents/f7048fe6-1342-49c6-95c9-1066dfdbba6f</x:v>
      </x:c>
      <x:c r="AB123" s="127" t="str">
        <x:v>ETX-6R_COUNTRY_CLOSURE</x:v>
      </x:c>
    </x:row>
    <x:row r="124">
      <x:c r="A124" s="126" t="str">
        <x:v>ME</x:v>
      </x:c>
      <x:c r="B124" s="118" t="str">
        <x:v>Montenegro</x:v>
      </x:c>
      <x:c r="C124" s="118" t="str">
        <x:v>ME_NECP_WAM2025</x:v>
      </x:c>
      <x:c r="D124" s="118" t="str">
        <x:v>ME_SIMULATION_READY_USER_OVERRIDE_CLOSED</x:v>
      </x:c>
      <x:c r="E124" s="118" t="str">
        <x:v>MEM_ETX6R_ME_National_Closure_v1.1</x:v>
      </x:c>
      <x:c r="F124" s="118" t="str">
        <x:v>01_ME_CAPACITY_STACK</x:v>
      </x:c>
      <x:c r="G124" s="118" t="n">
        <x:v>8</x:v>
      </x:c>
      <x:c r="H124" s="118" t="str">
        <x:v>Oil / liquid-fuel thermal</x:v>
      </x:c>
      <x:c r="I124" s="118" t="str">
        <x:v>oil_liquid_thermal</x:v>
      </x:c>
      <x:c r="J124" s="118" t="str">
        <x:v>thermal_oil_liquid</x:v>
      </x:c>
      <x:c r="K124" s="118" t="str">
        <x:v>GW</x:v>
      </x:c>
      <x:c r="L124" s="143" t="n">
        <x:v>0</x:v>
      </x:c>
      <x:c r="M124" s="118" t="str">
        <x:v>OFFICIAL_SCENARIO_ZERO</x:v>
      </x:c>
      <x:c r="N124" s="118" t="str">
        <x:v>A/B</x:v>
      </x:c>
      <x:c r="O124" s="118" t="str">
        <x:v>ME_NECP2025</x:v>
      </x:c>
      <x:c r="P124" s="118" t="str">
        <x:v>ZERO_SELECTED_SCENARIO</x:v>
      </x:c>
      <x:c r="Q124" s="143" t="n">
        <x:v>0</x:v>
      </x:c>
      <x:c r="R124" s="118" t="str">
        <x:v>OFFICIAL_SCENARIO_ZERO</x:v>
      </x:c>
      <x:c r="S124" s="118" t="str">
        <x:v>A/B</x:v>
      </x:c>
      <x:c r="T124" s="118" t="str">
        <x:v>ME_NECP2025</x:v>
      </x:c>
      <x:c r="U124" s="118" t="str">
        <x:v>ZERO_SELECTED_SCENARIO</x:v>
      </x:c>
      <x:c r="V124" s="118" t="str">
        <x:v>YES</x:v>
      </x:c>
      <x:c r="W124" s="118" t="str">
        <x:v>IMPLEMENT</x:v>
      </x:c>
      <x:c r="X124" s="119" t="b">
        <x:v>1</x:v>
      </x:c>
      <x:c r="Y124" s="118" t="str">
        <x:v>The WAM electricity model identifies TPP Pljevlja as the only thermal electricity plant generating transformation-sector emissions; no separate oil/liquid-fuel generator is modelled.</x:v>
      </x:c>
      <x:c r="Z124" s="118" t="str">
        <x:v>Explicit Base zero.</x:v>
      </x:c>
      <x:c r="AA124" s="118" t="str">
        <x:v>https://www.gov.me/en/documents/f7048fe6-1342-49c6-95c9-1066dfdbba6f</x:v>
      </x:c>
      <x:c r="AB124" s="127" t="str">
        <x:v>ETX-6R_COUNTRY_CLOSURE</x:v>
      </x:c>
    </x:row>
    <x:row r="125">
      <x:c r="A125" s="126" t="str">
        <x:v>ME</x:v>
      </x:c>
      <x:c r="B125" s="118" t="str">
        <x:v>Montenegro</x:v>
      </x:c>
      <x:c r="C125" s="118" t="str">
        <x:v>ME_NECP_WAM2025</x:v>
      </x:c>
      <x:c r="D125" s="118" t="str">
        <x:v>ME_SIMULATION_READY_USER_OVERRIDE_CLOSED</x:v>
      </x:c>
      <x:c r="E125" s="118" t="str">
        <x:v>MEM_ETX6R_ME_National_Closure_v1.1</x:v>
      </x:c>
      <x:c r="F125" s="118" t="str">
        <x:v>01_ME_CAPACITY_STACK</x:v>
      </x:c>
      <x:c r="G125" s="118" t="n">
        <x:v>9</x:v>
      </x:c>
      <x:c r="H125" s="118" t="str">
        <x:v>Natural-gas thermal</x:v>
      </x:c>
      <x:c r="I125" s="118" t="str">
        <x:v>gas_thermal</x:v>
      </x:c>
      <x:c r="J125" s="118" t="str">
        <x:v>thermal_methane_gas</x:v>
      </x:c>
      <x:c r="K125" s="118" t="str">
        <x:v>GW</x:v>
      </x:c>
      <x:c r="L125" s="143" t="n">
        <x:v>0</x:v>
      </x:c>
      <x:c r="M125" s="118" t="str">
        <x:v>OFFICIAL_SCENARIO_ZERO</x:v>
      </x:c>
      <x:c r="N125" s="118" t="str">
        <x:v>A/B</x:v>
      </x:c>
      <x:c r="O125" s="118" t="str">
        <x:v>ME_NECP2025</x:v>
      </x:c>
      <x:c r="P125" s="118" t="str">
        <x:v>ZERO_SELECTED_SCENARIO</x:v>
      </x:c>
      <x:c r="Q125" s="143" t="n">
        <x:v>0</x:v>
      </x:c>
      <x:c r="R125" s="118" t="str">
        <x:v>OFFICIAL_SCENARIO_ZERO</x:v>
      </x:c>
      <x:c r="S125" s="118" t="str">
        <x:v>A/B</x:v>
      </x:c>
      <x:c r="T125" s="118" t="str">
        <x:v>ME_NECP2025</x:v>
      </x:c>
      <x:c r="U125" s="118" t="str">
        <x:v>ZERO_SELECTED_SCENARIO</x:v>
      </x:c>
      <x:c r="V125" s="118" t="str">
        <x:v>YES</x:v>
      </x:c>
      <x:c r="W125" s="118" t="str">
        <x:v>IMPLEMENT</x:v>
      </x:c>
      <x:c r="X125" s="119" t="b">
        <x:v>1</x:v>
      </x:c>
      <x:c r="Y125" s="118" t="str">
        <x:v>No natural-gas power plant is part of the selected WAM electricity model; transformation-sector power emissions are modelled only from TPP Pljevlja.</x:v>
      </x:c>
      <x:c r="Z125" s="118" t="str">
        <x:v>Do not import hypothetical future gas projects into the WAM Base.</x:v>
      </x:c>
      <x:c r="AA125" s="118" t="str">
        <x:v>https://www.gov.me/en/documents/f7048fe6-1342-49c6-95c9-1066dfdbba6f</x:v>
      </x:c>
      <x:c r="AB125" s="127" t="str">
        <x:v>ETX-6R_COUNTRY_CLOSURE</x:v>
      </x:c>
    </x:row>
    <x:row r="126">
      <x:c r="A126" s="126" t="str">
        <x:v>ME</x:v>
      </x:c>
      <x:c r="B126" s="118" t="str">
        <x:v>Montenegro</x:v>
      </x:c>
      <x:c r="C126" s="118" t="str">
        <x:v>ME_NECP_WAM2025</x:v>
      </x:c>
      <x:c r="D126" s="118" t="str">
        <x:v>ME_SIMULATION_READY_USER_OVERRIDE_CLOSED</x:v>
      </x:c>
      <x:c r="E126" s="118" t="str">
        <x:v>MEM_ETX6R_ME_National_Closure_v1.1</x:v>
      </x:c>
      <x:c r="F126" s="118" t="str">
        <x:v>01_ME_CAPACITY_STACK</x:v>
      </x:c>
      <x:c r="G126" s="118" t="n">
        <x:v>10</x:v>
      </x:c>
      <x:c r="H126" s="118" t="str">
        <x:v>Solar PV</x:v>
      </x:c>
      <x:c r="I126" s="118" t="str">
        <x:v>solar</x:v>
      </x:c>
      <x:c r="J126" s="118" t="str">
        <x:v>solar_pv</x:v>
      </x:c>
      <x:c r="K126" s="118" t="str">
        <x:v>GW</x:v>
      </x:c>
      <x:c r="L126" s="143" t="n">
        <x:v>2.608334</x:v>
      </x:c>
      <x:c r="M126" s="118" t="str">
        <x:v>USER_FROZEN_OVERRIDE_USING_NATIONAL_LOWER_BOUND</x:v>
      </x:c>
      <x:c r="N126" s="118" t="str">
        <x:v>USER</x:v>
      </x:c>
      <x:c r="O126" s="118" t="str">
        <x:v>USER_OVERRIDE_20260911</x:v>
      </x:c>
      <x:c r="P126" s="118" t="str">
        <x:v>CLOSED_USER_OVERRIDE</x:v>
      </x:c>
      <x:c r="Q126" s="143" t="n">
        <x:v>2.608334</x:v>
      </x:c>
      <x:c r="R126" s="118" t="str">
        <x:v>USER_FROZEN_OVERRIDE_USING_NATIONAL_LOWER_BOUND</x:v>
      </x:c>
      <x:c r="S126" s="118" t="str">
        <x:v>USER</x:v>
      </x:c>
      <x:c r="T126" s="118" t="str">
        <x:v>USER_OVERRIDE_20260911</x:v>
      </x:c>
      <x:c r="U126" s="118" t="str">
        <x:v>CLOSED_USER_OVERRIDE</x:v>
      </x:c>
      <x:c r="V126" s="118" t="str">
        <x:v>YES</x:v>
      </x:c>
      <x:c r="W126" s="118" t="str">
        <x:v>IMPLEMENT</x:v>
      </x:c>
      <x:c r="X126" s="119" t="b">
        <x:v>1</x:v>
      </x:c>
      <x:c r="Y126" s="118" t="str">
        <x:v>National WAM does not publish exact 2040/2050 PV endpoints. The user explicitly freezes the national post-2035 lower-bound value of 2.608334 GW as the Base capacity in both horizons.</x:v>
      </x:c>
      <x:c r="Z126" s="118" t="str">
        <x:v>Project-authority override. Do not describe 2.608334 GW as a direct WAM endpoint; the original national evidence only established it as a strict lower bound.</x:v>
      </x:c>
      <x:c r="AA126" s="118" t="str">
        <x:v>https://www.gov.me/en/documents/f7048fe6-1342-49c6-95c9-1066dfdbba6f</x:v>
      </x:c>
      <x:c r="AB126" s="127" t="str">
        <x:v>ETX-6R_COUNTRY_CLOSURE</x:v>
      </x:c>
    </x:row>
    <x:row r="127">
      <x:c r="A127" s="126" t="str">
        <x:v>ME</x:v>
      </x:c>
      <x:c r="B127" s="118" t="str">
        <x:v>Montenegro</x:v>
      </x:c>
      <x:c r="C127" s="118" t="str">
        <x:v>ME_NECP_WAM2025</x:v>
      </x:c>
      <x:c r="D127" s="118" t="str">
        <x:v>ME_SIMULATION_READY_USER_OVERRIDE_CLOSED</x:v>
      </x:c>
      <x:c r="E127" s="118" t="str">
        <x:v>MEM_ETX6R_ME_National_Closure_v1.1</x:v>
      </x:c>
      <x:c r="F127" s="118" t="str">
        <x:v>01_ME_CAPACITY_STACK</x:v>
      </x:c>
      <x:c r="G127" s="118" t="n">
        <x:v>11</x:v>
      </x:c>
      <x:c r="H127" s="118" t="str">
        <x:v>Onshore wind</x:v>
      </x:c>
      <x:c r="I127" s="118" t="str">
        <x:v>onwind</x:v>
      </x:c>
      <x:c r="J127" s="118" t="str">
        <x:v>wind_onshore</x:v>
      </x:c>
      <x:c r="K127" s="118" t="str">
        <x:v>GW</x:v>
      </x:c>
      <x:c r="L127" s="143" t="n">
        <x:v>0.3936</x:v>
      </x:c>
      <x:c r="M127" s="118" t="str">
        <x:v>DERIVED_FROM_OFFICIAL_COMPONENTS</x:v>
      </x:c>
      <x:c r="N127" s="118" t="str">
        <x:v>B/C</x:v>
      </x:c>
      <x:c r="O127" s="118" t="str">
        <x:v>ME_NECP2025</x:v>
      </x:c>
      <x:c r="P127" s="118" t="str">
        <x:v>CLOSED_NATIONAL_DERIVED</x:v>
      </x:c>
      <x:c r="Q127" s="143" t="n">
        <x:v>0.3936</x:v>
      </x:c>
      <x:c r="R127" s="118" t="str">
        <x:v>DERIVED_FROM_OFFICIAL_COMPONENTS</x:v>
      </x:c>
      <x:c r="S127" s="118" t="str">
        <x:v>B/C</x:v>
      </x:c>
      <x:c r="T127" s="118" t="str">
        <x:v>ME_NECP2025</x:v>
      </x:c>
      <x:c r="U127" s="118" t="str">
        <x:v>CLOSED_NATIONAL_DERIVED</x:v>
      </x:c>
      <x:c r="V127" s="118" t="str">
        <x:v>YES</x:v>
      </x:c>
      <x:c r="W127" s="118" t="str">
        <x:v>IMPLEMENT</x:v>
      </x:c>
      <x:c r="X127" s="119" t="b">
        <x:v>1</x:v>
      </x:c>
      <x:c r="Y127" s="118" t="str">
        <x:v>Existing wind is 118 MW. WAM explicitly models Gvozd I (54.6 MW), Gvozd II (21 MW) and a separate 'New WPP' block of 200 MW. Figure 5.20 shows the new-wind generation block at its long-run plateau by 2040 and unchanged in 2050.</x:v>
      </x:c>
      <x:c r="Z127" s="118" t="str">
        <x:v>Derived total = 118 + 54.6 + 21 + 200 = 393.6 MW. Treat the exact 2040 timing as quality B/C because the 200 MW text is a long-run model input rather than a clean year-indexed capacity table.</x:v>
      </x:c>
      <x:c r="AA127" s="118" t="str">
        <x:v>https://www.gov.me/en/documents/f7048fe6-1342-49c6-95c9-1066dfdbba6f</x:v>
      </x:c>
      <x:c r="AB127" s="127" t="str">
        <x:v>ETX-6R_COUNTRY_CLOSURE</x:v>
      </x:c>
    </x:row>
    <x:row r="128">
      <x:c r="A128" s="126" t="str">
        <x:v>ME</x:v>
      </x:c>
      <x:c r="B128" s="118" t="str">
        <x:v>Montenegro</x:v>
      </x:c>
      <x:c r="C128" s="118" t="str">
        <x:v>ME_NECP_WAM2025</x:v>
      </x:c>
      <x:c r="D128" s="118" t="str">
        <x:v>ME_SIMULATION_READY_USER_OVERRIDE_CLOSED</x:v>
      </x:c>
      <x:c r="E128" s="118" t="str">
        <x:v>MEM_ETX6R_ME_National_Closure_v1.1</x:v>
      </x:c>
      <x:c r="F128" s="118" t="str">
        <x:v>01_ME_CAPACITY_STACK</x:v>
      </x:c>
      <x:c r="G128" s="118" t="n">
        <x:v>12</x:v>
      </x:c>
      <x:c r="H128" s="118" t="str">
        <x:v>Offshore wind</x:v>
      </x:c>
      <x:c r="I128" s="118" t="str">
        <x:v>offwind</x:v>
      </x:c>
      <x:c r="J128" s="118" t="str">
        <x:v>wind_offshore</x:v>
      </x:c>
      <x:c r="K128" s="118" t="str">
        <x:v>GW</x:v>
      </x:c>
      <x:c r="L128" s="143" t="n">
        <x:v>0</x:v>
      </x:c>
      <x:c r="M128" s="118" t="str">
        <x:v>NATIONAL_SCENARIO_TAXONOMY_ZERO</x:v>
      </x:c>
      <x:c r="N128" s="118" t="str">
        <x:v>A/B</x:v>
      </x:c>
      <x:c r="O128" s="118" t="str">
        <x:v>ME_NECP2025</x:v>
      </x:c>
      <x:c r="P128" s="118" t="str">
        <x:v>ZERO_SELECTED_SCENARIO</x:v>
      </x:c>
      <x:c r="Q128" s="143" t="n">
        <x:v>0</x:v>
      </x:c>
      <x:c r="R128" s="118" t="str">
        <x:v>NATIONAL_SCENARIO_TAXONOMY_ZERO</x:v>
      </x:c>
      <x:c r="S128" s="118" t="str">
        <x:v>A/B</x:v>
      </x:c>
      <x:c r="T128" s="118" t="str">
        <x:v>ME_NECP2025</x:v>
      </x:c>
      <x:c r="U128" s="118" t="str">
        <x:v>ZERO_SELECTED_SCENARIO</x:v>
      </x:c>
      <x:c r="V128" s="118" t="str">
        <x:v>YES</x:v>
      </x:c>
      <x:c r="W128" s="118" t="str">
        <x:v>IMPLEMENT</x:v>
      </x:c>
      <x:c r="X128" s="119" t="b">
        <x:v>1</x:v>
      </x:c>
      <x:c r="Y128" s="118" t="str">
        <x:v>All existing and named WAM wind projects are land-based and the national WAM model does not publish a separate offshore-wind capacity category.</x:v>
      </x:c>
      <x:c r="Z128" s="118" t="str">
        <x:v>Any later official offshore share must be reallocated within the wind total, not added on top.</x:v>
      </x:c>
      <x:c r="AA128" s="118" t="str">
        <x:v>https://www.gov.me/en/documents/f7048fe6-1342-49c6-95c9-1066dfdbba6f</x:v>
      </x:c>
      <x:c r="AB128" s="127" t="str">
        <x:v>ETX-6R_COUNTRY_CLOSURE</x:v>
      </x:c>
    </x:row>
    <x:row r="129">
      <x:c r="A129" s="126" t="str">
        <x:v>ME</x:v>
      </x:c>
      <x:c r="B129" s="118" t="str">
        <x:v>Montenegro</x:v>
      </x:c>
      <x:c r="C129" s="118" t="str">
        <x:v>ME_NECP_WAM2025</x:v>
      </x:c>
      <x:c r="D129" s="118" t="str">
        <x:v>ME_SIMULATION_READY_USER_OVERRIDE_CLOSED</x:v>
      </x:c>
      <x:c r="E129" s="118" t="str">
        <x:v>MEM_ETX6R_ME_National_Closure_v1.1</x:v>
      </x:c>
      <x:c r="F129" s="118" t="str">
        <x:v>01_ME_CAPACITY_STACK</x:v>
      </x:c>
      <x:c r="G129" s="118" t="n">
        <x:v>13</x:v>
      </x:c>
      <x:c r="H129" s="118" t="str">
        <x:v>Geothermal electricity</x:v>
      </x:c>
      <x:c r="I129" s="118" t="str">
        <x:v>geothermal</x:v>
      </x:c>
      <x:c r="J129" s="118" t="str">
        <x:v>geothermal</x:v>
      </x:c>
      <x:c r="K129" s="118" t="str">
        <x:v>GW</x:v>
      </x:c>
      <x:c r="L129" s="143" t="n">
        <x:v>0</x:v>
      </x:c>
      <x:c r="M129" s="118" t="str">
        <x:v>OFFICIAL_SCENARIO_ZERO</x:v>
      </x:c>
      <x:c r="N129" s="118" t="str">
        <x:v>A/B</x:v>
      </x:c>
      <x:c r="O129" s="118" t="str">
        <x:v>ME_NECP2025</x:v>
      </x:c>
      <x:c r="P129" s="118" t="str">
        <x:v>ZERO_SELECTED_SCENARIO</x:v>
      </x:c>
      <x:c r="Q129" s="143" t="n">
        <x:v>0</x:v>
      </x:c>
      <x:c r="R129" s="118" t="str">
        <x:v>OFFICIAL_SCENARIO_ZERO</x:v>
      </x:c>
      <x:c r="S129" s="118" t="str">
        <x:v>A/B</x:v>
      </x:c>
      <x:c r="T129" s="118" t="str">
        <x:v>ME_NECP2025</x:v>
      </x:c>
      <x:c r="U129" s="118" t="str">
        <x:v>ZERO_SELECTED_SCENARIO</x:v>
      </x:c>
      <x:c r="V129" s="118" t="str">
        <x:v>YES</x:v>
      </x:c>
      <x:c r="W129" s="118" t="str">
        <x:v>IMPLEMENT</x:v>
      </x:c>
      <x:c r="X129" s="119" t="b">
        <x:v>1</x:v>
      </x:c>
      <x:c r="Y129" s="118" t="str">
        <x:v>No geothermal-electric generation category or plant is present in the WAM electricity stack.</x:v>
      </x:c>
      <x:c r="Z129" s="118" t="str">
        <x:v>Geothermal heat, if any, is outside the Stage-A generation fleet.</x:v>
      </x:c>
      <x:c r="AA129" s="118" t="str">
        <x:v>https://www.gov.me/en/documents/f7048fe6-1342-49c6-95c9-1066dfdbba6f</x:v>
      </x:c>
      <x:c r="AB129" s="127" t="str">
        <x:v>ETX-6R_COUNTRY_CLOSURE</x:v>
      </x:c>
    </x:row>
    <x:row r="130">
      <x:c r="A130" s="126" t="str">
        <x:v>ME</x:v>
      </x:c>
      <x:c r="B130" s="118" t="str">
        <x:v>Montenegro</x:v>
      </x:c>
      <x:c r="C130" s="118" t="str">
        <x:v>ME_NECP_WAM2025</x:v>
      </x:c>
      <x:c r="D130" s="118" t="str">
        <x:v>ME_SIMULATION_READY_USER_OVERRIDE_CLOSED</x:v>
      </x:c>
      <x:c r="E130" s="118" t="str">
        <x:v>MEM_ETX6R_ME_National_Closure_v1.1</x:v>
      </x:c>
      <x:c r="F130" s="118" t="str">
        <x:v>01_ME_CAPACITY_STACK</x:v>
      </x:c>
      <x:c r="G130" s="118" t="n">
        <x:v>14</x:v>
      </x:c>
      <x:c r="H130" s="118" t="str">
        <x:v>Non-PHS hydro</x:v>
      </x:c>
      <x:c r="I130" s="118" t="str">
        <x:v>hydro_non_phs</x:v>
      </x:c>
      <x:c r="J130" s="118" t="str">
        <x:v>hydro_non_phs</x:v>
      </x:c>
      <x:c r="K130" s="118" t="str">
        <x:v>GW</x:v>
      </x:c>
      <x:c r="L130" s="143" t="n">
        <x:v>1.022604</x:v>
      </x:c>
      <x:c r="M130" s="118" t="str">
        <x:v>DERIVED_FROM_OFFICIAL_COMPONENTS</x:v>
      </x:c>
      <x:c r="N130" s="118" t="str">
        <x:v>B</x:v>
      </x:c>
      <x:c r="O130" s="118" t="str">
        <x:v>ME_NECP2025</x:v>
      </x:c>
      <x:c r="P130" s="118" t="str">
        <x:v>CLOSED_NATIONAL_DERIVED</x:v>
      </x:c>
      <x:c r="Q130" s="143" t="n">
        <x:v>1.022604</x:v>
      </x:c>
      <x:c r="R130" s="118" t="str">
        <x:v>NATIONAL_TRAJECTORY_CARRY_FORWARD</x:v>
      </x:c>
      <x:c r="S130" s="118" t="str">
        <x:v>B</x:v>
      </x:c>
      <x:c r="T130" s="118" t="str">
        <x:v>ME_NECP2025</x:v>
      </x:c>
      <x:c r="U130" s="118" t="str">
        <x:v>CLOSED_NATIONAL_DERIVED</x:v>
      </x:c>
      <x:c r="V130" s="118" t="str">
        <x:v>YES</x:v>
      </x:c>
      <x:c r="W130" s="118" t="str">
        <x:v>IMPLEMENT</x:v>
      </x:c>
      <x:c r="X130" s="119" t="b">
        <x:v>1</x:v>
      </x:c>
      <x:c r="Y130" s="118" t="str">
        <x:v>Start from 704.904 MW national hydro stock and add WAM projects/expansions: Perućica +58.5 MW, Otilovići/Durutovići +5.3 MW, Komarnica +171.9 MW and Kruševo +82 MW.</x:v>
      </x:c>
      <x:c r="Z130" s="118" t="str">
        <x:v>All selected-WAM hydro additions are completed before 2040; no later WAM hydro capacity addition is numerically specified. See ME-D02.</x:v>
      </x:c>
      <x:c r="AA130" s="118" t="str">
        <x:v>https://www.gov.me/en/documents/f7048fe6-1342-49c6-95c9-1066dfdbba6f</x:v>
      </x:c>
      <x:c r="AB130" s="127" t="str">
        <x:v>ETX-6R_COUNTRY_CLOSURE</x:v>
      </x:c>
    </x:row>
    <x:row r="131">
      <x:c r="A131" s="126" t="str">
        <x:v>ME</x:v>
      </x:c>
      <x:c r="B131" s="118" t="str">
        <x:v>Montenegro</x:v>
      </x:c>
      <x:c r="C131" s="118" t="str">
        <x:v>ME_NECP_WAM2025</x:v>
      </x:c>
      <x:c r="D131" s="118" t="str">
        <x:v>ME_SIMULATION_READY_USER_OVERRIDE_CLOSED</x:v>
      </x:c>
      <x:c r="E131" s="118" t="str">
        <x:v>MEM_ETX6R_ME_National_Closure_v1.1</x:v>
      </x:c>
      <x:c r="F131" s="118" t="str">
        <x:v>01_ME_CAPACITY_STACK</x:v>
      </x:c>
      <x:c r="G131" s="118" t="n">
        <x:v>15</x:v>
      </x:c>
      <x:c r="H131" s="118" t="str">
        <x:v>PHS turbine / discharge</x:v>
      </x:c>
      <x:c r="I131" s="118" t="str">
        <x:v>phs_discharge</x:v>
      </x:c>
      <x:c r="J131" s="118" t="str">
        <x:v>phs_discharge_power</x:v>
      </x:c>
      <x:c r="K131" s="118" t="str">
        <x:v>GW</x:v>
      </x:c>
      <x:c r="L131" s="143" t="n">
        <x:v>0</x:v>
      </x:c>
      <x:c r="M131" s="118" t="str">
        <x:v>OFFICIAL_FLEET_AND_SCENARIO_ZERO</x:v>
      </x:c>
      <x:c r="N131" s="118" t="str">
        <x:v>A/B</x:v>
      </x:c>
      <x:c r="O131" s="118" t="str">
        <x:v>ME_NECP2025</x:v>
      </x:c>
      <x:c r="P131" s="118" t="str">
        <x:v>ZERO_SELECTED_SCENARIO</x:v>
      </x:c>
      <x:c r="Q131" s="143" t="n">
        <x:v>0</x:v>
      </x:c>
      <x:c r="R131" s="118" t="str">
        <x:v>OFFICIAL_FLEET_AND_SCENARIO_ZERO</x:v>
      </x:c>
      <x:c r="S131" s="118" t="str">
        <x:v>A/B</x:v>
      </x:c>
      <x:c r="T131" s="118" t="str">
        <x:v>ME_NECP2025</x:v>
      </x:c>
      <x:c r="U131" s="118" t="str">
        <x:v>ZERO_SELECTED_SCENARIO</x:v>
      </x:c>
      <x:c r="V131" s="118" t="str">
        <x:v>YES</x:v>
      </x:c>
      <x:c r="W131" s="118" t="str">
        <x:v>IMPLEMENT_STORAGE_PAIR</x:v>
      </x:c>
      <x:c r="X131" s="119" t="b">
        <x:v>1</x:v>
      </x:c>
      <x:c r="Y131" s="118" t="str">
        <x:v>The national installed-fleet table contains no pumped-storage plant and the selected WAM project/model categories do not include a PHS build.</x:v>
      </x:c>
      <x:c r="Z131" s="118" t="str">
        <x:v>Generic NECP references to pumped storage as a possible flexibility technology are not a project or capacity input.</x:v>
      </x:c>
      <x:c r="AA131" s="118" t="str">
        <x:v>https://www.gov.me/en/documents/f7048fe6-1342-49c6-95c9-1066dfdbba6f</x:v>
      </x:c>
      <x:c r="AB131" s="127" t="str">
        <x:v>ETX-6R_COUNTRY_CLOSURE</x:v>
      </x:c>
    </x:row>
    <x:row r="132">
      <x:c r="A132" s="126" t="str">
        <x:v>ME</x:v>
      </x:c>
      <x:c r="B132" s="118" t="str">
        <x:v>Montenegro</x:v>
      </x:c>
      <x:c r="C132" s="118" t="str">
        <x:v>ME_NECP_WAM2025</x:v>
      </x:c>
      <x:c r="D132" s="118" t="str">
        <x:v>ME_SIMULATION_READY_USER_OVERRIDE_CLOSED</x:v>
      </x:c>
      <x:c r="E132" s="118" t="str">
        <x:v>MEM_ETX6R_ME_National_Closure_v1.1</x:v>
      </x:c>
      <x:c r="F132" s="118" t="str">
        <x:v>01_ME_CAPACITY_STACK</x:v>
      </x:c>
      <x:c r="G132" s="118" t="n">
        <x:v>16</x:v>
      </x:c>
      <x:c r="H132" s="118" t="str">
        <x:v>PHS pump / charge</x:v>
      </x:c>
      <x:c r="I132" s="118" t="str">
        <x:v>phs_charge</x:v>
      </x:c>
      <x:c r="J132" s="118" t="str">
        <x:v>phs_charge_power</x:v>
      </x:c>
      <x:c r="K132" s="118" t="str">
        <x:v>GW</x:v>
      </x:c>
      <x:c r="L132" s="143" t="n">
        <x:v>0</x:v>
      </x:c>
      <x:c r="M132" s="118" t="str">
        <x:v>OFFICIAL_FLEET_AND_SCENARIO_ZERO</x:v>
      </x:c>
      <x:c r="N132" s="118" t="str">
        <x:v>A/B</x:v>
      </x:c>
      <x:c r="O132" s="118" t="str">
        <x:v>ME_NECP2025</x:v>
      </x:c>
      <x:c r="P132" s="118" t="str">
        <x:v>ZERO_SELECTED_SCENARIO</x:v>
      </x:c>
      <x:c r="Q132" s="143" t="n">
        <x:v>0</x:v>
      </x:c>
      <x:c r="R132" s="118" t="str">
        <x:v>OFFICIAL_FLEET_AND_SCENARIO_ZERO</x:v>
      </x:c>
      <x:c r="S132" s="118" t="str">
        <x:v>A/B</x:v>
      </x:c>
      <x:c r="T132" s="118" t="str">
        <x:v>ME_NECP2025</x:v>
      </x:c>
      <x:c r="U132" s="118" t="str">
        <x:v>ZERO_SELECTED_SCENARIO</x:v>
      </x:c>
      <x:c r="V132" s="118" t="str">
        <x:v>YES</x:v>
      </x:c>
      <x:c r="W132" s="118" t="str">
        <x:v>IMPLEMENT_STORAGE_PAIR</x:v>
      </x:c>
      <x:c r="X132" s="119" t="b">
        <x:v>1</x:v>
      </x:c>
      <x:c r="Y132" s="118" t="str">
        <x:v>No pumped-storage plant is in the selected WAM stack.</x:v>
      </x:c>
      <x:c r="Z132" s="118" t="str">
        <x:v>Pair with PHS turbine and energy zeros.</x:v>
      </x:c>
      <x:c r="AA132" s="118" t="str">
        <x:v>https://www.gov.me/en/documents/f7048fe6-1342-49c6-95c9-1066dfdbba6f</x:v>
      </x:c>
      <x:c r="AB132" s="127" t="str">
        <x:v>ETX-6R_COUNTRY_CLOSURE</x:v>
      </x:c>
    </x:row>
    <x:row r="133">
      <x:c r="A133" s="126" t="str">
        <x:v>ME</x:v>
      </x:c>
      <x:c r="B133" s="118" t="str">
        <x:v>Montenegro</x:v>
      </x:c>
      <x:c r="C133" s="118" t="str">
        <x:v>ME_NECP_WAM2025</x:v>
      </x:c>
      <x:c r="D133" s="118" t="str">
        <x:v>ME_SIMULATION_READY_USER_OVERRIDE_CLOSED</x:v>
      </x:c>
      <x:c r="E133" s="118" t="str">
        <x:v>MEM_ETX6R_ME_National_Closure_v1.1</x:v>
      </x:c>
      <x:c r="F133" s="118" t="str">
        <x:v>01_ME_CAPACITY_STACK</x:v>
      </x:c>
      <x:c r="G133" s="118" t="n">
        <x:v>17</x:v>
      </x:c>
      <x:c r="H133" s="118" t="str">
        <x:v>PHS energy</x:v>
      </x:c>
      <x:c r="I133" s="118" t="str">
        <x:v>phs_energy</x:v>
      </x:c>
      <x:c r="J133" s="118" t="str">
        <x:v>phs_energy</x:v>
      </x:c>
      <x:c r="K133" s="118" t="str">
        <x:v>GWh</x:v>
      </x:c>
      <x:c r="L133" s="143" t="n">
        <x:v>0</x:v>
      </x:c>
      <x:c r="M133" s="118" t="str">
        <x:v>OFFICIAL_FLEET_AND_SCENARIO_ZERO</x:v>
      </x:c>
      <x:c r="N133" s="118" t="str">
        <x:v>A/B</x:v>
      </x:c>
      <x:c r="O133" s="118" t="str">
        <x:v>ME_NECP2025</x:v>
      </x:c>
      <x:c r="P133" s="118" t="str">
        <x:v>ZERO_SELECTED_SCENARIO</x:v>
      </x:c>
      <x:c r="Q133" s="143" t="n">
        <x:v>0</x:v>
      </x:c>
      <x:c r="R133" s="118" t="str">
        <x:v>OFFICIAL_FLEET_AND_SCENARIO_ZERO</x:v>
      </x:c>
      <x:c r="S133" s="118" t="str">
        <x:v>A/B</x:v>
      </x:c>
      <x:c r="T133" s="118" t="str">
        <x:v>ME_NECP2025</x:v>
      </x:c>
      <x:c r="U133" s="118" t="str">
        <x:v>ZERO_SELECTED_SCENARIO</x:v>
      </x:c>
      <x:c r="V133" s="118" t="str">
        <x:v>YES</x:v>
      </x:c>
      <x:c r="W133" s="118" t="str">
        <x:v>IMPLEMENT_STORAGE_PAIR</x:v>
      </x:c>
      <x:c r="X133" s="119" t="b">
        <x:v>1</x:v>
      </x:c>
      <x:c r="Y133" s="118" t="str">
        <x:v>No PHS power asset is present, therefore no PHS storage-energy quantity is implemented.</x:v>
      </x:c>
      <x:c r="Z133" s="118" t="str">
        <x:v>Reservoir-hydro seasonal water/energy constraints remain a separate runtime chronology task and are not PHS energy.</x:v>
      </x:c>
      <x:c r="AA133" s="118" t="str">
        <x:v>https://www.gov.me/en/documents/f7048fe6-1342-49c6-95c9-1066dfdbba6f</x:v>
      </x:c>
      <x:c r="AB133" s="127" t="str">
        <x:v>ETX-6R_COUNTRY_CLOSURE</x:v>
      </x:c>
    </x:row>
    <x:row r="134">
      <x:c r="A134" s="126" t="str">
        <x:v>ME</x:v>
      </x:c>
      <x:c r="B134" s="118" t="str">
        <x:v>Montenegro</x:v>
      </x:c>
      <x:c r="C134" s="118" t="str">
        <x:v>ME_NECP_WAM2025</x:v>
      </x:c>
      <x:c r="D134" s="118" t="str">
        <x:v>ME_SIMULATION_READY_USER_OVERRIDE_CLOSED</x:v>
      </x:c>
      <x:c r="E134" s="118" t="str">
        <x:v>MEM_ETX6R_ME_National_Closure_v1.1</x:v>
      </x:c>
      <x:c r="F134" s="118" t="str">
        <x:v>01_ME_CAPACITY_STACK</x:v>
      </x:c>
      <x:c r="G134" s="118" t="n">
        <x:v>18</x:v>
      </x:c>
      <x:c r="H134" s="118" t="str">
        <x:v>Grid BESS power</x:v>
      </x:c>
      <x:c r="I134" s="118" t="str">
        <x:v>battery_grid_power</x:v>
      </x:c>
      <x:c r="J134" s="118" t="str">
        <x:v>bess_grid_power</x:v>
      </x:c>
      <x:c r="K134" s="118" t="str">
        <x:v>GW</x:v>
      </x:c>
      <x:c r="L134" s="143" t="n">
        <x:v>0.24</x:v>
      </x:c>
      <x:c r="M134" s="118" t="str">
        <x:v>OFFICIAL_PROJECT_INPUT</x:v>
      </x:c>
      <x:c r="N134" s="118" t="str">
        <x:v>A</x:v>
      </x:c>
      <x:c r="O134" s="118" t="str">
        <x:v>ME_NECP2025</x:v>
      </x:c>
      <x:c r="P134" s="118" t="str">
        <x:v>CLOSED_NATIONAL_DIRECT</x:v>
      </x:c>
      <x:c r="Q134" s="143" t="n">
        <x:v>0.24</x:v>
      </x:c>
      <x:c r="R134" s="118" t="str">
        <x:v>NATIONAL_TRAJECTORY_CARRY_FORWARD</x:v>
      </x:c>
      <x:c r="S134" s="118" t="str">
        <x:v>B</x:v>
      </x:c>
      <x:c r="T134" s="118" t="str">
        <x:v>ME_LCDS2026</x:v>
      </x:c>
      <x:c r="U134" s="118" t="str">
        <x:v>CLOSED_NATIONAL_DERIVED</x:v>
      </x:c>
      <x:c r="V134" s="118" t="str">
        <x:v>YES</x:v>
      </x:c>
      <x:c r="W134" s="118" t="str">
        <x:v>IMPLEMENT_STORAGE_PAIR</x:v>
      </x:c>
      <x:c r="X134" s="119" t="b">
        <x:v>1</x:v>
      </x:c>
      <x:c r="Y134" s="118" t="str">
        <x:v>NECP plans 240 MW / 240 MWh of grid-connected BESS, in 60 MW / 60 MWh blocks, with expected completion in 2027. The 2026 LCDS explicitly assumes no further battery capacity beyond that included in the NECP.</x:v>
      </x:c>
      <x:c r="Z134" s="118" t="str">
        <x:v>Carry the 240 MW stock to both model horizons. Distributed/prosumer batteries are required by some programmes but no aggregate MW/MWh is published; do not invent an additional fleet.</x:v>
      </x:c>
      <x:c r="AA134" s="118" t="str">
        <x:v>https://www.gov.me/en/documents/6d8ce82a-c32d-4ade-ac9e-9c38b490fba1</x:v>
      </x:c>
      <x:c r="AB134" s="127" t="str">
        <x:v>ETX-6R_COUNTRY_CLOSURE</x:v>
      </x:c>
    </x:row>
    <x:row r="135">
      <x:c r="A135" s="126" t="str">
        <x:v>ME</x:v>
      </x:c>
      <x:c r="B135" s="118" t="str">
        <x:v>Montenegro</x:v>
      </x:c>
      <x:c r="C135" s="118" t="str">
        <x:v>ME_NECP_WAM2025</x:v>
      </x:c>
      <x:c r="D135" s="118" t="str">
        <x:v>ME_SIMULATION_READY_USER_OVERRIDE_CLOSED</x:v>
      </x:c>
      <x:c r="E135" s="118" t="str">
        <x:v>MEM_ETX6R_ME_National_Closure_v1.1</x:v>
      </x:c>
      <x:c r="F135" s="118" t="str">
        <x:v>01_ME_CAPACITY_STACK</x:v>
      </x:c>
      <x:c r="G135" s="118" t="n">
        <x:v>19</x:v>
      </x:c>
      <x:c r="H135" s="118" t="str">
        <x:v>Grid BESS energy</x:v>
      </x:c>
      <x:c r="I135" s="118" t="str">
        <x:v>battery_grid_energy</x:v>
      </x:c>
      <x:c r="J135" s="118" t="str">
        <x:v>bess_grid_energy</x:v>
      </x:c>
      <x:c r="K135" s="118" t="str">
        <x:v>GWh</x:v>
      </x:c>
      <x:c r="L135" s="143" t="n">
        <x:v>0.24</x:v>
      </x:c>
      <x:c r="M135" s="118" t="str">
        <x:v>OFFICIAL_PROJECT_INPUT</x:v>
      </x:c>
      <x:c r="N135" s="118" t="str">
        <x:v>A</x:v>
      </x:c>
      <x:c r="O135" s="118" t="str">
        <x:v>ME_NECP2025</x:v>
      </x:c>
      <x:c r="P135" s="118" t="str">
        <x:v>CLOSED_NATIONAL_DIRECT</x:v>
      </x:c>
      <x:c r="Q135" s="143" t="n">
        <x:v>0.24</x:v>
      </x:c>
      <x:c r="R135" s="118" t="str">
        <x:v>NATIONAL_TRAJECTORY_CARRY_FORWARD</x:v>
      </x:c>
      <x:c r="S135" s="118" t="str">
        <x:v>B</x:v>
      </x:c>
      <x:c r="T135" s="118" t="str">
        <x:v>ME_LCDS2026</x:v>
      </x:c>
      <x:c r="U135" s="118" t="str">
        <x:v>CLOSED_NATIONAL_DERIVED</x:v>
      </x:c>
      <x:c r="V135" s="118" t="str">
        <x:v>YES</x:v>
      </x:c>
      <x:c r="W135" s="118" t="str">
        <x:v>IMPLEMENT_STORAGE_PAIR</x:v>
      </x:c>
      <x:c r="X135" s="119" t="b">
        <x:v>1</x:v>
      </x:c>
      <x:c r="Y135" s="118" t="str">
        <x:v>Same NECP project gives 240 MWh alongside 240 MW; LCDS assumes no further battery capacity beyond NECP.</x:v>
      </x:c>
      <x:c r="Z135" s="118" t="str">
        <x:v>Implied nominal duration = 1.0 h. Keep power and energy as one storage definition.</x:v>
      </x:c>
      <x:c r="AA135" s="118" t="str">
        <x:v>https://www.gov.me/en/documents/6d8ce82a-c32d-4ade-ac9e-9c38b490fba1</x:v>
      </x:c>
      <x:c r="AB135" s="127" t="str">
        <x:v>ETX-6R_COUNTRY_CLOSURE</x:v>
      </x:c>
    </x:row>
    <x:row r="136">
      <x:c r="A136" s="126" t="str">
        <x:v>ME</x:v>
      </x:c>
      <x:c r="B136" s="118" t="str">
        <x:v>Montenegro</x:v>
      </x:c>
      <x:c r="C136" s="118" t="str">
        <x:v>ME_NECP_WAM2025</x:v>
      </x:c>
      <x:c r="D136" s="118" t="str">
        <x:v>ME_SIMULATION_READY_USER_OVERRIDE_CLOSED</x:v>
      </x:c>
      <x:c r="E136" s="118" t="str">
        <x:v>MEM_ETX6R_ME_National_Closure_v1.1</x:v>
      </x:c>
      <x:c r="F136" s="118" t="str">
        <x:v>01_ME_CAPACITY_STACK</x:v>
      </x:c>
      <x:c r="G136" s="118" t="n">
        <x:v>20</x:v>
      </x:c>
      <x:c r="H136" s="118" t="str">
        <x:v>Biomass / waste electricity excluding biogas</x:v>
      </x:c>
      <x:c r="I136" s="118" t="str">
        <x:v>biomass_waste</x:v>
      </x:c>
      <x:c r="J136" s="118" t="str">
        <x:v>bioenergy_biomass</x:v>
      </x:c>
      <x:c r="K136" s="118" t="str">
        <x:v>GW</x:v>
      </x:c>
      <x:c r="L136" s="143" t="n">
        <x:v>0</x:v>
      </x:c>
      <x:c r="M136" s="118" t="str">
        <x:v>OFFICIAL_SCENARIO_ZERO</x:v>
      </x:c>
      <x:c r="N136" s="118" t="str">
        <x:v>B</x:v>
      </x:c>
      <x:c r="O136" s="118" t="str">
        <x:v>ME_NECP2025</x:v>
      </x:c>
      <x:c r="P136" s="118" t="str">
        <x:v>ZERO_SELECTED_SCENARIO</x:v>
      </x:c>
      <x:c r="Q136" s="143" t="n">
        <x:v>0</x:v>
      </x:c>
      <x:c r="R136" s="118" t="str">
        <x:v>OFFICIAL_SCENARIO_ZERO</x:v>
      </x:c>
      <x:c r="S136" s="118" t="str">
        <x:v>B</x:v>
      </x:c>
      <x:c r="T136" s="118" t="str">
        <x:v>ME_NECP2025</x:v>
      </x:c>
      <x:c r="U136" s="118" t="str">
        <x:v>ZERO_SELECTED_SCENARIO</x:v>
      </x:c>
      <x:c r="V136" s="118" t="str">
        <x:v>YES</x:v>
      </x:c>
      <x:c r="W136" s="118" t="str">
        <x:v>IMPLEMENT</x:v>
      </x:c>
      <x:c r="X136" s="119" t="b">
        <x:v>1</x:v>
      </x:c>
      <x:c r="Y136" s="118" t="str">
        <x:v>The selected WAM power-generation categories contain no separate biomass or waste-to-electricity plant; the only bioelectric category shown is TPP Biogas.</x:v>
      </x:c>
      <x:c r="Z136" s="118" t="str">
        <x:v>Keep biogas separate because WAM does show non-zero biogas generation.</x:v>
      </x:c>
      <x:c r="AA136" s="118" t="str">
        <x:v>https://www.gov.me/en/documents/f7048fe6-1342-49c6-95c9-1066dfdbba6f</x:v>
      </x:c>
      <x:c r="AB136" s="127" t="str">
        <x:v>ETX-6R_COUNTRY_CLOSURE</x:v>
      </x:c>
    </x:row>
    <x:row r="137">
      <x:c r="A137" s="126" t="str">
        <x:v>ME</x:v>
      </x:c>
      <x:c r="B137" s="118" t="str">
        <x:v>Montenegro</x:v>
      </x:c>
      <x:c r="C137" s="118" t="str">
        <x:v>ME_NECP_WAM2025</x:v>
      </x:c>
      <x:c r="D137" s="118" t="str">
        <x:v>ME_SIMULATION_READY_USER_OVERRIDE_CLOSED</x:v>
      </x:c>
      <x:c r="E137" s="118" t="str">
        <x:v>MEM_ETX6R_ME_National_Closure_v1.1</x:v>
      </x:c>
      <x:c r="F137" s="118" t="str">
        <x:v>01_ME_CAPACITY_STACK</x:v>
      </x:c>
      <x:c r="G137" s="118" t="n">
        <x:v>21</x:v>
      </x:c>
      <x:c r="H137" s="118" t="str">
        <x:v>Biogas electricity</x:v>
      </x:c>
      <x:c r="I137" s="118" t="str">
        <x:v>biogas</x:v>
      </x:c>
      <x:c r="J137" s="118" t="str">
        <x:v>bioenergy_biogas</x:v>
      </x:c>
      <x:c r="K137" s="118" t="str">
        <x:v>GW</x:v>
      </x:c>
      <x:c r="L137" s="143" t="n">
        <x:v>0.087</x:v>
      </x:c>
      <x:c r="M137" s="118" t="str">
        <x:v>USER_FROZEN_OVERRIDE</x:v>
      </x:c>
      <x:c r="N137" s="118" t="str">
        <x:v>USER</x:v>
      </x:c>
      <x:c r="O137" s="118" t="str">
        <x:v>USER_OVERRIDE_20260911</x:v>
      </x:c>
      <x:c r="P137" s="118" t="str">
        <x:v>CLOSED_USER_OVERRIDE</x:v>
      </x:c>
      <x:c r="Q137" s="143" t="n">
        <x:v>0.087</x:v>
      </x:c>
      <x:c r="R137" s="118" t="str">
        <x:v>USER_FROZEN_OVERRIDE</x:v>
      </x:c>
      <x:c r="S137" s="118" t="str">
        <x:v>USER</x:v>
      </x:c>
      <x:c r="T137" s="118" t="str">
        <x:v>USER_OVERRIDE_20260911</x:v>
      </x:c>
      <x:c r="U137" s="118" t="str">
        <x:v>CLOSED_USER_OVERRIDE</x:v>
      </x:c>
      <x:c r="V137" s="118" t="str">
        <x:v>YES</x:v>
      </x:c>
      <x:c r="W137" s="118" t="str">
        <x:v>IMPLEMENT</x:v>
      </x:c>
      <x:c r="X137" s="119" t="b">
        <x:v>1</x:v>
      </x:c>
      <x:c r="Y137" s="118" t="str">
        <x:v>TPP Biogas is non-zero in the national WAM model but national sources do not publish installed MW. The user explicitly freezes 87 MW as the Base capacity in both horizons.</x:v>
      </x:c>
      <x:c r="Z137" s="118" t="str">
        <x:v>Project-authority override. Retain the WAM evidence showing the technology is non-zero, but do not attribute the 87 MW value to the national source.</x:v>
      </x:c>
      <x:c r="AA137" s="118" t="str">
        <x:v>https://www.gov.me/en/documents/f7048fe6-1342-49c6-95c9-1066dfdbba6f</x:v>
      </x:c>
      <x:c r="AB137" s="127" t="str">
        <x:v>ETX-6R_COUNTRY_CLOSURE</x:v>
      </x:c>
    </x:row>
    <x:row r="138">
      <x:c r="A138" s="126" t="str">
        <x:v>ME</x:v>
      </x:c>
      <x:c r="B138" s="118" t="str">
        <x:v>Montenegro</x:v>
      </x:c>
      <x:c r="C138" s="118" t="str">
        <x:v>ME_NECP_WAM2025</x:v>
      </x:c>
      <x:c r="D138" s="118" t="str">
        <x:v>ME_SIMULATION_READY_USER_OVERRIDE_CLOSED</x:v>
      </x:c>
      <x:c r="E138" s="118" t="str">
        <x:v>MEM_ETX6R_ME_National_Closure_v1.1</x:v>
      </x:c>
      <x:c r="F138" s="118" t="str">
        <x:v>01_ME_CAPACITY_STACK</x:v>
      </x:c>
      <x:c r="G138" s="118" t="n">
        <x:v>22</x:v>
      </x:c>
      <x:c r="H138" s="118" t="str">
        <x:v>Solar PV national post-2035 lower-bound QA</x:v>
      </x:c>
      <x:c r="I138" s="118" t="str">
        <x:v>solar</x:v>
      </x:c>
      <x:c r="J138" s="118" t="str">
        <x:v>solar_pv</x:v>
      </x:c>
      <x:c r="K138" s="118" t="str">
        <x:v>GW</x:v>
      </x:c>
      <x:c r="L138" s="143" t="n">
        <x:v>2.608334</x:v>
      </x:c>
      <x:c r="M138" s="118" t="str">
        <x:v>OFFICIAL_LOWER_BOUND</x:v>
      </x:c>
      <x:c r="N138" s="118" t="str">
        <x:v>B</x:v>
      </x:c>
      <x:c r="O138" s="118" t="str">
        <x:v>ME_NECP2025</x:v>
      </x:c>
      <x:c r="P138" s="118" t="str">
        <x:v>QA_LOWER_BOUND_ONLY</x:v>
      </x:c>
      <x:c r="Q138" s="143" t="n">
        <x:v>2.608334</x:v>
      </x:c>
      <x:c r="R138" s="118" t="str">
        <x:v>OFFICIAL_LOWER_BOUND</x:v>
      </x:c>
      <x:c r="S138" s="118" t="str">
        <x:v>B</x:v>
      </x:c>
      <x:c r="T138" s="118" t="str">
        <x:v>ME_NECP2025</x:v>
      </x:c>
      <x:c r="U138" s="118" t="str">
        <x:v>QA_LOWER_BOUND_ONLY</x:v>
      </x:c>
      <x:c r="V138" s="118" t="str">
        <x:v>NO</x:v>
      </x:c>
      <x:c r="W138" s="118" t="str">
        <x:v>QA_CONTROL_ONLY</x:v>
      </x:c>
      <x:c r="X138" s="119" t="b">
        <x:v>0</x:v>
      </x:c>
      <x:c r="Y138" s="118" t="str">
        <x:v>Strict arithmetic floor from 19.334 MW 2023 national stock + 1,589 MW WAM increase by 2030 + more than 1,000 MW additional PV planned for 2031–35. The user has chosen this floor as the implemented Base value.</x:v>
      </x:c>
      <x:c r="Z138" s="118" t="str">
        <x:v>QA row only; never create a second solar asset. It reconciles to the user-frozen Solar PV row.</x:v>
      </x:c>
      <x:c r="AA138" s="118" t="str">
        <x:v>https://www.gov.me/en/documents/f7048fe6-1342-49c6-95c9-1066dfdbba6f</x:v>
      </x:c>
      <x:c r="AB138" s="127" t="str">
        <x:v>ETX-6R_COUNTRY_CLOSURE</x:v>
      </x:c>
    </x:row>
    <x:row r="139">
      <x:c r="A139" s="126" t="str">
        <x:v>ME</x:v>
      </x:c>
      <x:c r="B139" s="118" t="str">
        <x:v>Montenegro</x:v>
      </x:c>
      <x:c r="C139" s="118" t="str">
        <x:v>ME_NECP_WAM2025</x:v>
      </x:c>
      <x:c r="D139" s="118" t="str">
        <x:v>ME_SIMULATION_READY_USER_OVERRIDE_CLOSED</x:v>
      </x:c>
      <x:c r="E139" s="118" t="str">
        <x:v>MEM_ETX6R_ME_National_Closure_v1.1</x:v>
      </x:c>
      <x:c r="F139" s="118" t="str">
        <x:v>01_ME_CAPACITY_STACK</x:v>
      </x:c>
      <x:c r="G139" s="118" t="n">
        <x:v>23</x:v>
      </x:c>
      <x:c r="H139" s="118" t="str">
        <x:v>Total fixed grid-BESS power QA</x:v>
      </x:c>
      <x:c r="I139" s="118" t="str">
        <x:v>battery_total_power</x:v>
      </x:c>
      <x:c r="J139" s="118" t="str">
        <x:v>battery_total_power</x:v>
      </x:c>
      <x:c r="K139" s="118" t="str">
        <x:v>GW</x:v>
      </x:c>
      <x:c r="L139" s="143" t="n">
        <x:v>0.24</x:v>
      </x:c>
      <x:c r="M139" s="118" t="str">
        <x:v>QA_RECONCILIATION</x:v>
      </x:c>
      <x:c r="N139" s="118" t="str">
        <x:v>A/B</x:v>
      </x:c>
      <x:c r="O139" s="118" t="str">
        <x:v>ME_NECP2025</x:v>
      </x:c>
      <x:c r="P139" s="118" t="str">
        <x:v>QA_CONTROL</x:v>
      </x:c>
      <x:c r="Q139" s="143" t="n">
        <x:v>0.24</x:v>
      </x:c>
      <x:c r="R139" s="118" t="str">
        <x:v>QA_RECONCILIATION</x:v>
      </x:c>
      <x:c r="S139" s="118" t="str">
        <x:v>A/B</x:v>
      </x:c>
      <x:c r="T139" s="118" t="str">
        <x:v>ME_LCDS2026</x:v>
      </x:c>
      <x:c r="U139" s="118" t="str">
        <x:v>QA_CONTROL</x:v>
      </x:c>
      <x:c r="V139" s="118" t="str">
        <x:v>NO</x:v>
      </x:c>
      <x:c r="W139" s="118" t="str">
        <x:v>QA_CONTROL_ONLY</x:v>
      </x:c>
      <x:c r="X139" s="119" t="b">
        <x:v>0</x:v>
      </x:c>
      <x:c r="Y139" s="118" t="str">
        <x:v>Equals the separately implemented fixed grid-BESS power because no additional quantified battery stock is added.</x:v>
      </x:c>
      <x:c r="Z139" s="118" t="str">
        <x:v>QA only; do not create a second battery asset.</x:v>
      </x:c>
      <x:c r="AA139" s="118" t="str">
        <x:v>https://www.gov.me/en/documents/6d8ce82a-c32d-4ade-ac9e-9c38b490fba1</x:v>
      </x:c>
      <x:c r="AB139" s="127" t="str">
        <x:v>ETX-6R_COUNTRY_CLOSURE</x:v>
      </x:c>
    </x:row>
    <x:row r="140">
      <x:c r="A140" s="126" t="str">
        <x:v>ME</x:v>
      </x:c>
      <x:c r="B140" s="118" t="str">
        <x:v>Montenegro</x:v>
      </x:c>
      <x:c r="C140" s="118" t="str">
        <x:v>ME_NECP_WAM2025</x:v>
      </x:c>
      <x:c r="D140" s="118" t="str">
        <x:v>ME_SIMULATION_READY_USER_OVERRIDE_CLOSED</x:v>
      </x:c>
      <x:c r="E140" s="118" t="str">
        <x:v>MEM_ETX6R_ME_National_Closure_v1.1</x:v>
      </x:c>
      <x:c r="F140" s="118" t="str">
        <x:v>01_ME_CAPACITY_STACK</x:v>
      </x:c>
      <x:c r="G140" s="118" t="n">
        <x:v>24</x:v>
      </x:c>
      <x:c r="H140" s="118" t="str">
        <x:v>Total fixed grid-BESS energy QA</x:v>
      </x:c>
      <x:c r="I140" s="118" t="str">
        <x:v>battery_total_energy</x:v>
      </x:c>
      <x:c r="J140" s="118" t="str">
        <x:v>battery_total_energy</x:v>
      </x:c>
      <x:c r="K140" s="118" t="str">
        <x:v>GWh</x:v>
      </x:c>
      <x:c r="L140" s="143" t="n">
        <x:v>0.24</x:v>
      </x:c>
      <x:c r="M140" s="118" t="str">
        <x:v>QA_RECONCILIATION</x:v>
      </x:c>
      <x:c r="N140" s="118" t="str">
        <x:v>A/B</x:v>
      </x:c>
      <x:c r="O140" s="118" t="str">
        <x:v>ME_NECP2025</x:v>
      </x:c>
      <x:c r="P140" s="118" t="str">
        <x:v>QA_CONTROL</x:v>
      </x:c>
      <x:c r="Q140" s="143" t="n">
        <x:v>0.24</x:v>
      </x:c>
      <x:c r="R140" s="118" t="str">
        <x:v>QA_RECONCILIATION</x:v>
      </x:c>
      <x:c r="S140" s="118" t="str">
        <x:v>A/B</x:v>
      </x:c>
      <x:c r="T140" s="118" t="str">
        <x:v>ME_LCDS2026</x:v>
      </x:c>
      <x:c r="U140" s="118" t="str">
        <x:v>QA_CONTROL</x:v>
      </x:c>
      <x:c r="V140" s="118" t="str">
        <x:v>NO</x:v>
      </x:c>
      <x:c r="W140" s="118" t="str">
        <x:v>QA_CONTROL_ONLY</x:v>
      </x:c>
      <x:c r="X140" s="119" t="b">
        <x:v>0</x:v>
      </x:c>
      <x:c r="Y140" s="118" t="str">
        <x:v>Equals the separately implemented fixed grid-BESS energy.</x:v>
      </x:c>
      <x:c r="Z140" s="118" t="str">
        <x:v>QA only; do not create a second battery asset.</x:v>
      </x:c>
      <x:c r="AA140" s="118" t="str">
        <x:v>https://www.gov.me/en/documents/6d8ce82a-c32d-4ade-ac9e-9c38b490fba1</x:v>
      </x:c>
      <x:c r="AB140" s="127" t="str">
        <x:v>ETX-6R_COUNTRY_CLOSURE</x:v>
      </x:c>
    </x:row>
    <x:row r="141">
      <x:c r="A141" s="126" t="str">
        <x:v>MT</x:v>
      </x:c>
      <x:c r="B141" s="118" t="str">
        <x:v>Malta</x:v>
      </x:c>
      <x:c r="C141" s="118" t="str">
        <x:v>MT_POLICY_BASE_WEM2025_SHIFT2026</x:v>
      </x:c>
      <x:c r="D141" s="118" t="str">
        <x:v>MT_SIMULATION_READY_NATIONAL_POLICY_DERIVED</x:v>
      </x:c>
      <x:c r="E141" s="118" t="str">
        <x:v>MEM_ETX6R_MT_National_Closure_v1.0</x:v>
      </x:c>
      <x:c r="F141" s="118" t="str">
        <x:v>01_MT_CAPACITY_STACK</x:v>
      </x:c>
      <x:c r="G141" s="118" t="n">
        <x:v>5</x:v>
      </x:c>
      <x:c r="H141" s="118" t="str">
        <x:v>Annual electricity demand</x:v>
      </x:c>
      <x:c r="I141" s="118" t="str">
        <x:v>load</x:v>
      </x:c>
      <x:c r="J141" s="118" t="str">
        <x:v>demand</x:v>
      </x:c>
      <x:c r="K141" s="118" t="str">
        <x:v>TWh</x:v>
      </x:c>
      <x:c r="L141" s="143" t="n">
        <x:v>4.4</x:v>
      </x:c>
      <x:c r="M141" s="118" t="str">
        <x:v>OFFICIAL_CHART_DERIVED</x:v>
      </x:c>
      <x:c r="N141" s="118" t="str">
        <x:v>C</x:v>
      </x:c>
      <x:c r="O141" s="118" t="str">
        <x:v>MT_NECP2025</x:v>
      </x:c>
      <x:c r="P141" s="118" t="str">
        <x:v>CLOSED_NATIONAL_DERIVED</x:v>
      </x:c>
      <x:c r="Q141" s="143" t="n">
        <x:v>4.4</x:v>
      </x:c>
      <x:c r="R141" s="118" t="str">
        <x:v>NATIONAL_METHOD_BRIDGE</x:v>
      </x:c>
      <x:c r="S141" s="118" t="str">
        <x:v>C</x:v>
      </x:c>
      <x:c r="T141" s="118" t="str">
        <x:v>MT_LCDS2021</x:v>
      </x:c>
      <x:c r="U141" s="118" t="str">
        <x:v>CLOSED_NATIONAL_DERIVED</x:v>
      </x:c>
      <x:c r="V141" s="118" t="str">
        <x:v>YES</x:v>
      </x:c>
      <x:c r="W141" s="118" t="str">
        <x:v>IMPLEMENT</x:v>
      </x:c>
      <x:c r="X141" s="119" t="b">
        <x:v>1</x:v>
      </x:c>
      <x:c r="Y141" s="118" t="str">
        <x:v>Final NECP Figure 124 gives the central WEM electricity-demand trajectory to 2040; the 2040 endpoint is read at about 4.40 TWh. The LCDS explicitly uses a conservative 2050=2040 baseline-demand convention because the national projection ended in 2040.</x:v>
      </x:c>
      <x:c r="Z141" s="118" t="str">
        <x:v>2050 is not a direct 2026 demand forecast. Treat demand as sensitivity-priority C and update if Malta publishes a numerical 2050 load forecast.</x:v>
      </x:c>
      <x:c r="AA141" s="118" t="str">
        <x:v>https://energywateragency.gov.mt/wp-content/uploads/2025/01/MT-%E2%80%93-FINAL-UPDATED-NECP-2021-2030-English.pdf</x:v>
      </x:c>
      <x:c r="AB141" s="127" t="str">
        <x:v>ETX-6R_COUNTRY_CLOSURE</x:v>
      </x:c>
    </x:row>
    <x:row r="142">
      <x:c r="A142" s="126" t="str">
        <x:v>MT</x:v>
      </x:c>
      <x:c r="B142" s="118" t="str">
        <x:v>Malta</x:v>
      </x:c>
      <x:c r="C142" s="118" t="str">
        <x:v>MT_POLICY_BASE_WEM2025_SHIFT2026</x:v>
      </x:c>
      <x:c r="D142" s="118" t="str">
        <x:v>MT_SIMULATION_READY_NATIONAL_POLICY_DERIVED</x:v>
      </x:c>
      <x:c r="E142" s="118" t="str">
        <x:v>MEM_ETX6R_MT_National_Closure_v1.0</x:v>
      </x:c>
      <x:c r="F142" s="118" t="str">
        <x:v>01_MT_CAPACITY_STACK</x:v>
      </x:c>
      <x:c r="G142" s="118" t="n">
        <x:v>6</x:v>
      </x:c>
      <x:c r="H142" s="118" t="str">
        <x:v>Nuclear</x:v>
      </x:c>
      <x:c r="I142" s="118" t="str">
        <x:v>nuclear</x:v>
      </x:c>
      <x:c r="J142" s="118" t="str">
        <x:v>nuclear</x:v>
      </x:c>
      <x:c r="K142" s="118" t="str">
        <x:v>GW</x:v>
      </x:c>
      <x:c r="L142" s="143" t="n">
        <x:v>0</x:v>
      </x:c>
      <x:c r="M142" s="118" t="str">
        <x:v>NATIONAL_TECHNOLOGY_ZERO</x:v>
      </x:c>
      <x:c r="N142" s="118" t="str">
        <x:v>A/B</x:v>
      </x:c>
      <x:c r="O142" s="118" t="str">
        <x:v>MT_ENERGY_SHIFT2026</x:v>
      </x:c>
      <x:c r="P142" s="118" t="str">
        <x:v>ZERO_SELECTED_SCENARIO</x:v>
      </x:c>
      <x:c r="Q142" s="143" t="n">
        <x:v>0</x:v>
      </x:c>
      <x:c r="R142" s="118" t="str">
        <x:v>NATIONAL_TECHNOLOGY_ZERO</x:v>
      </x:c>
      <x:c r="S142" s="118" t="str">
        <x:v>A/B</x:v>
      </x:c>
      <x:c r="T142" s="118" t="str">
        <x:v>MT_ENERGY_SHIFT2026</x:v>
      </x:c>
      <x:c r="U142" s="118" t="str">
        <x:v>ZERO_SELECTED_SCENARIO</x:v>
      </x:c>
      <x:c r="V142" s="118" t="str">
        <x:v>YES</x:v>
      </x:c>
      <x:c r="W142" s="118" t="str">
        <x:v>IMPLEMENT</x:v>
      </x:c>
      <x:c r="X142" s="119" t="b">
        <x:v>1</x:v>
      </x:c>
      <x:c r="Y142" s="118" t="str">
        <x:v>No nuclear generation is part of Malta’s national power-system pathway.</x:v>
      </x:c>
      <x:c r="Z142" s="118" t="str">
        <x:v>Explicit Base zero.</x:v>
      </x:c>
      <x:c r="AA142" s="118" t="str">
        <x:v>https://sustainability.gov.mt/wp-content/uploads/2026/04/Maltas-Energy-Shift-Document.pdf</x:v>
      </x:c>
      <x:c r="AB142" s="127" t="str">
        <x:v>ETX-6R_COUNTRY_CLOSURE</x:v>
      </x:c>
    </x:row>
    <x:row r="143">
      <x:c r="A143" s="126" t="str">
        <x:v>MT</x:v>
      </x:c>
      <x:c r="B143" s="118" t="str">
        <x:v>Malta</x:v>
      </x:c>
      <x:c r="C143" s="118" t="str">
        <x:v>MT_POLICY_BASE_WEM2025_SHIFT2026</x:v>
      </x:c>
      <x:c r="D143" s="118" t="str">
        <x:v>MT_SIMULATION_READY_NATIONAL_POLICY_DERIVED</x:v>
      </x:c>
      <x:c r="E143" s="118" t="str">
        <x:v>MEM_ETX6R_MT_National_Closure_v1.0</x:v>
      </x:c>
      <x:c r="F143" s="118" t="str">
        <x:v>01_MT_CAPACITY_STACK</x:v>
      </x:c>
      <x:c r="G143" s="118" t="n">
        <x:v>7</x:v>
      </x:c>
      <x:c r="H143" s="118" t="str">
        <x:v>Coal / lignite</x:v>
      </x:c>
      <x:c r="I143" s="118" t="str">
        <x:v>coal_lignite</x:v>
      </x:c>
      <x:c r="J143" s="118" t="str">
        <x:v>coal_lignite</x:v>
      </x:c>
      <x:c r="K143" s="118" t="str">
        <x:v>GW</x:v>
      </x:c>
      <x:c r="L143" s="143" t="n">
        <x:v>0</x:v>
      </x:c>
      <x:c r="M143" s="118" t="str">
        <x:v>NATIONAL_TECHNOLOGY_ZERO</x:v>
      </x:c>
      <x:c r="N143" s="118" t="str">
        <x:v>A/B</x:v>
      </x:c>
      <x:c r="O143" s="118" t="str">
        <x:v>MT_NECP2025</x:v>
      </x:c>
      <x:c r="P143" s="118" t="str">
        <x:v>ZERO_SELECTED_SCENARIO</x:v>
      </x:c>
      <x:c r="Q143" s="143" t="n">
        <x:v>0</x:v>
      </x:c>
      <x:c r="R143" s="118" t="str">
        <x:v>NATIONAL_TECHNOLOGY_ZERO</x:v>
      </x:c>
      <x:c r="S143" s="118" t="str">
        <x:v>A/B</x:v>
      </x:c>
      <x:c r="T143" s="118" t="str">
        <x:v>MT_NECP2025</x:v>
      </x:c>
      <x:c r="U143" s="118" t="str">
        <x:v>ZERO_SELECTED_SCENARIO</x:v>
      </x:c>
      <x:c r="V143" s="118" t="str">
        <x:v>YES</x:v>
      </x:c>
      <x:c r="W143" s="118" t="str">
        <x:v>IMPLEMENT</x:v>
      </x:c>
      <x:c r="X143" s="119" t="b">
        <x:v>1</x:v>
      </x:c>
      <x:c r="Y143" s="118" t="str">
        <x:v>Malta’s local generation has transitioned away from HFO/coal and the selected pathway contains no coal/lignite unit.</x:v>
      </x:c>
      <x:c r="Z143" s="118" t="str">
        <x:v>Explicit Base zero.</x:v>
      </x:c>
      <x:c r="AA143" s="118" t="str">
        <x:v>https://energywateragency.gov.mt/wp-content/uploads/2025/01/MT-%E2%80%93-FINAL-UPDATED-NECP-2021-2030-English.pdf</x:v>
      </x:c>
      <x:c r="AB143" s="127" t="str">
        <x:v>ETX-6R_COUNTRY_CLOSURE</x:v>
      </x:c>
    </x:row>
    <x:row r="144">
      <x:c r="A144" s="126" t="str">
        <x:v>MT</x:v>
      </x:c>
      <x:c r="B144" s="118" t="str">
        <x:v>Malta</x:v>
      </x:c>
      <x:c r="C144" s="118" t="str">
        <x:v>MT_POLICY_BASE_WEM2025_SHIFT2026</x:v>
      </x:c>
      <x:c r="D144" s="118" t="str">
        <x:v>MT_SIMULATION_READY_NATIONAL_POLICY_DERIVED</x:v>
      </x:c>
      <x:c r="E144" s="118" t="str">
        <x:v>MEM_ETX6R_MT_National_Closure_v1.0</x:v>
      </x:c>
      <x:c r="F144" s="118" t="str">
        <x:v>01_MT_CAPACITY_STACK</x:v>
      </x:c>
      <x:c r="G144" s="118" t="n">
        <x:v>8</x:v>
      </x:c>
      <x:c r="H144" s="118" t="str">
        <x:v>Dispatchable local thermal total</x:v>
      </x:c>
      <x:c r="I144" s="118" t="str">
        <x:v>thermal_total</x:v>
      </x:c>
      <x:c r="J144" s="118" t="str">
        <x:v>thermal_total</x:v>
      </x:c>
      <x:c r="K144" s="118" t="str">
        <x:v>GW</x:v>
      </x:c>
      <x:c r="L144" s="143" t="n">
        <x:v>0.5378</x:v>
      </x:c>
      <x:c r="M144" s="118" t="str">
        <x:v>DERIVED_FROM_OFFICIAL_COMPONENTS</x:v>
      </x:c>
      <x:c r="N144" s="118" t="str">
        <x:v>B/C</x:v>
      </x:c>
      <x:c r="O144" s="118" t="str">
        <x:v>MT_ENEMALTA_DPS</x:v>
      </x:c>
      <x:c r="P144" s="118" t="str">
        <x:v>QA_CONTROL</x:v>
      </x:c>
      <x:c r="Q144" s="143" t="n">
        <x:v>0.5378</x:v>
      </x:c>
      <x:c r="R144" s="118" t="str">
        <x:v>NATIONAL_BACKUP_ENVELOPE_CARRY_FORWARD</x:v>
      </x:c>
      <x:c r="S144" s="118" t="str">
        <x:v>C</x:v>
      </x:c>
      <x:c r="T144" s="118" t="str">
        <x:v>MT_ENERGY_SHIFT2026</x:v>
      </x:c>
      <x:c r="U144" s="118" t="str">
        <x:v>QA_CONTROL</x:v>
      </x:c>
      <x:c r="V144" s="118" t="str">
        <x:v>NO</x:v>
      </x:c>
      <x:c r="W144" s="118" t="str">
        <x:v>QA_CONTROL_ONLY</x:v>
      </x:c>
      <x:c r="X144" s="119" t="b">
        <x:v>0</x:v>
      </x:c>
      <x:c r="Y144" s="118" t="str">
        <x:v>Physical local thermal envelope = D4 205 MW + D3 152.8 MW + D2A/2B 180 MW = 537.8 MW. The 2026 strategy continues to retain indigenous/backup generation as a security pillar.</x:v>
      </x:c>
      <x:c r="Z144" s="118" t="str">
        <x:v>QA total only. Implement the carrier-specific physical components below. The 2050 fuel transition is an ETX-7 mapping question, not extra capacity.</x:v>
      </x:c>
      <x:c r="AA144" s="118" t="str">
        <x:v>https://www.enemalta.com.mt/2017/11/16/delimara-power-station/</x:v>
      </x:c>
      <x:c r="AB144" s="127" t="str">
        <x:v>ETX-6R_COUNTRY_CLOSURE</x:v>
      </x:c>
    </x:row>
    <x:row r="145">
      <x:c r="A145" s="126" t="str">
        <x:v>MT</x:v>
      </x:c>
      <x:c r="B145" s="118" t="str">
        <x:v>Malta</x:v>
      </x:c>
      <x:c r="C145" s="118" t="str">
        <x:v>MT_POLICY_BASE_WEM2025_SHIFT2026</x:v>
      </x:c>
      <x:c r="D145" s="118" t="str">
        <x:v>MT_SIMULATION_READY_NATIONAL_POLICY_DERIVED</x:v>
      </x:c>
      <x:c r="E145" s="118" t="str">
        <x:v>MEM_ETX6R_MT_National_Closure_v1.0</x:v>
      </x:c>
      <x:c r="F145" s="118" t="str">
        <x:v>01_MT_CAPACITY_STACK</x:v>
      </x:c>
      <x:c r="G145" s="118" t="n">
        <x:v>9</x:v>
      </x:c>
      <x:c r="H145" s="118" t="str">
        <x:v>Gas / dual-fuel thermal physical envelope</x:v>
      </x:c>
      <x:c r="I145" s="118" t="str">
        <x:v>gas_dual_fuel_thermal</x:v>
      </x:c>
      <x:c r="J145" s="118" t="str">
        <x:v>thermal_methane_gas</x:v>
      </x:c>
      <x:c r="K145" s="118" t="str">
        <x:v>GW</x:v>
      </x:c>
      <x:c r="L145" s="143" t="n">
        <x:v>0.3578</x:v>
      </x:c>
      <x:c r="M145" s="118" t="str">
        <x:v>DERIVED_FROM_OFFICIAL_COMPONENTS</x:v>
      </x:c>
      <x:c r="N145" s="118" t="str">
        <x:v>A/B</x:v>
      </x:c>
      <x:c r="O145" s="118" t="str">
        <x:v>MT_ENEMALTA_DPS</x:v>
      </x:c>
      <x:c r="P145" s="118" t="str">
        <x:v>CLOSED_NATIONAL_DERIVED</x:v>
      </x:c>
      <x:c r="Q145" s="143" t="n">
        <x:v>0.3578</x:v>
      </x:c>
      <x:c r="R145" s="118" t="str">
        <x:v>NATIONAL_BACKUP_ENVELOPE_CARRY_FORWARD</x:v>
      </x:c>
      <x:c r="S145" s="118" t="str">
        <x:v>C</x:v>
      </x:c>
      <x:c r="T145" s="118" t="str">
        <x:v>MT_ENERGY_SHIFT2026</x:v>
      </x:c>
      <x:c r="U145" s="118" t="str">
        <x:v>CLOSED_NATIONAL_DERIVED</x:v>
      </x:c>
      <x:c r="V145" s="118" t="str">
        <x:v>YES</x:v>
      </x:c>
      <x:c r="W145" s="118" t="str">
        <x:v>IMPLEMENT_CARRIER_SPLIT</x:v>
      </x:c>
      <x:c r="X145" s="119" t="b">
        <x:v>1</x:v>
      </x:c>
      <x:c r="Y145" s="118" t="str">
        <x:v>D4 CCGT 205 MW + D3 gas/dual-fuel 152.8 MW. The long-term strategy retains local generation but points toward greener/hydrogen-ready fuel pathways.</x:v>
      </x:c>
      <x:c r="Z145" s="118" t="str">
        <x:v>2050 value is a physical/replacement-equivalent capacity envelope, not fossil-methane lock-in. Map low-carbon/H2-compatible fuel at ETX-7 without adding capacity.</x:v>
      </x:c>
      <x:c r="AA145" s="118" t="str">
        <x:v>https://www.enemalta.com.mt/2017/11/16/delimara-power-station/</x:v>
      </x:c>
      <x:c r="AB145" s="127" t="str">
        <x:v>ETX-6R_COUNTRY_CLOSURE</x:v>
      </x:c>
    </x:row>
    <x:row r="146">
      <x:c r="A146" s="126" t="str">
        <x:v>MT</x:v>
      </x:c>
      <x:c r="B146" s="118" t="str">
        <x:v>Malta</x:v>
      </x:c>
      <x:c r="C146" s="118" t="str">
        <x:v>MT_POLICY_BASE_WEM2025_SHIFT2026</x:v>
      </x:c>
      <x:c r="D146" s="118" t="str">
        <x:v>MT_SIMULATION_READY_NATIONAL_POLICY_DERIVED</x:v>
      </x:c>
      <x:c r="E146" s="118" t="str">
        <x:v>MEM_ETX6R_MT_National_Closure_v1.0</x:v>
      </x:c>
      <x:c r="F146" s="118" t="str">
        <x:v>01_MT_CAPACITY_STACK</x:v>
      </x:c>
      <x:c r="G146" s="118" t="n">
        <x:v>10</x:v>
      </x:c>
      <x:c r="H146" s="118" t="str">
        <x:v>Delimara 4 CCGT component</x:v>
      </x:c>
      <x:c r="I146" s="118" t="str">
        <x:v>thermal_component</x:v>
      </x:c>
      <x:c r="J146" s="118" t="str">
        <x:v>thermal_component</x:v>
      </x:c>
      <x:c r="K146" s="118" t="str">
        <x:v>GW</x:v>
      </x:c>
      <x:c r="L146" s="143" t="n">
        <x:v>0.205</x:v>
      </x:c>
      <x:c r="M146" s="118" t="str">
        <x:v>OFFICIAL_EXISTING_COMPONENT</x:v>
      </x:c>
      <x:c r="N146" s="118" t="str">
        <x:v>A</x:v>
      </x:c>
      <x:c r="O146" s="118" t="str">
        <x:v>MT_ENEMALTA_DPS</x:v>
      </x:c>
      <x:c r="P146" s="118" t="str">
        <x:v>DERIVATION_DETAIL</x:v>
      </x:c>
      <x:c r="Q146" s="143" t="n">
        <x:v>0.205</x:v>
      </x:c>
      <x:c r="R146" s="118" t="str">
        <x:v>DERIVATION_COMPONENT_CARRY_FORWARD</x:v>
      </x:c>
      <x:c r="S146" s="118" t="str">
        <x:v>C</x:v>
      </x:c>
      <x:c r="T146" s="118" t="str">
        <x:v>MT_ENERGY_SHIFT2026</x:v>
      </x:c>
      <x:c r="U146" s="118" t="str">
        <x:v>DERIVATION_DETAIL</x:v>
      </x:c>
      <x:c r="V146" s="118" t="str">
        <x:v>NO</x:v>
      </x:c>
      <x:c r="W146" s="118" t="str">
        <x:v>DERIVATION_DETAIL_ONLY</x:v>
      </x:c>
      <x:c r="X146" s="119" t="b">
        <x:v>0</x:v>
      </x:c>
      <x:c r="Y146" s="118" t="str">
        <x:v>Existing 205 MW D4 natural-gas CCGT, commissioned 2017.</x:v>
      </x:c>
      <x:c r="Z146" s="118" t="str">
        <x:v>Component of the implemented gas/dual-fuel envelope; never add separately.</x:v>
      </x:c>
      <x:c r="AA146" s="118" t="str">
        <x:v>https://www.enemalta.com.mt/2017/11/16/delimara-power-station/</x:v>
      </x:c>
      <x:c r="AB146" s="127" t="str">
        <x:v>ETX-6R_COUNTRY_CLOSURE</x:v>
      </x:c>
    </x:row>
    <x:row r="147">
      <x:c r="A147" s="126" t="str">
        <x:v>MT</x:v>
      </x:c>
      <x:c r="B147" s="118" t="str">
        <x:v>Malta</x:v>
      </x:c>
      <x:c r="C147" s="118" t="str">
        <x:v>MT_POLICY_BASE_WEM2025_SHIFT2026</x:v>
      </x:c>
      <x:c r="D147" s="118" t="str">
        <x:v>MT_SIMULATION_READY_NATIONAL_POLICY_DERIVED</x:v>
      </x:c>
      <x:c r="E147" s="118" t="str">
        <x:v>MEM_ETX6R_MT_National_Closure_v1.0</x:v>
      </x:c>
      <x:c r="F147" s="118" t="str">
        <x:v>01_MT_CAPACITY_STACK</x:v>
      </x:c>
      <x:c r="G147" s="118" t="n">
        <x:v>11</x:v>
      </x:c>
      <x:c r="H147" s="118" t="str">
        <x:v>Delimara 3 dual-fuel component</x:v>
      </x:c>
      <x:c r="I147" s="118" t="str">
        <x:v>thermal_component</x:v>
      </x:c>
      <x:c r="J147" s="118" t="str">
        <x:v>thermal_component</x:v>
      </x:c>
      <x:c r="K147" s="118" t="str">
        <x:v>GW</x:v>
      </x:c>
      <x:c r="L147" s="143" t="n">
        <x:v>0.1528</x:v>
      </x:c>
      <x:c r="M147" s="118" t="str">
        <x:v>OFFICIAL_EXISTING_COMPONENT</x:v>
      </x:c>
      <x:c r="N147" s="118" t="str">
        <x:v>A</x:v>
      </x:c>
      <x:c r="O147" s="118" t="str">
        <x:v>MT_ENEMALTA_DPS</x:v>
      </x:c>
      <x:c r="P147" s="118" t="str">
        <x:v>DERIVATION_DETAIL</x:v>
      </x:c>
      <x:c r="Q147" s="143" t="n">
        <x:v>0.1528</x:v>
      </x:c>
      <x:c r="R147" s="118" t="str">
        <x:v>DERIVATION_COMPONENT_CARRY_FORWARD</x:v>
      </x:c>
      <x:c r="S147" s="118" t="str">
        <x:v>C</x:v>
      </x:c>
      <x:c r="T147" s="118" t="str">
        <x:v>MT_ENERGY_SHIFT2026</x:v>
      </x:c>
      <x:c r="U147" s="118" t="str">
        <x:v>DERIVATION_DETAIL</x:v>
      </x:c>
      <x:c r="V147" s="118" t="str">
        <x:v>NO</x:v>
      </x:c>
      <x:c r="W147" s="118" t="str">
        <x:v>DERIVATION_DETAIL_ONLY</x:v>
      </x:c>
      <x:c r="X147" s="119" t="b">
        <x:v>0</x:v>
      </x:c>
      <x:c r="Y147" s="118" t="str">
        <x:v>Existing 152.8 MW D3 engine plant converted to natural gas/gasoil operation.</x:v>
      </x:c>
      <x:c r="Z147" s="118" t="str">
        <x:v>Component of the implemented gas/dual-fuel envelope; never add separately.</x:v>
      </x:c>
      <x:c r="AA147" s="118" t="str">
        <x:v>https://www.enemalta.com.mt/2017/11/16/delimara-power-station/</x:v>
      </x:c>
      <x:c r="AB147" s="127" t="str">
        <x:v>ETX-6R_COUNTRY_CLOSURE</x:v>
      </x:c>
    </x:row>
    <x:row r="148">
      <x:c r="A148" s="126" t="str">
        <x:v>MT</x:v>
      </x:c>
      <x:c r="B148" s="118" t="str">
        <x:v>Malta</x:v>
      </x:c>
      <x:c r="C148" s="118" t="str">
        <x:v>MT_POLICY_BASE_WEM2025_SHIFT2026</x:v>
      </x:c>
      <x:c r="D148" s="118" t="str">
        <x:v>MT_SIMULATION_READY_NATIONAL_POLICY_DERIVED</x:v>
      </x:c>
      <x:c r="E148" s="118" t="str">
        <x:v>MEM_ETX6R_MT_National_Closure_v1.0</x:v>
      </x:c>
      <x:c r="F148" s="118" t="str">
        <x:v>01_MT_CAPACITY_STACK</x:v>
      </x:c>
      <x:c r="G148" s="118" t="n">
        <x:v>12</x:v>
      </x:c>
      <x:c r="H148" s="118" t="str">
        <x:v>Liquid-fuel emergency backup envelope</x:v>
      </x:c>
      <x:c r="I148" s="118" t="str">
        <x:v>oil_liquid_backup</x:v>
      </x:c>
      <x:c r="J148" s="118" t="str">
        <x:v>thermal_oil_liquid</x:v>
      </x:c>
      <x:c r="K148" s="118" t="str">
        <x:v>GW</x:v>
      </x:c>
      <x:c r="L148" s="143" t="n">
        <x:v>0.18</x:v>
      </x:c>
      <x:c r="M148" s="118" t="str">
        <x:v>DERIVED_FROM_OFFICIAL_COMPONENTS</x:v>
      </x:c>
      <x:c r="N148" s="118" t="str">
        <x:v>A/B</x:v>
      </x:c>
      <x:c r="O148" s="118" t="str">
        <x:v>MT_ENEMALTA_DPS</x:v>
      </x:c>
      <x:c r="P148" s="118" t="str">
        <x:v>CLOSED_NATIONAL_DERIVED</x:v>
      </x:c>
      <x:c r="Q148" s="143" t="n">
        <x:v>0.18</x:v>
      </x:c>
      <x:c r="R148" s="118" t="str">
        <x:v>NATIONAL_BACKUP_ENVELOPE_CARRY_FORWARD</x:v>
      </x:c>
      <x:c r="S148" s="118" t="str">
        <x:v>C</x:v>
      </x:c>
      <x:c r="T148" s="118" t="str">
        <x:v>MT_ENERGY_SHIFT2026</x:v>
      </x:c>
      <x:c r="U148" s="118" t="str">
        <x:v>CLOSED_NATIONAL_DERIVED</x:v>
      </x:c>
      <x:c r="V148" s="118" t="str">
        <x:v>YES</x:v>
      </x:c>
      <x:c r="W148" s="118" t="str">
        <x:v>IMPLEMENT_CARRIER_SPLIT</x:v>
      </x:c>
      <x:c r="X148" s="119" t="b">
        <x:v>1</x:v>
      </x:c>
      <x:c r="Y148" s="118" t="str">
        <x:v>D2A/D2B gasoil standby plants total 180 MW. Malta’s long-term strategy explicitly retains backup generation/off-grid backup as a security measure.</x:v>
      </x:c>
      <x:c r="Z148" s="118" t="str">
        <x:v>Treat as a replacement-equivalent emergency envelope at high marginal cost/availability constraints; do not assume the 1990s units literally survive unchanged to 2050.</x:v>
      </x:c>
      <x:c r="AA148" s="118" t="str">
        <x:v>https://www.enemalta.com.mt/2017/11/16/delimara-power-station/</x:v>
      </x:c>
      <x:c r="AB148" s="127" t="str">
        <x:v>ETX-6R_COUNTRY_CLOSURE</x:v>
      </x:c>
    </x:row>
    <x:row r="149">
      <x:c r="A149" s="126" t="str">
        <x:v>MT</x:v>
      </x:c>
      <x:c r="B149" s="118" t="str">
        <x:v>Malta</x:v>
      </x:c>
      <x:c r="C149" s="118" t="str">
        <x:v>MT_POLICY_BASE_WEM2025_SHIFT2026</x:v>
      </x:c>
      <x:c r="D149" s="118" t="str">
        <x:v>MT_SIMULATION_READY_NATIONAL_POLICY_DERIVED</x:v>
      </x:c>
      <x:c r="E149" s="118" t="str">
        <x:v>MEM_ETX6R_MT_National_Closure_v1.0</x:v>
      </x:c>
      <x:c r="F149" s="118" t="str">
        <x:v>01_MT_CAPACITY_STACK</x:v>
      </x:c>
      <x:c r="G149" s="118" t="n">
        <x:v>13</x:v>
      </x:c>
      <x:c r="H149" s="118" t="str">
        <x:v>Dedicated additional hydrogen thermal</x:v>
      </x:c>
      <x:c r="I149" s="118" t="str">
        <x:v>hydrogen_thermal_additional</x:v>
      </x:c>
      <x:c r="J149" s="118" t="str">
        <x:v>thermal_lowcarbon_gas_h2</x:v>
      </x:c>
      <x:c r="K149" s="118" t="str">
        <x:v>GW</x:v>
      </x:c>
      <x:c r="L149" s="143" t="n">
        <x:v>0</x:v>
      </x:c>
      <x:c r="M149" s="118" t="str">
        <x:v>NATIONAL_POLICY_NO_FIXED_ADDITION</x:v>
      </x:c>
      <x:c r="N149" s="118" t="str">
        <x:v>B/C</x:v>
      </x:c>
      <x:c r="O149" s="118" t="str">
        <x:v>MT_ENERGY_SHIFT2026</x:v>
      </x:c>
      <x:c r="P149" s="118" t="str">
        <x:v>ZERO_ADDITIONAL_CAPACITY</x:v>
      </x:c>
      <x:c r="Q149" s="143" t="n">
        <x:v>0</x:v>
      </x:c>
      <x:c r="R149" s="118" t="str">
        <x:v>NATIONAL_POLICY_NO_FIXED_ADDITION</x:v>
      </x:c>
      <x:c r="S149" s="118" t="str">
        <x:v>B/C</x:v>
      </x:c>
      <x:c r="T149" s="118" t="str">
        <x:v>MT_ENERGY_SHIFT2026</x:v>
      </x:c>
      <x:c r="U149" s="118" t="str">
        <x:v>ZERO_ADDITIONAL_CAPACITY</x:v>
      </x:c>
      <x:c r="V149" s="118" t="str">
        <x:v>YES</x:v>
      </x:c>
      <x:c r="W149" s="118" t="str">
        <x:v>IMPLEMENT_CARRIER_SPLIT</x:v>
      </x:c>
      <x:c r="X149" s="119" t="b">
        <x:v>1</x:v>
      </x:c>
      <x:c r="Y149" s="118" t="str">
        <x:v>The strategy develops hydrogen-ready infrastructure and possible green-hydrogen use but does not prescribe a separate additional hydrogen-generation MW block.</x:v>
      </x:c>
      <x:c r="Z149" s="118" t="str">
        <x:v>Hydrogen is treated as future fuel substitution within the retained thermal envelope unless a later national plan publishes additional capacity.</x:v>
      </x:c>
      <x:c r="AA149" s="118" t="str">
        <x:v>https://sustainability.gov.mt/wp-content/uploads/2026/04/Maltas-Energy-Shift-Document.pdf</x:v>
      </x:c>
      <x:c r="AB149" s="127" t="str">
        <x:v>ETX-6R_COUNTRY_CLOSURE</x:v>
      </x:c>
    </x:row>
    <x:row r="150">
      <x:c r="A150" s="126" t="str">
        <x:v>MT</x:v>
      </x:c>
      <x:c r="B150" s="118" t="str">
        <x:v>Malta</x:v>
      </x:c>
      <x:c r="C150" s="118" t="str">
        <x:v>MT_POLICY_BASE_WEM2025_SHIFT2026</x:v>
      </x:c>
      <x:c r="D150" s="118" t="str">
        <x:v>MT_SIMULATION_READY_NATIONAL_POLICY_DERIVED</x:v>
      </x:c>
      <x:c r="E150" s="118" t="str">
        <x:v>MEM_ETX6R_MT_National_Closure_v1.0</x:v>
      </x:c>
      <x:c r="F150" s="118" t="str">
        <x:v>01_MT_CAPACITY_STACK</x:v>
      </x:c>
      <x:c r="G150" s="118" t="n">
        <x:v>14</x:v>
      </x:c>
      <x:c r="H150" s="118" t="str">
        <x:v>Temporary 60 MW emergency facility</x:v>
      </x:c>
      <x:c r="I150" s="118" t="str">
        <x:v>temporary_emergency</x:v>
      </x:c>
      <x:c r="J150" s="118" t="str">
        <x:v>temporary_emergency</x:v>
      </x:c>
      <x:c r="K150" s="118" t="str">
        <x:v>GW</x:v>
      </x:c>
      <x:c r="L150" s="143" t="n">
        <x:v>0</x:v>
      </x:c>
      <x:c r="M150" s="118" t="str">
        <x:v>OFFICIAL_DECOMMISSION_AFTER_IC2</x:v>
      </x:c>
      <x:c r="N150" s="118" t="str">
        <x:v>A</x:v>
      </x:c>
      <x:c r="O150" s="118" t="str">
        <x:v>MT_NECP2025</x:v>
      </x:c>
      <x:c r="P150" s="118" t="str">
        <x:v>QA_ZERO</x:v>
      </x:c>
      <x:c r="Q150" s="143" t="n">
        <x:v>0</x:v>
      </x:c>
      <x:c r="R150" s="118" t="str">
        <x:v>OFFICIAL_DECOMMISSION_AFTER_IC2</x:v>
      </x:c>
      <x:c r="S150" s="118" t="str">
        <x:v>A</x:v>
      </x:c>
      <x:c r="T150" s="118" t="str">
        <x:v>MT_NECP2025</x:v>
      </x:c>
      <x:c r="U150" s="118" t="str">
        <x:v>QA_ZERO</x:v>
      </x:c>
      <x:c r="V150" s="118" t="str">
        <x:v>NO</x:v>
      </x:c>
      <x:c r="W150" s="118" t="str">
        <x:v>QA_CONTROL_ONLY</x:v>
      </x:c>
      <x:c r="X150" s="119" t="b">
        <x:v>0</x:v>
      </x:c>
      <x:c r="Y150" s="118" t="str">
        <x:v>The 60 MW temporary emergency facility exists only to bridge adequacy until IC2 and is scheduled for decommissioning after IC2 becomes operational.</x:v>
      </x:c>
      <x:c r="Z150" s="118" t="str">
        <x:v>Never add this on top of the long-run backup envelope.</x:v>
      </x:c>
      <x:c r="AA150" s="118" t="str">
        <x:v>https://energywateragency.gov.mt/wp-content/uploads/2025/01/MT-%E2%80%93-FINAL-UPDATED-NECP-2021-2030-English.pdf</x:v>
      </x:c>
      <x:c r="AB150" s="127" t="str">
        <x:v>ETX-6R_COUNTRY_CLOSURE</x:v>
      </x:c>
    </x:row>
    <x:row r="151">
      <x:c r="A151" s="126" t="str">
        <x:v>MT</x:v>
      </x:c>
      <x:c r="B151" s="118" t="str">
        <x:v>Malta</x:v>
      </x:c>
      <x:c r="C151" s="118" t="str">
        <x:v>MT_POLICY_BASE_WEM2025_SHIFT2026</x:v>
      </x:c>
      <x:c r="D151" s="118" t="str">
        <x:v>MT_SIMULATION_READY_NATIONAL_POLICY_DERIVED</x:v>
      </x:c>
      <x:c r="E151" s="118" t="str">
        <x:v>MEM_ETX6R_MT_National_Closure_v1.0</x:v>
      </x:c>
      <x:c r="F151" s="118" t="str">
        <x:v>01_MT_CAPACITY_STACK</x:v>
      </x:c>
      <x:c r="G151" s="118" t="n">
        <x:v>15</x:v>
      </x:c>
      <x:c r="H151" s="118" t="str">
        <x:v>Solar PV</x:v>
      </x:c>
      <x:c r="I151" s="118" t="str">
        <x:v>solar</x:v>
      </x:c>
      <x:c r="J151" s="118" t="str">
        <x:v>solar_pv</x:v>
      </x:c>
      <x:c r="K151" s="118" t="str">
        <x:v>GW</x:v>
      </x:c>
      <x:c r="L151" s="143" t="n">
        <x:v>0.35</x:v>
      </x:c>
      <x:c r="M151" s="118" t="str">
        <x:v>NATIONAL_POLICY_CARRY_FORWARD</x:v>
      </x:c>
      <x:c r="N151" s="118" t="str">
        <x:v>B/C</x:v>
      </x:c>
      <x:c r="O151" s="118" t="str">
        <x:v>MT_NECP2025</x:v>
      </x:c>
      <x:c r="P151" s="118" t="str">
        <x:v>CLOSED_NATIONAL_DERIVED</x:v>
      </x:c>
      <x:c r="Q151" s="143" t="n">
        <x:v>0.35</x:v>
      </x:c>
      <x:c r="R151" s="118" t="str">
        <x:v>NATIONAL_POLICY_CARRY_FORWARD</x:v>
      </x:c>
      <x:c r="S151" s="118" t="str">
        <x:v>C</x:v>
      </x:c>
      <x:c r="T151" s="118" t="str">
        <x:v>MT_ENERGY_SHIFT2026</x:v>
      </x:c>
      <x:c r="U151" s="118" t="str">
        <x:v>CLOSED_NATIONAL_DERIVED</x:v>
      </x:c>
      <x:c r="V151" s="118" t="str">
        <x:v>YES</x:v>
      </x:c>
      <x:c r="W151" s="118" t="str">
        <x:v>IMPLEMENT</x:v>
      </x:c>
      <x:c r="X151" s="119" t="b">
        <x:v>1</x:v>
      </x:c>
      <x:c r="Y151" s="118" t="str">
        <x:v>Final NECP reaches 350 MW by 2030; the LCDS describes roof-space limits and the 2026 strategy supports continued solar/repowering but provides no later exact MW endpoint.</x:v>
      </x:c>
      <x:c r="Z151" s="118" t="str">
        <x:v>Use 350 MW as the conservative fixed-capacity Base in both horizons; do not invent an unquantified repowering uplift.</x:v>
      </x:c>
      <x:c r="AA151" s="118" t="str">
        <x:v>https://energywateragency.gov.mt/wp-content/uploads/2025/01/MT-%E2%80%93-FINAL-UPDATED-NECP-2021-2030-English.pdf</x:v>
      </x:c>
      <x:c r="AB151" s="127" t="str">
        <x:v>ETX-6R_COUNTRY_CLOSURE</x:v>
      </x:c>
    </x:row>
    <x:row r="152">
      <x:c r="A152" s="126" t="str">
        <x:v>MT</x:v>
      </x:c>
      <x:c r="B152" s="118" t="str">
        <x:v>Malta</x:v>
      </x:c>
      <x:c r="C152" s="118" t="str">
        <x:v>MT_POLICY_BASE_WEM2025_SHIFT2026</x:v>
      </x:c>
      <x:c r="D152" s="118" t="str">
        <x:v>MT_SIMULATION_READY_NATIONAL_POLICY_DERIVED</x:v>
      </x:c>
      <x:c r="E152" s="118" t="str">
        <x:v>MEM_ETX6R_MT_National_Closure_v1.0</x:v>
      </x:c>
      <x:c r="F152" s="118" t="str">
        <x:v>01_MT_CAPACITY_STACK</x:v>
      </x:c>
      <x:c r="G152" s="118" t="n">
        <x:v>16</x:v>
      </x:c>
      <x:c r="H152" s="118" t="str">
        <x:v>Onshore wind</x:v>
      </x:c>
      <x:c r="I152" s="118" t="str">
        <x:v>onwind</x:v>
      </x:c>
      <x:c r="J152" s="118" t="str">
        <x:v>wind_onshore</x:v>
      </x:c>
      <x:c r="K152" s="118" t="str">
        <x:v>GW</x:v>
      </x:c>
      <x:c r="L152" s="143" t="n">
        <x:v>0</x:v>
      </x:c>
      <x:c r="M152" s="118" t="str">
        <x:v>GEOGRAPHIC_POLICY_ZERO</x:v>
      </x:c>
      <x:c r="N152" s="118" t="str">
        <x:v>A/B</x:v>
      </x:c>
      <x:c r="O152" s="118" t="str">
        <x:v>MT_ENERGY_SHIFT2026</x:v>
      </x:c>
      <x:c r="P152" s="118" t="str">
        <x:v>ZERO_SELECTED_SCENARIO</x:v>
      </x:c>
      <x:c r="Q152" s="143" t="n">
        <x:v>0</x:v>
      </x:c>
      <x:c r="R152" s="118" t="str">
        <x:v>GEOGRAPHIC_POLICY_ZERO</x:v>
      </x:c>
      <x:c r="S152" s="118" t="str">
        <x:v>A/B</x:v>
      </x:c>
      <x:c r="T152" s="118" t="str">
        <x:v>MT_ENERGY_SHIFT2026</x:v>
      </x:c>
      <x:c r="U152" s="118" t="str">
        <x:v>ZERO_SELECTED_SCENARIO</x:v>
      </x:c>
      <x:c r="V152" s="118" t="str">
        <x:v>YES</x:v>
      </x:c>
      <x:c r="W152" s="118" t="str">
        <x:v>IMPLEMENT</x:v>
      </x:c>
      <x:c r="X152" s="119" t="b">
        <x:v>1</x:v>
      </x:c>
      <x:c r="Y152" s="118" t="str">
        <x:v>The 2026 strategy explicitly notes Malta cannot accommodate land-intensive onshore wind; offshore floating wind is the relevant wind pathway.</x:v>
      </x:c>
      <x:c r="Z152" s="118" t="str">
        <x:v>Explicit Base zero.</x:v>
      </x:c>
      <x:c r="AA152" s="118" t="str">
        <x:v>https://sustainability.gov.mt/wp-content/uploads/2026/04/Maltas-Energy-Shift-Document.pdf</x:v>
      </x:c>
      <x:c r="AB152" s="127" t="str">
        <x:v>ETX-6R_COUNTRY_CLOSURE</x:v>
      </x:c>
    </x:row>
    <x:row r="153">
      <x:c r="A153" s="126" t="str">
        <x:v>MT</x:v>
      </x:c>
      <x:c r="B153" s="118" t="str">
        <x:v>Malta</x:v>
      </x:c>
      <x:c r="C153" s="118" t="str">
        <x:v>MT_POLICY_BASE_WEM2025_SHIFT2026</x:v>
      </x:c>
      <x:c r="D153" s="118" t="str">
        <x:v>MT_SIMULATION_READY_NATIONAL_POLICY_DERIVED</x:v>
      </x:c>
      <x:c r="E153" s="118" t="str">
        <x:v>MEM_ETX6R_MT_National_Closure_v1.0</x:v>
      </x:c>
      <x:c r="F153" s="118" t="str">
        <x:v>01_MT_CAPACITY_STACK</x:v>
      </x:c>
      <x:c r="G153" s="118" t="n">
        <x:v>17</x:v>
      </x:c>
      <x:c r="H153" s="118" t="str">
        <x:v>Offshore wind</x:v>
      </x:c>
      <x:c r="I153" s="118" t="str">
        <x:v>offwind</x:v>
      </x:c>
      <x:c r="J153" s="118" t="str">
        <x:v>wind_offshore</x:v>
      </x:c>
      <x:c r="K153" s="118" t="str">
        <x:v>GW</x:v>
      </x:c>
      <x:c r="L153" s="143" t="n">
        <x:v>0.3</x:v>
      </x:c>
      <x:c r="M153" s="118" t="str">
        <x:v>OFFICIAL_PROJECT_BENCHMARK</x:v>
      </x:c>
      <x:c r="N153" s="118" t="str">
        <x:v>B</x:v>
      </x:c>
      <x:c r="O153" s="118" t="str">
        <x:v>MT_OFFSHORE_PROJECT2025</x:v>
      </x:c>
      <x:c r="P153" s="118" t="str">
        <x:v>CLOSED_NATIONAL_DERIVED</x:v>
      </x:c>
      <x:c r="Q153" s="143" t="n">
        <x:v>0.35</x:v>
      </x:c>
      <x:c r="R153" s="118" t="str">
        <x:v>OFFICIAL_POLICY_GOAL_MAPPING</x:v>
      </x:c>
      <x:c r="S153" s="118" t="str">
        <x:v>B</x:v>
      </x:c>
      <x:c r="T153" s="118" t="str">
        <x:v>MT_ENERGY_SHIFT2026</x:v>
      </x:c>
      <x:c r="U153" s="118" t="str">
        <x:v>CLOSED_NATIONAL_DERIVED</x:v>
      </x:c>
      <x:c r="V153" s="118" t="str">
        <x:v>YES</x:v>
      </x:c>
      <x:c r="W153" s="118" t="str">
        <x:v>IMPLEMENT</x:v>
      </x:c>
      <x:c r="X153" s="119" t="b">
        <x:v>1</x:v>
      </x:c>
      <x:c r="Y153" s="118" t="str">
        <x:v>The current first floating offshore wind concession is expected at around 300 MW. Malta’s national long-term strategy sets a non-binding 350 MW offshore-renewables goal by 2050 and identifies floating wind as the most feasible near-/medium-term technology.</x:v>
      </x:c>
      <x:c r="Z153" s="118" t="str">
        <x:v>2040 uses the current project benchmark; 2050 maps the technology-neutral offshore goal to offshore wind. Any future offshore-solar share must be reallocated within the 350 MW goal, not added on top.</x:v>
      </x:c>
      <x:c r="AA153" s="118" t="str">
        <x:v>https://www.gov.mt/en/Government/DOI/Press%20Releases/Pages/2025/07/22/PR251320en.aspx</x:v>
      </x:c>
      <x:c r="AB153" s="127" t="str">
        <x:v>ETX-6R_COUNTRY_CLOSURE</x:v>
      </x:c>
    </x:row>
    <x:row r="154">
      <x:c r="A154" s="126" t="str">
        <x:v>MT</x:v>
      </x:c>
      <x:c r="B154" s="118" t="str">
        <x:v>Malta</x:v>
      </x:c>
      <x:c r="C154" s="118" t="str">
        <x:v>MT_POLICY_BASE_WEM2025_SHIFT2026</x:v>
      </x:c>
      <x:c r="D154" s="118" t="str">
        <x:v>MT_SIMULATION_READY_NATIONAL_POLICY_DERIVED</x:v>
      </x:c>
      <x:c r="E154" s="118" t="str">
        <x:v>MEM_ETX6R_MT_National_Closure_v1.0</x:v>
      </x:c>
      <x:c r="F154" s="118" t="str">
        <x:v>01_MT_CAPACITY_STACK</x:v>
      </x:c>
      <x:c r="G154" s="118" t="n">
        <x:v>18</x:v>
      </x:c>
      <x:c r="H154" s="118" t="str">
        <x:v>Geothermal electricity</x:v>
      </x:c>
      <x:c r="I154" s="118" t="str">
        <x:v>geothermal</x:v>
      </x:c>
      <x:c r="J154" s="118" t="str">
        <x:v>geothermal</x:v>
      </x:c>
      <x:c r="K154" s="118" t="str">
        <x:v>GW</x:v>
      </x:c>
      <x:c r="L154" s="143" t="n">
        <x:v>0</x:v>
      </x:c>
      <x:c r="M154" s="118" t="str">
        <x:v>GEOGRAPHIC_TECHNOLOGY_ZERO</x:v>
      </x:c>
      <x:c r="N154" s="118" t="str">
        <x:v>A/B</x:v>
      </x:c>
      <x:c r="O154" s="118" t="str">
        <x:v>MT_ENERGY_SHIFT2026</x:v>
      </x:c>
      <x:c r="P154" s="118" t="str">
        <x:v>ZERO_SELECTED_SCENARIO</x:v>
      </x:c>
      <x:c r="Q154" s="143" t="n">
        <x:v>0</x:v>
      </x:c>
      <x:c r="R154" s="118" t="str">
        <x:v>GEOGRAPHIC_TECHNOLOGY_ZERO</x:v>
      </x:c>
      <x:c r="S154" s="118" t="str">
        <x:v>A/B</x:v>
      </x:c>
      <x:c r="T154" s="118" t="str">
        <x:v>MT_ENERGY_SHIFT2026</x:v>
      </x:c>
      <x:c r="U154" s="118" t="str">
        <x:v>ZERO_SELECTED_SCENARIO</x:v>
      </x:c>
      <x:c r="V154" s="118" t="str">
        <x:v>YES</x:v>
      </x:c>
      <x:c r="W154" s="118" t="str">
        <x:v>IMPLEMENT</x:v>
      </x:c>
      <x:c r="X154" s="119" t="b">
        <x:v>1</x:v>
      </x:c>
      <x:c r="Y154" s="118" t="str">
        <x:v>No geothermal-electric generation pathway is identified for Malta.</x:v>
      </x:c>
      <x:c r="Z154" s="118" t="str">
        <x:v>Explicit Base zero.</x:v>
      </x:c>
      <x:c r="AA154" s="118" t="str">
        <x:v>https://sustainability.gov.mt/wp-content/uploads/2026/04/Maltas-Energy-Shift-Document.pdf</x:v>
      </x:c>
      <x:c r="AB154" s="127" t="str">
        <x:v>ETX-6R_COUNTRY_CLOSURE</x:v>
      </x:c>
    </x:row>
    <x:row r="155">
      <x:c r="A155" s="126" t="str">
        <x:v>MT</x:v>
      </x:c>
      <x:c r="B155" s="118" t="str">
        <x:v>Malta</x:v>
      </x:c>
      <x:c r="C155" s="118" t="str">
        <x:v>MT_POLICY_BASE_WEM2025_SHIFT2026</x:v>
      </x:c>
      <x:c r="D155" s="118" t="str">
        <x:v>MT_SIMULATION_READY_NATIONAL_POLICY_DERIVED</x:v>
      </x:c>
      <x:c r="E155" s="118" t="str">
        <x:v>MEM_ETX6R_MT_National_Closure_v1.0</x:v>
      </x:c>
      <x:c r="F155" s="118" t="str">
        <x:v>01_MT_CAPACITY_STACK</x:v>
      </x:c>
      <x:c r="G155" s="118" t="n">
        <x:v>19</x:v>
      </x:c>
      <x:c r="H155" s="118" t="str">
        <x:v>Non-PHS hydro</x:v>
      </x:c>
      <x:c r="I155" s="118" t="str">
        <x:v>hydro_non_phs</x:v>
      </x:c>
      <x:c r="J155" s="118" t="str">
        <x:v>hydro_non_phs</x:v>
      </x:c>
      <x:c r="K155" s="118" t="str">
        <x:v>GW</x:v>
      </x:c>
      <x:c r="L155" s="143" t="n">
        <x:v>0</x:v>
      </x:c>
      <x:c r="M155" s="118" t="str">
        <x:v>GEOGRAPHIC_TECHNOLOGY_ZERO</x:v>
      </x:c>
      <x:c r="N155" s="118" t="str">
        <x:v>A</x:v>
      </x:c>
      <x:c r="O155" s="118" t="str">
        <x:v>MT_ENERGY_SHIFT2026</x:v>
      </x:c>
      <x:c r="P155" s="118" t="str">
        <x:v>ZERO_SELECTED_SCENARIO</x:v>
      </x:c>
      <x:c r="Q155" s="143" t="n">
        <x:v>0</x:v>
      </x:c>
      <x:c r="R155" s="118" t="str">
        <x:v>GEOGRAPHIC_TECHNOLOGY_ZERO</x:v>
      </x:c>
      <x:c r="S155" s="118" t="str">
        <x:v>A</x:v>
      </x:c>
      <x:c r="T155" s="118" t="str">
        <x:v>MT_ENERGY_SHIFT2026</x:v>
      </x:c>
      <x:c r="U155" s="118" t="str">
        <x:v>ZERO_SELECTED_SCENARIO</x:v>
      </x:c>
      <x:c r="V155" s="118" t="str">
        <x:v>YES</x:v>
      </x:c>
      <x:c r="W155" s="118" t="str">
        <x:v>IMPLEMENT</x:v>
      </x:c>
      <x:c r="X155" s="119" t="b">
        <x:v>1</x:v>
      </x:c>
      <x:c r="Y155" s="118" t="str">
        <x:v>Malta’s geography does not support conventional hydropower; the 2026 strategy explicitly lists hydropower among land-intensive technologies Malta cannot accommodate.</x:v>
      </x:c>
      <x:c r="Z155" s="118" t="str">
        <x:v>Explicit Base zero.</x:v>
      </x:c>
      <x:c r="AA155" s="118" t="str">
        <x:v>https://sustainability.gov.mt/wp-content/uploads/2026/04/Maltas-Energy-Shift-Document.pdf</x:v>
      </x:c>
      <x:c r="AB155" s="127" t="str">
        <x:v>ETX-6R_COUNTRY_CLOSURE</x:v>
      </x:c>
    </x:row>
    <x:row r="156">
      <x:c r="A156" s="126" t="str">
        <x:v>MT</x:v>
      </x:c>
      <x:c r="B156" s="118" t="str">
        <x:v>Malta</x:v>
      </x:c>
      <x:c r="C156" s="118" t="str">
        <x:v>MT_POLICY_BASE_WEM2025_SHIFT2026</x:v>
      </x:c>
      <x:c r="D156" s="118" t="str">
        <x:v>MT_SIMULATION_READY_NATIONAL_POLICY_DERIVED</x:v>
      </x:c>
      <x:c r="E156" s="118" t="str">
        <x:v>MEM_ETX6R_MT_National_Closure_v1.0</x:v>
      </x:c>
      <x:c r="F156" s="118" t="str">
        <x:v>01_MT_CAPACITY_STACK</x:v>
      </x:c>
      <x:c r="G156" s="118" t="n">
        <x:v>20</x:v>
      </x:c>
      <x:c r="H156" s="118" t="str">
        <x:v>PHS turbine / discharge</x:v>
      </x:c>
      <x:c r="I156" s="118" t="str">
        <x:v>phs_discharge</x:v>
      </x:c>
      <x:c r="J156" s="118" t="str">
        <x:v>phs_discharge_power</x:v>
      </x:c>
      <x:c r="K156" s="118" t="str">
        <x:v>GW</x:v>
      </x:c>
      <x:c r="L156" s="143" t="n">
        <x:v>0</x:v>
      </x:c>
      <x:c r="M156" s="118" t="str">
        <x:v>GEOGRAPHIC_TECHNOLOGY_ZERO</x:v>
      </x:c>
      <x:c r="N156" s="118" t="str">
        <x:v>A</x:v>
      </x:c>
      <x:c r="O156" s="118" t="str">
        <x:v>MT_ENERGY_SHIFT2026</x:v>
      </x:c>
      <x:c r="P156" s="118" t="str">
        <x:v>ZERO_SELECTED_SCENARIO</x:v>
      </x:c>
      <x:c r="Q156" s="143" t="n">
        <x:v>0</x:v>
      </x:c>
      <x:c r="R156" s="118" t="str">
        <x:v>GEOGRAPHIC_TECHNOLOGY_ZERO</x:v>
      </x:c>
      <x:c r="S156" s="118" t="str">
        <x:v>A</x:v>
      </x:c>
      <x:c r="T156" s="118" t="str">
        <x:v>MT_ENERGY_SHIFT2026</x:v>
      </x:c>
      <x:c r="U156" s="118" t="str">
        <x:v>ZERO_SELECTED_SCENARIO</x:v>
      </x:c>
      <x:c r="V156" s="118" t="str">
        <x:v>YES</x:v>
      </x:c>
      <x:c r="W156" s="118" t="str">
        <x:v>IMPLEMENT_STORAGE_PAIR</x:v>
      </x:c>
      <x:c r="X156" s="119" t="b">
        <x:v>1</x:v>
      </x:c>
      <x:c r="Y156" s="118" t="str">
        <x:v>No pumped-storage hydro pathway or project is present in the national strategy.</x:v>
      </x:c>
      <x:c r="Z156" s="118" t="str">
        <x:v>Pair with zero pump power and zero energy.</x:v>
      </x:c>
      <x:c r="AA156" s="118" t="str">
        <x:v>https://sustainability.gov.mt/wp-content/uploads/2026/04/Maltas-Energy-Shift-Document.pdf</x:v>
      </x:c>
      <x:c r="AB156" s="127" t="str">
        <x:v>ETX-6R_COUNTRY_CLOSURE</x:v>
      </x:c>
    </x:row>
    <x:row r="157">
      <x:c r="A157" s="126" t="str">
        <x:v>MT</x:v>
      </x:c>
      <x:c r="B157" s="118" t="str">
        <x:v>Malta</x:v>
      </x:c>
      <x:c r="C157" s="118" t="str">
        <x:v>MT_POLICY_BASE_WEM2025_SHIFT2026</x:v>
      </x:c>
      <x:c r="D157" s="118" t="str">
        <x:v>MT_SIMULATION_READY_NATIONAL_POLICY_DERIVED</x:v>
      </x:c>
      <x:c r="E157" s="118" t="str">
        <x:v>MEM_ETX6R_MT_National_Closure_v1.0</x:v>
      </x:c>
      <x:c r="F157" s="118" t="str">
        <x:v>01_MT_CAPACITY_STACK</x:v>
      </x:c>
      <x:c r="G157" s="118" t="n">
        <x:v>21</x:v>
      </x:c>
      <x:c r="H157" s="118" t="str">
        <x:v>PHS pump / charge</x:v>
      </x:c>
      <x:c r="I157" s="118" t="str">
        <x:v>phs_charge</x:v>
      </x:c>
      <x:c r="J157" s="118" t="str">
        <x:v>phs_charge_power</x:v>
      </x:c>
      <x:c r="K157" s="118" t="str">
        <x:v>GW</x:v>
      </x:c>
      <x:c r="L157" s="143" t="n">
        <x:v>0</x:v>
      </x:c>
      <x:c r="M157" s="118" t="str">
        <x:v>GEOGRAPHIC_TECHNOLOGY_ZERO</x:v>
      </x:c>
      <x:c r="N157" s="118" t="str">
        <x:v>A</x:v>
      </x:c>
      <x:c r="O157" s="118" t="str">
        <x:v>MT_ENERGY_SHIFT2026</x:v>
      </x:c>
      <x:c r="P157" s="118" t="str">
        <x:v>ZERO_SELECTED_SCENARIO</x:v>
      </x:c>
      <x:c r="Q157" s="143" t="n">
        <x:v>0</x:v>
      </x:c>
      <x:c r="R157" s="118" t="str">
        <x:v>GEOGRAPHIC_TECHNOLOGY_ZERO</x:v>
      </x:c>
      <x:c r="S157" s="118" t="str">
        <x:v>A</x:v>
      </x:c>
      <x:c r="T157" s="118" t="str">
        <x:v>MT_ENERGY_SHIFT2026</x:v>
      </x:c>
      <x:c r="U157" s="118" t="str">
        <x:v>ZERO_SELECTED_SCENARIO</x:v>
      </x:c>
      <x:c r="V157" s="118" t="str">
        <x:v>YES</x:v>
      </x:c>
      <x:c r="W157" s="118" t="str">
        <x:v>IMPLEMENT_STORAGE_PAIR</x:v>
      </x:c>
      <x:c r="X157" s="119" t="b">
        <x:v>1</x:v>
      </x:c>
      <x:c r="Y157" s="118" t="str">
        <x:v>No pumped-storage hydro pathway or project is present in the national strategy.</x:v>
      </x:c>
      <x:c r="Z157" s="118" t="str">
        <x:v>Pair with zero turbine and energy.</x:v>
      </x:c>
      <x:c r="AA157" s="118" t="str">
        <x:v>https://sustainability.gov.mt/wp-content/uploads/2026/04/Maltas-Energy-Shift-Document.pdf</x:v>
      </x:c>
      <x:c r="AB157" s="127" t="str">
        <x:v>ETX-6R_COUNTRY_CLOSURE</x:v>
      </x:c>
    </x:row>
    <x:row r="158">
      <x:c r="A158" s="126" t="str">
        <x:v>MT</x:v>
      </x:c>
      <x:c r="B158" s="118" t="str">
        <x:v>Malta</x:v>
      </x:c>
      <x:c r="C158" s="118" t="str">
        <x:v>MT_POLICY_BASE_WEM2025_SHIFT2026</x:v>
      </x:c>
      <x:c r="D158" s="118" t="str">
        <x:v>MT_SIMULATION_READY_NATIONAL_POLICY_DERIVED</x:v>
      </x:c>
      <x:c r="E158" s="118" t="str">
        <x:v>MEM_ETX6R_MT_National_Closure_v1.0</x:v>
      </x:c>
      <x:c r="F158" s="118" t="str">
        <x:v>01_MT_CAPACITY_STACK</x:v>
      </x:c>
      <x:c r="G158" s="118" t="n">
        <x:v>22</x:v>
      </x:c>
      <x:c r="H158" s="118" t="str">
        <x:v>PHS energy</x:v>
      </x:c>
      <x:c r="I158" s="118" t="str">
        <x:v>phs_energy</x:v>
      </x:c>
      <x:c r="J158" s="118" t="str">
        <x:v>phs_energy</x:v>
      </x:c>
      <x:c r="K158" s="118" t="str">
        <x:v>GWh</x:v>
      </x:c>
      <x:c r="L158" s="143" t="n">
        <x:v>0</x:v>
      </x:c>
      <x:c r="M158" s="118" t="str">
        <x:v>GEOGRAPHIC_TECHNOLOGY_ZERO</x:v>
      </x:c>
      <x:c r="N158" s="118" t="str">
        <x:v>A</x:v>
      </x:c>
      <x:c r="O158" s="118" t="str">
        <x:v>MT_ENERGY_SHIFT2026</x:v>
      </x:c>
      <x:c r="P158" s="118" t="str">
        <x:v>ZERO_SELECTED_SCENARIO</x:v>
      </x:c>
      <x:c r="Q158" s="143" t="n">
        <x:v>0</x:v>
      </x:c>
      <x:c r="R158" s="118" t="str">
        <x:v>GEOGRAPHIC_TECHNOLOGY_ZERO</x:v>
      </x:c>
      <x:c r="S158" s="118" t="str">
        <x:v>A</x:v>
      </x:c>
      <x:c r="T158" s="118" t="str">
        <x:v>MT_ENERGY_SHIFT2026</x:v>
      </x:c>
      <x:c r="U158" s="118" t="str">
        <x:v>ZERO_SELECTED_SCENARIO</x:v>
      </x:c>
      <x:c r="V158" s="118" t="str">
        <x:v>YES</x:v>
      </x:c>
      <x:c r="W158" s="118" t="str">
        <x:v>IMPLEMENT_STORAGE_PAIR</x:v>
      </x:c>
      <x:c r="X158" s="119" t="b">
        <x:v>1</x:v>
      </x:c>
      <x:c r="Y158" s="118" t="str">
        <x:v>No pumped-storage hydro asset is implemented.</x:v>
      </x:c>
      <x:c r="Z158" s="118" t="str">
        <x:v>Explicit Base zero.</x:v>
      </x:c>
      <x:c r="AA158" s="118" t="str">
        <x:v>https://sustainability.gov.mt/wp-content/uploads/2026/04/Maltas-Energy-Shift-Document.pdf</x:v>
      </x:c>
      <x:c r="AB158" s="127" t="str">
        <x:v>ETX-6R_COUNTRY_CLOSURE</x:v>
      </x:c>
    </x:row>
    <x:row r="159">
      <x:c r="A159" s="126" t="str">
        <x:v>MT</x:v>
      </x:c>
      <x:c r="B159" s="118" t="str">
        <x:v>Malta</x:v>
      </x:c>
      <x:c r="C159" s="118" t="str">
        <x:v>MT_POLICY_BASE_WEM2025_SHIFT2026</x:v>
      </x:c>
      <x:c r="D159" s="118" t="str">
        <x:v>MT_SIMULATION_READY_NATIONAL_POLICY_DERIVED</x:v>
      </x:c>
      <x:c r="E159" s="118" t="str">
        <x:v>MEM_ETX6R_MT_National_Closure_v1.0</x:v>
      </x:c>
      <x:c r="F159" s="118" t="str">
        <x:v>01_MT_CAPACITY_STACK</x:v>
      </x:c>
      <x:c r="G159" s="118" t="n">
        <x:v>23</x:v>
      </x:c>
      <x:c r="H159" s="118" t="str">
        <x:v>Waste-to-energy</x:v>
      </x:c>
      <x:c r="I159" s="118" t="str">
        <x:v>waste_to_energy</x:v>
      </x:c>
      <x:c r="J159" s="118" t="str">
        <x:v>waste_chp</x:v>
      </x:c>
      <x:c r="K159" s="118" t="str">
        <x:v>GW</x:v>
      </x:c>
      <x:c r="L159" s="143" t="n">
        <x:v>0.02</x:v>
      </x:c>
      <x:c r="M159" s="118" t="str">
        <x:v>OFFICIAL_PROJECT_INPUT</x:v>
      </x:c>
      <x:c r="N159" s="118" t="str">
        <x:v>A</x:v>
      </x:c>
      <x:c r="O159" s="118" t="str">
        <x:v>MT_ENERGY_SHIFT2026</x:v>
      </x:c>
      <x:c r="P159" s="118" t="str">
        <x:v>CLOSED_NATIONAL_DIRECT</x:v>
      </x:c>
      <x:c r="Q159" s="143" t="n">
        <x:v>0.02</x:v>
      </x:c>
      <x:c r="R159" s="118" t="str">
        <x:v>REPLACEMENT_EQUIVALENT_CARRY_FORWARD</x:v>
      </x:c>
      <x:c r="S159" s="118" t="str">
        <x:v>C</x:v>
      </x:c>
      <x:c r="T159" s="118" t="str">
        <x:v>MT_ENERGY_SHIFT2026</x:v>
      </x:c>
      <x:c r="U159" s="118" t="str">
        <x:v>CLOSED_NATIONAL_DERIVED</x:v>
      </x:c>
      <x:c r="V159" s="118" t="str">
        <x:v>YES</x:v>
      </x:c>
      <x:c r="W159" s="118" t="str">
        <x:v>IMPLEMENT</x:v>
      </x:c>
      <x:c r="X159" s="119" t="b">
        <x:v>1</x:v>
      </x:c>
      <x:c r="Y159" s="118" t="str">
        <x:v>ECOHIVE WtE is planned at 20 MW and ~126 GWh/y with an expected 20-year life.</x:v>
      </x:c>
      <x:c r="Z159" s="118" t="str">
        <x:v>2040 uses the direct project capacity. 2050 assumes replacement-equivalent continuation of 20 MW rather than literal survival of the same plant; test retirement/replacement as a sensitivity.</x:v>
      </x:c>
      <x:c r="AA159" s="118" t="str">
        <x:v>https://sustainability.gov.mt/wp-content/uploads/2026/04/Maltas-Energy-Shift-Document.pdf</x:v>
      </x:c>
      <x:c r="AB159" s="127" t="str">
        <x:v>ETX-6R_COUNTRY_CLOSURE</x:v>
      </x:c>
    </x:row>
    <x:row r="160">
      <x:c r="A160" s="126" t="str">
        <x:v>MT</x:v>
      </x:c>
      <x:c r="B160" s="118" t="str">
        <x:v>Malta</x:v>
      </x:c>
      <x:c r="C160" s="118" t="str">
        <x:v>MT_POLICY_BASE_WEM2025_SHIFT2026</x:v>
      </x:c>
      <x:c r="D160" s="118" t="str">
        <x:v>MT_SIMULATION_READY_NATIONAL_POLICY_DERIVED</x:v>
      </x:c>
      <x:c r="E160" s="118" t="str">
        <x:v>MEM_ETX6R_MT_National_Closure_v1.0</x:v>
      </x:c>
      <x:c r="F160" s="118" t="str">
        <x:v>01_MT_CAPACITY_STACK</x:v>
      </x:c>
      <x:c r="G160" s="118" t="n">
        <x:v>24</x:v>
      </x:c>
      <x:c r="H160" s="118" t="str">
        <x:v>Grid BESS power</x:v>
      </x:c>
      <x:c r="I160" s="118" t="str">
        <x:v>battery_grid_power</x:v>
      </x:c>
      <x:c r="J160" s="118" t="str">
        <x:v>bess_grid_power</x:v>
      </x:c>
      <x:c r="K160" s="118" t="str">
        <x:v>GW</x:v>
      </x:c>
      <x:c r="L160" s="143" t="n">
        <x:v>0.04</x:v>
      </x:c>
      <x:c r="M160" s="118" t="str">
        <x:v>OFFICIAL_PROJECT_INPUT</x:v>
      </x:c>
      <x:c r="N160" s="118" t="str">
        <x:v>A</x:v>
      </x:c>
      <x:c r="O160" s="118" t="str">
        <x:v>MT_ENERGY_SHIFT2026</x:v>
      </x:c>
      <x:c r="P160" s="118" t="str">
        <x:v>CLOSED_NATIONAL_DIRECT</x:v>
      </x:c>
      <x:c r="Q160" s="143" t="n">
        <x:v>0.04</x:v>
      </x:c>
      <x:c r="R160" s="118" t="str">
        <x:v>NATIONAL_PROJECT_CARRY_FORWARD</x:v>
      </x:c>
      <x:c r="S160" s="118" t="str">
        <x:v>B/C</x:v>
      </x:c>
      <x:c r="T160" s="118" t="str">
        <x:v>MT_ENERGY_SHIFT2026</x:v>
      </x:c>
      <x:c r="U160" s="118" t="str">
        <x:v>CLOSED_NATIONAL_DERIVED</x:v>
      </x:c>
      <x:c r="V160" s="118" t="str">
        <x:v>YES</x:v>
      </x:c>
      <x:c r="W160" s="118" t="str">
        <x:v>IMPLEMENT_STORAGE_PAIR</x:v>
      </x:c>
      <x:c r="X160" s="119" t="b">
        <x:v>1</x:v>
      </x:c>
      <x:c r="Y160" s="118" t="str">
        <x:v>Two flagship utility BESS: Marsa 8 MW and Delimara 32 MW = 40 MW.</x:v>
      </x:c>
      <x:c r="Z160" s="118" t="str">
        <x:v>The strategy plans more BESS but publishes no fixed later total. Base uses the firm 40 MW stock only; later expansion is a sensitivity.</x:v>
      </x:c>
      <x:c r="AA160" s="118" t="str">
        <x:v>https://sustainability.gov.mt/wp-content/uploads/2026/04/Maltas-Energy-Shift-Document.pdf</x:v>
      </x:c>
      <x:c r="AB160" s="127" t="str">
        <x:v>ETX-6R_COUNTRY_CLOSURE</x:v>
      </x:c>
    </x:row>
    <x:row r="161">
      <x:c r="A161" s="126" t="str">
        <x:v>MT</x:v>
      </x:c>
      <x:c r="B161" s="118" t="str">
        <x:v>Malta</x:v>
      </x:c>
      <x:c r="C161" s="118" t="str">
        <x:v>MT_POLICY_BASE_WEM2025_SHIFT2026</x:v>
      </x:c>
      <x:c r="D161" s="118" t="str">
        <x:v>MT_SIMULATION_READY_NATIONAL_POLICY_DERIVED</x:v>
      </x:c>
      <x:c r="E161" s="118" t="str">
        <x:v>MEM_ETX6R_MT_National_Closure_v1.0</x:v>
      </x:c>
      <x:c r="F161" s="118" t="str">
        <x:v>01_MT_CAPACITY_STACK</x:v>
      </x:c>
      <x:c r="G161" s="118" t="n">
        <x:v>25</x:v>
      </x:c>
      <x:c r="H161" s="118" t="str">
        <x:v>Grid BESS energy</x:v>
      </x:c>
      <x:c r="I161" s="118" t="str">
        <x:v>battery_grid_energy</x:v>
      </x:c>
      <x:c r="J161" s="118" t="str">
        <x:v>bess_grid_energy</x:v>
      </x:c>
      <x:c r="K161" s="118" t="str">
        <x:v>GWh</x:v>
      </x:c>
      <x:c r="L161" s="143" t="n">
        <x:v>0.084</x:v>
      </x:c>
      <x:c r="M161" s="118" t="str">
        <x:v>OFFICIAL_PROJECT_INPUT</x:v>
      </x:c>
      <x:c r="N161" s="118" t="str">
        <x:v>A</x:v>
      </x:c>
      <x:c r="O161" s="118" t="str">
        <x:v>MT_ENERGY_SHIFT2026</x:v>
      </x:c>
      <x:c r="P161" s="118" t="str">
        <x:v>CLOSED_NATIONAL_DIRECT</x:v>
      </x:c>
      <x:c r="Q161" s="143" t="n">
        <x:v>0.084</x:v>
      </x:c>
      <x:c r="R161" s="118" t="str">
        <x:v>NATIONAL_PROJECT_CARRY_FORWARD</x:v>
      </x:c>
      <x:c r="S161" s="118" t="str">
        <x:v>B/C</x:v>
      </x:c>
      <x:c r="T161" s="118" t="str">
        <x:v>MT_ENERGY_SHIFT2026</x:v>
      </x:c>
      <x:c r="U161" s="118" t="str">
        <x:v>CLOSED_NATIONAL_DERIVED</x:v>
      </x:c>
      <x:c r="V161" s="118" t="str">
        <x:v>YES</x:v>
      </x:c>
      <x:c r="W161" s="118" t="str">
        <x:v>IMPLEMENT_STORAGE_PAIR</x:v>
      </x:c>
      <x:c r="X161" s="119" t="b">
        <x:v>1</x:v>
      </x:c>
      <x:c r="Y161" s="118" t="str">
        <x:v>Marsa 20 MWh + Delimara 64 MWh = 84 MWh.</x:v>
      </x:c>
      <x:c r="Z161" s="118" t="str">
        <x:v>Implied fleet duration = 2.1 h. Keep power and energy paired; later unquantified BESS is excluded from the Base.</x:v>
      </x:c>
      <x:c r="AA161" s="118" t="str">
        <x:v>https://sustainability.gov.mt/wp-content/uploads/2026/04/Maltas-Energy-Shift-Document.pdf</x:v>
      </x:c>
      <x:c r="AB161" s="127" t="str">
        <x:v>ETX-6R_COUNTRY_CLOSURE</x:v>
      </x:c>
    </x:row>
    <x:row r="162">
      <x:c r="A162" s="126" t="str">
        <x:v>MT</x:v>
      </x:c>
      <x:c r="B162" s="118" t="str">
        <x:v>Malta</x:v>
      </x:c>
      <x:c r="C162" s="118" t="str">
        <x:v>MT_POLICY_BASE_WEM2025_SHIFT2026</x:v>
      </x:c>
      <x:c r="D162" s="118" t="str">
        <x:v>MT_SIMULATION_READY_NATIONAL_POLICY_DERIVED</x:v>
      </x:c>
      <x:c r="E162" s="118" t="str">
        <x:v>MEM_ETX6R_MT_National_Closure_v1.0</x:v>
      </x:c>
      <x:c r="F162" s="118" t="str">
        <x:v>01_MT_CAPACITY_STACK</x:v>
      </x:c>
      <x:c r="G162" s="118" t="n">
        <x:v>26</x:v>
      </x:c>
      <x:c r="H162" s="118" t="str">
        <x:v>Domestic BESS installed-energy QA</x:v>
      </x:c>
      <x:c r="I162" s="118" t="str">
        <x:v>battery_distributed_energy</x:v>
      </x:c>
      <x:c r="J162" s="118" t="str">
        <x:v>battery_distributed_energy</x:v>
      </x:c>
      <x:c r="K162" s="118" t="str">
        <x:v>GWh</x:v>
      </x:c>
      <x:c r="L162" s="143" t="n">
        <x:v>0.034</x:v>
      </x:c>
      <x:c r="M162" s="118" t="str">
        <x:v>OFFICIAL_EXISTING_ENERGY_ONLY</x:v>
      </x:c>
      <x:c r="N162" s="118" t="str">
        <x:v>B</x:v>
      </x:c>
      <x:c r="O162" s="118" t="str">
        <x:v>MT_ENERGY_SHIFT2026</x:v>
      </x:c>
      <x:c r="P162" s="118" t="str">
        <x:v>QA_CONTROL</x:v>
      </x:c>
      <x:c r="Q162" s="143" t="n">
        <x:v>0.034</x:v>
      </x:c>
      <x:c r="R162" s="118" t="str">
        <x:v>QA_EXISTING_FLOOR</x:v>
      </x:c>
      <x:c r="S162" s="118" t="str">
        <x:v>C</x:v>
      </x:c>
      <x:c r="T162" s="118" t="str">
        <x:v>MT_ENERGY_SHIFT2026</x:v>
      </x:c>
      <x:c r="U162" s="118" t="str">
        <x:v>QA_CONTROL</x:v>
      </x:c>
      <x:c r="V162" s="118" t="str">
        <x:v>NO</x:v>
      </x:c>
      <x:c r="W162" s="118" t="str">
        <x:v>QA_CONTROL_ONLY</x:v>
      </x:c>
      <x:c r="X162" s="119" t="b">
        <x:v>0</x:v>
      </x:c>
      <x:c r="Y162" s="118" t="str">
        <x:v>The 2026 strategy reports about 34 MWh already installed across ~5,600 households.</x:v>
      </x:c>
      <x:c r="Z162" s="118" t="str">
        <x:v>No aggregate power is published, so do not create a merchant distributed-battery asset from this row. Use only as a distributed-storage sensitivity/QA floor.</x:v>
      </x:c>
      <x:c r="AA162" s="118" t="str">
        <x:v>https://sustainability.gov.mt/wp-content/uploads/2026/04/Maltas-Energy-Shift-Document.pdf</x:v>
      </x:c>
      <x:c r="AB162" s="127" t="str">
        <x:v>ETX-6R_COUNTRY_CLOSURE</x:v>
      </x:c>
    </x:row>
    <x:row r="163">
      <x:c r="A163" s="126" t="str">
        <x:v>MT</x:v>
      </x:c>
      <x:c r="B163" s="118" t="str">
        <x:v>Malta</x:v>
      </x:c>
      <x:c r="C163" s="118" t="str">
        <x:v>MT_POLICY_BASE_WEM2025_SHIFT2026</x:v>
      </x:c>
      <x:c r="D163" s="118" t="str">
        <x:v>MT_SIMULATION_READY_NATIONAL_POLICY_DERIVED</x:v>
      </x:c>
      <x:c r="E163" s="118" t="str">
        <x:v>MEM_ETX6R_MT_National_Closure_v1.0</x:v>
      </x:c>
      <x:c r="F163" s="118" t="str">
        <x:v>01_MT_CAPACITY_STACK</x:v>
      </x:c>
      <x:c r="G163" s="118" t="n">
        <x:v>27</x:v>
      </x:c>
      <x:c r="H163" s="118" t="str">
        <x:v>Organic-processing biogas electricity QA</x:v>
      </x:c>
      <x:c r="I163" s="118" t="str">
        <x:v>biogas_generation_control</x:v>
      </x:c>
      <x:c r="J163" s="118" t="str">
        <x:v>biogas_generation_control</x:v>
      </x:c>
      <x:c r="K163" s="118" t="str">
        <x:v>TWh/y</x:v>
      </x:c>
      <x:c r="L163" s="143" t="n">
        <x:v>0.02</x:v>
      </x:c>
      <x:c r="M163" s="118" t="str">
        <x:v>OFFICIAL_PROJECT_GENERATION_ONLY</x:v>
      </x:c>
      <x:c r="N163" s="118" t="str">
        <x:v>B</x:v>
      </x:c>
      <x:c r="O163" s="118" t="str">
        <x:v>MT_OPP2026</x:v>
      </x:c>
      <x:c r="P163" s="118" t="str">
        <x:v>QA_CONTROL</x:v>
      </x:c>
      <x:c r="Q163" s="143" t="n">
        <x:v>0.02</x:v>
      </x:c>
      <x:c r="R163" s="118" t="str">
        <x:v>NATIONAL_PROJECT_GENERATION_CARRY_FORWARD</x:v>
      </x:c>
      <x:c r="S163" s="118" t="str">
        <x:v>C</x:v>
      </x:c>
      <x:c r="T163" s="118" t="str">
        <x:v>MT_OPP2026</x:v>
      </x:c>
      <x:c r="U163" s="118" t="str">
        <x:v>QA_CONTROL</x:v>
      </x:c>
      <x:c r="V163" s="118" t="str">
        <x:v>NO</x:v>
      </x:c>
      <x:c r="W163" s="118" t="str">
        <x:v>QA_CONTROL_ONLY</x:v>
      </x:c>
      <x:c r="X163" s="119" t="b">
        <x:v>0</x:v>
      </x:c>
      <x:c r="Y163" s="118" t="str">
        <x:v>The new OPP is expected to increase renewable electricity generation to up to ~20 GWh/y from organic waste.</x:v>
      </x:c>
      <x:c r="Z163" s="118" t="str">
        <x:v>No official installed MW is published. The ~20 GWh/y is &lt;0.5% of modeled annual demand, so retain as generation QA rather than inventing a fixed generator capacity.</x:v>
      </x:c>
      <x:c r="AA163" s="118" t="str">
        <x:v>https://www.gov.mt/en/Government/DOI/Press%20Releases/Pages/2026/04/13/pr260600en.aspx</x:v>
      </x:c>
      <x:c r="AB163" s="127" t="str">
        <x:v>ETX-6R_COUNTRY_CLOSURE</x:v>
      </x:c>
    </x:row>
    <x:row r="164">
      <x:c r="A164" s="126" t="str">
        <x:v>MT</x:v>
      </x:c>
      <x:c r="B164" s="118" t="str">
        <x:v>Malta</x:v>
      </x:c>
      <x:c r="C164" s="118" t="str">
        <x:v>MT_POLICY_BASE_WEM2025_SHIFT2026</x:v>
      </x:c>
      <x:c r="D164" s="118" t="str">
        <x:v>MT_SIMULATION_READY_NATIONAL_POLICY_DERIVED</x:v>
      </x:c>
      <x:c r="E164" s="118" t="str">
        <x:v>MEM_ETX6R_MT_National_Closure_v1.0</x:v>
      </x:c>
      <x:c r="F164" s="118" t="str">
        <x:v>01_MT_CAPACITY_STACK</x:v>
      </x:c>
      <x:c r="G164" s="118" t="n">
        <x:v>28</x:v>
      </x:c>
      <x:c r="H164" s="118" t="str">
        <x:v>Malta–Sicily interconnection minimum nominal capacity QA</x:v>
      </x:c>
      <x:c r="I164" s="118" t="str">
        <x:v>interconnector_capacity</x:v>
      </x:c>
      <x:c r="J164" s="118" t="str">
        <x:v>interconnector_capacity</x:v>
      </x:c>
      <x:c r="K164" s="118" t="str">
        <x:v>GW</x:v>
      </x:c>
      <x:c r="L164" s="143" t="n">
        <x:v>0.625</x:v>
      </x:c>
      <x:c r="M164" s="118" t="str">
        <x:v>DERIVED_FROM_OFFICIAL_PROJECTS</x:v>
      </x:c>
      <x:c r="N164" s="118" t="str">
        <x:v>B</x:v>
      </x:c>
      <x:c r="O164" s="118" t="str">
        <x:v>MT_ENERGY_SHIFT2026</x:v>
      </x:c>
      <x:c r="P164" s="118" t="str">
        <x:v>QA_INTERFACE_CONTROL</x:v>
      </x:c>
      <x:c r="Q164" s="143" t="n">
        <x:v>0.625</x:v>
      </x:c>
      <x:c r="R164" s="118" t="str">
        <x:v>DERIVED_FROM_OFFICIAL_PROJECTS</x:v>
      </x:c>
      <x:c r="S164" s="118" t="str">
        <x:v>B</x:v>
      </x:c>
      <x:c r="T164" s="118" t="str">
        <x:v>MT_ENERGY_SHIFT2026</x:v>
      </x:c>
      <x:c r="U164" s="118" t="str">
        <x:v>QA_INTERFACE_CONTROL</x:v>
      </x:c>
      <x:c r="V164" s="118" t="str">
        <x:v>NO</x:v>
      </x:c>
      <x:c r="W164" s="118" t="str">
        <x:v>QA_CONTROL_ONLY</x:v>
      </x:c>
      <x:c r="X164" s="119" t="b">
        <x:v>0</x:v>
      </x:c>
      <x:c r="Y164" s="118" t="str">
        <x:v>IC1 200 MW + IC2 225 MW + IC3 initial 200 MW = 625 MW. The 2026 roadmap places IC3 in the medium term.</x:v>
      </x:c>
      <x:c r="Z164" s="118" t="str">
        <x:v>Boundary/interface control only. IC3 can scale to 400 MW, which would raise the total to 825 MW, but that expansion is not frozen in the Base.</x:v>
      </x:c>
      <x:c r="AA164" s="118" t="str">
        <x:v>https://sustainability.gov.mt/wp-content/uploads/2026/04/Maltas-Energy-Shift-Document.pdf</x:v>
      </x:c>
      <x:c r="AB164" s="127" t="str">
        <x:v>ETX-6R_COUNTRY_CLOSURE</x:v>
      </x:c>
    </x:row>
    <x:row r="165">
      <x:c r="A165" s="126" t="str">
        <x:v>TN</x:v>
      </x:c>
      <x:c r="B165" s="118" t="str">
        <x:v>Tunisia</x:v>
      </x:c>
      <x:c r="C165" s="118" t="str">
        <x:v>TN_BaC_NATIONAL_LONG_RUN</x:v>
      </x:c>
      <x:c r="D165" s="118" t="str">
        <x:v>TN_SIMULATION_READY_NATIONAL_BENCHMARK_WITH_TECHNICAL_PHS_ENERGY_FILL</x:v>
      </x:c>
      <x:c r="E165" s="118" t="str">
        <x:v>MEM_ETX6R_TN_National_Closure_v1.0</x:v>
      </x:c>
      <x:c r="F165" s="118" t="str">
        <x:v>01_TN_CAPACITY_STACK</x:v>
      </x:c>
      <x:c r="G165" s="118" t="n">
        <x:v>5</x:v>
      </x:c>
      <x:c r="H165" s="118" t="str">
        <x:v>Annual electricity system demand control</x:v>
      </x:c>
      <x:c r="I165" s="118" t="str">
        <x:v>load</x:v>
      </x:c>
      <x:c r="J165" s="118" t="str">
        <x:v>demand</x:v>
      </x:c>
      <x:c r="K165" s="118" t="str">
        <x:v>TWh</x:v>
      </x:c>
      <x:c r="L165" s="143" t="n">
        <x:v>43.333333333333336</x:v>
      </x:c>
      <x:c r="M165" s="118" t="str">
        <x:v>DERIVED_FROM_OFFICIAL_SCENARIO_BALANCE</x:v>
      </x:c>
      <x:c r="N165" s="118" t="str">
        <x:v>B/C</x:v>
      </x:c>
      <x:c r="O165" s="118" t="str">
        <x:v>TN_ANME_BAC2050</x:v>
      </x:c>
      <x:c r="P165" s="118" t="str">
        <x:v>CLOSED_NATIONAL_DERIVED</x:v>
      </x:c>
      <x:c r="Q165" s="143" t="n">
        <x:v>64.5</x:v>
      </x:c>
      <x:c r="R165" s="118" t="str">
        <x:v>DERIVED_FROM_OFFICIAL_SCENARIO_BALANCE</x:v>
      </x:c>
      <x:c r="S165" s="118" t="str">
        <x:v>B/C</x:v>
      </x:c>
      <x:c r="T165" s="118" t="str">
        <x:v>TN_ANME_BAC2050</x:v>
      </x:c>
      <x:c r="U165" s="118" t="str">
        <x:v>CLOSED_NATIONAL_DERIVED</x:v>
      </x:c>
      <x:c r="V165" s="118" t="str">
        <x:v>YES</x:v>
      </x:c>
      <x:c r="W165" s="118" t="str">
        <x:v>IMPLEMENT</x:v>
      </x:c>
      <x:c r="X165" s="119" t="b">
        <x:v>1</x:v>
      </x:c>
      <x:c r="Y165" s="118" t="str">
        <x:v>ANME BaC gives renewable electricity production of ~26 TWh in 2040 at ~60% of generation and 51.6 TWh in 2050 at 80%; dividing by the shares gives the total electricity-production controls used as the one-node annual demand proxy.</x:v>
      </x:c>
      <x:c r="Z165" s="118" t="str">
        <x:v>Closer to the system electricity perimeter than final-use only, but may embed transformation/export/network uses. Reconcile with explicit interfaces and any electrolysis treatment at ETX-7.</x:v>
      </x:c>
      <x:c r="AA165" s="118" t="str">
        <x:v>https://www.anme.tn/sites/default/files/2025-03/strategie-nationale-er-2050_tunerep.pdf</x:v>
      </x:c>
      <x:c r="AB165" s="127" t="str">
        <x:v>ETX-6R_COUNTRY_CLOSURE</x:v>
      </x:c>
    </x:row>
    <x:row r="166">
      <x:c r="A166" s="126" t="str">
        <x:v>TN</x:v>
      </x:c>
      <x:c r="B166" s="118" t="str">
        <x:v>Tunisia</x:v>
      </x:c>
      <x:c r="C166" s="118" t="str">
        <x:v>TN_BaC_NATIONAL_LONG_RUN</x:v>
      </x:c>
      <x:c r="D166" s="118" t="str">
        <x:v>TN_SIMULATION_READY_NATIONAL_BENCHMARK_WITH_TECHNICAL_PHS_ENERGY_FILL</x:v>
      </x:c>
      <x:c r="E166" s="118" t="str">
        <x:v>MEM_ETX6R_TN_National_Closure_v1.0</x:v>
      </x:c>
      <x:c r="F166" s="118" t="str">
        <x:v>01_TN_CAPACITY_STACK</x:v>
      </x:c>
      <x:c r="G166" s="118" t="n">
        <x:v>6</x:v>
      </x:c>
      <x:c r="H166" s="118" t="str">
        <x:v>Final electricity-use QA</x:v>
      </x:c>
      <x:c r="I166" s="118" t="str">
        <x:v>final_electricity_use</x:v>
      </x:c>
      <x:c r="J166" s="118" t="str">
        <x:v>final_electricity_use</x:v>
      </x:c>
      <x:c r="K166" s="118" t="str">
        <x:v>TWh</x:v>
      </x:c>
      <x:c r="L166" s="143" t="n">
        <x:v>32.56400000000001</x:v>
      </x:c>
      <x:c r="M166" s="118" t="str">
        <x:v>NATIONAL_TRAJECTORY_INTERPOLATION_QA</x:v>
      </x:c>
      <x:c r="N166" s="118" t="str">
        <x:v>C</x:v>
      </x:c>
      <x:c r="O166" s="118" t="str">
        <x:v>TN_SNBC2022</x:v>
      </x:c>
      <x:c r="P166" s="118" t="str">
        <x:v>QA_CONTROL</x:v>
      </x:c>
      <x:c r="Q166" s="143" t="n">
        <x:v>47.50855</x:v>
      </x:c>
      <x:c r="R166" s="118" t="str">
        <x:v>DERIVED_FROM_OFFICIAL_FINAL_ENERGY</x:v>
      </x:c>
      <x:c r="S166" s="118" t="str">
        <x:v>B</x:v>
      </x:c>
      <x:c r="T166" s="118" t="str">
        <x:v>TN_SNBC2022</x:v>
      </x:c>
      <x:c r="U166" s="118" t="str">
        <x:v>QA_CONTROL</x:v>
      </x:c>
      <x:c r="V166" s="118" t="str">
        <x:v>NO</x:v>
      </x:c>
      <x:c r="W166" s="118" t="str">
        <x:v>QA_CONTROL_ONLY</x:v>
      </x:c>
      <x:c r="X166" s="119" t="b">
        <x:v>0</x:v>
      </x:c>
      <x:c r="Y166" s="118" t="str">
        <x:v>The later SNBC gives 8 Mtoe final energy in 2030, 9.5 Mtoe in 2050, and electricity shares 32% in 2040 / 43% in 2050. 2040 final energy is linearly interpolated only for QA.</x:v>
      </x:c>
      <x:c r="Z166" s="118" t="str">
        <x:v>Never substitute this row automatically for the system-demand control; the gap captures transformation/network/export accounting differences between documents.</x:v>
      </x:c>
      <x:c r="AA166" s="118" t="str">
        <x:v>https://www.environnement.gov.tn/fileadmin/Bibliotheque/Environnement_en_Tunisie/Revue_info-climat/SNBCRCC.pdf</x:v>
      </x:c>
      <x:c r="AB166" s="127" t="str">
        <x:v>ETX-6R_COUNTRY_CLOSURE</x:v>
      </x:c>
    </x:row>
    <x:row r="167">
      <x:c r="A167" s="126" t="str">
        <x:v>TN</x:v>
      </x:c>
      <x:c r="B167" s="118" t="str">
        <x:v>Tunisia</x:v>
      </x:c>
      <x:c r="C167" s="118" t="str">
        <x:v>TN_BaC_NATIONAL_LONG_RUN</x:v>
      </x:c>
      <x:c r="D167" s="118" t="str">
        <x:v>TN_SIMULATION_READY_NATIONAL_BENCHMARK_WITH_TECHNICAL_PHS_ENERGY_FILL</x:v>
      </x:c>
      <x:c r="E167" s="118" t="str">
        <x:v>MEM_ETX6R_TN_National_Closure_v1.0</x:v>
      </x:c>
      <x:c r="F167" s="118" t="str">
        <x:v>01_TN_CAPACITY_STACK</x:v>
      </x:c>
      <x:c r="G167" s="118" t="n">
        <x:v>7</x:v>
      </x:c>
      <x:c r="H167" s="118" t="str">
        <x:v>Nuclear</x:v>
      </x:c>
      <x:c r="I167" s="118" t="str">
        <x:v>nuclear</x:v>
      </x:c>
      <x:c r="J167" s="118" t="str">
        <x:v>nuclear</x:v>
      </x:c>
      <x:c r="K167" s="118" t="str">
        <x:v>GW</x:v>
      </x:c>
      <x:c r="L167" s="143" t="n">
        <x:v>0</x:v>
      </x:c>
      <x:c r="M167" s="118" t="str">
        <x:v>NATIONAL_SCENARIO_TAXONOMY_ZERO</x:v>
      </x:c>
      <x:c r="N167" s="118" t="str">
        <x:v>A/B</x:v>
      </x:c>
      <x:c r="O167" s="118" t="str">
        <x:v>TN_STRATEGY2035</x:v>
      </x:c>
      <x:c r="P167" s="118" t="str">
        <x:v>ZERO_SELECTED_SCENARIO</x:v>
      </x:c>
      <x:c r="Q167" s="143" t="n">
        <x:v>0</x:v>
      </x:c>
      <x:c r="R167" s="118" t="str">
        <x:v>NATIONAL_SCENARIO_TAXONOMY_ZERO</x:v>
      </x:c>
      <x:c r="S167" s="118" t="str">
        <x:v>A/B</x:v>
      </x:c>
      <x:c r="T167" s="118" t="str">
        <x:v>TN_STRATEGY2035</x:v>
      </x:c>
      <x:c r="U167" s="118" t="str">
        <x:v>ZERO_SELECTED_SCENARIO</x:v>
      </x:c>
      <x:c r="V167" s="118" t="str">
        <x:v>YES</x:v>
      </x:c>
      <x:c r="W167" s="118" t="str">
        <x:v>IMPLEMENT</x:v>
      </x:c>
      <x:c r="X167" s="119" t="b">
        <x:v>1</x:v>
      </x:c>
      <x:c r="Y167" s="118" t="str">
        <x:v>No nuclear generation pathway is part of the selected Tunisian energy strategy.</x:v>
      </x:c>
      <x:c r="Z167" s="118" t="str">
        <x:v>Explicit Base zero.</x:v>
      </x:c>
      <x:c r="AA167" s="118" t="str">
        <x:v>https://www.energiemines.gov.tn/fileadmin/docs-u1/synth%C3%A8se_strat%C3%A9gie_2035.pdf</x:v>
      </x:c>
      <x:c r="AB167" s="127" t="str">
        <x:v>ETX-6R_COUNTRY_CLOSURE</x:v>
      </x:c>
    </x:row>
    <x:row r="168">
      <x:c r="A168" s="126" t="str">
        <x:v>TN</x:v>
      </x:c>
      <x:c r="B168" s="118" t="str">
        <x:v>Tunisia</x:v>
      </x:c>
      <x:c r="C168" s="118" t="str">
        <x:v>TN_BaC_NATIONAL_LONG_RUN</x:v>
      </x:c>
      <x:c r="D168" s="118" t="str">
        <x:v>TN_SIMULATION_READY_NATIONAL_BENCHMARK_WITH_TECHNICAL_PHS_ENERGY_FILL</x:v>
      </x:c>
      <x:c r="E168" s="118" t="str">
        <x:v>MEM_ETX6R_TN_National_Closure_v1.0</x:v>
      </x:c>
      <x:c r="F168" s="118" t="str">
        <x:v>01_TN_CAPACITY_STACK</x:v>
      </x:c>
      <x:c r="G168" s="118" t="n">
        <x:v>8</x:v>
      </x:c>
      <x:c r="H168" s="118" t="str">
        <x:v>Coal / lignite</x:v>
      </x:c>
      <x:c r="I168" s="118" t="str">
        <x:v>coal_lignite</x:v>
      </x:c>
      <x:c r="J168" s="118" t="str">
        <x:v>coal_lignite</x:v>
      </x:c>
      <x:c r="K168" s="118" t="str">
        <x:v>GW</x:v>
      </x:c>
      <x:c r="L168" s="143" t="n">
        <x:v>0</x:v>
      </x:c>
      <x:c r="M168" s="118" t="str">
        <x:v>NATIONAL_SCENARIO_TAXONOMY_ZERO</x:v>
      </x:c>
      <x:c r="N168" s="118" t="str">
        <x:v>A/B</x:v>
      </x:c>
      <x:c r="O168" s="118" t="str">
        <x:v>TN_STRATEGY2035</x:v>
      </x:c>
      <x:c r="P168" s="118" t="str">
        <x:v>ZERO_SELECTED_SCENARIO</x:v>
      </x:c>
      <x:c r="Q168" s="143" t="n">
        <x:v>0</x:v>
      </x:c>
      <x:c r="R168" s="118" t="str">
        <x:v>NATIONAL_SCENARIO_TAXONOMY_ZERO</x:v>
      </x:c>
      <x:c r="S168" s="118" t="str">
        <x:v>A/B</x:v>
      </x:c>
      <x:c r="T168" s="118" t="str">
        <x:v>TN_STRATEGY2035</x:v>
      </x:c>
      <x:c r="U168" s="118" t="str">
        <x:v>ZERO_SELECTED_SCENARIO</x:v>
      </x:c>
      <x:c r="V168" s="118" t="str">
        <x:v>YES</x:v>
      </x:c>
      <x:c r="W168" s="118" t="str">
        <x:v>IMPLEMENT</x:v>
      </x:c>
      <x:c r="X168" s="119" t="b">
        <x:v>1</x:v>
      </x:c>
      <x:c r="Y168" s="118" t="str">
        <x:v>The power system remains gas-dominant; no coal/lignite generation pathway is specified.</x:v>
      </x:c>
      <x:c r="Z168" s="118" t="str">
        <x:v>Explicit Base zero.</x:v>
      </x:c>
      <x:c r="AA168" s="118" t="str">
        <x:v>https://www.energiemines.gov.tn/fileadmin/docs-u1/synth%C3%A8se_strat%C3%A9gie_2035.pdf</x:v>
      </x:c>
      <x:c r="AB168" s="127" t="str">
        <x:v>ETX-6R_COUNTRY_CLOSURE</x:v>
      </x:c>
    </x:row>
    <x:row r="169">
      <x:c r="A169" s="126" t="str">
        <x:v>TN</x:v>
      </x:c>
      <x:c r="B169" s="118" t="str">
        <x:v>Tunisia</x:v>
      </x:c>
      <x:c r="C169" s="118" t="str">
        <x:v>TN_BaC_NATIONAL_LONG_RUN</x:v>
      </x:c>
      <x:c r="D169" s="118" t="str">
        <x:v>TN_SIMULATION_READY_NATIONAL_BENCHMARK_WITH_TECHNICAL_PHS_ENERGY_FILL</x:v>
      </x:c>
      <x:c r="E169" s="118" t="str">
        <x:v>MEM_ETX6R_TN_National_Closure_v1.0</x:v>
      </x:c>
      <x:c r="F169" s="118" t="str">
        <x:v>01_TN_CAPACITY_STACK</x:v>
      </x:c>
      <x:c r="G169" s="118" t="n">
        <x:v>9</x:v>
      </x:c>
      <x:c r="H169" s="118" t="str">
        <x:v>Dedicated oil / liquid-fuel thermal</x:v>
      </x:c>
      <x:c r="I169" s="118" t="str">
        <x:v>oil_liquid_dedicated</x:v>
      </x:c>
      <x:c r="J169" s="118" t="str">
        <x:v>thermal_oil_liquid</x:v>
      </x:c>
      <x:c r="K169" s="118" t="str">
        <x:v>GW</x:v>
      </x:c>
      <x:c r="L169" s="143" t="n">
        <x:v>0</x:v>
      </x:c>
      <x:c r="M169" s="118" t="str">
        <x:v>NO_SEPARATE_DEDICATED_FLEET</x:v>
      </x:c>
      <x:c r="N169" s="118" t="str">
        <x:v>B/C</x:v>
      </x:c>
      <x:c r="O169" s="118" t="str">
        <x:v>TN_STEG2024</x:v>
      </x:c>
      <x:c r="P169" s="118" t="str">
        <x:v>ZERO_SEPARATE_CATEGORY</x:v>
      </x:c>
      <x:c r="Q169" s="143" t="n">
        <x:v>0</x:v>
      </x:c>
      <x:c r="R169" s="118" t="str">
        <x:v>NO_SEPARATE_DEDICATED_FLEET</x:v>
      </x:c>
      <x:c r="S169" s="118" t="str">
        <x:v>B/C</x:v>
      </x:c>
      <x:c r="T169" s="118" t="str">
        <x:v>TN_STEG2024</x:v>
      </x:c>
      <x:c r="U169" s="118" t="str">
        <x:v>ZERO_SEPARATE_CATEGORY</x:v>
      </x:c>
      <x:c r="V169" s="118" t="str">
        <x:v>YES</x:v>
      </x:c>
      <x:c r="W169" s="118" t="str">
        <x:v>IMPLEMENT</x:v>
      </x:c>
      <x:c r="X169" s="119" t="b">
        <x:v>1</x:v>
      </x:c>
      <x:c r="Y169" s="118" t="str">
        <x:v>STEG reports its conventional fleet by equipment type rather than a dedicated oil fleet; natural gas is the dominant power fuel. Any liquid backup capability is contained inside the generic thermal envelope, not added separately.</x:v>
      </x:c>
      <x:c r="Z169" s="118" t="str">
        <x:v>Do not double-count backup-fuel capability as extra MW.</x:v>
      </x:c>
      <x:c r="AA169" s="118" t="str">
        <x:v>https://www.steg.com.tn/system/files/pdf/DG_RA_2024_Fr_0.pdf</x:v>
      </x:c>
      <x:c r="AB169" s="127" t="str">
        <x:v>ETX-6R_COUNTRY_CLOSURE</x:v>
      </x:c>
    </x:row>
    <x:row r="170">
      <x:c r="A170" s="126" t="str">
        <x:v>TN</x:v>
      </x:c>
      <x:c r="B170" s="118" t="str">
        <x:v>Tunisia</x:v>
      </x:c>
      <x:c r="C170" s="118" t="str">
        <x:v>TN_BaC_NATIONAL_LONG_RUN</x:v>
      </x:c>
      <x:c r="D170" s="118" t="str">
        <x:v>TN_SIMULATION_READY_NATIONAL_BENCHMARK_WITH_TECHNICAL_PHS_ENERGY_FILL</x:v>
      </x:c>
      <x:c r="E170" s="118" t="str">
        <x:v>MEM_ETX6R_TN_National_Closure_v1.0</x:v>
      </x:c>
      <x:c r="F170" s="118" t="str">
        <x:v>01_TN_CAPACITY_STACK</x:v>
      </x:c>
      <x:c r="G170" s="118" t="n">
        <x:v>10</x:v>
      </x:c>
      <x:c r="H170" s="118" t="str">
        <x:v>Gas-dominant conventional thermal total</x:v>
      </x:c>
      <x:c r="I170" s="118" t="str">
        <x:v>gas_dominant_thermal</x:v>
      </x:c>
      <x:c r="J170" s="118" t="str">
        <x:v>thermal_methane_gas</x:v>
      </x:c>
      <x:c r="K170" s="118" t="str">
        <x:v>GW</x:v>
      </x:c>
      <x:c r="L170" s="143" t="n">
        <x:v>5.645</x:v>
      </x:c>
      <x:c r="M170" s="118" t="str">
        <x:v>NATIONAL_EXISTING_FLEET_REPLACEMENT_EQUIVALENT</x:v>
      </x:c>
      <x:c r="N170" s="118" t="str">
        <x:v>C</x:v>
      </x:c>
      <x:c r="O170" s="118" t="str">
        <x:v>TN_STEG2024</x:v>
      </x:c>
      <x:c r="P170" s="118" t="str">
        <x:v>CLOSED_NATIONAL_BENCHMARK</x:v>
      </x:c>
      <x:c r="Q170" s="143" t="n">
        <x:v>5.645</x:v>
      </x:c>
      <x:c r="R170" s="118" t="str">
        <x:v>NATIONAL_EXISTING_FLEET_REPLACEMENT_EQUIVALENT</x:v>
      </x:c>
      <x:c r="S170" s="118" t="str">
        <x:v>C</x:v>
      </x:c>
      <x:c r="T170" s="118" t="str">
        <x:v>TN_STEG2024</x:v>
      </x:c>
      <x:c r="U170" s="118" t="str">
        <x:v>CLOSED_NATIONAL_BENCHMARK</x:v>
      </x:c>
      <x:c r="V170" s="118" t="str">
        <x:v>YES</x:v>
      </x:c>
      <x:c r="W170" s="118" t="str">
        <x:v>IMPLEMENT_TOTAL</x:v>
      </x:c>
      <x:c r="X170" s="119" t="b">
        <x:v>1</x:v>
      </x:c>
      <x:c r="Y170" s="118" t="str">
        <x:v>STEG 2024 physical conventional fleet = 2.457 GW combustion turbines + 2.528 GW combined cycles + 0.660 GW steam turbines = 5.645 GW. The adopted 2035 strategy requires installation of necessary conventional capacity but does not publish a future MW total.</x:v>
      </x:c>
      <x:c r="Z170" s="118" t="str">
        <x:v>Use as a replacement-equivalent adequacy/flexibility envelope, not a claim that every current unit survives unchanged. Future fuel/retirement mapping belongs to ETX-7.</x:v>
      </x:c>
      <x:c r="AA170" s="118" t="str">
        <x:v>https://www.steg.com.tn/system/files/pdf/DG_RA_2024_Fr_0.pdf</x:v>
      </x:c>
      <x:c r="AB170" s="127" t="str">
        <x:v>ETX-6R_COUNTRY_CLOSURE</x:v>
      </x:c>
    </x:row>
    <x:row r="171">
      <x:c r="A171" s="126" t="str">
        <x:v>TN</x:v>
      </x:c>
      <x:c r="B171" s="118" t="str">
        <x:v>Tunisia</x:v>
      </x:c>
      <x:c r="C171" s="118" t="str">
        <x:v>TN_BaC_NATIONAL_LONG_RUN</x:v>
      </x:c>
      <x:c r="D171" s="118" t="str">
        <x:v>TN_SIMULATION_READY_NATIONAL_BENCHMARK_WITH_TECHNICAL_PHS_ENERGY_FILL</x:v>
      </x:c>
      <x:c r="E171" s="118" t="str">
        <x:v>MEM_ETX6R_TN_National_Closure_v1.0</x:v>
      </x:c>
      <x:c r="F171" s="118" t="str">
        <x:v>01_TN_CAPACITY_STACK</x:v>
      </x:c>
      <x:c r="G171" s="118" t="n">
        <x:v>11</x:v>
      </x:c>
      <x:c r="H171" s="118" t="str">
        <x:v>Combustion-turbine component</x:v>
      </x:c>
      <x:c r="I171" s="118" t="str">
        <x:v>thermal_component</x:v>
      </x:c>
      <x:c r="J171" s="118" t="str">
        <x:v>thermal_component</x:v>
      </x:c>
      <x:c r="K171" s="118" t="str">
        <x:v>GW</x:v>
      </x:c>
      <x:c r="L171" s="143" t="n">
        <x:v>2.457</x:v>
      </x:c>
      <x:c r="M171" s="118" t="str">
        <x:v>OFFICIAL_EXISTING_COMPONENT</x:v>
      </x:c>
      <x:c r="N171" s="118" t="str">
        <x:v>A</x:v>
      </x:c>
      <x:c r="O171" s="118" t="str">
        <x:v>TN_STEG2024</x:v>
      </x:c>
      <x:c r="P171" s="118" t="str">
        <x:v>DERIVATION_DETAIL</x:v>
      </x:c>
      <x:c r="Q171" s="143" t="n">
        <x:v>2.457</x:v>
      </x:c>
      <x:c r="R171" s="118" t="str">
        <x:v>DERIVATION_COMPONENT_CARRY_FORWARD</x:v>
      </x:c>
      <x:c r="S171" s="118" t="str">
        <x:v>C</x:v>
      </x:c>
      <x:c r="T171" s="118" t="str">
        <x:v>TN_STEG2024</x:v>
      </x:c>
      <x:c r="U171" s="118" t="str">
        <x:v>DERIVATION_DETAIL</x:v>
      </x:c>
      <x:c r="V171" s="118" t="str">
        <x:v>NO</x:v>
      </x:c>
      <x:c r="W171" s="118" t="str">
        <x:v>DERIVATION_DETAIL_ONLY</x:v>
      </x:c>
      <x:c r="X171" s="119" t="b">
        <x:v>0</x:v>
      </x:c>
      <x:c r="Y171" s="118" t="str">
        <x:v>STEG 2024 net combustion-turbine capacity.</x:v>
      </x:c>
      <x:c r="Z171" s="118" t="str">
        <x:v>Component of the 5.645 GW implemented thermal total; never add separately.</x:v>
      </x:c>
      <x:c r="AA171" s="118" t="str">
        <x:v>https://www.steg.com.tn/system/files/pdf/DG_RA_2024_Fr_0.pdf</x:v>
      </x:c>
      <x:c r="AB171" s="127" t="str">
        <x:v>ETX-6R_COUNTRY_CLOSURE</x:v>
      </x:c>
    </x:row>
    <x:row r="172">
      <x:c r="A172" s="126" t="str">
        <x:v>TN</x:v>
      </x:c>
      <x:c r="B172" s="118" t="str">
        <x:v>Tunisia</x:v>
      </x:c>
      <x:c r="C172" s="118" t="str">
        <x:v>TN_BaC_NATIONAL_LONG_RUN</x:v>
      </x:c>
      <x:c r="D172" s="118" t="str">
        <x:v>TN_SIMULATION_READY_NATIONAL_BENCHMARK_WITH_TECHNICAL_PHS_ENERGY_FILL</x:v>
      </x:c>
      <x:c r="E172" s="118" t="str">
        <x:v>MEM_ETX6R_TN_National_Closure_v1.0</x:v>
      </x:c>
      <x:c r="F172" s="118" t="str">
        <x:v>01_TN_CAPACITY_STACK</x:v>
      </x:c>
      <x:c r="G172" s="118" t="n">
        <x:v>12</x:v>
      </x:c>
      <x:c r="H172" s="118" t="str">
        <x:v>Combined-cycle component</x:v>
      </x:c>
      <x:c r="I172" s="118" t="str">
        <x:v>thermal_component</x:v>
      </x:c>
      <x:c r="J172" s="118" t="str">
        <x:v>thermal_component</x:v>
      </x:c>
      <x:c r="K172" s="118" t="str">
        <x:v>GW</x:v>
      </x:c>
      <x:c r="L172" s="143" t="n">
        <x:v>2.528</x:v>
      </x:c>
      <x:c r="M172" s="118" t="str">
        <x:v>OFFICIAL_EXISTING_COMPONENT</x:v>
      </x:c>
      <x:c r="N172" s="118" t="str">
        <x:v>A</x:v>
      </x:c>
      <x:c r="O172" s="118" t="str">
        <x:v>TN_STEG2024</x:v>
      </x:c>
      <x:c r="P172" s="118" t="str">
        <x:v>DERIVATION_DETAIL</x:v>
      </x:c>
      <x:c r="Q172" s="143" t="n">
        <x:v>2.528</x:v>
      </x:c>
      <x:c r="R172" s="118" t="str">
        <x:v>DERIVATION_COMPONENT_CARRY_FORWARD</x:v>
      </x:c>
      <x:c r="S172" s="118" t="str">
        <x:v>C</x:v>
      </x:c>
      <x:c r="T172" s="118" t="str">
        <x:v>TN_STEG2024</x:v>
      </x:c>
      <x:c r="U172" s="118" t="str">
        <x:v>DERIVATION_DETAIL</x:v>
      </x:c>
      <x:c r="V172" s="118" t="str">
        <x:v>NO</x:v>
      </x:c>
      <x:c r="W172" s="118" t="str">
        <x:v>DERIVATION_DETAIL_ONLY</x:v>
      </x:c>
      <x:c r="X172" s="119" t="b">
        <x:v>0</x:v>
      </x:c>
      <x:c r="Y172" s="118" t="str">
        <x:v>STEG 2024 net combined-cycle capacity.</x:v>
      </x:c>
      <x:c r="Z172" s="118" t="str">
        <x:v>Component of the 5.645 GW implemented thermal total; never add separately.</x:v>
      </x:c>
      <x:c r="AA172" s="118" t="str">
        <x:v>https://www.steg.com.tn/system/files/pdf/DG_RA_2024_Fr_0.pdf</x:v>
      </x:c>
      <x:c r="AB172" s="127" t="str">
        <x:v>ETX-6R_COUNTRY_CLOSURE</x:v>
      </x:c>
    </x:row>
    <x:row r="173">
      <x:c r="A173" s="126" t="str">
        <x:v>TN</x:v>
      </x:c>
      <x:c r="B173" s="118" t="str">
        <x:v>Tunisia</x:v>
      </x:c>
      <x:c r="C173" s="118" t="str">
        <x:v>TN_BaC_NATIONAL_LONG_RUN</x:v>
      </x:c>
      <x:c r="D173" s="118" t="str">
        <x:v>TN_SIMULATION_READY_NATIONAL_BENCHMARK_WITH_TECHNICAL_PHS_ENERGY_FILL</x:v>
      </x:c>
      <x:c r="E173" s="118" t="str">
        <x:v>MEM_ETX6R_TN_National_Closure_v1.0</x:v>
      </x:c>
      <x:c r="F173" s="118" t="str">
        <x:v>01_TN_CAPACITY_STACK</x:v>
      </x:c>
      <x:c r="G173" s="118" t="n">
        <x:v>13</x:v>
      </x:c>
      <x:c r="H173" s="118" t="str">
        <x:v>Steam-turbine component</x:v>
      </x:c>
      <x:c r="I173" s="118" t="str">
        <x:v>thermal_component</x:v>
      </x:c>
      <x:c r="J173" s="118" t="str">
        <x:v>thermal_component</x:v>
      </x:c>
      <x:c r="K173" s="118" t="str">
        <x:v>GW</x:v>
      </x:c>
      <x:c r="L173" s="143" t="n">
        <x:v>0.66</x:v>
      </x:c>
      <x:c r="M173" s="118" t="str">
        <x:v>OFFICIAL_EXISTING_COMPONENT</x:v>
      </x:c>
      <x:c r="N173" s="118" t="str">
        <x:v>A</x:v>
      </x:c>
      <x:c r="O173" s="118" t="str">
        <x:v>TN_STEG2024</x:v>
      </x:c>
      <x:c r="P173" s="118" t="str">
        <x:v>DERIVATION_DETAIL</x:v>
      </x:c>
      <x:c r="Q173" s="143" t="n">
        <x:v>0.66</x:v>
      </x:c>
      <x:c r="R173" s="118" t="str">
        <x:v>DERIVATION_COMPONENT_CARRY_FORWARD</x:v>
      </x:c>
      <x:c r="S173" s="118" t="str">
        <x:v>C</x:v>
      </x:c>
      <x:c r="T173" s="118" t="str">
        <x:v>TN_STEG2024</x:v>
      </x:c>
      <x:c r="U173" s="118" t="str">
        <x:v>DERIVATION_DETAIL</x:v>
      </x:c>
      <x:c r="V173" s="118" t="str">
        <x:v>NO</x:v>
      </x:c>
      <x:c r="W173" s="118" t="str">
        <x:v>DERIVATION_DETAIL_ONLY</x:v>
      </x:c>
      <x:c r="X173" s="119" t="b">
        <x:v>0</x:v>
      </x:c>
      <x:c r="Y173" s="118" t="str">
        <x:v>STEG 2024 net steam-turbine capacity.</x:v>
      </x:c>
      <x:c r="Z173" s="118" t="str">
        <x:v>Component of the 5.645 GW implemented thermal total; never add separately.</x:v>
      </x:c>
      <x:c r="AA173" s="118" t="str">
        <x:v>https://www.steg.com.tn/system/files/pdf/DG_RA_2024_Fr_0.pdf</x:v>
      </x:c>
      <x:c r="AB173" s="127" t="str">
        <x:v>ETX-6R_COUNTRY_CLOSURE</x:v>
      </x:c>
    </x:row>
    <x:row r="174">
      <x:c r="A174" s="126" t="str">
        <x:v>TN</x:v>
      </x:c>
      <x:c r="B174" s="118" t="str">
        <x:v>Tunisia</x:v>
      </x:c>
      <x:c r="C174" s="118" t="str">
        <x:v>TN_BaC_NATIONAL_LONG_RUN</x:v>
      </x:c>
      <x:c r="D174" s="118" t="str">
        <x:v>TN_SIMULATION_READY_NATIONAL_BENCHMARK_WITH_TECHNICAL_PHS_ENERGY_FILL</x:v>
      </x:c>
      <x:c r="E174" s="118" t="str">
        <x:v>MEM_ETX6R_TN_National_Closure_v1.0</x:v>
      </x:c>
      <x:c r="F174" s="118" t="str">
        <x:v>01_TN_CAPACITY_STACK</x:v>
      </x:c>
      <x:c r="G174" s="118" t="n">
        <x:v>14</x:v>
      </x:c>
      <x:c r="H174" s="118" t="str">
        <x:v>Dedicated additional hydrogen thermal</x:v>
      </x:c>
      <x:c r="I174" s="118" t="str">
        <x:v>hydrogen_thermal_additional</x:v>
      </x:c>
      <x:c r="J174" s="118" t="str">
        <x:v>thermal_lowcarbon_gas_h2</x:v>
      </x:c>
      <x:c r="K174" s="118" t="str">
        <x:v>GW</x:v>
      </x:c>
      <x:c r="L174" s="143" t="n">
        <x:v>0</x:v>
      </x:c>
      <x:c r="M174" s="118" t="str">
        <x:v>NATIONAL_POLICY_NO_FIXED_ADDITION</x:v>
      </x:c>
      <x:c r="N174" s="118" t="str">
        <x:v>B</x:v>
      </x:c>
      <x:c r="O174" s="118" t="str">
        <x:v>TN_STRATEGY2035</x:v>
      </x:c>
      <x:c r="P174" s="118" t="str">
        <x:v>ZERO_ADDITIONAL_CAPACITY</x:v>
      </x:c>
      <x:c r="Q174" s="143" t="n">
        <x:v>0</x:v>
      </x:c>
      <x:c r="R174" s="118" t="str">
        <x:v>NATIONAL_POLICY_NO_FIXED_ADDITION</x:v>
      </x:c>
      <x:c r="S174" s="118" t="str">
        <x:v>B</x:v>
      </x:c>
      <x:c r="T174" s="118" t="str">
        <x:v>TN_STRATEGY2035</x:v>
      </x:c>
      <x:c r="U174" s="118" t="str">
        <x:v>ZERO_ADDITIONAL_CAPACITY</x:v>
      </x:c>
      <x:c r="V174" s="118" t="str">
        <x:v>YES</x:v>
      </x:c>
      <x:c r="W174" s="118" t="str">
        <x:v>IMPLEMENT</x:v>
      </x:c>
      <x:c r="X174" s="119" t="b">
        <x:v>1</x:v>
      </x:c>
      <x:c r="Y174" s="118" t="str">
        <x:v>The national strategy promotes green hydrogen pilots/industry but does not publish a separate additional hydrogen-fired generation MW block.</x:v>
      </x:c>
      <x:c r="Z174" s="118" t="str">
        <x:v>Any later H2-compatible power generation should substitute fuel within the thermal envelope unless a new official capacity is published.</x:v>
      </x:c>
      <x:c r="AA174" s="118" t="str">
        <x:v>https://www.energiemines.gov.tn/fileadmin/docs-u1/synth%C3%A8se_strat%C3%A9gie_2035.pdf</x:v>
      </x:c>
      <x:c r="AB174" s="127" t="str">
        <x:v>ETX-6R_COUNTRY_CLOSURE</x:v>
      </x:c>
    </x:row>
    <x:row r="175">
      <x:c r="A175" s="126" t="str">
        <x:v>TN</x:v>
      </x:c>
      <x:c r="B175" s="118" t="str">
        <x:v>Tunisia</x:v>
      </x:c>
      <x:c r="C175" s="118" t="str">
        <x:v>TN_BaC_NATIONAL_LONG_RUN</x:v>
      </x:c>
      <x:c r="D175" s="118" t="str">
        <x:v>TN_SIMULATION_READY_NATIONAL_BENCHMARK_WITH_TECHNICAL_PHS_ENERGY_FILL</x:v>
      </x:c>
      <x:c r="E175" s="118" t="str">
        <x:v>MEM_ETX6R_TN_National_Closure_v1.0</x:v>
      </x:c>
      <x:c r="F175" s="118" t="str">
        <x:v>01_TN_CAPACITY_STACK</x:v>
      </x:c>
      <x:c r="G175" s="118" t="n">
        <x:v>15</x:v>
      </x:c>
      <x:c r="H175" s="118" t="str">
        <x:v>Solar PV</x:v>
      </x:c>
      <x:c r="I175" s="118" t="str">
        <x:v>solar</x:v>
      </x:c>
      <x:c r="J175" s="118" t="str">
        <x:v>solar_pv</x:v>
      </x:c>
      <x:c r="K175" s="118" t="str">
        <x:v>GW</x:v>
      </x:c>
      <x:c r="L175" s="143" t="n">
        <x:v>6.1</x:v>
      </x:c>
      <x:c r="M175" s="118" t="str">
        <x:v>OFFICIAL_SCENARIO_INPUT</x:v>
      </x:c>
      <x:c r="N175" s="118" t="str">
        <x:v>A</x:v>
      </x:c>
      <x:c r="O175" s="118" t="str">
        <x:v>TN_ANME_BAC2050</x:v>
      </x:c>
      <x:c r="P175" s="118" t="str">
        <x:v>CLOSED_NATIONAL_DIRECT</x:v>
      </x:c>
      <x:c r="Q175" s="143" t="n">
        <x:v>14.396</x:v>
      </x:c>
      <x:c r="R175" s="118" t="str">
        <x:v>OFFICIAL_SCENARIO_INPUT</x:v>
      </x:c>
      <x:c r="S175" s="118" t="str">
        <x:v>A</x:v>
      </x:c>
      <x:c r="T175" s="118" t="str">
        <x:v>TN_ANME_BAC2050</x:v>
      </x:c>
      <x:c r="U175" s="118" t="str">
        <x:v>CLOSED_NATIONAL_DIRECT</x:v>
      </x:c>
      <x:c r="V175" s="118" t="str">
        <x:v>YES</x:v>
      </x:c>
      <x:c r="W175" s="118" t="str">
        <x:v>IMPLEMENT</x:v>
      </x:c>
      <x:c r="X175" s="119" t="b">
        <x:v>1</x:v>
      </x:c>
      <x:c r="Y175" s="118" t="str">
        <x:v>ANME Table 12 directly publishes the BaC installed-PV trajectory.</x:v>
      </x:c>
      <x:c r="Z175" s="118" t="str">
        <x:v>Bazma's 300 MW PV is a project inside this aggregate trajectory; do not add it separately.</x:v>
      </x:c>
      <x:c r="AA175" s="118" t="str">
        <x:v>https://www.anme.tn/sites/default/files/2025-03/strategie-nationale-er-2050_tunerep.pdf</x:v>
      </x:c>
      <x:c r="AB175" s="127" t="str">
        <x:v>ETX-6R_COUNTRY_CLOSURE</x:v>
      </x:c>
    </x:row>
    <x:row r="176">
      <x:c r="A176" s="126" t="str">
        <x:v>TN</x:v>
      </x:c>
      <x:c r="B176" s="118" t="str">
        <x:v>Tunisia</x:v>
      </x:c>
      <x:c r="C176" s="118" t="str">
        <x:v>TN_BaC_NATIONAL_LONG_RUN</x:v>
      </x:c>
      <x:c r="D176" s="118" t="str">
        <x:v>TN_SIMULATION_READY_NATIONAL_BENCHMARK_WITH_TECHNICAL_PHS_ENERGY_FILL</x:v>
      </x:c>
      <x:c r="E176" s="118" t="str">
        <x:v>MEM_ETX6R_TN_National_Closure_v1.0</x:v>
      </x:c>
      <x:c r="F176" s="118" t="str">
        <x:v>01_TN_CAPACITY_STACK</x:v>
      </x:c>
      <x:c r="G176" s="118" t="n">
        <x:v>16</x:v>
      </x:c>
      <x:c r="H176" s="118" t="str">
        <x:v>CSP</x:v>
      </x:c>
      <x:c r="I176" s="118" t="str">
        <x:v>csp</x:v>
      </x:c>
      <x:c r="J176" s="118" t="str">
        <x:v>solar_csp</x:v>
      </x:c>
      <x:c r="K176" s="118" t="str">
        <x:v>GW</x:v>
      </x:c>
      <x:c r="L176" s="143" t="n">
        <x:v>0.75</x:v>
      </x:c>
      <x:c r="M176" s="118" t="str">
        <x:v>OFFICIAL_SCENARIO_INPUT</x:v>
      </x:c>
      <x:c r="N176" s="118" t="str">
        <x:v>A</x:v>
      </x:c>
      <x:c r="O176" s="118" t="str">
        <x:v>TN_ANME_BAC2050</x:v>
      </x:c>
      <x:c r="P176" s="118" t="str">
        <x:v>CLOSED_NATIONAL_DIRECT</x:v>
      </x:c>
      <x:c r="Q176" s="143" t="n">
        <x:v>1.35</x:v>
      </x:c>
      <x:c r="R176" s="118" t="str">
        <x:v>OFFICIAL_SCENARIO_INPUT</x:v>
      </x:c>
      <x:c r="S176" s="118" t="str">
        <x:v>A</x:v>
      </x:c>
      <x:c r="T176" s="118" t="str">
        <x:v>TN_ANME_BAC2050</x:v>
      </x:c>
      <x:c r="U176" s="118" t="str">
        <x:v>CLOSED_NATIONAL_DIRECT</x:v>
      </x:c>
      <x:c r="V176" s="118" t="str">
        <x:v>YES</x:v>
      </x:c>
      <x:c r="W176" s="118" t="str">
        <x:v>IMPLEMENT</x:v>
      </x:c>
      <x:c r="X176" s="119" t="b">
        <x:v>1</x:v>
      </x:c>
      <x:c r="Y176" s="118" t="str">
        <x:v>ANME Table 12 direct BaC CSP capacity.</x:v>
      </x:c>
      <x:c r="Z176" s="118" t="str">
        <x:v>No separate thermal-storage GWh is published in the national trajectory; model CSP according to the Stage-A technology convention.</x:v>
      </x:c>
      <x:c r="AA176" s="118" t="str">
        <x:v>https://www.anme.tn/sites/default/files/2025-03/strategie-nationale-er-2050_tunerep.pdf</x:v>
      </x:c>
      <x:c r="AB176" s="127" t="str">
        <x:v>ETX-6R_COUNTRY_CLOSURE</x:v>
      </x:c>
    </x:row>
    <x:row r="177">
      <x:c r="A177" s="126" t="str">
        <x:v>TN</x:v>
      </x:c>
      <x:c r="B177" s="118" t="str">
        <x:v>Tunisia</x:v>
      </x:c>
      <x:c r="C177" s="118" t="str">
        <x:v>TN_BaC_NATIONAL_LONG_RUN</x:v>
      </x:c>
      <x:c r="D177" s="118" t="str">
        <x:v>TN_SIMULATION_READY_NATIONAL_BENCHMARK_WITH_TECHNICAL_PHS_ENERGY_FILL</x:v>
      </x:c>
      <x:c r="E177" s="118" t="str">
        <x:v>MEM_ETX6R_TN_National_Closure_v1.0</x:v>
      </x:c>
      <x:c r="F177" s="118" t="str">
        <x:v>01_TN_CAPACITY_STACK</x:v>
      </x:c>
      <x:c r="G177" s="118" t="n">
        <x:v>17</x:v>
      </x:c>
      <x:c r="H177" s="118" t="str">
        <x:v>Onshore wind</x:v>
      </x:c>
      <x:c r="I177" s="118" t="str">
        <x:v>onwind</x:v>
      </x:c>
      <x:c r="J177" s="118" t="str">
        <x:v>wind_onshore</x:v>
      </x:c>
      <x:c r="K177" s="118" t="str">
        <x:v>GW</x:v>
      </x:c>
      <x:c r="L177" s="143" t="n">
        <x:v>3.32</x:v>
      </x:c>
      <x:c r="M177" s="118" t="str">
        <x:v>OFFICIAL_SCENARIO_INPUT</x:v>
      </x:c>
      <x:c r="N177" s="118" t="str">
        <x:v>A</x:v>
      </x:c>
      <x:c r="O177" s="118" t="str">
        <x:v>TN_ANME_BAC2050</x:v>
      </x:c>
      <x:c r="P177" s="118" t="str">
        <x:v>CLOSED_NATIONAL_DIRECT</x:v>
      </x:c>
      <x:c r="Q177" s="143" t="n">
        <x:v>4.26</x:v>
      </x:c>
      <x:c r="R177" s="118" t="str">
        <x:v>OFFICIAL_SCENARIO_INPUT</x:v>
      </x:c>
      <x:c r="S177" s="118" t="str">
        <x:v>A</x:v>
      </x:c>
      <x:c r="T177" s="118" t="str">
        <x:v>TN_ANME_BAC2050</x:v>
      </x:c>
      <x:c r="U177" s="118" t="str">
        <x:v>CLOSED_NATIONAL_DIRECT</x:v>
      </x:c>
      <x:c r="V177" s="118" t="str">
        <x:v>YES</x:v>
      </x:c>
      <x:c r="W177" s="118" t="str">
        <x:v>IMPLEMENT</x:v>
      </x:c>
      <x:c r="X177" s="119" t="b">
        <x:v>1</x:v>
      </x:c>
      <x:c r="Y177" s="118" t="str">
        <x:v>ANME Table 12 direct onshore-wind capacity.</x:v>
      </x:c>
      <x:c r="Z177" s="118" t="str">
        <x:v>Do not replace with stale TYNDP cached values.</x:v>
      </x:c>
      <x:c r="AA177" s="118" t="str">
        <x:v>https://www.anme.tn/sites/default/files/2025-03/strategie-nationale-er-2050_tunerep.pdf</x:v>
      </x:c>
      <x:c r="AB177" s="127" t="str">
        <x:v>ETX-6R_COUNTRY_CLOSURE</x:v>
      </x:c>
    </x:row>
    <x:row r="178">
      <x:c r="A178" s="126" t="str">
        <x:v>TN</x:v>
      </x:c>
      <x:c r="B178" s="118" t="str">
        <x:v>Tunisia</x:v>
      </x:c>
      <x:c r="C178" s="118" t="str">
        <x:v>TN_BaC_NATIONAL_LONG_RUN</x:v>
      </x:c>
      <x:c r="D178" s="118" t="str">
        <x:v>TN_SIMULATION_READY_NATIONAL_BENCHMARK_WITH_TECHNICAL_PHS_ENERGY_FILL</x:v>
      </x:c>
      <x:c r="E178" s="118" t="str">
        <x:v>MEM_ETX6R_TN_National_Closure_v1.0</x:v>
      </x:c>
      <x:c r="F178" s="118" t="str">
        <x:v>01_TN_CAPACITY_STACK</x:v>
      </x:c>
      <x:c r="G178" s="118" t="n">
        <x:v>18</x:v>
      </x:c>
      <x:c r="H178" s="118" t="str">
        <x:v>Offshore wind</x:v>
      </x:c>
      <x:c r="I178" s="118" t="str">
        <x:v>offwind</x:v>
      </x:c>
      <x:c r="J178" s="118" t="str">
        <x:v>wind_offshore</x:v>
      </x:c>
      <x:c r="K178" s="118" t="str">
        <x:v>GW</x:v>
      </x:c>
      <x:c r="L178" s="143" t="n">
        <x:v>0.2</x:v>
      </x:c>
      <x:c r="M178" s="118" t="str">
        <x:v>OFFICIAL_SCENARIO_INPUT</x:v>
      </x:c>
      <x:c r="N178" s="118" t="str">
        <x:v>A</x:v>
      </x:c>
      <x:c r="O178" s="118" t="str">
        <x:v>TN_ANME_BAC2050</x:v>
      </x:c>
      <x:c r="P178" s="118" t="str">
        <x:v>CLOSED_NATIONAL_DIRECT</x:v>
      </x:c>
      <x:c r="Q178" s="143" t="n">
        <x:v>1.4</x:v>
      </x:c>
      <x:c r="R178" s="118" t="str">
        <x:v>OFFICIAL_SCENARIO_INPUT</x:v>
      </x:c>
      <x:c r="S178" s="118" t="str">
        <x:v>A</x:v>
      </x:c>
      <x:c r="T178" s="118" t="str">
        <x:v>TN_ANME_BAC2050</x:v>
      </x:c>
      <x:c r="U178" s="118" t="str">
        <x:v>CLOSED_NATIONAL_DIRECT</x:v>
      </x:c>
      <x:c r="V178" s="118" t="str">
        <x:v>YES</x:v>
      </x:c>
      <x:c r="W178" s="118" t="str">
        <x:v>IMPLEMENT</x:v>
      </x:c>
      <x:c r="X178" s="119" t="b">
        <x:v>1</x:v>
      </x:c>
      <x:c r="Y178" s="118" t="str">
        <x:v>ANME Table 12 directly introduces 200 MW offshore wind by 2040 and 1.4 GW by 2050.</x:v>
      </x:c>
      <x:c r="Z178" s="118" t="str">
        <x:v>Keep separate from onshore wind.</x:v>
      </x:c>
      <x:c r="AA178" s="118" t="str">
        <x:v>https://www.anme.tn/sites/default/files/2025-03/strategie-nationale-er-2050_tunerep.pdf</x:v>
      </x:c>
      <x:c r="AB178" s="127" t="str">
        <x:v>ETX-6R_COUNTRY_CLOSURE</x:v>
      </x:c>
    </x:row>
    <x:row r="179">
      <x:c r="A179" s="126" t="str">
        <x:v>TN</x:v>
      </x:c>
      <x:c r="B179" s="118" t="str">
        <x:v>Tunisia</x:v>
      </x:c>
      <x:c r="C179" s="118" t="str">
        <x:v>TN_BaC_NATIONAL_LONG_RUN</x:v>
      </x:c>
      <x:c r="D179" s="118" t="str">
        <x:v>TN_SIMULATION_READY_NATIONAL_BENCHMARK_WITH_TECHNICAL_PHS_ENERGY_FILL</x:v>
      </x:c>
      <x:c r="E179" s="118" t="str">
        <x:v>MEM_ETX6R_TN_National_Closure_v1.0</x:v>
      </x:c>
      <x:c r="F179" s="118" t="str">
        <x:v>01_TN_CAPACITY_STACK</x:v>
      </x:c>
      <x:c r="G179" s="118" t="n">
        <x:v>19</x:v>
      </x:c>
      <x:c r="H179" s="118" t="str">
        <x:v>Biomass electricity</x:v>
      </x:c>
      <x:c r="I179" s="118" t="str">
        <x:v>biomass</x:v>
      </x:c>
      <x:c r="J179" s="118" t="str">
        <x:v>bioenergy_biomass</x:v>
      </x:c>
      <x:c r="K179" s="118" t="str">
        <x:v>GW</x:v>
      </x:c>
      <x:c r="L179" s="143" t="n">
        <x:v>0.085</x:v>
      </x:c>
      <x:c r="M179" s="118" t="str">
        <x:v>OFFICIAL_SCENARIO_INPUT</x:v>
      </x:c>
      <x:c r="N179" s="118" t="str">
        <x:v>A</x:v>
      </x:c>
      <x:c r="O179" s="118" t="str">
        <x:v>TN_ANME_BAC2050</x:v>
      </x:c>
      <x:c r="P179" s="118" t="str">
        <x:v>CLOSED_NATIONAL_DIRECT</x:v>
      </x:c>
      <x:c r="Q179" s="143" t="n">
        <x:v>0.12</x:v>
      </x:c>
      <x:c r="R179" s="118" t="str">
        <x:v>OFFICIAL_SCENARIO_INPUT</x:v>
      </x:c>
      <x:c r="S179" s="118" t="str">
        <x:v>A</x:v>
      </x:c>
      <x:c r="T179" s="118" t="str">
        <x:v>TN_ANME_BAC2050</x:v>
      </x:c>
      <x:c r="U179" s="118" t="str">
        <x:v>CLOSED_NATIONAL_DIRECT</x:v>
      </x:c>
      <x:c r="V179" s="118" t="str">
        <x:v>YES</x:v>
      </x:c>
      <x:c r="W179" s="118" t="str">
        <x:v>IMPLEMENT</x:v>
      </x:c>
      <x:c r="X179" s="119" t="b">
        <x:v>1</x:v>
      </x:c>
      <x:c r="Y179" s="118" t="str">
        <x:v>ANME Table 12 direct biomass capacity.</x:v>
      </x:c>
      <x:c r="Z179" s="118" t="str">
        <x:v>Generic biomass category; no unsupported split into waste/biogas subcarriers.</x:v>
      </x:c>
      <x:c r="AA179" s="118" t="str">
        <x:v>https://www.anme.tn/sites/default/files/2025-03/strategie-nationale-er-2050_tunerep.pdf</x:v>
      </x:c>
      <x:c r="AB179" s="127" t="str">
        <x:v>ETX-6R_COUNTRY_CLOSURE</x:v>
      </x:c>
    </x:row>
    <x:row r="180">
      <x:c r="A180" s="126" t="str">
        <x:v>TN</x:v>
      </x:c>
      <x:c r="B180" s="118" t="str">
        <x:v>Tunisia</x:v>
      </x:c>
      <x:c r="C180" s="118" t="str">
        <x:v>TN_BaC_NATIONAL_LONG_RUN</x:v>
      </x:c>
      <x:c r="D180" s="118" t="str">
        <x:v>TN_SIMULATION_READY_NATIONAL_BENCHMARK_WITH_TECHNICAL_PHS_ENERGY_FILL</x:v>
      </x:c>
      <x:c r="E180" s="118" t="str">
        <x:v>MEM_ETX6R_TN_National_Closure_v1.0</x:v>
      </x:c>
      <x:c r="F180" s="118" t="str">
        <x:v>01_TN_CAPACITY_STACK</x:v>
      </x:c>
      <x:c r="G180" s="118" t="n">
        <x:v>20</x:v>
      </x:c>
      <x:c r="H180" s="118" t="str">
        <x:v>Geothermal electricity</x:v>
      </x:c>
      <x:c r="I180" s="118" t="str">
        <x:v>geothermal</x:v>
      </x:c>
      <x:c r="J180" s="118" t="str">
        <x:v>geothermal</x:v>
      </x:c>
      <x:c r="K180" s="118" t="str">
        <x:v>GW</x:v>
      </x:c>
      <x:c r="L180" s="143" t="n">
        <x:v>0</x:v>
      </x:c>
      <x:c r="M180" s="118" t="str">
        <x:v>NATIONAL_SCENARIO_TAXONOMY_ZERO</x:v>
      </x:c>
      <x:c r="N180" s="118" t="str">
        <x:v>B</x:v>
      </x:c>
      <x:c r="O180" s="118" t="str">
        <x:v>TN_ANME_BAC2050</x:v>
      </x:c>
      <x:c r="P180" s="118" t="str">
        <x:v>ZERO_SELECTED_SCENARIO</x:v>
      </x:c>
      <x:c r="Q180" s="143" t="n">
        <x:v>0</x:v>
      </x:c>
      <x:c r="R180" s="118" t="str">
        <x:v>NATIONAL_SCENARIO_TAXONOMY_ZERO</x:v>
      </x:c>
      <x:c r="S180" s="118" t="str">
        <x:v>B</x:v>
      </x:c>
      <x:c r="T180" s="118" t="str">
        <x:v>TN_ANME_BAC2050</x:v>
      </x:c>
      <x:c r="U180" s="118" t="str">
        <x:v>ZERO_SELECTED_SCENARIO</x:v>
      </x:c>
      <x:c r="V180" s="118" t="str">
        <x:v>YES</x:v>
      </x:c>
      <x:c r="W180" s="118" t="str">
        <x:v>IMPLEMENT</x:v>
      </x:c>
      <x:c r="X180" s="119" t="b">
        <x:v>1</x:v>
      </x:c>
      <x:c r="Y180" s="118" t="str">
        <x:v>No geothermal-electric capacity is present in the selected national BaC generation taxonomy.</x:v>
      </x:c>
      <x:c r="Z180" s="118" t="str">
        <x:v>Explicit Base zero.</x:v>
      </x:c>
      <x:c r="AA180" s="118" t="str">
        <x:v>https://www.anme.tn/sites/default/files/2025-03/strategie-nationale-er-2050_tunerep.pdf</x:v>
      </x:c>
      <x:c r="AB180" s="127" t="str">
        <x:v>ETX-6R_COUNTRY_CLOSURE</x:v>
      </x:c>
    </x:row>
    <x:row r="181">
      <x:c r="A181" s="126" t="str">
        <x:v>TN</x:v>
      </x:c>
      <x:c r="B181" s="118" t="str">
        <x:v>Tunisia</x:v>
      </x:c>
      <x:c r="C181" s="118" t="str">
        <x:v>TN_BaC_NATIONAL_LONG_RUN</x:v>
      </x:c>
      <x:c r="D181" s="118" t="str">
        <x:v>TN_SIMULATION_READY_NATIONAL_BENCHMARK_WITH_TECHNICAL_PHS_ENERGY_FILL</x:v>
      </x:c>
      <x:c r="E181" s="118" t="str">
        <x:v>MEM_ETX6R_TN_National_Closure_v1.0</x:v>
      </x:c>
      <x:c r="F181" s="118" t="str">
        <x:v>01_TN_CAPACITY_STACK</x:v>
      </x:c>
      <x:c r="G181" s="118" t="n">
        <x:v>21</x:v>
      </x:c>
      <x:c r="H181" s="118" t="str">
        <x:v>Non-PHS hydro</x:v>
      </x:c>
      <x:c r="I181" s="118" t="str">
        <x:v>hydro_non_phs</x:v>
      </x:c>
      <x:c r="J181" s="118" t="str">
        <x:v>hydro_non_phs</x:v>
      </x:c>
      <x:c r="K181" s="118" t="str">
        <x:v>GW</x:v>
      </x:c>
      <x:c r="L181" s="143" t="n">
        <x:v>0.062</x:v>
      </x:c>
      <x:c r="M181" s="118" t="str">
        <x:v>OFFICIAL_EXISTING_FLEET_CARRY_FORWARD</x:v>
      </x:c>
      <x:c r="N181" s="118" t="str">
        <x:v>B</x:v>
      </x:c>
      <x:c r="O181" s="118" t="str">
        <x:v>TN_STEG2024</x:v>
      </x:c>
      <x:c r="P181" s="118" t="str">
        <x:v>CLOSED_NATIONAL_BENCHMARK</x:v>
      </x:c>
      <x:c r="Q181" s="143" t="n">
        <x:v>0.062</x:v>
      </x:c>
      <x:c r="R181" s="118" t="str">
        <x:v>OFFICIAL_EXISTING_FLEET_CARRY_FORWARD</x:v>
      </x:c>
      <x:c r="S181" s="118" t="str">
        <x:v>C</x:v>
      </x:c>
      <x:c r="T181" s="118" t="str">
        <x:v>TN_STEG2024</x:v>
      </x:c>
      <x:c r="U181" s="118" t="str">
        <x:v>CLOSED_NATIONAL_BENCHMARK</x:v>
      </x:c>
      <x:c r="V181" s="118" t="str">
        <x:v>YES</x:v>
      </x:c>
      <x:c r="W181" s="118" t="str">
        <x:v>IMPLEMENT</x:v>
      </x:c>
      <x:c r="X181" s="119" t="b">
        <x:v>1</x:v>
      </x:c>
      <x:c r="Y181" s="118" t="str">
        <x:v>STEG 2024 reports 62 MW hydro. No later national strategy identifies a quantified additional conventional-hydro build.</x:v>
      </x:c>
      <x:c r="Z181" s="118" t="str">
        <x:v>Carry current hydro stock; do not merge it with Oued El Maleh PHS.</x:v>
      </x:c>
      <x:c r="AA181" s="118" t="str">
        <x:v>https://www.steg.com.tn/system/files/pdf/DG_RA_2024_Fr_0.pdf</x:v>
      </x:c>
      <x:c r="AB181" s="127" t="str">
        <x:v>ETX-6R_COUNTRY_CLOSURE</x:v>
      </x:c>
    </x:row>
    <x:row r="182">
      <x:c r="A182" s="126" t="str">
        <x:v>TN</x:v>
      </x:c>
      <x:c r="B182" s="118" t="str">
        <x:v>Tunisia</x:v>
      </x:c>
      <x:c r="C182" s="118" t="str">
        <x:v>TN_BaC_NATIONAL_LONG_RUN</x:v>
      </x:c>
      <x:c r="D182" s="118" t="str">
        <x:v>TN_SIMULATION_READY_NATIONAL_BENCHMARK_WITH_TECHNICAL_PHS_ENERGY_FILL</x:v>
      </x:c>
      <x:c r="E182" s="118" t="str">
        <x:v>MEM_ETX6R_TN_National_Closure_v1.0</x:v>
      </x:c>
      <x:c r="F182" s="118" t="str">
        <x:v>01_TN_CAPACITY_STACK</x:v>
      </x:c>
      <x:c r="G182" s="118" t="n">
        <x:v>22</x:v>
      </x:c>
      <x:c r="H182" s="118" t="str">
        <x:v>PHS turbine / discharge</x:v>
      </x:c>
      <x:c r="I182" s="118" t="str">
        <x:v>phs_discharge</x:v>
      </x:c>
      <x:c r="J182" s="118" t="str">
        <x:v>phs_discharge_power</x:v>
      </x:c>
      <x:c r="K182" s="118" t="str">
        <x:v>GW</x:v>
      </x:c>
      <x:c r="L182" s="143" t="n">
        <x:v>0.4</x:v>
      </x:c>
      <x:c r="M182" s="118" t="str">
        <x:v>OFFICIAL_PROJECT_RANGE_LOWER_BOUND</x:v>
      </x:c>
      <x:c r="N182" s="118" t="str">
        <x:v>B/C</x:v>
      </x:c>
      <x:c r="O182" s="118" t="str">
        <x:v>TN_STEG2011_TN_STRATEGY2035</x:v>
      </x:c>
      <x:c r="P182" s="118" t="str">
        <x:v>CLOSED_NATIONAL_BENCHMARK</x:v>
      </x:c>
      <x:c r="Q182" s="143" t="n">
        <x:v>0.4</x:v>
      </x:c>
      <x:c r="R182" s="118" t="str">
        <x:v>NATIONAL_PROJECT_CARRY_FORWARD</x:v>
      </x:c>
      <x:c r="S182" s="118" t="str">
        <x:v>C</x:v>
      </x:c>
      <x:c r="T182" s="118" t="str">
        <x:v>TN_STEG2011_TN_STRATEGY2035</x:v>
      </x:c>
      <x:c r="U182" s="118" t="str">
        <x:v>CLOSED_NATIONAL_BENCHMARK</x:v>
      </x:c>
      <x:c r="V182" s="118" t="str">
        <x:v>YES</x:v>
      </x:c>
      <x:c r="W182" s="118" t="str">
        <x:v>IMPLEMENT_STORAGE_PAIR</x:v>
      </x:c>
      <x:c r="X182" s="119" t="b">
        <x:v>1</x:v>
      </x:c>
      <x:c r="Y182" s="118" t="str">
        <x:v>STEG official feasibility work gives Oued El Maleh at 400–500 MW; the adopted 2035 strategy requires realization by 2030. The Base takes the conservative 400 MW lower bound.</x:v>
      </x:c>
      <x:c r="Z182" s="118" t="str">
        <x:v>Project timing/design can still move; 500 MW is a natural sensitivity.</x:v>
      </x:c>
      <x:c r="AA182" s="118" t="str">
        <x:v>https://www.steg.com.tn/system/files/pdf/Rap_STEG_2011.pdf</x:v>
      </x:c>
      <x:c r="AB182" s="127" t="str">
        <x:v>ETX-6R_COUNTRY_CLOSURE</x:v>
      </x:c>
    </x:row>
    <x:row r="183">
      <x:c r="A183" s="126" t="str">
        <x:v>TN</x:v>
      </x:c>
      <x:c r="B183" s="118" t="str">
        <x:v>Tunisia</x:v>
      </x:c>
      <x:c r="C183" s="118" t="str">
        <x:v>TN_BaC_NATIONAL_LONG_RUN</x:v>
      </x:c>
      <x:c r="D183" s="118" t="str">
        <x:v>TN_SIMULATION_READY_NATIONAL_BENCHMARK_WITH_TECHNICAL_PHS_ENERGY_FILL</x:v>
      </x:c>
      <x:c r="E183" s="118" t="str">
        <x:v>MEM_ETX6R_TN_National_Closure_v1.0</x:v>
      </x:c>
      <x:c r="F183" s="118" t="str">
        <x:v>01_TN_CAPACITY_STACK</x:v>
      </x:c>
      <x:c r="G183" s="118" t="n">
        <x:v>23</x:v>
      </x:c>
      <x:c r="H183" s="118" t="str">
        <x:v>PHS pump / charge</x:v>
      </x:c>
      <x:c r="I183" s="118" t="str">
        <x:v>phs_charge</x:v>
      </x:c>
      <x:c r="J183" s="118" t="str">
        <x:v>phs_charge_power</x:v>
      </x:c>
      <x:c r="K183" s="118" t="str">
        <x:v>GW</x:v>
      </x:c>
      <x:c r="L183" s="143" t="n">
        <x:v>0.4</x:v>
      </x:c>
      <x:c r="M183" s="118" t="str">
        <x:v>OFFICIAL_PROJECT_RANGE_LOWER_BOUND</x:v>
      </x:c>
      <x:c r="N183" s="118" t="str">
        <x:v>B/C</x:v>
      </x:c>
      <x:c r="O183" s="118" t="str">
        <x:v>TN_STEG2011_TN_STRATEGY2035</x:v>
      </x:c>
      <x:c r="P183" s="118" t="str">
        <x:v>CLOSED_NATIONAL_BENCHMARK</x:v>
      </x:c>
      <x:c r="Q183" s="143" t="n">
        <x:v>0.4</x:v>
      </x:c>
      <x:c r="R183" s="118" t="str">
        <x:v>NATIONAL_PROJECT_CARRY_FORWARD</x:v>
      </x:c>
      <x:c r="S183" s="118" t="str">
        <x:v>C</x:v>
      </x:c>
      <x:c r="T183" s="118" t="str">
        <x:v>TN_STEG2011_TN_STRATEGY2035</x:v>
      </x:c>
      <x:c r="U183" s="118" t="str">
        <x:v>CLOSED_NATIONAL_BENCHMARK</x:v>
      </x:c>
      <x:c r="V183" s="118" t="str">
        <x:v>YES</x:v>
      </x:c>
      <x:c r="W183" s="118" t="str">
        <x:v>IMPLEMENT_STORAGE_PAIR</x:v>
      </x:c>
      <x:c r="X183" s="119" t="b">
        <x:v>1</x:v>
      </x:c>
      <x:c r="Y183" s="118" t="str">
        <x:v>Same Oued El Maleh project; symmetric 400 MW charge benchmark for Stage A.</x:v>
      </x:c>
      <x:c r="Z183" s="118" t="str">
        <x:v>Pair with turbine and energy rows.</x:v>
      </x:c>
      <x:c r="AA183" s="118" t="str">
        <x:v>https://www.steg.com.tn/system/files/pdf/Rap_STEG_2011.pdf</x:v>
      </x:c>
      <x:c r="AB183" s="127" t="str">
        <x:v>ETX-6R_COUNTRY_CLOSURE</x:v>
      </x:c>
    </x:row>
    <x:row r="184">
      <x:c r="A184" s="126" t="str">
        <x:v>TN</x:v>
      </x:c>
      <x:c r="B184" s="118" t="str">
        <x:v>Tunisia</x:v>
      </x:c>
      <x:c r="C184" s="118" t="str">
        <x:v>TN_BaC_NATIONAL_LONG_RUN</x:v>
      </x:c>
      <x:c r="D184" s="118" t="str">
        <x:v>TN_SIMULATION_READY_NATIONAL_BENCHMARK_WITH_TECHNICAL_PHS_ENERGY_FILL</x:v>
      </x:c>
      <x:c r="E184" s="118" t="str">
        <x:v>MEM_ETX6R_TN_National_Closure_v1.0</x:v>
      </x:c>
      <x:c r="F184" s="118" t="str">
        <x:v>01_TN_CAPACITY_STACK</x:v>
      </x:c>
      <x:c r="G184" s="118" t="n">
        <x:v>24</x:v>
      </x:c>
      <x:c r="H184" s="118" t="str">
        <x:v>PHS operational working energy</x:v>
      </x:c>
      <x:c r="I184" s="118" t="str">
        <x:v>phs_energy</x:v>
      </x:c>
      <x:c r="J184" s="118" t="str">
        <x:v>phs_energy</x:v>
      </x:c>
      <x:c r="K184" s="118" t="str">
        <x:v>GWh</x:v>
      </x:c>
      <x:c r="L184" s="143" t="n">
        <x:v>2.4</x:v>
      </x:c>
      <x:c r="M184" s="118" t="str">
        <x:v>TECHNICAL_FIXED_ENERGY_FILL</x:v>
      </x:c>
      <x:c r="N184" s="118" t="str">
        <x:v>C</x:v>
      </x:c>
      <x:c r="O184" s="118" t="str">
        <x:v>TN_PHS_ISL_SECONDARY</x:v>
      </x:c>
      <x:c r="P184" s="118" t="str">
        <x:v>CLOSED_TECHNICAL_FILL</x:v>
      </x:c>
      <x:c r="Q184" s="143" t="n">
        <x:v>2.4</x:v>
      </x:c>
      <x:c r="R184" s="118" t="str">
        <x:v>TECHNICAL_FIXED_ENERGY_FILL_CARRY_FORWARD</x:v>
      </x:c>
      <x:c r="S184" s="118" t="str">
        <x:v>C</x:v>
      </x:c>
      <x:c r="T184" s="118" t="str">
        <x:v>TN_PHS_ISL_SECONDARY</x:v>
      </x:c>
      <x:c r="U184" s="118" t="str">
        <x:v>CLOSED_TECHNICAL_FILL</x:v>
      </x:c>
      <x:c r="V184" s="118" t="str">
        <x:v>YES</x:v>
      </x:c>
      <x:c r="W184" s="118" t="str">
        <x:v>IMPLEMENT_STORAGE_PAIR</x:v>
      </x:c>
      <x:c r="X184" s="119" t="b">
        <x:v>1</x:v>
      </x:c>
      <x:c r="Y184" s="118" t="str">
        <x:v>National sources do not publish storage GWh. A technical study reproducing the ISL/STEG feasibility schedule gives 2,400 MWh/day at 400 MW in the 2030 summer case, equivalent to a 6 h operational discharge-energy benchmark.</x:v>
      </x:c>
      <x:c r="Z184" s="118" t="str">
        <x:v>Not a physical reservoir maximum. This is the only non-national numerical fill in ETX-6R-TN and should remain sensitivity-priority C.</x:v>
      </x:c>
      <x:c r="AA184" s="118" t="str">
        <x:v>https://www.researchgate.net/publication/269303825_MA-REM_A_multi-agent_system_for_renewable_energy_management</x:v>
      </x:c>
      <x:c r="AB184" s="127" t="str">
        <x:v>ETX-6R_COUNTRY_CLOSURE</x:v>
      </x:c>
    </x:row>
    <x:row r="185">
      <x:c r="A185" s="126" t="str">
        <x:v>TN</x:v>
      </x:c>
      <x:c r="B185" s="118" t="str">
        <x:v>Tunisia</x:v>
      </x:c>
      <x:c r="C185" s="118" t="str">
        <x:v>TN_BaC_NATIONAL_LONG_RUN</x:v>
      </x:c>
      <x:c r="D185" s="118" t="str">
        <x:v>TN_SIMULATION_READY_NATIONAL_BENCHMARK_WITH_TECHNICAL_PHS_ENERGY_FILL</x:v>
      </x:c>
      <x:c r="E185" s="118" t="str">
        <x:v>MEM_ETX6R_TN_National_Closure_v1.0</x:v>
      </x:c>
      <x:c r="F185" s="118" t="str">
        <x:v>01_TN_CAPACITY_STACK</x:v>
      </x:c>
      <x:c r="G185" s="118" t="n">
        <x:v>25</x:v>
      </x:c>
      <x:c r="H185" s="118" t="str">
        <x:v>Grid BESS power</x:v>
      </x:c>
      <x:c r="I185" s="118" t="str">
        <x:v>battery_grid_power</x:v>
      </x:c>
      <x:c r="J185" s="118" t="str">
        <x:v>bess_grid_power</x:v>
      </x:c>
      <x:c r="K185" s="118" t="str">
        <x:v>GW</x:v>
      </x:c>
      <x:c r="L185" s="143" t="n">
        <x:v>0.45</x:v>
      </x:c>
      <x:c r="M185" s="118" t="str">
        <x:v>DERIVED_FROM_OFFICIAL_PROJECTS</x:v>
      </x:c>
      <x:c r="N185" s="118" t="str">
        <x:v>B</x:v>
      </x:c>
      <x:c r="O185" s="118" t="str">
        <x:v>TN_STEG_BESS2026_TN_BAZMA2026</x:v>
      </x:c>
      <x:c r="P185" s="118" t="str">
        <x:v>CLOSED_NATIONAL_DERIVED</x:v>
      </x:c>
      <x:c r="Q185" s="143" t="n">
        <x:v>0.45</x:v>
      </x:c>
      <x:c r="R185" s="118" t="str">
        <x:v>NATIONAL_PROJECT_FLOOR_CARRY_FORWARD</x:v>
      </x:c>
      <x:c r="S185" s="118" t="str">
        <x:v>C</x:v>
      </x:c>
      <x:c r="T185" s="118" t="str">
        <x:v>TN_STEG_BESS2026_TN_BAZMA2026</x:v>
      </x:c>
      <x:c r="U185" s="118" t="str">
        <x:v>CLOSED_NATIONAL_DERIVED</x:v>
      </x:c>
      <x:c r="V185" s="118" t="str">
        <x:v>YES</x:v>
      </x:c>
      <x:c r="W185" s="118" t="str">
        <x:v>IMPLEMENT_STORAGE_PAIR</x:v>
      </x:c>
      <x:c r="X185" s="119" t="b">
        <x:v>1</x:v>
      </x:c>
      <x:c r="Y185" s="118" t="str">
        <x:v>2026 official projects: STEG multi-site 300 MW / 600 MWh plus separate Bazma-Kébili 150 MW / 540 MWh BESS.</x:v>
      </x:c>
      <x:c r="Z185" s="118" t="str">
        <x:v>This is a concrete-project floor, not a ceiling on long-run BESS. Treat later storage growth as sensitivity unless an official endpoint is published.</x:v>
      </x:c>
      <x:c r="AA185" s="118" t="str">
        <x:v>https://www.steg.com.tn/fr/call_for_tender/projet-%C2%ABr%C3%A9alisation-des-syst%C3%A8mes-de-stockage-d%E2%80%99%C3%A9nergie-par-batteries-bess-%C2%BB</x:v>
      </x:c>
      <x:c r="AB185" s="127" t="str">
        <x:v>ETX-6R_COUNTRY_CLOSURE</x:v>
      </x:c>
    </x:row>
    <x:row r="186">
      <x:c r="A186" s="126" t="str">
        <x:v>TN</x:v>
      </x:c>
      <x:c r="B186" s="118" t="str">
        <x:v>Tunisia</x:v>
      </x:c>
      <x:c r="C186" s="118" t="str">
        <x:v>TN_BaC_NATIONAL_LONG_RUN</x:v>
      </x:c>
      <x:c r="D186" s="118" t="str">
        <x:v>TN_SIMULATION_READY_NATIONAL_BENCHMARK_WITH_TECHNICAL_PHS_ENERGY_FILL</x:v>
      </x:c>
      <x:c r="E186" s="118" t="str">
        <x:v>MEM_ETX6R_TN_National_Closure_v1.0</x:v>
      </x:c>
      <x:c r="F186" s="118" t="str">
        <x:v>01_TN_CAPACITY_STACK</x:v>
      </x:c>
      <x:c r="G186" s="118" t="n">
        <x:v>26</x:v>
      </x:c>
      <x:c r="H186" s="118" t="str">
        <x:v>Grid BESS energy</x:v>
      </x:c>
      <x:c r="I186" s="118" t="str">
        <x:v>battery_grid_energy</x:v>
      </x:c>
      <x:c r="J186" s="118" t="str">
        <x:v>bess_grid_energy</x:v>
      </x:c>
      <x:c r="K186" s="118" t="str">
        <x:v>GWh</x:v>
      </x:c>
      <x:c r="L186" s="143" t="n">
        <x:v>1.14</x:v>
      </x:c>
      <x:c r="M186" s="118" t="str">
        <x:v>DERIVED_FROM_OFFICIAL_PROJECTS</x:v>
      </x:c>
      <x:c r="N186" s="118" t="str">
        <x:v>B</x:v>
      </x:c>
      <x:c r="O186" s="118" t="str">
        <x:v>TN_STEG_BESS2026_TN_BAZMA2026</x:v>
      </x:c>
      <x:c r="P186" s="118" t="str">
        <x:v>CLOSED_NATIONAL_DERIVED</x:v>
      </x:c>
      <x:c r="Q186" s="143" t="n">
        <x:v>1.14</x:v>
      </x:c>
      <x:c r="R186" s="118" t="str">
        <x:v>NATIONAL_PROJECT_FLOOR_CARRY_FORWARD</x:v>
      </x:c>
      <x:c r="S186" s="118" t="str">
        <x:v>C</x:v>
      </x:c>
      <x:c r="T186" s="118" t="str">
        <x:v>TN_STEG_BESS2026_TN_BAZMA2026</x:v>
      </x:c>
      <x:c r="U186" s="118" t="str">
        <x:v>CLOSED_NATIONAL_DERIVED</x:v>
      </x:c>
      <x:c r="V186" s="118" t="str">
        <x:v>YES</x:v>
      </x:c>
      <x:c r="W186" s="118" t="str">
        <x:v>IMPLEMENT_STORAGE_PAIR</x:v>
      </x:c>
      <x:c r="X186" s="119" t="b">
        <x:v>1</x:v>
      </x:c>
      <x:c r="Y186" s="118" t="str">
        <x:v>600 MWh multi-site + 540 MWh Bazma = 1,140 MWh.</x:v>
      </x:c>
      <x:c r="Z186" s="118" t="str">
        <x:v>Combined nominal duration ≈2.53 h. Keep power and energy as one aggregate storage definition.</x:v>
      </x:c>
      <x:c r="AA186" s="118" t="str">
        <x:v>https://www.steg.com.tn/fr/call_for_tender/projet-%C2%ABr%C3%A9alisation-des-syst%C3%A8mes-de-stockage-d%E2%80%99%C3%A9nergie-par-batteries-bess-%C2%BB</x:v>
      </x:c>
      <x:c r="AB186" s="127" t="str">
        <x:v>ETX-6R_COUNTRY_CLOSURE</x:v>
      </x:c>
    </x:row>
    <x:row r="187">
      <x:c r="A187" s="126" t="str">
        <x:v>TN</x:v>
      </x:c>
      <x:c r="B187" s="118" t="str">
        <x:v>Tunisia</x:v>
      </x:c>
      <x:c r="C187" s="118" t="str">
        <x:v>TN_BaC_NATIONAL_LONG_RUN</x:v>
      </x:c>
      <x:c r="D187" s="118" t="str">
        <x:v>TN_SIMULATION_READY_NATIONAL_BENCHMARK_WITH_TECHNICAL_PHS_ENERGY_FILL</x:v>
      </x:c>
      <x:c r="E187" s="118" t="str">
        <x:v>MEM_ETX6R_TN_National_Closure_v1.0</x:v>
      </x:c>
      <x:c r="F187" s="118" t="str">
        <x:v>01_TN_CAPACITY_STACK</x:v>
      </x:c>
      <x:c r="G187" s="118" t="n">
        <x:v>27</x:v>
      </x:c>
      <x:c r="H187" s="118" t="str">
        <x:v>STEG multi-site BESS power component</x:v>
      </x:c>
      <x:c r="I187" s="118" t="str">
        <x:v>battery_component</x:v>
      </x:c>
      <x:c r="J187" s="118" t="str">
        <x:v>battery_component</x:v>
      </x:c>
      <x:c r="K187" s="118" t="str">
        <x:v>GW</x:v>
      </x:c>
      <x:c r="L187" s="143" t="n">
        <x:v>0.3</x:v>
      </x:c>
      <x:c r="M187" s="118" t="str">
        <x:v>OFFICIAL_PROJECT_INPUT</x:v>
      </x:c>
      <x:c r="N187" s="118" t="str">
        <x:v>A/B</x:v>
      </x:c>
      <x:c r="O187" s="118" t="str">
        <x:v>TN_STEG_BESS2026</x:v>
      </x:c>
      <x:c r="P187" s="118" t="str">
        <x:v>DERIVATION_DETAIL</x:v>
      </x:c>
      <x:c r="Q187" s="143" t="n">
        <x:v>0.3</x:v>
      </x:c>
      <x:c r="R187" s="118" t="str">
        <x:v>PROJECT_COMPONENT_CARRY_FORWARD</x:v>
      </x:c>
      <x:c r="S187" s="118" t="str">
        <x:v>C</x:v>
      </x:c>
      <x:c r="T187" s="118" t="str">
        <x:v>TN_STEG_BESS2026</x:v>
      </x:c>
      <x:c r="U187" s="118" t="str">
        <x:v>DERIVATION_DETAIL</x:v>
      </x:c>
      <x:c r="V187" s="118" t="str">
        <x:v>NO</x:v>
      </x:c>
      <x:c r="W187" s="118" t="str">
        <x:v>DERIVATION_DETAIL_ONLY</x:v>
      </x:c>
      <x:c r="X187" s="119" t="b">
        <x:v>0</x:v>
      </x:c>
      <x:c r="Y187" s="118" t="str">
        <x:v>STEG 2026 turnkey multi-site BESS procurement: 300 MW.</x:v>
      </x:c>
      <x:c r="Z187" s="118" t="str">
        <x:v>Component of aggregate grid BESS; never add separately.</x:v>
      </x:c>
      <x:c r="AA187" s="118" t="str">
        <x:v>https://www.steg.com.tn/fr/call_for_tender/projet-%C2%ABr%C3%A9alisation-des-syst%C3%A8mes-de-stockage-d%E2%80%99%C3%A9nergie-par-batteries-bess-%C2%BB</x:v>
      </x:c>
      <x:c r="AB187" s="127" t="str">
        <x:v>ETX-6R_COUNTRY_CLOSURE</x:v>
      </x:c>
    </x:row>
    <x:row r="188">
      <x:c r="A188" s="126" t="str">
        <x:v>TN</x:v>
      </x:c>
      <x:c r="B188" s="118" t="str">
        <x:v>Tunisia</x:v>
      </x:c>
      <x:c r="C188" s="118" t="str">
        <x:v>TN_BaC_NATIONAL_LONG_RUN</x:v>
      </x:c>
      <x:c r="D188" s="118" t="str">
        <x:v>TN_SIMULATION_READY_NATIONAL_BENCHMARK_WITH_TECHNICAL_PHS_ENERGY_FILL</x:v>
      </x:c>
      <x:c r="E188" s="118" t="str">
        <x:v>MEM_ETX6R_TN_National_Closure_v1.0</x:v>
      </x:c>
      <x:c r="F188" s="118" t="str">
        <x:v>01_TN_CAPACITY_STACK</x:v>
      </x:c>
      <x:c r="G188" s="118" t="n">
        <x:v>28</x:v>
      </x:c>
      <x:c r="H188" s="118" t="str">
        <x:v>STEG multi-site BESS energy component</x:v>
      </x:c>
      <x:c r="I188" s="118" t="str">
        <x:v>battery_component</x:v>
      </x:c>
      <x:c r="J188" s="118" t="str">
        <x:v>battery_component</x:v>
      </x:c>
      <x:c r="K188" s="118" t="str">
        <x:v>GWh</x:v>
      </x:c>
      <x:c r="L188" s="143" t="n">
        <x:v>0.6</x:v>
      </x:c>
      <x:c r="M188" s="118" t="str">
        <x:v>OFFICIAL_PROJECT_INPUT</x:v>
      </x:c>
      <x:c r="N188" s="118" t="str">
        <x:v>A/B</x:v>
      </x:c>
      <x:c r="O188" s="118" t="str">
        <x:v>TN_STEG_BESS2026</x:v>
      </x:c>
      <x:c r="P188" s="118" t="str">
        <x:v>DERIVATION_DETAIL</x:v>
      </x:c>
      <x:c r="Q188" s="143" t="n">
        <x:v>0.6</x:v>
      </x:c>
      <x:c r="R188" s="118" t="str">
        <x:v>PROJECT_COMPONENT_CARRY_FORWARD</x:v>
      </x:c>
      <x:c r="S188" s="118" t="str">
        <x:v>C</x:v>
      </x:c>
      <x:c r="T188" s="118" t="str">
        <x:v>TN_STEG_BESS2026</x:v>
      </x:c>
      <x:c r="U188" s="118" t="str">
        <x:v>DERIVATION_DETAIL</x:v>
      </x:c>
      <x:c r="V188" s="118" t="str">
        <x:v>NO</x:v>
      </x:c>
      <x:c r="W188" s="118" t="str">
        <x:v>DERIVATION_DETAIL_ONLY</x:v>
      </x:c>
      <x:c r="X188" s="119" t="b">
        <x:v>0</x:v>
      </x:c>
      <x:c r="Y188" s="118" t="str">
        <x:v>STEG 2026 turnkey multi-site BESS procurement: 600 MWh.</x:v>
      </x:c>
      <x:c r="Z188" s="118" t="str">
        <x:v>Component of aggregate grid BESS; never add separately.</x:v>
      </x:c>
      <x:c r="AA188" s="118" t="str">
        <x:v>https://www.steg.com.tn/fr/call_for_tender/projet-%C2%ABr%C3%A9alisation-des-syst%C3%A8mes-de-stockage-d%E2%80%99%C3%A9nergie-par-batteries-bess-%C2%BB</x:v>
      </x:c>
      <x:c r="AB188" s="127" t="str">
        <x:v>ETX-6R_COUNTRY_CLOSURE</x:v>
      </x:c>
    </x:row>
    <x:row r="189">
      <x:c r="A189" s="126" t="str">
        <x:v>TN</x:v>
      </x:c>
      <x:c r="B189" s="118" t="str">
        <x:v>Tunisia</x:v>
      </x:c>
      <x:c r="C189" s="118" t="str">
        <x:v>TN_BaC_NATIONAL_LONG_RUN</x:v>
      </x:c>
      <x:c r="D189" s="118" t="str">
        <x:v>TN_SIMULATION_READY_NATIONAL_BENCHMARK_WITH_TECHNICAL_PHS_ENERGY_FILL</x:v>
      </x:c>
      <x:c r="E189" s="118" t="str">
        <x:v>MEM_ETX6R_TN_National_Closure_v1.0</x:v>
      </x:c>
      <x:c r="F189" s="118" t="str">
        <x:v>01_TN_CAPACITY_STACK</x:v>
      </x:c>
      <x:c r="G189" s="118" t="n">
        <x:v>29</x:v>
      </x:c>
      <x:c r="H189" s="118" t="str">
        <x:v>Bazma-Kébili BESS power component</x:v>
      </x:c>
      <x:c r="I189" s="118" t="str">
        <x:v>battery_component</x:v>
      </x:c>
      <x:c r="J189" s="118" t="str">
        <x:v>battery_component</x:v>
      </x:c>
      <x:c r="K189" s="118" t="str">
        <x:v>GW</x:v>
      </x:c>
      <x:c r="L189" s="143" t="n">
        <x:v>0.15</x:v>
      </x:c>
      <x:c r="M189" s="118" t="str">
        <x:v>OFFICIAL_PROJECT_INPUT</x:v>
      </x:c>
      <x:c r="N189" s="118" t="str">
        <x:v>A/B</x:v>
      </x:c>
      <x:c r="O189" s="118" t="str">
        <x:v>TN_BAZMA2026</x:v>
      </x:c>
      <x:c r="P189" s="118" t="str">
        <x:v>DERIVATION_DETAIL</x:v>
      </x:c>
      <x:c r="Q189" s="143" t="n">
        <x:v>0.15</x:v>
      </x:c>
      <x:c r="R189" s="118" t="str">
        <x:v>PROJECT_COMPONENT_CARRY_FORWARD</x:v>
      </x:c>
      <x:c r="S189" s="118" t="str">
        <x:v>C</x:v>
      </x:c>
      <x:c r="T189" s="118" t="str">
        <x:v>TN_BAZMA2026</x:v>
      </x:c>
      <x:c r="U189" s="118" t="str">
        <x:v>DERIVATION_DETAIL</x:v>
      </x:c>
      <x:c r="V189" s="118" t="str">
        <x:v>NO</x:v>
      </x:c>
      <x:c r="W189" s="118" t="str">
        <x:v>DERIVATION_DETAIL_ONLY</x:v>
      </x:c>
      <x:c r="X189" s="119" t="b">
        <x:v>0</x:v>
      </x:c>
      <x:c r="Y189" s="118" t="str">
        <x:v>Ministry 2026 concession call: 300 MW PV with 150 MW / 540 MWh BESS.</x:v>
      </x:c>
      <x:c r="Z189" s="118" t="str">
        <x:v>Battery component only; the 300 MW PV is already inside aggregate Solar PV and must not be added again.</x:v>
      </x:c>
      <x:c r="AA189" s="118" t="str">
        <x:v>https://www.energiemines.gov.tn/fr/tc/annonce/news/appel-doffres-n01-2026-centrale-photovoltaique-avec-systeme-bess-de-bazma-kebili/</x:v>
      </x:c>
      <x:c r="AB189" s="127" t="str">
        <x:v>ETX-6R_COUNTRY_CLOSURE</x:v>
      </x:c>
    </x:row>
    <x:row r="190">
      <x:c r="A190" s="126" t="str">
        <x:v>TN</x:v>
      </x:c>
      <x:c r="B190" s="118" t="str">
        <x:v>Tunisia</x:v>
      </x:c>
      <x:c r="C190" s="118" t="str">
        <x:v>TN_BaC_NATIONAL_LONG_RUN</x:v>
      </x:c>
      <x:c r="D190" s="118" t="str">
        <x:v>TN_SIMULATION_READY_NATIONAL_BENCHMARK_WITH_TECHNICAL_PHS_ENERGY_FILL</x:v>
      </x:c>
      <x:c r="E190" s="118" t="str">
        <x:v>MEM_ETX6R_TN_National_Closure_v1.0</x:v>
      </x:c>
      <x:c r="F190" s="118" t="str">
        <x:v>01_TN_CAPACITY_STACK</x:v>
      </x:c>
      <x:c r="G190" s="118" t="n">
        <x:v>30</x:v>
      </x:c>
      <x:c r="H190" s="118" t="str">
        <x:v>Bazma-Kébili BESS energy component</x:v>
      </x:c>
      <x:c r="I190" s="118" t="str">
        <x:v>battery_component</x:v>
      </x:c>
      <x:c r="J190" s="118" t="str">
        <x:v>battery_component</x:v>
      </x:c>
      <x:c r="K190" s="118" t="str">
        <x:v>GWh</x:v>
      </x:c>
      <x:c r="L190" s="143" t="n">
        <x:v>0.54</x:v>
      </x:c>
      <x:c r="M190" s="118" t="str">
        <x:v>OFFICIAL_PROJECT_INPUT</x:v>
      </x:c>
      <x:c r="N190" s="118" t="str">
        <x:v>A/B</x:v>
      </x:c>
      <x:c r="O190" s="118" t="str">
        <x:v>TN_BAZMA2026</x:v>
      </x:c>
      <x:c r="P190" s="118" t="str">
        <x:v>DERIVATION_DETAIL</x:v>
      </x:c>
      <x:c r="Q190" s="143" t="n">
        <x:v>0.54</x:v>
      </x:c>
      <x:c r="R190" s="118" t="str">
        <x:v>PROJECT_COMPONENT_CARRY_FORWARD</x:v>
      </x:c>
      <x:c r="S190" s="118" t="str">
        <x:v>C</x:v>
      </x:c>
      <x:c r="T190" s="118" t="str">
        <x:v>TN_BAZMA2026</x:v>
      </x:c>
      <x:c r="U190" s="118" t="str">
        <x:v>DERIVATION_DETAIL</x:v>
      </x:c>
      <x:c r="V190" s="118" t="str">
        <x:v>NO</x:v>
      </x:c>
      <x:c r="W190" s="118" t="str">
        <x:v>DERIVATION_DETAIL_ONLY</x:v>
      </x:c>
      <x:c r="X190" s="119" t="b">
        <x:v>0</x:v>
      </x:c>
      <x:c r="Y190" s="118" t="str">
        <x:v>Same Bazma-Kébili project: 540 MWh.</x:v>
      </x:c>
      <x:c r="Z190" s="118" t="str">
        <x:v>Component of aggregate grid BESS; never add separately.</x:v>
      </x:c>
      <x:c r="AA190" s="118" t="str">
        <x:v>https://www.energiemines.gov.tn/fr/tc/annonce/news/appel-doffres-n01-2026-centrale-photovoltaique-avec-systeme-bess-de-bazma-kebili/</x:v>
      </x:c>
      <x:c r="AB190" s="127" t="str">
        <x:v>ETX-6R_COUNTRY_CLOSURE</x:v>
      </x:c>
    </x:row>
    <x:row r="191">
      <x:c r="A191" s="126" t="str">
        <x:v>TN</x:v>
      </x:c>
      <x:c r="B191" s="118" t="str">
        <x:v>Tunisia</x:v>
      </x:c>
      <x:c r="C191" s="118" t="str">
        <x:v>TN_BaC_NATIONAL_LONG_RUN</x:v>
      </x:c>
      <x:c r="D191" s="118" t="str">
        <x:v>TN_SIMULATION_READY_NATIONAL_BENCHMARK_WITH_TECHNICAL_PHS_ENERGY_FILL</x:v>
      </x:c>
      <x:c r="E191" s="118" t="str">
        <x:v>MEM_ETX6R_TN_National_Closure_v1.0</x:v>
      </x:c>
      <x:c r="F191" s="118" t="str">
        <x:v>01_TN_CAPACITY_STACK</x:v>
      </x:c>
      <x:c r="G191" s="118" t="n">
        <x:v>31</x:v>
      </x:c>
      <x:c r="H191" s="118" t="str">
        <x:v>ANME detailed RES total QA</x:v>
      </x:c>
      <x:c r="I191" s="118" t="str">
        <x:v>res_total_detail</x:v>
      </x:c>
      <x:c r="J191" s="118" t="str">
        <x:v>res_total_detail</x:v>
      </x:c>
      <x:c r="K191" s="118" t="str">
        <x:v>GW</x:v>
      </x:c>
      <x:c r="L191" s="143" t="n">
        <x:v>10.455</x:v>
      </x:c>
      <x:c r="M191" s="118" t="str">
        <x:v>QA_RECONCILIATION</x:v>
      </x:c>
      <x:c r="N191" s="118" t="str">
        <x:v>A</x:v>
      </x:c>
      <x:c r="O191" s="118" t="str">
        <x:v>TN_ANME_BAC2050</x:v>
      </x:c>
      <x:c r="P191" s="118" t="str">
        <x:v>QA_CONTROL</x:v>
      </x:c>
      <x:c r="Q191" s="143" t="n">
        <x:v>21.526000000000003</x:v>
      </x:c>
      <x:c r="R191" s="118" t="str">
        <x:v>QA_RECONCILIATION</x:v>
      </x:c>
      <x:c r="S191" s="118" t="str">
        <x:v>A</x:v>
      </x:c>
      <x:c r="T191" s="118" t="str">
        <x:v>TN_ANME_BAC2050</x:v>
      </x:c>
      <x:c r="U191" s="118" t="str">
        <x:v>QA_CONTROL</x:v>
      </x:c>
      <x:c r="V191" s="118" t="str">
        <x:v>NO</x:v>
      </x:c>
      <x:c r="W191" s="118" t="str">
        <x:v>QA_CONTROL_ONLY</x:v>
      </x:c>
      <x:c r="X191" s="119" t="b">
        <x:v>0</x:v>
      </x:c>
      <x:c r="Y191" s="118" t="str">
        <x:v>Sum of onshore wind, offshore wind, PV, CSP and biomass in ANME Table 12.</x:v>
      </x:c>
      <x:c r="Z191" s="118" t="str">
        <x:v>Excludes legacy hydro; QA only.</x:v>
      </x:c>
      <x:c r="AA191" s="118" t="str">
        <x:v>https://www.anme.tn/sites/default/files/2025-03/strategie-nationale-er-2050_tunerep.pdf</x:v>
      </x:c>
      <x:c r="AB191" s="127" t="str">
        <x:v>ETX-6R_COUNTRY_CLOSURE</x:v>
      </x:c>
    </x:row>
    <x:row r="192">
      <x:c r="A192" s="126" t="str">
        <x:v>TN</x:v>
      </x:c>
      <x:c r="B192" s="118" t="str">
        <x:v>Tunisia</x:v>
      </x:c>
      <x:c r="C192" s="118" t="str">
        <x:v>TN_BaC_NATIONAL_LONG_RUN</x:v>
      </x:c>
      <x:c r="D192" s="118" t="str">
        <x:v>TN_SIMULATION_READY_NATIONAL_BENCHMARK_WITH_TECHNICAL_PHS_ENERGY_FILL</x:v>
      </x:c>
      <x:c r="E192" s="118" t="str">
        <x:v>MEM_ETX6R_TN_National_Closure_v1.0</x:v>
      </x:c>
      <x:c r="F192" s="118" t="str">
        <x:v>01_TN_CAPACITY_STACK</x:v>
      </x:c>
      <x:c r="G192" s="118" t="n">
        <x:v>32</x:v>
      </x:c>
      <x:c r="H192" s="118" t="str">
        <x:v>Later SNBC RES total update flag</x:v>
      </x:c>
      <x:c r="I192" s="118" t="str">
        <x:v>res_total_update</x:v>
      </x:c>
      <x:c r="J192" s="118" t="str">
        <x:v>res_total_update</x:v>
      </x:c>
      <x:c r="K192" s="118" t="str">
        <x:v>GW</x:v>
      </x:c>
      <x:c r="L192" s="143"/>
      <x:c r="M192" s="118" t="str">
        <x:v>NOT_PUBLISHED_FOR_2040</x:v>
      </x:c>
      <x:c r="N192" s="118" t="str">
        <x:v>n/a</x:v>
      </x:c>
      <x:c r="O192" s="118" t="str">
        <x:v>TN_SNBC2022</x:v>
      </x:c>
      <x:c r="P192" s="118" t="str">
        <x:v>QA_NOT_PUBLISHED</x:v>
      </x:c>
      <x:c r="Q192" s="143" t="n">
        <x:v>18.3</x:v>
      </x:c>
      <x:c r="R192" s="118" t="str">
        <x:v>OFFICIAL_LATER_AGGREGATE</x:v>
      </x:c>
      <x:c r="S192" s="118" t="str">
        <x:v>B</x:v>
      </x:c>
      <x:c r="T192" s="118" t="str">
        <x:v>TN_SNBC2022</x:v>
      </x:c>
      <x:c r="U192" s="118" t="str">
        <x:v>QA_CONTROL</x:v>
      </x:c>
      <x:c r="V192" s="118" t="str">
        <x:v>NO</x:v>
      </x:c>
      <x:c r="W192" s="118" t="str">
        <x:v>QA_CONTROL_ONLY</x:v>
      </x:c>
      <x:c r="X192" s="119" t="b">
        <x:v>0</x:v>
      </x:c>
      <x:c r="Y192" s="118" t="str">
        <x:v>The later national low-carbon strategy gives about 18.3 GW installed RES in 2050 at 80% renewable electricity, lower than the older detailed 21.526 GW technology total.</x:v>
      </x:c>
      <x:c r="Z192" s="118" t="str">
        <x:v>Do not proportionally rescale ANME technology rows; retain 18.3 GW as an update/vintage flag until a later official technology split is published.</x:v>
      </x:c>
      <x:c r="AA192" s="118" t="str">
        <x:v>https://www.environnement.gov.tn/fileadmin/Bibliotheque/Environnement_en_Tunisie/Revue_info-climat/SNBCRCC.pdf</x:v>
      </x:c>
      <x:c r="AB192" s="127" t="str">
        <x:v>ETX-6R_COUNTRY_CLOSURE</x:v>
      </x:c>
    </x:row>
    <x:row r="193">
      <x:c r="A193" s="126" t="str">
        <x:v>TN</x:v>
      </x:c>
      <x:c r="B193" s="118" t="str">
        <x:v>Tunisia</x:v>
      </x:c>
      <x:c r="C193" s="118" t="str">
        <x:v>TN_BaC_NATIONAL_LONG_RUN</x:v>
      </x:c>
      <x:c r="D193" s="118" t="str">
        <x:v>TN_SIMULATION_READY_NATIONAL_BENCHMARK_WITH_TECHNICAL_PHS_ENERGY_FILL</x:v>
      </x:c>
      <x:c r="E193" s="118" t="str">
        <x:v>MEM_ETX6R_TN_National_Closure_v1.0</x:v>
      </x:c>
      <x:c r="F193" s="118" t="str">
        <x:v>01_TN_CAPACITY_STACK</x:v>
      </x:c>
      <x:c r="G193" s="118" t="n">
        <x:v>33</x:v>
      </x:c>
      <x:c r="H193" s="118" t="str">
        <x:v>ELMED Tunisia–Italy interface QA</x:v>
      </x:c>
      <x:c r="I193" s="118" t="str">
        <x:v>interconnector_capacity</x:v>
      </x:c>
      <x:c r="J193" s="118" t="str">
        <x:v>interconnector_capacity</x:v>
      </x:c>
      <x:c r="K193" s="118" t="str">
        <x:v>GW</x:v>
      </x:c>
      <x:c r="L193" s="143" t="n">
        <x:v>0.6</x:v>
      </x:c>
      <x:c r="M193" s="118" t="str">
        <x:v>OFFICIAL_PROJECT_INPUT</x:v>
      </x:c>
      <x:c r="N193" s="118" t="str">
        <x:v>A</x:v>
      </x:c>
      <x:c r="O193" s="118" t="str">
        <x:v>TN_ELMED_STEG</x:v>
      </x:c>
      <x:c r="P193" s="118" t="str">
        <x:v>QA_INTERFACE_CONTROL</x:v>
      </x:c>
      <x:c r="Q193" s="143" t="n">
        <x:v>0.6</x:v>
      </x:c>
      <x:c r="R193" s="118" t="str">
        <x:v>OFFICIAL_PROJECT_INPUT</x:v>
      </x:c>
      <x:c r="S193" s="118" t="str">
        <x:v>A</x:v>
      </x:c>
      <x:c r="T193" s="118" t="str">
        <x:v>TN_ELMED_STEG</x:v>
      </x:c>
      <x:c r="U193" s="118" t="str">
        <x:v>QA_INTERFACE_CONTROL</x:v>
      </x:c>
      <x:c r="V193" s="118" t="str">
        <x:v>NO</x:v>
      </x:c>
      <x:c r="W193" s="118" t="str">
        <x:v>QA_CONTROL_ONLY</x:v>
      </x:c>
      <x:c r="X193" s="119" t="b">
        <x:v>0</x:v>
      </x:c>
      <x:c r="Y193" s="118" t="str">
        <x:v>STEG project definition: bidirectional HVDC link with 600 MW transfer capacity.</x:v>
      </x:c>
      <x:c r="Z193" s="118" t="str">
        <x:v>Network/interface object only; never create as a generator.</x:v>
      </x:c>
      <x:c r="AA193" s="118" t="str">
        <x:v>https://www.steg.com.tn/system/files/pdf/Project_definition.pdf</x:v>
      </x:c>
      <x:c r="AB193" s="127" t="str">
        <x:v>ETX-6R_COUNTRY_CLOSURE</x:v>
      </x:c>
    </x:row>
    <x:row r="194">
      <x:c r="A194" s="126" t="str">
        <x:v>GR</x:v>
      </x:c>
      <x:c r="B194" s="118" t="str">
        <x:v>Greece</x:v>
      </x:c>
      <x:c r="C194" s="118" t="str">
        <x:v>GR_WAM_FINAL_NECP_2024</x:v>
      </x:c>
      <x:c r="D194" s="118" t="str">
        <x:v>GR_SIMULATION_READY_FINAL_NECP_DIRECT</x:v>
      </x:c>
      <x:c r="E194" s="118" t="str">
        <x:v>GR_FINAL_NECP_2024_LEGACY_CLOSE</x:v>
      </x:c>
      <x:c r="F194" s="118" t="str">
        <x:v>Final NECP Tables 31 / HS-4</x:v>
      </x:c>
      <x:c r="G194" s="118" t="n">
        <x:v>1</x:v>
      </x:c>
      <x:c r="H194" s="118" t="str">
        <x:v>Annual electricity demand</x:v>
      </x:c>
      <x:c r="I194" s="118" t="str">
        <x:v>load</x:v>
      </x:c>
      <x:c r="J194" s="118" t="str">
        <x:v>demand</x:v>
      </x:c>
      <x:c r="K194" s="118" t="str">
        <x:v>TWh</x:v>
      </x:c>
      <x:c r="L194" s="143" t="n">
        <x:v>85.9</x:v>
      </x:c>
      <x:c r="M194" s="118" t="str">
        <x:v>DERIVED_FROM_OFFICIAL_COMPONENTS</x:v>
      </x:c>
      <x:c r="N194" s="118" t="str">
        <x:v>B</x:v>
      </x:c>
      <x:c r="O194" s="118" t="str">
        <x:v>GR_NECP_FINAL</x:v>
      </x:c>
      <x:c r="P194" s="118" t="str">
        <x:v>CLOSED_NATIONAL_DERIVED</x:v>
      </x:c>
      <x:c r="Q194" s="143" t="n">
        <x:v>127.4</x:v>
      </x:c>
      <x:c r="R194" s="118" t="str">
        <x:v>DERIVED_FROM_OFFICIAL_COMPONENTS</x:v>
      </x:c>
      <x:c r="S194" s="118" t="str">
        <x:v>B</x:v>
      </x:c>
      <x:c r="T194" s="118" t="str">
        <x:v>GR_NECP_FINAL</x:v>
      </x:c>
      <x:c r="U194" s="118" t="str">
        <x:v>CLOSED_NATIONAL_DERIVED</x:v>
      </x:c>
      <x:c r="V194" s="118" t="str">
        <x:v>YES</x:v>
      </x:c>
      <x:c r="W194" s="118" t="str">
        <x:v>IMPLEMENT</x:v>
      </x:c>
      <x:c r="X194" s="119" t="b">
        <x:v>1</x:v>
      </x:c>
      <x:c r="Y194" s="118" t="str">
        <x:v>Stage-A bus-load control = net electricity consumption + network losses; storage losses remain endogenous.</x:v>
      </x:c>
      <x:c r="Z194" s="118" t="str">
        <x:v>Net consumption 81.4/122.5 TWh + network losses 4.5/4.9 TWh.</x:v>
      </x:c>
      <x:c r="AA194" s="118" t="str">
        <x:v>https://commission.europa.eu/publications/greece-final-updated-necp-2021-2030-submitted-2025_en</x:v>
      </x:c>
      <x:c r="AB194" s="127" t="str">
        <x:v>ETX-2_ACCEPTED_BASE_PLUS_FINAL_NECP_MECHANICAL_EXTRACTION</x:v>
      </x:c>
    </x:row>
    <x:row r="195">
      <x:c r="A195" s="126" t="str">
        <x:v>GR</x:v>
      </x:c>
      <x:c r="B195" s="118" t="str">
        <x:v>Greece</x:v>
      </x:c>
      <x:c r="C195" s="118" t="str">
        <x:v>GR_WAM_FINAL_NECP_2024</x:v>
      </x:c>
      <x:c r="D195" s="118" t="str">
        <x:v>GR_SIMULATION_READY_FINAL_NECP_DIRECT</x:v>
      </x:c>
      <x:c r="E195" s="118" t="str">
        <x:v>GR_FINAL_NECP_2024_LEGACY_CLOSE</x:v>
      </x:c>
      <x:c r="F195" s="118" t="str">
        <x:v>Final NECP Tables 31 / HS-4</x:v>
      </x:c>
      <x:c r="G195" s="118" t="n">
        <x:v>2</x:v>
      </x:c>
      <x:c r="H195" s="118" t="str">
        <x:v>Nuclear</x:v>
      </x:c>
      <x:c r="I195" s="118" t="str">
        <x:v>nuclear</x:v>
      </x:c>
      <x:c r="J195" s="118" t="str">
        <x:v>nuclear</x:v>
      </x:c>
      <x:c r="K195" s="118" t="str">
        <x:v>GW</x:v>
      </x:c>
      <x:c r="L195" s="143" t="n">
        <x:v>0</x:v>
      </x:c>
      <x:c r="M195" s="118" t="str">
        <x:v>SELECTED_SCENARIO_ZERO</x:v>
      </x:c>
      <x:c r="N195" s="118" t="str">
        <x:v>A</x:v>
      </x:c>
      <x:c r="O195" s="118" t="str">
        <x:v>GR_NECP_FINAL</x:v>
      </x:c>
      <x:c r="P195" s="118" t="str">
        <x:v>ZERO_SELECTED_SCENARIO</x:v>
      </x:c>
      <x:c r="Q195" s="143" t="n">
        <x:v>0</x:v>
      </x:c>
      <x:c r="R195" s="118" t="str">
        <x:v>SELECTED_SCENARIO_ZERO</x:v>
      </x:c>
      <x:c r="S195" s="118" t="str">
        <x:v>A</x:v>
      </x:c>
      <x:c r="T195" s="118" t="str">
        <x:v>GR_NECP_FINAL</x:v>
      </x:c>
      <x:c r="U195" s="118" t="str">
        <x:v>ZERO_SELECTED_SCENARIO</x:v>
      </x:c>
      <x:c r="V195" s="118" t="str">
        <x:v>YES</x:v>
      </x:c>
      <x:c r="W195" s="118" t="str">
        <x:v>IMPLEMENT</x:v>
      </x:c>
      <x:c r="X195" s="119" t="b">
        <x:v>1</x:v>
      </x:c>
      <x:c r="Y195" s="118" t="str">
        <x:v>No nuclear capacity in final WAM generation table.</x:v>
      </x:c>
      <x:c r="Z195" s="118" t="str">
        <x:v>Explicit zero.</x:v>
      </x:c>
      <x:c r="AA195" s="118" t="str">
        <x:v>https://commission.europa.eu/publications/greece-final-updated-necp-2021-2030-submitted-2025_en</x:v>
      </x:c>
      <x:c r="AB195" s="127" t="str">
        <x:v>ETX-2_ACCEPTED_BASE_PLUS_FINAL_NECP_MECHANICAL_EXTRACTION</x:v>
      </x:c>
    </x:row>
    <x:row r="196">
      <x:c r="A196" s="126" t="str">
        <x:v>GR</x:v>
      </x:c>
      <x:c r="B196" s="118" t="str">
        <x:v>Greece</x:v>
      </x:c>
      <x:c r="C196" s="118" t="str">
        <x:v>GR_WAM_FINAL_NECP_2024</x:v>
      </x:c>
      <x:c r="D196" s="118" t="str">
        <x:v>GR_SIMULATION_READY_FINAL_NECP_DIRECT</x:v>
      </x:c>
      <x:c r="E196" s="118" t="str">
        <x:v>GR_FINAL_NECP_2024_LEGACY_CLOSE</x:v>
      </x:c>
      <x:c r="F196" s="118" t="str">
        <x:v>Final NECP Tables 31 / HS-4</x:v>
      </x:c>
      <x:c r="G196" s="118" t="n">
        <x:v>3</x:v>
      </x:c>
      <x:c r="H196" s="118" t="str">
        <x:v>Coal / lignite</x:v>
      </x:c>
      <x:c r="I196" s="118" t="str">
        <x:v>coal_lignite</x:v>
      </x:c>
      <x:c r="J196" s="118" t="str">
        <x:v>coal_lignite</x:v>
      </x:c>
      <x:c r="K196" s="118" t="str">
        <x:v>GW</x:v>
      </x:c>
      <x:c r="L196" s="143" t="n">
        <x:v>0</x:v>
      </x:c>
      <x:c r="M196" s="118" t="str">
        <x:v>OFFICIAL_POLICY_ZERO</x:v>
      </x:c>
      <x:c r="N196" s="118" t="str">
        <x:v>A</x:v>
      </x:c>
      <x:c r="O196" s="118" t="str">
        <x:v>GR_NECP_FINAL</x:v>
      </x:c>
      <x:c r="P196" s="118" t="str">
        <x:v>ZERO_BY_POLICY</x:v>
      </x:c>
      <x:c r="Q196" s="143" t="n">
        <x:v>0</x:v>
      </x:c>
      <x:c r="R196" s="118" t="str">
        <x:v>OFFICIAL_POLICY_ZERO</x:v>
      </x:c>
      <x:c r="S196" s="118" t="str">
        <x:v>A</x:v>
      </x:c>
      <x:c r="T196" s="118" t="str">
        <x:v>GR_NECP_FINAL</x:v>
      </x:c>
      <x:c r="U196" s="118" t="str">
        <x:v>ZERO_BY_POLICY</x:v>
      </x:c>
      <x:c r="V196" s="118" t="str">
        <x:v>YES</x:v>
      </x:c>
      <x:c r="W196" s="118" t="str">
        <x:v>IMPLEMENT</x:v>
      </x:c>
      <x:c r="X196" s="119" t="b">
        <x:v>1</x:v>
      </x:c>
      <x:c r="Y196" s="118" t="str">
        <x:v>Lignite is fully retired before 2040.</x:v>
      </x:c>
      <x:c r="Z196" s="118" t="str">
        <x:v>Explicit zero.</x:v>
      </x:c>
      <x:c r="AA196" s="118" t="str">
        <x:v>https://commission.europa.eu/publications/greece-final-updated-necp-2021-2030-submitted-2025_en</x:v>
      </x:c>
      <x:c r="AB196" s="127" t="str">
        <x:v>ETX-2_ACCEPTED_BASE_PLUS_FINAL_NECP_MECHANICAL_EXTRACTION</x:v>
      </x:c>
    </x:row>
    <x:row r="197">
      <x:c r="A197" s="126" t="str">
        <x:v>GR</x:v>
      </x:c>
      <x:c r="B197" s="118" t="str">
        <x:v>Greece</x:v>
      </x:c>
      <x:c r="C197" s="118" t="str">
        <x:v>GR_WAM_FINAL_NECP_2024</x:v>
      </x:c>
      <x:c r="D197" s="118" t="str">
        <x:v>GR_SIMULATION_READY_FINAL_NECP_DIRECT</x:v>
      </x:c>
      <x:c r="E197" s="118" t="str">
        <x:v>GR_FINAL_NECP_2024_LEGACY_CLOSE</x:v>
      </x:c>
      <x:c r="F197" s="118" t="str">
        <x:v>Final NECP Tables 31 / HS-4</x:v>
      </x:c>
      <x:c r="G197" s="118" t="n">
        <x:v>4</x:v>
      </x:c>
      <x:c r="H197" s="118" t="str">
        <x:v>Oil / petroleum thermal</x:v>
      </x:c>
      <x:c r="I197" s="118" t="str">
        <x:v>thermal_oil</x:v>
      </x:c>
      <x:c r="J197" s="118" t="str">
        <x:v>thermal_oil_liquid</x:v>
      </x:c>
      <x:c r="K197" s="118" t="str">
        <x:v>GW</x:v>
      </x:c>
      <x:c r="L197" s="143" t="n">
        <x:v>0.1</x:v>
      </x:c>
      <x:c r="M197" s="118" t="str">
        <x:v>OFFICIAL_SCENARIO_INPUT</x:v>
      </x:c>
      <x:c r="N197" s="118" t="str">
        <x:v>A</x:v>
      </x:c>
      <x:c r="O197" s="118" t="str">
        <x:v>GR_NECP_FINAL</x:v>
      </x:c>
      <x:c r="P197" s="118" t="str">
        <x:v>CLOSED_NATIONAL_DIRECT</x:v>
      </x:c>
      <x:c r="Q197" s="143" t="n">
        <x:v>0.1</x:v>
      </x:c>
      <x:c r="R197" s="118" t="str">
        <x:v>OFFICIAL_SCENARIO_INPUT</x:v>
      </x:c>
      <x:c r="S197" s="118" t="str">
        <x:v>A</x:v>
      </x:c>
      <x:c r="T197" s="118" t="str">
        <x:v>GR_NECP_FINAL</x:v>
      </x:c>
      <x:c r="U197" s="118" t="str">
        <x:v>CLOSED_NATIONAL_DIRECT</x:v>
      </x:c>
      <x:c r="V197" s="118" t="str">
        <x:v>YES</x:v>
      </x:c>
      <x:c r="W197" s="118" t="str">
        <x:v>IMPLEMENT</x:v>
      </x:c>
      <x:c r="X197" s="119" t="b">
        <x:v>1</x:v>
      </x:c>
      <x:c r="Y197" s="118" t="str">
        <x:v>Final WAM Table 31.</x:v>
      </x:c>
      <x:c r="Z197" s="118" t="str">
        <x:v>Small residual/refinery-linked capacity.</x:v>
      </x:c>
      <x:c r="AA197" s="118" t="str">
        <x:v>https://commission.europa.eu/publications/greece-final-updated-necp-2021-2030-submitted-2025_en</x:v>
      </x:c>
      <x:c r="AB197" s="127" t="str">
        <x:v>ETX-2_ACCEPTED_BASE_PLUS_FINAL_NECP_MECHANICAL_EXTRACTION</x:v>
      </x:c>
    </x:row>
    <x:row r="198">
      <x:c r="A198" s="126" t="str">
        <x:v>GR</x:v>
      </x:c>
      <x:c r="B198" s="118" t="str">
        <x:v>Greece</x:v>
      </x:c>
      <x:c r="C198" s="118" t="str">
        <x:v>GR_WAM_FINAL_NECP_2024</x:v>
      </x:c>
      <x:c r="D198" s="118" t="str">
        <x:v>GR_SIMULATION_READY_FINAL_NECP_DIRECT</x:v>
      </x:c>
      <x:c r="E198" s="118" t="str">
        <x:v>GR_FINAL_NECP_2024_LEGACY_CLOSE</x:v>
      </x:c>
      <x:c r="F198" s="118" t="str">
        <x:v>Final NECP Tables 31 / HS-4</x:v>
      </x:c>
      <x:c r="G198" s="118" t="n">
        <x:v>5</x:v>
      </x:c>
      <x:c r="H198" s="118" t="str">
        <x:v>Natural-gas thermal</x:v>
      </x:c>
      <x:c r="I198" s="118" t="str">
        <x:v>thermal_methane</x:v>
      </x:c>
      <x:c r="J198" s="118" t="str">
        <x:v>thermal_methane_gas</x:v>
      </x:c>
      <x:c r="K198" s="118" t="str">
        <x:v>GW</x:v>
      </x:c>
      <x:c r="L198" s="143" t="n">
        <x:v>5.9</x:v>
      </x:c>
      <x:c r="M198" s="118" t="str">
        <x:v>OFFICIAL_SCENARIO_INPUT</x:v>
      </x:c>
      <x:c r="N198" s="118" t="str">
        <x:v>A</x:v>
      </x:c>
      <x:c r="O198" s="118" t="str">
        <x:v>GR_NECP_FINAL</x:v>
      </x:c>
      <x:c r="P198" s="118" t="str">
        <x:v>CLOSED_NATIONAL_DIRECT</x:v>
      </x:c>
      <x:c r="Q198" s="143" t="n">
        <x:v>5.9</x:v>
      </x:c>
      <x:c r="R198" s="118" t="str">
        <x:v>OFFICIAL_SCENARIO_INPUT</x:v>
      </x:c>
      <x:c r="S198" s="118" t="str">
        <x:v>A</x:v>
      </x:c>
      <x:c r="T198" s="118" t="str">
        <x:v>GR_NECP_FINAL</x:v>
      </x:c>
      <x:c r="U198" s="118" t="str">
        <x:v>CLOSED_NATIONAL_DIRECT</x:v>
      </x:c>
      <x:c r="V198" s="118" t="str">
        <x:v>YES</x:v>
      </x:c>
      <x:c r="W198" s="118" t="str">
        <x:v>IMPLEMENT</x:v>
      </x:c>
      <x:c r="X198" s="119" t="b">
        <x:v>1</x:v>
      </x:c>
      <x:c r="Y198" s="118" t="str">
        <x:v>Final WAM Table 31; stated as indicative maximum/existing-plants basis.</x:v>
      </x:c>
      <x:c r="Z198" s="118" t="str">
        <x:v>Security-of-supply studies may affect realized hot/cold reserve treatment.</x:v>
      </x:c>
      <x:c r="AA198" s="118" t="str">
        <x:v>https://commission.europa.eu/publications/greece-final-updated-necp-2021-2030-submitted-2025_en</x:v>
      </x:c>
      <x:c r="AB198" s="127" t="str">
        <x:v>ETX-2_ACCEPTED_BASE_PLUS_FINAL_NECP_MECHANICAL_EXTRACTION</x:v>
      </x:c>
    </x:row>
    <x:row r="199">
      <x:c r="A199" s="126" t="str">
        <x:v>GR</x:v>
      </x:c>
      <x:c r="B199" s="118" t="str">
        <x:v>Greece</x:v>
      </x:c>
      <x:c r="C199" s="118" t="str">
        <x:v>GR_WAM_FINAL_NECP_2024</x:v>
      </x:c>
      <x:c r="D199" s="118" t="str">
        <x:v>GR_SIMULATION_READY_FINAL_NECP_DIRECT</x:v>
      </x:c>
      <x:c r="E199" s="118" t="str">
        <x:v>GR_FINAL_NECP_2024_LEGACY_CLOSE</x:v>
      </x:c>
      <x:c r="F199" s="118" t="str">
        <x:v>Final NECP Tables 31 / HS-4</x:v>
      </x:c>
      <x:c r="G199" s="118" t="n">
        <x:v>6</x:v>
      </x:c>
      <x:c r="H199" s="118" t="str">
        <x:v>Biomass / biogas</x:v>
      </x:c>
      <x:c r="I199" s="118" t="str">
        <x:v>biomass_biogas</x:v>
      </x:c>
      <x:c r="J199" s="118" t="str">
        <x:v>bioenergy_biomass_biogas</x:v>
      </x:c>
      <x:c r="K199" s="118" t="str">
        <x:v>GW</x:v>
      </x:c>
      <x:c r="L199" s="143" t="n">
        <x:v>0.1</x:v>
      </x:c>
      <x:c r="M199" s="118" t="str">
        <x:v>OFFICIAL_SCENARIO_INPUT</x:v>
      </x:c>
      <x:c r="N199" s="118" t="str">
        <x:v>A</x:v>
      </x:c>
      <x:c r="O199" s="118" t="str">
        <x:v>GR_NECP_FINAL</x:v>
      </x:c>
      <x:c r="P199" s="118" t="str">
        <x:v>CLOSED_NATIONAL_DIRECT</x:v>
      </x:c>
      <x:c r="Q199" s="143" t="n">
        <x:v>0</x:v>
      </x:c>
      <x:c r="R199" s="118" t="str">
        <x:v>OFFICIAL_SCENARIO_INPUT</x:v>
      </x:c>
      <x:c r="S199" s="118" t="str">
        <x:v>A</x:v>
      </x:c>
      <x:c r="T199" s="118" t="str">
        <x:v>GR_NECP_FINAL</x:v>
      </x:c>
      <x:c r="U199" s="118" t="str">
        <x:v>CLOSED_NATIONAL_DIRECT</x:v>
      </x:c>
      <x:c r="V199" s="118" t="str">
        <x:v>YES</x:v>
      </x:c>
      <x:c r="W199" s="118" t="str">
        <x:v>IMPLEMENT</x:v>
      </x:c>
      <x:c r="X199" s="119" t="b">
        <x:v>1</x:v>
      </x:c>
      <x:c r="Y199" s="118" t="str">
        <x:v>Final WAM Table 31.</x:v>
      </x:c>
      <x:c r="Z199" s="118" t="str">
        <x:v>Combined source category preserved.</x:v>
      </x:c>
      <x:c r="AA199" s="118" t="str">
        <x:v>https://commission.europa.eu/publications/greece-final-updated-necp-2021-2030-submitted-2025_en</x:v>
      </x:c>
      <x:c r="AB199" s="127" t="str">
        <x:v>ETX-2_ACCEPTED_BASE_PLUS_FINAL_NECP_MECHANICAL_EXTRACTION</x:v>
      </x:c>
    </x:row>
    <x:row r="200">
      <x:c r="A200" s="126" t="str">
        <x:v>GR</x:v>
      </x:c>
      <x:c r="B200" s="118" t="str">
        <x:v>Greece</x:v>
      </x:c>
      <x:c r="C200" s="118" t="str">
        <x:v>GR_WAM_FINAL_NECP_2024</x:v>
      </x:c>
      <x:c r="D200" s="118" t="str">
        <x:v>GR_SIMULATION_READY_FINAL_NECP_DIRECT</x:v>
      </x:c>
      <x:c r="E200" s="118" t="str">
        <x:v>GR_FINAL_NECP_2024_LEGACY_CLOSE</x:v>
      </x:c>
      <x:c r="F200" s="118" t="str">
        <x:v>Final NECP Tables 31 / HS-4</x:v>
      </x:c>
      <x:c r="G200" s="118" t="n">
        <x:v>7</x:v>
      </x:c>
      <x:c r="H200" s="118" t="str">
        <x:v>Solar PV</x:v>
      </x:c>
      <x:c r="I200" s="118" t="str">
        <x:v>solar</x:v>
      </x:c>
      <x:c r="J200" s="118" t="str">
        <x:v>solar_pv</x:v>
      </x:c>
      <x:c r="K200" s="118" t="str">
        <x:v>GW</x:v>
      </x:c>
      <x:c r="L200" s="143" t="n">
        <x:v>26</x:v>
      </x:c>
      <x:c r="M200" s="118" t="str">
        <x:v>OFFICIAL_SCENARIO_INPUT</x:v>
      </x:c>
      <x:c r="N200" s="118" t="str">
        <x:v>A</x:v>
      </x:c>
      <x:c r="O200" s="118" t="str">
        <x:v>GR_NECP_FINAL</x:v>
      </x:c>
      <x:c r="P200" s="118" t="str">
        <x:v>CLOSED_NATIONAL_DIRECT</x:v>
      </x:c>
      <x:c r="Q200" s="143" t="n">
        <x:v>35.1</x:v>
      </x:c>
      <x:c r="R200" s="118" t="str">
        <x:v>OFFICIAL_SCENARIO_INPUT</x:v>
      </x:c>
      <x:c r="S200" s="118" t="str">
        <x:v>A</x:v>
      </x:c>
      <x:c r="T200" s="118" t="str">
        <x:v>GR_NECP_FINAL</x:v>
      </x:c>
      <x:c r="U200" s="118" t="str">
        <x:v>CLOSED_NATIONAL_DIRECT</x:v>
      </x:c>
      <x:c r="V200" s="118" t="str">
        <x:v>YES</x:v>
      </x:c>
      <x:c r="W200" s="118" t="str">
        <x:v>IMPLEMENT</x:v>
      </x:c>
      <x:c r="X200" s="119" t="b">
        <x:v>1</x:v>
      </x:c>
      <x:c r="Y200" s="118" t="str">
        <x:v>Final WAM Table 31.</x:v>
      </x:c>
      <x:c r="Z200" s="118" t="str">
        <x:v>Direct.</x:v>
      </x:c>
      <x:c r="AA200" s="118" t="str">
        <x:v>https://commission.europa.eu/publications/greece-final-updated-necp-2021-2030-submitted-2025_en</x:v>
      </x:c>
      <x:c r="AB200" s="127" t="str">
        <x:v>ETX-2_ACCEPTED_BASE_PLUS_FINAL_NECP_MECHANICAL_EXTRACTION</x:v>
      </x:c>
    </x:row>
    <x:row r="201">
      <x:c r="A201" s="126" t="str">
        <x:v>GR</x:v>
      </x:c>
      <x:c r="B201" s="118" t="str">
        <x:v>Greece</x:v>
      </x:c>
      <x:c r="C201" s="118" t="str">
        <x:v>GR_WAM_FINAL_NECP_2024</x:v>
      </x:c>
      <x:c r="D201" s="118" t="str">
        <x:v>GR_SIMULATION_READY_FINAL_NECP_DIRECT</x:v>
      </x:c>
      <x:c r="E201" s="118" t="str">
        <x:v>GR_FINAL_NECP_2024_LEGACY_CLOSE</x:v>
      </x:c>
      <x:c r="F201" s="118" t="str">
        <x:v>Final NECP Tables 31 / HS-4</x:v>
      </x:c>
      <x:c r="G201" s="118" t="n">
        <x:v>8</x:v>
      </x:c>
      <x:c r="H201" s="118" t="str">
        <x:v>Onshore wind</x:v>
      </x:c>
      <x:c r="I201" s="118" t="str">
        <x:v>onwind</x:v>
      </x:c>
      <x:c r="J201" s="118" t="str">
        <x:v>wind_onshore</x:v>
      </x:c>
      <x:c r="K201" s="118" t="str">
        <x:v>GW</x:v>
      </x:c>
      <x:c r="L201" s="143" t="n">
        <x:v>11</x:v>
      </x:c>
      <x:c r="M201" s="118" t="str">
        <x:v>OFFICIAL_SCENARIO_INPUT</x:v>
      </x:c>
      <x:c r="N201" s="118" t="str">
        <x:v>A</x:v>
      </x:c>
      <x:c r="O201" s="118" t="str">
        <x:v>GR_NECP_FINAL</x:v>
      </x:c>
      <x:c r="P201" s="118" t="str">
        <x:v>CLOSED_NATIONAL_DIRECT</x:v>
      </x:c>
      <x:c r="Q201" s="143" t="n">
        <x:v>13</x:v>
      </x:c>
      <x:c r="R201" s="118" t="str">
        <x:v>OFFICIAL_SCENARIO_INPUT</x:v>
      </x:c>
      <x:c r="S201" s="118" t="str">
        <x:v>A</x:v>
      </x:c>
      <x:c r="T201" s="118" t="str">
        <x:v>GR_NECP_FINAL</x:v>
      </x:c>
      <x:c r="U201" s="118" t="str">
        <x:v>CLOSED_NATIONAL_DIRECT</x:v>
      </x:c>
      <x:c r="V201" s="118" t="str">
        <x:v>YES</x:v>
      </x:c>
      <x:c r="W201" s="118" t="str">
        <x:v>IMPLEMENT</x:v>
      </x:c>
      <x:c r="X201" s="119" t="b">
        <x:v>1</x:v>
      </x:c>
      <x:c r="Y201" s="118" t="str">
        <x:v>Final WAM Table 31.</x:v>
      </x:c>
      <x:c r="Z201" s="118" t="str">
        <x:v>Direct.</x:v>
      </x:c>
      <x:c r="AA201" s="118" t="str">
        <x:v>https://commission.europa.eu/publications/greece-final-updated-necp-2021-2030-submitted-2025_en</x:v>
      </x:c>
      <x:c r="AB201" s="127" t="str">
        <x:v>ETX-2_ACCEPTED_BASE_PLUS_FINAL_NECP_MECHANICAL_EXTRACTION</x:v>
      </x:c>
    </x:row>
    <x:row r="202">
      <x:c r="A202" s="126" t="str">
        <x:v>GR</x:v>
      </x:c>
      <x:c r="B202" s="118" t="str">
        <x:v>Greece</x:v>
      </x:c>
      <x:c r="C202" s="118" t="str">
        <x:v>GR_WAM_FINAL_NECP_2024</x:v>
      </x:c>
      <x:c r="D202" s="118" t="str">
        <x:v>GR_SIMULATION_READY_FINAL_NECP_DIRECT</x:v>
      </x:c>
      <x:c r="E202" s="118" t="str">
        <x:v>GR_FINAL_NECP_2024_LEGACY_CLOSE</x:v>
      </x:c>
      <x:c r="F202" s="118" t="str">
        <x:v>Final NECP Tables 31 / HS-4</x:v>
      </x:c>
      <x:c r="G202" s="118" t="n">
        <x:v>9</x:v>
      </x:c>
      <x:c r="H202" s="118" t="str">
        <x:v>Offshore wind</x:v>
      </x:c>
      <x:c r="I202" s="118" t="str">
        <x:v>offwind</x:v>
      </x:c>
      <x:c r="J202" s="118" t="str">
        <x:v>wind_offshore</x:v>
      </x:c>
      <x:c r="K202" s="118" t="str">
        <x:v>GW</x:v>
      </x:c>
      <x:c r="L202" s="143" t="n">
        <x:v>5.8</x:v>
      </x:c>
      <x:c r="M202" s="118" t="str">
        <x:v>OFFICIAL_SCENARIO_INPUT</x:v>
      </x:c>
      <x:c r="N202" s="118" t="str">
        <x:v>A</x:v>
      </x:c>
      <x:c r="O202" s="118" t="str">
        <x:v>GR_NECP_FINAL</x:v>
      </x:c>
      <x:c r="P202" s="118" t="str">
        <x:v>CLOSED_NATIONAL_DIRECT</x:v>
      </x:c>
      <x:c r="Q202" s="143" t="n">
        <x:v>11.8</x:v>
      </x:c>
      <x:c r="R202" s="118" t="str">
        <x:v>OFFICIAL_SCENARIO_INPUT</x:v>
      </x:c>
      <x:c r="S202" s="118" t="str">
        <x:v>A</x:v>
      </x:c>
      <x:c r="T202" s="118" t="str">
        <x:v>GR_NECP_FINAL</x:v>
      </x:c>
      <x:c r="U202" s="118" t="str">
        <x:v>CLOSED_NATIONAL_DIRECT</x:v>
      </x:c>
      <x:c r="V202" s="118" t="str">
        <x:v>YES</x:v>
      </x:c>
      <x:c r="W202" s="118" t="str">
        <x:v>IMPLEMENT</x:v>
      </x:c>
      <x:c r="X202" s="119" t="b">
        <x:v>1</x:v>
      </x:c>
      <x:c r="Y202" s="118" t="str">
        <x:v>Final WAM Table 31.</x:v>
      </x:c>
      <x:c r="Z202" s="118" t="str">
        <x:v>Direct.</x:v>
      </x:c>
      <x:c r="AA202" s="118" t="str">
        <x:v>https://commission.europa.eu/publications/greece-final-updated-necp-2021-2030-submitted-2025_en</x:v>
      </x:c>
      <x:c r="AB202" s="127" t="str">
        <x:v>ETX-2_ACCEPTED_BASE_PLUS_FINAL_NECP_MECHANICAL_EXTRACTION</x:v>
      </x:c>
    </x:row>
    <x:row r="203">
      <x:c r="A203" s="126" t="str">
        <x:v>GR</x:v>
      </x:c>
      <x:c r="B203" s="118" t="str">
        <x:v>Greece</x:v>
      </x:c>
      <x:c r="C203" s="118" t="str">
        <x:v>GR_WAM_FINAL_NECP_2024</x:v>
      </x:c>
      <x:c r="D203" s="118" t="str">
        <x:v>GR_SIMULATION_READY_FINAL_NECP_DIRECT</x:v>
      </x:c>
      <x:c r="E203" s="118" t="str">
        <x:v>GR_FINAL_NECP_2024_LEGACY_CLOSE</x:v>
      </x:c>
      <x:c r="F203" s="118" t="str">
        <x:v>Final NECP Tables 31 / HS-4</x:v>
      </x:c>
      <x:c r="G203" s="118" t="n">
        <x:v>10</x:v>
      </x:c>
      <x:c r="H203" s="118" t="str">
        <x:v>Non-storage hydro</x:v>
      </x:c>
      <x:c r="I203" s="118" t="str">
        <x:v>hydro_non_phs</x:v>
      </x:c>
      <x:c r="J203" s="118" t="str">
        <x:v>hydro_non_phs</x:v>
      </x:c>
      <x:c r="K203" s="118" t="str">
        <x:v>GW</x:v>
      </x:c>
      <x:c r="L203" s="143" t="n">
        <x:v>3.8</x:v>
      </x:c>
      <x:c r="M203" s="118" t="str">
        <x:v>OFFICIAL_SCENARIO_INPUT</x:v>
      </x:c>
      <x:c r="N203" s="118" t="str">
        <x:v>A</x:v>
      </x:c>
      <x:c r="O203" s="118" t="str">
        <x:v>GR_NECP_FINAL</x:v>
      </x:c>
      <x:c r="P203" s="118" t="str">
        <x:v>CLOSED_NATIONAL_DIRECT</x:v>
      </x:c>
      <x:c r="Q203" s="143" t="n">
        <x:v>4.5</x:v>
      </x:c>
      <x:c r="R203" s="118" t="str">
        <x:v>OFFICIAL_SCENARIO_INPUT</x:v>
      </x:c>
      <x:c r="S203" s="118" t="str">
        <x:v>A</x:v>
      </x:c>
      <x:c r="T203" s="118" t="str">
        <x:v>GR_NECP_FINAL</x:v>
      </x:c>
      <x:c r="U203" s="118" t="str">
        <x:v>CLOSED_NATIONAL_DIRECT</x:v>
      </x:c>
      <x:c r="V203" s="118" t="str">
        <x:v>YES</x:v>
      </x:c>
      <x:c r="W203" s="118" t="str">
        <x:v>IMPLEMENT</x:v>
      </x:c>
      <x:c r="X203" s="119" t="b">
        <x:v>1</x:v>
      </x:c>
      <x:c r="Y203" s="118" t="str">
        <x:v>Final WAM Table 31 hydro category; storage is separately reported in the same final NECP.</x:v>
      </x:c>
      <x:c r="Z203" s="118" t="str">
        <x:v>Keep distinct from PHS storage rows.</x:v>
      </x:c>
      <x:c r="AA203" s="118" t="str">
        <x:v>https://commission.europa.eu/publications/greece-final-updated-necp-2021-2030-submitted-2025_en</x:v>
      </x:c>
      <x:c r="AB203" s="127" t="str">
        <x:v>ETX-2_ACCEPTED_BASE_PLUS_FINAL_NECP_MECHANICAL_EXTRACTION</x:v>
      </x:c>
    </x:row>
    <x:row r="204">
      <x:c r="A204" s="126" t="str">
        <x:v>GR</x:v>
      </x:c>
      <x:c r="B204" s="118" t="str">
        <x:v>Greece</x:v>
      </x:c>
      <x:c r="C204" s="118" t="str">
        <x:v>GR_WAM_FINAL_NECP_2024</x:v>
      </x:c>
      <x:c r="D204" s="118" t="str">
        <x:v>GR_SIMULATION_READY_FINAL_NECP_DIRECT</x:v>
      </x:c>
      <x:c r="E204" s="118" t="str">
        <x:v>GR_FINAL_NECP_2024_LEGACY_CLOSE</x:v>
      </x:c>
      <x:c r="F204" s="118" t="str">
        <x:v>Final NECP Tables 31 / HS-4</x:v>
      </x:c>
      <x:c r="G204" s="118" t="n">
        <x:v>11</x:v>
      </x:c>
      <x:c r="H204" s="118" t="str">
        <x:v>PHS turbine / discharge power</x:v>
      </x:c>
      <x:c r="I204" s="118" t="str">
        <x:v>phs_turbine</x:v>
      </x:c>
      <x:c r="J204" s="118" t="str">
        <x:v>phs_discharge_power</x:v>
      </x:c>
      <x:c r="K204" s="118" t="str">
        <x:v>GW</x:v>
      </x:c>
      <x:c r="L204" s="143" t="n">
        <x:v>4.464</x:v>
      </x:c>
      <x:c r="M204" s="118" t="str">
        <x:v>OFFICIAL_SCENARIO_INPUT</x:v>
      </x:c>
      <x:c r="N204" s="118" t="str">
        <x:v>A</x:v>
      </x:c>
      <x:c r="O204" s="118" t="str">
        <x:v>GR_NECP_FINAL</x:v>
      </x:c>
      <x:c r="P204" s="118" t="str">
        <x:v>CLOSED_NATIONAL_DIRECT</x:v>
      </x:c>
      <x:c r="Q204" s="143" t="n">
        <x:v>5.453</x:v>
      </x:c>
      <x:c r="R204" s="118" t="str">
        <x:v>OFFICIAL_SCENARIO_INPUT</x:v>
      </x:c>
      <x:c r="S204" s="118" t="str">
        <x:v>A</x:v>
      </x:c>
      <x:c r="T204" s="118" t="str">
        <x:v>GR_NECP_FINAL</x:v>
      </x:c>
      <x:c r="U204" s="118" t="str">
        <x:v>CLOSED_NATIONAL_DIRECT</x:v>
      </x:c>
      <x:c r="V204" s="118" t="str">
        <x:v>YES</x:v>
      </x:c>
      <x:c r="W204" s="118" t="str">
        <x:v>IMPLEMENT_STORAGE_PAIR</x:v>
      </x:c>
      <x:c r="X204" s="119" t="b">
        <x:v>1</x:v>
      </x:c>
      <x:c r="Y204" s="118" t="str">
        <x:v>Final NECP storage Table HS-4 / Figure 43.</x:v>
      </x:c>
      <x:c r="Z204" s="118" t="str">
        <x:v>Stage A uses symmetric charge/discharge rating unless plant-level runtime mapping preserves asymmetry.</x:v>
      </x:c>
      <x:c r="AA204" s="118" t="str">
        <x:v>https://commission.europa.eu/publications/greece-final-updated-necp-2021-2030-submitted-2025_en</x:v>
      </x:c>
      <x:c r="AB204" s="127" t="str">
        <x:v>ETX-2_ACCEPTED_BASE_PLUS_FINAL_NECP_MECHANICAL_EXTRACTION</x:v>
      </x:c>
    </x:row>
    <x:row r="205">
      <x:c r="A205" s="126" t="str">
        <x:v>GR</x:v>
      </x:c>
      <x:c r="B205" s="118" t="str">
        <x:v>Greece</x:v>
      </x:c>
      <x:c r="C205" s="118" t="str">
        <x:v>GR_WAM_FINAL_NECP_2024</x:v>
      </x:c>
      <x:c r="D205" s="118" t="str">
        <x:v>GR_SIMULATION_READY_FINAL_NECP_DIRECT</x:v>
      </x:c>
      <x:c r="E205" s="118" t="str">
        <x:v>GR_FINAL_NECP_2024_LEGACY_CLOSE</x:v>
      </x:c>
      <x:c r="F205" s="118" t="str">
        <x:v>Final NECP Tables 31 / HS-4</x:v>
      </x:c>
      <x:c r="G205" s="118" t="n">
        <x:v>12</x:v>
      </x:c>
      <x:c r="H205" s="118" t="str">
        <x:v>PHS pump / charge power</x:v>
      </x:c>
      <x:c r="I205" s="118" t="str">
        <x:v>phs_pump</x:v>
      </x:c>
      <x:c r="J205" s="118" t="str">
        <x:v>phs_charge_power</x:v>
      </x:c>
      <x:c r="K205" s="118" t="str">
        <x:v>GW</x:v>
      </x:c>
      <x:c r="L205" s="143" t="n">
        <x:v>4.464</x:v>
      </x:c>
      <x:c r="M205" s="118" t="str">
        <x:v>TECHNICAL_SYMMETRIC_MAPPING_FROM_OFFICIAL_PHS_POWER</x:v>
      </x:c>
      <x:c r="N205" s="118" t="str">
        <x:v>C</x:v>
      </x:c>
      <x:c r="O205" s="118" t="str">
        <x:v>GR_NECP_FINAL</x:v>
      </x:c>
      <x:c r="P205" s="118" t="str">
        <x:v>CLOSED_IMPLEMENTATION_MAPPING</x:v>
      </x:c>
      <x:c r="Q205" s="143" t="n">
        <x:v>5.453</x:v>
      </x:c>
      <x:c r="R205" s="118" t="str">
        <x:v>TECHNICAL_SYMMETRIC_MAPPING_FROM_OFFICIAL_PHS_POWER</x:v>
      </x:c>
      <x:c r="S205" s="118" t="str">
        <x:v>C</x:v>
      </x:c>
      <x:c r="T205" s="118" t="str">
        <x:v>GR_NECP_FINAL</x:v>
      </x:c>
      <x:c r="U205" s="118" t="str">
        <x:v>CLOSED_IMPLEMENTATION_MAPPING</x:v>
      </x:c>
      <x:c r="V205" s="118" t="str">
        <x:v>YES</x:v>
      </x:c>
      <x:c r="W205" s="118" t="str">
        <x:v>IMPLEMENT_STORAGE_PAIR</x:v>
      </x:c>
      <x:c r="X205" s="119" t="b">
        <x:v>1</x:v>
      </x:c>
      <x:c r="Y205" s="118" t="str">
        <x:v>The final Greek NECP publishes aggregate PHS installed power but not a distinct pumping rating. Stage A maps the same aggregate MW to charging power to create a usable fixed-capacity storage pair.</x:v>
      </x:c>
      <x:c r="Z205" s="118" t="str">
        <x:v>Symmetric pump/discharge MW is an explicit implementation mapping; replace only if plant-level future pump ratings become authoritative.</x:v>
      </x:c>
      <x:c r="AA205" s="118" t="str">
        <x:v>https://commission.europa.eu/publications/greece-final-updated-necp-2021-2030-submitted-2025_en</x:v>
      </x:c>
      <x:c r="AB205" s="127" t="str">
        <x:v>ETX-2_ACCEPTED_BASE_PLUS_FINAL_NECP_MECHANICAL_EXTRACTION</x:v>
      </x:c>
    </x:row>
    <x:row r="206">
      <x:c r="A206" s="126" t="str">
        <x:v>GR</x:v>
      </x:c>
      <x:c r="B206" s="118" t="str">
        <x:v>Greece</x:v>
      </x:c>
      <x:c r="C206" s="118" t="str">
        <x:v>GR_WAM_FINAL_NECP_2024</x:v>
      </x:c>
      <x:c r="D206" s="118" t="str">
        <x:v>GR_SIMULATION_READY_FINAL_NECP_DIRECT</x:v>
      </x:c>
      <x:c r="E206" s="118" t="str">
        <x:v>GR_FINAL_NECP_2024_LEGACY_CLOSE</x:v>
      </x:c>
      <x:c r="F206" s="118" t="str">
        <x:v>Final NECP Tables 31 / HS-4</x:v>
      </x:c>
      <x:c r="G206" s="118" t="n">
        <x:v>13</x:v>
      </x:c>
      <x:c r="H206" s="118" t="str">
        <x:v>PHS energy capacity</x:v>
      </x:c>
      <x:c r="I206" s="118" t="str">
        <x:v>phs_energy</x:v>
      </x:c>
      <x:c r="J206" s="118" t="str">
        <x:v>phs_energy</x:v>
      </x:c>
      <x:c r="K206" s="118" t="str">
        <x:v>GWh</x:v>
      </x:c>
      <x:c r="L206" s="143" t="n">
        <x:v>52.484</x:v>
      </x:c>
      <x:c r="M206" s="118" t="str">
        <x:v>OFFICIAL_SCENARIO_INPUT</x:v>
      </x:c>
      <x:c r="N206" s="118" t="str">
        <x:v>A</x:v>
      </x:c>
      <x:c r="O206" s="118" t="str">
        <x:v>GR_NECP_FINAL</x:v>
      </x:c>
      <x:c r="P206" s="118" t="str">
        <x:v>CLOSED_NATIONAL_DIRECT</x:v>
      </x:c>
      <x:c r="Q206" s="143" t="n">
        <x:v>66.781</x:v>
      </x:c>
      <x:c r="R206" s="118" t="str">
        <x:v>OFFICIAL_SCENARIO_INPUT</x:v>
      </x:c>
      <x:c r="S206" s="118" t="str">
        <x:v>A</x:v>
      </x:c>
      <x:c r="T206" s="118" t="str">
        <x:v>GR_NECP_FINAL</x:v>
      </x:c>
      <x:c r="U206" s="118" t="str">
        <x:v>CLOSED_NATIONAL_DIRECT</x:v>
      </x:c>
      <x:c r="V206" s="118" t="str">
        <x:v>YES</x:v>
      </x:c>
      <x:c r="W206" s="118" t="str">
        <x:v>IMPLEMENT_STORAGE_PAIR</x:v>
      </x:c>
      <x:c r="X206" s="119" t="b">
        <x:v>1</x:v>
      </x:c>
      <x:c r="Y206" s="118" t="str">
        <x:v>Final NECP storage capacity table.</x:v>
      </x:c>
      <x:c r="Z206" s="118" t="str">
        <x:v>Direct.</x:v>
      </x:c>
      <x:c r="AA206" s="118" t="str">
        <x:v>https://commission.europa.eu/publications/greece-final-updated-necp-2021-2030-submitted-2025_en</x:v>
      </x:c>
      <x:c r="AB206" s="127" t="str">
        <x:v>ETX-2_ACCEPTED_BASE_PLUS_FINAL_NECP_MECHANICAL_EXTRACTION</x:v>
      </x:c>
    </x:row>
    <x:row r="207">
      <x:c r="A207" s="126" t="str">
        <x:v>GR</x:v>
      </x:c>
      <x:c r="B207" s="118" t="str">
        <x:v>Greece</x:v>
      </x:c>
      <x:c r="C207" s="118" t="str">
        <x:v>GR_WAM_FINAL_NECP_2024</x:v>
      </x:c>
      <x:c r="D207" s="118" t="str">
        <x:v>GR_SIMULATION_READY_FINAL_NECP_DIRECT</x:v>
      </x:c>
      <x:c r="E207" s="118" t="str">
        <x:v>GR_FINAL_NECP_2024_LEGACY_CLOSE</x:v>
      </x:c>
      <x:c r="F207" s="118" t="str">
        <x:v>Final NECP Tables 31 / HS-4</x:v>
      </x:c>
      <x:c r="G207" s="118" t="n">
        <x:v>14</x:v>
      </x:c>
      <x:c r="H207" s="118" t="str">
        <x:v>BESS power</x:v>
      </x:c>
      <x:c r="I207" s="118" t="str">
        <x:v>battery_grid_power</x:v>
      </x:c>
      <x:c r="J207" s="118" t="str">
        <x:v>bess_grid_power</x:v>
      </x:c>
      <x:c r="K207" s="118" t="str">
        <x:v>GW</x:v>
      </x:c>
      <x:c r="L207" s="143" t="n">
        <x:v>8.725</x:v>
      </x:c>
      <x:c r="M207" s="118" t="str">
        <x:v>OFFICIAL_SCENARIO_INPUT</x:v>
      </x:c>
      <x:c r="N207" s="118" t="str">
        <x:v>A</x:v>
      </x:c>
      <x:c r="O207" s="118" t="str">
        <x:v>GR_NECP_FINAL</x:v>
      </x:c>
      <x:c r="P207" s="118" t="str">
        <x:v>CLOSED_NATIONAL_DIRECT</x:v>
      </x:c>
      <x:c r="Q207" s="143" t="n">
        <x:v>12.025</x:v>
      </x:c>
      <x:c r="R207" s="118" t="str">
        <x:v>OFFICIAL_SCENARIO_INPUT</x:v>
      </x:c>
      <x:c r="S207" s="118" t="str">
        <x:v>A</x:v>
      </x:c>
      <x:c r="T207" s="118" t="str">
        <x:v>GR_NECP_FINAL</x:v>
      </x:c>
      <x:c r="U207" s="118" t="str">
        <x:v>CLOSED_NATIONAL_DIRECT</x:v>
      </x:c>
      <x:c r="V207" s="118" t="str">
        <x:v>YES</x:v>
      </x:c>
      <x:c r="W207" s="118" t="str">
        <x:v>IMPLEMENT_STORAGE_PAIR</x:v>
      </x:c>
      <x:c r="X207" s="119" t="b">
        <x:v>1</x:v>
      </x:c>
      <x:c r="Y207" s="118" t="str">
        <x:v>Final NECP storage Table HS-4 / Figure 43.</x:v>
      </x:c>
      <x:c r="Z207" s="118" t="str">
        <x:v>Direct national aggregate.</x:v>
      </x:c>
      <x:c r="AA207" s="118" t="str">
        <x:v>https://commission.europa.eu/publications/greece-final-updated-necp-2021-2030-submitted-2025_en</x:v>
      </x:c>
      <x:c r="AB207" s="127" t="str">
        <x:v>ETX-2_ACCEPTED_BASE_PLUS_FINAL_NECP_MECHANICAL_EXTRACTION</x:v>
      </x:c>
    </x:row>
    <x:row r="208">
      <x:c r="A208" s="126" t="str">
        <x:v>GR</x:v>
      </x:c>
      <x:c r="B208" s="118" t="str">
        <x:v>Greece</x:v>
      </x:c>
      <x:c r="C208" s="118" t="str">
        <x:v>GR_WAM_FINAL_NECP_2024</x:v>
      </x:c>
      <x:c r="D208" s="118" t="str">
        <x:v>GR_SIMULATION_READY_FINAL_NECP_DIRECT</x:v>
      </x:c>
      <x:c r="E208" s="118" t="str">
        <x:v>GR_FINAL_NECP_2024_LEGACY_CLOSE</x:v>
      </x:c>
      <x:c r="F208" s="118" t="str">
        <x:v>Final NECP Tables 31 / HS-4</x:v>
      </x:c>
      <x:c r="G208" s="118" t="n">
        <x:v>15</x:v>
      </x:c>
      <x:c r="H208" s="118" t="str">
        <x:v>BESS energy</x:v>
      </x:c>
      <x:c r="I208" s="118" t="str">
        <x:v>battery_grid_energy</x:v>
      </x:c>
      <x:c r="J208" s="118" t="str">
        <x:v>bess_grid_energy</x:v>
      </x:c>
      <x:c r="K208" s="118" t="str">
        <x:v>GWh</x:v>
      </x:c>
      <x:c r="L208" s="143" t="n">
        <x:v>22.457</x:v>
      </x:c>
      <x:c r="M208" s="118" t="str">
        <x:v>OFFICIAL_SCENARIO_INPUT</x:v>
      </x:c>
      <x:c r="N208" s="118" t="str">
        <x:v>A</x:v>
      </x:c>
      <x:c r="O208" s="118" t="str">
        <x:v>GR_NECP_FINAL</x:v>
      </x:c>
      <x:c r="P208" s="118" t="str">
        <x:v>CLOSED_NATIONAL_DIRECT</x:v>
      </x:c>
      <x:c r="Q208" s="143" t="n">
        <x:v>31.252</x:v>
      </x:c>
      <x:c r="R208" s="118" t="str">
        <x:v>OFFICIAL_SCENARIO_INPUT</x:v>
      </x:c>
      <x:c r="S208" s="118" t="str">
        <x:v>A</x:v>
      </x:c>
      <x:c r="T208" s="118" t="str">
        <x:v>GR_NECP_FINAL</x:v>
      </x:c>
      <x:c r="U208" s="118" t="str">
        <x:v>CLOSED_NATIONAL_DIRECT</x:v>
      </x:c>
      <x:c r="V208" s="118" t="str">
        <x:v>YES</x:v>
      </x:c>
      <x:c r="W208" s="118" t="str">
        <x:v>IMPLEMENT_STORAGE_PAIR</x:v>
      </x:c>
      <x:c r="X208" s="119" t="b">
        <x:v>1</x:v>
      </x:c>
      <x:c r="Y208" s="118" t="str">
        <x:v>Final NECP storage capacity table.</x:v>
      </x:c>
      <x:c r="Z208" s="118" t="str">
        <x:v>Direct national aggregate.</x:v>
      </x:c>
      <x:c r="AA208" s="118" t="str">
        <x:v>https://commission.europa.eu/publications/greece-final-updated-necp-2021-2030-submitted-2025_en</x:v>
      </x:c>
      <x:c r="AB208" s="127" t="str">
        <x:v>ETX-2_ACCEPTED_BASE_PLUS_FINAL_NECP_MECHANICAL_EXTRACTION</x:v>
      </x:c>
    </x:row>
    <x:row r="209">
      <x:c r="A209" s="126" t="str">
        <x:v>GR</x:v>
      </x:c>
      <x:c r="B209" s="118" t="str">
        <x:v>Greece</x:v>
      </x:c>
      <x:c r="C209" s="118" t="str">
        <x:v>GR_WAM_FINAL_NECP_2024</x:v>
      </x:c>
      <x:c r="D209" s="118" t="str">
        <x:v>GR_SIMULATION_READY_FINAL_NECP_DIRECT</x:v>
      </x:c>
      <x:c r="E209" s="118" t="str">
        <x:v>GR_FINAL_NECP_2024_LEGACY_CLOSE</x:v>
      </x:c>
      <x:c r="F209" s="118" t="str">
        <x:v>Final NECP Tables 31 / HS-4</x:v>
      </x:c>
      <x:c r="G209" s="118" t="n">
        <x:v>16</x:v>
      </x:c>
      <x:c r="H209" s="118" t="str">
        <x:v>Total installed generation capacity QA</x:v>
      </x:c>
      <x:c r="I209" s="118" t="str">
        <x:v>generation_total</x:v>
      </x:c>
      <x:c r="J209" s="118" t="str">
        <x:v>generation_total</x:v>
      </x:c>
      <x:c r="K209" s="118" t="str">
        <x:v>GW</x:v>
      </x:c>
      <x:c r="L209" s="143" t="n">
        <x:v>53</x:v>
      </x:c>
      <x:c r="M209" s="118" t="str">
        <x:v>QA_RECONCILIATION</x:v>
      </x:c>
      <x:c r="N209" s="118" t="str">
        <x:v>A</x:v>
      </x:c>
      <x:c r="O209" s="118" t="str">
        <x:v>GR_NECP_FINAL</x:v>
      </x:c>
      <x:c r="P209" s="118" t="str">
        <x:v>QA_CONTROL</x:v>
      </x:c>
      <x:c r="Q209" s="143" t="n">
        <x:v>70.7</x:v>
      </x:c>
      <x:c r="R209" s="118" t="str">
        <x:v>QA_RECONCILIATION</x:v>
      </x:c>
      <x:c r="S209" s="118" t="str">
        <x:v>A</x:v>
      </x:c>
      <x:c r="T209" s="118" t="str">
        <x:v>GR_NECP_FINAL</x:v>
      </x:c>
      <x:c r="U209" s="118" t="str">
        <x:v>QA_CONTROL</x:v>
      </x:c>
      <x:c r="V209" s="118" t="str">
        <x:v>QA ONLY</x:v>
      </x:c>
      <x:c r="W209" s="118" t="str">
        <x:v>QA_CONTROL_ONLY</x:v>
      </x:c>
      <x:c r="X209" s="119" t="b">
        <x:v>0</x:v>
      </x:c>
      <x:c r="Y209" s="118" t="str">
        <x:v>Final WAM Table 31 published total.</x:v>
      </x:c>
      <x:c r="Z209" s="118" t="str">
        <x:v>Never create as separate asset.</x:v>
      </x:c>
      <x:c r="AA209" s="118" t="str">
        <x:v>https://commission.europa.eu/publications/greece-final-updated-necp-2021-2030-submitted-2025_en</x:v>
      </x:c>
      <x:c r="AB209" s="127" t="str">
        <x:v>ETX-2_ACCEPTED_BASE_PLUS_FINAL_NECP_MECHANICAL_EXTRACTION</x:v>
      </x:c>
    </x:row>
    <x:row r="210">
      <x:c r="A210" s="126" t="str">
        <x:v>GR</x:v>
      </x:c>
      <x:c r="B210" s="118" t="str">
        <x:v>Greece</x:v>
      </x:c>
      <x:c r="C210" s="118" t="str">
        <x:v>GR_WAM_FINAL_NECP_2024</x:v>
      </x:c>
      <x:c r="D210" s="118" t="str">
        <x:v>GR_SIMULATION_READY_FINAL_NECP_DIRECT</x:v>
      </x:c>
      <x:c r="E210" s="118" t="str">
        <x:v>GR_FINAL_NECP_2024_LEGACY_CLOSE</x:v>
      </x:c>
      <x:c r="F210" s="118" t="str">
        <x:v>Final NECP Tables 31 / HS-4</x:v>
      </x:c>
      <x:c r="G210" s="118" t="n">
        <x:v>17</x:v>
      </x:c>
      <x:c r="H210" s="118" t="str">
        <x:v>Total storage power QA</x:v>
      </x:c>
      <x:c r="I210" s="118" t="str">
        <x:v>storage_total_power</x:v>
      </x:c>
      <x:c r="J210" s="118" t="str">
        <x:v>storage_total_power</x:v>
      </x:c>
      <x:c r="K210" s="118" t="str">
        <x:v>GW</x:v>
      </x:c>
      <x:c r="L210" s="143" t="n">
        <x:v>13.189</x:v>
      </x:c>
      <x:c r="M210" s="118" t="str">
        <x:v>QA_RECONCILIATION</x:v>
      </x:c>
      <x:c r="N210" s="118" t="str">
        <x:v>A</x:v>
      </x:c>
      <x:c r="O210" s="118" t="str">
        <x:v>GR_NECP_FINAL</x:v>
      </x:c>
      <x:c r="P210" s="118" t="str">
        <x:v>QA_CONTROL</x:v>
      </x:c>
      <x:c r="Q210" s="143" t="n">
        <x:v>17.478</x:v>
      </x:c>
      <x:c r="R210" s="118" t="str">
        <x:v>QA_RECONCILIATION</x:v>
      </x:c>
      <x:c r="S210" s="118" t="str">
        <x:v>A</x:v>
      </x:c>
      <x:c r="T210" s="118" t="str">
        <x:v>GR_NECP_FINAL</x:v>
      </x:c>
      <x:c r="U210" s="118" t="str">
        <x:v>QA_CONTROL</x:v>
      </x:c>
      <x:c r="V210" s="118" t="str">
        <x:v>QA ONLY</x:v>
      </x:c>
      <x:c r="W210" s="118" t="str">
        <x:v>QA_CONTROL_ONLY</x:v>
      </x:c>
      <x:c r="X210" s="119" t="b">
        <x:v>0</x:v>
      </x:c>
      <x:c r="Y210" s="118" t="str">
        <x:v>Published final-NECP total storage power.</x:v>
      </x:c>
      <x:c r="Z210" s="118" t="str">
        <x:v>PHS + BESS.</x:v>
      </x:c>
      <x:c r="AA210" s="118" t="str">
        <x:v>https://commission.europa.eu/publications/greece-final-updated-necp-2021-2030-submitted-2025_en</x:v>
      </x:c>
      <x:c r="AB210" s="127" t="str">
        <x:v>ETX-2_ACCEPTED_BASE_PLUS_FINAL_NECP_MECHANICAL_EXTRACTION</x:v>
      </x:c>
    </x:row>
    <x:row r="211">
      <x:c r="A211" s="128" t="str">
        <x:v>GR</x:v>
      </x:c>
      <x:c r="B211" s="129" t="str">
        <x:v>Greece</x:v>
      </x:c>
      <x:c r="C211" s="129" t="str">
        <x:v>GR_WAM_FINAL_NECP_2024</x:v>
      </x:c>
      <x:c r="D211" s="129" t="str">
        <x:v>GR_SIMULATION_READY_FINAL_NECP_DIRECT</x:v>
      </x:c>
      <x:c r="E211" s="129" t="str">
        <x:v>GR_FINAL_NECP_2024_LEGACY_CLOSE</x:v>
      </x:c>
      <x:c r="F211" s="129" t="str">
        <x:v>Final NECP Tables 31 / HS-4</x:v>
      </x:c>
      <x:c r="G211" s="129" t="n">
        <x:v>18</x:v>
      </x:c>
      <x:c r="H211" s="129" t="str">
        <x:v>Total storage energy QA</x:v>
      </x:c>
      <x:c r="I211" s="129" t="str">
        <x:v>storage_total_energy</x:v>
      </x:c>
      <x:c r="J211" s="129" t="str">
        <x:v>storage_total_energy</x:v>
      </x:c>
      <x:c r="K211" s="129" t="str">
        <x:v>GWh</x:v>
      </x:c>
      <x:c r="L211" s="144" t="n">
        <x:v>74.941</x:v>
      </x:c>
      <x:c r="M211" s="129" t="str">
        <x:v>QA_RECONCILIATION</x:v>
      </x:c>
      <x:c r="N211" s="129" t="str">
        <x:v>A</x:v>
      </x:c>
      <x:c r="O211" s="129" t="str">
        <x:v>GR_NECP_FINAL</x:v>
      </x:c>
      <x:c r="P211" s="129" t="str">
        <x:v>QA_CONTROL</x:v>
      </x:c>
      <x:c r="Q211" s="144" t="n">
        <x:v>98.032</x:v>
      </x:c>
      <x:c r="R211" s="129" t="str">
        <x:v>QA_RECONCILIATION</x:v>
      </x:c>
      <x:c r="S211" s="129" t="str">
        <x:v>A</x:v>
      </x:c>
      <x:c r="T211" s="129" t="str">
        <x:v>GR_NECP_FINAL</x:v>
      </x:c>
      <x:c r="U211" s="129" t="str">
        <x:v>QA_CONTROL</x:v>
      </x:c>
      <x:c r="V211" s="129" t="str">
        <x:v>QA ONLY</x:v>
      </x:c>
      <x:c r="W211" s="129" t="str">
        <x:v>QA_CONTROL_ONLY</x:v>
      </x:c>
      <x:c r="X211" s="130" t="b">
        <x:v>0</x:v>
      </x:c>
      <x:c r="Y211" s="129" t="str">
        <x:v>Published final-NECP total storage energy.</x:v>
      </x:c>
      <x:c r="Z211" s="129" t="str">
        <x:v>2050 component sum differs by 0.001 GWh due source rounding.</x:v>
      </x:c>
      <x:c r="AA211" s="129" t="str">
        <x:v>https://commission.europa.eu/publications/greece-final-updated-necp-2021-2030-submitted-2025_en</x:v>
      </x:c>
      <x:c r="AB211" s="131" t="str">
        <x:v>ETX-2_ACCEPTED_BASE_PLUS_FINAL_NECP_MECHANICAL_EXTRACTION</x:v>
      </x:c>
    </x:row>
  </x:sheetData>
  <x:mergeCells>
    <x:mergeCell ref="A1:AB1"/>
    <x:mergeCell ref="A2:AB2"/>
  </x:mergeCells>
  <x:conditionalFormatting sqref="X5:X211">
    <x:cfRule type="expression" dxfId="1" priority="1">
      <x:formula>X5=TRUE</x:formula>
    </x:cfRule>
  </x:conditionalFormatting>
  <x:conditionalFormatting sqref="W5:W211">
    <x:cfRule type="expression" dxfId="2" priority="2">
      <x:formula>W5="QA_CONTROL_ONLY"</x:formula>
    </x:cfRule>
    <x:cfRule type="expression" dxfId="3" priority="3">
      <x:formula>W5="DERIVATION_DETAIL_ONLY"</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5" hidden="0" customWidth="1"/>
    <x:col min="3" max="3" width="27" hidden="0" customWidth="1"/>
    <x:col min="4" max="4" width="31" hidden="0" customWidth="1"/>
    <x:col min="5" max="5" width="25" hidden="0" customWidth="1"/>
    <x:col min="6" max="6" width="25" hidden="0" customWidth="1"/>
    <x:col min="7" max="7" width="9" hidden="0" customWidth="1"/>
    <x:col min="8" max="8" width="13" hidden="0" customWidth="1"/>
    <x:col min="9" max="9" width="13" hidden="0" customWidth="1"/>
    <x:col min="10" max="10" width="26" hidden="0" customWidth="1"/>
    <x:col min="11" max="11" width="34" hidden="0" customWidth="1"/>
    <x:col min="12" max="12" width="11" hidden="0" customWidth="1"/>
    <x:col min="13" max="13" width="34" hidden="0" customWidth="1"/>
    <x:col min="14" max="14" width="11" hidden="0" customWidth="1"/>
    <x:col min="15" max="15" width="26" hidden="0" customWidth="1"/>
    <x:col min="16" max="16" width="26" hidden="0" customWidth="1"/>
    <x:col min="17" max="17" width="32" hidden="0" customWidth="1"/>
    <x:col min="18" max="18" width="9" hidden="0" customWidth="1"/>
    <x:col min="19" max="19" width="66" hidden="0" customWidth="1"/>
  </x:cols>
  <x:sheetData>
    <x:row r="1" ht="28" customHeight="1">
      <x:c r="A1" s="6" t="str">
        <x:v>Runtime inputs — implementation-authoritative rows only</x:v>
      </x:c>
      <x:c r="B1" s="6" t="str">
        <x:v>Runtime inputs — implementation-authoritative rows only</x:v>
      </x:c>
      <x:c r="C1" s="6" t="str">
        <x:v>Runtime inputs — implementation-authoritative rows only</x:v>
      </x:c>
      <x:c r="D1" s="6" t="str">
        <x:v>Runtime inputs — implementation-authoritative rows only</x:v>
      </x:c>
      <x:c r="E1" s="6" t="str">
        <x:v>Runtime inputs — implementation-authoritative rows only</x:v>
      </x:c>
      <x:c r="F1" s="6" t="str">
        <x:v>Runtime inputs — implementation-authoritative rows only</x:v>
      </x:c>
      <x:c r="G1" s="6" t="str">
        <x:v>Runtime inputs — implementation-authoritative rows only</x:v>
      </x:c>
      <x:c r="H1" s="6" t="str">
        <x:v>Runtime inputs — implementation-authoritative rows only</x:v>
      </x:c>
      <x:c r="I1" s="6" t="str">
        <x:v>Runtime inputs — implementation-authoritative rows only</x:v>
      </x:c>
      <x:c r="J1" s="6" t="str">
        <x:v>Runtime inputs — implementation-authoritative rows only</x:v>
      </x:c>
      <x:c r="K1" s="6" t="str">
        <x:v>Runtime inputs — implementation-authoritative rows only</x:v>
      </x:c>
      <x:c r="L1" s="6" t="str">
        <x:v>Runtime inputs — implementation-authoritative rows only</x:v>
      </x:c>
      <x:c r="M1" s="6" t="str">
        <x:v>Runtime inputs — implementation-authoritative rows only</x:v>
      </x:c>
      <x:c r="N1" s="6" t="str">
        <x:v>Runtime inputs — implementation-authoritative rows only</x:v>
      </x:c>
      <x:c r="O1" s="6" t="str">
        <x:v>Runtime inputs — implementation-authoritative rows only</x:v>
      </x:c>
      <x:c r="P1" s="6" t="str">
        <x:v>Runtime inputs — implementation-authoritative rows only</x:v>
      </x:c>
      <x:c r="Q1" s="6" t="str">
        <x:v>Runtime inputs — implementation-authoritative rows only</x:v>
      </x:c>
      <x:c r="R1" s="6" t="str">
        <x:v>Runtime inputs — implementation-authoritative rows only</x:v>
      </x:c>
      <x:c r="S1" s="6" t="str">
        <x:v>Runtime inputs — implementation-authoritative rows only</x:v>
      </x:c>
    </x:row>
    <x:row r="2">
      <x:c r="A2" s="78" t="str">
        <x:v>Only rows whose Runtime Role is IMPLEMENT, IMPLEMENT_TOTAL, IMPLEMENT_STORAGE_PAIR or IMPLEMENT_CARRIER_SPLIT are carried into runtime.</x:v>
      </x:c>
      <x:c r="B2" s="79"/>
      <x:c r="C2" s="79"/>
      <x:c r="D2" s="79"/>
      <x:c r="E2" s="79"/>
      <x:c r="F2" s="79"/>
      <x:c r="G2" s="79"/>
      <x:c r="H2" s="79"/>
      <x:c r="I2" s="79"/>
      <x:c r="J2" s="79"/>
      <x:c r="K2" s="79"/>
      <x:c r="L2" s="79"/>
      <x:c r="M2" s="79"/>
      <x:c r="N2" s="79"/>
      <x:c r="O2" s="79"/>
      <x:c r="P2" s="79"/>
      <x:c r="Q2" s="79"/>
      <x:c r="R2" s="79"/>
      <x:c r="S2" s="80"/>
    </x:row>
    <x:row r="4">
      <x:c r="A4" s="102" t="str">
        <x:v>Country code</x:v>
      </x:c>
      <x:c r="B4" s="103" t="str">
        <x:v>Country</x:v>
      </x:c>
      <x:c r="C4" s="103" t="str">
        <x:v>Selected Base</x:v>
      </x:c>
      <x:c r="D4" s="103" t="str">
        <x:v>Category</x:v>
      </x:c>
      <x:c r="E4" s="103" t="str">
        <x:v>Source group</x:v>
      </x:c>
      <x:c r="F4" s="103" t="str">
        <x:v>Harmonised group</x:v>
      </x:c>
      <x:c r="G4" s="103" t="str">
        <x:v>Unit</x:v>
      </x:c>
      <x:c r="H4" s="103" t="str">
        <x:v>2040 value</x:v>
      </x:c>
      <x:c r="I4" s="103" t="str">
        <x:v>2050 value</x:v>
      </x:c>
      <x:c r="J4" s="103" t="str">
        <x:v>Runtime role</x:v>
      </x:c>
      <x:c r="K4" s="103" t="str">
        <x:v>2040 evidence</x:v>
      </x:c>
      <x:c r="L4" s="103" t="str">
        <x:v>2040 quality</x:v>
      </x:c>
      <x:c r="M4" s="103" t="str">
        <x:v>2050 evidence</x:v>
      </x:c>
      <x:c r="N4" s="103" t="str">
        <x:v>2050 quality</x:v>
      </x:c>
      <x:c r="O4" s="103" t="str">
        <x:v>2040 source ID</x:v>
      </x:c>
      <x:c r="P4" s="103" t="str">
        <x:v>2050 source ID</x:v>
      </x:c>
      <x:c r="Q4" s="103" t="str">
        <x:v>Source workbook</x:v>
      </x:c>
      <x:c r="R4" s="103" t="str">
        <x:v>Source row</x:v>
      </x:c>
      <x:c r="S4" s="104" t="str">
        <x:v>Mapping note</x:v>
      </x:c>
    </x:row>
    <x:row r="5">
      <x:c r="A5" s="122" t="str">
        <x:v>FR</x:v>
      </x:c>
      <x:c r="B5" s="123" t="str">
        <x:v>France</x:v>
      </x:c>
      <x:c r="C5" s="123" t="str">
        <x:v>RTE_2026_N1_MEDIAN_DEMAND</x:v>
      </x:c>
      <x:c r="D5" s="123" t="str">
        <x:v>Annual electricity demand</x:v>
      </x:c>
      <x:c r="E5" s="123" t="str">
        <x:v>load</x:v>
      </x:c>
      <x:c r="F5" s="123" t="str">
        <x:v>demand</x:v>
      </x:c>
      <x:c r="G5" s="123" t="str">
        <x:v>TWh</x:v>
      </x:c>
      <x:c r="H5" s="142" t="n">
        <x:v>650</x:v>
      </x:c>
      <x:c r="I5" s="142" t="n">
        <x:v>850</x:v>
      </x:c>
      <x:c r="J5" s="123" t="str">
        <x:v>IMPLEMENT</x:v>
      </x:c>
      <x:c r="K5" s="123" t="str">
        <x:v>OFFICIAL_CHART_CONTROL</x:v>
      </x:c>
      <x:c r="L5" s="123" t="str">
        <x:v>C</x:v>
      </x:c>
      <x:c r="M5" s="123" t="str">
        <x:v>OFFICIAL_SCENARIO_INPUT</x:v>
      </x:c>
      <x:c r="N5" s="123" t="str">
        <x:v>A</x:v>
      </x:c>
      <x:c r="O5" s="123" t="str">
        <x:v>FR_RTE_FE2026</x:v>
      </x:c>
      <x:c r="P5" s="123" t="str">
        <x:v>FR_RTE_FE2026</x:v>
      </x:c>
      <x:c r="Q5" s="123" t="str">
        <x:v>MEM_ETX6R_FR_National_Closure_v1.2</x:v>
      </x:c>
      <x:c r="R5" s="123" t="n">
        <x:v>5</x:v>
      </x:c>
      <x:c r="S5" s="125" t="str">
        <x:v>2040 chart control; 2050 direct.</x:v>
      </x:c>
    </x:row>
    <x:row r="6">
      <x:c r="A6" s="126" t="str">
        <x:v>FR</x:v>
      </x:c>
      <x:c r="B6" s="118" t="str">
        <x:v>France</x:v>
      </x:c>
      <x:c r="C6" s="118" t="str">
        <x:v>RTE_2026_N1_MEDIAN_DEMAND</x:v>
      </x:c>
      <x:c r="D6" s="118" t="str">
        <x:v>Total nuclear</x:v>
      </x:c>
      <x:c r="E6" s="118" t="str">
        <x:v>nuclear</x:v>
      </x:c>
      <x:c r="F6" s="118" t="str">
        <x:v>nuclear</x:v>
      </x:c>
      <x:c r="G6" s="118" t="str">
        <x:v>GW</x:v>
      </x:c>
      <x:c r="H6" s="143" t="n">
        <x:v>62.25</x:v>
      </x:c>
      <x:c r="I6" s="143" t="n">
        <x:v>54</x:v>
      </x:c>
      <x:c r="J6" s="118" t="str">
        <x:v>IMPLEMENT_TOTAL</x:v>
      </x:c>
      <x:c r="K6" s="118" t="str">
        <x:v>DERIVED_FROM_OFFICIAL_COMPONENTS</x:v>
      </x:c>
      <x:c r="L6" s="118" t="str">
        <x:v>B/C</x:v>
      </x:c>
      <x:c r="M6" s="118" t="str">
        <x:v>OFFICIAL_SCENARIO_INPUT</x:v>
      </x:c>
      <x:c r="N6" s="118" t="str">
        <x:v>A</x:v>
      </x:c>
      <x:c r="O6" s="118" t="str">
        <x:v>FR_RTE_FE2026+EDF_EPR2</x:v>
      </x:c>
      <x:c r="P6" s="118" t="str">
        <x:v>FR_RTE_FE2026</x:v>
      </x:c>
      <x:c r="Q6" s="118" t="str">
        <x:v>MEM_ETX6R_FR_National_Closure_v1.2</x:v>
      </x:c>
      <x:c r="R6" s="118" t="n">
        <x:v>8</x:v>
      </x:c>
      <x:c r="S6" s="127" t="str">
        <x:v>See FR-D02.</x:v>
      </x:c>
    </x:row>
    <x:row r="7">
      <x:c r="A7" s="126" t="str">
        <x:v>FR</x:v>
      </x:c>
      <x:c r="B7" s="118" t="str">
        <x:v>France</x:v>
      </x:c>
      <x:c r="C7" s="118" t="str">
        <x:v>RTE_2026_N1_MEDIAN_DEMAND</x:v>
      </x:c>
      <x:c r="D7" s="118" t="str">
        <x:v>SMR</x:v>
      </x:c>
      <x:c r="E7" s="118" t="str">
        <x:v>smr</x:v>
      </x:c>
      <x:c r="F7" s="118" t="str">
        <x:v>nuclear_smr</x:v>
      </x:c>
      <x:c r="G7" s="118" t="str">
        <x:v>GW</x:v>
      </x:c>
      <x:c r="H7" s="143" t="n">
        <x:v>0</x:v>
      </x:c>
      <x:c r="I7" s="143" t="n">
        <x:v>0</x:v>
      </x:c>
      <x:c r="J7" s="118" t="str">
        <x:v>IMPLEMENT</x:v>
      </x:c>
      <x:c r="K7" s="118" t="str">
        <x:v>SELECTED_SCENARIO_ZERO</x:v>
      </x:c>
      <x:c r="L7" s="118" t="str">
        <x:v>A</x:v>
      </x:c>
      <x:c r="M7" s="118" t="str">
        <x:v>SELECTED_SCENARIO_ZERO</x:v>
      </x:c>
      <x:c r="N7" s="118" t="str">
        <x:v>A</x:v>
      </x:c>
      <x:c r="O7" s="118" t="str">
        <x:v>FR_RTE_FE2026</x:v>
      </x:c>
      <x:c r="P7" s="118" t="str">
        <x:v>FR_RTE_FE2026</x:v>
      </x:c>
      <x:c r="Q7" s="118" t="str">
        <x:v>MEM_ETX6R_FR_National_Closure_v1.2</x:v>
      </x:c>
      <x:c r="R7" s="118" t="n">
        <x:v>9</x:v>
      </x:c>
      <x:c r="S7" s="127"/>
    </x:row>
    <x:row r="8">
      <x:c r="A8" s="126" t="str">
        <x:v>FR</x:v>
      </x:c>
      <x:c r="B8" s="118" t="str">
        <x:v>France</x:v>
      </x:c>
      <x:c r="C8" s="118" t="str">
        <x:v>RTE_2026_N1_MEDIAN_DEMAND</x:v>
      </x:c>
      <x:c r="D8" s="118" t="str">
        <x:v>Solar PV</x:v>
      </x:c>
      <x:c r="E8" s="118" t="str">
        <x:v>solar</x:v>
      </x:c>
      <x:c r="F8" s="118" t="str">
        <x:v>solar_pv</x:v>
      </x:c>
      <x:c r="G8" s="118" t="str">
        <x:v>GW</x:v>
      </x:c>
      <x:c r="H8" s="143" t="n">
        <x:v>87.47635846659034</x:v>
      </x:c>
      <x:c r="I8" s="143" t="n">
        <x:v>145</x:v>
      </x:c>
      <x:c r="J8" s="118" t="str">
        <x:v>IMPLEMENT</x:v>
      </x:c>
      <x:c r="K8" s="118" t="str">
        <x:v>RTE_PRIOR_EDITION_BENCHMARK_DERIVED</x:v>
      </x:c>
      <x:c r="L8" s="118" t="str">
        <x:v>B/C</x:v>
      </x:c>
      <x:c r="M8" s="118" t="str">
        <x:v>OFFICIAL_SCENARIO_INPUT</x:v>
      </x:c>
      <x:c r="N8" s="118" t="str">
        <x:v>A</x:v>
      </x:c>
      <x:c r="O8" s="118" t="str">
        <x:v>FR_RTE_FE2022_CH4+FR_RTE_FE2026+FR_RTE_SDDR2025</x:v>
      </x:c>
      <x:c r="P8" s="118" t="str">
        <x:v>FR_RTE_FE2026</x:v>
      </x:c>
      <x:c r="Q8" s="118" t="str">
        <x:v>MEM_ETX6R_FR_National_Closure_v1.2</x:v>
      </x:c>
      <x:c r="R8" s="118" t="n">
        <x:v>10</x:v>
      </x:c>
      <x:c r="S8" s="127" t="str">
        <x:v>See FR-D06 to FR-D11.</x:v>
      </x:c>
    </x:row>
    <x:row r="9">
      <x:c r="A9" s="126" t="str">
        <x:v>FR</x:v>
      </x:c>
      <x:c r="B9" s="118" t="str">
        <x:v>France</x:v>
      </x:c>
      <x:c r="C9" s="118" t="str">
        <x:v>RTE_2026_N1_MEDIAN_DEMAND</x:v>
      </x:c>
      <x:c r="D9" s="118" t="str">
        <x:v>Onshore wind</x:v>
      </x:c>
      <x:c r="E9" s="118" t="str">
        <x:v>onwind</x:v>
      </x:c>
      <x:c r="F9" s="118" t="str">
        <x:v>wind_onshore</x:v>
      </x:c>
      <x:c r="G9" s="118" t="str">
        <x:v>GW</x:v>
      </x:c>
      <x:c r="H9" s="143" t="n">
        <x:v>47.52364153340965</x:v>
      </x:c>
      <x:c r="I9" s="143" t="n">
        <x:v>65</x:v>
      </x:c>
      <x:c r="J9" s="118" t="str">
        <x:v>IMPLEMENT</x:v>
      </x:c>
      <x:c r="K9" s="118" t="str">
        <x:v>RTE_PRIOR_EDITION_BENCHMARK_DERIVED</x:v>
      </x:c>
      <x:c r="L9" s="118" t="str">
        <x:v>B/C</x:v>
      </x:c>
      <x:c r="M9" s="118" t="str">
        <x:v>OFFICIAL_SCENARIO_INPUT</x:v>
      </x:c>
      <x:c r="N9" s="118" t="str">
        <x:v>A</x:v>
      </x:c>
      <x:c r="O9" s="118" t="str">
        <x:v>FR_RTE_FE2022_CH4+FR_RTE_FE2026+FR_RTE_SDDR2025</x:v>
      </x:c>
      <x:c r="P9" s="118" t="str">
        <x:v>FR_RTE_FE2026</x:v>
      </x:c>
      <x:c r="Q9" s="118" t="str">
        <x:v>MEM_ETX6R_FR_National_Closure_v1.2</x:v>
      </x:c>
      <x:c r="R9" s="118" t="n">
        <x:v>11</x:v>
      </x:c>
      <x:c r="S9" s="127" t="str">
        <x:v>See FR-D07 to FR-D12.</x:v>
      </x:c>
    </x:row>
    <x:row r="10">
      <x:c r="A10" s="126" t="str">
        <x:v>FR</x:v>
      </x:c>
      <x:c r="B10" s="118" t="str">
        <x:v>France</x:v>
      </x:c>
      <x:c r="C10" s="118" t="str">
        <x:v>RTE_2026_N1_MEDIAN_DEMAND</x:v>
      </x:c>
      <x:c r="D10" s="118" t="str">
        <x:v>Offshore wind</x:v>
      </x:c>
      <x:c r="E10" s="118" t="str">
        <x:v>offwind</x:v>
      </x:c>
      <x:c r="F10" s="118" t="str">
        <x:v>wind_offshore</x:v>
      </x:c>
      <x:c r="G10" s="118" t="str">
        <x:v>GW</x:v>
      </x:c>
      <x:c r="H10" s="143" t="n">
        <x:v>26</x:v>
      </x:c>
      <x:c r="I10" s="143" t="n">
        <x:v>40</x:v>
      </x:c>
      <x:c r="J10" s="118" t="str">
        <x:v>IMPLEMENT</x:v>
      </x:c>
      <x:c r="K10" s="118" t="str">
        <x:v>OFFICIAL_NATIONAL_PLANNING_INPUT</x:v>
      </x:c>
      <x:c r="L10" s="118" t="str">
        <x:v>A</x:v>
      </x:c>
      <x:c r="M10" s="118" t="str">
        <x:v>OFFICIAL_SCENARIO_INPUT</x:v>
      </x:c>
      <x:c r="N10" s="118" t="str">
        <x:v>A</x:v>
      </x:c>
      <x:c r="O10" s="118" t="str">
        <x:v>FR_RTE_FE2026</x:v>
      </x:c>
      <x:c r="P10" s="118" t="str">
        <x:v>FR_RTE_FE2026</x:v>
      </x:c>
      <x:c r="Q10" s="118" t="str">
        <x:v>MEM_ETX6R_FR_National_Closure_v1.2</x:v>
      </x:c>
      <x:c r="R10" s="118" t="n">
        <x:v>13</x:v>
      </x:c>
      <x:c r="S10" s="127"/>
    </x:row>
    <x:row r="11">
      <x:c r="A11" s="126" t="str">
        <x:v>FR</x:v>
      </x:c>
      <x:c r="B11" s="118" t="str">
        <x:v>France</x:v>
      </x:c>
      <x:c r="C11" s="118" t="str">
        <x:v>RTE_2026_N1_MEDIAN_DEMAND</x:v>
      </x:c>
      <x:c r="D11" s="118" t="str">
        <x:v>Hydro excluding PHS</x:v>
      </x:c>
      <x:c r="E11" s="118" t="str">
        <x:v>hydro_non_phs</x:v>
      </x:c>
      <x:c r="F11" s="118" t="str">
        <x:v>hydro_non_phs</x:v>
      </x:c>
      <x:c r="G11" s="118" t="str">
        <x:v>GW</x:v>
      </x:c>
      <x:c r="H11" s="143" t="n">
        <x:v>22</x:v>
      </x:c>
      <x:c r="I11" s="143" t="n">
        <x:v>22</x:v>
      </x:c>
      <x:c r="J11" s="118" t="str">
        <x:v>IMPLEMENT</x:v>
      </x:c>
      <x:c r="K11" s="118" t="str">
        <x:v>DERIVED_FROM_OFFICIAL_COMPONENTS</x:v>
      </x:c>
      <x:c r="L11" s="118" t="str">
        <x:v>B</x:v>
      </x:c>
      <x:c r="M11" s="118" t="str">
        <x:v>DERIVED_FROM_OFFICIAL_COMPONENTS</x:v>
      </x:c>
      <x:c r="N11" s="118" t="str">
        <x:v>B</x:v>
      </x:c>
      <x:c r="O11" s="118" t="str">
        <x:v>FR_RTE_FE2026</x:v>
      </x:c>
      <x:c r="P11" s="118" t="str">
        <x:v>FR_RTE_FE2026</x:v>
      </x:c>
      <x:c r="Q11" s="118" t="str">
        <x:v>MEM_ETX6R_FR_National_Closure_v1.2</x:v>
      </x:c>
      <x:c r="R11" s="118" t="n">
        <x:v>14</x:v>
      </x:c>
      <x:c r="S11" s="127" t="str">
        <x:v>RoR/reservoir split is implementation mapping.</x:v>
      </x:c>
    </x:row>
    <x:row r="12">
      <x:c r="A12" s="126" t="str">
        <x:v>FR</x:v>
      </x:c>
      <x:c r="B12" s="118" t="str">
        <x:v>France</x:v>
      </x:c>
      <x:c r="C12" s="118" t="str">
        <x:v>RTE_2026_N1_MEDIAN_DEMAND</x:v>
      </x:c>
      <x:c r="D12" s="118" t="str">
        <x:v>Pumped storage power</x:v>
      </x:c>
      <x:c r="E12" s="118" t="str">
        <x:v>PHS_power</x:v>
      </x:c>
      <x:c r="F12" s="118" t="str">
        <x:v>phs_discharge_power</x:v>
      </x:c>
      <x:c r="G12" s="118" t="str">
        <x:v>GW</x:v>
      </x:c>
      <x:c r="H12" s="143" t="n">
        <x:v>7.3</x:v>
      </x:c>
      <x:c r="I12" s="143" t="n">
        <x:v>8.5</x:v>
      </x:c>
      <x:c r="J12" s="118" t="str">
        <x:v>IMPLEMENT_STORAGE_PAIR</x:v>
      </x:c>
      <x:c r="K12" s="118" t="str">
        <x:v>DERIVED_FROM_OFFICIAL_COMPONENTS</x:v>
      </x:c>
      <x:c r="L12" s="118" t="str">
        <x:v>B/C</x:v>
      </x:c>
      <x:c r="M12" s="118" t="str">
        <x:v>OFFICIAL_COMMON_TECH_ASSUMPTION</x:v>
      </x:c>
      <x:c r="N12" s="118" t="str">
        <x:v>A/B</x:v>
      </x:c>
      <x:c r="O12" s="118" t="str">
        <x:v>FR_PPE3+FR_RTE_FE2026</x:v>
      </x:c>
      <x:c r="P12" s="118" t="str">
        <x:v>FR_RTE_FE2026</x:v>
      </x:c>
      <x:c r="Q12" s="118" t="str">
        <x:v>MEM_ETX6R_FR_National_Closure_v1.2</x:v>
      </x:c>
      <x:c r="R12" s="118" t="n">
        <x:v>15</x:v>
      </x:c>
      <x:c r="S12" s="127" t="str">
        <x:v>See FR-D03.</x:v>
      </x:c>
    </x:row>
    <x:row r="13">
      <x:c r="A13" s="126" t="str">
        <x:v>FR</x:v>
      </x:c>
      <x:c r="B13" s="118" t="str">
        <x:v>France</x:v>
      </x:c>
      <x:c r="C13" s="118" t="str">
        <x:v>RTE_2026_N1_MEDIAN_DEMAND</x:v>
      </x:c>
      <x:c r="D13" s="118" t="str">
        <x:v>Pumped storage energy</x:v>
      </x:c>
      <x:c r="E13" s="118" t="str">
        <x:v>PHS_energy</x:v>
      </x:c>
      <x:c r="F13" s="118" t="str">
        <x:v>phs_energy</x:v>
      </x:c>
      <x:c r="G13" s="118" t="str">
        <x:v>GWh</x:v>
      </x:c>
      <x:c r="H13" s="143" t="n">
        <x:v>146</x:v>
      </x:c>
      <x:c r="I13" s="143" t="n">
        <x:v>170</x:v>
      </x:c>
      <x:c r="J13" s="118" t="str">
        <x:v>IMPLEMENT_STORAGE_PAIR</x:v>
      </x:c>
      <x:c r="K13" s="118" t="str">
        <x:v>DERIVED_FROM_OFFICIAL_COMPONENTS</x:v>
      </x:c>
      <x:c r="L13" s="118" t="str">
        <x:v>B/C</x:v>
      </x:c>
      <x:c r="M13" s="118" t="str">
        <x:v>OFFICIAL_COMMON_TECH_ASSUMPTION</x:v>
      </x:c>
      <x:c r="N13" s="118" t="str">
        <x:v>A/B</x:v>
      </x:c>
      <x:c r="O13" s="118" t="str">
        <x:v>FR_PPE3+FR_RTE_FE2026</x:v>
      </x:c>
      <x:c r="P13" s="118" t="str">
        <x:v>FR_RTE_FE2026</x:v>
      </x:c>
      <x:c r="Q13" s="118" t="str">
        <x:v>MEM_ETX6R_FR_National_Closure_v1.2</x:v>
      </x:c>
      <x:c r="R13" s="118" t="n">
        <x:v>16</x:v>
      </x:c>
      <x:c r="S13" s="127" t="str">
        <x:v>See FR-D04.</x:v>
      </x:c>
    </x:row>
    <x:row r="14">
      <x:c r="A14" s="126" t="str">
        <x:v>FR</x:v>
      </x:c>
      <x:c r="B14" s="118" t="str">
        <x:v>France</x:v>
      </x:c>
      <x:c r="C14" s="118" t="str">
        <x:v>RTE_2026_N1_MEDIAN_DEMAND</x:v>
      </x:c>
      <x:c r="D14" s="118" t="str">
        <x:v>BESS power</x:v>
      </x:c>
      <x:c r="E14" s="118" t="str">
        <x:v>battery_power</x:v>
      </x:c>
      <x:c r="F14" s="118" t="str">
        <x:v>bess_grid_power</x:v>
      </x:c>
      <x:c r="G14" s="118" t="str">
        <x:v>GW</x:v>
      </x:c>
      <x:c r="H14" s="143" t="n">
        <x:v>2.117702448210923</x:v>
      </x:c>
      <x:c r="I14" s="143" t="n">
        <x:v>11.059322033898306</x:v>
      </x:c>
      <x:c r="J14" s="118" t="str">
        <x:v>IMPLEMENT_STORAGE_PAIR</x:v>
      </x:c>
      <x:c r="K14" s="118" t="str">
        <x:v>RTE_PRIOR_EDITION_BENCHMARK_DERIVED</x:v>
      </x:c>
      <x:c r="L14" s="118" t="str">
        <x:v>C</x:v>
      </x:c>
      <x:c r="M14" s="118" t="str">
        <x:v>RTE_PRIOR_EDITION_BENCHMARK_DERIVED</x:v>
      </x:c>
      <x:c r="N14" s="118" t="str">
        <x:v>B/C</x:v>
      </x:c>
      <x:c r="O14" s="118" t="str">
        <x:v>FR_RTE_FE2022_CH7+FR_RTE_FE2026</x:v>
      </x:c>
      <x:c r="P14" s="118" t="str">
        <x:v>FR_RTE_FE2022_CH5+FR_RTE_FE2026</x:v>
      </x:c>
      <x:c r="Q14" s="118" t="str">
        <x:v>MEM_ETX6R_FR_National_Closure_v1.2</x:v>
      </x:c>
      <x:c r="R14" s="118" t="n">
        <x:v>17</x:v>
      </x:c>
      <x:c r="S14" s="127" t="str">
        <x:v>See FR-D13 to FR-D14.</x:v>
      </x:c>
    </x:row>
    <x:row r="15">
      <x:c r="A15" s="126" t="str">
        <x:v>FR</x:v>
      </x:c>
      <x:c r="B15" s="118" t="str">
        <x:v>France</x:v>
      </x:c>
      <x:c r="C15" s="118" t="str">
        <x:v>RTE_2026_N1_MEDIAN_DEMAND</x:v>
      </x:c>
      <x:c r="D15" s="118" t="str">
        <x:v>BESS energy</x:v>
      </x:c>
      <x:c r="E15" s="118" t="str">
        <x:v>battery_energy</x:v>
      </x:c>
      <x:c r="F15" s="118" t="str">
        <x:v>bess_grid_energy</x:v>
      </x:c>
      <x:c r="G15" s="118" t="str">
        <x:v>GWh</x:v>
      </x:c>
      <x:c r="H15" s="143" t="n">
        <x:v>8.470809792843692</x:v>
      </x:c>
      <x:c r="I15" s="143" t="n">
        <x:v>44.237288135593225</x:v>
      </x:c>
      <x:c r="J15" s="118" t="str">
        <x:v>IMPLEMENT_STORAGE_PAIR</x:v>
      </x:c>
      <x:c r="K15" s="118" t="str">
        <x:v>RTE_PRIOR_EDITION_BENCHMARK_DERIVED</x:v>
      </x:c>
      <x:c r="L15" s="118" t="str">
        <x:v>B/C</x:v>
      </x:c>
      <x:c r="M15" s="118" t="str">
        <x:v>RTE_PRIOR_EDITION_BENCHMARK_DERIVED</x:v>
      </x:c>
      <x:c r="N15" s="118" t="str">
        <x:v>B/C</x:v>
      </x:c>
      <x:c r="O15" s="118" t="str">
        <x:v>FR_RTE_FE2022_CH7+FR_RTE_FE2026</x:v>
      </x:c>
      <x:c r="P15" s="118" t="str">
        <x:v>FR_RTE_FE2022_CH7+FR_RTE_FE2026</x:v>
      </x:c>
      <x:c r="Q15" s="118" t="str">
        <x:v>MEM_ETX6R_FR_National_Closure_v1.2</x:v>
      </x:c>
      <x:c r="R15" s="118" t="n">
        <x:v>18</x:v>
      </x:c>
      <x:c r="S15" s="127" t="str">
        <x:v>See FR-D15 to FR-D16.</x:v>
      </x:c>
    </x:row>
    <x:row r="16">
      <x:c r="A16" s="126" t="str">
        <x:v>FR</x:v>
      </x:c>
      <x:c r="B16" s="118" t="str">
        <x:v>France</x:v>
      </x:c>
      <x:c r="C16" s="118" t="str">
        <x:v>RTE_2026_N1_MEDIAN_DEMAND</x:v>
      </x:c>
      <x:c r="D16" s="118" t="str">
        <x:v>Coal / lignite</x:v>
      </x:c>
      <x:c r="E16" s="118" t="str">
        <x:v>coal_lignite</x:v>
      </x:c>
      <x:c r="F16" s="118" t="str">
        <x:v>coal_lignite</x:v>
      </x:c>
      <x:c r="G16" s="118" t="str">
        <x:v>GW</x:v>
      </x:c>
      <x:c r="H16" s="143" t="n">
        <x:v>0</x:v>
      </x:c>
      <x:c r="I16" s="143" t="n">
        <x:v>0</x:v>
      </x:c>
      <x:c r="J16" s="118" t="str">
        <x:v>IMPLEMENT</x:v>
      </x:c>
      <x:c r="K16" s="118" t="str">
        <x:v>OFFICIAL_POLICY_ZERO</x:v>
      </x:c>
      <x:c r="L16" s="118" t="str">
        <x:v>A</x:v>
      </x:c>
      <x:c r="M16" s="118" t="str">
        <x:v>OFFICIAL_POLICY_ZERO</x:v>
      </x:c>
      <x:c r="N16" s="118" t="str">
        <x:v>A</x:v>
      </x:c>
      <x:c r="O16" s="118" t="str">
        <x:v>FR_PPE3</x:v>
      </x:c>
      <x:c r="P16" s="118" t="str">
        <x:v>FR_PPE3</x:v>
      </x:c>
      <x:c r="Q16" s="118" t="str">
        <x:v>MEM_ETX6R_FR_National_Closure_v1.2</x:v>
      </x:c>
      <x:c r="R16" s="118" t="n">
        <x:v>19</x:v>
      </x:c>
      <x:c r="S16" s="127"/>
    </x:row>
    <x:row r="17">
      <x:c r="A17" s="126" t="str">
        <x:v>FR</x:v>
      </x:c>
      <x:c r="B17" s="118" t="str">
        <x:v>France</x:v>
      </x:c>
      <x:c r="C17" s="118" t="str">
        <x:v>RTE_2026_N1_MEDIAN_DEMAND</x:v>
      </x:c>
      <x:c r="D17" s="118" t="str">
        <x:v>Methane thermal</x:v>
      </x:c>
      <x:c r="E17" s="118" t="str">
        <x:v>thermal_methane</x:v>
      </x:c>
      <x:c r="F17" s="118" t="str">
        <x:v>thermal_methane_gas</x:v>
      </x:c>
      <x:c r="G17" s="118" t="str">
        <x:v>GW</x:v>
      </x:c>
      <x:c r="H17" s="143" t="n">
        <x:v>4</x:v>
      </x:c>
      <x:c r="I17" s="143" t="n">
        <x:v>0</x:v>
      </x:c>
      <x:c r="J17" s="118" t="str">
        <x:v>IMPLEMENT_CARRIER_SPLIT</x:v>
      </x:c>
      <x:c r="K17" s="118" t="str">
        <x:v>RTE_PRIOR_EDITION_BENCHMARK_DERIVED</x:v>
      </x:c>
      <x:c r="L17" s="118" t="str">
        <x:v>C</x:v>
      </x:c>
      <x:c r="M17" s="118" t="str">
        <x:v>RTE_PRIOR_EDITION_BENCHMARK_DERIVED</x:v>
      </x:c>
      <x:c r="N17" s="118" t="str">
        <x:v>A/B</x:v>
      </x:c>
      <x:c r="O17" s="118" t="str">
        <x:v>FR_RTE_FE2022_CH7</x:v>
      </x:c>
      <x:c r="P17" s="118" t="str">
        <x:v>FR_RTE_FE2022_CH5+FR_PPE3</x:v>
      </x:c>
      <x:c r="Q17" s="118" t="str">
        <x:v>MEM_ETX6R_FR_National_Closure_v1.2</x:v>
      </x:c>
      <x:c r="R17" s="118" t="n">
        <x:v>21</x:v>
      </x:c>
      <x:c r="S17" s="127" t="str">
        <x:v>Do not add on top of thermal total; this is its fuel split.</x:v>
      </x:c>
    </x:row>
    <x:row r="18">
      <x:c r="A18" s="126" t="str">
        <x:v>FR</x:v>
      </x:c>
      <x:c r="B18" s="118" t="str">
        <x:v>France</x:v>
      </x:c>
      <x:c r="C18" s="118" t="str">
        <x:v>RTE_2026_N1_MEDIAN_DEMAND</x:v>
      </x:c>
      <x:c r="D18" s="118" t="str">
        <x:v>Hydrogen / low-carbon thermal</x:v>
      </x:c>
      <x:c r="E18" s="118" t="str">
        <x:v>thermal_h2_lowcarbon</x:v>
      </x:c>
      <x:c r="F18" s="118" t="str">
        <x:v>thermal_lowcarbon_gas_h2</x:v>
      </x:c>
      <x:c r="G18" s="118" t="str">
        <x:v>GW</x:v>
      </x:c>
      <x:c r="H18" s="143" t="n">
        <x:v>2</x:v>
      </x:c>
      <x:c r="I18" s="143" t="n">
        <x:v>11.5</x:v>
      </x:c>
      <x:c r="J18" s="118" t="str">
        <x:v>IMPLEMENT_CARRIER_SPLIT</x:v>
      </x:c>
      <x:c r="K18" s="118" t="str">
        <x:v>RTE_PRIOR_EDITION_BENCHMARK_DERIVED</x:v>
      </x:c>
      <x:c r="L18" s="118" t="str">
        <x:v>C</x:v>
      </x:c>
      <x:c r="M18" s="118" t="str">
        <x:v>RTE_PRIOR_EDITION_BENCHMARK_DERIVED</x:v>
      </x:c>
      <x:c r="N18" s="118" t="str">
        <x:v>B</x:v>
      </x:c>
      <x:c r="O18" s="118" t="str">
        <x:v>FR_RTE_FE2022_CH7+FR_RTE_FE2026</x:v>
      </x:c>
      <x:c r="P18" s="118" t="str">
        <x:v>FR_RTE_FE2022_CH5+FR_RTE_FE2026</x:v>
      </x:c>
      <x:c r="Q18" s="118" t="str">
        <x:v>MEM_ETX6R_FR_National_Closure_v1.2</x:v>
      </x:c>
      <x:c r="R18" s="118" t="n">
        <x:v>22</x:v>
      </x:c>
      <x:c r="S18" s="127" t="str">
        <x:v>Fuel split of thermal total, not additional capacity.</x:v>
      </x:c>
    </x:row>
    <x:row r="19">
      <x:c r="A19" s="126" t="str">
        <x:v>FR</x:v>
      </x:c>
      <x:c r="B19" s="118" t="str">
        <x:v>France</x:v>
      </x:c>
      <x:c r="C19" s="118" t="str">
        <x:v>RTE_2026_N1_MEDIAN_DEMAND</x:v>
      </x:c>
      <x:c r="D19" s="118" t="str">
        <x:v>Oil / gasoil peakers</x:v>
      </x:c>
      <x:c r="E19" s="118" t="str">
        <x:v>thermal_oil</x:v>
      </x:c>
      <x:c r="F19" s="118" t="str">
        <x:v>thermal_oil_liquid</x:v>
      </x:c>
      <x:c r="G19" s="118" t="str">
        <x:v>GW</x:v>
      </x:c>
      <x:c r="H19" s="143" t="n">
        <x:v>0</x:v>
      </x:c>
      <x:c r="I19" s="143" t="n">
        <x:v>0</x:v>
      </x:c>
      <x:c r="J19" s="118" t="str">
        <x:v>IMPLEMENT_CARRIER_SPLIT</x:v>
      </x:c>
      <x:c r="K19" s="118" t="str">
        <x:v>RTE_PRIOR_EDITION_BENCHMARK_DERIVED</x:v>
      </x:c>
      <x:c r="L19" s="118" t="str">
        <x:v>B/C</x:v>
      </x:c>
      <x:c r="M19" s="118" t="str">
        <x:v>RTE_PRIOR_EDITION_BENCHMARK_DERIVED</x:v>
      </x:c>
      <x:c r="N19" s="118" t="str">
        <x:v>A/B</x:v>
      </x:c>
      <x:c r="O19" s="118" t="str">
        <x:v>FR_RTE_FE2022_CH7+FR_PPE3</x:v>
      </x:c>
      <x:c r="P19" s="118" t="str">
        <x:v>FR_RTE_FE2022_CH7+FR_PPE3</x:v>
      </x:c>
      <x:c r="Q19" s="118" t="str">
        <x:v>MEM_ETX6R_FR_National_Closure_v1.2</x:v>
      </x:c>
      <x:c r="R19" s="118" t="n">
        <x:v>23</x:v>
      </x:c>
      <x:c r="S19" s="127"/>
    </x:row>
    <x:row r="20">
      <x:c r="A20" s="126" t="str">
        <x:v>FR</x:v>
      </x:c>
      <x:c r="B20" s="118" t="str">
        <x:v>France</x:v>
      </x:c>
      <x:c r="C20" s="118" t="str">
        <x:v>RTE_2026_N1_MEDIAN_DEMAND</x:v>
      </x:c>
      <x:c r="D20" s="118" t="str">
        <x:v>Bioenergy total</x:v>
      </x:c>
      <x:c r="E20" s="118" t="str">
        <x:v>bioenergy_total</x:v>
      </x:c>
      <x:c r="F20" s="118" t="str">
        <x:v>bioenergy_biomass</x:v>
      </x:c>
      <x:c r="G20" s="118" t="str">
        <x:v>GW</x:v>
      </x:c>
      <x:c r="H20" s="143" t="n">
        <x:v>1.7</x:v>
      </x:c>
      <x:c r="I20" s="143" t="n">
        <x:v>1.3</x:v>
      </x:c>
      <x:c r="J20" s="118" t="str">
        <x:v>IMPLEMENT</x:v>
      </x:c>
      <x:c r="K20" s="118" t="str">
        <x:v>DERIVED_FROM_OFFICIAL_COMPONENTS</x:v>
      </x:c>
      <x:c r="L20" s="118" t="str">
        <x:v>C</x:v>
      </x:c>
      <x:c r="M20" s="118" t="str">
        <x:v>OFFICIAL_COMMON_TECH_ASSUMPTION</x:v>
      </x:c>
      <x:c r="N20" s="118" t="str">
        <x:v>A</x:v>
      </x:c>
      <x:c r="O20" s="118" t="str">
        <x:v>FR_RTE_FE2026</x:v>
      </x:c>
      <x:c r="P20" s="118" t="str">
        <x:v>FR_RTE_FE2026</x:v>
      </x:c>
      <x:c r="Q20" s="118" t="str">
        <x:v>MEM_ETX6R_FR_National_Closure_v1.2</x:v>
      </x:c>
      <x:c r="R20" s="118" t="n">
        <x:v>24</x:v>
      </x:c>
      <x:c r="S20" s="127" t="str">
        <x:v>2040 interpolation; internal biomass/waste split is mapping.</x:v>
      </x:c>
    </x:row>
    <x:row r="21">
      <x:c r="A21" s="126" t="str">
        <x:v>FR</x:v>
      </x:c>
      <x:c r="B21" s="118" t="str">
        <x:v>France</x:v>
      </x:c>
      <x:c r="C21" s="118" t="str">
        <x:v>RTE_2026_N1_MEDIAN_DEMAND</x:v>
      </x:c>
      <x:c r="D21" s="118" t="str">
        <x:v>Marine energy excl. offshore wind</x:v>
      </x:c>
      <x:c r="E21" s="118" t="str">
        <x:v>marine_other</x:v>
      </x:c>
      <x:c r="F21" s="118" t="str">
        <x:v>marine_other</x:v>
      </x:c>
      <x:c r="G21" s="118" t="str">
        <x:v>GW</x:v>
      </x:c>
      <x:c r="H21" s="143" t="n">
        <x:v>0</x:v>
      </x:c>
      <x:c r="I21" s="143" t="n">
        <x:v>0</x:v>
      </x:c>
      <x:c r="J21" s="118" t="str">
        <x:v>IMPLEMENT</x:v>
      </x:c>
      <x:c r="K21" s="118" t="str">
        <x:v>SELECTED_SCENARIO_ZERO</x:v>
      </x:c>
      <x:c r="L21" s="118" t="str">
        <x:v>A/B</x:v>
      </x:c>
      <x:c r="M21" s="118" t="str">
        <x:v>SELECTED_SCENARIO_ZERO</x:v>
      </x:c>
      <x:c r="N21" s="118" t="str">
        <x:v>A/B</x:v>
      </x:c>
      <x:c r="O21" s="118" t="str">
        <x:v>FR_RTE_FE2026</x:v>
      </x:c>
      <x:c r="P21" s="118" t="str">
        <x:v>FR_RTE_FE2026</x:v>
      </x:c>
      <x:c r="Q21" s="118" t="str">
        <x:v>MEM_ETX6R_FR_National_Closure_v1.2</x:v>
      </x:c>
      <x:c r="R21" s="118" t="n">
        <x:v>25</x:v>
      </x:c>
      <x:c r="S21" s="127"/>
    </x:row>
    <x:row r="22">
      <x:c r="A22" s="126" t="str">
        <x:v>FR</x:v>
      </x:c>
      <x:c r="B22" s="118" t="str">
        <x:v>France</x:v>
      </x:c>
      <x:c r="C22" s="118" t="str">
        <x:v>RTE_2026_N1_MEDIAN_DEMAND</x:v>
      </x:c>
      <x:c r="D22" s="118" t="str">
        <x:v>Geothermal electricity</x:v>
      </x:c>
      <x:c r="E22" s="118" t="str">
        <x:v>geothermal</x:v>
      </x:c>
      <x:c r="F22" s="118" t="str">
        <x:v>geothermal</x:v>
      </x:c>
      <x:c r="G22" s="118" t="str">
        <x:v>GW</x:v>
      </x:c>
      <x:c r="H22" s="143" t="n">
        <x:v>0</x:v>
      </x:c>
      <x:c r="I22" s="143" t="n">
        <x:v>0</x:v>
      </x:c>
      <x:c r="J22" s="118" t="str">
        <x:v>IMPLEMENT</x:v>
      </x:c>
      <x:c r="K22" s="118" t="str">
        <x:v>OFFICIAL_COMMON_TECH_ASSUMPTION</x:v>
      </x:c>
      <x:c r="L22" s="118" t="str">
        <x:v>A</x:v>
      </x:c>
      <x:c r="M22" s="118" t="str">
        <x:v>OFFICIAL_COMMON_TECH_ASSUMPTION</x:v>
      </x:c>
      <x:c r="N22" s="118" t="str">
        <x:v>A</x:v>
      </x:c>
      <x:c r="O22" s="118" t="str">
        <x:v>FR_RTE_FE2026</x:v>
      </x:c>
      <x:c r="P22" s="118" t="str">
        <x:v>FR_RTE_FE2026</x:v>
      </x:c>
      <x:c r="Q22" s="118" t="str">
        <x:v>MEM_ETX6R_FR_National_Closure_v1.2</x:v>
      </x:c>
      <x:c r="R22" s="118" t="n">
        <x:v>26</x:v>
      </x:c>
      <x:c r="S22" s="127"/>
    </x:row>
    <x:row r="23">
      <x:c r="A23" s="126" t="str">
        <x:v>CH</x:v>
      </x:c>
      <x:c r="B23" s="118" t="str">
        <x:v>Switzerland</x:v>
      </x:c>
      <x:c r="C23" s="118" t="str">
        <x:v>CH_ZERO_BASIS</x:v>
      </x:c>
      <x:c r="D23" s="118" t="str">
        <x:v>Annual electricity demand</x:v>
      </x:c>
      <x:c r="E23" s="118" t="str">
        <x:v>load</x:v>
      </x:c>
      <x:c r="F23" s="118" t="str">
        <x:v>demand</x:v>
      </x:c>
      <x:c r="G23" s="118" t="str">
        <x:v>TWh</x:v>
      </x:c>
      <x:c r="H23" s="143" t="n">
        <x:v>71.5</x:v>
      </x:c>
      <x:c r="I23" s="143" t="n">
        <x:v>76</x:v>
      </x:c>
      <x:c r="J23" s="118" t="str">
        <x:v>IMPLEMENT</x:v>
      </x:c>
      <x:c r="K23" s="118" t="str">
        <x:v>OFFICIAL_SCENARIO_INPUT</x:v>
      </x:c>
      <x:c r="L23" s="118" t="str">
        <x:v>A</x:v>
      </x:c>
      <x:c r="M23" s="118" t="str">
        <x:v>OFFICIAL_SCENARIO_INPUT</x:v>
      </x:c>
      <x:c r="N23" s="118" t="str">
        <x:v>A</x:v>
      </x:c>
      <x:c r="O23" s="118" t="str">
        <x:v>CH_EP2050_SUMMARY</x:v>
      </x:c>
      <x:c r="P23" s="118" t="str">
        <x:v>CH_EP2050_SUMMARY</x:v>
      </x:c>
      <x:c r="Q23" s="118" t="str">
        <x:v>MEM_ETX6R_CH_National_Closure_v1.0</x:v>
      </x:c>
      <x:c r="R23" s="118" t="n">
        <x:v>5</x:v>
      </x:c>
      <x:c r="S23" s="127" t="str">
        <x:v>Scale the 2019-climate hourly load profile to these annual totals.</x:v>
      </x:c>
    </x:row>
    <x:row r="24">
      <x:c r="A24" s="126" t="str">
        <x:v>CH</x:v>
      </x:c>
      <x:c r="B24" s="118" t="str">
        <x:v>Switzerland</x:v>
      </x:c>
      <x:c r="C24" s="118" t="str">
        <x:v>CH_ZERO_BASIS</x:v>
      </x:c>
      <x:c r="D24" s="118" t="str">
        <x:v>Nuclear</x:v>
      </x:c>
      <x:c r="E24" s="118" t="str">
        <x:v>nuclear</x:v>
      </x:c>
      <x:c r="F24" s="118" t="str">
        <x:v>nuclear</x:v>
      </x:c>
      <x:c r="G24" s="118" t="str">
        <x:v>GW</x:v>
      </x:c>
      <x:c r="H24" s="143" t="n">
        <x:v>0</x:v>
      </x:c>
      <x:c r="I24" s="143" t="n">
        <x:v>0</x:v>
      </x:c>
      <x:c r="J24" s="118" t="str">
        <x:v>IMPLEMENT</x:v>
      </x:c>
      <x:c r="K24" s="118" t="str">
        <x:v>OFFICIAL_SCENARIO_INPUT</x:v>
      </x:c>
      <x:c r="L24" s="118" t="str">
        <x:v>A</x:v>
      </x:c>
      <x:c r="M24" s="118" t="str">
        <x:v>OFFICIAL_SCENARIO_INPUT</x:v>
      </x:c>
      <x:c r="N24" s="118" t="str">
        <x:v>A</x:v>
      </x:c>
      <x:c r="O24" s="118" t="str">
        <x:v>CH_EP2050_SHORT</x:v>
      </x:c>
      <x:c r="P24" s="118" t="str">
        <x:v>CH_EP2050_SHORT</x:v>
      </x:c>
      <x:c r="Q24" s="118" t="str">
        <x:v>MEM_ETX6R_CH_National_Closure_v1.0</x:v>
      </x:c>
      <x:c r="R24" s="118" t="n">
        <x:v>6</x:v>
      </x:c>
      <x:c r="S24" s="127" t="str">
        <x:v>Explicit zero.</x:v>
      </x:c>
    </x:row>
    <x:row r="25">
      <x:c r="A25" s="126" t="str">
        <x:v>CH</x:v>
      </x:c>
      <x:c r="B25" s="118" t="str">
        <x:v>Switzerland</x:v>
      </x:c>
      <x:c r="C25" s="118" t="str">
        <x:v>CH_ZERO_BASIS</x:v>
      </x:c>
      <x:c r="D25" s="118" t="str">
        <x:v>Coal / lignite</x:v>
      </x:c>
      <x:c r="E25" s="118" t="str">
        <x:v>coal_lignite</x:v>
      </x:c>
      <x:c r="F25" s="118" t="str">
        <x:v>coal_lignite</x:v>
      </x:c>
      <x:c r="G25" s="118" t="str">
        <x:v>GW</x:v>
      </x:c>
      <x:c r="H25" s="143" t="n">
        <x:v>0</x:v>
      </x:c>
      <x:c r="I25" s="143" t="n">
        <x:v>0</x:v>
      </x:c>
      <x:c r="J25" s="118" t="str">
        <x:v>IMPLEMENT</x:v>
      </x:c>
      <x:c r="K25" s="118" t="str">
        <x:v>SELECTED_SCENARIO_ZERO</x:v>
      </x:c>
      <x:c r="L25" s="118" t="str">
        <x:v>A/B</x:v>
      </x:c>
      <x:c r="M25" s="118" t="str">
        <x:v>SELECTED_SCENARIO_ZERO</x:v>
      </x:c>
      <x:c r="N25" s="118" t="str">
        <x:v>A/B</x:v>
      </x:c>
      <x:c r="O25" s="118" t="str">
        <x:v>CH_EP2050_SHORT</x:v>
      </x:c>
      <x:c r="P25" s="118" t="str">
        <x:v>CH_EP2050_SHORT</x:v>
      </x:c>
      <x:c r="Q25" s="118" t="str">
        <x:v>MEM_ETX6R_CH_National_Closure_v1.0</x:v>
      </x:c>
      <x:c r="R25" s="118" t="n">
        <x:v>7</x:v>
      </x:c>
      <x:c r="S25" s="127" t="str">
        <x:v>Explicit zero for canonical taxonomy.</x:v>
      </x:c>
    </x:row>
    <x:row r="26">
      <x:c r="A26" s="126" t="str">
        <x:v>CH</x:v>
      </x:c>
      <x:c r="B26" s="118" t="str">
        <x:v>Switzerland</x:v>
      </x:c>
      <x:c r="C26" s="118" t="str">
        <x:v>CH_ZERO_BASIS</x:v>
      </x:c>
      <x:c r="D26" s="118" t="str">
        <x:v>Oil / gasoil generation</x:v>
      </x:c>
      <x:c r="E26" s="118" t="str">
        <x:v>thermal_oil</x:v>
      </x:c>
      <x:c r="F26" s="118" t="str">
        <x:v>thermal_oil_liquid</x:v>
      </x:c>
      <x:c r="G26" s="118" t="str">
        <x:v>GW</x:v>
      </x:c>
      <x:c r="H26" s="143" t="n">
        <x:v>0</x:v>
      </x:c>
      <x:c r="I26" s="143" t="n">
        <x:v>0</x:v>
      </x:c>
      <x:c r="J26" s="118" t="str">
        <x:v>IMPLEMENT</x:v>
      </x:c>
      <x:c r="K26" s="118" t="str">
        <x:v>SELECTED_SCENARIO_ZERO</x:v>
      </x:c>
      <x:c r="L26" s="118" t="str">
        <x:v>B</x:v>
      </x:c>
      <x:c r="M26" s="118" t="str">
        <x:v>SELECTED_SCENARIO_ZERO</x:v>
      </x:c>
      <x:c r="N26" s="118" t="str">
        <x:v>B</x:v>
      </x:c>
      <x:c r="O26" s="118" t="str">
        <x:v>CH_STORAGE_2025</x:v>
      </x:c>
      <x:c r="P26" s="118" t="str">
        <x:v>CH_STORAGE_2025</x:v>
      </x:c>
      <x:c r="Q26" s="118" t="str">
        <x:v>MEM_ETX6R_CH_National_Closure_v1.0</x:v>
      </x:c>
      <x:c r="R26" s="118" t="n">
        <x:v>8</x:v>
      </x:c>
      <x:c r="S26" s="127" t="str">
        <x:v>Explicit zero in the regular Base.</x:v>
      </x:c>
    </x:row>
    <x:row r="27">
      <x:c r="A27" s="126" t="str">
        <x:v>CH</x:v>
      </x:c>
      <x:c r="B27" s="118" t="str">
        <x:v>Switzerland</x:v>
      </x:c>
      <x:c r="C27" s="118" t="str">
        <x:v>CH_ZERO_BASIS</x:v>
      </x:c>
      <x:c r="D27" s="118" t="str">
        <x:v>Dedicated backup gas / H2 turbines</x:v>
      </x:c>
      <x:c r="E27" s="118" t="str">
        <x:v>thermal_backup</x:v>
      </x:c>
      <x:c r="F27" s="118" t="str">
        <x:v>thermal_backup_other</x:v>
      </x:c>
      <x:c r="G27" s="118" t="str">
        <x:v>GW</x:v>
      </x:c>
      <x:c r="H27" s="143" t="n">
        <x:v>0</x:v>
      </x:c>
      <x:c r="I27" s="143" t="n">
        <x:v>0</x:v>
      </x:c>
      <x:c r="J27" s="118" t="str">
        <x:v>IMPLEMENT</x:v>
      </x:c>
      <x:c r="K27" s="118" t="str">
        <x:v>SELECTED_SCENARIO_ZERO</x:v>
      </x:c>
      <x:c r="L27" s="118" t="str">
        <x:v>A/B</x:v>
      </x:c>
      <x:c r="M27" s="118" t="str">
        <x:v>SELECTED_SCENARIO_ZERO</x:v>
      </x:c>
      <x:c r="N27" s="118" t="str">
        <x:v>A/B</x:v>
      </x:c>
      <x:c r="O27" s="118" t="str">
        <x:v>CH_WINTERSTROM</x:v>
      </x:c>
      <x:c r="P27" s="118" t="str">
        <x:v>CH_WINTERSTROM</x:v>
      </x:c>
      <x:c r="Q27" s="118" t="str">
        <x:v>MEM_ETX6R_CH_National_Closure_v1.0</x:v>
      </x:c>
      <x:c r="R27" s="118" t="n">
        <x:v>9</x:v>
      </x:c>
      <x:c r="S27" s="127" t="str">
        <x:v>CHP/other thermal capacity is represented separately below.</x:v>
      </x:c>
    </x:row>
    <x:row r="28">
      <x:c r="A28" s="126" t="str">
        <x:v>CH</x:v>
      </x:c>
      <x:c r="B28" s="118" t="str">
        <x:v>Switzerland</x:v>
      </x:c>
      <x:c r="C28" s="118" t="str">
        <x:v>CH_ZERO_BASIS</x:v>
      </x:c>
      <x:c r="D28" s="118" t="str">
        <x:v>Solar PV</x:v>
      </x:c>
      <x:c r="E28" s="118" t="str">
        <x:v>solar</x:v>
      </x:c>
      <x:c r="F28" s="118" t="str">
        <x:v>solar_pv</x:v>
      </x:c>
      <x:c r="G28" s="118" t="str">
        <x:v>GW</x:v>
      </x:c>
      <x:c r="H28" s="143" t="n">
        <x:v>24.07</x:v>
      </x:c>
      <x:c r="I28" s="143" t="n">
        <x:v>37.5</x:v>
      </x:c>
      <x:c r="J28" s="118" t="str">
        <x:v>IMPLEMENT</x:v>
      </x:c>
      <x:c r="K28" s="118" t="str">
        <x:v>OFFICIAL_SCENARIO_INPUT</x:v>
      </x:c>
      <x:c r="L28" s="118" t="str">
        <x:v>A</x:v>
      </x:c>
      <x:c r="M28" s="118" t="str">
        <x:v>OFFICIAL_SCENARIO_INPUT</x:v>
      </x:c>
      <x:c r="N28" s="118" t="str">
        <x:v>A</x:v>
      </x:c>
      <x:c r="O28" s="118" t="str">
        <x:v>CH_SZR_2040</x:v>
      </x:c>
      <x:c r="P28" s="118" t="str">
        <x:v>CH_EP2050_SHORT</x:v>
      </x:c>
      <x:c r="Q28" s="118" t="str">
        <x:v>MEM_ETX6R_CH_National_Closure_v1.0</x:v>
      </x:c>
      <x:c r="R28" s="118" t="n">
        <x:v>10</x:v>
      </x:c>
      <x:c r="S28" s="127"/>
    </x:row>
    <x:row r="29">
      <x:c r="A29" s="126" t="str">
        <x:v>CH</x:v>
      </x:c>
      <x:c r="B29" s="118" t="str">
        <x:v>Switzerland</x:v>
      </x:c>
      <x:c r="C29" s="118" t="str">
        <x:v>CH_ZERO_BASIS</x:v>
      </x:c>
      <x:c r="D29" s="118" t="str">
        <x:v>Onshore wind</x:v>
      </x:c>
      <x:c r="E29" s="118" t="str">
        <x:v>onwind</x:v>
      </x:c>
      <x:c r="F29" s="118" t="str">
        <x:v>wind_onshore</x:v>
      </x:c>
      <x:c r="G29" s="118" t="str">
        <x:v>GW</x:v>
      </x:c>
      <x:c r="H29" s="143" t="n">
        <x:v>1.15</x:v>
      </x:c>
      <x:c r="I29" s="143" t="n">
        <x:v>2.2</x:v>
      </x:c>
      <x:c r="J29" s="118" t="str">
        <x:v>IMPLEMENT</x:v>
      </x:c>
      <x:c r="K29" s="118" t="str">
        <x:v>OFFICIAL_SCENARIO_INPUT</x:v>
      </x:c>
      <x:c r="L29" s="118" t="str">
        <x:v>A</x:v>
      </x:c>
      <x:c r="M29" s="118" t="str">
        <x:v>OFFICIAL_SCENARIO_INPUT</x:v>
      </x:c>
      <x:c r="N29" s="118" t="str">
        <x:v>A</x:v>
      </x:c>
      <x:c r="O29" s="118" t="str">
        <x:v>CH_SZR_2040</x:v>
      </x:c>
      <x:c r="P29" s="118" t="str">
        <x:v>CH_EP2050_SHORT</x:v>
      </x:c>
      <x:c r="Q29" s="118" t="str">
        <x:v>MEM_ETX6R_CH_National_Closure_v1.0</x:v>
      </x:c>
      <x:c r="R29" s="118" t="n">
        <x:v>11</x:v>
      </x:c>
      <x:c r="S29" s="127"/>
    </x:row>
    <x:row r="30">
      <x:c r="A30" s="126" t="str">
        <x:v>CH</x:v>
      </x:c>
      <x:c r="B30" s="118" t="str">
        <x:v>Switzerland</x:v>
      </x:c>
      <x:c r="C30" s="118" t="str">
        <x:v>CH_ZERO_BASIS</x:v>
      </x:c>
      <x:c r="D30" s="118" t="str">
        <x:v>Run-of-river hydro</x:v>
      </x:c>
      <x:c r="E30" s="118" t="str">
        <x:v>ror_hydro</x:v>
      </x:c>
      <x:c r="F30" s="118" t="str">
        <x:v>hydro_non_phs</x:v>
      </x:c>
      <x:c r="G30" s="118" t="str">
        <x:v>GW</x:v>
      </x:c>
      <x:c r="H30" s="143" t="n">
        <x:v>3.35</x:v>
      </x:c>
      <x:c r="I30" s="143" t="n">
        <x:v>3.4479117479443135</x:v>
      </x:c>
      <x:c r="J30" s="118" t="str">
        <x:v>IMPLEMENT</x:v>
      </x:c>
      <x:c r="K30" s="118" t="str">
        <x:v>OFFICIAL_SCENARIO_INPUT</x:v>
      </x:c>
      <x:c r="L30" s="118" t="str">
        <x:v>A</x:v>
      </x:c>
      <x:c r="M30" s="118" t="str">
        <x:v>DERIVED_FROM_OFFICIAL_COMPONENTS</x:v>
      </x:c>
      <x:c r="N30" s="118" t="str">
        <x:v>B/C</x:v>
      </x:c>
      <x:c r="O30" s="118" t="str">
        <x:v>CH_SZR_2040</x:v>
      </x:c>
      <x:c r="P30" s="118" t="str">
        <x:v>CH_EP2050_SHORT+CH_WINTERSTROM</x:v>
      </x:c>
      <x:c r="Q30" s="118" t="str">
        <x:v>MEM_ETX6R_CH_National_Closure_v1.0</x:v>
      </x:c>
      <x:c r="R30" s="118" t="n">
        <x:v>13</x:v>
      </x:c>
      <x:c r="S30" s="127" t="str">
        <x:v>See CH-D12 to CH-D16.</x:v>
      </x:c>
    </x:row>
    <x:row r="31">
      <x:c r="A31" s="126" t="str">
        <x:v>CH</x:v>
      </x:c>
      <x:c r="B31" s="118" t="str">
        <x:v>Switzerland</x:v>
      </x:c>
      <x:c r="C31" s="118" t="str">
        <x:v>CH_ZERO_BASIS</x:v>
      </x:c>
      <x:c r="D31" s="118" t="str">
        <x:v>Reservoir hydro</x:v>
      </x:c>
      <x:c r="E31" s="118" t="str">
        <x:v>reservoir_hydro</x:v>
      </x:c>
      <x:c r="F31" s="118" t="str">
        <x:v>hydro_non_phs</x:v>
      </x:c>
      <x:c r="G31" s="118" t="str">
        <x:v>GW</x:v>
      </x:c>
      <x:c r="H31" s="143" t="n">
        <x:v>8.93</x:v>
      </x:c>
      <x:c r="I31" s="143" t="n">
        <x:v>9.1</x:v>
      </x:c>
      <x:c r="J31" s="118" t="str">
        <x:v>IMPLEMENT</x:v>
      </x:c>
      <x:c r="K31" s="118" t="str">
        <x:v>OFFICIAL_SCENARIO_INPUT</x:v>
      </x:c>
      <x:c r="L31" s="118" t="str">
        <x:v>A</x:v>
      </x:c>
      <x:c r="M31" s="118" t="str">
        <x:v>OFFICIAL_CHART_CONTROL</x:v>
      </x:c>
      <x:c r="N31" s="118" t="str">
        <x:v>C</x:v>
      </x:c>
      <x:c r="O31" s="118" t="str">
        <x:v>CH_SZR_2040</x:v>
      </x:c>
      <x:c r="P31" s="118" t="str">
        <x:v>CH_WINTERSTROM</x:v>
      </x:c>
      <x:c r="Q31" s="118" t="str">
        <x:v>MEM_ETX6R_CH_National_Closure_v1.0</x:v>
      </x:c>
      <x:c r="R31" s="118" t="n">
        <x:v>14</x:v>
      </x:c>
      <x:c r="S31" s="127" t="str">
        <x:v>Reservoir-energy/inflow chronology remains a later hydro-runtime input, not a capacity gap.</x:v>
      </x:c>
    </x:row>
    <x:row r="32">
      <x:c r="A32" s="126" t="str">
        <x:v>CH</x:v>
      </x:c>
      <x:c r="B32" s="118" t="str">
        <x:v>Switzerland</x:v>
      </x:c>
      <x:c r="C32" s="118" t="str">
        <x:v>CH_ZERO_BASIS</x:v>
      </x:c>
      <x:c r="D32" s="118" t="str">
        <x:v>Small hydro</x:v>
      </x:c>
      <x:c r="E32" s="118" t="str">
        <x:v>small_hydro</x:v>
      </x:c>
      <x:c r="F32" s="118" t="str">
        <x:v>hydro_non_phs</x:v>
      </x:c>
      <x:c r="G32" s="118" t="str">
        <x:v>GW</x:v>
      </x:c>
      <x:c r="H32" s="143" t="n">
        <x:v>0.96</x:v>
      </x:c>
      <x:c r="I32" s="143" t="n">
        <x:v>1.452088252055687</x:v>
      </x:c>
      <x:c r="J32" s="118" t="str">
        <x:v>IMPLEMENT</x:v>
      </x:c>
      <x:c r="K32" s="118" t="str">
        <x:v>OFFICIAL_SCENARIO_INPUT</x:v>
      </x:c>
      <x:c r="L32" s="118" t="str">
        <x:v>A</x:v>
      </x:c>
      <x:c r="M32" s="118" t="str">
        <x:v>DERIVED_FROM_OFFICIAL_COMPONENTS</x:v>
      </x:c>
      <x:c r="N32" s="118" t="str">
        <x:v>B/C</x:v>
      </x:c>
      <x:c r="O32" s="118" t="str">
        <x:v>CH_SZR_2040</x:v>
      </x:c>
      <x:c r="P32" s="118" t="str">
        <x:v>CH_EP2050_SHORT+CH_WINTERSTROM</x:v>
      </x:c>
      <x:c r="Q32" s="118" t="str">
        <x:v>MEM_ETX6R_CH_National_Closure_v1.0</x:v>
      </x:c>
      <x:c r="R32" s="118" t="n">
        <x:v>15</x:v>
      </x:c>
      <x:c r="S32" s="127" t="str">
        <x:v>See CH-D13 to CH-D17.</x:v>
      </x:c>
    </x:row>
    <x:row r="33">
      <x:c r="A33" s="126" t="str">
        <x:v>CH</x:v>
      </x:c>
      <x:c r="B33" s="118" t="str">
        <x:v>Switzerland</x:v>
      </x:c>
      <x:c r="C33" s="118" t="str">
        <x:v>CH_ZERO_BASIS</x:v>
      </x:c>
      <x:c r="D33" s="118" t="str">
        <x:v>PHS turbine / discharge power</x:v>
      </x:c>
      <x:c r="E33" s="118" t="str">
        <x:v>phs_turbine</x:v>
      </x:c>
      <x:c r="F33" s="118" t="str">
        <x:v>phs_discharge_power</x:v>
      </x:c>
      <x:c r="G33" s="118" t="str">
        <x:v>GW</x:v>
      </x:c>
      <x:c r="H33" s="143" t="n">
        <x:v>6.02</x:v>
      </x:c>
      <x:c r="I33" s="143" t="n">
        <x:v>6</x:v>
      </x:c>
      <x:c r="J33" s="118" t="str">
        <x:v>IMPLEMENT_STORAGE_PAIR</x:v>
      </x:c>
      <x:c r="K33" s="118" t="str">
        <x:v>OFFICIAL_SCENARIO_INPUT</x:v>
      </x:c>
      <x:c r="L33" s="118" t="str">
        <x:v>A</x:v>
      </x:c>
      <x:c r="M33" s="118" t="str">
        <x:v>OFFICIAL_CHART_CONTROL</x:v>
      </x:c>
      <x:c r="N33" s="118" t="str">
        <x:v>A/B</x:v>
      </x:c>
      <x:c r="O33" s="118" t="str">
        <x:v>CH_SZR_2040</x:v>
      </x:c>
      <x:c r="P33" s="118" t="str">
        <x:v>CH_WINTERSTROM</x:v>
      </x:c>
      <x:c r="Q33" s="118" t="str">
        <x:v>MEM_ETX6R_CH_National_Closure_v1.0</x:v>
      </x:c>
      <x:c r="R33" s="118" t="n">
        <x:v>16</x:v>
      </x:c>
      <x:c r="S33" s="127" t="str">
        <x:v>Use Store+Links or another representation that permits asymmetric pump/turbine power.</x:v>
      </x:c>
    </x:row>
    <x:row r="34">
      <x:c r="A34" s="126" t="str">
        <x:v>CH</x:v>
      </x:c>
      <x:c r="B34" s="118" t="str">
        <x:v>Switzerland</x:v>
      </x:c>
      <x:c r="C34" s="118" t="str">
        <x:v>CH_ZERO_BASIS</x:v>
      </x:c>
      <x:c r="D34" s="118" t="str">
        <x:v>PHS pump / charge power</x:v>
      </x:c>
      <x:c r="E34" s="118" t="str">
        <x:v>phs_pump</x:v>
      </x:c>
      <x:c r="F34" s="118" t="str">
        <x:v>phs_charge_power</x:v>
      </x:c>
      <x:c r="G34" s="118" t="str">
        <x:v>GW</x:v>
      </x:c>
      <x:c r="H34" s="143" t="n">
        <x:v>5.45</x:v>
      </x:c>
      <x:c r="I34" s="143" t="n">
        <x:v>5.45</x:v>
      </x:c>
      <x:c r="J34" s="118" t="str">
        <x:v>IMPLEMENT_STORAGE_PAIR</x:v>
      </x:c>
      <x:c r="K34" s="118" t="str">
        <x:v>OFFICIAL_SCENARIO_INPUT</x:v>
      </x:c>
      <x:c r="L34" s="118" t="str">
        <x:v>A</x:v>
      </x:c>
      <x:c r="M34" s="118" t="str">
        <x:v>NATIONAL_TRAJECTORY_CARRY_FORWARD</x:v>
      </x:c>
      <x:c r="N34" s="118" t="str">
        <x:v>B/C</x:v>
      </x:c>
      <x:c r="O34" s="118" t="str">
        <x:v>CH_SZR_2040</x:v>
      </x:c>
      <x:c r="P34" s="118" t="str">
        <x:v>CH_SZR_2040+CH_WINTERSTROM</x:v>
      </x:c>
      <x:c r="Q34" s="118" t="str">
        <x:v>MEM_ETX6R_CH_National_Closure_v1.0</x:v>
      </x:c>
      <x:c r="R34" s="118" t="n">
        <x:v>17</x:v>
      </x:c>
      <x:c r="S34" s="127" t="str">
        <x:v>Do not force symmetric 6 GW charging power.</x:v>
      </x:c>
    </x:row>
    <x:row r="35">
      <x:c r="A35" s="126" t="str">
        <x:v>CH</x:v>
      </x:c>
      <x:c r="B35" s="118" t="str">
        <x:v>Switzerland</x:v>
      </x:c>
      <x:c r="C35" s="118" t="str">
        <x:v>CH_ZERO_BASIS</x:v>
      </x:c>
      <x:c r="D35" s="118" t="str">
        <x:v>PHS energy capacity</x:v>
      </x:c>
      <x:c r="E35" s="118" t="str">
        <x:v>phs_energy</x:v>
      </x:c>
      <x:c r="F35" s="118" t="str">
        <x:v>phs_energy</x:v>
      </x:c>
      <x:c r="G35" s="118" t="str">
        <x:v>GWh</x:v>
      </x:c>
      <x:c r="H35" s="143" t="n">
        <x:v>1410</x:v>
      </x:c>
      <x:c r="I35" s="143" t="n">
        <x:v>1410</x:v>
      </x:c>
      <x:c r="J35" s="118" t="str">
        <x:v>IMPLEMENT_STORAGE_PAIR</x:v>
      </x:c>
      <x:c r="K35" s="118" t="str">
        <x:v>OFFICIAL_SCENARIO_INPUT</x:v>
      </x:c>
      <x:c r="L35" s="118" t="str">
        <x:v>A</x:v>
      </x:c>
      <x:c r="M35" s="118" t="str">
        <x:v>NATIONAL_TRAJECTORY_CARRY_FORWARD</x:v>
      </x:c>
      <x:c r="N35" s="118" t="str">
        <x:v>B/C</x:v>
      </x:c>
      <x:c r="O35" s="118" t="str">
        <x:v>CH_SZR_2040</x:v>
      </x:c>
      <x:c r="P35" s="118" t="str">
        <x:v>CH_SZR_2040+CH_WINTERSTROM</x:v>
      </x:c>
      <x:c r="Q35" s="118" t="str">
        <x:v>MEM_ETX6R_CH_National_Closure_v1.0</x:v>
      </x:c>
      <x:c r="R35" s="118" t="n">
        <x:v>18</x:v>
      </x:c>
      <x:c r="S35" s="127" t="str">
        <x:v>This is limiting-basin PHS energy, distinct from reservoir-hydro seasonal storage.</x:v>
      </x:c>
    </x:row>
    <x:row r="36">
      <x:c r="A36" s="126" t="str">
        <x:v>CH</x:v>
      </x:c>
      <x:c r="B36" s="118" t="str">
        <x:v>Switzerland</x:v>
      </x:c>
      <x:c r="C36" s="118" t="str">
        <x:v>CH_ZERO_BASIS</x:v>
      </x:c>
      <x:c r="D36" s="118" t="str">
        <x:v>Decentralized / home BESS power</x:v>
      </x:c>
      <x:c r="E36" s="118" t="str">
        <x:v>battery_home_power</x:v>
      </x:c>
      <x:c r="F36" s="118" t="str">
        <x:v>bess_distributed_power</x:v>
      </x:c>
      <x:c r="G36" s="118" t="str">
        <x:v>GW</x:v>
      </x:c>
      <x:c r="H36" s="143" t="n">
        <x:v>5.55</x:v>
      </x:c>
      <x:c r="I36" s="143" t="n">
        <x:v>9</x:v>
      </x:c>
      <x:c r="J36" s="118" t="str">
        <x:v>IMPLEMENT_STORAGE_PAIR</x:v>
      </x:c>
      <x:c r="K36" s="118" t="str">
        <x:v>OFFICIAL_SCENARIO_INPUT</x:v>
      </x:c>
      <x:c r="L36" s="118" t="str">
        <x:v>A</x:v>
      </x:c>
      <x:c r="M36" s="118" t="str">
        <x:v>OFFICIAL_CHART_CONTROL</x:v>
      </x:c>
      <x:c r="N36" s="118" t="str">
        <x:v>A/B</x:v>
      </x:c>
      <x:c r="O36" s="118" t="str">
        <x:v>CH_SZR_2040</x:v>
      </x:c>
      <x:c r="P36" s="118" t="str">
        <x:v>CH_WINTERSTROM</x:v>
      </x:c>
      <x:c r="Q36" s="118" t="str">
        <x:v>MEM_ETX6R_CH_National_Closure_v1.0</x:v>
      </x:c>
      <x:c r="R36" s="118" t="n">
        <x:v>19</x:v>
      </x:c>
      <x:c r="S36" s="127" t="str">
        <x:v>Home storage should not automatically receive unrestricted wholesale-market dispatch in the runtime model.</x:v>
      </x:c>
    </x:row>
    <x:row r="37">
      <x:c r="A37" s="126" t="str">
        <x:v>CH</x:v>
      </x:c>
      <x:c r="B37" s="118" t="str">
        <x:v>Switzerland</x:v>
      </x:c>
      <x:c r="C37" s="118" t="str">
        <x:v>CH_ZERO_BASIS</x:v>
      </x:c>
      <x:c r="D37" s="118" t="str">
        <x:v>Decentralized / home BESS energy</x:v>
      </x:c>
      <x:c r="E37" s="118" t="str">
        <x:v>battery_home_energy</x:v>
      </x:c>
      <x:c r="F37" s="118" t="str">
        <x:v>bess_distributed_energy</x:v>
      </x:c>
      <x:c r="G37" s="118" t="str">
        <x:v>GWh</x:v>
      </x:c>
      <x:c r="H37" s="143" t="n">
        <x:v>2.78</x:v>
      </x:c>
      <x:c r="I37" s="143" t="n">
        <x:v>4.5</x:v>
      </x:c>
      <x:c r="J37" s="118" t="str">
        <x:v>IMPLEMENT_STORAGE_PAIR</x:v>
      </x:c>
      <x:c r="K37" s="118" t="str">
        <x:v>OFFICIAL_SCENARIO_INPUT</x:v>
      </x:c>
      <x:c r="L37" s="118" t="str">
        <x:v>A</x:v>
      </x:c>
      <x:c r="M37" s="118" t="str">
        <x:v>DERIVED_FROM_OFFICIAL_COMPONENTS</x:v>
      </x:c>
      <x:c r="N37" s="118" t="str">
        <x:v>B</x:v>
      </x:c>
      <x:c r="O37" s="118" t="str">
        <x:v>CH_SZR_2040</x:v>
      </x:c>
      <x:c r="P37" s="118" t="str">
        <x:v>CH_SZR_2040+CH_WINTERSTROM</x:v>
      </x:c>
      <x:c r="Q37" s="118" t="str">
        <x:v>MEM_ETX6R_CH_National_Closure_v1.0</x:v>
      </x:c>
      <x:c r="R37" s="118" t="n">
        <x:v>20</x:v>
      </x:c>
      <x:c r="S37" s="127" t="str">
        <x:v>2050 implementation keeps the selected ZERO-Basis 0.5 h home-battery assumption. The 2025 BFE storage study separately assumes ~11.5 GWh usable PV-home-storage capacity for network-use analysis; retain that newer figure as a later sensitivity/QA benchmark rather than silently replacing the selected scenario architecture.</x:v>
      </x:c>
    </x:row>
    <x:row r="38">
      <x:c r="A38" s="126" t="str">
        <x:v>CH</x:v>
      </x:c>
      <x:c r="B38" s="118" t="str">
        <x:v>Switzerland</x:v>
      </x:c>
      <x:c r="C38" s="118" t="str">
        <x:v>CH_ZERO_BASIS</x:v>
      </x:c>
      <x:c r="D38" s="118" t="str">
        <x:v>Grid-scale BESS power</x:v>
      </x:c>
      <x:c r="E38" s="118" t="str">
        <x:v>battery_grid_power</x:v>
      </x:c>
      <x:c r="F38" s="118" t="str">
        <x:v>bess_grid_power</x:v>
      </x:c>
      <x:c r="G38" s="118" t="str">
        <x:v>GW</x:v>
      </x:c>
      <x:c r="H38" s="143" t="n">
        <x:v>2.9427272727272724</x:v>
      </x:c>
      <x:c r="I38" s="143" t="n">
        <x:v>3.2746478873239435</x:v>
      </x:c>
      <x:c r="J38" s="118" t="str">
        <x:v>IMPLEMENT_STORAGE_PAIR</x:v>
      </x:c>
      <x:c r="K38" s="118" t="str">
        <x:v>BFE_2025_STORAGE_BENCHMARK_DERIVED</x:v>
      </x:c>
      <x:c r="L38" s="118" t="str">
        <x:v>B/C</x:v>
      </x:c>
      <x:c r="M38" s="118" t="str">
        <x:v>BFE_2025_STORAGE_BENCHMARK_DERIVED</x:v>
      </x:c>
      <x:c r="N38" s="118" t="str">
        <x:v>B/C</x:v>
      </x:c>
      <x:c r="O38" s="118" t="str">
        <x:v>CH_STORAGE_2025</x:v>
      </x:c>
      <x:c r="P38" s="118" t="str">
        <x:v>CH_STORAGE_2025</x:v>
      </x:c>
      <x:c r="Q38" s="118" t="str">
        <x:v>MEM_ETX6R_CH_National_Closure_v1.0</x:v>
      </x:c>
      <x:c r="R38" s="118" t="n">
        <x:v>21</x:v>
      </x:c>
      <x:c r="S38" s="127" t="str">
        <x:v>National-study overlay, not an original 2020 ZERO-Basis exogenous input. See CH-D02 to CH-D10.</x:v>
      </x:c>
    </x:row>
    <x:row r="39">
      <x:c r="A39" s="126" t="str">
        <x:v>CH</x:v>
      </x:c>
      <x:c r="B39" s="118" t="str">
        <x:v>Switzerland</x:v>
      </x:c>
      <x:c r="C39" s="118" t="str">
        <x:v>CH_ZERO_BASIS</x:v>
      </x:c>
      <x:c r="D39" s="118" t="str">
        <x:v>Grid-scale BESS energy</x:v>
      </x:c>
      <x:c r="E39" s="118" t="str">
        <x:v>battery_grid_energy</x:v>
      </x:c>
      <x:c r="F39" s="118" t="str">
        <x:v>bess_grid_energy</x:v>
      </x:c>
      <x:c r="G39" s="118" t="str">
        <x:v>GWh</x:v>
      </x:c>
      <x:c r="H39" s="143" t="n">
        <x:v>15.14121212121212</x:v>
      </x:c>
      <x:c r="I39" s="143" t="n">
        <x:v>16.267605633802816</x:v>
      </x:c>
      <x:c r="J39" s="118" t="str">
        <x:v>IMPLEMENT_STORAGE_PAIR</x:v>
      </x:c>
      <x:c r="K39" s="118" t="str">
        <x:v>BFE_2025_STORAGE_BENCHMARK_DERIVED</x:v>
      </x:c>
      <x:c r="L39" s="118" t="str">
        <x:v>B/C</x:v>
      </x:c>
      <x:c r="M39" s="118" t="str">
        <x:v>BFE_2025_STORAGE_BENCHMARK_DERIVED</x:v>
      </x:c>
      <x:c r="N39" s="118" t="str">
        <x:v>B/C</x:v>
      </x:c>
      <x:c r="O39" s="118" t="str">
        <x:v>CH_STORAGE_2025</x:v>
      </x:c>
      <x:c r="P39" s="118" t="str">
        <x:v>CH_STORAGE_2025</x:v>
      </x:c>
      <x:c r="Q39" s="118" t="str">
        <x:v>MEM_ETX6R_CH_National_Closure_v1.0</x:v>
      </x:c>
      <x:c r="R39" s="118" t="n">
        <x:v>22</x:v>
      </x:c>
      <x:c r="S39" s="127" t="str">
        <x:v>See CH-D05 to CH-D10.</x:v>
      </x:c>
    </x:row>
    <x:row r="40">
      <x:c r="A40" s="126" t="str">
        <x:v>CH</x:v>
      </x:c>
      <x:c r="B40" s="118" t="str">
        <x:v>Switzerland</x:v>
      </x:c>
      <x:c r="C40" s="118" t="str">
        <x:v>CH_ZERO_BASIS</x:v>
      </x:c>
      <x:c r="D40" s="118" t="str">
        <x:v>Waste incineration CHP (KVA)</x:v>
      </x:c>
      <x:c r="E40" s="118" t="str">
        <x:v>waste_chp</x:v>
      </x:c>
      <x:c r="F40" s="118" t="str">
        <x:v>waste_chp</x:v>
      </x:c>
      <x:c r="G40" s="118" t="str">
        <x:v>GW</x:v>
      </x:c>
      <x:c r="H40" s="143" t="n">
        <x:v>0.42</x:v>
      </x:c>
      <x:c r="I40" s="143" t="n">
        <x:v>0.42</x:v>
      </x:c>
      <x:c r="J40" s="118" t="str">
        <x:v>IMPLEMENT</x:v>
      </x:c>
      <x:c r="K40" s="118" t="str">
        <x:v>OFFICIAL_SCENARIO_INPUT</x:v>
      </x:c>
      <x:c r="L40" s="118" t="str">
        <x:v>A</x:v>
      </x:c>
      <x:c r="M40" s="118" t="str">
        <x:v>NATIONAL_TRAJECTORY_CARRY_FORWARD</x:v>
      </x:c>
      <x:c r="N40" s="118" t="str">
        <x:v>B</x:v>
      </x:c>
      <x:c r="O40" s="118" t="str">
        <x:v>CH_SZR_2040</x:v>
      </x:c>
      <x:c r="P40" s="118" t="str">
        <x:v>CH_WKK_EXCURSUS</x:v>
      </x:c>
      <x:c r="Q40" s="118" t="str">
        <x:v>MEM_ETX6R_CH_National_Closure_v1.0</x:v>
      </x:c>
      <x:c r="R40" s="118" t="n">
        <x:v>26</x:v>
      </x:c>
      <x:c r="S40" s="127" t="str">
        <x:v>Waste has both fossil and biogenic content; handle emissions/fuel mix in technical parameters rather than splitting capacity.</x:v>
      </x:c>
    </x:row>
    <x:row r="41">
      <x:c r="A41" s="126" t="str">
        <x:v>CH</x:v>
      </x:c>
      <x:c r="B41" s="118" t="str">
        <x:v>Switzerland</x:v>
      </x:c>
      <x:c r="C41" s="118" t="str">
        <x:v>CH_ZERO_BASIS</x:v>
      </x:c>
      <x:c r="D41" s="118" t="str">
        <x:v>Other central thermal CHP</x:v>
      </x:c>
      <x:c r="E41" s="118" t="str">
        <x:v>thermal_other_chp</x:v>
      </x:c>
      <x:c r="F41" s="118" t="str">
        <x:v>thermal_other_chp</x:v>
      </x:c>
      <x:c r="G41" s="118" t="str">
        <x:v>GW</x:v>
      </x:c>
      <x:c r="H41" s="143" t="n">
        <x:v>0.2</x:v>
      </x:c>
      <x:c r="I41" s="143" t="n">
        <x:v>0.2</x:v>
      </x:c>
      <x:c r="J41" s="118" t="str">
        <x:v>IMPLEMENT</x:v>
      </x:c>
      <x:c r="K41" s="118" t="str">
        <x:v>OFFICIAL_SCENARIO_INPUT</x:v>
      </x:c>
      <x:c r="L41" s="118" t="str">
        <x:v>A</x:v>
      </x:c>
      <x:c r="M41" s="118" t="str">
        <x:v>NATIONAL_TRAJECTORY_CARRY_FORWARD</x:v>
      </x:c>
      <x:c r="N41" s="118" t="str">
        <x:v>B/C</x:v>
      </x:c>
      <x:c r="O41" s="118" t="str">
        <x:v>CH_SZR_2040</x:v>
      </x:c>
      <x:c r="P41" s="118" t="str">
        <x:v>CH_WKK_EXCURSUS</x:v>
      </x:c>
      <x:c r="Q41" s="118" t="str">
        <x:v>MEM_ETX6R_CH_National_Closure_v1.0</x:v>
      </x:c>
      <x:c r="R41" s="118" t="n">
        <x:v>27</x:v>
      </x:c>
      <x:c r="S41" s="127" t="str">
        <x:v>Capacity held constant; fuel treatment transitions toward biomethane.</x:v>
      </x:c>
    </x:row>
    <x:row r="42">
      <x:c r="A42" s="126" t="str">
        <x:v>CH</x:v>
      </x:c>
      <x:c r="B42" s="118" t="str">
        <x:v>Switzerland</x:v>
      </x:c>
      <x:c r="C42" s="118" t="str">
        <x:v>CH_ZERO_BASIS</x:v>
      </x:c>
      <x:c r="D42" s="118" t="str">
        <x:v>Biomass wood CHP</x:v>
      </x:c>
      <x:c r="E42" s="118" t="str">
        <x:v>biomass_chp</x:v>
      </x:c>
      <x:c r="F42" s="118" t="str">
        <x:v>bioenergy_biomass</x:v>
      </x:c>
      <x:c r="G42" s="118" t="str">
        <x:v>GW</x:v>
      </x:c>
      <x:c r="H42" s="143" t="n">
        <x:v>0.07</x:v>
      </x:c>
      <x:c r="I42" s="143" t="n">
        <x:v>0.07</x:v>
      </x:c>
      <x:c r="J42" s="118" t="str">
        <x:v>IMPLEMENT</x:v>
      </x:c>
      <x:c r="K42" s="118" t="str">
        <x:v>OFFICIAL_SCENARIO_INPUT</x:v>
      </x:c>
      <x:c r="L42" s="118" t="str">
        <x:v>A</x:v>
      </x:c>
      <x:c r="M42" s="118" t="str">
        <x:v>DERIVED_FROM_OFFICIAL_COMPONENTS</x:v>
      </x:c>
      <x:c r="N42" s="118" t="str">
        <x:v>B</x:v>
      </x:c>
      <x:c r="O42" s="118" t="str">
        <x:v>CH_SZR_2040</x:v>
      </x:c>
      <x:c r="P42" s="118" t="str">
        <x:v>CH_EP2050_SUMMARY</x:v>
      </x:c>
      <x:c r="Q42" s="118" t="str">
        <x:v>MEM_ETX6R_CH_National_Closure_v1.0</x:v>
      </x:c>
      <x:c r="R42" s="118" t="n">
        <x:v>28</x:v>
      </x:c>
      <x:c r="S42" s="127" t="str">
        <x:v>See CH-D18.</x:v>
      </x:c>
    </x:row>
    <x:row r="43">
      <x:c r="A43" s="126" t="str">
        <x:v>CH</x:v>
      </x:c>
      <x:c r="B43" s="118" t="str">
        <x:v>Switzerland</x:v>
      </x:c>
      <x:c r="C43" s="118" t="str">
        <x:v>CH_ZERO_BASIS</x:v>
      </x:c>
      <x:c r="D43" s="118" t="str">
        <x:v>Biogas / biomethane CHP</x:v>
      </x:c>
      <x:c r="E43" s="118" t="str">
        <x:v>biogas_chp</x:v>
      </x:c>
      <x:c r="F43" s="118" t="str">
        <x:v>bioenergy_biogas</x:v>
      </x:c>
      <x:c r="G43" s="118" t="str">
        <x:v>GW</x:v>
      </x:c>
      <x:c r="H43" s="143" t="n">
        <x:v>0.25</x:v>
      </x:c>
      <x:c r="I43" s="143" t="n">
        <x:v>0.37499999999999994</x:v>
      </x:c>
      <x:c r="J43" s="118" t="str">
        <x:v>IMPLEMENT</x:v>
      </x:c>
      <x:c r="K43" s="118" t="str">
        <x:v>OFFICIAL_SCENARIO_INPUT</x:v>
      </x:c>
      <x:c r="L43" s="118" t="str">
        <x:v>A</x:v>
      </x:c>
      <x:c r="M43" s="118" t="str">
        <x:v>DERIVED_FROM_OFFICIAL_COMPONENTS</x:v>
      </x:c>
      <x:c r="N43" s="118" t="str">
        <x:v>B</x:v>
      </x:c>
      <x:c r="O43" s="118" t="str">
        <x:v>CH_SZR_2040</x:v>
      </x:c>
      <x:c r="P43" s="118" t="str">
        <x:v>CH_EP2050_SUMMARY+CH_WKK_EXCURSUS</x:v>
      </x:c>
      <x:c r="Q43" s="118" t="str">
        <x:v>MEM_ETX6R_CH_National_Closure_v1.0</x:v>
      </x:c>
      <x:c r="R43" s="118" t="n">
        <x:v>29</x:v>
      </x:c>
      <x:c r="S43" s="127" t="str">
        <x:v>See CH-D19.</x:v>
      </x:c>
    </x:row>
    <x:row r="44">
      <x:c r="A44" s="126" t="str">
        <x:v>CH</x:v>
      </x:c>
      <x:c r="B44" s="118" t="str">
        <x:v>Switzerland</x:v>
      </x:c>
      <x:c r="C44" s="118" t="str">
        <x:v>CH_ZERO_BASIS</x:v>
      </x:c>
      <x:c r="D44" s="118" t="str">
        <x:v>Wastewater / ARA CHP</x:v>
      </x:c>
      <x:c r="E44" s="118" t="str">
        <x:v>ara_chp</x:v>
      </x:c>
      <x:c r="F44" s="118" t="str">
        <x:v>waste_chp</x:v>
      </x:c>
      <x:c r="G44" s="118" t="str">
        <x:v>GW</x:v>
      </x:c>
      <x:c r="H44" s="143" t="n">
        <x:v>0.03</x:v>
      </x:c>
      <x:c r="I44" s="143" t="n">
        <x:v>0.03</x:v>
      </x:c>
      <x:c r="J44" s="118" t="str">
        <x:v>IMPLEMENT</x:v>
      </x:c>
      <x:c r="K44" s="118" t="str">
        <x:v>OFFICIAL_SCENARIO_INPUT</x:v>
      </x:c>
      <x:c r="L44" s="118" t="str">
        <x:v>A</x:v>
      </x:c>
      <x:c r="M44" s="118" t="str">
        <x:v>DERIVED_FROM_OFFICIAL_COMPONENTS</x:v>
      </x:c>
      <x:c r="N44" s="118" t="str">
        <x:v>B</x:v>
      </x:c>
      <x:c r="O44" s="118" t="str">
        <x:v>CH_SZR_2040</x:v>
      </x:c>
      <x:c r="P44" s="118" t="str">
        <x:v>CH_EP2050_SUMMARY</x:v>
      </x:c>
      <x:c r="Q44" s="118" t="str">
        <x:v>MEM_ETX6R_CH_National_Closure_v1.0</x:v>
      </x:c>
      <x:c r="R44" s="118" t="n">
        <x:v>30</x:v>
      </x:c>
      <x:c r="S44" s="127" t="str">
        <x:v>See CH-D20.</x:v>
      </x:c>
    </x:row>
    <x:row r="45">
      <x:c r="A45" s="126" t="str">
        <x:v>CH</x:v>
      </x:c>
      <x:c r="B45" s="118" t="str">
        <x:v>Switzerland</x:v>
      </x:c>
      <x:c r="C45" s="118" t="str">
        <x:v>CH_ZERO_BASIS</x:v>
      </x:c>
      <x:c r="D45" s="118" t="str">
        <x:v>Geothermal electricity / CHP</x:v>
      </x:c>
      <x:c r="E45" s="118" t="str">
        <x:v>geothermal</x:v>
      </x:c>
      <x:c r="F45" s="118" t="str">
        <x:v>geothermal</x:v>
      </x:c>
      <x:c r="G45" s="118" t="str">
        <x:v>GW</x:v>
      </x:c>
      <x:c r="H45" s="143" t="n">
        <x:v>0.09</x:v>
      </x:c>
      <x:c r="I45" s="143" t="n">
        <x:v>0.3</x:v>
      </x:c>
      <x:c r="J45" s="118" t="str">
        <x:v>IMPLEMENT</x:v>
      </x:c>
      <x:c r="K45" s="118" t="str">
        <x:v>OFFICIAL_SCENARIO_INPUT</x:v>
      </x:c>
      <x:c r="L45" s="118" t="str">
        <x:v>A</x:v>
      </x:c>
      <x:c r="M45" s="118" t="str">
        <x:v>DERIVED_FROM_OFFICIAL_COMPONENTS</x:v>
      </x:c>
      <x:c r="N45" s="118" t="str">
        <x:v>B/C</x:v>
      </x:c>
      <x:c r="O45" s="118" t="str">
        <x:v>CH_SZR_2040</x:v>
      </x:c>
      <x:c r="P45" s="118" t="str">
        <x:v>CH_EP2050_SUMMARY+CH_WKK_EXCURSUS</x:v>
      </x:c>
      <x:c r="Q45" s="118" t="str">
        <x:v>MEM_ETX6R_CH_National_Closure_v1.0</x:v>
      </x:c>
      <x:c r="R45" s="118" t="n">
        <x:v>31</x:v>
      </x:c>
      <x:c r="S45" s="127" t="str">
        <x:v>See CH-D21.</x:v>
      </x:c>
    </x:row>
    <x:row r="46">
      <x:c r="A46" s="126" t="str">
        <x:v>AT</x:v>
      </x:c>
      <x:c r="B46" s="118" t="str">
        <x:v>Austria</x:v>
      </x:c>
      <x:c r="C46" s="118" t="str">
        <x:v>AT_BASE_WAM2025</x:v>
      </x:c>
      <x:c r="D46" s="118" t="str">
        <x:v>Annual electricity demand</x:v>
      </x:c>
      <x:c r="E46" s="118" t="str">
        <x:v>load</x:v>
      </x:c>
      <x:c r="F46" s="118" t="str">
        <x:v>demand</x:v>
      </x:c>
      <x:c r="G46" s="118" t="str">
        <x:v>TWh</x:v>
      </x:c>
      <x:c r="H46" s="143" t="n">
        <x:v>109</x:v>
      </x:c>
      <x:c r="I46" s="143" t="n">
        <x:v>121</x:v>
      </x:c>
      <x:c r="J46" s="118" t="str">
        <x:v>IMPLEMENT</x:v>
      </x:c>
      <x:c r="K46" s="118" t="str">
        <x:v>OFFICIAL_SCENARIO_INPUT</x:v>
      </x:c>
      <x:c r="L46" s="118" t="str">
        <x:v>A</x:v>
      </x:c>
      <x:c r="M46" s="118" t="str">
        <x:v>OFFICIAL_SCENARIO_INPUT</x:v>
      </x:c>
      <x:c r="N46" s="118" t="str">
        <x:v>A</x:v>
      </x:c>
      <x:c r="O46" s="118" t="str">
        <x:v>AT_WAM2025</x:v>
      </x:c>
      <x:c r="P46" s="118" t="str">
        <x:v>AT_WAM2025</x:v>
      </x:c>
      <x:c r="Q46" s="118" t="str">
        <x:v>MEM_ETX6R_AT_National_Closure_v1.0</x:v>
      </x:c>
      <x:c r="R46" s="118" t="n">
        <x:v>5</x:v>
      </x:c>
      <x:c r="S46" s="127" t="str">
        <x:v>Do not add a separate electrolyser load in Stage A unless the embedded WAM electricity is correspondingly removed.</x:v>
      </x:c>
    </x:row>
    <x:row r="47">
      <x:c r="A47" s="126" t="str">
        <x:v>AT</x:v>
      </x:c>
      <x:c r="B47" s="118" t="str">
        <x:v>Austria</x:v>
      </x:c>
      <x:c r="C47" s="118" t="str">
        <x:v>AT_BASE_WAM2025</x:v>
      </x:c>
      <x:c r="D47" s="118" t="str">
        <x:v>Nuclear</x:v>
      </x:c>
      <x:c r="E47" s="118" t="str">
        <x:v>nuclear</x:v>
      </x:c>
      <x:c r="F47" s="118" t="str">
        <x:v>nuclear</x:v>
      </x:c>
      <x:c r="G47" s="118" t="str">
        <x:v>GW</x:v>
      </x:c>
      <x:c r="H47" s="143" t="n">
        <x:v>0</x:v>
      </x:c>
      <x:c r="I47" s="143" t="n">
        <x:v>0</x:v>
      </x:c>
      <x:c r="J47" s="118" t="str">
        <x:v>IMPLEMENT</x:v>
      </x:c>
      <x:c r="K47" s="118" t="str">
        <x:v>OFFICIAL_POLICY_ZERO</x:v>
      </x:c>
      <x:c r="L47" s="118" t="str">
        <x:v>A</x:v>
      </x:c>
      <x:c r="M47" s="118" t="str">
        <x:v>OFFICIAL_POLICY_ZERO</x:v>
      </x:c>
      <x:c r="N47" s="118" t="str">
        <x:v>A</x:v>
      </x:c>
      <x:c r="O47" s="118" t="str">
        <x:v>AT_WAM2025</x:v>
      </x:c>
      <x:c r="P47" s="118" t="str">
        <x:v>AT_WAM2025</x:v>
      </x:c>
      <x:c r="Q47" s="118" t="str">
        <x:v>MEM_ETX6R_AT_National_Closure_v1.0</x:v>
      </x:c>
      <x:c r="R47" s="118" t="n">
        <x:v>6</x:v>
      </x:c>
      <x:c r="S47" s="127" t="str">
        <x:v>Explicit zero.</x:v>
      </x:c>
    </x:row>
    <x:row r="48">
      <x:c r="A48" s="126" t="str">
        <x:v>AT</x:v>
      </x:c>
      <x:c r="B48" s="118" t="str">
        <x:v>Austria</x:v>
      </x:c>
      <x:c r="C48" s="118" t="str">
        <x:v>AT_BASE_WAM2025</x:v>
      </x:c>
      <x:c r="D48" s="118" t="str">
        <x:v>Coal / lignite</x:v>
      </x:c>
      <x:c r="E48" s="118" t="str">
        <x:v>coal_lignite</x:v>
      </x:c>
      <x:c r="F48" s="118" t="str">
        <x:v>coal_lignite</x:v>
      </x:c>
      <x:c r="G48" s="118" t="str">
        <x:v>GW</x:v>
      </x:c>
      <x:c r="H48" s="143" t="n">
        <x:v>0</x:v>
      </x:c>
      <x:c r="I48" s="143" t="n">
        <x:v>0</x:v>
      </x:c>
      <x:c r="J48" s="118" t="str">
        <x:v>IMPLEMENT</x:v>
      </x:c>
      <x:c r="K48" s="118" t="str">
        <x:v>OFFICIAL_POLICY_ZERO</x:v>
      </x:c>
      <x:c r="L48" s="118" t="str">
        <x:v>A</x:v>
      </x:c>
      <x:c r="M48" s="118" t="str">
        <x:v>OFFICIAL_POLICY_ZERO</x:v>
      </x:c>
      <x:c r="N48" s="118" t="str">
        <x:v>A</x:v>
      </x:c>
      <x:c r="O48" s="118" t="str">
        <x:v>AT_WAM2025</x:v>
      </x:c>
      <x:c r="P48" s="118" t="str">
        <x:v>AT_WAM2025</x:v>
      </x:c>
      <x:c r="Q48" s="118" t="str">
        <x:v>MEM_ETX6R_AT_National_Closure_v1.0</x:v>
      </x:c>
      <x:c r="R48" s="118" t="n">
        <x:v>7</x:v>
      </x:c>
      <x:c r="S48" s="127" t="str">
        <x:v>Explicit zero.</x:v>
      </x:c>
    </x:row>
    <x:row r="49">
      <x:c r="A49" s="126" t="str">
        <x:v>AT</x:v>
      </x:c>
      <x:c r="B49" s="118" t="str">
        <x:v>Austria</x:v>
      </x:c>
      <x:c r="C49" s="118" t="str">
        <x:v>AT_BASE_WAM2025</x:v>
      </x:c>
      <x:c r="D49" s="118" t="str">
        <x:v>Offshore wind</x:v>
      </x:c>
      <x:c r="E49" s="118" t="str">
        <x:v>offwind</x:v>
      </x:c>
      <x:c r="F49" s="118" t="str">
        <x:v>wind_offshore</x:v>
      </x:c>
      <x:c r="G49" s="118" t="str">
        <x:v>GW</x:v>
      </x:c>
      <x:c r="H49" s="143" t="n">
        <x:v>0</x:v>
      </x:c>
      <x:c r="I49" s="143" t="n">
        <x:v>0</x:v>
      </x:c>
      <x:c r="J49" s="118" t="str">
        <x:v>IMPLEMENT</x:v>
      </x:c>
      <x:c r="K49" s="118" t="str">
        <x:v>NATIONAL_GEOGRAPHIC_ZERO</x:v>
      </x:c>
      <x:c r="L49" s="118" t="str">
        <x:v>A</x:v>
      </x:c>
      <x:c r="M49" s="118" t="str">
        <x:v>NATIONAL_GEOGRAPHIC_ZERO</x:v>
      </x:c>
      <x:c r="N49" s="118" t="str">
        <x:v>A</x:v>
      </x:c>
      <x:c r="O49" s="118" t="str">
        <x:v>AT_WAM2025</x:v>
      </x:c>
      <x:c r="P49" s="118" t="str">
        <x:v>AT_WAM2025</x:v>
      </x:c>
      <x:c r="Q49" s="118" t="str">
        <x:v>MEM_ETX6R_AT_National_Closure_v1.0</x:v>
      </x:c>
      <x:c r="R49" s="118" t="n">
        <x:v>8</x:v>
      </x:c>
      <x:c r="S49" s="127" t="str">
        <x:v>Explicit zero.</x:v>
      </x:c>
    </x:row>
    <x:row r="50">
      <x:c r="A50" s="126" t="str">
        <x:v>AT</x:v>
      </x:c>
      <x:c r="B50" s="118" t="str">
        <x:v>Austria</x:v>
      </x:c>
      <x:c r="C50" s="118" t="str">
        <x:v>AT_BASE_WAM2025</x:v>
      </x:c>
      <x:c r="D50" s="118" t="str">
        <x:v>Geothermal electricity</x:v>
      </x:c>
      <x:c r="E50" s="118" t="str">
        <x:v>geothermal</x:v>
      </x:c>
      <x:c r="F50" s="118" t="str">
        <x:v>geothermal</x:v>
      </x:c>
      <x:c r="G50" s="118" t="str">
        <x:v>GW</x:v>
      </x:c>
      <x:c r="H50" s="143" t="n">
        <x:v>0</x:v>
      </x:c>
      <x:c r="I50" s="143" t="n">
        <x:v>0</x:v>
      </x:c>
      <x:c r="J50" s="118" t="str">
        <x:v>IMPLEMENT</x:v>
      </x:c>
      <x:c r="K50" s="118" t="str">
        <x:v>OFFICIAL_SCENARIO_ZERO</x:v>
      </x:c>
      <x:c r="L50" s="118" t="str">
        <x:v>A/B</x:v>
      </x:c>
      <x:c r="M50" s="118" t="str">
        <x:v>OFFICIAL_SCENARIO_ZERO</x:v>
      </x:c>
      <x:c r="N50" s="118" t="str">
        <x:v>A/B</x:v>
      </x:c>
      <x:c r="O50" s="118" t="str">
        <x:v>AT_WAM2025</x:v>
      </x:c>
      <x:c r="P50" s="118" t="str">
        <x:v>AT_WAM2025</x:v>
      </x:c>
      <x:c r="Q50" s="118" t="str">
        <x:v>MEM_ETX6R_AT_National_Closure_v1.0</x:v>
      </x:c>
      <x:c r="R50" s="118" t="n">
        <x:v>9</x:v>
      </x:c>
      <x:c r="S50" s="127" t="str">
        <x:v>Geothermal heat is outside the electricity-generation stack.</x:v>
      </x:c>
    </x:row>
    <x:row r="51">
      <x:c r="A51" s="126" t="str">
        <x:v>AT</x:v>
      </x:c>
      <x:c r="B51" s="118" t="str">
        <x:v>Austria</x:v>
      </x:c>
      <x:c r="C51" s="118" t="str">
        <x:v>AT_BASE_WAM2025</x:v>
      </x:c>
      <x:c r="D51" s="118" t="str">
        <x:v>Solar PV</x:v>
      </x:c>
      <x:c r="E51" s="118" t="str">
        <x:v>solar</x:v>
      </x:c>
      <x:c r="F51" s="118" t="str">
        <x:v>solar_pv</x:v>
      </x:c>
      <x:c r="G51" s="118" t="str">
        <x:v>GW</x:v>
      </x:c>
      <x:c r="H51" s="143" t="n">
        <x:v>30</x:v>
      </x:c>
      <x:c r="I51" s="143" t="n">
        <x:v>35</x:v>
      </x:c>
      <x:c r="J51" s="118" t="str">
        <x:v>IMPLEMENT</x:v>
      </x:c>
      <x:c r="K51" s="118" t="str">
        <x:v>OFFICIAL_SCENARIO_INPUT</x:v>
      </x:c>
      <x:c r="L51" s="118" t="str">
        <x:v>A</x:v>
      </x:c>
      <x:c r="M51" s="118" t="str">
        <x:v>DERIVED_FROM_OFFICIAL_COMPONENTS</x:v>
      </x:c>
      <x:c r="N51" s="118" t="str">
        <x:v>B</x:v>
      </x:c>
      <x:c r="O51" s="118" t="str">
        <x:v>AT_WAM2040_CAPACITY</x:v>
      </x:c>
      <x:c r="P51" s="118" t="str">
        <x:v>AT_WAM2025</x:v>
      </x:c>
      <x:c r="Q51" s="118" t="str">
        <x:v>MEM_ETX6R_AT_National_Closure_v1.0</x:v>
      </x:c>
      <x:c r="R51" s="118" t="n">
        <x:v>10</x:v>
      </x:c>
      <x:c r="S51" s="127" t="str">
        <x:v>See AT-D01.</x:v>
      </x:c>
    </x:row>
    <x:row r="52">
      <x:c r="A52" s="126" t="str">
        <x:v>AT</x:v>
      </x:c>
      <x:c r="B52" s="118" t="str">
        <x:v>Austria</x:v>
      </x:c>
      <x:c r="C52" s="118" t="str">
        <x:v>AT_BASE_WAM2025</x:v>
      </x:c>
      <x:c r="D52" s="118" t="str">
        <x:v>Onshore wind</x:v>
      </x:c>
      <x:c r="E52" s="118" t="str">
        <x:v>onwind</x:v>
      </x:c>
      <x:c r="F52" s="118" t="str">
        <x:v>wind_onshore</x:v>
      </x:c>
      <x:c r="G52" s="118" t="str">
        <x:v>GW</x:v>
      </x:c>
      <x:c r="H52" s="143" t="n">
        <x:v>9.6</x:v>
      </x:c>
      <x:c r="I52" s="143" t="n">
        <x:v>10.799999999999999</x:v>
      </x:c>
      <x:c r="J52" s="118" t="str">
        <x:v>IMPLEMENT</x:v>
      </x:c>
      <x:c r="K52" s="118" t="str">
        <x:v>OFFICIAL_SCENARIO_INPUT</x:v>
      </x:c>
      <x:c r="L52" s="118" t="str">
        <x:v>A</x:v>
      </x:c>
      <x:c r="M52" s="118" t="str">
        <x:v>DERIVED_FROM_OFFICIAL_COMPONENTS</x:v>
      </x:c>
      <x:c r="N52" s="118" t="str">
        <x:v>B</x:v>
      </x:c>
      <x:c r="O52" s="118" t="str">
        <x:v>AT_WAM2040_CAPACITY</x:v>
      </x:c>
      <x:c r="P52" s="118" t="str">
        <x:v>AT_WAM2025</x:v>
      </x:c>
      <x:c r="Q52" s="118" t="str">
        <x:v>MEM_ETX6R_AT_National_Closure_v1.0</x:v>
      </x:c>
      <x:c r="R52" s="118" t="n">
        <x:v>11</x:v>
      </x:c>
      <x:c r="S52" s="127" t="str">
        <x:v>This is a material correction versus ETX-5, where 16/18 GW came from TYNDP NT rather than the selected national WAM pathway. See AT-D02.</x:v>
      </x:c>
    </x:row>
    <x:row r="53">
      <x:c r="A53" s="126" t="str">
        <x:v>AT</x:v>
      </x:c>
      <x:c r="B53" s="118" t="str">
        <x:v>Austria</x:v>
      </x:c>
      <x:c r="C53" s="118" t="str">
        <x:v>AT_BASE_WAM2025</x:v>
      </x:c>
      <x:c r="D53" s="118" t="str">
        <x:v>Bioenergy / other renewables</x:v>
      </x:c>
      <x:c r="E53" s="118" t="str">
        <x:v>bioenergy_other_res</x:v>
      </x:c>
      <x:c r="F53" s="118" t="str">
        <x:v>bioenergy_biomass</x:v>
      </x:c>
      <x:c r="G53" s="118" t="str">
        <x:v>GW</x:v>
      </x:c>
      <x:c r="H53" s="143" t="n">
        <x:v>0.866</x:v>
      </x:c>
      <x:c r="I53" s="143" t="n">
        <x:v>0.866</x:v>
      </x:c>
      <x:c r="J53" s="118" t="str">
        <x:v>IMPLEMENT</x:v>
      </x:c>
      <x:c r="K53" s="118" t="str">
        <x:v>OFFICIAL_SCENARIO_INPUT</x:v>
      </x:c>
      <x:c r="L53" s="118" t="str">
        <x:v>A/B</x:v>
      </x:c>
      <x:c r="M53" s="118" t="str">
        <x:v>DERIVED_FROM_OFFICIAL_COMPONENTS</x:v>
      </x:c>
      <x:c r="N53" s="118" t="str">
        <x:v>B</x:v>
      </x:c>
      <x:c r="O53" s="118" t="str">
        <x:v>AT_WAM2040_CAPACITY</x:v>
      </x:c>
      <x:c r="P53" s="118" t="str">
        <x:v>AT_WAM2025</x:v>
      </x:c>
      <x:c r="Q53" s="118" t="str">
        <x:v>MEM_ETX6R_AT_National_Closure_v1.0</x:v>
      </x:c>
      <x:c r="R53" s="118" t="n">
        <x:v>12</x:v>
      </x:c>
      <x:c r="S53" s="127" t="str">
        <x:v>Aggregate bioenergy/other-RES carrier. Avoid double counting waste/biomass subcomponents unless disaggregated later. See AT-D03.</x:v>
      </x:c>
    </x:row>
    <x:row r="54">
      <x:c r="A54" s="126" t="str">
        <x:v>AT</x:v>
      </x:c>
      <x:c r="B54" s="118" t="str">
        <x:v>Austria</x:v>
      </x:c>
      <x:c r="C54" s="118" t="str">
        <x:v>AT_BASE_WAM2025</x:v>
      </x:c>
      <x:c r="D54" s="118" t="str">
        <x:v>Run-of-river hydro</x:v>
      </x:c>
      <x:c r="E54" s="118" t="str">
        <x:v>ror_hydro</x:v>
      </x:c>
      <x:c r="F54" s="118" t="str">
        <x:v>hydro_non_phs</x:v>
      </x:c>
      <x:c r="G54" s="118" t="str">
        <x:v>GW</x:v>
      </x:c>
      <x:c r="H54" s="143" t="n">
        <x:v>7.318</x:v>
      </x:c>
      <x:c r="I54" s="143" t="n">
        <x:v>7.318</x:v>
      </x:c>
      <x:c r="J54" s="118" t="str">
        <x:v>IMPLEMENT</x:v>
      </x:c>
      <x:c r="K54" s="118" t="str">
        <x:v>NATIONAL_INFRASTRUCTURE_BENCHMARK</x:v>
      </x:c>
      <x:c r="L54" s="118" t="str">
        <x:v>A/B</x:v>
      </x:c>
      <x:c r="M54" s="118" t="str">
        <x:v>NATIONAL_TRAJECTORY_CARRY_FORWARD</x:v>
      </x:c>
      <x:c r="N54" s="118" t="str">
        <x:v>B</x:v>
      </x:c>
      <x:c r="O54" s="118" t="str">
        <x:v>AT_APG_NEP2025</x:v>
      </x:c>
      <x:c r="P54" s="118" t="str">
        <x:v>AT_WAM2025+AT_APG_NEP2025</x:v>
      </x:c>
      <x:c r="Q54" s="118" t="str">
        <x:v>MEM_ETX6R_AT_National_Closure_v1.0</x:v>
      </x:c>
      <x:c r="R54" s="118" t="n">
        <x:v>14</x:v>
      </x:c>
      <x:c r="S54" s="127" t="str">
        <x:v>National-geography basis. ETX-7 should confirm whether node membership follows physical-country or control-zone connection. See AT-D05.</x:v>
      </x:c>
    </x:row>
    <x:row r="55">
      <x:c r="A55" s="126" t="str">
        <x:v>AT</x:v>
      </x:c>
      <x:c r="B55" s="118" t="str">
        <x:v>Austria</x:v>
      </x:c>
      <x:c r="C55" s="118" t="str">
        <x:v>AT_BASE_WAM2025</x:v>
      </x:c>
      <x:c r="D55" s="118" t="str">
        <x:v>Reservoir / storage hydro turbine</x:v>
      </x:c>
      <x:c r="E55" s="118" t="str">
        <x:v>reservoir_hydro</x:v>
      </x:c>
      <x:c r="F55" s="118" t="str">
        <x:v>hydro_non_phs</x:v>
      </x:c>
      <x:c r="G55" s="118" t="str">
        <x:v>GW</x:v>
      </x:c>
      <x:c r="H55" s="143" t="n">
        <x:v>4.43</x:v>
      </x:c>
      <x:c r="I55" s="143" t="n">
        <x:v>4.43</x:v>
      </x:c>
      <x:c r="J55" s="118" t="str">
        <x:v>IMPLEMENT</x:v>
      </x:c>
      <x:c r="K55" s="118" t="str">
        <x:v>OFFICIAL_NATIONAL_INFRASTRUCTURE_INPUT</x:v>
      </x:c>
      <x:c r="L55" s="118" t="str">
        <x:v>A</x:v>
      </x:c>
      <x:c r="M55" s="118" t="str">
        <x:v>NATIONAL_TRAJECTORY_CARRY_FORWARD</x:v>
      </x:c>
      <x:c r="N55" s="118" t="str">
        <x:v>B</x:v>
      </x:c>
      <x:c r="O55" s="118" t="str">
        <x:v>AT_OENIP</x:v>
      </x:c>
      <x:c r="P55" s="118" t="str">
        <x:v>AT_WAM2025+AT_OENIP</x:v>
      </x:c>
      <x:c r="Q55" s="118" t="str">
        <x:v>MEM_ETX6R_AT_National_Closure_v1.0</x:v>
      </x:c>
      <x:c r="R55" s="118" t="n">
        <x:v>15</x:v>
      </x:c>
      <x:c r="S55" s="127" t="str">
        <x:v>Reservoir energy/inflow chronology is separate from PHS working energy. See AT-D06.</x:v>
      </x:c>
    </x:row>
    <x:row r="56">
      <x:c r="A56" s="126" t="str">
        <x:v>AT</x:v>
      </x:c>
      <x:c r="B56" s="118" t="str">
        <x:v>Austria</x:v>
      </x:c>
      <x:c r="C56" s="118" t="str">
        <x:v>AT_BASE_WAM2025</x:v>
      </x:c>
      <x:c r="D56" s="118" t="str">
        <x:v>PHS turbine / discharge power</x:v>
      </x:c>
      <x:c r="E56" s="118" t="str">
        <x:v>phs_turbine</x:v>
      </x:c>
      <x:c r="F56" s="118" t="str">
        <x:v>phs_discharge_power</x:v>
      </x:c>
      <x:c r="G56" s="118" t="str">
        <x:v>GW</x:v>
      </x:c>
      <x:c r="H56" s="143" t="n">
        <x:v>7.443</x:v>
      </x:c>
      <x:c r="I56" s="143" t="n">
        <x:v>7.443</x:v>
      </x:c>
      <x:c r="J56" s="118" t="str">
        <x:v>IMPLEMENT_STORAGE_PAIR</x:v>
      </x:c>
      <x:c r="K56" s="118" t="str">
        <x:v>OFFICIAL_NATIONAL_INFRASTRUCTURE_INPUT</x:v>
      </x:c>
      <x:c r="L56" s="118" t="str">
        <x:v>A</x:v>
      </x:c>
      <x:c r="M56" s="118" t="str">
        <x:v>NATIONAL_TRAJECTORY_CARRY_FORWARD</x:v>
      </x:c>
      <x:c r="N56" s="118" t="str">
        <x:v>B</x:v>
      </x:c>
      <x:c r="O56" s="118" t="str">
        <x:v>AT_OENIP</x:v>
      </x:c>
      <x:c r="P56" s="118" t="str">
        <x:v>AT_WAM2025+AT_OENIP</x:v>
      </x:c>
      <x:c r="Q56" s="118" t="str">
        <x:v>MEM_ETX6R_AT_National_Closure_v1.0</x:v>
      </x:c>
      <x:c r="R56" s="118" t="n">
        <x:v>16</x:v>
      </x:c>
      <x:c r="S56" s="127" t="str">
        <x:v>Keep distinct from reservoir hydro. See AT-D07.</x:v>
      </x:c>
    </x:row>
    <x:row r="57">
      <x:c r="A57" s="126" t="str">
        <x:v>AT</x:v>
      </x:c>
      <x:c r="B57" s="118" t="str">
        <x:v>Austria</x:v>
      </x:c>
      <x:c r="C57" s="118" t="str">
        <x:v>AT_BASE_WAM2025</x:v>
      </x:c>
      <x:c r="D57" s="118" t="str">
        <x:v>PHS pump / charge power</x:v>
      </x:c>
      <x:c r="E57" s="118" t="str">
        <x:v>phs_pump</x:v>
      </x:c>
      <x:c r="F57" s="118" t="str">
        <x:v>phs_charge_power</x:v>
      </x:c>
      <x:c r="G57" s="118" t="str">
        <x:v>GW</x:v>
      </x:c>
      <x:c r="H57" s="143" t="n">
        <x:v>6.59</x:v>
      </x:c>
      <x:c r="I57" s="143" t="n">
        <x:v>6.59</x:v>
      </x:c>
      <x:c r="J57" s="118" t="str">
        <x:v>IMPLEMENT_STORAGE_PAIR</x:v>
      </x:c>
      <x:c r="K57" s="118" t="str">
        <x:v>OFFICIAL_NATIONAL_INFRASTRUCTURE_INPUT</x:v>
      </x:c>
      <x:c r="L57" s="118" t="str">
        <x:v>A</x:v>
      </x:c>
      <x:c r="M57" s="118" t="str">
        <x:v>NATIONAL_TRAJECTORY_CARRY_FORWARD</x:v>
      </x:c>
      <x:c r="N57" s="118" t="str">
        <x:v>B</x:v>
      </x:c>
      <x:c r="O57" s="118" t="str">
        <x:v>AT_OENIP</x:v>
      </x:c>
      <x:c r="P57" s="118" t="str">
        <x:v>AT_OENIP</x:v>
      </x:c>
      <x:c r="Q57" s="118" t="str">
        <x:v>MEM_ETX6R_AT_National_Closure_v1.0</x:v>
      </x:c>
      <x:c r="R57" s="118" t="n">
        <x:v>17</x:v>
      </x:c>
      <x:c r="S57" s="127" t="str">
        <x:v>Do not force symmetric charging/discharging power. See AT-D08.</x:v>
      </x:c>
    </x:row>
    <x:row r="58">
      <x:c r="A58" s="126" t="str">
        <x:v>AT</x:v>
      </x:c>
      <x:c r="B58" s="118" t="str">
        <x:v>Austria</x:v>
      </x:c>
      <x:c r="C58" s="118" t="str">
        <x:v>AT_BASE_WAM2025</x:v>
      </x:c>
      <x:c r="D58" s="118" t="str">
        <x:v>PHS working energy</x:v>
      </x:c>
      <x:c r="E58" s="118" t="str">
        <x:v>phs_energy</x:v>
      </x:c>
      <x:c r="F58" s="118" t="str">
        <x:v>phs_energy</x:v>
      </x:c>
      <x:c r="G58" s="118" t="str">
        <x:v>GWh</x:v>
      </x:c>
      <x:c r="H58" s="143" t="n">
        <x:v>223.23152671089383</x:v>
      </x:c>
      <x:c r="I58" s="143" t="n">
        <x:v>223.23152671089383</x:v>
      </x:c>
      <x:c r="J58" s="118" t="str">
        <x:v>IMPLEMENT_STORAGE_PAIR</x:v>
      </x:c>
      <x:c r="K58" s="118" t="str">
        <x:v>NATIONAL_BENCHMARK_DERIVED</x:v>
      </x:c>
      <x:c r="L58" s="118" t="str">
        <x:v>B/C</x:v>
      </x:c>
      <x:c r="M58" s="118" t="str">
        <x:v>NATIONAL_TRAJECTORY_CARRY_FORWARD</x:v>
      </x:c>
      <x:c r="N58" s="118" t="str">
        <x:v>C</x:v>
      </x:c>
      <x:c r="O58" s="118" t="str">
        <x:v>AT_OENIP_2023+AT_OENIP</x:v>
      </x:c>
      <x:c r="P58" s="118" t="str">
        <x:v>AT_OENIP_2023+AT_WAM2025</x:v>
      </x:c>
      <x:c r="Q58" s="118" t="str">
        <x:v>MEM_ETX6R_AT_National_Closure_v1.0</x:v>
      </x:c>
      <x:c r="R58" s="118" t="n">
        <x:v>18</x:v>
      </x:c>
      <x:c r="S58" s="127" t="str">
        <x:v>Working energy is the pump-available energy constrained by lower reservoirs, not full seasonal reservoir energy. See AT-D09/AT-D10.</x:v>
      </x:c>
    </x:row>
    <x:row r="59">
      <x:c r="A59" s="126" t="str">
        <x:v>AT</x:v>
      </x:c>
      <x:c r="B59" s="118" t="str">
        <x:v>Austria</x:v>
      </x:c>
      <x:c r="C59" s="118" t="str">
        <x:v>AT_BASE_WAM2025</x:v>
      </x:c>
      <x:c r="D59" s="118" t="str">
        <x:v>Grid-scale BESS power</x:v>
      </x:c>
      <x:c r="E59" s="118" t="str">
        <x:v>battery_grid_power</x:v>
      </x:c>
      <x:c r="F59" s="118" t="str">
        <x:v>bess_grid_power</x:v>
      </x:c>
      <x:c r="G59" s="118" t="str">
        <x:v>GW</x:v>
      </x:c>
      <x:c r="H59" s="143" t="n">
        <x:v>1.9646341463414634</x:v>
      </x:c>
      <x:c r="I59" s="143" t="n">
        <x:v>2.2920731707317072</x:v>
      </x:c>
      <x:c r="J59" s="118" t="str">
        <x:v>IMPLEMENT_STORAGE_PAIR</x:v>
      </x:c>
      <x:c r="K59" s="118" t="str">
        <x:v>APG_2025_FLEX_BENCHMARK_DERIVED</x:v>
      </x:c>
      <x:c r="L59" s="118" t="str">
        <x:v>B/C</x:v>
      </x:c>
      <x:c r="M59" s="118" t="str">
        <x:v>APG_2025_FLEX_BENCHMARK_DERIVED</x:v>
      </x:c>
      <x:c r="N59" s="118" t="str">
        <x:v>C</x:v>
      </x:c>
      <x:c r="O59" s="118" t="str">
        <x:v>AT_APG_FLEX2025</x:v>
      </x:c>
      <x:c r="P59" s="118" t="str">
        <x:v>AT_APG_FLEX2025+AT_WAM2025</x:v>
      </x:c>
      <x:c r="Q59" s="118" t="str">
        <x:v>MEM_ETX6R_AT_National_Closure_v1.0</x:v>
      </x:c>
      <x:c r="R59" s="118" t="n">
        <x:v>19</x:v>
      </x:c>
      <x:c r="S59" s="127" t="str">
        <x:v>Study result is a national benchmark, not a direct WAM capacity. See AT-D11/12/16.</x:v>
      </x:c>
    </x:row>
    <x:row r="60">
      <x:c r="A60" s="126" t="str">
        <x:v>AT</x:v>
      </x:c>
      <x:c r="B60" s="118" t="str">
        <x:v>Austria</x:v>
      </x:c>
      <x:c r="C60" s="118" t="str">
        <x:v>AT_BASE_WAM2025</x:v>
      </x:c>
      <x:c r="D60" s="118" t="str">
        <x:v>Grid-scale BESS energy</x:v>
      </x:c>
      <x:c r="E60" s="118" t="str">
        <x:v>battery_grid_energy</x:v>
      </x:c>
      <x:c r="F60" s="118" t="str">
        <x:v>bess_grid_energy</x:v>
      </x:c>
      <x:c r="G60" s="118" t="str">
        <x:v>GWh</x:v>
      </x:c>
      <x:c r="H60" s="143" t="n">
        <x:v>3.9292682926829268</x:v>
      </x:c>
      <x:c r="I60" s="143" t="n">
        <x:v>4.5841463414634145</x:v>
      </x:c>
      <x:c r="J60" s="118" t="str">
        <x:v>IMPLEMENT_STORAGE_PAIR</x:v>
      </x:c>
      <x:c r="K60" s="118" t="str">
        <x:v>APG_2025_FLEX_BENCHMARK_DERIVED</x:v>
      </x:c>
      <x:c r="L60" s="118" t="str">
        <x:v>B/C</x:v>
      </x:c>
      <x:c r="M60" s="118" t="str">
        <x:v>APG_2025_FLEX_BENCHMARK_DERIVED</x:v>
      </x:c>
      <x:c r="N60" s="118" t="str">
        <x:v>C</x:v>
      </x:c>
      <x:c r="O60" s="118" t="str">
        <x:v>AT_APG_FLEX2025</x:v>
      </x:c>
      <x:c r="P60" s="118" t="str">
        <x:v>AT_APG_FLEX2025+AT_WAM2025</x:v>
      </x:c>
      <x:c r="Q60" s="118" t="str">
        <x:v>MEM_ETX6R_AT_National_Closure_v1.0</x:v>
      </x:c>
      <x:c r="R60" s="118" t="n">
        <x:v>20</x:v>
      </x:c>
      <x:c r="S60" s="127" t="str">
        <x:v>See AT-D14/18.</x:v>
      </x:c>
    </x:row>
    <x:row r="61">
      <x:c r="A61" s="126" t="str">
        <x:v>AT</x:v>
      </x:c>
      <x:c r="B61" s="118" t="str">
        <x:v>Austria</x:v>
      </x:c>
      <x:c r="C61" s="118" t="str">
        <x:v>AT_BASE_WAM2025</x:v>
      </x:c>
      <x:c r="D61" s="118" t="str">
        <x:v>Small / behind-the-meter BESS power</x:v>
      </x:c>
      <x:c r="E61" s="118" t="str">
        <x:v>battery_small_power</x:v>
      </x:c>
      <x:c r="F61" s="118" t="str">
        <x:v>bess_distributed_power</x:v>
      </x:c>
      <x:c r="G61" s="118" t="str">
        <x:v>GW</x:v>
      </x:c>
      <x:c r="H61" s="143" t="n">
        <x:v>4.390243902439025</x:v>
      </x:c>
      <x:c r="I61" s="143" t="n">
        <x:v>5.121951219512196</x:v>
      </x:c>
      <x:c r="J61" s="118" t="str">
        <x:v>IMPLEMENT_STORAGE_PAIR</x:v>
      </x:c>
      <x:c r="K61" s="118" t="str">
        <x:v>APG_2025_FLEX_BENCHMARK_DERIVED</x:v>
      </x:c>
      <x:c r="L61" s="118" t="str">
        <x:v>B/C</x:v>
      </x:c>
      <x:c r="M61" s="118" t="str">
        <x:v>APG_2025_FLEX_BENCHMARK_DERIVED</x:v>
      </x:c>
      <x:c r="N61" s="118" t="str">
        <x:v>C</x:v>
      </x:c>
      <x:c r="O61" s="118" t="str">
        <x:v>AT_APG_FLEX2025</x:v>
      </x:c>
      <x:c r="P61" s="118" t="str">
        <x:v>AT_APG_FLEX2025+AT_WAM2025</x:v>
      </x:c>
      <x:c r="Q61" s="118" t="str">
        <x:v>MEM_ETX6R_AT_National_Closure_v1.0</x:v>
      </x:c>
      <x:c r="R61" s="118" t="n">
        <x:v>21</x:v>
      </x:c>
      <x:c r="S61" s="127" t="str">
        <x:v>Source assumes system-supportive dispatch; ETX-7 should preserve a distinct small-BESS category so merchant availability can be constrained if desired. See AT-D13/17.</x:v>
      </x:c>
    </x:row>
    <x:row r="62">
      <x:c r="A62" s="126" t="str">
        <x:v>AT</x:v>
      </x:c>
      <x:c r="B62" s="118" t="str">
        <x:v>Austria</x:v>
      </x:c>
      <x:c r="C62" s="118" t="str">
        <x:v>AT_BASE_WAM2025</x:v>
      </x:c>
      <x:c r="D62" s="118" t="str">
        <x:v>Small / behind-the-meter BESS energy</x:v>
      </x:c>
      <x:c r="E62" s="118" t="str">
        <x:v>battery_small_energy</x:v>
      </x:c>
      <x:c r="F62" s="118" t="str">
        <x:v>bess_distributed_energy</x:v>
      </x:c>
      <x:c r="G62" s="118" t="str">
        <x:v>GWh</x:v>
      </x:c>
      <x:c r="H62" s="143" t="n">
        <x:v>8.78048780487805</x:v>
      </x:c>
      <x:c r="I62" s="143" t="n">
        <x:v>10.243902439024392</x:v>
      </x:c>
      <x:c r="J62" s="118" t="str">
        <x:v>IMPLEMENT_STORAGE_PAIR</x:v>
      </x:c>
      <x:c r="K62" s="118" t="str">
        <x:v>APG_2025_FLEX_BENCHMARK_DERIVED</x:v>
      </x:c>
      <x:c r="L62" s="118" t="str">
        <x:v>B/C</x:v>
      </x:c>
      <x:c r="M62" s="118" t="str">
        <x:v>APG_2025_FLEX_BENCHMARK_DERIVED</x:v>
      </x:c>
      <x:c r="N62" s="118" t="str">
        <x:v>C</x:v>
      </x:c>
      <x:c r="O62" s="118" t="str">
        <x:v>AT_APG_FLEX2025</x:v>
      </x:c>
      <x:c r="P62" s="118" t="str">
        <x:v>AT_APG_FLEX2025+AT_WAM2025</x:v>
      </x:c>
      <x:c r="Q62" s="118" t="str">
        <x:v>MEM_ETX6R_AT_National_Closure_v1.0</x:v>
      </x:c>
      <x:c r="R62" s="118" t="n">
        <x:v>22</x:v>
      </x:c>
      <x:c r="S62" s="127" t="str">
        <x:v>See AT-D15/19.</x:v>
      </x:c>
    </x:row>
    <x:row r="63">
      <x:c r="A63" s="126" t="str">
        <x:v>AT</x:v>
      </x:c>
      <x:c r="B63" s="118" t="str">
        <x:v>Austria</x:v>
      </x:c>
      <x:c r="C63" s="118" t="str">
        <x:v>AT_BASE_WAM2025</x:v>
      </x:c>
      <x:c r="D63" s="118" t="str">
        <x:v>Methane / gas CHP and peakers</x:v>
      </x:c>
      <x:c r="E63" s="118" t="str">
        <x:v>thermal_methane</x:v>
      </x:c>
      <x:c r="F63" s="118" t="str">
        <x:v>thermal_methane_gas</x:v>
      </x:c>
      <x:c r="G63" s="118" t="str">
        <x:v>GW</x:v>
      </x:c>
      <x:c r="H63" s="143" t="n">
        <x:v>4.29</x:v>
      </x:c>
      <x:c r="I63" s="143" t="n">
        <x:v>4.29</x:v>
      </x:c>
      <x:c r="J63" s="118" t="str">
        <x:v>IMPLEMENT_CARRIER_SPLIT</x:v>
      </x:c>
      <x:c r="K63" s="118" t="str">
        <x:v>WAM_FUEL_MAPPING_FROM_NATIONAL_BENCHMARK</x:v>
      </x:c>
      <x:c r="L63" s="118" t="str">
        <x:v>B/C</x:v>
      </x:c>
      <x:c r="M63" s="118" t="str">
        <x:v>WAM_FUEL_MAPPING_FROM_NATIONAL_BENCHMARK</x:v>
      </x:c>
      <x:c r="N63" s="118" t="str">
        <x:v>B/C</x:v>
      </x:c>
      <x:c r="O63" s="118" t="str">
        <x:v>AT_WAM2025+AT_OENIP</x:v>
      </x:c>
      <x:c r="P63" s="118" t="str">
        <x:v>AT_WAM2025+AT_OENIP</x:v>
      </x:c>
      <x:c r="Q63" s="118" t="str">
        <x:v>MEM_ETX6R_AT_National_Closure_v1.0</x:v>
      </x:c>
      <x:c r="R63" s="118" t="n">
        <x:v>26</x:v>
      </x:c>
      <x:c r="S63" s="127" t="str">
        <x:v>ÖNIP Transition itself uses renewable gases by 2040; that fuel switch is not transplanted into WAM. See AT-D24.</x:v>
      </x:c>
    </x:row>
    <x:row r="64">
      <x:c r="A64" s="126" t="str">
        <x:v>AT</x:v>
      </x:c>
      <x:c r="B64" s="118" t="str">
        <x:v>Austria</x:v>
      </x:c>
      <x:c r="C64" s="118" t="str">
        <x:v>AT_BASE_WAM2025</x:v>
      </x:c>
      <x:c r="D64" s="118" t="str">
        <x:v>Hydrogen-fired thermal</x:v>
      </x:c>
      <x:c r="E64" s="118" t="str">
        <x:v>thermal_h2</x:v>
      </x:c>
      <x:c r="F64" s="118" t="str">
        <x:v>thermal_lowcarbon_gas_h2</x:v>
      </x:c>
      <x:c r="G64" s="118" t="str">
        <x:v>GW</x:v>
      </x:c>
      <x:c r="H64" s="143" t="n">
        <x:v>0</x:v>
      </x:c>
      <x:c r="I64" s="143" t="n">
        <x:v>0</x:v>
      </x:c>
      <x:c r="J64" s="118" t="str">
        <x:v>IMPLEMENT_CARRIER_SPLIT</x:v>
      </x:c>
      <x:c r="K64" s="118" t="str">
        <x:v>OFFICIAL_SCENARIO_ZERO</x:v>
      </x:c>
      <x:c r="L64" s="118" t="str">
        <x:v>A/B</x:v>
      </x:c>
      <x:c r="M64" s="118" t="str">
        <x:v>OFFICIAL_SCENARIO_ZERO</x:v>
      </x:c>
      <x:c r="N64" s="118" t="str">
        <x:v>A/B</x:v>
      </x:c>
      <x:c r="O64" s="118" t="str">
        <x:v>AT_WAM2025</x:v>
      </x:c>
      <x:c r="P64" s="118" t="str">
        <x:v>AT_WAM2025</x:v>
      </x:c>
      <x:c r="Q64" s="118" t="str">
        <x:v>MEM_ETX6R_AT_National_Closure_v1.0</x:v>
      </x:c>
      <x:c r="R64" s="118" t="n">
        <x:v>27</x:v>
      </x:c>
      <x:c r="S64" s="127" t="str">
        <x:v>H2-ready capability is not equivalent to H2 fuel use in the selected Base.</x:v>
      </x:c>
    </x:row>
    <x:row r="65">
      <x:c r="A65" s="126" t="str">
        <x:v>AT</x:v>
      </x:c>
      <x:c r="B65" s="118" t="str">
        <x:v>Austria</x:v>
      </x:c>
      <x:c r="C65" s="118" t="str">
        <x:v>AT_BASE_WAM2025</x:v>
      </x:c>
      <x:c r="D65" s="118" t="str">
        <x:v>Oil / other fossil thermal</x:v>
      </x:c>
      <x:c r="E65" s="118" t="str">
        <x:v>thermal_oil_other</x:v>
      </x:c>
      <x:c r="F65" s="118" t="str">
        <x:v>thermal_oil_liquid</x:v>
      </x:c>
      <x:c r="G65" s="118" t="str">
        <x:v>GW</x:v>
      </x:c>
      <x:c r="H65" s="143" t="n">
        <x:v>0</x:v>
      </x:c>
      <x:c r="I65" s="143" t="n">
        <x:v>0</x:v>
      </x:c>
      <x:c r="J65" s="118" t="str">
        <x:v>IMPLEMENT_CARRIER_SPLIT</x:v>
      </x:c>
      <x:c r="K65" s="118" t="str">
        <x:v>NATIONAL_BENCHMARK_ZERO</x:v>
      </x:c>
      <x:c r="L65" s="118" t="str">
        <x:v>B/C</x:v>
      </x:c>
      <x:c r="M65" s="118" t="str">
        <x:v>NATIONAL_BENCHMARK_ZERO</x:v>
      </x:c>
      <x:c r="N65" s="118" t="str">
        <x:v>B/C</x:v>
      </x:c>
      <x:c r="O65" s="118" t="str">
        <x:v>AT_OENIP+AT_WAM2025</x:v>
      </x:c>
      <x:c r="P65" s="118" t="str">
        <x:v>AT_OENIP+AT_WAM2025</x:v>
      </x:c>
      <x:c r="Q65" s="118" t="str">
        <x:v>MEM_ETX6R_AT_National_Closure_v1.0</x:v>
      </x:c>
      <x:c r="R65" s="118" t="n">
        <x:v>28</x:v>
      </x:c>
      <x:c r="S65" s="127" t="str">
        <x:v>If later plant-level implementation retains emergency oil units, they must be offset from the gas aggregate rather than added on top.</x:v>
      </x:c>
    </x:row>
    <x:row r="66">
      <x:c r="A66" s="126" t="str">
        <x:v>SI</x:v>
      </x:c>
      <x:c r="B66" s="118" t="str">
        <x:v>Slovenia</x:v>
      </x:c>
      <x:c r="C66" s="118" t="str">
        <x:v>SI_DU-JE</x:v>
      </x:c>
      <x:c r="D66" s="118" t="str">
        <x:v>Annual electricity demand</x:v>
      </x:c>
      <x:c r="E66" s="118" t="str">
        <x:v>load</x:v>
      </x:c>
      <x:c r="F66" s="118" t="str">
        <x:v>demand</x:v>
      </x:c>
      <x:c r="G66" s="118" t="str">
        <x:v>TWh</x:v>
      </x:c>
      <x:c r="H66" s="143" t="n">
        <x:v>20.2</x:v>
      </x:c>
      <x:c r="I66" s="143" t="n">
        <x:v>27.5</x:v>
      </x:c>
      <x:c r="J66" s="118" t="str">
        <x:v>IMPLEMENT</x:v>
      </x:c>
      <x:c r="K66" s="118" t="str">
        <x:v>DERIVED_FROM_OFFICIAL_COMPONENTS</x:v>
      </x:c>
      <x:c r="L66" s="118" t="str">
        <x:v>C</x:v>
      </x:c>
      <x:c r="M66" s="118" t="str">
        <x:v>DERIVED_FROM_OFFICIAL_COMPONENTS</x:v>
      </x:c>
      <x:c r="N66" s="118" t="str">
        <x:v>C</x:v>
      </x:c>
      <x:c r="O66" s="118" t="str">
        <x:v>SI_NEPN_BALANCE_2024</x:v>
      </x:c>
      <x:c r="P66" s="118" t="str">
        <x:v>SI_NEPN_BALANCE_2024</x:v>
      </x:c>
      <x:c r="Q66" s="118" t="str">
        <x:v>MEM_ETX6R_SI_National_Closure_v1.0</x:v>
      </x:c>
      <x:c r="R66" s="118" t="n">
        <x:v>5</x:v>
      </x:c>
      <x:c r="S66" s="127" t="str">
        <x:v>Annual load control only; hourly chronology is scaled later.</x:v>
      </x:c>
    </x:row>
    <x:row r="67">
      <x:c r="A67" s="126" t="str">
        <x:v>SI</x:v>
      </x:c>
      <x:c r="B67" s="118" t="str">
        <x:v>Slovenia</x:v>
      </x:c>
      <x:c r="C67" s="118" t="str">
        <x:v>SI_DU-JE</x:v>
      </x:c>
      <x:c r="D67" s="118" t="str">
        <x:v>Total nuclear</x:v>
      </x:c>
      <x:c r="E67" s="118" t="str">
        <x:v>nuclear</x:v>
      </x:c>
      <x:c r="F67" s="118" t="str">
        <x:v>nuclear</x:v>
      </x:c>
      <x:c r="G67" s="118" t="str">
        <x:v>GW</x:v>
      </x:c>
      <x:c r="H67" s="143" t="n">
        <x:v>1.796</x:v>
      </x:c>
      <x:c r="I67" s="143" t="n">
        <x:v>1.35</x:v>
      </x:c>
      <x:c r="J67" s="118" t="str">
        <x:v>IMPLEMENT_TOTAL</x:v>
      </x:c>
      <x:c r="K67" s="118" t="str">
        <x:v>DERIVED_FROM_OFFICIAL_COMPONENTS</x:v>
      </x:c>
      <x:c r="L67" s="118" t="str">
        <x:v>A/B</x:v>
      </x:c>
      <x:c r="M67" s="118" t="str">
        <x:v>DERIVED_FROM_OFFICIAL_COMPONENTS</x:v>
      </x:c>
      <x:c r="N67" s="118" t="str">
        <x:v>A</x:v>
      </x:c>
      <x:c r="O67" s="118" t="str">
        <x:v>SI_NEPN_FINAL_REPORT_2024</x:v>
      </x:c>
      <x:c r="P67" s="118" t="str">
        <x:v>SI_NEPN_FINAL_REPORT_2024</x:v>
      </x:c>
      <x:c r="Q67" s="118" t="str">
        <x:v>MEM_ETX6R_SI_National_Closure_v1.0</x:v>
      </x:c>
      <x:c r="R67" s="118" t="n">
        <x:v>9</x:v>
      </x:c>
      <x:c r="S67" s="127" t="str">
        <x:v>See SI-D03/SI-D04.</x:v>
      </x:c>
    </x:row>
    <x:row r="68">
      <x:c r="A68" s="126" t="str">
        <x:v>SI</x:v>
      </x:c>
      <x:c r="B68" s="118" t="str">
        <x:v>Slovenia</x:v>
      </x:c>
      <x:c r="C68" s="118" t="str">
        <x:v>SI_DU-JE</x:v>
      </x:c>
      <x:c r="D68" s="118" t="str">
        <x:v>Coal / lignite</x:v>
      </x:c>
      <x:c r="E68" s="118" t="str">
        <x:v>coal_lignite</x:v>
      </x:c>
      <x:c r="F68" s="118" t="str">
        <x:v>coal_lignite</x:v>
      </x:c>
      <x:c r="G68" s="118" t="str">
        <x:v>GW</x:v>
      </x:c>
      <x:c r="H68" s="143" t="n">
        <x:v>0</x:v>
      </x:c>
      <x:c r="I68" s="143" t="n">
        <x:v>0</x:v>
      </x:c>
      <x:c r="J68" s="118" t="str">
        <x:v>IMPLEMENT</x:v>
      </x:c>
      <x:c r="K68" s="118" t="str">
        <x:v>OFFICIAL_POLICY_ZERO</x:v>
      </x:c>
      <x:c r="L68" s="118" t="str">
        <x:v>A</x:v>
      </x:c>
      <x:c r="M68" s="118" t="str">
        <x:v>OFFICIAL_POLICY_ZERO</x:v>
      </x:c>
      <x:c r="N68" s="118" t="str">
        <x:v>A</x:v>
      </x:c>
      <x:c r="O68" s="118" t="str">
        <x:v>SI_NEPN_FINAL_REPORT_2024</x:v>
      </x:c>
      <x:c r="P68" s="118" t="str">
        <x:v>SI_NEPN_FINAL_REPORT_2024</x:v>
      </x:c>
      <x:c r="Q68" s="118" t="str">
        <x:v>MEM_ETX6R_SI_National_Closure_v1.0</x:v>
      </x:c>
      <x:c r="R68" s="118" t="n">
        <x:v>10</x:v>
      </x:c>
      <x:c r="S68" s="127" t="str">
        <x:v>Explicit zero in both model horizons.</x:v>
      </x:c>
    </x:row>
    <x:row r="69">
      <x:c r="A69" s="126" t="str">
        <x:v>SI</x:v>
      </x:c>
      <x:c r="B69" s="118" t="str">
        <x:v>Slovenia</x:v>
      </x:c>
      <x:c r="C69" s="118" t="str">
        <x:v>SI_DU-JE</x:v>
      </x:c>
      <x:c r="D69" s="118" t="str">
        <x:v>Oil / liquid-fuel thermal</x:v>
      </x:c>
      <x:c r="E69" s="118" t="str">
        <x:v>thermal_oil</x:v>
      </x:c>
      <x:c r="F69" s="118" t="str">
        <x:v>thermal_oil_liquid</x:v>
      </x:c>
      <x:c r="G69" s="118" t="str">
        <x:v>GW</x:v>
      </x:c>
      <x:c r="H69" s="143" t="n">
        <x:v>0</x:v>
      </x:c>
      <x:c r="I69" s="143" t="n">
        <x:v>0</x:v>
      </x:c>
      <x:c r="J69" s="118" t="str">
        <x:v>IMPLEMENT_CARRIER_SPLIT</x:v>
      </x:c>
      <x:c r="K69" s="118" t="str">
        <x:v>NATIONAL_BENCHMARK_ZERO</x:v>
      </x:c>
      <x:c r="L69" s="118" t="str">
        <x:v>B/C</x:v>
      </x:c>
      <x:c r="M69" s="118" t="str">
        <x:v>NATIONAL_BENCHMARK_ZERO</x:v>
      </x:c>
      <x:c r="N69" s="118" t="str">
        <x:v>B/C</x:v>
      </x:c>
      <x:c r="O69" s="118" t="str">
        <x:v>SI_NEPN_FINAL_REPORT_2024</x:v>
      </x:c>
      <x:c r="P69" s="118" t="str">
        <x:v>SI_NEPN_FINAL_REPORT_2024</x:v>
      </x:c>
      <x:c r="Q69" s="118" t="str">
        <x:v>MEM_ETX6R_SI_National_Closure_v1.0</x:v>
      </x:c>
      <x:c r="R69" s="118" t="n">
        <x:v>11</x:v>
      </x:c>
      <x:c r="S69" s="127" t="str">
        <x:v>If emergency liquid-fuel backup is retained later, subtract it from the gas envelope rather than adding capacity.</x:v>
      </x:c>
    </x:row>
    <x:row r="70">
      <x:c r="A70" s="126" t="str">
        <x:v>SI</x:v>
      </x:c>
      <x:c r="B70" s="118" t="str">
        <x:v>Slovenia</x:v>
      </x:c>
      <x:c r="C70" s="118" t="str">
        <x:v>SI_DU-JE</x:v>
      </x:c>
      <x:c r="D70" s="118" t="str">
        <x:v>Solar PV</x:v>
      </x:c>
      <x:c r="E70" s="118" t="str">
        <x:v>solar</x:v>
      </x:c>
      <x:c r="F70" s="118" t="str">
        <x:v>solar_pv</x:v>
      </x:c>
      <x:c r="G70" s="118" t="str">
        <x:v>GW</x:v>
      </x:c>
      <x:c r="H70" s="143" t="n">
        <x:v>6.686089887640449</x:v>
      </x:c>
      <x:c r="I70" s="143" t="n">
        <x:v>7.629</x:v>
      </x:c>
      <x:c r="J70" s="118" t="str">
        <x:v>IMPLEMENT</x:v>
      </x:c>
      <x:c r="K70" s="118" t="str">
        <x:v>DERIVED_FROM_OFFICIAL_COMPONENTS</x:v>
      </x:c>
      <x:c r="L70" s="118" t="str">
        <x:v>B/C</x:v>
      </x:c>
      <x:c r="M70" s="118" t="str">
        <x:v>OFFICIAL_SCENARIO_INPUT</x:v>
      </x:c>
      <x:c r="N70" s="118" t="str">
        <x:v>A</x:v>
      </x:c>
      <x:c r="O70" s="118" t="str">
        <x:v>SI_NEPN_BALANCE_2024</x:v>
      </x:c>
      <x:c r="P70" s="118" t="str">
        <x:v>SI_NEPN_BALANCE_2024</x:v>
      </x:c>
      <x:c r="Q70" s="118" t="str">
        <x:v>MEM_ETX6R_SI_National_Closure_v1.0</x:v>
      </x:c>
      <x:c r="R70" s="118" t="n">
        <x:v>12</x:v>
      </x:c>
      <x:c r="S70" s="127" t="str">
        <x:v>See SI-D01.</x:v>
      </x:c>
    </x:row>
    <x:row r="71">
      <x:c r="A71" s="126" t="str">
        <x:v>SI</x:v>
      </x:c>
      <x:c r="B71" s="118" t="str">
        <x:v>Slovenia</x:v>
      </x:c>
      <x:c r="C71" s="118" t="str">
        <x:v>SI_DU-JE</x:v>
      </x:c>
      <x:c r="D71" s="118" t="str">
        <x:v>Onshore wind</x:v>
      </x:c>
      <x:c r="E71" s="118" t="str">
        <x:v>onwind</x:v>
      </x:c>
      <x:c r="F71" s="118" t="str">
        <x:v>wind_onshore</x:v>
      </x:c>
      <x:c r="G71" s="118" t="str">
        <x:v>GW</x:v>
      </x:c>
      <x:c r="H71" s="143" t="n">
        <x:v>0.4191666666666667</x:v>
      </x:c>
      <x:c r="I71" s="143" t="n">
        <x:v>0.503</x:v>
      </x:c>
      <x:c r="J71" s="118" t="str">
        <x:v>IMPLEMENT</x:v>
      </x:c>
      <x:c r="K71" s="118" t="str">
        <x:v>DERIVED_FROM_OFFICIAL_COMPONENTS</x:v>
      </x:c>
      <x:c r="L71" s="118" t="str">
        <x:v>B/C</x:v>
      </x:c>
      <x:c r="M71" s="118" t="str">
        <x:v>OFFICIAL_SCENARIO_INPUT</x:v>
      </x:c>
      <x:c r="N71" s="118" t="str">
        <x:v>A</x:v>
      </x:c>
      <x:c r="O71" s="118" t="str">
        <x:v>SI_NEPN_BALANCE_2024</x:v>
      </x:c>
      <x:c r="P71" s="118" t="str">
        <x:v>SI_NEPN_BALANCE_2024</x:v>
      </x:c>
      <x:c r="Q71" s="118" t="str">
        <x:v>MEM_ETX6R_SI_National_Closure_v1.0</x:v>
      </x:c>
      <x:c r="R71" s="118" t="n">
        <x:v>13</x:v>
      </x:c>
      <x:c r="S71" s="127" t="str">
        <x:v>See SI-D02.</x:v>
      </x:c>
    </x:row>
    <x:row r="72">
      <x:c r="A72" s="126" t="str">
        <x:v>SI</x:v>
      </x:c>
      <x:c r="B72" s="118" t="str">
        <x:v>Slovenia</x:v>
      </x:c>
      <x:c r="C72" s="118" t="str">
        <x:v>SI_DU-JE</x:v>
      </x:c>
      <x:c r="D72" s="118" t="str">
        <x:v>Offshore wind</x:v>
      </x:c>
      <x:c r="E72" s="118" t="str">
        <x:v>offwind</x:v>
      </x:c>
      <x:c r="F72" s="118" t="str">
        <x:v>wind_offshore</x:v>
      </x:c>
      <x:c r="G72" s="118" t="str">
        <x:v>GW</x:v>
      </x:c>
      <x:c r="H72" s="143" t="n">
        <x:v>0</x:v>
      </x:c>
      <x:c r="I72" s="143" t="n">
        <x:v>0</x:v>
      </x:c>
      <x:c r="J72" s="118" t="str">
        <x:v>IMPLEMENT</x:v>
      </x:c>
      <x:c r="K72" s="118" t="str">
        <x:v>NATIONAL_GEOGRAPHIC_ZERO</x:v>
      </x:c>
      <x:c r="L72" s="118" t="str">
        <x:v>A</x:v>
      </x:c>
      <x:c r="M72" s="118" t="str">
        <x:v>NATIONAL_GEOGRAPHIC_ZERO</x:v>
      </x:c>
      <x:c r="N72" s="118" t="str">
        <x:v>A</x:v>
      </x:c>
      <x:c r="O72" s="118" t="str">
        <x:v>SI_NEPN_FINAL_REPORT_2024</x:v>
      </x:c>
      <x:c r="P72" s="118" t="str">
        <x:v>SI_NEPN_FINAL_REPORT_2024</x:v>
      </x:c>
      <x:c r="Q72" s="118" t="str">
        <x:v>MEM_ETX6R_SI_National_Closure_v1.0</x:v>
      </x:c>
      <x:c r="R72" s="118" t="n">
        <x:v>14</x:v>
      </x:c>
      <x:c r="S72" s="127" t="str">
        <x:v>Explicit zero.</x:v>
      </x:c>
    </x:row>
    <x:row r="73">
      <x:c r="A73" s="126" t="str">
        <x:v>SI</x:v>
      </x:c>
      <x:c r="B73" s="118" t="str">
        <x:v>Slovenia</x:v>
      </x:c>
      <x:c r="C73" s="118" t="str">
        <x:v>SI_DU-JE</x:v>
      </x:c>
      <x:c r="D73" s="118" t="str">
        <x:v>Non-PHS hydro</x:v>
      </x:c>
      <x:c r="E73" s="118" t="str">
        <x:v>hydro_non_phs</x:v>
      </x:c>
      <x:c r="F73" s="118" t="str">
        <x:v>hydro_non_phs</x:v>
      </x:c>
      <x:c r="G73" s="118" t="str">
        <x:v>GW</x:v>
      </x:c>
      <x:c r="H73" s="143" t="n">
        <x:v>1.29</x:v>
      </x:c>
      <x:c r="I73" s="143" t="n">
        <x:v>1.29</x:v>
      </x:c>
      <x:c r="J73" s="118" t="str">
        <x:v>IMPLEMENT</x:v>
      </x:c>
      <x:c r="K73" s="118" t="str">
        <x:v>OFFICIAL_CHART_CONTROL</x:v>
      </x:c>
      <x:c r="L73" s="118" t="str">
        <x:v>C</x:v>
      </x:c>
      <x:c r="M73" s="118" t="str">
        <x:v>NATIONAL_TRAJECTORY_CARRY_FORWARD</x:v>
      </x:c>
      <x:c r="N73" s="118" t="str">
        <x:v>C</x:v>
      </x:c>
      <x:c r="O73" s="118" t="str">
        <x:v>SI_NEPN_FINAL_REPORT_2024</x:v>
      </x:c>
      <x:c r="P73" s="118" t="str">
        <x:v>SI_NEPN_FINAL_REPORT_2024</x:v>
      </x:c>
      <x:c r="Q73" s="118" t="str">
        <x:v>MEM_ETX6R_SI_National_Closure_v1.0</x:v>
      </x:c>
      <x:c r="R73" s="118" t="n">
        <x:v>15</x:v>
      </x:c>
      <x:c r="S73" s="127" t="str">
        <x:v>2050 carries the completed 2040 national stack. See SI-D05/SI-D06.</x:v>
      </x:c>
    </x:row>
    <x:row r="74">
      <x:c r="A74" s="126" t="str">
        <x:v>SI</x:v>
      </x:c>
      <x:c r="B74" s="118" t="str">
        <x:v>Slovenia</x:v>
      </x:c>
      <x:c r="C74" s="118" t="str">
        <x:v>SI_DU-JE</x:v>
      </x:c>
      <x:c r="D74" s="118" t="str">
        <x:v>PHS turbine / discharge power</x:v>
      </x:c>
      <x:c r="E74" s="118" t="str">
        <x:v>phs_turbine</x:v>
      </x:c>
      <x:c r="F74" s="118" t="str">
        <x:v>phs_discharge_power</x:v>
      </x:c>
      <x:c r="G74" s="118" t="str">
        <x:v>GW</x:v>
      </x:c>
      <x:c r="H74" s="143" t="n">
        <x:v>0.625</x:v>
      </x:c>
      <x:c r="I74" s="143" t="n">
        <x:v>0.8049999999999999</x:v>
      </x:c>
      <x:c r="J74" s="118" t="str">
        <x:v>IMPLEMENT_STORAGE_PAIR</x:v>
      </x:c>
      <x:c r="K74" s="118" t="str">
        <x:v>DERIVED_FROM_OFFICIAL_PROJECTS</x:v>
      </x:c>
      <x:c r="L74" s="118" t="str">
        <x:v>B</x:v>
      </x:c>
      <x:c r="M74" s="118" t="str">
        <x:v>DERIVED_FROM_OFFICIAL_PROJECTS</x:v>
      </x:c>
      <x:c r="N74" s="118" t="str">
        <x:v>B/C</x:v>
      </x:c>
      <x:c r="O74" s="118" t="str">
        <x:v>SI_NEPN_FINAL_REPORT_2024+SI_SENG_AVCE+SI_HSE_KOZJAK</x:v>
      </x:c>
      <x:c r="P74" s="118" t="str">
        <x:v>SI_NEPN_FINAL_REPORT_2024+SI_SENG_AVCE+SI_HSE_KOZJAK</x:v>
      </x:c>
      <x:c r="Q74" s="118" t="str">
        <x:v>MEM_ETX6R_SI_National_Closure_v1.0</x:v>
      </x:c>
      <x:c r="R74" s="118" t="n">
        <x:v>16</x:v>
      </x:c>
      <x:c r="S74" s="127" t="str">
        <x:v>See SI-D11/SI-D14.</x:v>
      </x:c>
    </x:row>
    <x:row r="75">
      <x:c r="A75" s="126" t="str">
        <x:v>SI</x:v>
      </x:c>
      <x:c r="B75" s="118" t="str">
        <x:v>Slovenia</x:v>
      </x:c>
      <x:c r="C75" s="118" t="str">
        <x:v>SI_DU-JE</x:v>
      </x:c>
      <x:c r="D75" s="118" t="str">
        <x:v>PHS pump / charge power</x:v>
      </x:c>
      <x:c r="E75" s="118" t="str">
        <x:v>phs_pump</x:v>
      </x:c>
      <x:c r="F75" s="118" t="str">
        <x:v>phs_charge_power</x:v>
      </x:c>
      <x:c r="G75" s="118" t="str">
        <x:v>GW</x:v>
      </x:c>
      <x:c r="H75" s="143" t="n">
        <x:v>0.62</x:v>
      </x:c>
      <x:c r="I75" s="143" t="n">
        <x:v>0.8</x:v>
      </x:c>
      <x:c r="J75" s="118" t="str">
        <x:v>IMPLEMENT_STORAGE_PAIR</x:v>
      </x:c>
      <x:c r="K75" s="118" t="str">
        <x:v>DERIVED_FROM_OFFICIAL_PROJECTS</x:v>
      </x:c>
      <x:c r="L75" s="118" t="str">
        <x:v>B/C</x:v>
      </x:c>
      <x:c r="M75" s="118" t="str">
        <x:v>DERIVED_FROM_OFFICIAL_PROJECTS</x:v>
      </x:c>
      <x:c r="N75" s="118" t="str">
        <x:v>C</x:v>
      </x:c>
      <x:c r="O75" s="118" t="str">
        <x:v>SI_NEPN_FINAL_REPORT_2024+SI_SENG_AVCE+SI_HSE_KOZJAK</x:v>
      </x:c>
      <x:c r="P75" s="118" t="str">
        <x:v>SI_NEPN_FINAL_REPORT_2024+SI_SENG_AVCE+SI_HSE_KOZJAK</x:v>
      </x:c>
      <x:c r="Q75" s="118" t="str">
        <x:v>MEM_ETX6R_SI_National_Closure_v1.0</x:v>
      </x:c>
      <x:c r="R75" s="118" t="n">
        <x:v>17</x:v>
      </x:c>
      <x:c r="S75" s="127" t="str">
        <x:v>See SI-D12/SI-D15.</x:v>
      </x:c>
    </x:row>
    <x:row r="76">
      <x:c r="A76" s="126" t="str">
        <x:v>SI</x:v>
      </x:c>
      <x:c r="B76" s="118" t="str">
        <x:v>Slovenia</x:v>
      </x:c>
      <x:c r="C76" s="118" t="str">
        <x:v>SI_DU-JE</x:v>
      </x:c>
      <x:c r="D76" s="118" t="str">
        <x:v>PHS energy capacity</x:v>
      </x:c>
      <x:c r="E76" s="118" t="str">
        <x:v>phs_energy</x:v>
      </x:c>
      <x:c r="F76" s="118" t="str">
        <x:v>phs_energy</x:v>
      </x:c>
      <x:c r="G76" s="118" t="str">
        <x:v>GWh</x:v>
      </x:c>
      <x:c r="H76" s="143" t="n">
        <x:v>8.8508</x:v>
      </x:c>
      <x:c r="I76" s="143" t="n">
        <x:v>11.193829318181818</x:v>
      </x:c>
      <x:c r="J76" s="118" t="str">
        <x:v>IMPLEMENT_STORAGE_PAIR</x:v>
      </x:c>
      <x:c r="K76" s="118" t="str">
        <x:v>DERIVED_FROM_OFFICIAL_PROJECTS</x:v>
      </x:c>
      <x:c r="L76" s="118" t="str">
        <x:v>B/C</x:v>
      </x:c>
      <x:c r="M76" s="118" t="str">
        <x:v>DERIVED_FROM_OFFICIAL_PROJECTS</x:v>
      </x:c>
      <x:c r="N76" s="118" t="str">
        <x:v>C</x:v>
      </x:c>
      <x:c r="O76" s="118" t="str">
        <x:v>SI_SENG_AVCE+SI_HSE_KOZJAK</x:v>
      </x:c>
      <x:c r="P76" s="118" t="str">
        <x:v>SI_SENG_AVCE+SI_HSE_KOZJAK</x:v>
      </x:c>
      <x:c r="Q76" s="118" t="str">
        <x:v>MEM_ETX6R_SI_National_Closure_v1.0</x:v>
      </x:c>
      <x:c r="R76" s="118" t="n">
        <x:v>18</x:v>
      </x:c>
      <x:c r="S76" s="127" t="str">
        <x:v>See SI-D07 to SI-D17.</x:v>
      </x:c>
    </x:row>
    <x:row r="77">
      <x:c r="A77" s="126" t="str">
        <x:v>SI</x:v>
      </x:c>
      <x:c r="B77" s="118" t="str">
        <x:v>Slovenia</x:v>
      </x:c>
      <x:c r="C77" s="118" t="str">
        <x:v>SI_DU-JE</x:v>
      </x:c>
      <x:c r="D77" s="118" t="str">
        <x:v>BESS power</x:v>
      </x:c>
      <x:c r="E77" s="118" t="str">
        <x:v>battery_power</x:v>
      </x:c>
      <x:c r="F77" s="118" t="str">
        <x:v>bess_grid_power</x:v>
      </x:c>
      <x:c r="G77" s="118" t="str">
        <x:v>GW</x:v>
      </x:c>
      <x:c r="H77" s="143" t="n">
        <x:v>1</x:v>
      </x:c>
      <x:c r="I77" s="143" t="n">
        <x:v>1.2</x:v>
      </x:c>
      <x:c r="J77" s="118" t="str">
        <x:v>IMPLEMENT_STORAGE_PAIR</x:v>
      </x:c>
      <x:c r="K77" s="118" t="str">
        <x:v>OFFICIAL_CHART_CONTROL</x:v>
      </x:c>
      <x:c r="L77" s="118" t="str">
        <x:v>C</x:v>
      </x:c>
      <x:c r="M77" s="118" t="str">
        <x:v>OFFICIAL_CHART_CONTROL</x:v>
      </x:c>
      <x:c r="N77" s="118" t="str">
        <x:v>C</x:v>
      </x:c>
      <x:c r="O77" s="118" t="str">
        <x:v>SI_NEPN_FINAL_REPORT_2024</x:v>
      </x:c>
      <x:c r="P77" s="118" t="str">
        <x:v>SI_NEPN_FINAL_REPORT_2024</x:v>
      </x:c>
      <x:c r="Q77" s="118" t="str">
        <x:v>MEM_ETX6R_SI_National_Closure_v1.0</x:v>
      </x:c>
      <x:c r="R77" s="118" t="n">
        <x:v>19</x:v>
      </x:c>
      <x:c r="S77" s="127" t="str">
        <x:v>Chart-derived control; 2035 Figure 112 independently shows 650 MW BESS and supports the trajectory.</x:v>
      </x:c>
    </x:row>
    <x:row r="78">
      <x:c r="A78" s="126" t="str">
        <x:v>SI</x:v>
      </x:c>
      <x:c r="B78" s="118" t="str">
        <x:v>Slovenia</x:v>
      </x:c>
      <x:c r="C78" s="118" t="str">
        <x:v>SI_DU-JE</x:v>
      </x:c>
      <x:c r="D78" s="118" t="str">
        <x:v>BESS energy</x:v>
      </x:c>
      <x:c r="E78" s="118" t="str">
        <x:v>battery_energy</x:v>
      </x:c>
      <x:c r="F78" s="118" t="str">
        <x:v>bess_grid_energy</x:v>
      </x:c>
      <x:c r="G78" s="118" t="str">
        <x:v>GWh</x:v>
      </x:c>
      <x:c r="H78" s="143" t="n">
        <x:v>2.5</x:v>
      </x:c>
      <x:c r="I78" s="143" t="n">
        <x:v>3.6</x:v>
      </x:c>
      <x:c r="J78" s="118" t="str">
        <x:v>IMPLEMENT_STORAGE_PAIR</x:v>
      </x:c>
      <x:c r="K78" s="118" t="str">
        <x:v>OFFICIAL_CHART_CONTROL</x:v>
      </x:c>
      <x:c r="L78" s="118" t="str">
        <x:v>C</x:v>
      </x:c>
      <x:c r="M78" s="118" t="str">
        <x:v>OFFICIAL_CHART_CONTROL</x:v>
      </x:c>
      <x:c r="N78" s="118" t="str">
        <x:v>C</x:v>
      </x:c>
      <x:c r="O78" s="118" t="str">
        <x:v>SI_NEPN_FINAL_REPORT_2024</x:v>
      </x:c>
      <x:c r="P78" s="118" t="str">
        <x:v>SI_NEPN_FINAL_REPORT_2024</x:v>
      </x:c>
      <x:c r="Q78" s="118" t="str">
        <x:v>MEM_ETX6R_SI_National_Closure_v1.0</x:v>
      </x:c>
      <x:c r="R78" s="118" t="n">
        <x:v>20</x:v>
      </x:c>
      <x:c r="S78" s="127" t="str">
        <x:v>Implied durations ~2.5 h in 2040 and ~3.0 h in 2050; retain as a sensitivity priority because values are graph-derived.</x:v>
      </x:c>
    </x:row>
    <x:row r="79">
      <x:c r="A79" s="126" t="str">
        <x:v>SI</x:v>
      </x:c>
      <x:c r="B79" s="118" t="str">
        <x:v>Slovenia</x:v>
      </x:c>
      <x:c r="C79" s="118" t="str">
        <x:v>SI_DU-JE</x:v>
      </x:c>
      <x:c r="D79" s="118" t="str">
        <x:v>Methane / fossil gas thermal</x:v>
      </x:c>
      <x:c r="E79" s="118" t="str">
        <x:v>thermal_methane</x:v>
      </x:c>
      <x:c r="F79" s="118" t="str">
        <x:v>thermal_methane_gas</x:v>
      </x:c>
      <x:c r="G79" s="118" t="str">
        <x:v>GW</x:v>
      </x:c>
      <x:c r="H79" s="143" t="n">
        <x:v>0.6839999999999999</x:v>
      </x:c>
      <x:c r="I79" s="143" t="n">
        <x:v>0</x:v>
      </x:c>
      <x:c r="J79" s="118" t="str">
        <x:v>IMPLEMENT_CARRIER_SPLIT</x:v>
      </x:c>
      <x:c r="K79" s="118" t="str">
        <x:v>NATIONAL_FUEL_MAPPING_BENCHMARK</x:v>
      </x:c>
      <x:c r="L79" s="118" t="str">
        <x:v>C</x:v>
      </x:c>
      <x:c r="M79" s="118" t="str">
        <x:v>OFFICIAL_SCENARIO_ZERO</x:v>
      </x:c>
      <x:c r="N79" s="118" t="str">
        <x:v>A/B</x:v>
      </x:c>
      <x:c r="O79" s="118" t="str">
        <x:v>SI_NEPN_FINAL_REPORT_2024</x:v>
      </x:c>
      <x:c r="P79" s="118" t="str">
        <x:v>SI_NEPN_FINAL_REPORT_2024</x:v>
      </x:c>
      <x:c r="Q79" s="118" t="str">
        <x:v>MEM_ETX6R_SI_National_Closure_v1.0</x:v>
      </x:c>
      <x:c r="R79" s="118" t="n">
        <x:v>22</x:v>
      </x:c>
      <x:c r="S79" s="127" t="str">
        <x:v>Capacity allocation is a benchmark from the national fuel-use ratio, not a published dedicated-unit split. By 2050 fossil gaseous fuels are explicitly eliminated.</x:v>
      </x:c>
    </x:row>
    <x:row r="80">
      <x:c r="A80" s="126" t="str">
        <x:v>SI</x:v>
      </x:c>
      <x:c r="B80" s="118" t="str">
        <x:v>Slovenia</x:v>
      </x:c>
      <x:c r="C80" s="118" t="str">
        <x:v>SI_DU-JE</x:v>
      </x:c>
      <x:c r="D80" s="118" t="str">
        <x:v>Renewable / low-carbon gas thermal</x:v>
      </x:c>
      <x:c r="E80" s="118" t="str">
        <x:v>thermal_lowcarbon_gas</x:v>
      </x:c>
      <x:c r="F80" s="118" t="str">
        <x:v>thermal_lowcarbon_gas_h2</x:v>
      </x:c>
      <x:c r="G80" s="118" t="str">
        <x:v>GW</x:v>
      </x:c>
      <x:c r="H80" s="143" t="n">
        <x:v>0.45599999999999996</x:v>
      </x:c>
      <x:c r="I80" s="143" t="n">
        <x:v>1.14</x:v>
      </x:c>
      <x:c r="J80" s="118" t="str">
        <x:v>IMPLEMENT_CARRIER_SPLIT</x:v>
      </x:c>
      <x:c r="K80" s="118" t="str">
        <x:v>NATIONAL_FUEL_MAPPING_BENCHMARK</x:v>
      </x:c>
      <x:c r="L80" s="118" t="str">
        <x:v>C</x:v>
      </x:c>
      <x:c r="M80" s="118" t="str">
        <x:v>OFFICIAL_SCENARIO_FUEL_TRANSITION</x:v>
      </x:c>
      <x:c r="N80" s="118" t="str">
        <x:v>B</x:v>
      </x:c>
      <x:c r="O80" s="118" t="str">
        <x:v>SI_NEPN_FINAL_REPORT_2024</x:v>
      </x:c>
      <x:c r="P80" s="118" t="str">
        <x:v>SI_NEPN_FINAL_REPORT_2024</x:v>
      </x:c>
      <x:c r="Q80" s="118" t="str">
        <x:v>MEM_ETX6R_SI_National_Closure_v1.0</x:v>
      </x:c>
      <x:c r="R80" s="118" t="n">
        <x:v>23</x:v>
      </x:c>
      <x:c r="S80" s="127" t="str">
        <x:v>Fuel cost/emissions mapping remains an ETX-7 technical-parameter task; do not add this capacity on top of the 1.14 GW aggregate.</x:v>
      </x:c>
    </x:row>
    <x:row r="81">
      <x:c r="A81" s="126" t="str">
        <x:v>SI</x:v>
      </x:c>
      <x:c r="B81" s="118" t="str">
        <x:v>Slovenia</x:v>
      </x:c>
      <x:c r="C81" s="118" t="str">
        <x:v>SI_DU-JE</x:v>
      </x:c>
      <x:c r="D81" s="118" t="str">
        <x:v>Distributed CHP / bioenergy-waste aggregate</x:v>
      </x:c>
      <x:c r="E81" s="118" t="str">
        <x:v>distributed_chp_bio_waste</x:v>
      </x:c>
      <x:c r="F81" s="118" t="str">
        <x:v>thermal_other_chp</x:v>
      </x:c>
      <x:c r="G81" s="118" t="str">
        <x:v>GW</x:v>
      </x:c>
      <x:c r="H81" s="143" t="n">
        <x:v>0.216</x:v>
      </x:c>
      <x:c r="I81" s="143" t="n">
        <x:v>0.216</x:v>
      </x:c>
      <x:c r="J81" s="118" t="str">
        <x:v>IMPLEMENT</x:v>
      </x:c>
      <x:c r="K81" s="118" t="str">
        <x:v>OFFICIAL_CHART_CONTROL</x:v>
      </x:c>
      <x:c r="L81" s="118" t="str">
        <x:v>C</x:v>
      </x:c>
      <x:c r="M81" s="118" t="str">
        <x:v>NATIONAL_TRAJECTORY_CARRY_FORWARD</x:v>
      </x:c>
      <x:c r="N81" s="118" t="str">
        <x:v>C</x:v>
      </x:c>
      <x:c r="O81" s="118" t="str">
        <x:v>SI_NEPN_FINAL_REPORT_2024</x:v>
      </x:c>
      <x:c r="P81" s="118" t="str">
        <x:v>SI_NEPN_FINAL_REPORT_2024</x:v>
      </x:c>
      <x:c r="Q81" s="118" t="str">
        <x:v>MEM_ETX6R_SI_National_Closure_v1.0</x:v>
      </x:c>
      <x:c r="R81" s="118" t="n">
        <x:v>24</x:v>
      </x:c>
      <x:c r="S81" s="127" t="str">
        <x:v>Aggregate avoids false precision across small CHP/waste/biogas categories while preserving the explicit 20 MW biomass addition.</x:v>
      </x:c>
    </x:row>
    <x:row r="82">
      <x:c r="A82" s="126" t="str">
        <x:v>HR</x:v>
      </x:c>
      <x:c r="B82" s="118" t="str">
        <x:v>Croatia</x:v>
      </x:c>
      <x:c r="C82" s="118" t="str">
        <x:v>HR_WAM2025_WITH_S2_DEMAND_BRIDGE</x:v>
      </x:c>
      <x:c r="D82" s="118" t="str">
        <x:v>Annual electricity demand</x:v>
      </x:c>
      <x:c r="E82" s="118" t="str">
        <x:v>load</x:v>
      </x:c>
      <x:c r="F82" s="118" t="str">
        <x:v>demand</x:v>
      </x:c>
      <x:c r="G82" s="118" t="str">
        <x:v>TWh</x:v>
      </x:c>
      <x:c r="H82" s="143" t="n">
        <x:v>21.166</x:v>
      </x:c>
      <x:c r="I82" s="143" t="n">
        <x:v>24.423</x:v>
      </x:c>
      <x:c r="J82" s="118" t="str">
        <x:v>IMPLEMENT</x:v>
      </x:c>
      <x:c r="K82" s="118" t="str">
        <x:v>NATIONAL_PRIOR_SCENARIO_INPUT</x:v>
      </x:c>
      <x:c r="L82" s="118" t="str">
        <x:v>B/C</x:v>
      </x:c>
      <x:c r="M82" s="118" t="str">
        <x:v>NATIONAL_PRIOR_SCENARIO_INPUT</x:v>
      </x:c>
      <x:c r="N82" s="118" t="str">
        <x:v>B/C</x:v>
      </x:c>
      <x:c r="O82" s="118" t="str">
        <x:v>HR_GREENBOOK_S2+HR_HOPS_2026</x:v>
      </x:c>
      <x:c r="P82" s="118" t="str">
        <x:v>HR_GREENBOOK_S2+HR_HOPS_2026</x:v>
      </x:c>
      <x:c r="Q82" s="118" t="str">
        <x:v>MEM_ETX6R_HR_National_Closure_v1.0</x:v>
      </x:c>
      <x:c r="R82" s="118" t="n">
        <x:v>5</x:v>
      </x:c>
      <x:c r="S82" s="127" t="str">
        <x:v>Uses 21.166/24.423 TWh exact table values rather than rounded chart labels 21.2/24.4. Pumped-storage charging remains endogenous.</x:v>
      </x:c>
    </x:row>
    <x:row r="83">
      <x:c r="A83" s="126" t="str">
        <x:v>HR</x:v>
      </x:c>
      <x:c r="B83" s="118" t="str">
        <x:v>Croatia</x:v>
      </x:c>
      <x:c r="C83" s="118" t="str">
        <x:v>HR_WAM2025_WITH_S2_DEMAND_BRIDGE</x:v>
      </x:c>
      <x:c r="D83" s="118" t="str">
        <x:v>Physical nuclear in Croatia node</x:v>
      </x:c>
      <x:c r="E83" s="118" t="str">
        <x:v>nuclear</x:v>
      </x:c>
      <x:c r="F83" s="118" t="str">
        <x:v>nuclear</x:v>
      </x:c>
      <x:c r="G83" s="118" t="str">
        <x:v>GW</x:v>
      </x:c>
      <x:c r="H83" s="143" t="n">
        <x:v>0</x:v>
      </x:c>
      <x:c r="I83" s="143" t="n">
        <x:v>0</x:v>
      </x:c>
      <x:c r="J83" s="118" t="str">
        <x:v>IMPLEMENT</x:v>
      </x:c>
      <x:c r="K83" s="118" t="str">
        <x:v>PHYSICAL_LOCATION_ZERO</x:v>
      </x:c>
      <x:c r="L83" s="118" t="str">
        <x:v>A</x:v>
      </x:c>
      <x:c r="M83" s="118" t="str">
        <x:v>PHYSICAL_LOCATION_ZERO</x:v>
      </x:c>
      <x:c r="N83" s="118" t="str">
        <x:v>A</x:v>
      </x:c>
      <x:c r="O83" s="118" t="str">
        <x:v>HR_NECP2025+SI_ETX6R</x:v>
      </x:c>
      <x:c r="P83" s="118" t="str">
        <x:v>HR_NECP2025+SI_ETX6R</x:v>
      </x:c>
      <x:c r="Q83" s="118" t="str">
        <x:v>MEM_ETX6R_HR_National_Closure_v1.0</x:v>
      </x:c>
      <x:c r="R83" s="118" t="n">
        <x:v>6</x:v>
      </x:c>
      <x:c r="S83" s="127" t="str">
        <x:v>Do not create a duplicate Croatian nuclear generator. Croatia's entitlement is recorded separately below.</x:v>
      </x:c>
    </x:row>
    <x:row r="84">
      <x:c r="A84" s="126" t="str">
        <x:v>HR</x:v>
      </x:c>
      <x:c r="B84" s="118" t="str">
        <x:v>Croatia</x:v>
      </x:c>
      <x:c r="C84" s="118" t="str">
        <x:v>HR_WAM2025_WITH_S2_DEMAND_BRIDGE</x:v>
      </x:c>
      <x:c r="D84" s="118" t="str">
        <x:v>Coal / lignite</x:v>
      </x:c>
      <x:c r="E84" s="118" t="str">
        <x:v>coal_lignite</x:v>
      </x:c>
      <x:c r="F84" s="118" t="str">
        <x:v>coal_lignite</x:v>
      </x:c>
      <x:c r="G84" s="118" t="str">
        <x:v>GW</x:v>
      </x:c>
      <x:c r="H84" s="143" t="n">
        <x:v>0</x:v>
      </x:c>
      <x:c r="I84" s="143" t="n">
        <x:v>0</x:v>
      </x:c>
      <x:c r="J84" s="118" t="str">
        <x:v>IMPLEMENT</x:v>
      </x:c>
      <x:c r="K84" s="118" t="str">
        <x:v>OFFICIAL_SCENARIO_INPUT</x:v>
      </x:c>
      <x:c r="L84" s="118" t="str">
        <x:v>A</x:v>
      </x:c>
      <x:c r="M84" s="118" t="str">
        <x:v>OFFICIAL_SCENARIO_INPUT</x:v>
      </x:c>
      <x:c r="N84" s="118" t="str">
        <x:v>A</x:v>
      </x:c>
      <x:c r="O84" s="118" t="str">
        <x:v>HR_NECP2025</x:v>
      </x:c>
      <x:c r="P84" s="118" t="str">
        <x:v>HR_NECP2025</x:v>
      </x:c>
      <x:c r="Q84" s="118" t="str">
        <x:v>MEM_ETX6R_HR_National_Closure_v1.0</x:v>
      </x:c>
      <x:c r="R84" s="118" t="n">
        <x:v>8</x:v>
      </x:c>
      <x:c r="S84" s="127" t="str">
        <x:v>Explicit zero.</x:v>
      </x:c>
    </x:row>
    <x:row r="85">
      <x:c r="A85" s="126" t="str">
        <x:v>HR</x:v>
      </x:c>
      <x:c r="B85" s="118" t="str">
        <x:v>Croatia</x:v>
      </x:c>
      <x:c r="C85" s="118" t="str">
        <x:v>HR_WAM2025_WITH_S2_DEMAND_BRIDGE</x:v>
      </x:c>
      <x:c r="D85" s="118" t="str">
        <x:v>Fuel oil thermal</x:v>
      </x:c>
      <x:c r="E85" s="118" t="str">
        <x:v>thermal_oil</x:v>
      </x:c>
      <x:c r="F85" s="118" t="str">
        <x:v>thermal_oil_liquid</x:v>
      </x:c>
      <x:c r="G85" s="118" t="str">
        <x:v>GW</x:v>
      </x:c>
      <x:c r="H85" s="143" t="n">
        <x:v>0</x:v>
      </x:c>
      <x:c r="I85" s="143" t="n">
        <x:v>0</x:v>
      </x:c>
      <x:c r="J85" s="118" t="str">
        <x:v>IMPLEMENT</x:v>
      </x:c>
      <x:c r="K85" s="118" t="str">
        <x:v>OFFICIAL_SCENARIO_INPUT</x:v>
      </x:c>
      <x:c r="L85" s="118" t="str">
        <x:v>A</x:v>
      </x:c>
      <x:c r="M85" s="118" t="str">
        <x:v>OFFICIAL_SCENARIO_INPUT</x:v>
      </x:c>
      <x:c r="N85" s="118" t="str">
        <x:v>A</x:v>
      </x:c>
      <x:c r="O85" s="118" t="str">
        <x:v>HR_NECP2025</x:v>
      </x:c>
      <x:c r="P85" s="118" t="str">
        <x:v>HR_NECP2025</x:v>
      </x:c>
      <x:c r="Q85" s="118" t="str">
        <x:v>MEM_ETX6R_HR_National_Closure_v1.0</x:v>
      </x:c>
      <x:c r="R85" s="118" t="n">
        <x:v>9</x:v>
      </x:c>
      <x:c r="S85" s="127" t="str">
        <x:v>Explicit zero.</x:v>
      </x:c>
    </x:row>
    <x:row r="86">
      <x:c r="A86" s="126" t="str">
        <x:v>HR</x:v>
      </x:c>
      <x:c r="B86" s="118" t="str">
        <x:v>Croatia</x:v>
      </x:c>
      <x:c r="C86" s="118" t="str">
        <x:v>HR_WAM2025_WITH_S2_DEMAND_BRIDGE</x:v>
      </x:c>
      <x:c r="D86" s="118" t="str">
        <x:v>Gas thermal / CHP</x:v>
      </x:c>
      <x:c r="E86" s="118" t="str">
        <x:v>thermal_gas</x:v>
      </x:c>
      <x:c r="F86" s="118" t="str">
        <x:v>thermal_methane_gas</x:v>
      </x:c>
      <x:c r="G86" s="118" t="str">
        <x:v>GW</x:v>
      </x:c>
      <x:c r="H86" s="143" t="n">
        <x:v>0.831</x:v>
      </x:c>
      <x:c r="I86" s="143" t="n">
        <x:v>0.461</x:v>
      </x:c>
      <x:c r="J86" s="118" t="str">
        <x:v>IMPLEMENT</x:v>
      </x:c>
      <x:c r="K86" s="118" t="str">
        <x:v>OFFICIAL_SCENARIO_INPUT</x:v>
      </x:c>
      <x:c r="L86" s="118" t="str">
        <x:v>A</x:v>
      </x:c>
      <x:c r="M86" s="118" t="str">
        <x:v>OFFICIAL_SCENARIO_INPUT</x:v>
      </x:c>
      <x:c r="N86" s="118" t="str">
        <x:v>A</x:v>
      </x:c>
      <x:c r="O86" s="118" t="str">
        <x:v>HR_NECP2025</x:v>
      </x:c>
      <x:c r="P86" s="118" t="str">
        <x:v>HR_NECP2025</x:v>
      </x:c>
      <x:c r="Q86" s="118" t="str">
        <x:v>MEM_ETX6R_HR_National_Closure_v1.0</x:v>
      </x:c>
      <x:c r="R86" s="118" t="n">
        <x:v>10</x:v>
      </x:c>
      <x:c r="S86" s="127" t="str">
        <x:v>Fuel, efficiency and CHP heat-credit treatment are ETX-7 technical-parameter tasks; no extra gas capacity should be imported.</x:v>
      </x:c>
    </x:row>
    <x:row r="87">
      <x:c r="A87" s="126" t="str">
        <x:v>HR</x:v>
      </x:c>
      <x:c r="B87" s="118" t="str">
        <x:v>Croatia</x:v>
      </x:c>
      <x:c r="C87" s="118" t="str">
        <x:v>HR_WAM2025_WITH_S2_DEMAND_BRIDGE</x:v>
      </x:c>
      <x:c r="D87" s="118" t="str">
        <x:v>Biomass</x:v>
      </x:c>
      <x:c r="E87" s="118" t="str">
        <x:v>biomass</x:v>
      </x:c>
      <x:c r="F87" s="118" t="str">
        <x:v>bioenergy_biomass</x:v>
      </x:c>
      <x:c r="G87" s="118" t="str">
        <x:v>GW</x:v>
      </x:c>
      <x:c r="H87" s="143" t="n">
        <x:v>0.135</x:v>
      </x:c>
      <x:c r="I87" s="143" t="n">
        <x:v>0.135</x:v>
      </x:c>
      <x:c r="J87" s="118" t="str">
        <x:v>IMPLEMENT</x:v>
      </x:c>
      <x:c r="K87" s="118" t="str">
        <x:v>OFFICIAL_SCENARIO_INPUT</x:v>
      </x:c>
      <x:c r="L87" s="118" t="str">
        <x:v>A</x:v>
      </x:c>
      <x:c r="M87" s="118" t="str">
        <x:v>OFFICIAL_SCENARIO_INPUT</x:v>
      </x:c>
      <x:c r="N87" s="118" t="str">
        <x:v>A</x:v>
      </x:c>
      <x:c r="O87" s="118" t="str">
        <x:v>HR_NECP2025</x:v>
      </x:c>
      <x:c r="P87" s="118" t="str">
        <x:v>HR_NECP2025</x:v>
      </x:c>
      <x:c r="Q87" s="118" t="str">
        <x:v>MEM_ETX6R_HR_National_Closure_v1.0</x:v>
      </x:c>
      <x:c r="R87" s="118" t="n">
        <x:v>11</x:v>
      </x:c>
      <x:c r="S87" s="127"/>
    </x:row>
    <x:row r="88">
      <x:c r="A88" s="126" t="str">
        <x:v>HR</x:v>
      </x:c>
      <x:c r="B88" s="118" t="str">
        <x:v>Croatia</x:v>
      </x:c>
      <x:c r="C88" s="118" t="str">
        <x:v>HR_WAM2025_WITH_S2_DEMAND_BRIDGE</x:v>
      </x:c>
      <x:c r="D88" s="118" t="str">
        <x:v>Biogas</x:v>
      </x:c>
      <x:c r="E88" s="118" t="str">
        <x:v>biogas</x:v>
      </x:c>
      <x:c r="F88" s="118" t="str">
        <x:v>bioenergy_biogas</x:v>
      </x:c>
      <x:c r="G88" s="118" t="str">
        <x:v>GW</x:v>
      </x:c>
      <x:c r="H88" s="143" t="n">
        <x:v>0.059</x:v>
      </x:c>
      <x:c r="I88" s="143" t="n">
        <x:v>0.059</x:v>
      </x:c>
      <x:c r="J88" s="118" t="str">
        <x:v>IMPLEMENT</x:v>
      </x:c>
      <x:c r="K88" s="118" t="str">
        <x:v>OFFICIAL_SCENARIO_INPUT</x:v>
      </x:c>
      <x:c r="L88" s="118" t="str">
        <x:v>A</x:v>
      </x:c>
      <x:c r="M88" s="118" t="str">
        <x:v>OFFICIAL_SCENARIO_INPUT</x:v>
      </x:c>
      <x:c r="N88" s="118" t="str">
        <x:v>A</x:v>
      </x:c>
      <x:c r="O88" s="118" t="str">
        <x:v>HR_NECP2025</x:v>
      </x:c>
      <x:c r="P88" s="118" t="str">
        <x:v>HR_NECP2025</x:v>
      </x:c>
      <x:c r="Q88" s="118" t="str">
        <x:v>MEM_ETX6R_HR_National_Closure_v1.0</x:v>
      </x:c>
      <x:c r="R88" s="118" t="n">
        <x:v>12</x:v>
      </x:c>
      <x:c r="S88" s="127"/>
    </x:row>
    <x:row r="89">
      <x:c r="A89" s="126" t="str">
        <x:v>HR</x:v>
      </x:c>
      <x:c r="B89" s="118" t="str">
        <x:v>Croatia</x:v>
      </x:c>
      <x:c r="C89" s="118" t="str">
        <x:v>HR_WAM2025_WITH_S2_DEMAND_BRIDGE</x:v>
      </x:c>
      <x:c r="D89" s="118" t="str">
        <x:v>Geothermal electricity</x:v>
      </x:c>
      <x:c r="E89" s="118" t="str">
        <x:v>geothermal</x:v>
      </x:c>
      <x:c r="F89" s="118" t="str">
        <x:v>geothermal</x:v>
      </x:c>
      <x:c r="G89" s="118" t="str">
        <x:v>GW</x:v>
      </x:c>
      <x:c r="H89" s="143" t="n">
        <x:v>0.318</x:v>
      </x:c>
      <x:c r="I89" s="143" t="n">
        <x:v>0.405</x:v>
      </x:c>
      <x:c r="J89" s="118" t="str">
        <x:v>IMPLEMENT</x:v>
      </x:c>
      <x:c r="K89" s="118" t="str">
        <x:v>OFFICIAL_SCENARIO_INPUT</x:v>
      </x:c>
      <x:c r="L89" s="118" t="str">
        <x:v>A</x:v>
      </x:c>
      <x:c r="M89" s="118" t="str">
        <x:v>OFFICIAL_SCENARIO_INPUT</x:v>
      </x:c>
      <x:c r="N89" s="118" t="str">
        <x:v>A</x:v>
      </x:c>
      <x:c r="O89" s="118" t="str">
        <x:v>HR_NECP2025</x:v>
      </x:c>
      <x:c r="P89" s="118" t="str">
        <x:v>HR_NECP2025</x:v>
      </x:c>
      <x:c r="Q89" s="118" t="str">
        <x:v>MEM_ETX6R_HR_National_Closure_v1.0</x:v>
      </x:c>
      <x:c r="R89" s="118" t="n">
        <x:v>13</x:v>
      </x:c>
      <x:c r="S89" s="127"/>
    </x:row>
    <x:row r="90">
      <x:c r="A90" s="126" t="str">
        <x:v>HR</x:v>
      </x:c>
      <x:c r="B90" s="118" t="str">
        <x:v>Croatia</x:v>
      </x:c>
      <x:c r="C90" s="118" t="str">
        <x:v>HR_WAM2025_WITH_S2_DEMAND_BRIDGE</x:v>
      </x:c>
      <x:c r="D90" s="118" t="str">
        <x:v>Onshore wind</x:v>
      </x:c>
      <x:c r="E90" s="118" t="str">
        <x:v>onwind</x:v>
      </x:c>
      <x:c r="F90" s="118" t="str">
        <x:v>wind_onshore</x:v>
      </x:c>
      <x:c r="G90" s="118" t="str">
        <x:v>GW</x:v>
      </x:c>
      <x:c r="H90" s="143" t="n">
        <x:v>3.563</x:v>
      </x:c>
      <x:c r="I90" s="143" t="n">
        <x:v>4.353</x:v>
      </x:c>
      <x:c r="J90" s="118" t="str">
        <x:v>IMPLEMENT</x:v>
      </x:c>
      <x:c r="K90" s="118" t="str">
        <x:v>OFFICIAL_SCENARIO_INPUT</x:v>
      </x:c>
      <x:c r="L90" s="118" t="str">
        <x:v>A</x:v>
      </x:c>
      <x:c r="M90" s="118" t="str">
        <x:v>OFFICIAL_SCENARIO_INPUT</x:v>
      </x:c>
      <x:c r="N90" s="118" t="str">
        <x:v>A</x:v>
      </x:c>
      <x:c r="O90" s="118" t="str">
        <x:v>HR_NECP2025</x:v>
      </x:c>
      <x:c r="P90" s="118" t="str">
        <x:v>HR_NECP2025</x:v>
      </x:c>
      <x:c r="Q90" s="118" t="str">
        <x:v>MEM_ETX6R_HR_National_Closure_v1.0</x:v>
      </x:c>
      <x:c r="R90" s="118" t="n">
        <x:v>14</x:v>
      </x:c>
      <x:c r="S90" s="127" t="str">
        <x:v>If a later official source quantifies offshore wind within the WAM total, reallocate within—not on top of—the WAM wind total.</x:v>
      </x:c>
    </x:row>
    <x:row r="91">
      <x:c r="A91" s="126" t="str">
        <x:v>HR</x:v>
      </x:c>
      <x:c r="B91" s="118" t="str">
        <x:v>Croatia</x:v>
      </x:c>
      <x:c r="C91" s="118" t="str">
        <x:v>HR_WAM2025_WITH_S2_DEMAND_BRIDGE</x:v>
      </x:c>
      <x:c r="D91" s="118" t="str">
        <x:v>Offshore wind</x:v>
      </x:c>
      <x:c r="E91" s="118" t="str">
        <x:v>offwind</x:v>
      </x:c>
      <x:c r="F91" s="118" t="str">
        <x:v>wind_offshore</x:v>
      </x:c>
      <x:c r="G91" s="118" t="str">
        <x:v>GW</x:v>
      </x:c>
      <x:c r="H91" s="143" t="n">
        <x:v>0</x:v>
      </x:c>
      <x:c r="I91" s="143" t="n">
        <x:v>0</x:v>
      </x:c>
      <x:c r="J91" s="118" t="str">
        <x:v>IMPLEMENT</x:v>
      </x:c>
      <x:c r="K91" s="118" t="str">
        <x:v>NATIONAL_NO_QUANTIFIED_BUILD</x:v>
      </x:c>
      <x:c r="L91" s="118" t="str">
        <x:v>B</x:v>
      </x:c>
      <x:c r="M91" s="118" t="str">
        <x:v>NATIONAL_NO_QUANTIFIED_BUILD</x:v>
      </x:c>
      <x:c r="N91" s="118" t="str">
        <x:v>B</x:v>
      </x:c>
      <x:c r="O91" s="118" t="str">
        <x:v>HR_NECP2025</x:v>
      </x:c>
      <x:c r="P91" s="118" t="str">
        <x:v>HR_NECP2025</x:v>
      </x:c>
      <x:c r="Q91" s="118" t="str">
        <x:v>MEM_ETX6R_HR_National_Closure_v1.0</x:v>
      </x:c>
      <x:c r="R91" s="118" t="n">
        <x:v>15</x:v>
      </x:c>
      <x:c r="S91" s="127" t="str">
        <x:v>Base zero prevents double counting against the direct WAM 'Wind' total; offshore becomes a later sensitivity if an official target emerges.</x:v>
      </x:c>
    </x:row>
    <x:row r="92">
      <x:c r="A92" s="126" t="str">
        <x:v>HR</x:v>
      </x:c>
      <x:c r="B92" s="118" t="str">
        <x:v>Croatia</x:v>
      </x:c>
      <x:c r="C92" s="118" t="str">
        <x:v>HR_WAM2025_WITH_S2_DEMAND_BRIDGE</x:v>
      </x:c>
      <x:c r="D92" s="118" t="str">
        <x:v>Solar PV</x:v>
      </x:c>
      <x:c r="E92" s="118" t="str">
        <x:v>solar</x:v>
      </x:c>
      <x:c r="F92" s="118" t="str">
        <x:v>solar_pv</x:v>
      </x:c>
      <x:c r="G92" s="118" t="str">
        <x:v>GW</x:v>
      </x:c>
      <x:c r="H92" s="143" t="n">
        <x:v>4.86</x:v>
      </x:c>
      <x:c r="I92" s="143" t="n">
        <x:v>5.77</x:v>
      </x:c>
      <x:c r="J92" s="118" t="str">
        <x:v>IMPLEMENT</x:v>
      </x:c>
      <x:c r="K92" s="118" t="str">
        <x:v>OFFICIAL_SCENARIO_INPUT</x:v>
      </x:c>
      <x:c r="L92" s="118" t="str">
        <x:v>A</x:v>
      </x:c>
      <x:c r="M92" s="118" t="str">
        <x:v>OFFICIAL_SCENARIO_INPUT</x:v>
      </x:c>
      <x:c r="N92" s="118" t="str">
        <x:v>A</x:v>
      </x:c>
      <x:c r="O92" s="118" t="str">
        <x:v>HR_NECP2025</x:v>
      </x:c>
      <x:c r="P92" s="118" t="str">
        <x:v>HR_NECP2025</x:v>
      </x:c>
      <x:c r="Q92" s="118" t="str">
        <x:v>MEM_ETX6R_HR_National_Closure_v1.0</x:v>
      </x:c>
      <x:c r="R92" s="118" t="n">
        <x:v>16</x:v>
      </x:c>
      <x:c r="S92" s="127"/>
    </x:row>
    <x:row r="93">
      <x:c r="A93" s="126" t="str">
        <x:v>HR</x:v>
      </x:c>
      <x:c r="B93" s="118" t="str">
        <x:v>Croatia</x:v>
      </x:c>
      <x:c r="C93" s="118" t="str">
        <x:v>HR_WAM2025_WITH_S2_DEMAND_BRIDGE</x:v>
      </x:c>
      <x:c r="D93" s="118" t="str">
        <x:v>Non-PHS hydro</x:v>
      </x:c>
      <x:c r="E93" s="118" t="str">
        <x:v>hydro_non_phs</x:v>
      </x:c>
      <x:c r="F93" s="118" t="str">
        <x:v>hydro_non_phs</x:v>
      </x:c>
      <x:c r="G93" s="118" t="str">
        <x:v>GW</x:v>
      </x:c>
      <x:c r="H93" s="143" t="n">
        <x:v>2.56</x:v>
      </x:c>
      <x:c r="I93" s="143" t="n">
        <x:v>2.7800000000000002</x:v>
      </x:c>
      <x:c r="J93" s="118" t="str">
        <x:v>IMPLEMENT</x:v>
      </x:c>
      <x:c r="K93" s="118" t="str">
        <x:v>DERIVED_FROM_OFFICIAL_COMPONENTS</x:v>
      </x:c>
      <x:c r="L93" s="118" t="str">
        <x:v>B</x:v>
      </x:c>
      <x:c r="M93" s="118" t="str">
        <x:v>DERIVED_FROM_OFFICIAL_COMPONENTS</x:v>
      </x:c>
      <x:c r="N93" s="118" t="str">
        <x:v>B/C</x:v>
      </x:c>
      <x:c r="O93" s="118" t="str">
        <x:v>HR_NECP2025+HR_GREENBOOK_S2+HR_HEP_SENJ2</x:v>
      </x:c>
      <x:c r="P93" s="118" t="str">
        <x:v>HR_NECP2025+HR_GREENBOOK_S2</x:v>
      </x:c>
      <x:c r="Q93" s="118" t="str">
        <x:v>MEM_ETX6R_HR_National_Closure_v1.0</x:v>
      </x:c>
      <x:c r="R93" s="118" t="n">
        <x:v>18</x:v>
      </x:c>
      <x:c r="S93" s="127" t="str">
        <x:v>2040 result is strongly cross-checked by HEP Senj 2 (+412 MW), HEP hydro revitalisation (+170 MW), and smaller additions. See HR-D11/12.</x:v>
      </x:c>
    </x:row>
    <x:row r="94">
      <x:c r="A94" s="126" t="str">
        <x:v>HR</x:v>
      </x:c>
      <x:c r="B94" s="118" t="str">
        <x:v>Croatia</x:v>
      </x:c>
      <x:c r="C94" s="118" t="str">
        <x:v>HR_WAM2025_WITH_S2_DEMAND_BRIDGE</x:v>
      </x:c>
      <x:c r="D94" s="118" t="str">
        <x:v>PHS turbine / discharge power</x:v>
      </x:c>
      <x:c r="E94" s="118" t="str">
        <x:v>phs_turbine</x:v>
      </x:c>
      <x:c r="F94" s="118" t="str">
        <x:v>phs_discharge_power</x:v>
      </x:c>
      <x:c r="G94" s="118" t="str">
        <x:v>GW</x:v>
      </x:c>
      <x:c r="H94" s="143" t="n">
        <x:v>0.42000000000000004</x:v>
      </x:c>
      <x:c r="I94" s="143" t="n">
        <x:v>0.42000000000000004</x:v>
      </x:c>
      <x:c r="J94" s="118" t="str">
        <x:v>IMPLEMENT_STORAGE_PAIR</x:v>
      </x:c>
      <x:c r="K94" s="118" t="str">
        <x:v>NATIONAL_PRIOR_SCENARIO_BENCHMARK_DERIVED</x:v>
      </x:c>
      <x:c r="L94" s="118" t="str">
        <x:v>B/C</x:v>
      </x:c>
      <x:c r="M94" s="118" t="str">
        <x:v>NATIONAL_PRIOR_SCENARIO_BENCHMARK_DERIVED</x:v>
      </x:c>
      <x:c r="N94" s="118" t="str">
        <x:v>B/C</x:v>
      </x:c>
      <x:c r="O94" s="118" t="str">
        <x:v>HR_NECP2025+HR_GREENBOOK_S2+HR_HEP_VELEBIT</x:v>
      </x:c>
      <x:c r="P94" s="118" t="str">
        <x:v>HR_NECP2025+HR_GREENBOOK_S2+HR_HEP_VELEBIT</x:v>
      </x:c>
      <x:c r="Q94" s="118" t="str">
        <x:v>MEM_ETX6R_HR_National_Closure_v1.0</x:v>
      </x:c>
      <x:c r="R94" s="118" t="n">
        <x:v>19</x:v>
      </x:c>
      <x:c r="S94" s="127" t="str">
        <x:v>No second additional PHS is quantified after 2030 in the final WAM. See HR-D04/05.</x:v>
      </x:c>
    </x:row>
    <x:row r="95">
      <x:c r="A95" s="126" t="str">
        <x:v>HR</x:v>
      </x:c>
      <x:c r="B95" s="118" t="str">
        <x:v>Croatia</x:v>
      </x:c>
      <x:c r="C95" s="118" t="str">
        <x:v>HR_WAM2025_WITH_S2_DEMAND_BRIDGE</x:v>
      </x:c>
      <x:c r="D95" s="118" t="str">
        <x:v>PHS pump / charge power</x:v>
      </x:c>
      <x:c r="E95" s="118" t="str">
        <x:v>phs_pump</x:v>
      </x:c>
      <x:c r="F95" s="118" t="str">
        <x:v>phs_charge_power</x:v>
      </x:c>
      <x:c r="G95" s="118" t="str">
        <x:v>GW</x:v>
      </x:c>
      <x:c r="H95" s="143" t="n">
        <x:v>0.39</x:v>
      </x:c>
      <x:c r="I95" s="143" t="n">
        <x:v>0.39</x:v>
      </x:c>
      <x:c r="J95" s="118" t="str">
        <x:v>IMPLEMENT_STORAGE_PAIR</x:v>
      </x:c>
      <x:c r="K95" s="118" t="str">
        <x:v>NATIONAL_PRIOR_SCENARIO_BENCHMARK_DERIVED</x:v>
      </x:c>
      <x:c r="L95" s="118" t="str">
        <x:v>C</x:v>
      </x:c>
      <x:c r="M95" s="118" t="str">
        <x:v>NATIONAL_PRIOR_SCENARIO_BENCHMARK_DERIVED</x:v>
      </x:c>
      <x:c r="N95" s="118" t="str">
        <x:v>C</x:v>
      </x:c>
      <x:c r="O95" s="118" t="str">
        <x:v>HR_NECP2025+HR_GREENBOOK_S2+HR_HEP_VELEBIT</x:v>
      </x:c>
      <x:c r="P95" s="118" t="str">
        <x:v>HR_NECP2025+HR_GREENBOOK_S2+HR_HEP_VELEBIT</x:v>
      </x:c>
      <x:c r="Q95" s="118" t="str">
        <x:v>MEM_ETX6R_HR_National_Closure_v1.0</x:v>
      </x:c>
      <x:c r="R95" s="118" t="n">
        <x:v>20</x:v>
      </x:c>
      <x:c r="S95" s="127" t="str">
        <x:v>Preserve charge/discharge asymmetry: 420 MW turbine vs 390 MW pump.</x:v>
      </x:c>
    </x:row>
    <x:row r="96">
      <x:c r="A96" s="126" t="str">
        <x:v>HR</x:v>
      </x:c>
      <x:c r="B96" s="118" t="str">
        <x:v>Croatia</x:v>
      </x:c>
      <x:c r="C96" s="118" t="str">
        <x:v>HR_WAM2025_WITH_S2_DEMAND_BRIDGE</x:v>
      </x:c>
      <x:c r="D96" s="118" t="str">
        <x:v>PHS nominal energy</x:v>
      </x:c>
      <x:c r="E96" s="118" t="str">
        <x:v>phs_energy</x:v>
      </x:c>
      <x:c r="F96" s="118" t="str">
        <x:v>phs_energy</x:v>
      </x:c>
      <x:c r="G96" s="118" t="str">
        <x:v>GWh</x:v>
      </x:c>
      <x:c r="H96" s="143" t="n">
        <x:v>4.17761575</x:v>
      </x:c>
      <x:c r="I96" s="143" t="n">
        <x:v>4.17761575</x:v>
      </x:c>
      <x:c r="J96" s="118" t="str">
        <x:v>IMPLEMENT_STORAGE_PAIR</x:v>
      </x:c>
      <x:c r="K96" s="118" t="str">
        <x:v>NATIONAL_PROJECT_BENCHMARK_DERIVED</x:v>
      </x:c>
      <x:c r="L96" s="118" t="str">
        <x:v>C</x:v>
      </x:c>
      <x:c r="M96" s="118" t="str">
        <x:v>NATIONAL_PROJECT_BENCHMARK_DERIVED</x:v>
      </x:c>
      <x:c r="N96" s="118" t="str">
        <x:v>C</x:v>
      </x:c>
      <x:c r="O96" s="118" t="str">
        <x:v>HR_HEP_VELEBIT+HR_GREENBOOK_S2</x:v>
      </x:c>
      <x:c r="P96" s="118" t="str">
        <x:v>HR_HEP_VELEBIT+HR_GREENBOOK_S2</x:v>
      </x:c>
      <x:c r="Q96" s="118" t="str">
        <x:v>MEM_ETX6R_HR_National_Closure_v1.0</x:v>
      </x:c>
      <x:c r="R96" s="118" t="n">
        <x:v>21</x:v>
      </x:c>
      <x:c r="S96" s="127" t="str">
        <x:v>Nominal gravitational potential energy; apply standard storage efficiencies separately. See HR-D07 to HR-D10.</x:v>
      </x:c>
    </x:row>
    <x:row r="97">
      <x:c r="A97" s="126" t="str">
        <x:v>HR</x:v>
      </x:c>
      <x:c r="B97" s="118" t="str">
        <x:v>Croatia</x:v>
      </x:c>
      <x:c r="C97" s="118" t="str">
        <x:v>HR_WAM2025_WITH_S2_DEMAND_BRIDGE</x:v>
      </x:c>
      <x:c r="D97" s="118" t="str">
        <x:v>BESS power</x:v>
      </x:c>
      <x:c r="E97" s="118" t="str">
        <x:v>battery_power</x:v>
      </x:c>
      <x:c r="F97" s="118" t="str">
        <x:v>bess_grid_power</x:v>
      </x:c>
      <x:c r="G97" s="118" t="str">
        <x:v>GW</x:v>
      </x:c>
      <x:c r="H97" s="143" t="n">
        <x:v>0.5449663561076604</x:v>
      </x:c>
      <x:c r="I97" s="143" t="n">
        <x:v>0.738366156090445</x:v>
      </x:c>
      <x:c r="J97" s="118" t="str">
        <x:v>IMPLEMENT_STORAGE_PAIR</x:v>
      </x:c>
      <x:c r="K97" s="118" t="str">
        <x:v>NATIONAL_PRIOR_SCENARIO_BENCHMARK_DERIVED</x:v>
      </x:c>
      <x:c r="L97" s="118" t="str">
        <x:v>C</x:v>
      </x:c>
      <x:c r="M97" s="118" t="str">
        <x:v>NATIONAL_PRIOR_SCENARIO_BENCHMARK_DERIVED</x:v>
      </x:c>
      <x:c r="N97" s="118" t="str">
        <x:v>C</x:v>
      </x:c>
      <x:c r="O97" s="118" t="str">
        <x:v>HR_NECP2025+HR_GREENBOOK_S2</x:v>
      </x:c>
      <x:c r="P97" s="118" t="str">
        <x:v>HR_NECP2025+HR_GREENBOOK_S2</x:v>
      </x:c>
      <x:c r="Q97" s="118" t="str">
        <x:v>MEM_ETX6R_HR_National_Closure_v1.0</x:v>
      </x:c>
      <x:c r="R97" s="118" t="n">
        <x:v>22</x:v>
      </x:c>
      <x:c r="S97" s="127" t="str">
        <x:v>Final NECP direct 2030 target is 250 MW; the ratio method independently gives ~218 MW at 2030 and therefore provides a reasonable validation. See HR-D13 to HR-D19.</x:v>
      </x:c>
    </x:row>
    <x:row r="98">
      <x:c r="A98" s="126" t="str">
        <x:v>HR</x:v>
      </x:c>
      <x:c r="B98" s="118" t="str">
        <x:v>Croatia</x:v>
      </x:c>
      <x:c r="C98" s="118" t="str">
        <x:v>HR_WAM2025_WITH_S2_DEMAND_BRIDGE</x:v>
      </x:c>
      <x:c r="D98" s="118" t="str">
        <x:v>BESS energy</x:v>
      </x:c>
      <x:c r="E98" s="118" t="str">
        <x:v>battery_energy</x:v>
      </x:c>
      <x:c r="F98" s="118" t="str">
        <x:v>bess_grid_energy</x:v>
      </x:c>
      <x:c r="G98" s="118" t="str">
        <x:v>GWh</x:v>
      </x:c>
      <x:c r="H98" s="143" t="n">
        <x:v>2.1798654244306417</x:v>
      </x:c>
      <x:c r="I98" s="143" t="n">
        <x:v>2.95346462436178</x:v>
      </x:c>
      <x:c r="J98" s="118" t="str">
        <x:v>IMPLEMENT_STORAGE_PAIR</x:v>
      </x:c>
      <x:c r="K98" s="118" t="str">
        <x:v>DERIVED_FROM_OFFICIAL_COMPONENTS</x:v>
      </x:c>
      <x:c r="L98" s="118" t="str">
        <x:v>B/C</x:v>
      </x:c>
      <x:c r="M98" s="118" t="str">
        <x:v>DERIVED_FROM_OFFICIAL_COMPONENTS</x:v>
      </x:c>
      <x:c r="N98" s="118" t="str">
        <x:v>B/C</x:v>
      </x:c>
      <x:c r="O98" s="118" t="str">
        <x:v>HR_NECP2025+HR_GREENBOOK_S2</x:v>
      </x:c>
      <x:c r="P98" s="118" t="str">
        <x:v>HR_NECP2025+HR_GREENBOOK_S2</x:v>
      </x:c>
      <x:c r="Q98" s="118" t="str">
        <x:v>MEM_ETX6R_HR_National_Closure_v1.0</x:v>
      </x:c>
      <x:c r="R98" s="118" t="n">
        <x:v>23</x:v>
      </x:c>
      <x:c r="S98" s="127" t="str">
        <x:v>See HR-D20/21.</x:v>
      </x:c>
    </x:row>
    <x:row r="99">
      <x:c r="A99" s="126" t="str">
        <x:v>ME</x:v>
      </x:c>
      <x:c r="B99" s="118" t="str">
        <x:v>Montenegro</x:v>
      </x:c>
      <x:c r="C99" s="118" t="str">
        <x:v>ME_NECP_WAM2025</x:v>
      </x:c>
      <x:c r="D99" s="118" t="str">
        <x:v>Annual electricity demand</x:v>
      </x:c>
      <x:c r="E99" s="118" t="str">
        <x:v>load</x:v>
      </x:c>
      <x:c r="F99" s="118" t="str">
        <x:v>demand</x:v>
      </x:c>
      <x:c r="G99" s="118" t="str">
        <x:v>TWh</x:v>
      </x:c>
      <x:c r="H99" s="143" t="n">
        <x:v>3.6422</x:v>
      </x:c>
      <x:c r="I99" s="143" t="n">
        <x:v>3.6784</x:v>
      </x:c>
      <x:c r="J99" s="118" t="str">
        <x:v>IMPLEMENT</x:v>
      </x:c>
      <x:c r="K99" s="118" t="str">
        <x:v>OFFICIAL_SCENARIO_INPUT</x:v>
      </x:c>
      <x:c r="L99" s="118" t="str">
        <x:v>A</x:v>
      </x:c>
      <x:c r="M99" s="118" t="str">
        <x:v>OFFICIAL_SCENARIO_INPUT</x:v>
      </x:c>
      <x:c r="N99" s="118" t="str">
        <x:v>A</x:v>
      </x:c>
      <x:c r="O99" s="118" t="str">
        <x:v>ME_NECP2025</x:v>
      </x:c>
      <x:c r="P99" s="118" t="str">
        <x:v>ME_NECP2025</x:v>
      </x:c>
      <x:c r="Q99" s="118" t="str">
        <x:v>MEM_ETX6R_ME_National_Closure_v1.1</x:v>
      </x:c>
      <x:c r="R99" s="118" t="n">
        <x:v>5</x:v>
      </x:c>
      <x:c r="S99" s="127" t="str">
        <x:v>Pumping/storage charging is endogenous; do not add it separately to annual load.</x:v>
      </x:c>
    </x:row>
    <x:row r="100">
      <x:c r="A100" s="126" t="str">
        <x:v>ME</x:v>
      </x:c>
      <x:c r="B100" s="118" t="str">
        <x:v>Montenegro</x:v>
      </x:c>
      <x:c r="C100" s="118" t="str">
        <x:v>ME_NECP_WAM2025</x:v>
      </x:c>
      <x:c r="D100" s="118" t="str">
        <x:v>Nuclear</x:v>
      </x:c>
      <x:c r="E100" s="118" t="str">
        <x:v>nuclear</x:v>
      </x:c>
      <x:c r="F100" s="118" t="str">
        <x:v>nuclear</x:v>
      </x:c>
      <x:c r="G100" s="118" t="str">
        <x:v>GW</x:v>
      </x:c>
      <x:c r="H100" s="143" t="n">
        <x:v>0</x:v>
      </x:c>
      <x:c r="I100" s="143" t="n">
        <x:v>0</x:v>
      </x:c>
      <x:c r="J100" s="118" t="str">
        <x:v>IMPLEMENT</x:v>
      </x:c>
      <x:c r="K100" s="118" t="str">
        <x:v>OFFICIAL_SCENARIO_ZERO</x:v>
      </x:c>
      <x:c r="L100" s="118" t="str">
        <x:v>A/B</x:v>
      </x:c>
      <x:c r="M100" s="118" t="str">
        <x:v>OFFICIAL_SCENARIO_ZERO</x:v>
      </x:c>
      <x:c r="N100" s="118" t="str">
        <x:v>A/B</x:v>
      </x:c>
      <x:c r="O100" s="118" t="str">
        <x:v>ME_NECP2025</x:v>
      </x:c>
      <x:c r="P100" s="118" t="str">
        <x:v>ME_NECP2025</x:v>
      </x:c>
      <x:c r="Q100" s="118" t="str">
        <x:v>MEM_ETX6R_ME_National_Closure_v1.1</x:v>
      </x:c>
      <x:c r="R100" s="118" t="n">
        <x:v>6</x:v>
      </x:c>
      <x:c r="S100" s="127" t="str">
        <x:v>Explicit Base zero.</x:v>
      </x:c>
    </x:row>
    <x:row r="101">
      <x:c r="A101" s="126" t="str">
        <x:v>ME</x:v>
      </x:c>
      <x:c r="B101" s="118" t="str">
        <x:v>Montenegro</x:v>
      </x:c>
      <x:c r="C101" s="118" t="str">
        <x:v>ME_NECP_WAM2025</x:v>
      </x:c>
      <x:c r="D101" s="118" t="str">
        <x:v>Coal / lignite</x:v>
      </x:c>
      <x:c r="E101" s="118" t="str">
        <x:v>coal_lignite</x:v>
      </x:c>
      <x:c r="F101" s="118" t="str">
        <x:v>coal_lignite</x:v>
      </x:c>
      <x:c r="G101" s="118" t="str">
        <x:v>GW</x:v>
      </x:c>
      <x:c r="H101" s="143" t="n">
        <x:v>0.225</x:v>
      </x:c>
      <x:c r="I101" s="143" t="n">
        <x:v>0</x:v>
      </x:c>
      <x:c r="J101" s="118" t="str">
        <x:v>IMPLEMENT</x:v>
      </x:c>
      <x:c r="K101" s="118" t="str">
        <x:v>OFFICIAL_EXISTING_UNIT_WITH_RETIREMENT</x:v>
      </x:c>
      <x:c r="L101" s="118" t="str">
        <x:v>A</x:v>
      </x:c>
      <x:c r="M101" s="118" t="str">
        <x:v>OFFICIAL_RETIREMENT_ZERO</x:v>
      </x:c>
      <x:c r="N101" s="118" t="str">
        <x:v>A</x:v>
      </x:c>
      <x:c r="O101" s="118" t="str">
        <x:v>ME_NECP2025</x:v>
      </x:c>
      <x:c r="P101" s="118" t="str">
        <x:v>ME_NECP2025</x:v>
      </x:c>
      <x:c r="Q101" s="118" t="str">
        <x:v>MEM_ETX6R_ME_National_Closure_v1.1</x:v>
      </x:c>
      <x:c r="R101" s="118" t="n">
        <x:v>7</x:v>
      </x:c>
      <x:c r="S101" s="127" t="str">
        <x:v>2040 is a boundary year: keep the physical 225 MW fleet for the 2040 annual simulation; 2050 is zero. A separate retirement-timing sensitivity can be considered later.</x:v>
      </x:c>
    </x:row>
    <x:row r="102">
      <x:c r="A102" s="126" t="str">
        <x:v>ME</x:v>
      </x:c>
      <x:c r="B102" s="118" t="str">
        <x:v>Montenegro</x:v>
      </x:c>
      <x:c r="C102" s="118" t="str">
        <x:v>ME_NECP_WAM2025</x:v>
      </x:c>
      <x:c r="D102" s="118" t="str">
        <x:v>Oil / liquid-fuel thermal</x:v>
      </x:c>
      <x:c r="E102" s="118" t="str">
        <x:v>oil_liquid_thermal</x:v>
      </x:c>
      <x:c r="F102" s="118" t="str">
        <x:v>thermal_oil_liquid</x:v>
      </x:c>
      <x:c r="G102" s="118" t="str">
        <x:v>GW</x:v>
      </x:c>
      <x:c r="H102" s="143" t="n">
        <x:v>0</x:v>
      </x:c>
      <x:c r="I102" s="143" t="n">
        <x:v>0</x:v>
      </x:c>
      <x:c r="J102" s="118" t="str">
        <x:v>IMPLEMENT</x:v>
      </x:c>
      <x:c r="K102" s="118" t="str">
        <x:v>OFFICIAL_SCENARIO_ZERO</x:v>
      </x:c>
      <x:c r="L102" s="118" t="str">
        <x:v>A/B</x:v>
      </x:c>
      <x:c r="M102" s="118" t="str">
        <x:v>OFFICIAL_SCENARIO_ZERO</x:v>
      </x:c>
      <x:c r="N102" s="118" t="str">
        <x:v>A/B</x:v>
      </x:c>
      <x:c r="O102" s="118" t="str">
        <x:v>ME_NECP2025</x:v>
      </x:c>
      <x:c r="P102" s="118" t="str">
        <x:v>ME_NECP2025</x:v>
      </x:c>
      <x:c r="Q102" s="118" t="str">
        <x:v>MEM_ETX6R_ME_National_Closure_v1.1</x:v>
      </x:c>
      <x:c r="R102" s="118" t="n">
        <x:v>8</x:v>
      </x:c>
      <x:c r="S102" s="127" t="str">
        <x:v>Explicit Base zero.</x:v>
      </x:c>
    </x:row>
    <x:row r="103">
      <x:c r="A103" s="126" t="str">
        <x:v>ME</x:v>
      </x:c>
      <x:c r="B103" s="118" t="str">
        <x:v>Montenegro</x:v>
      </x:c>
      <x:c r="C103" s="118" t="str">
        <x:v>ME_NECP_WAM2025</x:v>
      </x:c>
      <x:c r="D103" s="118" t="str">
        <x:v>Natural-gas thermal</x:v>
      </x:c>
      <x:c r="E103" s="118" t="str">
        <x:v>gas_thermal</x:v>
      </x:c>
      <x:c r="F103" s="118" t="str">
        <x:v>thermal_methane_gas</x:v>
      </x:c>
      <x:c r="G103" s="118" t="str">
        <x:v>GW</x:v>
      </x:c>
      <x:c r="H103" s="143" t="n">
        <x:v>0</x:v>
      </x:c>
      <x:c r="I103" s="143" t="n">
        <x:v>0</x:v>
      </x:c>
      <x:c r="J103" s="118" t="str">
        <x:v>IMPLEMENT</x:v>
      </x:c>
      <x:c r="K103" s="118" t="str">
        <x:v>OFFICIAL_SCENARIO_ZERO</x:v>
      </x:c>
      <x:c r="L103" s="118" t="str">
        <x:v>A/B</x:v>
      </x:c>
      <x:c r="M103" s="118" t="str">
        <x:v>OFFICIAL_SCENARIO_ZERO</x:v>
      </x:c>
      <x:c r="N103" s="118" t="str">
        <x:v>A/B</x:v>
      </x:c>
      <x:c r="O103" s="118" t="str">
        <x:v>ME_NECP2025</x:v>
      </x:c>
      <x:c r="P103" s="118" t="str">
        <x:v>ME_NECP2025</x:v>
      </x:c>
      <x:c r="Q103" s="118" t="str">
        <x:v>MEM_ETX6R_ME_National_Closure_v1.1</x:v>
      </x:c>
      <x:c r="R103" s="118" t="n">
        <x:v>9</x:v>
      </x:c>
      <x:c r="S103" s="127" t="str">
        <x:v>Do not import hypothetical future gas projects into the WAM Base.</x:v>
      </x:c>
    </x:row>
    <x:row r="104">
      <x:c r="A104" s="126" t="str">
        <x:v>ME</x:v>
      </x:c>
      <x:c r="B104" s="118" t="str">
        <x:v>Montenegro</x:v>
      </x:c>
      <x:c r="C104" s="118" t="str">
        <x:v>ME_NECP_WAM2025</x:v>
      </x:c>
      <x:c r="D104" s="118" t="str">
        <x:v>Solar PV</x:v>
      </x:c>
      <x:c r="E104" s="118" t="str">
        <x:v>solar</x:v>
      </x:c>
      <x:c r="F104" s="118" t="str">
        <x:v>solar_pv</x:v>
      </x:c>
      <x:c r="G104" s="118" t="str">
        <x:v>GW</x:v>
      </x:c>
      <x:c r="H104" s="143" t="n">
        <x:v>2.608334</x:v>
      </x:c>
      <x:c r="I104" s="143" t="n">
        <x:v>2.608334</x:v>
      </x:c>
      <x:c r="J104" s="118" t="str">
        <x:v>IMPLEMENT</x:v>
      </x:c>
      <x:c r="K104" s="118" t="str">
        <x:v>USER_FROZEN_OVERRIDE_USING_NATIONAL_LOWER_BOUND</x:v>
      </x:c>
      <x:c r="L104" s="118" t="str">
        <x:v>USER</x:v>
      </x:c>
      <x:c r="M104" s="118" t="str">
        <x:v>USER_FROZEN_OVERRIDE_USING_NATIONAL_LOWER_BOUND</x:v>
      </x:c>
      <x:c r="N104" s="118" t="str">
        <x:v>USER</x:v>
      </x:c>
      <x:c r="O104" s="118" t="str">
        <x:v>USER_OVERRIDE_20260911</x:v>
      </x:c>
      <x:c r="P104" s="118" t="str">
        <x:v>USER_OVERRIDE_20260911</x:v>
      </x:c>
      <x:c r="Q104" s="118" t="str">
        <x:v>MEM_ETX6R_ME_National_Closure_v1.1</x:v>
      </x:c>
      <x:c r="R104" s="118" t="n">
        <x:v>10</x:v>
      </x:c>
      <x:c r="S104" s="127" t="str">
        <x:v>Project-authority override. Do not describe 2.608334 GW as a direct WAM endpoint; the original national evidence only established it as a strict lower bound.</x:v>
      </x:c>
    </x:row>
    <x:row r="105">
      <x:c r="A105" s="126" t="str">
        <x:v>ME</x:v>
      </x:c>
      <x:c r="B105" s="118" t="str">
        <x:v>Montenegro</x:v>
      </x:c>
      <x:c r="C105" s="118" t="str">
        <x:v>ME_NECP_WAM2025</x:v>
      </x:c>
      <x:c r="D105" s="118" t="str">
        <x:v>Onshore wind</x:v>
      </x:c>
      <x:c r="E105" s="118" t="str">
        <x:v>onwind</x:v>
      </x:c>
      <x:c r="F105" s="118" t="str">
        <x:v>wind_onshore</x:v>
      </x:c>
      <x:c r="G105" s="118" t="str">
        <x:v>GW</x:v>
      </x:c>
      <x:c r="H105" s="143" t="n">
        <x:v>0.3936</x:v>
      </x:c>
      <x:c r="I105" s="143" t="n">
        <x:v>0.3936</x:v>
      </x:c>
      <x:c r="J105" s="118" t="str">
        <x:v>IMPLEMENT</x:v>
      </x:c>
      <x:c r="K105" s="118" t="str">
        <x:v>DERIVED_FROM_OFFICIAL_COMPONENTS</x:v>
      </x:c>
      <x:c r="L105" s="118" t="str">
        <x:v>B/C</x:v>
      </x:c>
      <x:c r="M105" s="118" t="str">
        <x:v>DERIVED_FROM_OFFICIAL_COMPONENTS</x:v>
      </x:c>
      <x:c r="N105" s="118" t="str">
        <x:v>B/C</x:v>
      </x:c>
      <x:c r="O105" s="118" t="str">
        <x:v>ME_NECP2025</x:v>
      </x:c>
      <x:c r="P105" s="118" t="str">
        <x:v>ME_NECP2025</x:v>
      </x:c>
      <x:c r="Q105" s="118" t="str">
        <x:v>MEM_ETX6R_ME_National_Closure_v1.1</x:v>
      </x:c>
      <x:c r="R105" s="118" t="n">
        <x:v>11</x:v>
      </x:c>
      <x:c r="S105" s="127" t="str">
        <x:v>Derived total = 118 + 54.6 + 21 + 200 = 393.6 MW. Treat the exact 2040 timing as quality B/C because the 200 MW text is a long-run model input rather than a clean year-indexed capacity table.</x:v>
      </x:c>
    </x:row>
    <x:row r="106">
      <x:c r="A106" s="126" t="str">
        <x:v>ME</x:v>
      </x:c>
      <x:c r="B106" s="118" t="str">
        <x:v>Montenegro</x:v>
      </x:c>
      <x:c r="C106" s="118" t="str">
        <x:v>ME_NECP_WAM2025</x:v>
      </x:c>
      <x:c r="D106" s="118" t="str">
        <x:v>Offshore wind</x:v>
      </x:c>
      <x:c r="E106" s="118" t="str">
        <x:v>offwind</x:v>
      </x:c>
      <x:c r="F106" s="118" t="str">
        <x:v>wind_offshore</x:v>
      </x:c>
      <x:c r="G106" s="118" t="str">
        <x:v>GW</x:v>
      </x:c>
      <x:c r="H106" s="143" t="n">
        <x:v>0</x:v>
      </x:c>
      <x:c r="I106" s="143" t="n">
        <x:v>0</x:v>
      </x:c>
      <x:c r="J106" s="118" t="str">
        <x:v>IMPLEMENT</x:v>
      </x:c>
      <x:c r="K106" s="118" t="str">
        <x:v>NATIONAL_SCENARIO_TAXONOMY_ZERO</x:v>
      </x:c>
      <x:c r="L106" s="118" t="str">
        <x:v>A/B</x:v>
      </x:c>
      <x:c r="M106" s="118" t="str">
        <x:v>NATIONAL_SCENARIO_TAXONOMY_ZERO</x:v>
      </x:c>
      <x:c r="N106" s="118" t="str">
        <x:v>A/B</x:v>
      </x:c>
      <x:c r="O106" s="118" t="str">
        <x:v>ME_NECP2025</x:v>
      </x:c>
      <x:c r="P106" s="118" t="str">
        <x:v>ME_NECP2025</x:v>
      </x:c>
      <x:c r="Q106" s="118" t="str">
        <x:v>MEM_ETX6R_ME_National_Closure_v1.1</x:v>
      </x:c>
      <x:c r="R106" s="118" t="n">
        <x:v>12</x:v>
      </x:c>
      <x:c r="S106" s="127" t="str">
        <x:v>Any later official offshore share must be reallocated within the wind total, not added on top.</x:v>
      </x:c>
    </x:row>
    <x:row r="107">
      <x:c r="A107" s="126" t="str">
        <x:v>ME</x:v>
      </x:c>
      <x:c r="B107" s="118" t="str">
        <x:v>Montenegro</x:v>
      </x:c>
      <x:c r="C107" s="118" t="str">
        <x:v>ME_NECP_WAM2025</x:v>
      </x:c>
      <x:c r="D107" s="118" t="str">
        <x:v>Geothermal electricity</x:v>
      </x:c>
      <x:c r="E107" s="118" t="str">
        <x:v>geothermal</x:v>
      </x:c>
      <x:c r="F107" s="118" t="str">
        <x:v>geothermal</x:v>
      </x:c>
      <x:c r="G107" s="118" t="str">
        <x:v>GW</x:v>
      </x:c>
      <x:c r="H107" s="143" t="n">
        <x:v>0</x:v>
      </x:c>
      <x:c r="I107" s="143" t="n">
        <x:v>0</x:v>
      </x:c>
      <x:c r="J107" s="118" t="str">
        <x:v>IMPLEMENT</x:v>
      </x:c>
      <x:c r="K107" s="118" t="str">
        <x:v>OFFICIAL_SCENARIO_ZERO</x:v>
      </x:c>
      <x:c r="L107" s="118" t="str">
        <x:v>A/B</x:v>
      </x:c>
      <x:c r="M107" s="118" t="str">
        <x:v>OFFICIAL_SCENARIO_ZERO</x:v>
      </x:c>
      <x:c r="N107" s="118" t="str">
        <x:v>A/B</x:v>
      </x:c>
      <x:c r="O107" s="118" t="str">
        <x:v>ME_NECP2025</x:v>
      </x:c>
      <x:c r="P107" s="118" t="str">
        <x:v>ME_NECP2025</x:v>
      </x:c>
      <x:c r="Q107" s="118" t="str">
        <x:v>MEM_ETX6R_ME_National_Closure_v1.1</x:v>
      </x:c>
      <x:c r="R107" s="118" t="n">
        <x:v>13</x:v>
      </x:c>
      <x:c r="S107" s="127" t="str">
        <x:v>Geothermal heat, if any, is outside the Stage-A generation fleet.</x:v>
      </x:c>
    </x:row>
    <x:row r="108">
      <x:c r="A108" s="126" t="str">
        <x:v>ME</x:v>
      </x:c>
      <x:c r="B108" s="118" t="str">
        <x:v>Montenegro</x:v>
      </x:c>
      <x:c r="C108" s="118" t="str">
        <x:v>ME_NECP_WAM2025</x:v>
      </x:c>
      <x:c r="D108" s="118" t="str">
        <x:v>Non-PHS hydro</x:v>
      </x:c>
      <x:c r="E108" s="118" t="str">
        <x:v>hydro_non_phs</x:v>
      </x:c>
      <x:c r="F108" s="118" t="str">
        <x:v>hydro_non_phs</x:v>
      </x:c>
      <x:c r="G108" s="118" t="str">
        <x:v>GW</x:v>
      </x:c>
      <x:c r="H108" s="143" t="n">
        <x:v>1.022604</x:v>
      </x:c>
      <x:c r="I108" s="143" t="n">
        <x:v>1.022604</x:v>
      </x:c>
      <x:c r="J108" s="118" t="str">
        <x:v>IMPLEMENT</x:v>
      </x:c>
      <x:c r="K108" s="118" t="str">
        <x:v>DERIVED_FROM_OFFICIAL_COMPONENTS</x:v>
      </x:c>
      <x:c r="L108" s="118" t="str">
        <x:v>B</x:v>
      </x:c>
      <x:c r="M108" s="118" t="str">
        <x:v>NATIONAL_TRAJECTORY_CARRY_FORWARD</x:v>
      </x:c>
      <x:c r="N108" s="118" t="str">
        <x:v>B</x:v>
      </x:c>
      <x:c r="O108" s="118" t="str">
        <x:v>ME_NECP2025</x:v>
      </x:c>
      <x:c r="P108" s="118" t="str">
        <x:v>ME_NECP2025</x:v>
      </x:c>
      <x:c r="Q108" s="118" t="str">
        <x:v>MEM_ETX6R_ME_National_Closure_v1.1</x:v>
      </x:c>
      <x:c r="R108" s="118" t="n">
        <x:v>14</x:v>
      </x:c>
      <x:c r="S108" s="127" t="str">
        <x:v>All selected-WAM hydro additions are completed before 2040; no later WAM hydro capacity addition is numerically specified. See ME-D02.</x:v>
      </x:c>
    </x:row>
    <x:row r="109">
      <x:c r="A109" s="126" t="str">
        <x:v>ME</x:v>
      </x:c>
      <x:c r="B109" s="118" t="str">
        <x:v>Montenegro</x:v>
      </x:c>
      <x:c r="C109" s="118" t="str">
        <x:v>ME_NECP_WAM2025</x:v>
      </x:c>
      <x:c r="D109" s="118" t="str">
        <x:v>PHS turbine / discharge</x:v>
      </x:c>
      <x:c r="E109" s="118" t="str">
        <x:v>phs_discharge</x:v>
      </x:c>
      <x:c r="F109" s="118" t="str">
        <x:v>phs_discharge_power</x:v>
      </x:c>
      <x:c r="G109" s="118" t="str">
        <x:v>GW</x:v>
      </x:c>
      <x:c r="H109" s="143" t="n">
        <x:v>0</x:v>
      </x:c>
      <x:c r="I109" s="143" t="n">
        <x:v>0</x:v>
      </x:c>
      <x:c r="J109" s="118" t="str">
        <x:v>IMPLEMENT_STORAGE_PAIR</x:v>
      </x:c>
      <x:c r="K109" s="118" t="str">
        <x:v>OFFICIAL_FLEET_AND_SCENARIO_ZERO</x:v>
      </x:c>
      <x:c r="L109" s="118" t="str">
        <x:v>A/B</x:v>
      </x:c>
      <x:c r="M109" s="118" t="str">
        <x:v>OFFICIAL_FLEET_AND_SCENARIO_ZERO</x:v>
      </x:c>
      <x:c r="N109" s="118" t="str">
        <x:v>A/B</x:v>
      </x:c>
      <x:c r="O109" s="118" t="str">
        <x:v>ME_NECP2025</x:v>
      </x:c>
      <x:c r="P109" s="118" t="str">
        <x:v>ME_NECP2025</x:v>
      </x:c>
      <x:c r="Q109" s="118" t="str">
        <x:v>MEM_ETX6R_ME_National_Closure_v1.1</x:v>
      </x:c>
      <x:c r="R109" s="118" t="n">
        <x:v>15</x:v>
      </x:c>
      <x:c r="S109" s="127" t="str">
        <x:v>Generic NECP references to pumped storage as a possible flexibility technology are not a project or capacity input.</x:v>
      </x:c>
    </x:row>
    <x:row r="110">
      <x:c r="A110" s="126" t="str">
        <x:v>ME</x:v>
      </x:c>
      <x:c r="B110" s="118" t="str">
        <x:v>Montenegro</x:v>
      </x:c>
      <x:c r="C110" s="118" t="str">
        <x:v>ME_NECP_WAM2025</x:v>
      </x:c>
      <x:c r="D110" s="118" t="str">
        <x:v>PHS pump / charge</x:v>
      </x:c>
      <x:c r="E110" s="118" t="str">
        <x:v>phs_charge</x:v>
      </x:c>
      <x:c r="F110" s="118" t="str">
        <x:v>phs_charge_power</x:v>
      </x:c>
      <x:c r="G110" s="118" t="str">
        <x:v>GW</x:v>
      </x:c>
      <x:c r="H110" s="143" t="n">
        <x:v>0</x:v>
      </x:c>
      <x:c r="I110" s="143" t="n">
        <x:v>0</x:v>
      </x:c>
      <x:c r="J110" s="118" t="str">
        <x:v>IMPLEMENT_STORAGE_PAIR</x:v>
      </x:c>
      <x:c r="K110" s="118" t="str">
        <x:v>OFFICIAL_FLEET_AND_SCENARIO_ZERO</x:v>
      </x:c>
      <x:c r="L110" s="118" t="str">
        <x:v>A/B</x:v>
      </x:c>
      <x:c r="M110" s="118" t="str">
        <x:v>OFFICIAL_FLEET_AND_SCENARIO_ZERO</x:v>
      </x:c>
      <x:c r="N110" s="118" t="str">
        <x:v>A/B</x:v>
      </x:c>
      <x:c r="O110" s="118" t="str">
        <x:v>ME_NECP2025</x:v>
      </x:c>
      <x:c r="P110" s="118" t="str">
        <x:v>ME_NECP2025</x:v>
      </x:c>
      <x:c r="Q110" s="118" t="str">
        <x:v>MEM_ETX6R_ME_National_Closure_v1.1</x:v>
      </x:c>
      <x:c r="R110" s="118" t="n">
        <x:v>16</x:v>
      </x:c>
      <x:c r="S110" s="127" t="str">
        <x:v>Pair with PHS turbine and energy zeros.</x:v>
      </x:c>
    </x:row>
    <x:row r="111">
      <x:c r="A111" s="126" t="str">
        <x:v>ME</x:v>
      </x:c>
      <x:c r="B111" s="118" t="str">
        <x:v>Montenegro</x:v>
      </x:c>
      <x:c r="C111" s="118" t="str">
        <x:v>ME_NECP_WAM2025</x:v>
      </x:c>
      <x:c r="D111" s="118" t="str">
        <x:v>PHS energy</x:v>
      </x:c>
      <x:c r="E111" s="118" t="str">
        <x:v>phs_energy</x:v>
      </x:c>
      <x:c r="F111" s="118" t="str">
        <x:v>phs_energy</x:v>
      </x:c>
      <x:c r="G111" s="118" t="str">
        <x:v>GWh</x:v>
      </x:c>
      <x:c r="H111" s="143" t="n">
        <x:v>0</x:v>
      </x:c>
      <x:c r="I111" s="143" t="n">
        <x:v>0</x:v>
      </x:c>
      <x:c r="J111" s="118" t="str">
        <x:v>IMPLEMENT_STORAGE_PAIR</x:v>
      </x:c>
      <x:c r="K111" s="118" t="str">
        <x:v>OFFICIAL_FLEET_AND_SCENARIO_ZERO</x:v>
      </x:c>
      <x:c r="L111" s="118" t="str">
        <x:v>A/B</x:v>
      </x:c>
      <x:c r="M111" s="118" t="str">
        <x:v>OFFICIAL_FLEET_AND_SCENARIO_ZERO</x:v>
      </x:c>
      <x:c r="N111" s="118" t="str">
        <x:v>A/B</x:v>
      </x:c>
      <x:c r="O111" s="118" t="str">
        <x:v>ME_NECP2025</x:v>
      </x:c>
      <x:c r="P111" s="118" t="str">
        <x:v>ME_NECP2025</x:v>
      </x:c>
      <x:c r="Q111" s="118" t="str">
        <x:v>MEM_ETX6R_ME_National_Closure_v1.1</x:v>
      </x:c>
      <x:c r="R111" s="118" t="n">
        <x:v>17</x:v>
      </x:c>
      <x:c r="S111" s="127" t="str">
        <x:v>Reservoir-hydro seasonal water/energy constraints remain a separate runtime chronology task and are not PHS energy.</x:v>
      </x:c>
    </x:row>
    <x:row r="112">
      <x:c r="A112" s="126" t="str">
        <x:v>ME</x:v>
      </x:c>
      <x:c r="B112" s="118" t="str">
        <x:v>Montenegro</x:v>
      </x:c>
      <x:c r="C112" s="118" t="str">
        <x:v>ME_NECP_WAM2025</x:v>
      </x:c>
      <x:c r="D112" s="118" t="str">
        <x:v>Grid BESS power</x:v>
      </x:c>
      <x:c r="E112" s="118" t="str">
        <x:v>battery_grid_power</x:v>
      </x:c>
      <x:c r="F112" s="118" t="str">
        <x:v>bess_grid_power</x:v>
      </x:c>
      <x:c r="G112" s="118" t="str">
        <x:v>GW</x:v>
      </x:c>
      <x:c r="H112" s="143" t="n">
        <x:v>0.24</x:v>
      </x:c>
      <x:c r="I112" s="143" t="n">
        <x:v>0.24</x:v>
      </x:c>
      <x:c r="J112" s="118" t="str">
        <x:v>IMPLEMENT_STORAGE_PAIR</x:v>
      </x:c>
      <x:c r="K112" s="118" t="str">
        <x:v>OFFICIAL_PROJECT_INPUT</x:v>
      </x:c>
      <x:c r="L112" s="118" t="str">
        <x:v>A</x:v>
      </x:c>
      <x:c r="M112" s="118" t="str">
        <x:v>NATIONAL_TRAJECTORY_CARRY_FORWARD</x:v>
      </x:c>
      <x:c r="N112" s="118" t="str">
        <x:v>B</x:v>
      </x:c>
      <x:c r="O112" s="118" t="str">
        <x:v>ME_NECP2025</x:v>
      </x:c>
      <x:c r="P112" s="118" t="str">
        <x:v>ME_LCDS2026</x:v>
      </x:c>
      <x:c r="Q112" s="118" t="str">
        <x:v>MEM_ETX6R_ME_National_Closure_v1.1</x:v>
      </x:c>
      <x:c r="R112" s="118" t="n">
        <x:v>18</x:v>
      </x:c>
      <x:c r="S112" s="127" t="str">
        <x:v>Carry the 240 MW stock to both model horizons. Distributed/prosumer batteries are required by some programmes but no aggregate MW/MWh is published; do not invent an additional fleet.</x:v>
      </x:c>
    </x:row>
    <x:row r="113">
      <x:c r="A113" s="126" t="str">
        <x:v>ME</x:v>
      </x:c>
      <x:c r="B113" s="118" t="str">
        <x:v>Montenegro</x:v>
      </x:c>
      <x:c r="C113" s="118" t="str">
        <x:v>ME_NECP_WAM2025</x:v>
      </x:c>
      <x:c r="D113" s="118" t="str">
        <x:v>Grid BESS energy</x:v>
      </x:c>
      <x:c r="E113" s="118" t="str">
        <x:v>battery_grid_energy</x:v>
      </x:c>
      <x:c r="F113" s="118" t="str">
        <x:v>bess_grid_energy</x:v>
      </x:c>
      <x:c r="G113" s="118" t="str">
        <x:v>GWh</x:v>
      </x:c>
      <x:c r="H113" s="143" t="n">
        <x:v>0.24</x:v>
      </x:c>
      <x:c r="I113" s="143" t="n">
        <x:v>0.24</x:v>
      </x:c>
      <x:c r="J113" s="118" t="str">
        <x:v>IMPLEMENT_STORAGE_PAIR</x:v>
      </x:c>
      <x:c r="K113" s="118" t="str">
        <x:v>OFFICIAL_PROJECT_INPUT</x:v>
      </x:c>
      <x:c r="L113" s="118" t="str">
        <x:v>A</x:v>
      </x:c>
      <x:c r="M113" s="118" t="str">
        <x:v>NATIONAL_TRAJECTORY_CARRY_FORWARD</x:v>
      </x:c>
      <x:c r="N113" s="118" t="str">
        <x:v>B</x:v>
      </x:c>
      <x:c r="O113" s="118" t="str">
        <x:v>ME_NECP2025</x:v>
      </x:c>
      <x:c r="P113" s="118" t="str">
        <x:v>ME_LCDS2026</x:v>
      </x:c>
      <x:c r="Q113" s="118" t="str">
        <x:v>MEM_ETX6R_ME_National_Closure_v1.1</x:v>
      </x:c>
      <x:c r="R113" s="118" t="n">
        <x:v>19</x:v>
      </x:c>
      <x:c r="S113" s="127" t="str">
        <x:v>Implied nominal duration = 1.0 h. Keep power and energy as one storage definition.</x:v>
      </x:c>
    </x:row>
    <x:row r="114">
      <x:c r="A114" s="126" t="str">
        <x:v>ME</x:v>
      </x:c>
      <x:c r="B114" s="118" t="str">
        <x:v>Montenegro</x:v>
      </x:c>
      <x:c r="C114" s="118" t="str">
        <x:v>ME_NECP_WAM2025</x:v>
      </x:c>
      <x:c r="D114" s="118" t="str">
        <x:v>Biomass / waste electricity excluding biogas</x:v>
      </x:c>
      <x:c r="E114" s="118" t="str">
        <x:v>biomass_waste</x:v>
      </x:c>
      <x:c r="F114" s="118" t="str">
        <x:v>bioenergy_biomass</x:v>
      </x:c>
      <x:c r="G114" s="118" t="str">
        <x:v>GW</x:v>
      </x:c>
      <x:c r="H114" s="143" t="n">
        <x:v>0</x:v>
      </x:c>
      <x:c r="I114" s="143" t="n">
        <x:v>0</x:v>
      </x:c>
      <x:c r="J114" s="118" t="str">
        <x:v>IMPLEMENT</x:v>
      </x:c>
      <x:c r="K114" s="118" t="str">
        <x:v>OFFICIAL_SCENARIO_ZERO</x:v>
      </x:c>
      <x:c r="L114" s="118" t="str">
        <x:v>B</x:v>
      </x:c>
      <x:c r="M114" s="118" t="str">
        <x:v>OFFICIAL_SCENARIO_ZERO</x:v>
      </x:c>
      <x:c r="N114" s="118" t="str">
        <x:v>B</x:v>
      </x:c>
      <x:c r="O114" s="118" t="str">
        <x:v>ME_NECP2025</x:v>
      </x:c>
      <x:c r="P114" s="118" t="str">
        <x:v>ME_NECP2025</x:v>
      </x:c>
      <x:c r="Q114" s="118" t="str">
        <x:v>MEM_ETX6R_ME_National_Closure_v1.1</x:v>
      </x:c>
      <x:c r="R114" s="118" t="n">
        <x:v>20</x:v>
      </x:c>
      <x:c r="S114" s="127" t="str">
        <x:v>Keep biogas separate because WAM does show non-zero biogas generation.</x:v>
      </x:c>
    </x:row>
    <x:row r="115">
      <x:c r="A115" s="126" t="str">
        <x:v>ME</x:v>
      </x:c>
      <x:c r="B115" s="118" t="str">
        <x:v>Montenegro</x:v>
      </x:c>
      <x:c r="C115" s="118" t="str">
        <x:v>ME_NECP_WAM2025</x:v>
      </x:c>
      <x:c r="D115" s="118" t="str">
        <x:v>Biogas electricity</x:v>
      </x:c>
      <x:c r="E115" s="118" t="str">
        <x:v>biogas</x:v>
      </x:c>
      <x:c r="F115" s="118" t="str">
        <x:v>bioenergy_biogas</x:v>
      </x:c>
      <x:c r="G115" s="118" t="str">
        <x:v>GW</x:v>
      </x:c>
      <x:c r="H115" s="143" t="n">
        <x:v>0.087</x:v>
      </x:c>
      <x:c r="I115" s="143" t="n">
        <x:v>0.087</x:v>
      </x:c>
      <x:c r="J115" s="118" t="str">
        <x:v>IMPLEMENT</x:v>
      </x:c>
      <x:c r="K115" s="118" t="str">
        <x:v>USER_FROZEN_OVERRIDE</x:v>
      </x:c>
      <x:c r="L115" s="118" t="str">
        <x:v>USER</x:v>
      </x:c>
      <x:c r="M115" s="118" t="str">
        <x:v>USER_FROZEN_OVERRIDE</x:v>
      </x:c>
      <x:c r="N115" s="118" t="str">
        <x:v>USER</x:v>
      </x:c>
      <x:c r="O115" s="118" t="str">
        <x:v>USER_OVERRIDE_20260911</x:v>
      </x:c>
      <x:c r="P115" s="118" t="str">
        <x:v>USER_OVERRIDE_20260911</x:v>
      </x:c>
      <x:c r="Q115" s="118" t="str">
        <x:v>MEM_ETX6R_ME_National_Closure_v1.1</x:v>
      </x:c>
      <x:c r="R115" s="118" t="n">
        <x:v>21</x:v>
      </x:c>
      <x:c r="S115" s="127" t="str">
        <x:v>Project-authority override. Retain the WAM evidence showing the technology is non-zero, but do not attribute the 87 MW value to the national source.</x:v>
      </x:c>
    </x:row>
    <x:row r="116">
      <x:c r="A116" s="126" t="str">
        <x:v>MT</x:v>
      </x:c>
      <x:c r="B116" s="118" t="str">
        <x:v>Malta</x:v>
      </x:c>
      <x:c r="C116" s="118" t="str">
        <x:v>MT_POLICY_BASE_WEM2025_SHIFT2026</x:v>
      </x:c>
      <x:c r="D116" s="118" t="str">
        <x:v>Annual electricity demand</x:v>
      </x:c>
      <x:c r="E116" s="118" t="str">
        <x:v>load</x:v>
      </x:c>
      <x:c r="F116" s="118" t="str">
        <x:v>demand</x:v>
      </x:c>
      <x:c r="G116" s="118" t="str">
        <x:v>TWh</x:v>
      </x:c>
      <x:c r="H116" s="143" t="n">
        <x:v>4.4</x:v>
      </x:c>
      <x:c r="I116" s="143" t="n">
        <x:v>4.4</x:v>
      </x:c>
      <x:c r="J116" s="118" t="str">
        <x:v>IMPLEMENT</x:v>
      </x:c>
      <x:c r="K116" s="118" t="str">
        <x:v>OFFICIAL_CHART_DERIVED</x:v>
      </x:c>
      <x:c r="L116" s="118" t="str">
        <x:v>C</x:v>
      </x:c>
      <x:c r="M116" s="118" t="str">
        <x:v>NATIONAL_METHOD_BRIDGE</x:v>
      </x:c>
      <x:c r="N116" s="118" t="str">
        <x:v>C</x:v>
      </x:c>
      <x:c r="O116" s="118" t="str">
        <x:v>MT_NECP2025</x:v>
      </x:c>
      <x:c r="P116" s="118" t="str">
        <x:v>MT_LCDS2021</x:v>
      </x:c>
      <x:c r="Q116" s="118" t="str">
        <x:v>MEM_ETX6R_MT_National_Closure_v1.0</x:v>
      </x:c>
      <x:c r="R116" s="118" t="n">
        <x:v>5</x:v>
      </x:c>
      <x:c r="S116" s="127" t="str">
        <x:v>2050 is not a direct 2026 demand forecast. Treat demand as sensitivity-priority C and update if Malta publishes a numerical 2050 load forecast.</x:v>
      </x:c>
    </x:row>
    <x:row r="117">
      <x:c r="A117" s="126" t="str">
        <x:v>MT</x:v>
      </x:c>
      <x:c r="B117" s="118" t="str">
        <x:v>Malta</x:v>
      </x:c>
      <x:c r="C117" s="118" t="str">
        <x:v>MT_POLICY_BASE_WEM2025_SHIFT2026</x:v>
      </x:c>
      <x:c r="D117" s="118" t="str">
        <x:v>Nuclear</x:v>
      </x:c>
      <x:c r="E117" s="118" t="str">
        <x:v>nuclear</x:v>
      </x:c>
      <x:c r="F117" s="118" t="str">
        <x:v>nuclear</x:v>
      </x:c>
      <x:c r="G117" s="118" t="str">
        <x:v>GW</x:v>
      </x:c>
      <x:c r="H117" s="143" t="n">
        <x:v>0</x:v>
      </x:c>
      <x:c r="I117" s="143" t="n">
        <x:v>0</x:v>
      </x:c>
      <x:c r="J117" s="118" t="str">
        <x:v>IMPLEMENT</x:v>
      </x:c>
      <x:c r="K117" s="118" t="str">
        <x:v>NATIONAL_TECHNOLOGY_ZERO</x:v>
      </x:c>
      <x:c r="L117" s="118" t="str">
        <x:v>A/B</x:v>
      </x:c>
      <x:c r="M117" s="118" t="str">
        <x:v>NATIONAL_TECHNOLOGY_ZERO</x:v>
      </x:c>
      <x:c r="N117" s="118" t="str">
        <x:v>A/B</x:v>
      </x:c>
      <x:c r="O117" s="118" t="str">
        <x:v>MT_ENERGY_SHIFT2026</x:v>
      </x:c>
      <x:c r="P117" s="118" t="str">
        <x:v>MT_ENERGY_SHIFT2026</x:v>
      </x:c>
      <x:c r="Q117" s="118" t="str">
        <x:v>MEM_ETX6R_MT_National_Closure_v1.0</x:v>
      </x:c>
      <x:c r="R117" s="118" t="n">
        <x:v>6</x:v>
      </x:c>
      <x:c r="S117" s="127" t="str">
        <x:v>Explicit Base zero.</x:v>
      </x:c>
    </x:row>
    <x:row r="118">
      <x:c r="A118" s="126" t="str">
        <x:v>MT</x:v>
      </x:c>
      <x:c r="B118" s="118" t="str">
        <x:v>Malta</x:v>
      </x:c>
      <x:c r="C118" s="118" t="str">
        <x:v>MT_POLICY_BASE_WEM2025_SHIFT2026</x:v>
      </x:c>
      <x:c r="D118" s="118" t="str">
        <x:v>Coal / lignite</x:v>
      </x:c>
      <x:c r="E118" s="118" t="str">
        <x:v>coal_lignite</x:v>
      </x:c>
      <x:c r="F118" s="118" t="str">
        <x:v>coal_lignite</x:v>
      </x:c>
      <x:c r="G118" s="118" t="str">
        <x:v>GW</x:v>
      </x:c>
      <x:c r="H118" s="143" t="n">
        <x:v>0</x:v>
      </x:c>
      <x:c r="I118" s="143" t="n">
        <x:v>0</x:v>
      </x:c>
      <x:c r="J118" s="118" t="str">
        <x:v>IMPLEMENT</x:v>
      </x:c>
      <x:c r="K118" s="118" t="str">
        <x:v>NATIONAL_TECHNOLOGY_ZERO</x:v>
      </x:c>
      <x:c r="L118" s="118" t="str">
        <x:v>A/B</x:v>
      </x:c>
      <x:c r="M118" s="118" t="str">
        <x:v>NATIONAL_TECHNOLOGY_ZERO</x:v>
      </x:c>
      <x:c r="N118" s="118" t="str">
        <x:v>A/B</x:v>
      </x:c>
      <x:c r="O118" s="118" t="str">
        <x:v>MT_NECP2025</x:v>
      </x:c>
      <x:c r="P118" s="118" t="str">
        <x:v>MT_NECP2025</x:v>
      </x:c>
      <x:c r="Q118" s="118" t="str">
        <x:v>MEM_ETX6R_MT_National_Closure_v1.0</x:v>
      </x:c>
      <x:c r="R118" s="118" t="n">
        <x:v>7</x:v>
      </x:c>
      <x:c r="S118" s="127" t="str">
        <x:v>Explicit Base zero.</x:v>
      </x:c>
    </x:row>
    <x:row r="119">
      <x:c r="A119" s="126" t="str">
        <x:v>MT</x:v>
      </x:c>
      <x:c r="B119" s="118" t="str">
        <x:v>Malta</x:v>
      </x:c>
      <x:c r="C119" s="118" t="str">
        <x:v>MT_POLICY_BASE_WEM2025_SHIFT2026</x:v>
      </x:c>
      <x:c r="D119" s="118" t="str">
        <x:v>Gas / dual-fuel thermal physical envelope</x:v>
      </x:c>
      <x:c r="E119" s="118" t="str">
        <x:v>gas_dual_fuel_thermal</x:v>
      </x:c>
      <x:c r="F119" s="118" t="str">
        <x:v>thermal_methane_gas</x:v>
      </x:c>
      <x:c r="G119" s="118" t="str">
        <x:v>GW</x:v>
      </x:c>
      <x:c r="H119" s="143" t="n">
        <x:v>0.3578</x:v>
      </x:c>
      <x:c r="I119" s="143" t="n">
        <x:v>0.3578</x:v>
      </x:c>
      <x:c r="J119" s="118" t="str">
        <x:v>IMPLEMENT_CARRIER_SPLIT</x:v>
      </x:c>
      <x:c r="K119" s="118" t="str">
        <x:v>DERIVED_FROM_OFFICIAL_COMPONENTS</x:v>
      </x:c>
      <x:c r="L119" s="118" t="str">
        <x:v>A/B</x:v>
      </x:c>
      <x:c r="M119" s="118" t="str">
        <x:v>NATIONAL_BACKUP_ENVELOPE_CARRY_FORWARD</x:v>
      </x:c>
      <x:c r="N119" s="118" t="str">
        <x:v>C</x:v>
      </x:c>
      <x:c r="O119" s="118" t="str">
        <x:v>MT_ENEMALTA_DPS</x:v>
      </x:c>
      <x:c r="P119" s="118" t="str">
        <x:v>MT_ENERGY_SHIFT2026</x:v>
      </x:c>
      <x:c r="Q119" s="118" t="str">
        <x:v>MEM_ETX6R_MT_National_Closure_v1.0</x:v>
      </x:c>
      <x:c r="R119" s="118" t="n">
        <x:v>9</x:v>
      </x:c>
      <x:c r="S119" s="127" t="str">
        <x:v>2050 value is a physical/replacement-equivalent capacity envelope, not fossil-methane lock-in. Map low-carbon/H2-compatible fuel at ETX-7 without adding capacity.</x:v>
      </x:c>
    </x:row>
    <x:row r="120">
      <x:c r="A120" s="126" t="str">
        <x:v>MT</x:v>
      </x:c>
      <x:c r="B120" s="118" t="str">
        <x:v>Malta</x:v>
      </x:c>
      <x:c r="C120" s="118" t="str">
        <x:v>MT_POLICY_BASE_WEM2025_SHIFT2026</x:v>
      </x:c>
      <x:c r="D120" s="118" t="str">
        <x:v>Liquid-fuel emergency backup envelope</x:v>
      </x:c>
      <x:c r="E120" s="118" t="str">
        <x:v>oil_liquid_backup</x:v>
      </x:c>
      <x:c r="F120" s="118" t="str">
        <x:v>thermal_oil_liquid</x:v>
      </x:c>
      <x:c r="G120" s="118" t="str">
        <x:v>GW</x:v>
      </x:c>
      <x:c r="H120" s="143" t="n">
        <x:v>0.18</x:v>
      </x:c>
      <x:c r="I120" s="143" t="n">
        <x:v>0.18</x:v>
      </x:c>
      <x:c r="J120" s="118" t="str">
        <x:v>IMPLEMENT_CARRIER_SPLIT</x:v>
      </x:c>
      <x:c r="K120" s="118" t="str">
        <x:v>DERIVED_FROM_OFFICIAL_COMPONENTS</x:v>
      </x:c>
      <x:c r="L120" s="118" t="str">
        <x:v>A/B</x:v>
      </x:c>
      <x:c r="M120" s="118" t="str">
        <x:v>NATIONAL_BACKUP_ENVELOPE_CARRY_FORWARD</x:v>
      </x:c>
      <x:c r="N120" s="118" t="str">
        <x:v>C</x:v>
      </x:c>
      <x:c r="O120" s="118" t="str">
        <x:v>MT_ENEMALTA_DPS</x:v>
      </x:c>
      <x:c r="P120" s="118" t="str">
        <x:v>MT_ENERGY_SHIFT2026</x:v>
      </x:c>
      <x:c r="Q120" s="118" t="str">
        <x:v>MEM_ETX6R_MT_National_Closure_v1.0</x:v>
      </x:c>
      <x:c r="R120" s="118" t="n">
        <x:v>12</x:v>
      </x:c>
      <x:c r="S120" s="127" t="str">
        <x:v>Treat as a replacement-equivalent emergency envelope at high marginal cost/availability constraints; do not assume the 1990s units literally survive unchanged to 2050.</x:v>
      </x:c>
    </x:row>
    <x:row r="121">
      <x:c r="A121" s="126" t="str">
        <x:v>MT</x:v>
      </x:c>
      <x:c r="B121" s="118" t="str">
        <x:v>Malta</x:v>
      </x:c>
      <x:c r="C121" s="118" t="str">
        <x:v>MT_POLICY_BASE_WEM2025_SHIFT2026</x:v>
      </x:c>
      <x:c r="D121" s="118" t="str">
        <x:v>Dedicated additional hydrogen thermal</x:v>
      </x:c>
      <x:c r="E121" s="118" t="str">
        <x:v>hydrogen_thermal_additional</x:v>
      </x:c>
      <x:c r="F121" s="118" t="str">
        <x:v>thermal_lowcarbon_gas_h2</x:v>
      </x:c>
      <x:c r="G121" s="118" t="str">
        <x:v>GW</x:v>
      </x:c>
      <x:c r="H121" s="143" t="n">
        <x:v>0</x:v>
      </x:c>
      <x:c r="I121" s="143" t="n">
        <x:v>0</x:v>
      </x:c>
      <x:c r="J121" s="118" t="str">
        <x:v>IMPLEMENT_CARRIER_SPLIT</x:v>
      </x:c>
      <x:c r="K121" s="118" t="str">
        <x:v>NATIONAL_POLICY_NO_FIXED_ADDITION</x:v>
      </x:c>
      <x:c r="L121" s="118" t="str">
        <x:v>B/C</x:v>
      </x:c>
      <x:c r="M121" s="118" t="str">
        <x:v>NATIONAL_POLICY_NO_FIXED_ADDITION</x:v>
      </x:c>
      <x:c r="N121" s="118" t="str">
        <x:v>B/C</x:v>
      </x:c>
      <x:c r="O121" s="118" t="str">
        <x:v>MT_ENERGY_SHIFT2026</x:v>
      </x:c>
      <x:c r="P121" s="118" t="str">
        <x:v>MT_ENERGY_SHIFT2026</x:v>
      </x:c>
      <x:c r="Q121" s="118" t="str">
        <x:v>MEM_ETX6R_MT_National_Closure_v1.0</x:v>
      </x:c>
      <x:c r="R121" s="118" t="n">
        <x:v>13</x:v>
      </x:c>
      <x:c r="S121" s="127" t="str">
        <x:v>Hydrogen is treated as future fuel substitution within the retained thermal envelope unless a later national plan publishes additional capacity.</x:v>
      </x:c>
    </x:row>
    <x:row r="122">
      <x:c r="A122" s="126" t="str">
        <x:v>MT</x:v>
      </x:c>
      <x:c r="B122" s="118" t="str">
        <x:v>Malta</x:v>
      </x:c>
      <x:c r="C122" s="118" t="str">
        <x:v>MT_POLICY_BASE_WEM2025_SHIFT2026</x:v>
      </x:c>
      <x:c r="D122" s="118" t="str">
        <x:v>Solar PV</x:v>
      </x:c>
      <x:c r="E122" s="118" t="str">
        <x:v>solar</x:v>
      </x:c>
      <x:c r="F122" s="118" t="str">
        <x:v>solar_pv</x:v>
      </x:c>
      <x:c r="G122" s="118" t="str">
        <x:v>GW</x:v>
      </x:c>
      <x:c r="H122" s="143" t="n">
        <x:v>0.35</x:v>
      </x:c>
      <x:c r="I122" s="143" t="n">
        <x:v>0.35</x:v>
      </x:c>
      <x:c r="J122" s="118" t="str">
        <x:v>IMPLEMENT</x:v>
      </x:c>
      <x:c r="K122" s="118" t="str">
        <x:v>NATIONAL_POLICY_CARRY_FORWARD</x:v>
      </x:c>
      <x:c r="L122" s="118" t="str">
        <x:v>B/C</x:v>
      </x:c>
      <x:c r="M122" s="118" t="str">
        <x:v>NATIONAL_POLICY_CARRY_FORWARD</x:v>
      </x:c>
      <x:c r="N122" s="118" t="str">
        <x:v>C</x:v>
      </x:c>
      <x:c r="O122" s="118" t="str">
        <x:v>MT_NECP2025</x:v>
      </x:c>
      <x:c r="P122" s="118" t="str">
        <x:v>MT_ENERGY_SHIFT2026</x:v>
      </x:c>
      <x:c r="Q122" s="118" t="str">
        <x:v>MEM_ETX6R_MT_National_Closure_v1.0</x:v>
      </x:c>
      <x:c r="R122" s="118" t="n">
        <x:v>15</x:v>
      </x:c>
      <x:c r="S122" s="127" t="str">
        <x:v>Use 350 MW as the conservative fixed-capacity Base in both horizons; do not invent an unquantified repowering uplift.</x:v>
      </x:c>
    </x:row>
    <x:row r="123">
      <x:c r="A123" s="126" t="str">
        <x:v>MT</x:v>
      </x:c>
      <x:c r="B123" s="118" t="str">
        <x:v>Malta</x:v>
      </x:c>
      <x:c r="C123" s="118" t="str">
        <x:v>MT_POLICY_BASE_WEM2025_SHIFT2026</x:v>
      </x:c>
      <x:c r="D123" s="118" t="str">
        <x:v>Onshore wind</x:v>
      </x:c>
      <x:c r="E123" s="118" t="str">
        <x:v>onwind</x:v>
      </x:c>
      <x:c r="F123" s="118" t="str">
        <x:v>wind_onshore</x:v>
      </x:c>
      <x:c r="G123" s="118" t="str">
        <x:v>GW</x:v>
      </x:c>
      <x:c r="H123" s="143" t="n">
        <x:v>0</x:v>
      </x:c>
      <x:c r="I123" s="143" t="n">
        <x:v>0</x:v>
      </x:c>
      <x:c r="J123" s="118" t="str">
        <x:v>IMPLEMENT</x:v>
      </x:c>
      <x:c r="K123" s="118" t="str">
        <x:v>GEOGRAPHIC_POLICY_ZERO</x:v>
      </x:c>
      <x:c r="L123" s="118" t="str">
        <x:v>A/B</x:v>
      </x:c>
      <x:c r="M123" s="118" t="str">
        <x:v>GEOGRAPHIC_POLICY_ZERO</x:v>
      </x:c>
      <x:c r="N123" s="118" t="str">
        <x:v>A/B</x:v>
      </x:c>
      <x:c r="O123" s="118" t="str">
        <x:v>MT_ENERGY_SHIFT2026</x:v>
      </x:c>
      <x:c r="P123" s="118" t="str">
        <x:v>MT_ENERGY_SHIFT2026</x:v>
      </x:c>
      <x:c r="Q123" s="118" t="str">
        <x:v>MEM_ETX6R_MT_National_Closure_v1.0</x:v>
      </x:c>
      <x:c r="R123" s="118" t="n">
        <x:v>16</x:v>
      </x:c>
      <x:c r="S123" s="127" t="str">
        <x:v>Explicit Base zero.</x:v>
      </x:c>
    </x:row>
    <x:row r="124">
      <x:c r="A124" s="126" t="str">
        <x:v>MT</x:v>
      </x:c>
      <x:c r="B124" s="118" t="str">
        <x:v>Malta</x:v>
      </x:c>
      <x:c r="C124" s="118" t="str">
        <x:v>MT_POLICY_BASE_WEM2025_SHIFT2026</x:v>
      </x:c>
      <x:c r="D124" s="118" t="str">
        <x:v>Offshore wind</x:v>
      </x:c>
      <x:c r="E124" s="118" t="str">
        <x:v>offwind</x:v>
      </x:c>
      <x:c r="F124" s="118" t="str">
        <x:v>wind_offshore</x:v>
      </x:c>
      <x:c r="G124" s="118" t="str">
        <x:v>GW</x:v>
      </x:c>
      <x:c r="H124" s="143" t="n">
        <x:v>0.3</x:v>
      </x:c>
      <x:c r="I124" s="143" t="n">
        <x:v>0.35</x:v>
      </x:c>
      <x:c r="J124" s="118" t="str">
        <x:v>IMPLEMENT</x:v>
      </x:c>
      <x:c r="K124" s="118" t="str">
        <x:v>OFFICIAL_PROJECT_BENCHMARK</x:v>
      </x:c>
      <x:c r="L124" s="118" t="str">
        <x:v>B</x:v>
      </x:c>
      <x:c r="M124" s="118" t="str">
        <x:v>OFFICIAL_POLICY_GOAL_MAPPING</x:v>
      </x:c>
      <x:c r="N124" s="118" t="str">
        <x:v>B</x:v>
      </x:c>
      <x:c r="O124" s="118" t="str">
        <x:v>MT_OFFSHORE_PROJECT2025</x:v>
      </x:c>
      <x:c r="P124" s="118" t="str">
        <x:v>MT_ENERGY_SHIFT2026</x:v>
      </x:c>
      <x:c r="Q124" s="118" t="str">
        <x:v>MEM_ETX6R_MT_National_Closure_v1.0</x:v>
      </x:c>
      <x:c r="R124" s="118" t="n">
        <x:v>17</x:v>
      </x:c>
      <x:c r="S124" s="127" t="str">
        <x:v>2040 uses the current project benchmark; 2050 maps the technology-neutral offshore goal to offshore wind. Any future offshore-solar share must be reallocated within the 350 MW goal, not added on top.</x:v>
      </x:c>
    </x:row>
    <x:row r="125">
      <x:c r="A125" s="126" t="str">
        <x:v>MT</x:v>
      </x:c>
      <x:c r="B125" s="118" t="str">
        <x:v>Malta</x:v>
      </x:c>
      <x:c r="C125" s="118" t="str">
        <x:v>MT_POLICY_BASE_WEM2025_SHIFT2026</x:v>
      </x:c>
      <x:c r="D125" s="118" t="str">
        <x:v>Geothermal electricity</x:v>
      </x:c>
      <x:c r="E125" s="118" t="str">
        <x:v>geothermal</x:v>
      </x:c>
      <x:c r="F125" s="118" t="str">
        <x:v>geothermal</x:v>
      </x:c>
      <x:c r="G125" s="118" t="str">
        <x:v>GW</x:v>
      </x:c>
      <x:c r="H125" s="143" t="n">
        <x:v>0</x:v>
      </x:c>
      <x:c r="I125" s="143" t="n">
        <x:v>0</x:v>
      </x:c>
      <x:c r="J125" s="118" t="str">
        <x:v>IMPLEMENT</x:v>
      </x:c>
      <x:c r="K125" s="118" t="str">
        <x:v>GEOGRAPHIC_TECHNOLOGY_ZERO</x:v>
      </x:c>
      <x:c r="L125" s="118" t="str">
        <x:v>A/B</x:v>
      </x:c>
      <x:c r="M125" s="118" t="str">
        <x:v>GEOGRAPHIC_TECHNOLOGY_ZERO</x:v>
      </x:c>
      <x:c r="N125" s="118" t="str">
        <x:v>A/B</x:v>
      </x:c>
      <x:c r="O125" s="118" t="str">
        <x:v>MT_ENERGY_SHIFT2026</x:v>
      </x:c>
      <x:c r="P125" s="118" t="str">
        <x:v>MT_ENERGY_SHIFT2026</x:v>
      </x:c>
      <x:c r="Q125" s="118" t="str">
        <x:v>MEM_ETX6R_MT_National_Closure_v1.0</x:v>
      </x:c>
      <x:c r="R125" s="118" t="n">
        <x:v>18</x:v>
      </x:c>
      <x:c r="S125" s="127" t="str">
        <x:v>Explicit Base zero.</x:v>
      </x:c>
    </x:row>
    <x:row r="126">
      <x:c r="A126" s="126" t="str">
        <x:v>MT</x:v>
      </x:c>
      <x:c r="B126" s="118" t="str">
        <x:v>Malta</x:v>
      </x:c>
      <x:c r="C126" s="118" t="str">
        <x:v>MT_POLICY_BASE_WEM2025_SHIFT2026</x:v>
      </x:c>
      <x:c r="D126" s="118" t="str">
        <x:v>Non-PHS hydro</x:v>
      </x:c>
      <x:c r="E126" s="118" t="str">
        <x:v>hydro_non_phs</x:v>
      </x:c>
      <x:c r="F126" s="118" t="str">
        <x:v>hydro_non_phs</x:v>
      </x:c>
      <x:c r="G126" s="118" t="str">
        <x:v>GW</x:v>
      </x:c>
      <x:c r="H126" s="143" t="n">
        <x:v>0</x:v>
      </x:c>
      <x:c r="I126" s="143" t="n">
        <x:v>0</x:v>
      </x:c>
      <x:c r="J126" s="118" t="str">
        <x:v>IMPLEMENT</x:v>
      </x:c>
      <x:c r="K126" s="118" t="str">
        <x:v>GEOGRAPHIC_TECHNOLOGY_ZERO</x:v>
      </x:c>
      <x:c r="L126" s="118" t="str">
        <x:v>A</x:v>
      </x:c>
      <x:c r="M126" s="118" t="str">
        <x:v>GEOGRAPHIC_TECHNOLOGY_ZERO</x:v>
      </x:c>
      <x:c r="N126" s="118" t="str">
        <x:v>A</x:v>
      </x:c>
      <x:c r="O126" s="118" t="str">
        <x:v>MT_ENERGY_SHIFT2026</x:v>
      </x:c>
      <x:c r="P126" s="118" t="str">
        <x:v>MT_ENERGY_SHIFT2026</x:v>
      </x:c>
      <x:c r="Q126" s="118" t="str">
        <x:v>MEM_ETX6R_MT_National_Closure_v1.0</x:v>
      </x:c>
      <x:c r="R126" s="118" t="n">
        <x:v>19</x:v>
      </x:c>
      <x:c r="S126" s="127" t="str">
        <x:v>Explicit Base zero.</x:v>
      </x:c>
    </x:row>
    <x:row r="127">
      <x:c r="A127" s="126" t="str">
        <x:v>MT</x:v>
      </x:c>
      <x:c r="B127" s="118" t="str">
        <x:v>Malta</x:v>
      </x:c>
      <x:c r="C127" s="118" t="str">
        <x:v>MT_POLICY_BASE_WEM2025_SHIFT2026</x:v>
      </x:c>
      <x:c r="D127" s="118" t="str">
        <x:v>PHS turbine / discharge</x:v>
      </x:c>
      <x:c r="E127" s="118" t="str">
        <x:v>phs_discharge</x:v>
      </x:c>
      <x:c r="F127" s="118" t="str">
        <x:v>phs_discharge_power</x:v>
      </x:c>
      <x:c r="G127" s="118" t="str">
        <x:v>GW</x:v>
      </x:c>
      <x:c r="H127" s="143" t="n">
        <x:v>0</x:v>
      </x:c>
      <x:c r="I127" s="143" t="n">
        <x:v>0</x:v>
      </x:c>
      <x:c r="J127" s="118" t="str">
        <x:v>IMPLEMENT_STORAGE_PAIR</x:v>
      </x:c>
      <x:c r="K127" s="118" t="str">
        <x:v>GEOGRAPHIC_TECHNOLOGY_ZERO</x:v>
      </x:c>
      <x:c r="L127" s="118" t="str">
        <x:v>A</x:v>
      </x:c>
      <x:c r="M127" s="118" t="str">
        <x:v>GEOGRAPHIC_TECHNOLOGY_ZERO</x:v>
      </x:c>
      <x:c r="N127" s="118" t="str">
        <x:v>A</x:v>
      </x:c>
      <x:c r="O127" s="118" t="str">
        <x:v>MT_ENERGY_SHIFT2026</x:v>
      </x:c>
      <x:c r="P127" s="118" t="str">
        <x:v>MT_ENERGY_SHIFT2026</x:v>
      </x:c>
      <x:c r="Q127" s="118" t="str">
        <x:v>MEM_ETX6R_MT_National_Closure_v1.0</x:v>
      </x:c>
      <x:c r="R127" s="118" t="n">
        <x:v>20</x:v>
      </x:c>
      <x:c r="S127" s="127" t="str">
        <x:v>Pair with zero pump power and zero energy.</x:v>
      </x:c>
    </x:row>
    <x:row r="128">
      <x:c r="A128" s="126" t="str">
        <x:v>MT</x:v>
      </x:c>
      <x:c r="B128" s="118" t="str">
        <x:v>Malta</x:v>
      </x:c>
      <x:c r="C128" s="118" t="str">
        <x:v>MT_POLICY_BASE_WEM2025_SHIFT2026</x:v>
      </x:c>
      <x:c r="D128" s="118" t="str">
        <x:v>PHS pump / charge</x:v>
      </x:c>
      <x:c r="E128" s="118" t="str">
        <x:v>phs_charge</x:v>
      </x:c>
      <x:c r="F128" s="118" t="str">
        <x:v>phs_charge_power</x:v>
      </x:c>
      <x:c r="G128" s="118" t="str">
        <x:v>GW</x:v>
      </x:c>
      <x:c r="H128" s="143" t="n">
        <x:v>0</x:v>
      </x:c>
      <x:c r="I128" s="143" t="n">
        <x:v>0</x:v>
      </x:c>
      <x:c r="J128" s="118" t="str">
        <x:v>IMPLEMENT_STORAGE_PAIR</x:v>
      </x:c>
      <x:c r="K128" s="118" t="str">
        <x:v>GEOGRAPHIC_TECHNOLOGY_ZERO</x:v>
      </x:c>
      <x:c r="L128" s="118" t="str">
        <x:v>A</x:v>
      </x:c>
      <x:c r="M128" s="118" t="str">
        <x:v>GEOGRAPHIC_TECHNOLOGY_ZERO</x:v>
      </x:c>
      <x:c r="N128" s="118" t="str">
        <x:v>A</x:v>
      </x:c>
      <x:c r="O128" s="118" t="str">
        <x:v>MT_ENERGY_SHIFT2026</x:v>
      </x:c>
      <x:c r="P128" s="118" t="str">
        <x:v>MT_ENERGY_SHIFT2026</x:v>
      </x:c>
      <x:c r="Q128" s="118" t="str">
        <x:v>MEM_ETX6R_MT_National_Closure_v1.0</x:v>
      </x:c>
      <x:c r="R128" s="118" t="n">
        <x:v>21</x:v>
      </x:c>
      <x:c r="S128" s="127" t="str">
        <x:v>Pair with zero turbine and energy.</x:v>
      </x:c>
    </x:row>
    <x:row r="129">
      <x:c r="A129" s="126" t="str">
        <x:v>MT</x:v>
      </x:c>
      <x:c r="B129" s="118" t="str">
        <x:v>Malta</x:v>
      </x:c>
      <x:c r="C129" s="118" t="str">
        <x:v>MT_POLICY_BASE_WEM2025_SHIFT2026</x:v>
      </x:c>
      <x:c r="D129" s="118" t="str">
        <x:v>PHS energy</x:v>
      </x:c>
      <x:c r="E129" s="118" t="str">
        <x:v>phs_energy</x:v>
      </x:c>
      <x:c r="F129" s="118" t="str">
        <x:v>phs_energy</x:v>
      </x:c>
      <x:c r="G129" s="118" t="str">
        <x:v>GWh</x:v>
      </x:c>
      <x:c r="H129" s="143" t="n">
        <x:v>0</x:v>
      </x:c>
      <x:c r="I129" s="143" t="n">
        <x:v>0</x:v>
      </x:c>
      <x:c r="J129" s="118" t="str">
        <x:v>IMPLEMENT_STORAGE_PAIR</x:v>
      </x:c>
      <x:c r="K129" s="118" t="str">
        <x:v>GEOGRAPHIC_TECHNOLOGY_ZERO</x:v>
      </x:c>
      <x:c r="L129" s="118" t="str">
        <x:v>A</x:v>
      </x:c>
      <x:c r="M129" s="118" t="str">
        <x:v>GEOGRAPHIC_TECHNOLOGY_ZERO</x:v>
      </x:c>
      <x:c r="N129" s="118" t="str">
        <x:v>A</x:v>
      </x:c>
      <x:c r="O129" s="118" t="str">
        <x:v>MT_ENERGY_SHIFT2026</x:v>
      </x:c>
      <x:c r="P129" s="118" t="str">
        <x:v>MT_ENERGY_SHIFT2026</x:v>
      </x:c>
      <x:c r="Q129" s="118" t="str">
        <x:v>MEM_ETX6R_MT_National_Closure_v1.0</x:v>
      </x:c>
      <x:c r="R129" s="118" t="n">
        <x:v>22</x:v>
      </x:c>
      <x:c r="S129" s="127" t="str">
        <x:v>Explicit Base zero.</x:v>
      </x:c>
    </x:row>
    <x:row r="130">
      <x:c r="A130" s="126" t="str">
        <x:v>MT</x:v>
      </x:c>
      <x:c r="B130" s="118" t="str">
        <x:v>Malta</x:v>
      </x:c>
      <x:c r="C130" s="118" t="str">
        <x:v>MT_POLICY_BASE_WEM2025_SHIFT2026</x:v>
      </x:c>
      <x:c r="D130" s="118" t="str">
        <x:v>Waste-to-energy</x:v>
      </x:c>
      <x:c r="E130" s="118" t="str">
        <x:v>waste_to_energy</x:v>
      </x:c>
      <x:c r="F130" s="118" t="str">
        <x:v>waste_chp</x:v>
      </x:c>
      <x:c r="G130" s="118" t="str">
        <x:v>GW</x:v>
      </x:c>
      <x:c r="H130" s="143" t="n">
        <x:v>0.02</x:v>
      </x:c>
      <x:c r="I130" s="143" t="n">
        <x:v>0.02</x:v>
      </x:c>
      <x:c r="J130" s="118" t="str">
        <x:v>IMPLEMENT</x:v>
      </x:c>
      <x:c r="K130" s="118" t="str">
        <x:v>OFFICIAL_PROJECT_INPUT</x:v>
      </x:c>
      <x:c r="L130" s="118" t="str">
        <x:v>A</x:v>
      </x:c>
      <x:c r="M130" s="118" t="str">
        <x:v>REPLACEMENT_EQUIVALENT_CARRY_FORWARD</x:v>
      </x:c>
      <x:c r="N130" s="118" t="str">
        <x:v>C</x:v>
      </x:c>
      <x:c r="O130" s="118" t="str">
        <x:v>MT_ENERGY_SHIFT2026</x:v>
      </x:c>
      <x:c r="P130" s="118" t="str">
        <x:v>MT_ENERGY_SHIFT2026</x:v>
      </x:c>
      <x:c r="Q130" s="118" t="str">
        <x:v>MEM_ETX6R_MT_National_Closure_v1.0</x:v>
      </x:c>
      <x:c r="R130" s="118" t="n">
        <x:v>23</x:v>
      </x:c>
      <x:c r="S130" s="127" t="str">
        <x:v>2040 uses the direct project capacity. 2050 assumes replacement-equivalent continuation of 20 MW rather than literal survival of the same plant; test retirement/replacement as a sensitivity.</x:v>
      </x:c>
    </x:row>
    <x:row r="131">
      <x:c r="A131" s="126" t="str">
        <x:v>MT</x:v>
      </x:c>
      <x:c r="B131" s="118" t="str">
        <x:v>Malta</x:v>
      </x:c>
      <x:c r="C131" s="118" t="str">
        <x:v>MT_POLICY_BASE_WEM2025_SHIFT2026</x:v>
      </x:c>
      <x:c r="D131" s="118" t="str">
        <x:v>Grid BESS power</x:v>
      </x:c>
      <x:c r="E131" s="118" t="str">
        <x:v>battery_grid_power</x:v>
      </x:c>
      <x:c r="F131" s="118" t="str">
        <x:v>bess_grid_power</x:v>
      </x:c>
      <x:c r="G131" s="118" t="str">
        <x:v>GW</x:v>
      </x:c>
      <x:c r="H131" s="143" t="n">
        <x:v>0.04</x:v>
      </x:c>
      <x:c r="I131" s="143" t="n">
        <x:v>0.04</x:v>
      </x:c>
      <x:c r="J131" s="118" t="str">
        <x:v>IMPLEMENT_STORAGE_PAIR</x:v>
      </x:c>
      <x:c r="K131" s="118" t="str">
        <x:v>OFFICIAL_PROJECT_INPUT</x:v>
      </x:c>
      <x:c r="L131" s="118" t="str">
        <x:v>A</x:v>
      </x:c>
      <x:c r="M131" s="118" t="str">
        <x:v>NATIONAL_PROJECT_CARRY_FORWARD</x:v>
      </x:c>
      <x:c r="N131" s="118" t="str">
        <x:v>B/C</x:v>
      </x:c>
      <x:c r="O131" s="118" t="str">
        <x:v>MT_ENERGY_SHIFT2026</x:v>
      </x:c>
      <x:c r="P131" s="118" t="str">
        <x:v>MT_ENERGY_SHIFT2026</x:v>
      </x:c>
      <x:c r="Q131" s="118" t="str">
        <x:v>MEM_ETX6R_MT_National_Closure_v1.0</x:v>
      </x:c>
      <x:c r="R131" s="118" t="n">
        <x:v>24</x:v>
      </x:c>
      <x:c r="S131" s="127" t="str">
        <x:v>The strategy plans more BESS but publishes no fixed later total. Base uses the firm 40 MW stock only; later expansion is a sensitivity.</x:v>
      </x:c>
    </x:row>
    <x:row r="132">
      <x:c r="A132" s="126" t="str">
        <x:v>MT</x:v>
      </x:c>
      <x:c r="B132" s="118" t="str">
        <x:v>Malta</x:v>
      </x:c>
      <x:c r="C132" s="118" t="str">
        <x:v>MT_POLICY_BASE_WEM2025_SHIFT2026</x:v>
      </x:c>
      <x:c r="D132" s="118" t="str">
        <x:v>Grid BESS energy</x:v>
      </x:c>
      <x:c r="E132" s="118" t="str">
        <x:v>battery_grid_energy</x:v>
      </x:c>
      <x:c r="F132" s="118" t="str">
        <x:v>bess_grid_energy</x:v>
      </x:c>
      <x:c r="G132" s="118" t="str">
        <x:v>GWh</x:v>
      </x:c>
      <x:c r="H132" s="143" t="n">
        <x:v>0.084</x:v>
      </x:c>
      <x:c r="I132" s="143" t="n">
        <x:v>0.084</x:v>
      </x:c>
      <x:c r="J132" s="118" t="str">
        <x:v>IMPLEMENT_STORAGE_PAIR</x:v>
      </x:c>
      <x:c r="K132" s="118" t="str">
        <x:v>OFFICIAL_PROJECT_INPUT</x:v>
      </x:c>
      <x:c r="L132" s="118" t="str">
        <x:v>A</x:v>
      </x:c>
      <x:c r="M132" s="118" t="str">
        <x:v>NATIONAL_PROJECT_CARRY_FORWARD</x:v>
      </x:c>
      <x:c r="N132" s="118" t="str">
        <x:v>B/C</x:v>
      </x:c>
      <x:c r="O132" s="118" t="str">
        <x:v>MT_ENERGY_SHIFT2026</x:v>
      </x:c>
      <x:c r="P132" s="118" t="str">
        <x:v>MT_ENERGY_SHIFT2026</x:v>
      </x:c>
      <x:c r="Q132" s="118" t="str">
        <x:v>MEM_ETX6R_MT_National_Closure_v1.0</x:v>
      </x:c>
      <x:c r="R132" s="118" t="n">
        <x:v>25</x:v>
      </x:c>
      <x:c r="S132" s="127" t="str">
        <x:v>Implied fleet duration = 2.1 h. Keep power and energy paired; later unquantified BESS is excluded from the Base.</x:v>
      </x:c>
    </x:row>
    <x:row r="133">
      <x:c r="A133" s="126" t="str">
        <x:v>TN</x:v>
      </x:c>
      <x:c r="B133" s="118" t="str">
        <x:v>Tunisia</x:v>
      </x:c>
      <x:c r="C133" s="118" t="str">
        <x:v>TN_BaC_NATIONAL_LONG_RUN</x:v>
      </x:c>
      <x:c r="D133" s="118" t="str">
        <x:v>Annual electricity system demand control</x:v>
      </x:c>
      <x:c r="E133" s="118" t="str">
        <x:v>load</x:v>
      </x:c>
      <x:c r="F133" s="118" t="str">
        <x:v>demand</x:v>
      </x:c>
      <x:c r="G133" s="118" t="str">
        <x:v>TWh</x:v>
      </x:c>
      <x:c r="H133" s="143" t="n">
        <x:v>43.333333333333336</x:v>
      </x:c>
      <x:c r="I133" s="143" t="n">
        <x:v>64.5</x:v>
      </x:c>
      <x:c r="J133" s="118" t="str">
        <x:v>IMPLEMENT</x:v>
      </x:c>
      <x:c r="K133" s="118" t="str">
        <x:v>DERIVED_FROM_OFFICIAL_SCENARIO_BALANCE</x:v>
      </x:c>
      <x:c r="L133" s="118" t="str">
        <x:v>B/C</x:v>
      </x:c>
      <x:c r="M133" s="118" t="str">
        <x:v>DERIVED_FROM_OFFICIAL_SCENARIO_BALANCE</x:v>
      </x:c>
      <x:c r="N133" s="118" t="str">
        <x:v>B/C</x:v>
      </x:c>
      <x:c r="O133" s="118" t="str">
        <x:v>TN_ANME_BAC2050</x:v>
      </x:c>
      <x:c r="P133" s="118" t="str">
        <x:v>TN_ANME_BAC2050</x:v>
      </x:c>
      <x:c r="Q133" s="118" t="str">
        <x:v>MEM_ETX6R_TN_National_Closure_v1.0</x:v>
      </x:c>
      <x:c r="R133" s="118" t="n">
        <x:v>5</x:v>
      </x:c>
      <x:c r="S133" s="127" t="str">
        <x:v>Closer to the system electricity perimeter than final-use only, but may embed transformation/export/network uses. Reconcile with explicit interfaces and any electrolysis treatment at ETX-7.</x:v>
      </x:c>
    </x:row>
    <x:row r="134">
      <x:c r="A134" s="126" t="str">
        <x:v>TN</x:v>
      </x:c>
      <x:c r="B134" s="118" t="str">
        <x:v>Tunisia</x:v>
      </x:c>
      <x:c r="C134" s="118" t="str">
        <x:v>TN_BaC_NATIONAL_LONG_RUN</x:v>
      </x:c>
      <x:c r="D134" s="118" t="str">
        <x:v>Nuclear</x:v>
      </x:c>
      <x:c r="E134" s="118" t="str">
        <x:v>nuclear</x:v>
      </x:c>
      <x:c r="F134" s="118" t="str">
        <x:v>nuclear</x:v>
      </x:c>
      <x:c r="G134" s="118" t="str">
        <x:v>GW</x:v>
      </x:c>
      <x:c r="H134" s="143" t="n">
        <x:v>0</x:v>
      </x:c>
      <x:c r="I134" s="143" t="n">
        <x:v>0</x:v>
      </x:c>
      <x:c r="J134" s="118" t="str">
        <x:v>IMPLEMENT</x:v>
      </x:c>
      <x:c r="K134" s="118" t="str">
        <x:v>NATIONAL_SCENARIO_TAXONOMY_ZERO</x:v>
      </x:c>
      <x:c r="L134" s="118" t="str">
        <x:v>A/B</x:v>
      </x:c>
      <x:c r="M134" s="118" t="str">
        <x:v>NATIONAL_SCENARIO_TAXONOMY_ZERO</x:v>
      </x:c>
      <x:c r="N134" s="118" t="str">
        <x:v>A/B</x:v>
      </x:c>
      <x:c r="O134" s="118" t="str">
        <x:v>TN_STRATEGY2035</x:v>
      </x:c>
      <x:c r="P134" s="118" t="str">
        <x:v>TN_STRATEGY2035</x:v>
      </x:c>
      <x:c r="Q134" s="118" t="str">
        <x:v>MEM_ETX6R_TN_National_Closure_v1.0</x:v>
      </x:c>
      <x:c r="R134" s="118" t="n">
        <x:v>7</x:v>
      </x:c>
      <x:c r="S134" s="127" t="str">
        <x:v>Explicit Base zero.</x:v>
      </x:c>
    </x:row>
    <x:row r="135">
      <x:c r="A135" s="126" t="str">
        <x:v>TN</x:v>
      </x:c>
      <x:c r="B135" s="118" t="str">
        <x:v>Tunisia</x:v>
      </x:c>
      <x:c r="C135" s="118" t="str">
        <x:v>TN_BaC_NATIONAL_LONG_RUN</x:v>
      </x:c>
      <x:c r="D135" s="118" t="str">
        <x:v>Coal / lignite</x:v>
      </x:c>
      <x:c r="E135" s="118" t="str">
        <x:v>coal_lignite</x:v>
      </x:c>
      <x:c r="F135" s="118" t="str">
        <x:v>coal_lignite</x:v>
      </x:c>
      <x:c r="G135" s="118" t="str">
        <x:v>GW</x:v>
      </x:c>
      <x:c r="H135" s="143" t="n">
        <x:v>0</x:v>
      </x:c>
      <x:c r="I135" s="143" t="n">
        <x:v>0</x:v>
      </x:c>
      <x:c r="J135" s="118" t="str">
        <x:v>IMPLEMENT</x:v>
      </x:c>
      <x:c r="K135" s="118" t="str">
        <x:v>NATIONAL_SCENARIO_TAXONOMY_ZERO</x:v>
      </x:c>
      <x:c r="L135" s="118" t="str">
        <x:v>A/B</x:v>
      </x:c>
      <x:c r="M135" s="118" t="str">
        <x:v>NATIONAL_SCENARIO_TAXONOMY_ZERO</x:v>
      </x:c>
      <x:c r="N135" s="118" t="str">
        <x:v>A/B</x:v>
      </x:c>
      <x:c r="O135" s="118" t="str">
        <x:v>TN_STRATEGY2035</x:v>
      </x:c>
      <x:c r="P135" s="118" t="str">
        <x:v>TN_STRATEGY2035</x:v>
      </x:c>
      <x:c r="Q135" s="118" t="str">
        <x:v>MEM_ETX6R_TN_National_Closure_v1.0</x:v>
      </x:c>
      <x:c r="R135" s="118" t="n">
        <x:v>8</x:v>
      </x:c>
      <x:c r="S135" s="127" t="str">
        <x:v>Explicit Base zero.</x:v>
      </x:c>
    </x:row>
    <x:row r="136">
      <x:c r="A136" s="126" t="str">
        <x:v>TN</x:v>
      </x:c>
      <x:c r="B136" s="118" t="str">
        <x:v>Tunisia</x:v>
      </x:c>
      <x:c r="C136" s="118" t="str">
        <x:v>TN_BaC_NATIONAL_LONG_RUN</x:v>
      </x:c>
      <x:c r="D136" s="118" t="str">
        <x:v>Dedicated oil / liquid-fuel thermal</x:v>
      </x:c>
      <x:c r="E136" s="118" t="str">
        <x:v>oil_liquid_dedicated</x:v>
      </x:c>
      <x:c r="F136" s="118" t="str">
        <x:v>thermal_oil_liquid</x:v>
      </x:c>
      <x:c r="G136" s="118" t="str">
        <x:v>GW</x:v>
      </x:c>
      <x:c r="H136" s="143" t="n">
        <x:v>0</x:v>
      </x:c>
      <x:c r="I136" s="143" t="n">
        <x:v>0</x:v>
      </x:c>
      <x:c r="J136" s="118" t="str">
        <x:v>IMPLEMENT</x:v>
      </x:c>
      <x:c r="K136" s="118" t="str">
        <x:v>NO_SEPARATE_DEDICATED_FLEET</x:v>
      </x:c>
      <x:c r="L136" s="118" t="str">
        <x:v>B/C</x:v>
      </x:c>
      <x:c r="M136" s="118" t="str">
        <x:v>NO_SEPARATE_DEDICATED_FLEET</x:v>
      </x:c>
      <x:c r="N136" s="118" t="str">
        <x:v>B/C</x:v>
      </x:c>
      <x:c r="O136" s="118" t="str">
        <x:v>TN_STEG2024</x:v>
      </x:c>
      <x:c r="P136" s="118" t="str">
        <x:v>TN_STEG2024</x:v>
      </x:c>
      <x:c r="Q136" s="118" t="str">
        <x:v>MEM_ETX6R_TN_National_Closure_v1.0</x:v>
      </x:c>
      <x:c r="R136" s="118" t="n">
        <x:v>9</x:v>
      </x:c>
      <x:c r="S136" s="127" t="str">
        <x:v>Do not double-count backup-fuel capability as extra MW.</x:v>
      </x:c>
    </x:row>
    <x:row r="137">
      <x:c r="A137" s="126" t="str">
        <x:v>TN</x:v>
      </x:c>
      <x:c r="B137" s="118" t="str">
        <x:v>Tunisia</x:v>
      </x:c>
      <x:c r="C137" s="118" t="str">
        <x:v>TN_BaC_NATIONAL_LONG_RUN</x:v>
      </x:c>
      <x:c r="D137" s="118" t="str">
        <x:v>Gas-dominant conventional thermal total</x:v>
      </x:c>
      <x:c r="E137" s="118" t="str">
        <x:v>gas_dominant_thermal</x:v>
      </x:c>
      <x:c r="F137" s="118" t="str">
        <x:v>thermal_methane_gas</x:v>
      </x:c>
      <x:c r="G137" s="118" t="str">
        <x:v>GW</x:v>
      </x:c>
      <x:c r="H137" s="143" t="n">
        <x:v>5.645</x:v>
      </x:c>
      <x:c r="I137" s="143" t="n">
        <x:v>5.645</x:v>
      </x:c>
      <x:c r="J137" s="118" t="str">
        <x:v>IMPLEMENT_TOTAL</x:v>
      </x:c>
      <x:c r="K137" s="118" t="str">
        <x:v>NATIONAL_EXISTING_FLEET_REPLACEMENT_EQUIVALENT</x:v>
      </x:c>
      <x:c r="L137" s="118" t="str">
        <x:v>C</x:v>
      </x:c>
      <x:c r="M137" s="118" t="str">
        <x:v>NATIONAL_EXISTING_FLEET_REPLACEMENT_EQUIVALENT</x:v>
      </x:c>
      <x:c r="N137" s="118" t="str">
        <x:v>C</x:v>
      </x:c>
      <x:c r="O137" s="118" t="str">
        <x:v>TN_STEG2024</x:v>
      </x:c>
      <x:c r="P137" s="118" t="str">
        <x:v>TN_STEG2024</x:v>
      </x:c>
      <x:c r="Q137" s="118" t="str">
        <x:v>MEM_ETX6R_TN_National_Closure_v1.0</x:v>
      </x:c>
      <x:c r="R137" s="118" t="n">
        <x:v>10</x:v>
      </x:c>
      <x:c r="S137" s="127" t="str">
        <x:v>Use as a replacement-equivalent adequacy/flexibility envelope, not a claim that every current unit survives unchanged. Future fuel/retirement mapping belongs to ETX-7.</x:v>
      </x:c>
    </x:row>
    <x:row r="138">
      <x:c r="A138" s="126" t="str">
        <x:v>TN</x:v>
      </x:c>
      <x:c r="B138" s="118" t="str">
        <x:v>Tunisia</x:v>
      </x:c>
      <x:c r="C138" s="118" t="str">
        <x:v>TN_BaC_NATIONAL_LONG_RUN</x:v>
      </x:c>
      <x:c r="D138" s="118" t="str">
        <x:v>Dedicated additional hydrogen thermal</x:v>
      </x:c>
      <x:c r="E138" s="118" t="str">
        <x:v>hydrogen_thermal_additional</x:v>
      </x:c>
      <x:c r="F138" s="118" t="str">
        <x:v>thermal_lowcarbon_gas_h2</x:v>
      </x:c>
      <x:c r="G138" s="118" t="str">
        <x:v>GW</x:v>
      </x:c>
      <x:c r="H138" s="143" t="n">
        <x:v>0</x:v>
      </x:c>
      <x:c r="I138" s="143" t="n">
        <x:v>0</x:v>
      </x:c>
      <x:c r="J138" s="118" t="str">
        <x:v>IMPLEMENT</x:v>
      </x:c>
      <x:c r="K138" s="118" t="str">
        <x:v>NATIONAL_POLICY_NO_FIXED_ADDITION</x:v>
      </x:c>
      <x:c r="L138" s="118" t="str">
        <x:v>B</x:v>
      </x:c>
      <x:c r="M138" s="118" t="str">
        <x:v>NATIONAL_POLICY_NO_FIXED_ADDITION</x:v>
      </x:c>
      <x:c r="N138" s="118" t="str">
        <x:v>B</x:v>
      </x:c>
      <x:c r="O138" s="118" t="str">
        <x:v>TN_STRATEGY2035</x:v>
      </x:c>
      <x:c r="P138" s="118" t="str">
        <x:v>TN_STRATEGY2035</x:v>
      </x:c>
      <x:c r="Q138" s="118" t="str">
        <x:v>MEM_ETX6R_TN_National_Closure_v1.0</x:v>
      </x:c>
      <x:c r="R138" s="118" t="n">
        <x:v>14</x:v>
      </x:c>
      <x:c r="S138" s="127" t="str">
        <x:v>Any later H2-compatible power generation should substitute fuel within the thermal envelope unless a new official capacity is published.</x:v>
      </x:c>
    </x:row>
    <x:row r="139">
      <x:c r="A139" s="126" t="str">
        <x:v>TN</x:v>
      </x:c>
      <x:c r="B139" s="118" t="str">
        <x:v>Tunisia</x:v>
      </x:c>
      <x:c r="C139" s="118" t="str">
        <x:v>TN_BaC_NATIONAL_LONG_RUN</x:v>
      </x:c>
      <x:c r="D139" s="118" t="str">
        <x:v>Solar PV</x:v>
      </x:c>
      <x:c r="E139" s="118" t="str">
        <x:v>solar</x:v>
      </x:c>
      <x:c r="F139" s="118" t="str">
        <x:v>solar_pv</x:v>
      </x:c>
      <x:c r="G139" s="118" t="str">
        <x:v>GW</x:v>
      </x:c>
      <x:c r="H139" s="143" t="n">
        <x:v>6.1</x:v>
      </x:c>
      <x:c r="I139" s="143" t="n">
        <x:v>14.396</x:v>
      </x:c>
      <x:c r="J139" s="118" t="str">
        <x:v>IMPLEMENT</x:v>
      </x:c>
      <x:c r="K139" s="118" t="str">
        <x:v>OFFICIAL_SCENARIO_INPUT</x:v>
      </x:c>
      <x:c r="L139" s="118" t="str">
        <x:v>A</x:v>
      </x:c>
      <x:c r="M139" s="118" t="str">
        <x:v>OFFICIAL_SCENARIO_INPUT</x:v>
      </x:c>
      <x:c r="N139" s="118" t="str">
        <x:v>A</x:v>
      </x:c>
      <x:c r="O139" s="118" t="str">
        <x:v>TN_ANME_BAC2050</x:v>
      </x:c>
      <x:c r="P139" s="118" t="str">
        <x:v>TN_ANME_BAC2050</x:v>
      </x:c>
      <x:c r="Q139" s="118" t="str">
        <x:v>MEM_ETX6R_TN_National_Closure_v1.0</x:v>
      </x:c>
      <x:c r="R139" s="118" t="n">
        <x:v>15</x:v>
      </x:c>
      <x:c r="S139" s="127" t="str">
        <x:v>Bazma's 300 MW PV is a project inside this aggregate trajectory; do not add it separately.</x:v>
      </x:c>
    </x:row>
    <x:row r="140">
      <x:c r="A140" s="126" t="str">
        <x:v>TN</x:v>
      </x:c>
      <x:c r="B140" s="118" t="str">
        <x:v>Tunisia</x:v>
      </x:c>
      <x:c r="C140" s="118" t="str">
        <x:v>TN_BaC_NATIONAL_LONG_RUN</x:v>
      </x:c>
      <x:c r="D140" s="118" t="str">
        <x:v>CSP</x:v>
      </x:c>
      <x:c r="E140" s="118" t="str">
        <x:v>csp</x:v>
      </x:c>
      <x:c r="F140" s="118" t="str">
        <x:v>solar_csp</x:v>
      </x:c>
      <x:c r="G140" s="118" t="str">
        <x:v>GW</x:v>
      </x:c>
      <x:c r="H140" s="143" t="n">
        <x:v>0.75</x:v>
      </x:c>
      <x:c r="I140" s="143" t="n">
        <x:v>1.35</x:v>
      </x:c>
      <x:c r="J140" s="118" t="str">
        <x:v>IMPLEMENT</x:v>
      </x:c>
      <x:c r="K140" s="118" t="str">
        <x:v>OFFICIAL_SCENARIO_INPUT</x:v>
      </x:c>
      <x:c r="L140" s="118" t="str">
        <x:v>A</x:v>
      </x:c>
      <x:c r="M140" s="118" t="str">
        <x:v>OFFICIAL_SCENARIO_INPUT</x:v>
      </x:c>
      <x:c r="N140" s="118" t="str">
        <x:v>A</x:v>
      </x:c>
      <x:c r="O140" s="118" t="str">
        <x:v>TN_ANME_BAC2050</x:v>
      </x:c>
      <x:c r="P140" s="118" t="str">
        <x:v>TN_ANME_BAC2050</x:v>
      </x:c>
      <x:c r="Q140" s="118" t="str">
        <x:v>MEM_ETX6R_TN_National_Closure_v1.0</x:v>
      </x:c>
      <x:c r="R140" s="118" t="n">
        <x:v>16</x:v>
      </x:c>
      <x:c r="S140" s="127" t="str">
        <x:v>No separate thermal-storage GWh is published in the national trajectory; model CSP according to the Stage-A technology convention.</x:v>
      </x:c>
    </x:row>
    <x:row r="141">
      <x:c r="A141" s="126" t="str">
        <x:v>TN</x:v>
      </x:c>
      <x:c r="B141" s="118" t="str">
        <x:v>Tunisia</x:v>
      </x:c>
      <x:c r="C141" s="118" t="str">
        <x:v>TN_BaC_NATIONAL_LONG_RUN</x:v>
      </x:c>
      <x:c r="D141" s="118" t="str">
        <x:v>Onshore wind</x:v>
      </x:c>
      <x:c r="E141" s="118" t="str">
        <x:v>onwind</x:v>
      </x:c>
      <x:c r="F141" s="118" t="str">
        <x:v>wind_onshore</x:v>
      </x:c>
      <x:c r="G141" s="118" t="str">
        <x:v>GW</x:v>
      </x:c>
      <x:c r="H141" s="143" t="n">
        <x:v>3.32</x:v>
      </x:c>
      <x:c r="I141" s="143" t="n">
        <x:v>4.26</x:v>
      </x:c>
      <x:c r="J141" s="118" t="str">
        <x:v>IMPLEMENT</x:v>
      </x:c>
      <x:c r="K141" s="118" t="str">
        <x:v>OFFICIAL_SCENARIO_INPUT</x:v>
      </x:c>
      <x:c r="L141" s="118" t="str">
        <x:v>A</x:v>
      </x:c>
      <x:c r="M141" s="118" t="str">
        <x:v>OFFICIAL_SCENARIO_INPUT</x:v>
      </x:c>
      <x:c r="N141" s="118" t="str">
        <x:v>A</x:v>
      </x:c>
      <x:c r="O141" s="118" t="str">
        <x:v>TN_ANME_BAC2050</x:v>
      </x:c>
      <x:c r="P141" s="118" t="str">
        <x:v>TN_ANME_BAC2050</x:v>
      </x:c>
      <x:c r="Q141" s="118" t="str">
        <x:v>MEM_ETX6R_TN_National_Closure_v1.0</x:v>
      </x:c>
      <x:c r="R141" s="118" t="n">
        <x:v>17</x:v>
      </x:c>
      <x:c r="S141" s="127" t="str">
        <x:v>Do not replace with stale TYNDP cached values.</x:v>
      </x:c>
    </x:row>
    <x:row r="142">
      <x:c r="A142" s="126" t="str">
        <x:v>TN</x:v>
      </x:c>
      <x:c r="B142" s="118" t="str">
        <x:v>Tunisia</x:v>
      </x:c>
      <x:c r="C142" s="118" t="str">
        <x:v>TN_BaC_NATIONAL_LONG_RUN</x:v>
      </x:c>
      <x:c r="D142" s="118" t="str">
        <x:v>Offshore wind</x:v>
      </x:c>
      <x:c r="E142" s="118" t="str">
        <x:v>offwind</x:v>
      </x:c>
      <x:c r="F142" s="118" t="str">
        <x:v>wind_offshore</x:v>
      </x:c>
      <x:c r="G142" s="118" t="str">
        <x:v>GW</x:v>
      </x:c>
      <x:c r="H142" s="143" t="n">
        <x:v>0.2</x:v>
      </x:c>
      <x:c r="I142" s="143" t="n">
        <x:v>1.4</x:v>
      </x:c>
      <x:c r="J142" s="118" t="str">
        <x:v>IMPLEMENT</x:v>
      </x:c>
      <x:c r="K142" s="118" t="str">
        <x:v>OFFICIAL_SCENARIO_INPUT</x:v>
      </x:c>
      <x:c r="L142" s="118" t="str">
        <x:v>A</x:v>
      </x:c>
      <x:c r="M142" s="118" t="str">
        <x:v>OFFICIAL_SCENARIO_INPUT</x:v>
      </x:c>
      <x:c r="N142" s="118" t="str">
        <x:v>A</x:v>
      </x:c>
      <x:c r="O142" s="118" t="str">
        <x:v>TN_ANME_BAC2050</x:v>
      </x:c>
      <x:c r="P142" s="118" t="str">
        <x:v>TN_ANME_BAC2050</x:v>
      </x:c>
      <x:c r="Q142" s="118" t="str">
        <x:v>MEM_ETX6R_TN_National_Closure_v1.0</x:v>
      </x:c>
      <x:c r="R142" s="118" t="n">
        <x:v>18</x:v>
      </x:c>
      <x:c r="S142" s="127" t="str">
        <x:v>Keep separate from onshore wind.</x:v>
      </x:c>
    </x:row>
    <x:row r="143">
      <x:c r="A143" s="126" t="str">
        <x:v>TN</x:v>
      </x:c>
      <x:c r="B143" s="118" t="str">
        <x:v>Tunisia</x:v>
      </x:c>
      <x:c r="C143" s="118" t="str">
        <x:v>TN_BaC_NATIONAL_LONG_RUN</x:v>
      </x:c>
      <x:c r="D143" s="118" t="str">
        <x:v>Biomass electricity</x:v>
      </x:c>
      <x:c r="E143" s="118" t="str">
        <x:v>biomass</x:v>
      </x:c>
      <x:c r="F143" s="118" t="str">
        <x:v>bioenergy_biomass</x:v>
      </x:c>
      <x:c r="G143" s="118" t="str">
        <x:v>GW</x:v>
      </x:c>
      <x:c r="H143" s="143" t="n">
        <x:v>0.085</x:v>
      </x:c>
      <x:c r="I143" s="143" t="n">
        <x:v>0.12</x:v>
      </x:c>
      <x:c r="J143" s="118" t="str">
        <x:v>IMPLEMENT</x:v>
      </x:c>
      <x:c r="K143" s="118" t="str">
        <x:v>OFFICIAL_SCENARIO_INPUT</x:v>
      </x:c>
      <x:c r="L143" s="118" t="str">
        <x:v>A</x:v>
      </x:c>
      <x:c r="M143" s="118" t="str">
        <x:v>OFFICIAL_SCENARIO_INPUT</x:v>
      </x:c>
      <x:c r="N143" s="118" t="str">
        <x:v>A</x:v>
      </x:c>
      <x:c r="O143" s="118" t="str">
        <x:v>TN_ANME_BAC2050</x:v>
      </x:c>
      <x:c r="P143" s="118" t="str">
        <x:v>TN_ANME_BAC2050</x:v>
      </x:c>
      <x:c r="Q143" s="118" t="str">
        <x:v>MEM_ETX6R_TN_National_Closure_v1.0</x:v>
      </x:c>
      <x:c r="R143" s="118" t="n">
        <x:v>19</x:v>
      </x:c>
      <x:c r="S143" s="127" t="str">
        <x:v>Generic biomass category; no unsupported split into waste/biogas subcarriers.</x:v>
      </x:c>
    </x:row>
    <x:row r="144">
      <x:c r="A144" s="126" t="str">
        <x:v>TN</x:v>
      </x:c>
      <x:c r="B144" s="118" t="str">
        <x:v>Tunisia</x:v>
      </x:c>
      <x:c r="C144" s="118" t="str">
        <x:v>TN_BaC_NATIONAL_LONG_RUN</x:v>
      </x:c>
      <x:c r="D144" s="118" t="str">
        <x:v>Geothermal electricity</x:v>
      </x:c>
      <x:c r="E144" s="118" t="str">
        <x:v>geothermal</x:v>
      </x:c>
      <x:c r="F144" s="118" t="str">
        <x:v>geothermal</x:v>
      </x:c>
      <x:c r="G144" s="118" t="str">
        <x:v>GW</x:v>
      </x:c>
      <x:c r="H144" s="143" t="n">
        <x:v>0</x:v>
      </x:c>
      <x:c r="I144" s="143" t="n">
        <x:v>0</x:v>
      </x:c>
      <x:c r="J144" s="118" t="str">
        <x:v>IMPLEMENT</x:v>
      </x:c>
      <x:c r="K144" s="118" t="str">
        <x:v>NATIONAL_SCENARIO_TAXONOMY_ZERO</x:v>
      </x:c>
      <x:c r="L144" s="118" t="str">
        <x:v>B</x:v>
      </x:c>
      <x:c r="M144" s="118" t="str">
        <x:v>NATIONAL_SCENARIO_TAXONOMY_ZERO</x:v>
      </x:c>
      <x:c r="N144" s="118" t="str">
        <x:v>B</x:v>
      </x:c>
      <x:c r="O144" s="118" t="str">
        <x:v>TN_ANME_BAC2050</x:v>
      </x:c>
      <x:c r="P144" s="118" t="str">
        <x:v>TN_ANME_BAC2050</x:v>
      </x:c>
      <x:c r="Q144" s="118" t="str">
        <x:v>MEM_ETX6R_TN_National_Closure_v1.0</x:v>
      </x:c>
      <x:c r="R144" s="118" t="n">
        <x:v>20</x:v>
      </x:c>
      <x:c r="S144" s="127" t="str">
        <x:v>Explicit Base zero.</x:v>
      </x:c>
    </x:row>
    <x:row r="145">
      <x:c r="A145" s="126" t="str">
        <x:v>TN</x:v>
      </x:c>
      <x:c r="B145" s="118" t="str">
        <x:v>Tunisia</x:v>
      </x:c>
      <x:c r="C145" s="118" t="str">
        <x:v>TN_BaC_NATIONAL_LONG_RUN</x:v>
      </x:c>
      <x:c r="D145" s="118" t="str">
        <x:v>Non-PHS hydro</x:v>
      </x:c>
      <x:c r="E145" s="118" t="str">
        <x:v>hydro_non_phs</x:v>
      </x:c>
      <x:c r="F145" s="118" t="str">
        <x:v>hydro_non_phs</x:v>
      </x:c>
      <x:c r="G145" s="118" t="str">
        <x:v>GW</x:v>
      </x:c>
      <x:c r="H145" s="143" t="n">
        <x:v>0.062</x:v>
      </x:c>
      <x:c r="I145" s="143" t="n">
        <x:v>0.062</x:v>
      </x:c>
      <x:c r="J145" s="118" t="str">
        <x:v>IMPLEMENT</x:v>
      </x:c>
      <x:c r="K145" s="118" t="str">
        <x:v>OFFICIAL_EXISTING_FLEET_CARRY_FORWARD</x:v>
      </x:c>
      <x:c r="L145" s="118" t="str">
        <x:v>B</x:v>
      </x:c>
      <x:c r="M145" s="118" t="str">
        <x:v>OFFICIAL_EXISTING_FLEET_CARRY_FORWARD</x:v>
      </x:c>
      <x:c r="N145" s="118" t="str">
        <x:v>C</x:v>
      </x:c>
      <x:c r="O145" s="118" t="str">
        <x:v>TN_STEG2024</x:v>
      </x:c>
      <x:c r="P145" s="118" t="str">
        <x:v>TN_STEG2024</x:v>
      </x:c>
      <x:c r="Q145" s="118" t="str">
        <x:v>MEM_ETX6R_TN_National_Closure_v1.0</x:v>
      </x:c>
      <x:c r="R145" s="118" t="n">
        <x:v>21</x:v>
      </x:c>
      <x:c r="S145" s="127" t="str">
        <x:v>Carry current hydro stock; do not merge it with Oued El Maleh PHS.</x:v>
      </x:c>
    </x:row>
    <x:row r="146">
      <x:c r="A146" s="126" t="str">
        <x:v>TN</x:v>
      </x:c>
      <x:c r="B146" s="118" t="str">
        <x:v>Tunisia</x:v>
      </x:c>
      <x:c r="C146" s="118" t="str">
        <x:v>TN_BaC_NATIONAL_LONG_RUN</x:v>
      </x:c>
      <x:c r="D146" s="118" t="str">
        <x:v>PHS turbine / discharge</x:v>
      </x:c>
      <x:c r="E146" s="118" t="str">
        <x:v>phs_discharge</x:v>
      </x:c>
      <x:c r="F146" s="118" t="str">
        <x:v>phs_discharge_power</x:v>
      </x:c>
      <x:c r="G146" s="118" t="str">
        <x:v>GW</x:v>
      </x:c>
      <x:c r="H146" s="143" t="n">
        <x:v>0.4</x:v>
      </x:c>
      <x:c r="I146" s="143" t="n">
        <x:v>0.4</x:v>
      </x:c>
      <x:c r="J146" s="118" t="str">
        <x:v>IMPLEMENT_STORAGE_PAIR</x:v>
      </x:c>
      <x:c r="K146" s="118" t="str">
        <x:v>OFFICIAL_PROJECT_RANGE_LOWER_BOUND</x:v>
      </x:c>
      <x:c r="L146" s="118" t="str">
        <x:v>B/C</x:v>
      </x:c>
      <x:c r="M146" s="118" t="str">
        <x:v>NATIONAL_PROJECT_CARRY_FORWARD</x:v>
      </x:c>
      <x:c r="N146" s="118" t="str">
        <x:v>C</x:v>
      </x:c>
      <x:c r="O146" s="118" t="str">
        <x:v>TN_STEG2011_TN_STRATEGY2035</x:v>
      </x:c>
      <x:c r="P146" s="118" t="str">
        <x:v>TN_STEG2011_TN_STRATEGY2035</x:v>
      </x:c>
      <x:c r="Q146" s="118" t="str">
        <x:v>MEM_ETX6R_TN_National_Closure_v1.0</x:v>
      </x:c>
      <x:c r="R146" s="118" t="n">
        <x:v>22</x:v>
      </x:c>
      <x:c r="S146" s="127" t="str">
        <x:v>Project timing/design can still move; 500 MW is a natural sensitivity.</x:v>
      </x:c>
    </x:row>
    <x:row r="147">
      <x:c r="A147" s="126" t="str">
        <x:v>TN</x:v>
      </x:c>
      <x:c r="B147" s="118" t="str">
        <x:v>Tunisia</x:v>
      </x:c>
      <x:c r="C147" s="118" t="str">
        <x:v>TN_BaC_NATIONAL_LONG_RUN</x:v>
      </x:c>
      <x:c r="D147" s="118" t="str">
        <x:v>PHS pump / charge</x:v>
      </x:c>
      <x:c r="E147" s="118" t="str">
        <x:v>phs_charge</x:v>
      </x:c>
      <x:c r="F147" s="118" t="str">
        <x:v>phs_charge_power</x:v>
      </x:c>
      <x:c r="G147" s="118" t="str">
        <x:v>GW</x:v>
      </x:c>
      <x:c r="H147" s="143" t="n">
        <x:v>0.4</x:v>
      </x:c>
      <x:c r="I147" s="143" t="n">
        <x:v>0.4</x:v>
      </x:c>
      <x:c r="J147" s="118" t="str">
        <x:v>IMPLEMENT_STORAGE_PAIR</x:v>
      </x:c>
      <x:c r="K147" s="118" t="str">
        <x:v>OFFICIAL_PROJECT_RANGE_LOWER_BOUND</x:v>
      </x:c>
      <x:c r="L147" s="118" t="str">
        <x:v>B/C</x:v>
      </x:c>
      <x:c r="M147" s="118" t="str">
        <x:v>NATIONAL_PROJECT_CARRY_FORWARD</x:v>
      </x:c>
      <x:c r="N147" s="118" t="str">
        <x:v>C</x:v>
      </x:c>
      <x:c r="O147" s="118" t="str">
        <x:v>TN_STEG2011_TN_STRATEGY2035</x:v>
      </x:c>
      <x:c r="P147" s="118" t="str">
        <x:v>TN_STEG2011_TN_STRATEGY2035</x:v>
      </x:c>
      <x:c r="Q147" s="118" t="str">
        <x:v>MEM_ETX6R_TN_National_Closure_v1.0</x:v>
      </x:c>
      <x:c r="R147" s="118" t="n">
        <x:v>23</x:v>
      </x:c>
      <x:c r="S147" s="127" t="str">
        <x:v>Pair with turbine and energy rows.</x:v>
      </x:c>
    </x:row>
    <x:row r="148">
      <x:c r="A148" s="126" t="str">
        <x:v>TN</x:v>
      </x:c>
      <x:c r="B148" s="118" t="str">
        <x:v>Tunisia</x:v>
      </x:c>
      <x:c r="C148" s="118" t="str">
        <x:v>TN_BaC_NATIONAL_LONG_RUN</x:v>
      </x:c>
      <x:c r="D148" s="118" t="str">
        <x:v>PHS operational working energy</x:v>
      </x:c>
      <x:c r="E148" s="118" t="str">
        <x:v>phs_energy</x:v>
      </x:c>
      <x:c r="F148" s="118" t="str">
        <x:v>phs_energy</x:v>
      </x:c>
      <x:c r="G148" s="118" t="str">
        <x:v>GWh</x:v>
      </x:c>
      <x:c r="H148" s="143" t="n">
        <x:v>2.4</x:v>
      </x:c>
      <x:c r="I148" s="143" t="n">
        <x:v>2.4</x:v>
      </x:c>
      <x:c r="J148" s="118" t="str">
        <x:v>IMPLEMENT_STORAGE_PAIR</x:v>
      </x:c>
      <x:c r="K148" s="118" t="str">
        <x:v>TECHNICAL_FIXED_ENERGY_FILL</x:v>
      </x:c>
      <x:c r="L148" s="118" t="str">
        <x:v>C</x:v>
      </x:c>
      <x:c r="M148" s="118" t="str">
        <x:v>TECHNICAL_FIXED_ENERGY_FILL_CARRY_FORWARD</x:v>
      </x:c>
      <x:c r="N148" s="118" t="str">
        <x:v>C</x:v>
      </x:c>
      <x:c r="O148" s="118" t="str">
        <x:v>TN_PHS_ISL_SECONDARY</x:v>
      </x:c>
      <x:c r="P148" s="118" t="str">
        <x:v>TN_PHS_ISL_SECONDARY</x:v>
      </x:c>
      <x:c r="Q148" s="118" t="str">
        <x:v>MEM_ETX6R_TN_National_Closure_v1.0</x:v>
      </x:c>
      <x:c r="R148" s="118" t="n">
        <x:v>24</x:v>
      </x:c>
      <x:c r="S148" s="127" t="str">
        <x:v>Not a physical reservoir maximum. This is the only non-national numerical fill in ETX-6R-TN and should remain sensitivity-priority C.</x:v>
      </x:c>
    </x:row>
    <x:row r="149">
      <x:c r="A149" s="126" t="str">
        <x:v>TN</x:v>
      </x:c>
      <x:c r="B149" s="118" t="str">
        <x:v>Tunisia</x:v>
      </x:c>
      <x:c r="C149" s="118" t="str">
        <x:v>TN_BaC_NATIONAL_LONG_RUN</x:v>
      </x:c>
      <x:c r="D149" s="118" t="str">
        <x:v>Grid BESS power</x:v>
      </x:c>
      <x:c r="E149" s="118" t="str">
        <x:v>battery_grid_power</x:v>
      </x:c>
      <x:c r="F149" s="118" t="str">
        <x:v>bess_grid_power</x:v>
      </x:c>
      <x:c r="G149" s="118" t="str">
        <x:v>GW</x:v>
      </x:c>
      <x:c r="H149" s="143" t="n">
        <x:v>0.45</x:v>
      </x:c>
      <x:c r="I149" s="143" t="n">
        <x:v>0.45</x:v>
      </x:c>
      <x:c r="J149" s="118" t="str">
        <x:v>IMPLEMENT_STORAGE_PAIR</x:v>
      </x:c>
      <x:c r="K149" s="118" t="str">
        <x:v>DERIVED_FROM_OFFICIAL_PROJECTS</x:v>
      </x:c>
      <x:c r="L149" s="118" t="str">
        <x:v>B</x:v>
      </x:c>
      <x:c r="M149" s="118" t="str">
        <x:v>NATIONAL_PROJECT_FLOOR_CARRY_FORWARD</x:v>
      </x:c>
      <x:c r="N149" s="118" t="str">
        <x:v>C</x:v>
      </x:c>
      <x:c r="O149" s="118" t="str">
        <x:v>TN_STEG_BESS2026_TN_BAZMA2026</x:v>
      </x:c>
      <x:c r="P149" s="118" t="str">
        <x:v>TN_STEG_BESS2026_TN_BAZMA2026</x:v>
      </x:c>
      <x:c r="Q149" s="118" t="str">
        <x:v>MEM_ETX6R_TN_National_Closure_v1.0</x:v>
      </x:c>
      <x:c r="R149" s="118" t="n">
        <x:v>25</x:v>
      </x:c>
      <x:c r="S149" s="127" t="str">
        <x:v>This is a concrete-project floor, not a ceiling on long-run BESS. Treat later storage growth as sensitivity unless an official endpoint is published.</x:v>
      </x:c>
    </x:row>
    <x:row r="150">
      <x:c r="A150" s="126" t="str">
        <x:v>TN</x:v>
      </x:c>
      <x:c r="B150" s="118" t="str">
        <x:v>Tunisia</x:v>
      </x:c>
      <x:c r="C150" s="118" t="str">
        <x:v>TN_BaC_NATIONAL_LONG_RUN</x:v>
      </x:c>
      <x:c r="D150" s="118" t="str">
        <x:v>Grid BESS energy</x:v>
      </x:c>
      <x:c r="E150" s="118" t="str">
        <x:v>battery_grid_energy</x:v>
      </x:c>
      <x:c r="F150" s="118" t="str">
        <x:v>bess_grid_energy</x:v>
      </x:c>
      <x:c r="G150" s="118" t="str">
        <x:v>GWh</x:v>
      </x:c>
      <x:c r="H150" s="143" t="n">
        <x:v>1.14</x:v>
      </x:c>
      <x:c r="I150" s="143" t="n">
        <x:v>1.14</x:v>
      </x:c>
      <x:c r="J150" s="118" t="str">
        <x:v>IMPLEMENT_STORAGE_PAIR</x:v>
      </x:c>
      <x:c r="K150" s="118" t="str">
        <x:v>DERIVED_FROM_OFFICIAL_PROJECTS</x:v>
      </x:c>
      <x:c r="L150" s="118" t="str">
        <x:v>B</x:v>
      </x:c>
      <x:c r="M150" s="118" t="str">
        <x:v>NATIONAL_PROJECT_FLOOR_CARRY_FORWARD</x:v>
      </x:c>
      <x:c r="N150" s="118" t="str">
        <x:v>C</x:v>
      </x:c>
      <x:c r="O150" s="118" t="str">
        <x:v>TN_STEG_BESS2026_TN_BAZMA2026</x:v>
      </x:c>
      <x:c r="P150" s="118" t="str">
        <x:v>TN_STEG_BESS2026_TN_BAZMA2026</x:v>
      </x:c>
      <x:c r="Q150" s="118" t="str">
        <x:v>MEM_ETX6R_TN_National_Closure_v1.0</x:v>
      </x:c>
      <x:c r="R150" s="118" t="n">
        <x:v>26</x:v>
      </x:c>
      <x:c r="S150" s="127" t="str">
        <x:v>Combined nominal duration ≈2.53 h. Keep power and energy as one aggregate storage definition.</x:v>
      </x:c>
    </x:row>
    <x:row r="151">
      <x:c r="A151" s="126" t="str">
        <x:v>GR</x:v>
      </x:c>
      <x:c r="B151" s="118" t="str">
        <x:v>Greece</x:v>
      </x:c>
      <x:c r="C151" s="118" t="str">
        <x:v>GR_WAM_FINAL_NECP_2024</x:v>
      </x:c>
      <x:c r="D151" s="118" t="str">
        <x:v>Annual electricity demand</x:v>
      </x:c>
      <x:c r="E151" s="118" t="str">
        <x:v>load</x:v>
      </x:c>
      <x:c r="F151" s="118" t="str">
        <x:v>demand</x:v>
      </x:c>
      <x:c r="G151" s="118" t="str">
        <x:v>TWh</x:v>
      </x:c>
      <x:c r="H151" s="143" t="n">
        <x:v>85.9</x:v>
      </x:c>
      <x:c r="I151" s="143" t="n">
        <x:v>127.4</x:v>
      </x:c>
      <x:c r="J151" s="118" t="str">
        <x:v>IMPLEMENT</x:v>
      </x:c>
      <x:c r="K151" s="118" t="str">
        <x:v>DERIVED_FROM_OFFICIAL_COMPONENTS</x:v>
      </x:c>
      <x:c r="L151" s="118" t="str">
        <x:v>B</x:v>
      </x:c>
      <x:c r="M151" s="118" t="str">
        <x:v>DERIVED_FROM_OFFICIAL_COMPONENTS</x:v>
      </x:c>
      <x:c r="N151" s="118" t="str">
        <x:v>B</x:v>
      </x:c>
      <x:c r="O151" s="118" t="str">
        <x:v>GR_NECP_FINAL</x:v>
      </x:c>
      <x:c r="P151" s="118" t="str">
        <x:v>GR_NECP_FINAL</x:v>
      </x:c>
      <x:c r="Q151" s="118" t="str">
        <x:v>GR_FINAL_NECP_2024_LEGACY_CLOSE</x:v>
      </x:c>
      <x:c r="R151" s="118" t="n">
        <x:v>1</x:v>
      </x:c>
      <x:c r="S151" s="127" t="str">
        <x:v>Net consumption 81.4/122.5 TWh + network losses 4.5/4.9 TWh.</x:v>
      </x:c>
    </x:row>
    <x:row r="152">
      <x:c r="A152" s="126" t="str">
        <x:v>GR</x:v>
      </x:c>
      <x:c r="B152" s="118" t="str">
        <x:v>Greece</x:v>
      </x:c>
      <x:c r="C152" s="118" t="str">
        <x:v>GR_WAM_FINAL_NECP_2024</x:v>
      </x:c>
      <x:c r="D152" s="118" t="str">
        <x:v>Nuclear</x:v>
      </x:c>
      <x:c r="E152" s="118" t="str">
        <x:v>nuclear</x:v>
      </x:c>
      <x:c r="F152" s="118" t="str">
        <x:v>nuclear</x:v>
      </x:c>
      <x:c r="G152" s="118" t="str">
        <x:v>GW</x:v>
      </x:c>
      <x:c r="H152" s="143" t="n">
        <x:v>0</x:v>
      </x:c>
      <x:c r="I152" s="143" t="n">
        <x:v>0</x:v>
      </x:c>
      <x:c r="J152" s="118" t="str">
        <x:v>IMPLEMENT</x:v>
      </x:c>
      <x:c r="K152" s="118" t="str">
        <x:v>SELECTED_SCENARIO_ZERO</x:v>
      </x:c>
      <x:c r="L152" s="118" t="str">
        <x:v>A</x:v>
      </x:c>
      <x:c r="M152" s="118" t="str">
        <x:v>SELECTED_SCENARIO_ZERO</x:v>
      </x:c>
      <x:c r="N152" s="118" t="str">
        <x:v>A</x:v>
      </x:c>
      <x:c r="O152" s="118" t="str">
        <x:v>GR_NECP_FINAL</x:v>
      </x:c>
      <x:c r="P152" s="118" t="str">
        <x:v>GR_NECP_FINAL</x:v>
      </x:c>
      <x:c r="Q152" s="118" t="str">
        <x:v>GR_FINAL_NECP_2024_LEGACY_CLOSE</x:v>
      </x:c>
      <x:c r="R152" s="118" t="n">
        <x:v>2</x:v>
      </x:c>
      <x:c r="S152" s="127" t="str">
        <x:v>Explicit zero.</x:v>
      </x:c>
    </x:row>
    <x:row r="153">
      <x:c r="A153" s="126" t="str">
        <x:v>GR</x:v>
      </x:c>
      <x:c r="B153" s="118" t="str">
        <x:v>Greece</x:v>
      </x:c>
      <x:c r="C153" s="118" t="str">
        <x:v>GR_WAM_FINAL_NECP_2024</x:v>
      </x:c>
      <x:c r="D153" s="118" t="str">
        <x:v>Coal / lignite</x:v>
      </x:c>
      <x:c r="E153" s="118" t="str">
        <x:v>coal_lignite</x:v>
      </x:c>
      <x:c r="F153" s="118" t="str">
        <x:v>coal_lignite</x:v>
      </x:c>
      <x:c r="G153" s="118" t="str">
        <x:v>GW</x:v>
      </x:c>
      <x:c r="H153" s="143" t="n">
        <x:v>0</x:v>
      </x:c>
      <x:c r="I153" s="143" t="n">
        <x:v>0</x:v>
      </x:c>
      <x:c r="J153" s="118" t="str">
        <x:v>IMPLEMENT</x:v>
      </x:c>
      <x:c r="K153" s="118" t="str">
        <x:v>OFFICIAL_POLICY_ZERO</x:v>
      </x:c>
      <x:c r="L153" s="118" t="str">
        <x:v>A</x:v>
      </x:c>
      <x:c r="M153" s="118" t="str">
        <x:v>OFFICIAL_POLICY_ZERO</x:v>
      </x:c>
      <x:c r="N153" s="118" t="str">
        <x:v>A</x:v>
      </x:c>
      <x:c r="O153" s="118" t="str">
        <x:v>GR_NECP_FINAL</x:v>
      </x:c>
      <x:c r="P153" s="118" t="str">
        <x:v>GR_NECP_FINAL</x:v>
      </x:c>
      <x:c r="Q153" s="118" t="str">
        <x:v>GR_FINAL_NECP_2024_LEGACY_CLOSE</x:v>
      </x:c>
      <x:c r="R153" s="118" t="n">
        <x:v>3</x:v>
      </x:c>
      <x:c r="S153" s="127" t="str">
        <x:v>Explicit zero.</x:v>
      </x:c>
    </x:row>
    <x:row r="154">
      <x:c r="A154" s="126" t="str">
        <x:v>GR</x:v>
      </x:c>
      <x:c r="B154" s="118" t="str">
        <x:v>Greece</x:v>
      </x:c>
      <x:c r="C154" s="118" t="str">
        <x:v>GR_WAM_FINAL_NECP_2024</x:v>
      </x:c>
      <x:c r="D154" s="118" t="str">
        <x:v>Oil / petroleum thermal</x:v>
      </x:c>
      <x:c r="E154" s="118" t="str">
        <x:v>thermal_oil</x:v>
      </x:c>
      <x:c r="F154" s="118" t="str">
        <x:v>thermal_oil_liquid</x:v>
      </x:c>
      <x:c r="G154" s="118" t="str">
        <x:v>GW</x:v>
      </x:c>
      <x:c r="H154" s="143" t="n">
        <x:v>0.1</x:v>
      </x:c>
      <x:c r="I154" s="143" t="n">
        <x:v>0.1</x:v>
      </x:c>
      <x:c r="J154" s="118" t="str">
        <x:v>IMPLEMENT</x:v>
      </x:c>
      <x:c r="K154" s="118" t="str">
        <x:v>OFFICIAL_SCENARIO_INPUT</x:v>
      </x:c>
      <x:c r="L154" s="118" t="str">
        <x:v>A</x:v>
      </x:c>
      <x:c r="M154" s="118" t="str">
        <x:v>OFFICIAL_SCENARIO_INPUT</x:v>
      </x:c>
      <x:c r="N154" s="118" t="str">
        <x:v>A</x:v>
      </x:c>
      <x:c r="O154" s="118" t="str">
        <x:v>GR_NECP_FINAL</x:v>
      </x:c>
      <x:c r="P154" s="118" t="str">
        <x:v>GR_NECP_FINAL</x:v>
      </x:c>
      <x:c r="Q154" s="118" t="str">
        <x:v>GR_FINAL_NECP_2024_LEGACY_CLOSE</x:v>
      </x:c>
      <x:c r="R154" s="118" t="n">
        <x:v>4</x:v>
      </x:c>
      <x:c r="S154" s="127" t="str">
        <x:v>Small residual/refinery-linked capacity.</x:v>
      </x:c>
    </x:row>
    <x:row r="155">
      <x:c r="A155" s="126" t="str">
        <x:v>GR</x:v>
      </x:c>
      <x:c r="B155" s="118" t="str">
        <x:v>Greece</x:v>
      </x:c>
      <x:c r="C155" s="118" t="str">
        <x:v>GR_WAM_FINAL_NECP_2024</x:v>
      </x:c>
      <x:c r="D155" s="118" t="str">
        <x:v>Natural-gas thermal</x:v>
      </x:c>
      <x:c r="E155" s="118" t="str">
        <x:v>thermal_methane</x:v>
      </x:c>
      <x:c r="F155" s="118" t="str">
        <x:v>thermal_methane_gas</x:v>
      </x:c>
      <x:c r="G155" s="118" t="str">
        <x:v>GW</x:v>
      </x:c>
      <x:c r="H155" s="143" t="n">
        <x:v>5.9</x:v>
      </x:c>
      <x:c r="I155" s="143" t="n">
        <x:v>5.9</x:v>
      </x:c>
      <x:c r="J155" s="118" t="str">
        <x:v>IMPLEMENT</x:v>
      </x:c>
      <x:c r="K155" s="118" t="str">
        <x:v>OFFICIAL_SCENARIO_INPUT</x:v>
      </x:c>
      <x:c r="L155" s="118" t="str">
        <x:v>A</x:v>
      </x:c>
      <x:c r="M155" s="118" t="str">
        <x:v>OFFICIAL_SCENARIO_INPUT</x:v>
      </x:c>
      <x:c r="N155" s="118" t="str">
        <x:v>A</x:v>
      </x:c>
      <x:c r="O155" s="118" t="str">
        <x:v>GR_NECP_FINAL</x:v>
      </x:c>
      <x:c r="P155" s="118" t="str">
        <x:v>GR_NECP_FINAL</x:v>
      </x:c>
      <x:c r="Q155" s="118" t="str">
        <x:v>GR_FINAL_NECP_2024_LEGACY_CLOSE</x:v>
      </x:c>
      <x:c r="R155" s="118" t="n">
        <x:v>5</x:v>
      </x:c>
      <x:c r="S155" s="127" t="str">
        <x:v>Security-of-supply studies may affect realized hot/cold reserve treatment.</x:v>
      </x:c>
    </x:row>
    <x:row r="156">
      <x:c r="A156" s="126" t="str">
        <x:v>GR</x:v>
      </x:c>
      <x:c r="B156" s="118" t="str">
        <x:v>Greece</x:v>
      </x:c>
      <x:c r="C156" s="118" t="str">
        <x:v>GR_WAM_FINAL_NECP_2024</x:v>
      </x:c>
      <x:c r="D156" s="118" t="str">
        <x:v>Biomass / biogas</x:v>
      </x:c>
      <x:c r="E156" s="118" t="str">
        <x:v>biomass_biogas</x:v>
      </x:c>
      <x:c r="F156" s="118" t="str">
        <x:v>bioenergy_biomass_biogas</x:v>
      </x:c>
      <x:c r="G156" s="118" t="str">
        <x:v>GW</x:v>
      </x:c>
      <x:c r="H156" s="143" t="n">
        <x:v>0.1</x:v>
      </x:c>
      <x:c r="I156" s="143" t="n">
        <x:v>0</x:v>
      </x:c>
      <x:c r="J156" s="118" t="str">
        <x:v>IMPLEMENT</x:v>
      </x:c>
      <x:c r="K156" s="118" t="str">
        <x:v>OFFICIAL_SCENARIO_INPUT</x:v>
      </x:c>
      <x:c r="L156" s="118" t="str">
        <x:v>A</x:v>
      </x:c>
      <x:c r="M156" s="118" t="str">
        <x:v>OFFICIAL_SCENARIO_INPUT</x:v>
      </x:c>
      <x:c r="N156" s="118" t="str">
        <x:v>A</x:v>
      </x:c>
      <x:c r="O156" s="118" t="str">
        <x:v>GR_NECP_FINAL</x:v>
      </x:c>
      <x:c r="P156" s="118" t="str">
        <x:v>GR_NECP_FINAL</x:v>
      </x:c>
      <x:c r="Q156" s="118" t="str">
        <x:v>GR_FINAL_NECP_2024_LEGACY_CLOSE</x:v>
      </x:c>
      <x:c r="R156" s="118" t="n">
        <x:v>6</x:v>
      </x:c>
      <x:c r="S156" s="127" t="str">
        <x:v>Combined source category preserved.</x:v>
      </x:c>
    </x:row>
    <x:row r="157">
      <x:c r="A157" s="126" t="str">
        <x:v>GR</x:v>
      </x:c>
      <x:c r="B157" s="118" t="str">
        <x:v>Greece</x:v>
      </x:c>
      <x:c r="C157" s="118" t="str">
        <x:v>GR_WAM_FINAL_NECP_2024</x:v>
      </x:c>
      <x:c r="D157" s="118" t="str">
        <x:v>Solar PV</x:v>
      </x:c>
      <x:c r="E157" s="118" t="str">
        <x:v>solar</x:v>
      </x:c>
      <x:c r="F157" s="118" t="str">
        <x:v>solar_pv</x:v>
      </x:c>
      <x:c r="G157" s="118" t="str">
        <x:v>GW</x:v>
      </x:c>
      <x:c r="H157" s="143" t="n">
        <x:v>26</x:v>
      </x:c>
      <x:c r="I157" s="143" t="n">
        <x:v>35.1</x:v>
      </x:c>
      <x:c r="J157" s="118" t="str">
        <x:v>IMPLEMENT</x:v>
      </x:c>
      <x:c r="K157" s="118" t="str">
        <x:v>OFFICIAL_SCENARIO_INPUT</x:v>
      </x:c>
      <x:c r="L157" s="118" t="str">
        <x:v>A</x:v>
      </x:c>
      <x:c r="M157" s="118" t="str">
        <x:v>OFFICIAL_SCENARIO_INPUT</x:v>
      </x:c>
      <x:c r="N157" s="118" t="str">
        <x:v>A</x:v>
      </x:c>
      <x:c r="O157" s="118" t="str">
        <x:v>GR_NECP_FINAL</x:v>
      </x:c>
      <x:c r="P157" s="118" t="str">
        <x:v>GR_NECP_FINAL</x:v>
      </x:c>
      <x:c r="Q157" s="118" t="str">
        <x:v>GR_FINAL_NECP_2024_LEGACY_CLOSE</x:v>
      </x:c>
      <x:c r="R157" s="118" t="n">
        <x:v>7</x:v>
      </x:c>
      <x:c r="S157" s="127" t="str">
        <x:v>Direct.</x:v>
      </x:c>
    </x:row>
    <x:row r="158">
      <x:c r="A158" s="126" t="str">
        <x:v>GR</x:v>
      </x:c>
      <x:c r="B158" s="118" t="str">
        <x:v>Greece</x:v>
      </x:c>
      <x:c r="C158" s="118" t="str">
        <x:v>GR_WAM_FINAL_NECP_2024</x:v>
      </x:c>
      <x:c r="D158" s="118" t="str">
        <x:v>Onshore wind</x:v>
      </x:c>
      <x:c r="E158" s="118" t="str">
        <x:v>onwind</x:v>
      </x:c>
      <x:c r="F158" s="118" t="str">
        <x:v>wind_onshore</x:v>
      </x:c>
      <x:c r="G158" s="118" t="str">
        <x:v>GW</x:v>
      </x:c>
      <x:c r="H158" s="143" t="n">
        <x:v>11</x:v>
      </x:c>
      <x:c r="I158" s="143" t="n">
        <x:v>13</x:v>
      </x:c>
      <x:c r="J158" s="118" t="str">
        <x:v>IMPLEMENT</x:v>
      </x:c>
      <x:c r="K158" s="118" t="str">
        <x:v>OFFICIAL_SCENARIO_INPUT</x:v>
      </x:c>
      <x:c r="L158" s="118" t="str">
        <x:v>A</x:v>
      </x:c>
      <x:c r="M158" s="118" t="str">
        <x:v>OFFICIAL_SCENARIO_INPUT</x:v>
      </x:c>
      <x:c r="N158" s="118" t="str">
        <x:v>A</x:v>
      </x:c>
      <x:c r="O158" s="118" t="str">
        <x:v>GR_NECP_FINAL</x:v>
      </x:c>
      <x:c r="P158" s="118" t="str">
        <x:v>GR_NECP_FINAL</x:v>
      </x:c>
      <x:c r="Q158" s="118" t="str">
        <x:v>GR_FINAL_NECP_2024_LEGACY_CLOSE</x:v>
      </x:c>
      <x:c r="R158" s="118" t="n">
        <x:v>8</x:v>
      </x:c>
      <x:c r="S158" s="127" t="str">
        <x:v>Direct.</x:v>
      </x:c>
    </x:row>
    <x:row r="159">
      <x:c r="A159" s="126" t="str">
        <x:v>GR</x:v>
      </x:c>
      <x:c r="B159" s="118" t="str">
        <x:v>Greece</x:v>
      </x:c>
      <x:c r="C159" s="118" t="str">
        <x:v>GR_WAM_FINAL_NECP_2024</x:v>
      </x:c>
      <x:c r="D159" s="118" t="str">
        <x:v>Offshore wind</x:v>
      </x:c>
      <x:c r="E159" s="118" t="str">
        <x:v>offwind</x:v>
      </x:c>
      <x:c r="F159" s="118" t="str">
        <x:v>wind_offshore</x:v>
      </x:c>
      <x:c r="G159" s="118" t="str">
        <x:v>GW</x:v>
      </x:c>
      <x:c r="H159" s="143" t="n">
        <x:v>5.8</x:v>
      </x:c>
      <x:c r="I159" s="143" t="n">
        <x:v>11.8</x:v>
      </x:c>
      <x:c r="J159" s="118" t="str">
        <x:v>IMPLEMENT</x:v>
      </x:c>
      <x:c r="K159" s="118" t="str">
        <x:v>OFFICIAL_SCENARIO_INPUT</x:v>
      </x:c>
      <x:c r="L159" s="118" t="str">
        <x:v>A</x:v>
      </x:c>
      <x:c r="M159" s="118" t="str">
        <x:v>OFFICIAL_SCENARIO_INPUT</x:v>
      </x:c>
      <x:c r="N159" s="118" t="str">
        <x:v>A</x:v>
      </x:c>
      <x:c r="O159" s="118" t="str">
        <x:v>GR_NECP_FINAL</x:v>
      </x:c>
      <x:c r="P159" s="118" t="str">
        <x:v>GR_NECP_FINAL</x:v>
      </x:c>
      <x:c r="Q159" s="118" t="str">
        <x:v>GR_FINAL_NECP_2024_LEGACY_CLOSE</x:v>
      </x:c>
      <x:c r="R159" s="118" t="n">
        <x:v>9</x:v>
      </x:c>
      <x:c r="S159" s="127" t="str">
        <x:v>Direct.</x:v>
      </x:c>
    </x:row>
    <x:row r="160">
      <x:c r="A160" s="126" t="str">
        <x:v>GR</x:v>
      </x:c>
      <x:c r="B160" s="118" t="str">
        <x:v>Greece</x:v>
      </x:c>
      <x:c r="C160" s="118" t="str">
        <x:v>GR_WAM_FINAL_NECP_2024</x:v>
      </x:c>
      <x:c r="D160" s="118" t="str">
        <x:v>Non-storage hydro</x:v>
      </x:c>
      <x:c r="E160" s="118" t="str">
        <x:v>hydro_non_phs</x:v>
      </x:c>
      <x:c r="F160" s="118" t="str">
        <x:v>hydro_non_phs</x:v>
      </x:c>
      <x:c r="G160" s="118" t="str">
        <x:v>GW</x:v>
      </x:c>
      <x:c r="H160" s="143" t="n">
        <x:v>3.8</x:v>
      </x:c>
      <x:c r="I160" s="143" t="n">
        <x:v>4.5</x:v>
      </x:c>
      <x:c r="J160" s="118" t="str">
        <x:v>IMPLEMENT</x:v>
      </x:c>
      <x:c r="K160" s="118" t="str">
        <x:v>OFFICIAL_SCENARIO_INPUT</x:v>
      </x:c>
      <x:c r="L160" s="118" t="str">
        <x:v>A</x:v>
      </x:c>
      <x:c r="M160" s="118" t="str">
        <x:v>OFFICIAL_SCENARIO_INPUT</x:v>
      </x:c>
      <x:c r="N160" s="118" t="str">
        <x:v>A</x:v>
      </x:c>
      <x:c r="O160" s="118" t="str">
        <x:v>GR_NECP_FINAL</x:v>
      </x:c>
      <x:c r="P160" s="118" t="str">
        <x:v>GR_NECP_FINAL</x:v>
      </x:c>
      <x:c r="Q160" s="118" t="str">
        <x:v>GR_FINAL_NECP_2024_LEGACY_CLOSE</x:v>
      </x:c>
      <x:c r="R160" s="118" t="n">
        <x:v>10</x:v>
      </x:c>
      <x:c r="S160" s="127" t="str">
        <x:v>Keep distinct from PHS storage rows.</x:v>
      </x:c>
    </x:row>
    <x:row r="161">
      <x:c r="A161" s="126" t="str">
        <x:v>GR</x:v>
      </x:c>
      <x:c r="B161" s="118" t="str">
        <x:v>Greece</x:v>
      </x:c>
      <x:c r="C161" s="118" t="str">
        <x:v>GR_WAM_FINAL_NECP_2024</x:v>
      </x:c>
      <x:c r="D161" s="118" t="str">
        <x:v>PHS turbine / discharge power</x:v>
      </x:c>
      <x:c r="E161" s="118" t="str">
        <x:v>phs_turbine</x:v>
      </x:c>
      <x:c r="F161" s="118" t="str">
        <x:v>phs_discharge_power</x:v>
      </x:c>
      <x:c r="G161" s="118" t="str">
        <x:v>GW</x:v>
      </x:c>
      <x:c r="H161" s="143" t="n">
        <x:v>4.464</x:v>
      </x:c>
      <x:c r="I161" s="143" t="n">
        <x:v>5.453</x:v>
      </x:c>
      <x:c r="J161" s="118" t="str">
        <x:v>IMPLEMENT_STORAGE_PAIR</x:v>
      </x:c>
      <x:c r="K161" s="118" t="str">
        <x:v>OFFICIAL_SCENARIO_INPUT</x:v>
      </x:c>
      <x:c r="L161" s="118" t="str">
        <x:v>A</x:v>
      </x:c>
      <x:c r="M161" s="118" t="str">
        <x:v>OFFICIAL_SCENARIO_INPUT</x:v>
      </x:c>
      <x:c r="N161" s="118" t="str">
        <x:v>A</x:v>
      </x:c>
      <x:c r="O161" s="118" t="str">
        <x:v>GR_NECP_FINAL</x:v>
      </x:c>
      <x:c r="P161" s="118" t="str">
        <x:v>GR_NECP_FINAL</x:v>
      </x:c>
      <x:c r="Q161" s="118" t="str">
        <x:v>GR_FINAL_NECP_2024_LEGACY_CLOSE</x:v>
      </x:c>
      <x:c r="R161" s="118" t="n">
        <x:v>11</x:v>
      </x:c>
      <x:c r="S161" s="127" t="str">
        <x:v>Stage A uses symmetric charge/discharge rating unless plant-level runtime mapping preserves asymmetry.</x:v>
      </x:c>
    </x:row>
    <x:row r="162">
      <x:c r="A162" s="126" t="str">
        <x:v>GR</x:v>
      </x:c>
      <x:c r="B162" s="118" t="str">
        <x:v>Greece</x:v>
      </x:c>
      <x:c r="C162" s="118" t="str">
        <x:v>GR_WAM_FINAL_NECP_2024</x:v>
      </x:c>
      <x:c r="D162" s="118" t="str">
        <x:v>PHS pump / charge power</x:v>
      </x:c>
      <x:c r="E162" s="118" t="str">
        <x:v>phs_pump</x:v>
      </x:c>
      <x:c r="F162" s="118" t="str">
        <x:v>phs_charge_power</x:v>
      </x:c>
      <x:c r="G162" s="118" t="str">
        <x:v>GW</x:v>
      </x:c>
      <x:c r="H162" s="143" t="n">
        <x:v>4.464</x:v>
      </x:c>
      <x:c r="I162" s="143" t="n">
        <x:v>5.453</x:v>
      </x:c>
      <x:c r="J162" s="118" t="str">
        <x:v>IMPLEMENT_STORAGE_PAIR</x:v>
      </x:c>
      <x:c r="K162" s="118" t="str">
        <x:v>TECHNICAL_SYMMETRIC_MAPPING_FROM_OFFICIAL_PHS_POWER</x:v>
      </x:c>
      <x:c r="L162" s="118" t="str">
        <x:v>C</x:v>
      </x:c>
      <x:c r="M162" s="118" t="str">
        <x:v>TECHNICAL_SYMMETRIC_MAPPING_FROM_OFFICIAL_PHS_POWER</x:v>
      </x:c>
      <x:c r="N162" s="118" t="str">
        <x:v>C</x:v>
      </x:c>
      <x:c r="O162" s="118" t="str">
        <x:v>GR_NECP_FINAL</x:v>
      </x:c>
      <x:c r="P162" s="118" t="str">
        <x:v>GR_NECP_FINAL</x:v>
      </x:c>
      <x:c r="Q162" s="118" t="str">
        <x:v>GR_FINAL_NECP_2024_LEGACY_CLOSE</x:v>
      </x:c>
      <x:c r="R162" s="118" t="n">
        <x:v>12</x:v>
      </x:c>
      <x:c r="S162" s="127" t="str">
        <x:v>Symmetric pump/discharge MW is an explicit implementation mapping; replace only if plant-level future pump ratings become authoritative.</x:v>
      </x:c>
    </x:row>
    <x:row r="163">
      <x:c r="A163" s="126" t="str">
        <x:v>GR</x:v>
      </x:c>
      <x:c r="B163" s="118" t="str">
        <x:v>Greece</x:v>
      </x:c>
      <x:c r="C163" s="118" t="str">
        <x:v>GR_WAM_FINAL_NECP_2024</x:v>
      </x:c>
      <x:c r="D163" s="118" t="str">
        <x:v>PHS energy capacity</x:v>
      </x:c>
      <x:c r="E163" s="118" t="str">
        <x:v>phs_energy</x:v>
      </x:c>
      <x:c r="F163" s="118" t="str">
        <x:v>phs_energy</x:v>
      </x:c>
      <x:c r="G163" s="118" t="str">
        <x:v>GWh</x:v>
      </x:c>
      <x:c r="H163" s="143" t="n">
        <x:v>52.484</x:v>
      </x:c>
      <x:c r="I163" s="143" t="n">
        <x:v>66.781</x:v>
      </x:c>
      <x:c r="J163" s="118" t="str">
        <x:v>IMPLEMENT_STORAGE_PAIR</x:v>
      </x:c>
      <x:c r="K163" s="118" t="str">
        <x:v>OFFICIAL_SCENARIO_INPUT</x:v>
      </x:c>
      <x:c r="L163" s="118" t="str">
        <x:v>A</x:v>
      </x:c>
      <x:c r="M163" s="118" t="str">
        <x:v>OFFICIAL_SCENARIO_INPUT</x:v>
      </x:c>
      <x:c r="N163" s="118" t="str">
        <x:v>A</x:v>
      </x:c>
      <x:c r="O163" s="118" t="str">
        <x:v>GR_NECP_FINAL</x:v>
      </x:c>
      <x:c r="P163" s="118" t="str">
        <x:v>GR_NECP_FINAL</x:v>
      </x:c>
      <x:c r="Q163" s="118" t="str">
        <x:v>GR_FINAL_NECP_2024_LEGACY_CLOSE</x:v>
      </x:c>
      <x:c r="R163" s="118" t="n">
        <x:v>13</x:v>
      </x:c>
      <x:c r="S163" s="127" t="str">
        <x:v>Direct.</x:v>
      </x:c>
    </x:row>
    <x:row r="164">
      <x:c r="A164" s="126" t="str">
        <x:v>GR</x:v>
      </x:c>
      <x:c r="B164" s="118" t="str">
        <x:v>Greece</x:v>
      </x:c>
      <x:c r="C164" s="118" t="str">
        <x:v>GR_WAM_FINAL_NECP_2024</x:v>
      </x:c>
      <x:c r="D164" s="118" t="str">
        <x:v>BESS power</x:v>
      </x:c>
      <x:c r="E164" s="118" t="str">
        <x:v>battery_grid_power</x:v>
      </x:c>
      <x:c r="F164" s="118" t="str">
        <x:v>bess_grid_power</x:v>
      </x:c>
      <x:c r="G164" s="118" t="str">
        <x:v>GW</x:v>
      </x:c>
      <x:c r="H164" s="143" t="n">
        <x:v>8.725</x:v>
      </x:c>
      <x:c r="I164" s="143" t="n">
        <x:v>12.025</x:v>
      </x:c>
      <x:c r="J164" s="118" t="str">
        <x:v>IMPLEMENT_STORAGE_PAIR</x:v>
      </x:c>
      <x:c r="K164" s="118" t="str">
        <x:v>OFFICIAL_SCENARIO_INPUT</x:v>
      </x:c>
      <x:c r="L164" s="118" t="str">
        <x:v>A</x:v>
      </x:c>
      <x:c r="M164" s="118" t="str">
        <x:v>OFFICIAL_SCENARIO_INPUT</x:v>
      </x:c>
      <x:c r="N164" s="118" t="str">
        <x:v>A</x:v>
      </x:c>
      <x:c r="O164" s="118" t="str">
        <x:v>GR_NECP_FINAL</x:v>
      </x:c>
      <x:c r="P164" s="118" t="str">
        <x:v>GR_NECP_FINAL</x:v>
      </x:c>
      <x:c r="Q164" s="118" t="str">
        <x:v>GR_FINAL_NECP_2024_LEGACY_CLOSE</x:v>
      </x:c>
      <x:c r="R164" s="118" t="n">
        <x:v>14</x:v>
      </x:c>
      <x:c r="S164" s="127" t="str">
        <x:v>Direct national aggregate.</x:v>
      </x:c>
    </x:row>
    <x:row r="165">
      <x:c r="A165" s="128" t="str">
        <x:v>GR</x:v>
      </x:c>
      <x:c r="B165" s="129" t="str">
        <x:v>Greece</x:v>
      </x:c>
      <x:c r="C165" s="129" t="str">
        <x:v>GR_WAM_FINAL_NECP_2024</x:v>
      </x:c>
      <x:c r="D165" s="129" t="str">
        <x:v>BESS energy</x:v>
      </x:c>
      <x:c r="E165" s="129" t="str">
        <x:v>battery_grid_energy</x:v>
      </x:c>
      <x:c r="F165" s="129" t="str">
        <x:v>bess_grid_energy</x:v>
      </x:c>
      <x:c r="G165" s="129" t="str">
        <x:v>GWh</x:v>
      </x:c>
      <x:c r="H165" s="144" t="n">
        <x:v>22.457</x:v>
      </x:c>
      <x:c r="I165" s="144" t="n">
        <x:v>31.252</x:v>
      </x:c>
      <x:c r="J165" s="129" t="str">
        <x:v>IMPLEMENT_STORAGE_PAIR</x:v>
      </x:c>
      <x:c r="K165" s="129" t="str">
        <x:v>OFFICIAL_SCENARIO_INPUT</x:v>
      </x:c>
      <x:c r="L165" s="129" t="str">
        <x:v>A</x:v>
      </x:c>
      <x:c r="M165" s="129" t="str">
        <x:v>OFFICIAL_SCENARIO_INPUT</x:v>
      </x:c>
      <x:c r="N165" s="129" t="str">
        <x:v>A</x:v>
      </x:c>
      <x:c r="O165" s="129" t="str">
        <x:v>GR_NECP_FINAL</x:v>
      </x:c>
      <x:c r="P165" s="129" t="str">
        <x:v>GR_NECP_FINAL</x:v>
      </x:c>
      <x:c r="Q165" s="129" t="str">
        <x:v>GR_FINAL_NECP_2024_LEGACY_CLOSE</x:v>
      </x:c>
      <x:c r="R165" s="129" t="n">
        <x:v>15</x:v>
      </x:c>
      <x:c r="S165" s="131" t="str">
        <x:v>Direct national aggregate.</x:v>
      </x:c>
    </x:row>
  </x:sheetData>
  <x:mergeCells>
    <x:mergeCell ref="A1:S1"/>
    <x:mergeCell ref="A2:S2"/>
  </x:mergeCells>
  <x:pageMargins left="0.7" right="0.7" top="0.75" bottom="0.75" header="0.3" footer="0.3"/>
</x:worksheet>
</file>

<file path=xl/worksheets/sheet5.xml><?xml version="1.0" encoding="utf-8"?>
<x:worksheet xmlns:x="http://schemas.openxmlformats.org/spreadsheetml/2006/main">
  <x:sheetFormatPr defaultRowHeight="15"/>
  <x:cols>
    <x:col min="1" max="1" width="9" hidden="0" customWidth="1"/>
    <x:col min="2" max="2" width="15" hidden="0" customWidth="1"/>
    <x:col min="3" max="3" width="30" hidden="0" customWidth="1"/>
    <x:col min="4" max="4" width="10" hidden="0" customWidth="1"/>
    <x:col min="5" max="5" width="14" hidden="0" customWidth="1"/>
    <x:col min="6" max="6" width="14" hidden="0" customWidth="1"/>
    <x:col min="7" max="7" width="70" hidden="0" customWidth="1"/>
  </x:cols>
  <x:sheetData>
    <x:row r="1" ht="28" customHeight="1">
      <x:c r="A1" s="6" t="str">
        <x:v>Formula-driven harmonised runtime summary</x:v>
      </x:c>
      <x:c r="B1" s="6" t="str">
        <x:v>Formula-driven harmonised runtime summary</x:v>
      </x:c>
      <x:c r="C1" s="6" t="str">
        <x:v>Formula-driven harmonised runtime summary</x:v>
      </x:c>
      <x:c r="D1" s="6" t="str">
        <x:v>Formula-driven harmonised runtime summary</x:v>
      </x:c>
      <x:c r="E1" s="6" t="str">
        <x:v>Formula-driven harmonised runtime summary</x:v>
      </x:c>
      <x:c r="F1" s="6" t="str">
        <x:v>Formula-driven harmonised runtime summary</x:v>
      </x:c>
      <x:c r="G1" s="6" t="str">
        <x:v>Formula-driven harmonised runtime summary</x:v>
      </x:c>
    </x:row>
    <x:row r="2">
      <x:c r="A2" s="78" t="str">
        <x:v>Country × harmonised technology × unit. 2040/2050 are SUMIFS over 03_RUNTIME_INPUTS, so source subcategories aggregate without manual helper values.</x:v>
      </x:c>
      <x:c r="B2" s="79"/>
      <x:c r="C2" s="79"/>
      <x:c r="D2" s="79"/>
      <x:c r="E2" s="79"/>
      <x:c r="F2" s="79"/>
      <x:c r="G2" s="80"/>
    </x:row>
    <x:row r="4">
      <x:c r="A4" s="34" t="str">
        <x:v>Country code</x:v>
      </x:c>
      <x:c r="B4" s="35" t="str">
        <x:v>Country</x:v>
      </x:c>
      <x:c r="C4" s="35" t="str">
        <x:v>Harmonised group</x:v>
      </x:c>
      <x:c r="D4" s="35" t="str">
        <x:v>Unit</x:v>
      </x:c>
      <x:c r="E4" s="35" t="str">
        <x:v>2040</x:v>
      </x:c>
      <x:c r="F4" s="35" t="str">
        <x:v>2050</x:v>
      </x:c>
      <x:c r="G4" s="36" t="str">
        <x:v>Source categories</x:v>
      </x:c>
    </x:row>
    <x:row r="5">
      <x:c r="A5" s="46" t="str">
        <x:v>AT</x:v>
      </x:c>
      <x:c r="B5" s="47" t="str">
        <x:v>Austria</x:v>
      </x:c>
      <x:c r="C5" s="47" t="str">
        <x:v>bess_distributed_energy</x:v>
      </x:c>
      <x:c r="D5" s="47" t="str">
        <x:v>GWh</x:v>
      </x:c>
      <x:c r="E5" s="148" t="n">
        <x:f>SUMIFS('03_RUNTIME_INPUTS'!$H$5:$H$165,'03_RUNTIME_INPUTS'!$A$5:$A$165,A5,'03_RUNTIME_INPUTS'!$F$5:$F$165,C5,'03_RUNTIME_INPUTS'!$G$5:$G$165,D5)</x:f>
        <x:v>8.78048780487805</x:v>
      </x:c>
      <x:c r="F5" s="148" t="n">
        <x:f>SUMIFS('03_RUNTIME_INPUTS'!$I$5:$I$165,'03_RUNTIME_INPUTS'!$A$5:$A$165,A5,'03_RUNTIME_INPUTS'!$F$5:$F$165,C5,'03_RUNTIME_INPUTS'!$G$5:$G$165,D5)</x:f>
        <x:v>10.243902439024392</x:v>
      </x:c>
      <x:c r="G5" s="48" t="str">
        <x:v>Small / behind-the-meter BESS energy</x:v>
      </x:c>
    </x:row>
    <x:row r="6">
      <x:c r="A6" s="49" t="str">
        <x:v>AT</x:v>
      </x:c>
      <x:c r="B6" s="44" t="str">
        <x:v>Austria</x:v>
      </x:c>
      <x:c r="C6" s="44" t="str">
        <x:v>bess_distributed_power</x:v>
      </x:c>
      <x:c r="D6" s="44" t="str">
        <x:v>GW</x:v>
      </x:c>
      <x:c r="E6" s="149" t="n">
        <x:f>SUMIFS('03_RUNTIME_INPUTS'!$H$5:$H$165,'03_RUNTIME_INPUTS'!$A$5:$A$165,A6,'03_RUNTIME_INPUTS'!$F$5:$F$165,C6,'03_RUNTIME_INPUTS'!$G$5:$G$165,D6)</x:f>
        <x:v>4.390243902439025</x:v>
      </x:c>
      <x:c r="F6" s="149" t="n">
        <x:f>SUMIFS('03_RUNTIME_INPUTS'!$I$5:$I$165,'03_RUNTIME_INPUTS'!$A$5:$A$165,A6,'03_RUNTIME_INPUTS'!$F$5:$F$165,C6,'03_RUNTIME_INPUTS'!$G$5:$G$165,D6)</x:f>
        <x:v>5.121951219512196</x:v>
      </x:c>
      <x:c r="G6" s="50" t="str">
        <x:v>Small / behind-the-meter BESS power</x:v>
      </x:c>
    </x:row>
    <x:row r="7">
      <x:c r="A7" s="49" t="str">
        <x:v>AT</x:v>
      </x:c>
      <x:c r="B7" s="44" t="str">
        <x:v>Austria</x:v>
      </x:c>
      <x:c r="C7" s="44" t="str">
        <x:v>bess_grid_energy</x:v>
      </x:c>
      <x:c r="D7" s="44" t="str">
        <x:v>GWh</x:v>
      </x:c>
      <x:c r="E7" s="149" t="n">
        <x:f>SUMIFS('03_RUNTIME_INPUTS'!$H$5:$H$165,'03_RUNTIME_INPUTS'!$A$5:$A$165,A7,'03_RUNTIME_INPUTS'!$F$5:$F$165,C7,'03_RUNTIME_INPUTS'!$G$5:$G$165,D7)</x:f>
        <x:v>3.9292682926829268</x:v>
      </x:c>
      <x:c r="F7" s="149" t="n">
        <x:f>SUMIFS('03_RUNTIME_INPUTS'!$I$5:$I$165,'03_RUNTIME_INPUTS'!$A$5:$A$165,A7,'03_RUNTIME_INPUTS'!$F$5:$F$165,C7,'03_RUNTIME_INPUTS'!$G$5:$G$165,D7)</x:f>
        <x:v>4.5841463414634145</x:v>
      </x:c>
      <x:c r="G7" s="50" t="str">
        <x:v>Grid-scale BESS energy</x:v>
      </x:c>
    </x:row>
    <x:row r="8">
      <x:c r="A8" s="49" t="str">
        <x:v>AT</x:v>
      </x:c>
      <x:c r="B8" s="44" t="str">
        <x:v>Austria</x:v>
      </x:c>
      <x:c r="C8" s="44" t="str">
        <x:v>bess_grid_power</x:v>
      </x:c>
      <x:c r="D8" s="44" t="str">
        <x:v>GW</x:v>
      </x:c>
      <x:c r="E8" s="149" t="n">
        <x:f>SUMIFS('03_RUNTIME_INPUTS'!$H$5:$H$165,'03_RUNTIME_INPUTS'!$A$5:$A$165,A8,'03_RUNTIME_INPUTS'!$F$5:$F$165,C8,'03_RUNTIME_INPUTS'!$G$5:$G$165,D8)</x:f>
        <x:v>1.9646341463414634</x:v>
      </x:c>
      <x:c r="F8" s="149" t="n">
        <x:f>SUMIFS('03_RUNTIME_INPUTS'!$I$5:$I$165,'03_RUNTIME_INPUTS'!$A$5:$A$165,A8,'03_RUNTIME_INPUTS'!$F$5:$F$165,C8,'03_RUNTIME_INPUTS'!$G$5:$G$165,D8)</x:f>
        <x:v>2.2920731707317072</x:v>
      </x:c>
      <x:c r="G8" s="50" t="str">
        <x:v>Grid-scale BESS power</x:v>
      </x:c>
    </x:row>
    <x:row r="9">
      <x:c r="A9" s="49" t="str">
        <x:v>AT</x:v>
      </x:c>
      <x:c r="B9" s="44" t="str">
        <x:v>Austria</x:v>
      </x:c>
      <x:c r="C9" s="44" t="str">
        <x:v>bioenergy_biomass</x:v>
      </x:c>
      <x:c r="D9" s="44" t="str">
        <x:v>GW</x:v>
      </x:c>
      <x:c r="E9" s="149" t="n">
        <x:f>SUMIFS('03_RUNTIME_INPUTS'!$H$5:$H$165,'03_RUNTIME_INPUTS'!$A$5:$A$165,A9,'03_RUNTIME_INPUTS'!$F$5:$F$165,C9,'03_RUNTIME_INPUTS'!$G$5:$G$165,D9)</x:f>
        <x:v>0.866</x:v>
      </x:c>
      <x:c r="F9" s="149" t="n">
        <x:f>SUMIFS('03_RUNTIME_INPUTS'!$I$5:$I$165,'03_RUNTIME_INPUTS'!$A$5:$A$165,A9,'03_RUNTIME_INPUTS'!$F$5:$F$165,C9,'03_RUNTIME_INPUTS'!$G$5:$G$165,D9)</x:f>
        <x:v>0.866</x:v>
      </x:c>
      <x:c r="G9" s="50" t="str">
        <x:v>Bioenergy / other renewables</x:v>
      </x:c>
    </x:row>
    <x:row r="10">
      <x:c r="A10" s="49" t="str">
        <x:v>AT</x:v>
      </x:c>
      <x:c r="B10" s="44" t="str">
        <x:v>Austria</x:v>
      </x:c>
      <x:c r="C10" s="44" t="str">
        <x:v>coal_lignite</x:v>
      </x:c>
      <x:c r="D10" s="44" t="str">
        <x:v>GW</x:v>
      </x:c>
      <x:c r="E10" s="149" t="n">
        <x:f>SUMIFS('03_RUNTIME_INPUTS'!$H$5:$H$165,'03_RUNTIME_INPUTS'!$A$5:$A$165,A10,'03_RUNTIME_INPUTS'!$F$5:$F$165,C10,'03_RUNTIME_INPUTS'!$G$5:$G$165,D10)</x:f>
        <x:v>0</x:v>
      </x:c>
      <x:c r="F10" s="149" t="n">
        <x:f>SUMIFS('03_RUNTIME_INPUTS'!$I$5:$I$165,'03_RUNTIME_INPUTS'!$A$5:$A$165,A10,'03_RUNTIME_INPUTS'!$F$5:$F$165,C10,'03_RUNTIME_INPUTS'!$G$5:$G$165,D10)</x:f>
        <x:v>0</x:v>
      </x:c>
      <x:c r="G10" s="50" t="str">
        <x:v>Coal / lignite</x:v>
      </x:c>
    </x:row>
    <x:row r="11">
      <x:c r="A11" s="49" t="str">
        <x:v>AT</x:v>
      </x:c>
      <x:c r="B11" s="44" t="str">
        <x:v>Austria</x:v>
      </x:c>
      <x:c r="C11" s="44" t="str">
        <x:v>demand</x:v>
      </x:c>
      <x:c r="D11" s="44" t="str">
        <x:v>TWh</x:v>
      </x:c>
      <x:c r="E11" s="149" t="n">
        <x:f>SUMIFS('03_RUNTIME_INPUTS'!$H$5:$H$165,'03_RUNTIME_INPUTS'!$A$5:$A$165,A11,'03_RUNTIME_INPUTS'!$F$5:$F$165,C11,'03_RUNTIME_INPUTS'!$G$5:$G$165,D11)</x:f>
        <x:v>109</x:v>
      </x:c>
      <x:c r="F11" s="149" t="n">
        <x:f>SUMIFS('03_RUNTIME_INPUTS'!$I$5:$I$165,'03_RUNTIME_INPUTS'!$A$5:$A$165,A11,'03_RUNTIME_INPUTS'!$F$5:$F$165,C11,'03_RUNTIME_INPUTS'!$G$5:$G$165,D11)</x:f>
        <x:v>121</x:v>
      </x:c>
      <x:c r="G11" s="50" t="str">
        <x:v>Annual electricity demand</x:v>
      </x:c>
    </x:row>
    <x:row r="12">
      <x:c r="A12" s="49" t="str">
        <x:v>AT</x:v>
      </x:c>
      <x:c r="B12" s="44" t="str">
        <x:v>Austria</x:v>
      </x:c>
      <x:c r="C12" s="44" t="str">
        <x:v>geothermal</x:v>
      </x:c>
      <x:c r="D12" s="44" t="str">
        <x:v>GW</x:v>
      </x:c>
      <x:c r="E12" s="149" t="n">
        <x:f>SUMIFS('03_RUNTIME_INPUTS'!$H$5:$H$165,'03_RUNTIME_INPUTS'!$A$5:$A$165,A12,'03_RUNTIME_INPUTS'!$F$5:$F$165,C12,'03_RUNTIME_INPUTS'!$G$5:$G$165,D12)</x:f>
        <x:v>0</x:v>
      </x:c>
      <x:c r="F12" s="149" t="n">
        <x:f>SUMIFS('03_RUNTIME_INPUTS'!$I$5:$I$165,'03_RUNTIME_INPUTS'!$A$5:$A$165,A12,'03_RUNTIME_INPUTS'!$F$5:$F$165,C12,'03_RUNTIME_INPUTS'!$G$5:$G$165,D12)</x:f>
        <x:v>0</x:v>
      </x:c>
      <x:c r="G12" s="50" t="str">
        <x:v>Geothermal electricity</x:v>
      </x:c>
    </x:row>
    <x:row r="13">
      <x:c r="A13" s="49" t="str">
        <x:v>AT</x:v>
      </x:c>
      <x:c r="B13" s="44" t="str">
        <x:v>Austria</x:v>
      </x:c>
      <x:c r="C13" s="44" t="str">
        <x:v>hydro_non_phs</x:v>
      </x:c>
      <x:c r="D13" s="44" t="str">
        <x:v>GW</x:v>
      </x:c>
      <x:c r="E13" s="149" t="n">
        <x:f>SUMIFS('03_RUNTIME_INPUTS'!$H$5:$H$165,'03_RUNTIME_INPUTS'!$A$5:$A$165,A13,'03_RUNTIME_INPUTS'!$F$5:$F$165,C13,'03_RUNTIME_INPUTS'!$G$5:$G$165,D13)</x:f>
        <x:v>11.748</x:v>
      </x:c>
      <x:c r="F13" s="149" t="n">
        <x:f>SUMIFS('03_RUNTIME_INPUTS'!$I$5:$I$165,'03_RUNTIME_INPUTS'!$A$5:$A$165,A13,'03_RUNTIME_INPUTS'!$F$5:$F$165,C13,'03_RUNTIME_INPUTS'!$G$5:$G$165,D13)</x:f>
        <x:v>11.748</x:v>
      </x:c>
      <x:c r="G13" s="50" t="str">
        <x:v>Run-of-river hydro; Reservoir / storage hydro turbine</x:v>
      </x:c>
    </x:row>
    <x:row r="14">
      <x:c r="A14" s="49" t="str">
        <x:v>AT</x:v>
      </x:c>
      <x:c r="B14" s="44" t="str">
        <x:v>Austria</x:v>
      </x:c>
      <x:c r="C14" s="44" t="str">
        <x:v>nuclear</x:v>
      </x:c>
      <x:c r="D14" s="44" t="str">
        <x:v>GW</x:v>
      </x:c>
      <x:c r="E14" s="149" t="n">
        <x:f>SUMIFS('03_RUNTIME_INPUTS'!$H$5:$H$165,'03_RUNTIME_INPUTS'!$A$5:$A$165,A14,'03_RUNTIME_INPUTS'!$F$5:$F$165,C14,'03_RUNTIME_INPUTS'!$G$5:$G$165,D14)</x:f>
        <x:v>0</x:v>
      </x:c>
      <x:c r="F14" s="149" t="n">
        <x:f>SUMIFS('03_RUNTIME_INPUTS'!$I$5:$I$165,'03_RUNTIME_INPUTS'!$A$5:$A$165,A14,'03_RUNTIME_INPUTS'!$F$5:$F$165,C14,'03_RUNTIME_INPUTS'!$G$5:$G$165,D14)</x:f>
        <x:v>0</x:v>
      </x:c>
      <x:c r="G14" s="50" t="str">
        <x:v>Nuclear</x:v>
      </x:c>
    </x:row>
    <x:row r="15">
      <x:c r="A15" s="49" t="str">
        <x:v>AT</x:v>
      </x:c>
      <x:c r="B15" s="44" t="str">
        <x:v>Austria</x:v>
      </x:c>
      <x:c r="C15" s="44" t="str">
        <x:v>phs_charge_power</x:v>
      </x:c>
      <x:c r="D15" s="44" t="str">
        <x:v>GW</x:v>
      </x:c>
      <x:c r="E15" s="149" t="n">
        <x:f>SUMIFS('03_RUNTIME_INPUTS'!$H$5:$H$165,'03_RUNTIME_INPUTS'!$A$5:$A$165,A15,'03_RUNTIME_INPUTS'!$F$5:$F$165,C15,'03_RUNTIME_INPUTS'!$G$5:$G$165,D15)</x:f>
        <x:v>6.59</x:v>
      </x:c>
      <x:c r="F15" s="149" t="n">
        <x:f>SUMIFS('03_RUNTIME_INPUTS'!$I$5:$I$165,'03_RUNTIME_INPUTS'!$A$5:$A$165,A15,'03_RUNTIME_INPUTS'!$F$5:$F$165,C15,'03_RUNTIME_INPUTS'!$G$5:$G$165,D15)</x:f>
        <x:v>6.59</x:v>
      </x:c>
      <x:c r="G15" s="50" t="str">
        <x:v>PHS pump / charge power</x:v>
      </x:c>
    </x:row>
    <x:row r="16">
      <x:c r="A16" s="49" t="str">
        <x:v>AT</x:v>
      </x:c>
      <x:c r="B16" s="44" t="str">
        <x:v>Austria</x:v>
      </x:c>
      <x:c r="C16" s="44" t="str">
        <x:v>phs_discharge_power</x:v>
      </x:c>
      <x:c r="D16" s="44" t="str">
        <x:v>GW</x:v>
      </x:c>
      <x:c r="E16" s="149" t="n">
        <x:f>SUMIFS('03_RUNTIME_INPUTS'!$H$5:$H$165,'03_RUNTIME_INPUTS'!$A$5:$A$165,A16,'03_RUNTIME_INPUTS'!$F$5:$F$165,C16,'03_RUNTIME_INPUTS'!$G$5:$G$165,D16)</x:f>
        <x:v>7.443</x:v>
      </x:c>
      <x:c r="F16" s="149" t="n">
        <x:f>SUMIFS('03_RUNTIME_INPUTS'!$I$5:$I$165,'03_RUNTIME_INPUTS'!$A$5:$A$165,A16,'03_RUNTIME_INPUTS'!$F$5:$F$165,C16,'03_RUNTIME_INPUTS'!$G$5:$G$165,D16)</x:f>
        <x:v>7.443</x:v>
      </x:c>
      <x:c r="G16" s="50" t="str">
        <x:v>PHS turbine / discharge power</x:v>
      </x:c>
    </x:row>
    <x:row r="17">
      <x:c r="A17" s="49" t="str">
        <x:v>AT</x:v>
      </x:c>
      <x:c r="B17" s="44" t="str">
        <x:v>Austria</x:v>
      </x:c>
      <x:c r="C17" s="44" t="str">
        <x:v>phs_energy</x:v>
      </x:c>
      <x:c r="D17" s="44" t="str">
        <x:v>GWh</x:v>
      </x:c>
      <x:c r="E17" s="149" t="n">
        <x:f>SUMIFS('03_RUNTIME_INPUTS'!$H$5:$H$165,'03_RUNTIME_INPUTS'!$A$5:$A$165,A17,'03_RUNTIME_INPUTS'!$F$5:$F$165,C17,'03_RUNTIME_INPUTS'!$G$5:$G$165,D17)</x:f>
        <x:v>223.23152671089383</x:v>
      </x:c>
      <x:c r="F17" s="149" t="n">
        <x:f>SUMIFS('03_RUNTIME_INPUTS'!$I$5:$I$165,'03_RUNTIME_INPUTS'!$A$5:$A$165,A17,'03_RUNTIME_INPUTS'!$F$5:$F$165,C17,'03_RUNTIME_INPUTS'!$G$5:$G$165,D17)</x:f>
        <x:v>223.23152671089383</x:v>
      </x:c>
      <x:c r="G17" s="50" t="str">
        <x:v>PHS working energy</x:v>
      </x:c>
    </x:row>
    <x:row r="18">
      <x:c r="A18" s="49" t="str">
        <x:v>AT</x:v>
      </x:c>
      <x:c r="B18" s="44" t="str">
        <x:v>Austria</x:v>
      </x:c>
      <x:c r="C18" s="44" t="str">
        <x:v>solar_pv</x:v>
      </x:c>
      <x:c r="D18" s="44" t="str">
        <x:v>GW</x:v>
      </x:c>
      <x:c r="E18" s="149" t="n">
        <x:f>SUMIFS('03_RUNTIME_INPUTS'!$H$5:$H$165,'03_RUNTIME_INPUTS'!$A$5:$A$165,A18,'03_RUNTIME_INPUTS'!$F$5:$F$165,C18,'03_RUNTIME_INPUTS'!$G$5:$G$165,D18)</x:f>
        <x:v>30</x:v>
      </x:c>
      <x:c r="F18" s="149" t="n">
        <x:f>SUMIFS('03_RUNTIME_INPUTS'!$I$5:$I$165,'03_RUNTIME_INPUTS'!$A$5:$A$165,A18,'03_RUNTIME_INPUTS'!$F$5:$F$165,C18,'03_RUNTIME_INPUTS'!$G$5:$G$165,D18)</x:f>
        <x:v>35</x:v>
      </x:c>
      <x:c r="G18" s="50" t="str">
        <x:v>Solar PV</x:v>
      </x:c>
    </x:row>
    <x:row r="19">
      <x:c r="A19" s="49" t="str">
        <x:v>AT</x:v>
      </x:c>
      <x:c r="B19" s="44" t="str">
        <x:v>Austria</x:v>
      </x:c>
      <x:c r="C19" s="44" t="str">
        <x:v>thermal_lowcarbon_gas_h2</x:v>
      </x:c>
      <x:c r="D19" s="44" t="str">
        <x:v>GW</x:v>
      </x:c>
      <x:c r="E19" s="149" t="n">
        <x:f>SUMIFS('03_RUNTIME_INPUTS'!$H$5:$H$165,'03_RUNTIME_INPUTS'!$A$5:$A$165,A19,'03_RUNTIME_INPUTS'!$F$5:$F$165,C19,'03_RUNTIME_INPUTS'!$G$5:$G$165,D19)</x:f>
        <x:v>0</x:v>
      </x:c>
      <x:c r="F19" s="149" t="n">
        <x:f>SUMIFS('03_RUNTIME_INPUTS'!$I$5:$I$165,'03_RUNTIME_INPUTS'!$A$5:$A$165,A19,'03_RUNTIME_INPUTS'!$F$5:$F$165,C19,'03_RUNTIME_INPUTS'!$G$5:$G$165,D19)</x:f>
        <x:v>0</x:v>
      </x:c>
      <x:c r="G19" s="50" t="str">
        <x:v>Hydrogen-fired thermal</x:v>
      </x:c>
    </x:row>
    <x:row r="20">
      <x:c r="A20" s="49" t="str">
        <x:v>AT</x:v>
      </x:c>
      <x:c r="B20" s="44" t="str">
        <x:v>Austria</x:v>
      </x:c>
      <x:c r="C20" s="44" t="str">
        <x:v>thermal_methane_gas</x:v>
      </x:c>
      <x:c r="D20" s="44" t="str">
        <x:v>GW</x:v>
      </x:c>
      <x:c r="E20" s="149" t="n">
        <x:f>SUMIFS('03_RUNTIME_INPUTS'!$H$5:$H$165,'03_RUNTIME_INPUTS'!$A$5:$A$165,A20,'03_RUNTIME_INPUTS'!$F$5:$F$165,C20,'03_RUNTIME_INPUTS'!$G$5:$G$165,D20)</x:f>
        <x:v>4.29</x:v>
      </x:c>
      <x:c r="F20" s="149" t="n">
        <x:f>SUMIFS('03_RUNTIME_INPUTS'!$I$5:$I$165,'03_RUNTIME_INPUTS'!$A$5:$A$165,A20,'03_RUNTIME_INPUTS'!$F$5:$F$165,C20,'03_RUNTIME_INPUTS'!$G$5:$G$165,D20)</x:f>
        <x:v>4.29</x:v>
      </x:c>
      <x:c r="G20" s="50" t="str">
        <x:v>Methane / gas CHP and peakers</x:v>
      </x:c>
    </x:row>
    <x:row r="21">
      <x:c r="A21" s="49" t="str">
        <x:v>AT</x:v>
      </x:c>
      <x:c r="B21" s="44" t="str">
        <x:v>Austria</x:v>
      </x:c>
      <x:c r="C21" s="44" t="str">
        <x:v>thermal_oil_liquid</x:v>
      </x:c>
      <x:c r="D21" s="44" t="str">
        <x:v>GW</x:v>
      </x:c>
      <x:c r="E21" s="149" t="n">
        <x:f>SUMIFS('03_RUNTIME_INPUTS'!$H$5:$H$165,'03_RUNTIME_INPUTS'!$A$5:$A$165,A21,'03_RUNTIME_INPUTS'!$F$5:$F$165,C21,'03_RUNTIME_INPUTS'!$G$5:$G$165,D21)</x:f>
        <x:v>0</x:v>
      </x:c>
      <x:c r="F21" s="149" t="n">
        <x:f>SUMIFS('03_RUNTIME_INPUTS'!$I$5:$I$165,'03_RUNTIME_INPUTS'!$A$5:$A$165,A21,'03_RUNTIME_INPUTS'!$F$5:$F$165,C21,'03_RUNTIME_INPUTS'!$G$5:$G$165,D21)</x:f>
        <x:v>0</x:v>
      </x:c>
      <x:c r="G21" s="50" t="str">
        <x:v>Oil / other fossil thermal</x:v>
      </x:c>
    </x:row>
    <x:row r="22">
      <x:c r="A22" s="49" t="str">
        <x:v>AT</x:v>
      </x:c>
      <x:c r="B22" s="44" t="str">
        <x:v>Austria</x:v>
      </x:c>
      <x:c r="C22" s="44" t="str">
        <x:v>wind_offshore</x:v>
      </x:c>
      <x:c r="D22" s="44" t="str">
        <x:v>GW</x:v>
      </x:c>
      <x:c r="E22" s="149" t="n">
        <x:f>SUMIFS('03_RUNTIME_INPUTS'!$H$5:$H$165,'03_RUNTIME_INPUTS'!$A$5:$A$165,A22,'03_RUNTIME_INPUTS'!$F$5:$F$165,C22,'03_RUNTIME_INPUTS'!$G$5:$G$165,D22)</x:f>
        <x:v>0</x:v>
      </x:c>
      <x:c r="F22" s="149" t="n">
        <x:f>SUMIFS('03_RUNTIME_INPUTS'!$I$5:$I$165,'03_RUNTIME_INPUTS'!$A$5:$A$165,A22,'03_RUNTIME_INPUTS'!$F$5:$F$165,C22,'03_RUNTIME_INPUTS'!$G$5:$G$165,D22)</x:f>
        <x:v>0</x:v>
      </x:c>
      <x:c r="G22" s="50" t="str">
        <x:v>Offshore wind</x:v>
      </x:c>
    </x:row>
    <x:row r="23">
      <x:c r="A23" s="49" t="str">
        <x:v>AT</x:v>
      </x:c>
      <x:c r="B23" s="44" t="str">
        <x:v>Austria</x:v>
      </x:c>
      <x:c r="C23" s="44" t="str">
        <x:v>wind_onshore</x:v>
      </x:c>
      <x:c r="D23" s="44" t="str">
        <x:v>GW</x:v>
      </x:c>
      <x:c r="E23" s="149" t="n">
        <x:f>SUMIFS('03_RUNTIME_INPUTS'!$H$5:$H$165,'03_RUNTIME_INPUTS'!$A$5:$A$165,A23,'03_RUNTIME_INPUTS'!$F$5:$F$165,C23,'03_RUNTIME_INPUTS'!$G$5:$G$165,D23)</x:f>
        <x:v>9.6</x:v>
      </x:c>
      <x:c r="F23" s="149" t="n">
        <x:f>SUMIFS('03_RUNTIME_INPUTS'!$I$5:$I$165,'03_RUNTIME_INPUTS'!$A$5:$A$165,A23,'03_RUNTIME_INPUTS'!$F$5:$F$165,C23,'03_RUNTIME_INPUTS'!$G$5:$G$165,D23)</x:f>
        <x:v>10.799999999999999</x:v>
      </x:c>
      <x:c r="G23" s="50" t="str">
        <x:v>Onshore wind</x:v>
      </x:c>
    </x:row>
    <x:row r="24">
      <x:c r="A24" s="49" t="str">
        <x:v>CH</x:v>
      </x:c>
      <x:c r="B24" s="44" t="str">
        <x:v>Switzerland</x:v>
      </x:c>
      <x:c r="C24" s="44" t="str">
        <x:v>bess_distributed_energy</x:v>
      </x:c>
      <x:c r="D24" s="44" t="str">
        <x:v>GWh</x:v>
      </x:c>
      <x:c r="E24" s="149" t="n">
        <x:f>SUMIFS('03_RUNTIME_INPUTS'!$H$5:$H$165,'03_RUNTIME_INPUTS'!$A$5:$A$165,A24,'03_RUNTIME_INPUTS'!$F$5:$F$165,C24,'03_RUNTIME_INPUTS'!$G$5:$G$165,D24)</x:f>
        <x:v>2.78</x:v>
      </x:c>
      <x:c r="F24" s="149" t="n">
        <x:f>SUMIFS('03_RUNTIME_INPUTS'!$I$5:$I$165,'03_RUNTIME_INPUTS'!$A$5:$A$165,A24,'03_RUNTIME_INPUTS'!$F$5:$F$165,C24,'03_RUNTIME_INPUTS'!$G$5:$G$165,D24)</x:f>
        <x:v>4.5</x:v>
      </x:c>
      <x:c r="G24" s="50" t="str">
        <x:v>Decentralized / home BESS energy</x:v>
      </x:c>
    </x:row>
    <x:row r="25">
      <x:c r="A25" s="49" t="str">
        <x:v>CH</x:v>
      </x:c>
      <x:c r="B25" s="44" t="str">
        <x:v>Switzerland</x:v>
      </x:c>
      <x:c r="C25" s="44" t="str">
        <x:v>bess_distributed_power</x:v>
      </x:c>
      <x:c r="D25" s="44" t="str">
        <x:v>GW</x:v>
      </x:c>
      <x:c r="E25" s="149" t="n">
        <x:f>SUMIFS('03_RUNTIME_INPUTS'!$H$5:$H$165,'03_RUNTIME_INPUTS'!$A$5:$A$165,A25,'03_RUNTIME_INPUTS'!$F$5:$F$165,C25,'03_RUNTIME_INPUTS'!$G$5:$G$165,D25)</x:f>
        <x:v>5.55</x:v>
      </x:c>
      <x:c r="F25" s="149" t="n">
        <x:f>SUMIFS('03_RUNTIME_INPUTS'!$I$5:$I$165,'03_RUNTIME_INPUTS'!$A$5:$A$165,A25,'03_RUNTIME_INPUTS'!$F$5:$F$165,C25,'03_RUNTIME_INPUTS'!$G$5:$G$165,D25)</x:f>
        <x:v>9</x:v>
      </x:c>
      <x:c r="G25" s="50" t="str">
        <x:v>Decentralized / home BESS power</x:v>
      </x:c>
    </x:row>
    <x:row r="26">
      <x:c r="A26" s="49" t="str">
        <x:v>CH</x:v>
      </x:c>
      <x:c r="B26" s="44" t="str">
        <x:v>Switzerland</x:v>
      </x:c>
      <x:c r="C26" s="44" t="str">
        <x:v>bess_grid_energy</x:v>
      </x:c>
      <x:c r="D26" s="44" t="str">
        <x:v>GWh</x:v>
      </x:c>
      <x:c r="E26" s="149" t="n">
        <x:f>SUMIFS('03_RUNTIME_INPUTS'!$H$5:$H$165,'03_RUNTIME_INPUTS'!$A$5:$A$165,A26,'03_RUNTIME_INPUTS'!$F$5:$F$165,C26,'03_RUNTIME_INPUTS'!$G$5:$G$165,D26)</x:f>
        <x:v>15.14121212121212</x:v>
      </x:c>
      <x:c r="F26" s="149" t="n">
        <x:f>SUMIFS('03_RUNTIME_INPUTS'!$I$5:$I$165,'03_RUNTIME_INPUTS'!$A$5:$A$165,A26,'03_RUNTIME_INPUTS'!$F$5:$F$165,C26,'03_RUNTIME_INPUTS'!$G$5:$G$165,D26)</x:f>
        <x:v>16.267605633802816</x:v>
      </x:c>
      <x:c r="G26" s="50" t="str">
        <x:v>Grid-scale BESS energy</x:v>
      </x:c>
    </x:row>
    <x:row r="27">
      <x:c r="A27" s="49" t="str">
        <x:v>CH</x:v>
      </x:c>
      <x:c r="B27" s="44" t="str">
        <x:v>Switzerland</x:v>
      </x:c>
      <x:c r="C27" s="44" t="str">
        <x:v>bess_grid_power</x:v>
      </x:c>
      <x:c r="D27" s="44" t="str">
        <x:v>GW</x:v>
      </x:c>
      <x:c r="E27" s="149" t="n">
        <x:f>SUMIFS('03_RUNTIME_INPUTS'!$H$5:$H$165,'03_RUNTIME_INPUTS'!$A$5:$A$165,A27,'03_RUNTIME_INPUTS'!$F$5:$F$165,C27,'03_RUNTIME_INPUTS'!$G$5:$G$165,D27)</x:f>
        <x:v>2.9427272727272724</x:v>
      </x:c>
      <x:c r="F27" s="149" t="n">
        <x:f>SUMIFS('03_RUNTIME_INPUTS'!$I$5:$I$165,'03_RUNTIME_INPUTS'!$A$5:$A$165,A27,'03_RUNTIME_INPUTS'!$F$5:$F$165,C27,'03_RUNTIME_INPUTS'!$G$5:$G$165,D27)</x:f>
        <x:v>3.2746478873239435</x:v>
      </x:c>
      <x:c r="G27" s="50" t="str">
        <x:v>Grid-scale BESS power</x:v>
      </x:c>
    </x:row>
    <x:row r="28">
      <x:c r="A28" s="49" t="str">
        <x:v>CH</x:v>
      </x:c>
      <x:c r="B28" s="44" t="str">
        <x:v>Switzerland</x:v>
      </x:c>
      <x:c r="C28" s="44" t="str">
        <x:v>bioenergy_biogas</x:v>
      </x:c>
      <x:c r="D28" s="44" t="str">
        <x:v>GW</x:v>
      </x:c>
      <x:c r="E28" s="149" t="n">
        <x:f>SUMIFS('03_RUNTIME_INPUTS'!$H$5:$H$165,'03_RUNTIME_INPUTS'!$A$5:$A$165,A28,'03_RUNTIME_INPUTS'!$F$5:$F$165,C28,'03_RUNTIME_INPUTS'!$G$5:$G$165,D28)</x:f>
        <x:v>0.25</x:v>
      </x:c>
      <x:c r="F28" s="149" t="n">
        <x:f>SUMIFS('03_RUNTIME_INPUTS'!$I$5:$I$165,'03_RUNTIME_INPUTS'!$A$5:$A$165,A28,'03_RUNTIME_INPUTS'!$F$5:$F$165,C28,'03_RUNTIME_INPUTS'!$G$5:$G$165,D28)</x:f>
        <x:v>0.37499999999999994</x:v>
      </x:c>
      <x:c r="G28" s="50" t="str">
        <x:v>Biogas / biomethane CHP</x:v>
      </x:c>
    </x:row>
    <x:row r="29">
      <x:c r="A29" s="49" t="str">
        <x:v>CH</x:v>
      </x:c>
      <x:c r="B29" s="44" t="str">
        <x:v>Switzerland</x:v>
      </x:c>
      <x:c r="C29" s="44" t="str">
        <x:v>bioenergy_biomass</x:v>
      </x:c>
      <x:c r="D29" s="44" t="str">
        <x:v>GW</x:v>
      </x:c>
      <x:c r="E29" s="149" t="n">
        <x:f>SUMIFS('03_RUNTIME_INPUTS'!$H$5:$H$165,'03_RUNTIME_INPUTS'!$A$5:$A$165,A29,'03_RUNTIME_INPUTS'!$F$5:$F$165,C29,'03_RUNTIME_INPUTS'!$G$5:$G$165,D29)</x:f>
        <x:v>0.07</x:v>
      </x:c>
      <x:c r="F29" s="149" t="n">
        <x:f>SUMIFS('03_RUNTIME_INPUTS'!$I$5:$I$165,'03_RUNTIME_INPUTS'!$A$5:$A$165,A29,'03_RUNTIME_INPUTS'!$F$5:$F$165,C29,'03_RUNTIME_INPUTS'!$G$5:$G$165,D29)</x:f>
        <x:v>0.07</x:v>
      </x:c>
      <x:c r="G29" s="50" t="str">
        <x:v>Biomass wood CHP</x:v>
      </x:c>
    </x:row>
    <x:row r="30">
      <x:c r="A30" s="49" t="str">
        <x:v>CH</x:v>
      </x:c>
      <x:c r="B30" s="44" t="str">
        <x:v>Switzerland</x:v>
      </x:c>
      <x:c r="C30" s="44" t="str">
        <x:v>coal_lignite</x:v>
      </x:c>
      <x:c r="D30" s="44" t="str">
        <x:v>GW</x:v>
      </x:c>
      <x:c r="E30" s="149" t="n">
        <x:f>SUMIFS('03_RUNTIME_INPUTS'!$H$5:$H$165,'03_RUNTIME_INPUTS'!$A$5:$A$165,A30,'03_RUNTIME_INPUTS'!$F$5:$F$165,C30,'03_RUNTIME_INPUTS'!$G$5:$G$165,D30)</x:f>
        <x:v>0</x:v>
      </x:c>
      <x:c r="F30" s="149" t="n">
        <x:f>SUMIFS('03_RUNTIME_INPUTS'!$I$5:$I$165,'03_RUNTIME_INPUTS'!$A$5:$A$165,A30,'03_RUNTIME_INPUTS'!$F$5:$F$165,C30,'03_RUNTIME_INPUTS'!$G$5:$G$165,D30)</x:f>
        <x:v>0</x:v>
      </x:c>
      <x:c r="G30" s="50" t="str">
        <x:v>Coal / lignite</x:v>
      </x:c>
    </x:row>
    <x:row r="31">
      <x:c r="A31" s="49" t="str">
        <x:v>CH</x:v>
      </x:c>
      <x:c r="B31" s="44" t="str">
        <x:v>Switzerland</x:v>
      </x:c>
      <x:c r="C31" s="44" t="str">
        <x:v>demand</x:v>
      </x:c>
      <x:c r="D31" s="44" t="str">
        <x:v>TWh</x:v>
      </x:c>
      <x:c r="E31" s="149" t="n">
        <x:f>SUMIFS('03_RUNTIME_INPUTS'!$H$5:$H$165,'03_RUNTIME_INPUTS'!$A$5:$A$165,A31,'03_RUNTIME_INPUTS'!$F$5:$F$165,C31,'03_RUNTIME_INPUTS'!$G$5:$G$165,D31)</x:f>
        <x:v>71.5</x:v>
      </x:c>
      <x:c r="F31" s="149" t="n">
        <x:f>SUMIFS('03_RUNTIME_INPUTS'!$I$5:$I$165,'03_RUNTIME_INPUTS'!$A$5:$A$165,A31,'03_RUNTIME_INPUTS'!$F$5:$F$165,C31,'03_RUNTIME_INPUTS'!$G$5:$G$165,D31)</x:f>
        <x:v>76</x:v>
      </x:c>
      <x:c r="G31" s="50" t="str">
        <x:v>Annual electricity demand</x:v>
      </x:c>
    </x:row>
    <x:row r="32">
      <x:c r="A32" s="49" t="str">
        <x:v>CH</x:v>
      </x:c>
      <x:c r="B32" s="44" t="str">
        <x:v>Switzerland</x:v>
      </x:c>
      <x:c r="C32" s="44" t="str">
        <x:v>geothermal</x:v>
      </x:c>
      <x:c r="D32" s="44" t="str">
        <x:v>GW</x:v>
      </x:c>
      <x:c r="E32" s="149" t="n">
        <x:f>SUMIFS('03_RUNTIME_INPUTS'!$H$5:$H$165,'03_RUNTIME_INPUTS'!$A$5:$A$165,A32,'03_RUNTIME_INPUTS'!$F$5:$F$165,C32,'03_RUNTIME_INPUTS'!$G$5:$G$165,D32)</x:f>
        <x:v>0.09</x:v>
      </x:c>
      <x:c r="F32" s="149" t="n">
        <x:f>SUMIFS('03_RUNTIME_INPUTS'!$I$5:$I$165,'03_RUNTIME_INPUTS'!$A$5:$A$165,A32,'03_RUNTIME_INPUTS'!$F$5:$F$165,C32,'03_RUNTIME_INPUTS'!$G$5:$G$165,D32)</x:f>
        <x:v>0.3</x:v>
      </x:c>
      <x:c r="G32" s="50" t="str">
        <x:v>Geothermal electricity / CHP</x:v>
      </x:c>
    </x:row>
    <x:row r="33">
      <x:c r="A33" s="49" t="str">
        <x:v>CH</x:v>
      </x:c>
      <x:c r="B33" s="44" t="str">
        <x:v>Switzerland</x:v>
      </x:c>
      <x:c r="C33" s="44" t="str">
        <x:v>hydro_non_phs</x:v>
      </x:c>
      <x:c r="D33" s="44" t="str">
        <x:v>GW</x:v>
      </x:c>
      <x:c r="E33" s="149" t="n">
        <x:f>SUMIFS('03_RUNTIME_INPUTS'!$H$5:$H$165,'03_RUNTIME_INPUTS'!$A$5:$A$165,A33,'03_RUNTIME_INPUTS'!$F$5:$F$165,C33,'03_RUNTIME_INPUTS'!$G$5:$G$165,D33)</x:f>
        <x:v>13.239999999999998</x:v>
      </x:c>
      <x:c r="F33" s="149" t="n">
        <x:f>SUMIFS('03_RUNTIME_INPUTS'!$I$5:$I$165,'03_RUNTIME_INPUTS'!$A$5:$A$165,A33,'03_RUNTIME_INPUTS'!$F$5:$F$165,C33,'03_RUNTIME_INPUTS'!$G$5:$G$165,D33)</x:f>
        <x:v>14</x:v>
      </x:c>
      <x:c r="G33" s="50" t="str">
        <x:v>Run-of-river hydro; Reservoir hydro; Small hydro</x:v>
      </x:c>
    </x:row>
    <x:row r="34">
      <x:c r="A34" s="49" t="str">
        <x:v>CH</x:v>
      </x:c>
      <x:c r="B34" s="44" t="str">
        <x:v>Switzerland</x:v>
      </x:c>
      <x:c r="C34" s="44" t="str">
        <x:v>nuclear</x:v>
      </x:c>
      <x:c r="D34" s="44" t="str">
        <x:v>GW</x:v>
      </x:c>
      <x:c r="E34" s="149" t="n">
        <x:f>SUMIFS('03_RUNTIME_INPUTS'!$H$5:$H$165,'03_RUNTIME_INPUTS'!$A$5:$A$165,A34,'03_RUNTIME_INPUTS'!$F$5:$F$165,C34,'03_RUNTIME_INPUTS'!$G$5:$G$165,D34)</x:f>
        <x:v>0</x:v>
      </x:c>
      <x:c r="F34" s="149" t="n">
        <x:f>SUMIFS('03_RUNTIME_INPUTS'!$I$5:$I$165,'03_RUNTIME_INPUTS'!$A$5:$A$165,A34,'03_RUNTIME_INPUTS'!$F$5:$F$165,C34,'03_RUNTIME_INPUTS'!$G$5:$G$165,D34)</x:f>
        <x:v>0</x:v>
      </x:c>
      <x:c r="G34" s="50" t="str">
        <x:v>Nuclear</x:v>
      </x:c>
    </x:row>
    <x:row r="35">
      <x:c r="A35" s="49" t="str">
        <x:v>CH</x:v>
      </x:c>
      <x:c r="B35" s="44" t="str">
        <x:v>Switzerland</x:v>
      </x:c>
      <x:c r="C35" s="44" t="str">
        <x:v>phs_charge_power</x:v>
      </x:c>
      <x:c r="D35" s="44" t="str">
        <x:v>GW</x:v>
      </x:c>
      <x:c r="E35" s="149" t="n">
        <x:f>SUMIFS('03_RUNTIME_INPUTS'!$H$5:$H$165,'03_RUNTIME_INPUTS'!$A$5:$A$165,A35,'03_RUNTIME_INPUTS'!$F$5:$F$165,C35,'03_RUNTIME_INPUTS'!$G$5:$G$165,D35)</x:f>
        <x:v>5.45</x:v>
      </x:c>
      <x:c r="F35" s="149" t="n">
        <x:f>SUMIFS('03_RUNTIME_INPUTS'!$I$5:$I$165,'03_RUNTIME_INPUTS'!$A$5:$A$165,A35,'03_RUNTIME_INPUTS'!$F$5:$F$165,C35,'03_RUNTIME_INPUTS'!$G$5:$G$165,D35)</x:f>
        <x:v>5.45</x:v>
      </x:c>
      <x:c r="G35" s="50" t="str">
        <x:v>PHS pump / charge power</x:v>
      </x:c>
    </x:row>
    <x:row r="36">
      <x:c r="A36" s="49" t="str">
        <x:v>CH</x:v>
      </x:c>
      <x:c r="B36" s="44" t="str">
        <x:v>Switzerland</x:v>
      </x:c>
      <x:c r="C36" s="44" t="str">
        <x:v>phs_discharge_power</x:v>
      </x:c>
      <x:c r="D36" s="44" t="str">
        <x:v>GW</x:v>
      </x:c>
      <x:c r="E36" s="149" t="n">
        <x:f>SUMIFS('03_RUNTIME_INPUTS'!$H$5:$H$165,'03_RUNTIME_INPUTS'!$A$5:$A$165,A36,'03_RUNTIME_INPUTS'!$F$5:$F$165,C36,'03_RUNTIME_INPUTS'!$G$5:$G$165,D36)</x:f>
        <x:v>6.02</x:v>
      </x:c>
      <x:c r="F36" s="149" t="n">
        <x:f>SUMIFS('03_RUNTIME_INPUTS'!$I$5:$I$165,'03_RUNTIME_INPUTS'!$A$5:$A$165,A36,'03_RUNTIME_INPUTS'!$F$5:$F$165,C36,'03_RUNTIME_INPUTS'!$G$5:$G$165,D36)</x:f>
        <x:v>6</x:v>
      </x:c>
      <x:c r="G36" s="50" t="str">
        <x:v>PHS turbine / discharge power</x:v>
      </x:c>
    </x:row>
    <x:row r="37">
      <x:c r="A37" s="49" t="str">
        <x:v>CH</x:v>
      </x:c>
      <x:c r="B37" s="44" t="str">
        <x:v>Switzerland</x:v>
      </x:c>
      <x:c r="C37" s="44" t="str">
        <x:v>phs_energy</x:v>
      </x:c>
      <x:c r="D37" s="44" t="str">
        <x:v>GWh</x:v>
      </x:c>
      <x:c r="E37" s="149" t="n">
        <x:f>SUMIFS('03_RUNTIME_INPUTS'!$H$5:$H$165,'03_RUNTIME_INPUTS'!$A$5:$A$165,A37,'03_RUNTIME_INPUTS'!$F$5:$F$165,C37,'03_RUNTIME_INPUTS'!$G$5:$G$165,D37)</x:f>
        <x:v>1410</x:v>
      </x:c>
      <x:c r="F37" s="149" t="n">
        <x:f>SUMIFS('03_RUNTIME_INPUTS'!$I$5:$I$165,'03_RUNTIME_INPUTS'!$A$5:$A$165,A37,'03_RUNTIME_INPUTS'!$F$5:$F$165,C37,'03_RUNTIME_INPUTS'!$G$5:$G$165,D37)</x:f>
        <x:v>1410</x:v>
      </x:c>
      <x:c r="G37" s="50" t="str">
        <x:v>PHS energy capacity</x:v>
      </x:c>
    </x:row>
    <x:row r="38">
      <x:c r="A38" s="49" t="str">
        <x:v>CH</x:v>
      </x:c>
      <x:c r="B38" s="44" t="str">
        <x:v>Switzerland</x:v>
      </x:c>
      <x:c r="C38" s="44" t="str">
        <x:v>solar_pv</x:v>
      </x:c>
      <x:c r="D38" s="44" t="str">
        <x:v>GW</x:v>
      </x:c>
      <x:c r="E38" s="149" t="n">
        <x:f>SUMIFS('03_RUNTIME_INPUTS'!$H$5:$H$165,'03_RUNTIME_INPUTS'!$A$5:$A$165,A38,'03_RUNTIME_INPUTS'!$F$5:$F$165,C38,'03_RUNTIME_INPUTS'!$G$5:$G$165,D38)</x:f>
        <x:v>24.07</x:v>
      </x:c>
      <x:c r="F38" s="149" t="n">
        <x:f>SUMIFS('03_RUNTIME_INPUTS'!$I$5:$I$165,'03_RUNTIME_INPUTS'!$A$5:$A$165,A38,'03_RUNTIME_INPUTS'!$F$5:$F$165,C38,'03_RUNTIME_INPUTS'!$G$5:$G$165,D38)</x:f>
        <x:v>37.5</x:v>
      </x:c>
      <x:c r="G38" s="50" t="str">
        <x:v>Solar PV</x:v>
      </x:c>
    </x:row>
    <x:row r="39">
      <x:c r="A39" s="49" t="str">
        <x:v>CH</x:v>
      </x:c>
      <x:c r="B39" s="44" t="str">
        <x:v>Switzerland</x:v>
      </x:c>
      <x:c r="C39" s="44" t="str">
        <x:v>thermal_backup_other</x:v>
      </x:c>
      <x:c r="D39" s="44" t="str">
        <x:v>GW</x:v>
      </x:c>
      <x:c r="E39" s="149" t="n">
        <x:f>SUMIFS('03_RUNTIME_INPUTS'!$H$5:$H$165,'03_RUNTIME_INPUTS'!$A$5:$A$165,A39,'03_RUNTIME_INPUTS'!$F$5:$F$165,C39,'03_RUNTIME_INPUTS'!$G$5:$G$165,D39)</x:f>
        <x:v>0</x:v>
      </x:c>
      <x:c r="F39" s="149" t="n">
        <x:f>SUMIFS('03_RUNTIME_INPUTS'!$I$5:$I$165,'03_RUNTIME_INPUTS'!$A$5:$A$165,A39,'03_RUNTIME_INPUTS'!$F$5:$F$165,C39,'03_RUNTIME_INPUTS'!$G$5:$G$165,D39)</x:f>
        <x:v>0</x:v>
      </x:c>
      <x:c r="G39" s="50" t="str">
        <x:v>Dedicated backup gas / H2 turbines</x:v>
      </x:c>
    </x:row>
    <x:row r="40">
      <x:c r="A40" s="49" t="str">
        <x:v>CH</x:v>
      </x:c>
      <x:c r="B40" s="44" t="str">
        <x:v>Switzerland</x:v>
      </x:c>
      <x:c r="C40" s="44" t="str">
        <x:v>thermal_oil_liquid</x:v>
      </x:c>
      <x:c r="D40" s="44" t="str">
        <x:v>GW</x:v>
      </x:c>
      <x:c r="E40" s="149" t="n">
        <x:f>SUMIFS('03_RUNTIME_INPUTS'!$H$5:$H$165,'03_RUNTIME_INPUTS'!$A$5:$A$165,A40,'03_RUNTIME_INPUTS'!$F$5:$F$165,C40,'03_RUNTIME_INPUTS'!$G$5:$G$165,D40)</x:f>
        <x:v>0</x:v>
      </x:c>
      <x:c r="F40" s="149" t="n">
        <x:f>SUMIFS('03_RUNTIME_INPUTS'!$I$5:$I$165,'03_RUNTIME_INPUTS'!$A$5:$A$165,A40,'03_RUNTIME_INPUTS'!$F$5:$F$165,C40,'03_RUNTIME_INPUTS'!$G$5:$G$165,D40)</x:f>
        <x:v>0</x:v>
      </x:c>
      <x:c r="G40" s="50" t="str">
        <x:v>Oil / gasoil generation</x:v>
      </x:c>
    </x:row>
    <x:row r="41">
      <x:c r="A41" s="49" t="str">
        <x:v>CH</x:v>
      </x:c>
      <x:c r="B41" s="44" t="str">
        <x:v>Switzerland</x:v>
      </x:c>
      <x:c r="C41" s="44" t="str">
        <x:v>thermal_other_chp</x:v>
      </x:c>
      <x:c r="D41" s="44" t="str">
        <x:v>GW</x:v>
      </x:c>
      <x:c r="E41" s="149" t="n">
        <x:f>SUMIFS('03_RUNTIME_INPUTS'!$H$5:$H$165,'03_RUNTIME_INPUTS'!$A$5:$A$165,A41,'03_RUNTIME_INPUTS'!$F$5:$F$165,C41,'03_RUNTIME_INPUTS'!$G$5:$G$165,D41)</x:f>
        <x:v>0.2</x:v>
      </x:c>
      <x:c r="F41" s="149" t="n">
        <x:f>SUMIFS('03_RUNTIME_INPUTS'!$I$5:$I$165,'03_RUNTIME_INPUTS'!$A$5:$A$165,A41,'03_RUNTIME_INPUTS'!$F$5:$F$165,C41,'03_RUNTIME_INPUTS'!$G$5:$G$165,D41)</x:f>
        <x:v>0.2</x:v>
      </x:c>
      <x:c r="G41" s="50" t="str">
        <x:v>Other central thermal CHP</x:v>
      </x:c>
    </x:row>
    <x:row r="42">
      <x:c r="A42" s="49" t="str">
        <x:v>CH</x:v>
      </x:c>
      <x:c r="B42" s="44" t="str">
        <x:v>Switzerland</x:v>
      </x:c>
      <x:c r="C42" s="44" t="str">
        <x:v>waste_chp</x:v>
      </x:c>
      <x:c r="D42" s="44" t="str">
        <x:v>GW</x:v>
      </x:c>
      <x:c r="E42" s="149" t="n">
        <x:f>SUMIFS('03_RUNTIME_INPUTS'!$H$5:$H$165,'03_RUNTIME_INPUTS'!$A$5:$A$165,A42,'03_RUNTIME_INPUTS'!$F$5:$F$165,C42,'03_RUNTIME_INPUTS'!$G$5:$G$165,D42)</x:f>
        <x:v>0.44999999999999996</x:v>
      </x:c>
      <x:c r="F42" s="149" t="n">
        <x:f>SUMIFS('03_RUNTIME_INPUTS'!$I$5:$I$165,'03_RUNTIME_INPUTS'!$A$5:$A$165,A42,'03_RUNTIME_INPUTS'!$F$5:$F$165,C42,'03_RUNTIME_INPUTS'!$G$5:$G$165,D42)</x:f>
        <x:v>0.44999999999999996</x:v>
      </x:c>
      <x:c r="G42" s="50" t="str">
        <x:v>Waste incineration CHP (KVA); Wastewater / ARA CHP</x:v>
      </x:c>
    </x:row>
    <x:row r="43">
      <x:c r="A43" s="49" t="str">
        <x:v>CH</x:v>
      </x:c>
      <x:c r="B43" s="44" t="str">
        <x:v>Switzerland</x:v>
      </x:c>
      <x:c r="C43" s="44" t="str">
        <x:v>wind_onshore</x:v>
      </x:c>
      <x:c r="D43" s="44" t="str">
        <x:v>GW</x:v>
      </x:c>
      <x:c r="E43" s="149" t="n">
        <x:f>SUMIFS('03_RUNTIME_INPUTS'!$H$5:$H$165,'03_RUNTIME_INPUTS'!$A$5:$A$165,A43,'03_RUNTIME_INPUTS'!$F$5:$F$165,C43,'03_RUNTIME_INPUTS'!$G$5:$G$165,D43)</x:f>
        <x:v>1.15</x:v>
      </x:c>
      <x:c r="F43" s="149" t="n">
        <x:f>SUMIFS('03_RUNTIME_INPUTS'!$I$5:$I$165,'03_RUNTIME_INPUTS'!$A$5:$A$165,A43,'03_RUNTIME_INPUTS'!$F$5:$F$165,C43,'03_RUNTIME_INPUTS'!$G$5:$G$165,D43)</x:f>
        <x:v>2.2</x:v>
      </x:c>
      <x:c r="G43" s="50" t="str">
        <x:v>Onshore wind</x:v>
      </x:c>
    </x:row>
    <x:row r="44">
      <x:c r="A44" s="49" t="str">
        <x:v>FR</x:v>
      </x:c>
      <x:c r="B44" s="44" t="str">
        <x:v>France</x:v>
      </x:c>
      <x:c r="C44" s="44" t="str">
        <x:v>bess_grid_energy</x:v>
      </x:c>
      <x:c r="D44" s="44" t="str">
        <x:v>GWh</x:v>
      </x:c>
      <x:c r="E44" s="149" t="n">
        <x:f>SUMIFS('03_RUNTIME_INPUTS'!$H$5:$H$165,'03_RUNTIME_INPUTS'!$A$5:$A$165,A44,'03_RUNTIME_INPUTS'!$F$5:$F$165,C44,'03_RUNTIME_INPUTS'!$G$5:$G$165,D44)</x:f>
        <x:v>8.470809792843692</x:v>
      </x:c>
      <x:c r="F44" s="149" t="n">
        <x:f>SUMIFS('03_RUNTIME_INPUTS'!$I$5:$I$165,'03_RUNTIME_INPUTS'!$A$5:$A$165,A44,'03_RUNTIME_INPUTS'!$F$5:$F$165,C44,'03_RUNTIME_INPUTS'!$G$5:$G$165,D44)</x:f>
        <x:v>44.237288135593225</x:v>
      </x:c>
      <x:c r="G44" s="50" t="str">
        <x:v>BESS energy</x:v>
      </x:c>
    </x:row>
    <x:row r="45">
      <x:c r="A45" s="49" t="str">
        <x:v>FR</x:v>
      </x:c>
      <x:c r="B45" s="44" t="str">
        <x:v>France</x:v>
      </x:c>
      <x:c r="C45" s="44" t="str">
        <x:v>bess_grid_power</x:v>
      </x:c>
      <x:c r="D45" s="44" t="str">
        <x:v>GW</x:v>
      </x:c>
      <x:c r="E45" s="149" t="n">
        <x:f>SUMIFS('03_RUNTIME_INPUTS'!$H$5:$H$165,'03_RUNTIME_INPUTS'!$A$5:$A$165,A45,'03_RUNTIME_INPUTS'!$F$5:$F$165,C45,'03_RUNTIME_INPUTS'!$G$5:$G$165,D45)</x:f>
        <x:v>2.117702448210923</x:v>
      </x:c>
      <x:c r="F45" s="149" t="n">
        <x:f>SUMIFS('03_RUNTIME_INPUTS'!$I$5:$I$165,'03_RUNTIME_INPUTS'!$A$5:$A$165,A45,'03_RUNTIME_INPUTS'!$F$5:$F$165,C45,'03_RUNTIME_INPUTS'!$G$5:$G$165,D45)</x:f>
        <x:v>11.059322033898306</x:v>
      </x:c>
      <x:c r="G45" s="50" t="str">
        <x:v>BESS power</x:v>
      </x:c>
    </x:row>
    <x:row r="46">
      <x:c r="A46" s="49" t="str">
        <x:v>FR</x:v>
      </x:c>
      <x:c r="B46" s="44" t="str">
        <x:v>France</x:v>
      </x:c>
      <x:c r="C46" s="44" t="str">
        <x:v>bioenergy_biomass</x:v>
      </x:c>
      <x:c r="D46" s="44" t="str">
        <x:v>GW</x:v>
      </x:c>
      <x:c r="E46" s="149" t="n">
        <x:f>SUMIFS('03_RUNTIME_INPUTS'!$H$5:$H$165,'03_RUNTIME_INPUTS'!$A$5:$A$165,A46,'03_RUNTIME_INPUTS'!$F$5:$F$165,C46,'03_RUNTIME_INPUTS'!$G$5:$G$165,D46)</x:f>
        <x:v>1.7</x:v>
      </x:c>
      <x:c r="F46" s="149" t="n">
        <x:f>SUMIFS('03_RUNTIME_INPUTS'!$I$5:$I$165,'03_RUNTIME_INPUTS'!$A$5:$A$165,A46,'03_RUNTIME_INPUTS'!$F$5:$F$165,C46,'03_RUNTIME_INPUTS'!$G$5:$G$165,D46)</x:f>
        <x:v>1.3</x:v>
      </x:c>
      <x:c r="G46" s="50" t="str">
        <x:v>Bioenergy total</x:v>
      </x:c>
    </x:row>
    <x:row r="47">
      <x:c r="A47" s="49" t="str">
        <x:v>FR</x:v>
      </x:c>
      <x:c r="B47" s="44" t="str">
        <x:v>France</x:v>
      </x:c>
      <x:c r="C47" s="44" t="str">
        <x:v>coal_lignite</x:v>
      </x:c>
      <x:c r="D47" s="44" t="str">
        <x:v>GW</x:v>
      </x:c>
      <x:c r="E47" s="149" t="n">
        <x:f>SUMIFS('03_RUNTIME_INPUTS'!$H$5:$H$165,'03_RUNTIME_INPUTS'!$A$5:$A$165,A47,'03_RUNTIME_INPUTS'!$F$5:$F$165,C47,'03_RUNTIME_INPUTS'!$G$5:$G$165,D47)</x:f>
        <x:v>0</x:v>
      </x:c>
      <x:c r="F47" s="149" t="n">
        <x:f>SUMIFS('03_RUNTIME_INPUTS'!$I$5:$I$165,'03_RUNTIME_INPUTS'!$A$5:$A$165,A47,'03_RUNTIME_INPUTS'!$F$5:$F$165,C47,'03_RUNTIME_INPUTS'!$G$5:$G$165,D47)</x:f>
        <x:v>0</x:v>
      </x:c>
      <x:c r="G47" s="50" t="str">
        <x:v>Coal / lignite</x:v>
      </x:c>
    </x:row>
    <x:row r="48">
      <x:c r="A48" s="49" t="str">
        <x:v>FR</x:v>
      </x:c>
      <x:c r="B48" s="44" t="str">
        <x:v>France</x:v>
      </x:c>
      <x:c r="C48" s="44" t="str">
        <x:v>demand</x:v>
      </x:c>
      <x:c r="D48" s="44" t="str">
        <x:v>TWh</x:v>
      </x:c>
      <x:c r="E48" s="149" t="n">
        <x:f>SUMIFS('03_RUNTIME_INPUTS'!$H$5:$H$165,'03_RUNTIME_INPUTS'!$A$5:$A$165,A48,'03_RUNTIME_INPUTS'!$F$5:$F$165,C48,'03_RUNTIME_INPUTS'!$G$5:$G$165,D48)</x:f>
        <x:v>650</x:v>
      </x:c>
      <x:c r="F48" s="149" t="n">
        <x:f>SUMIFS('03_RUNTIME_INPUTS'!$I$5:$I$165,'03_RUNTIME_INPUTS'!$A$5:$A$165,A48,'03_RUNTIME_INPUTS'!$F$5:$F$165,C48,'03_RUNTIME_INPUTS'!$G$5:$G$165,D48)</x:f>
        <x:v>850</x:v>
      </x:c>
      <x:c r="G48" s="50" t="str">
        <x:v>Annual electricity demand</x:v>
      </x:c>
    </x:row>
    <x:row r="49">
      <x:c r="A49" s="49" t="str">
        <x:v>FR</x:v>
      </x:c>
      <x:c r="B49" s="44" t="str">
        <x:v>France</x:v>
      </x:c>
      <x:c r="C49" s="44" t="str">
        <x:v>geothermal</x:v>
      </x:c>
      <x:c r="D49" s="44" t="str">
        <x:v>GW</x:v>
      </x:c>
      <x:c r="E49" s="149" t="n">
        <x:f>SUMIFS('03_RUNTIME_INPUTS'!$H$5:$H$165,'03_RUNTIME_INPUTS'!$A$5:$A$165,A49,'03_RUNTIME_INPUTS'!$F$5:$F$165,C49,'03_RUNTIME_INPUTS'!$G$5:$G$165,D49)</x:f>
        <x:v>0</x:v>
      </x:c>
      <x:c r="F49" s="149" t="n">
        <x:f>SUMIFS('03_RUNTIME_INPUTS'!$I$5:$I$165,'03_RUNTIME_INPUTS'!$A$5:$A$165,A49,'03_RUNTIME_INPUTS'!$F$5:$F$165,C49,'03_RUNTIME_INPUTS'!$G$5:$G$165,D49)</x:f>
        <x:v>0</x:v>
      </x:c>
      <x:c r="G49" s="50" t="str">
        <x:v>Geothermal electricity</x:v>
      </x:c>
    </x:row>
    <x:row r="50">
      <x:c r="A50" s="49" t="str">
        <x:v>FR</x:v>
      </x:c>
      <x:c r="B50" s="44" t="str">
        <x:v>France</x:v>
      </x:c>
      <x:c r="C50" s="44" t="str">
        <x:v>hydro_non_phs</x:v>
      </x:c>
      <x:c r="D50" s="44" t="str">
        <x:v>GW</x:v>
      </x:c>
      <x:c r="E50" s="149" t="n">
        <x:f>SUMIFS('03_RUNTIME_INPUTS'!$H$5:$H$165,'03_RUNTIME_INPUTS'!$A$5:$A$165,A50,'03_RUNTIME_INPUTS'!$F$5:$F$165,C50,'03_RUNTIME_INPUTS'!$G$5:$G$165,D50)</x:f>
        <x:v>22</x:v>
      </x:c>
      <x:c r="F50" s="149" t="n">
        <x:f>SUMIFS('03_RUNTIME_INPUTS'!$I$5:$I$165,'03_RUNTIME_INPUTS'!$A$5:$A$165,A50,'03_RUNTIME_INPUTS'!$F$5:$F$165,C50,'03_RUNTIME_INPUTS'!$G$5:$G$165,D50)</x:f>
        <x:v>22</x:v>
      </x:c>
      <x:c r="G50" s="50" t="str">
        <x:v>Hydro excluding PHS</x:v>
      </x:c>
    </x:row>
    <x:row r="51">
      <x:c r="A51" s="49" t="str">
        <x:v>FR</x:v>
      </x:c>
      <x:c r="B51" s="44" t="str">
        <x:v>France</x:v>
      </x:c>
      <x:c r="C51" s="44" t="str">
        <x:v>marine_other</x:v>
      </x:c>
      <x:c r="D51" s="44" t="str">
        <x:v>GW</x:v>
      </x:c>
      <x:c r="E51" s="149" t="n">
        <x:f>SUMIFS('03_RUNTIME_INPUTS'!$H$5:$H$165,'03_RUNTIME_INPUTS'!$A$5:$A$165,A51,'03_RUNTIME_INPUTS'!$F$5:$F$165,C51,'03_RUNTIME_INPUTS'!$G$5:$G$165,D51)</x:f>
        <x:v>0</x:v>
      </x:c>
      <x:c r="F51" s="149" t="n">
        <x:f>SUMIFS('03_RUNTIME_INPUTS'!$I$5:$I$165,'03_RUNTIME_INPUTS'!$A$5:$A$165,A51,'03_RUNTIME_INPUTS'!$F$5:$F$165,C51,'03_RUNTIME_INPUTS'!$G$5:$G$165,D51)</x:f>
        <x:v>0</x:v>
      </x:c>
      <x:c r="G51" s="50" t="str">
        <x:v>Marine energy excl. offshore wind</x:v>
      </x:c>
    </x:row>
    <x:row r="52">
      <x:c r="A52" s="49" t="str">
        <x:v>FR</x:v>
      </x:c>
      <x:c r="B52" s="44" t="str">
        <x:v>France</x:v>
      </x:c>
      <x:c r="C52" s="44" t="str">
        <x:v>nuclear</x:v>
      </x:c>
      <x:c r="D52" s="44" t="str">
        <x:v>GW</x:v>
      </x:c>
      <x:c r="E52" s="149" t="n">
        <x:f>SUMIFS('03_RUNTIME_INPUTS'!$H$5:$H$165,'03_RUNTIME_INPUTS'!$A$5:$A$165,A52,'03_RUNTIME_INPUTS'!$F$5:$F$165,C52,'03_RUNTIME_INPUTS'!$G$5:$G$165,D52)</x:f>
        <x:v>62.25</x:v>
      </x:c>
      <x:c r="F52" s="149" t="n">
        <x:f>SUMIFS('03_RUNTIME_INPUTS'!$I$5:$I$165,'03_RUNTIME_INPUTS'!$A$5:$A$165,A52,'03_RUNTIME_INPUTS'!$F$5:$F$165,C52,'03_RUNTIME_INPUTS'!$G$5:$G$165,D52)</x:f>
        <x:v>54</x:v>
      </x:c>
      <x:c r="G52" s="50" t="str">
        <x:v>Total nuclear</x:v>
      </x:c>
    </x:row>
    <x:row r="53">
      <x:c r="A53" s="49" t="str">
        <x:v>FR</x:v>
      </x:c>
      <x:c r="B53" s="44" t="str">
        <x:v>France</x:v>
      </x:c>
      <x:c r="C53" s="44" t="str">
        <x:v>nuclear_smr</x:v>
      </x:c>
      <x:c r="D53" s="44" t="str">
        <x:v>GW</x:v>
      </x:c>
      <x:c r="E53" s="149" t="n">
        <x:f>SUMIFS('03_RUNTIME_INPUTS'!$H$5:$H$165,'03_RUNTIME_INPUTS'!$A$5:$A$165,A53,'03_RUNTIME_INPUTS'!$F$5:$F$165,C53,'03_RUNTIME_INPUTS'!$G$5:$G$165,D53)</x:f>
        <x:v>0</x:v>
      </x:c>
      <x:c r="F53" s="149" t="n">
        <x:f>SUMIFS('03_RUNTIME_INPUTS'!$I$5:$I$165,'03_RUNTIME_INPUTS'!$A$5:$A$165,A53,'03_RUNTIME_INPUTS'!$F$5:$F$165,C53,'03_RUNTIME_INPUTS'!$G$5:$G$165,D53)</x:f>
        <x:v>0</x:v>
      </x:c>
      <x:c r="G53" s="50" t="str">
        <x:v>SMR</x:v>
      </x:c>
    </x:row>
    <x:row r="54">
      <x:c r="A54" s="49" t="str">
        <x:v>FR</x:v>
      </x:c>
      <x:c r="B54" s="44" t="str">
        <x:v>France</x:v>
      </x:c>
      <x:c r="C54" s="44" t="str">
        <x:v>phs_discharge_power</x:v>
      </x:c>
      <x:c r="D54" s="44" t="str">
        <x:v>GW</x:v>
      </x:c>
      <x:c r="E54" s="149" t="n">
        <x:f>SUMIFS('03_RUNTIME_INPUTS'!$H$5:$H$165,'03_RUNTIME_INPUTS'!$A$5:$A$165,A54,'03_RUNTIME_INPUTS'!$F$5:$F$165,C54,'03_RUNTIME_INPUTS'!$G$5:$G$165,D54)</x:f>
        <x:v>7.3</x:v>
      </x:c>
      <x:c r="F54" s="149" t="n">
        <x:f>SUMIFS('03_RUNTIME_INPUTS'!$I$5:$I$165,'03_RUNTIME_INPUTS'!$A$5:$A$165,A54,'03_RUNTIME_INPUTS'!$F$5:$F$165,C54,'03_RUNTIME_INPUTS'!$G$5:$G$165,D54)</x:f>
        <x:v>8.5</x:v>
      </x:c>
      <x:c r="G54" s="50" t="str">
        <x:v>Pumped storage power</x:v>
      </x:c>
    </x:row>
    <x:row r="55">
      <x:c r="A55" s="49" t="str">
        <x:v>FR</x:v>
      </x:c>
      <x:c r="B55" s="44" t="str">
        <x:v>France</x:v>
      </x:c>
      <x:c r="C55" s="44" t="str">
        <x:v>phs_energy</x:v>
      </x:c>
      <x:c r="D55" s="44" t="str">
        <x:v>GWh</x:v>
      </x:c>
      <x:c r="E55" s="149" t="n">
        <x:f>SUMIFS('03_RUNTIME_INPUTS'!$H$5:$H$165,'03_RUNTIME_INPUTS'!$A$5:$A$165,A55,'03_RUNTIME_INPUTS'!$F$5:$F$165,C55,'03_RUNTIME_INPUTS'!$G$5:$G$165,D55)</x:f>
        <x:v>146</x:v>
      </x:c>
      <x:c r="F55" s="149" t="n">
        <x:f>SUMIFS('03_RUNTIME_INPUTS'!$I$5:$I$165,'03_RUNTIME_INPUTS'!$A$5:$A$165,A55,'03_RUNTIME_INPUTS'!$F$5:$F$165,C55,'03_RUNTIME_INPUTS'!$G$5:$G$165,D55)</x:f>
        <x:v>170</x:v>
      </x:c>
      <x:c r="G55" s="50" t="str">
        <x:v>Pumped storage energy</x:v>
      </x:c>
    </x:row>
    <x:row r="56">
      <x:c r="A56" s="49" t="str">
        <x:v>FR</x:v>
      </x:c>
      <x:c r="B56" s="44" t="str">
        <x:v>France</x:v>
      </x:c>
      <x:c r="C56" s="44" t="str">
        <x:v>solar_pv</x:v>
      </x:c>
      <x:c r="D56" s="44" t="str">
        <x:v>GW</x:v>
      </x:c>
      <x:c r="E56" s="149" t="n">
        <x:f>SUMIFS('03_RUNTIME_INPUTS'!$H$5:$H$165,'03_RUNTIME_INPUTS'!$A$5:$A$165,A56,'03_RUNTIME_INPUTS'!$F$5:$F$165,C56,'03_RUNTIME_INPUTS'!$G$5:$G$165,D56)</x:f>
        <x:v>87.47635846659034</x:v>
      </x:c>
      <x:c r="F56" s="149" t="n">
        <x:f>SUMIFS('03_RUNTIME_INPUTS'!$I$5:$I$165,'03_RUNTIME_INPUTS'!$A$5:$A$165,A56,'03_RUNTIME_INPUTS'!$F$5:$F$165,C56,'03_RUNTIME_INPUTS'!$G$5:$G$165,D56)</x:f>
        <x:v>145</x:v>
      </x:c>
      <x:c r="G56" s="50" t="str">
        <x:v>Solar PV</x:v>
      </x:c>
    </x:row>
    <x:row r="57">
      <x:c r="A57" s="49" t="str">
        <x:v>FR</x:v>
      </x:c>
      <x:c r="B57" s="44" t="str">
        <x:v>France</x:v>
      </x:c>
      <x:c r="C57" s="44" t="str">
        <x:v>thermal_lowcarbon_gas_h2</x:v>
      </x:c>
      <x:c r="D57" s="44" t="str">
        <x:v>GW</x:v>
      </x:c>
      <x:c r="E57" s="149" t="n">
        <x:f>SUMIFS('03_RUNTIME_INPUTS'!$H$5:$H$165,'03_RUNTIME_INPUTS'!$A$5:$A$165,A57,'03_RUNTIME_INPUTS'!$F$5:$F$165,C57,'03_RUNTIME_INPUTS'!$G$5:$G$165,D57)</x:f>
        <x:v>2</x:v>
      </x:c>
      <x:c r="F57" s="149" t="n">
        <x:f>SUMIFS('03_RUNTIME_INPUTS'!$I$5:$I$165,'03_RUNTIME_INPUTS'!$A$5:$A$165,A57,'03_RUNTIME_INPUTS'!$F$5:$F$165,C57,'03_RUNTIME_INPUTS'!$G$5:$G$165,D57)</x:f>
        <x:v>11.5</x:v>
      </x:c>
      <x:c r="G57" s="50" t="str">
        <x:v>Hydrogen / low-carbon thermal</x:v>
      </x:c>
    </x:row>
    <x:row r="58">
      <x:c r="A58" s="49" t="str">
        <x:v>FR</x:v>
      </x:c>
      <x:c r="B58" s="44" t="str">
        <x:v>France</x:v>
      </x:c>
      <x:c r="C58" s="44" t="str">
        <x:v>thermal_methane_gas</x:v>
      </x:c>
      <x:c r="D58" s="44" t="str">
        <x:v>GW</x:v>
      </x:c>
      <x:c r="E58" s="149" t="n">
        <x:f>SUMIFS('03_RUNTIME_INPUTS'!$H$5:$H$165,'03_RUNTIME_INPUTS'!$A$5:$A$165,A58,'03_RUNTIME_INPUTS'!$F$5:$F$165,C58,'03_RUNTIME_INPUTS'!$G$5:$G$165,D58)</x:f>
        <x:v>4</x:v>
      </x:c>
      <x:c r="F58" s="149" t="n">
        <x:f>SUMIFS('03_RUNTIME_INPUTS'!$I$5:$I$165,'03_RUNTIME_INPUTS'!$A$5:$A$165,A58,'03_RUNTIME_INPUTS'!$F$5:$F$165,C58,'03_RUNTIME_INPUTS'!$G$5:$G$165,D58)</x:f>
        <x:v>0</x:v>
      </x:c>
      <x:c r="G58" s="50" t="str">
        <x:v>Methane thermal</x:v>
      </x:c>
    </x:row>
    <x:row r="59">
      <x:c r="A59" s="49" t="str">
        <x:v>FR</x:v>
      </x:c>
      <x:c r="B59" s="44" t="str">
        <x:v>France</x:v>
      </x:c>
      <x:c r="C59" s="44" t="str">
        <x:v>thermal_oil_liquid</x:v>
      </x:c>
      <x:c r="D59" s="44" t="str">
        <x:v>GW</x:v>
      </x:c>
      <x:c r="E59" s="149" t="n">
        <x:f>SUMIFS('03_RUNTIME_INPUTS'!$H$5:$H$165,'03_RUNTIME_INPUTS'!$A$5:$A$165,A59,'03_RUNTIME_INPUTS'!$F$5:$F$165,C59,'03_RUNTIME_INPUTS'!$G$5:$G$165,D59)</x:f>
        <x:v>0</x:v>
      </x:c>
      <x:c r="F59" s="149" t="n">
        <x:f>SUMIFS('03_RUNTIME_INPUTS'!$I$5:$I$165,'03_RUNTIME_INPUTS'!$A$5:$A$165,A59,'03_RUNTIME_INPUTS'!$F$5:$F$165,C59,'03_RUNTIME_INPUTS'!$G$5:$G$165,D59)</x:f>
        <x:v>0</x:v>
      </x:c>
      <x:c r="G59" s="50" t="str">
        <x:v>Oil / gasoil peakers</x:v>
      </x:c>
    </x:row>
    <x:row r="60">
      <x:c r="A60" s="49" t="str">
        <x:v>FR</x:v>
      </x:c>
      <x:c r="B60" s="44" t="str">
        <x:v>France</x:v>
      </x:c>
      <x:c r="C60" s="44" t="str">
        <x:v>wind_offshore</x:v>
      </x:c>
      <x:c r="D60" s="44" t="str">
        <x:v>GW</x:v>
      </x:c>
      <x:c r="E60" s="149" t="n">
        <x:f>SUMIFS('03_RUNTIME_INPUTS'!$H$5:$H$165,'03_RUNTIME_INPUTS'!$A$5:$A$165,A60,'03_RUNTIME_INPUTS'!$F$5:$F$165,C60,'03_RUNTIME_INPUTS'!$G$5:$G$165,D60)</x:f>
        <x:v>26</x:v>
      </x:c>
      <x:c r="F60" s="149" t="n">
        <x:f>SUMIFS('03_RUNTIME_INPUTS'!$I$5:$I$165,'03_RUNTIME_INPUTS'!$A$5:$A$165,A60,'03_RUNTIME_INPUTS'!$F$5:$F$165,C60,'03_RUNTIME_INPUTS'!$G$5:$G$165,D60)</x:f>
        <x:v>40</x:v>
      </x:c>
      <x:c r="G60" s="50" t="str">
        <x:v>Offshore wind</x:v>
      </x:c>
    </x:row>
    <x:row r="61">
      <x:c r="A61" s="49" t="str">
        <x:v>FR</x:v>
      </x:c>
      <x:c r="B61" s="44" t="str">
        <x:v>France</x:v>
      </x:c>
      <x:c r="C61" s="44" t="str">
        <x:v>wind_onshore</x:v>
      </x:c>
      <x:c r="D61" s="44" t="str">
        <x:v>GW</x:v>
      </x:c>
      <x:c r="E61" s="149" t="n">
        <x:f>SUMIFS('03_RUNTIME_INPUTS'!$H$5:$H$165,'03_RUNTIME_INPUTS'!$A$5:$A$165,A61,'03_RUNTIME_INPUTS'!$F$5:$F$165,C61,'03_RUNTIME_INPUTS'!$G$5:$G$165,D61)</x:f>
        <x:v>47.52364153340965</x:v>
      </x:c>
      <x:c r="F61" s="149" t="n">
        <x:f>SUMIFS('03_RUNTIME_INPUTS'!$I$5:$I$165,'03_RUNTIME_INPUTS'!$A$5:$A$165,A61,'03_RUNTIME_INPUTS'!$F$5:$F$165,C61,'03_RUNTIME_INPUTS'!$G$5:$G$165,D61)</x:f>
        <x:v>65</x:v>
      </x:c>
      <x:c r="G61" s="50" t="str">
        <x:v>Onshore wind</x:v>
      </x:c>
    </x:row>
    <x:row r="62">
      <x:c r="A62" s="49" t="str">
        <x:v>GR</x:v>
      </x:c>
      <x:c r="B62" s="44" t="str">
        <x:v>Greece</x:v>
      </x:c>
      <x:c r="C62" s="44" t="str">
        <x:v>bess_grid_energy</x:v>
      </x:c>
      <x:c r="D62" s="44" t="str">
        <x:v>GWh</x:v>
      </x:c>
      <x:c r="E62" s="149" t="n">
        <x:f>SUMIFS('03_RUNTIME_INPUTS'!$H$5:$H$165,'03_RUNTIME_INPUTS'!$A$5:$A$165,A62,'03_RUNTIME_INPUTS'!$F$5:$F$165,C62,'03_RUNTIME_INPUTS'!$G$5:$G$165,D62)</x:f>
        <x:v>22.457</x:v>
      </x:c>
      <x:c r="F62" s="149" t="n">
        <x:f>SUMIFS('03_RUNTIME_INPUTS'!$I$5:$I$165,'03_RUNTIME_INPUTS'!$A$5:$A$165,A62,'03_RUNTIME_INPUTS'!$F$5:$F$165,C62,'03_RUNTIME_INPUTS'!$G$5:$G$165,D62)</x:f>
        <x:v>31.252</x:v>
      </x:c>
      <x:c r="G62" s="50" t="str">
        <x:v>BESS energy</x:v>
      </x:c>
    </x:row>
    <x:row r="63">
      <x:c r="A63" s="49" t="str">
        <x:v>GR</x:v>
      </x:c>
      <x:c r="B63" s="44" t="str">
        <x:v>Greece</x:v>
      </x:c>
      <x:c r="C63" s="44" t="str">
        <x:v>bess_grid_power</x:v>
      </x:c>
      <x:c r="D63" s="44" t="str">
        <x:v>GW</x:v>
      </x:c>
      <x:c r="E63" s="149" t="n">
        <x:f>SUMIFS('03_RUNTIME_INPUTS'!$H$5:$H$165,'03_RUNTIME_INPUTS'!$A$5:$A$165,A63,'03_RUNTIME_INPUTS'!$F$5:$F$165,C63,'03_RUNTIME_INPUTS'!$G$5:$G$165,D63)</x:f>
        <x:v>8.725</x:v>
      </x:c>
      <x:c r="F63" s="149" t="n">
        <x:f>SUMIFS('03_RUNTIME_INPUTS'!$I$5:$I$165,'03_RUNTIME_INPUTS'!$A$5:$A$165,A63,'03_RUNTIME_INPUTS'!$F$5:$F$165,C63,'03_RUNTIME_INPUTS'!$G$5:$G$165,D63)</x:f>
        <x:v>12.025</x:v>
      </x:c>
      <x:c r="G63" s="50" t="str">
        <x:v>BESS power</x:v>
      </x:c>
    </x:row>
    <x:row r="64">
      <x:c r="A64" s="49" t="str">
        <x:v>GR</x:v>
      </x:c>
      <x:c r="B64" s="44" t="str">
        <x:v>Greece</x:v>
      </x:c>
      <x:c r="C64" s="44" t="str">
        <x:v>bioenergy_biomass_biogas</x:v>
      </x:c>
      <x:c r="D64" s="44" t="str">
        <x:v>GW</x:v>
      </x:c>
      <x:c r="E64" s="149" t="n">
        <x:f>SUMIFS('03_RUNTIME_INPUTS'!$H$5:$H$165,'03_RUNTIME_INPUTS'!$A$5:$A$165,A64,'03_RUNTIME_INPUTS'!$F$5:$F$165,C64,'03_RUNTIME_INPUTS'!$G$5:$G$165,D64)</x:f>
        <x:v>0.1</x:v>
      </x:c>
      <x:c r="F64" s="149" t="n">
        <x:f>SUMIFS('03_RUNTIME_INPUTS'!$I$5:$I$165,'03_RUNTIME_INPUTS'!$A$5:$A$165,A64,'03_RUNTIME_INPUTS'!$F$5:$F$165,C64,'03_RUNTIME_INPUTS'!$G$5:$G$165,D64)</x:f>
        <x:v>0</x:v>
      </x:c>
      <x:c r="G64" s="50" t="str">
        <x:v>Biomass / biogas</x:v>
      </x:c>
    </x:row>
    <x:row r="65">
      <x:c r="A65" s="49" t="str">
        <x:v>GR</x:v>
      </x:c>
      <x:c r="B65" s="44" t="str">
        <x:v>Greece</x:v>
      </x:c>
      <x:c r="C65" s="44" t="str">
        <x:v>coal_lignite</x:v>
      </x:c>
      <x:c r="D65" s="44" t="str">
        <x:v>GW</x:v>
      </x:c>
      <x:c r="E65" s="149" t="n">
        <x:f>SUMIFS('03_RUNTIME_INPUTS'!$H$5:$H$165,'03_RUNTIME_INPUTS'!$A$5:$A$165,A65,'03_RUNTIME_INPUTS'!$F$5:$F$165,C65,'03_RUNTIME_INPUTS'!$G$5:$G$165,D65)</x:f>
        <x:v>0</x:v>
      </x:c>
      <x:c r="F65" s="149" t="n">
        <x:f>SUMIFS('03_RUNTIME_INPUTS'!$I$5:$I$165,'03_RUNTIME_INPUTS'!$A$5:$A$165,A65,'03_RUNTIME_INPUTS'!$F$5:$F$165,C65,'03_RUNTIME_INPUTS'!$G$5:$G$165,D65)</x:f>
        <x:v>0</x:v>
      </x:c>
      <x:c r="G65" s="50" t="str">
        <x:v>Coal / lignite</x:v>
      </x:c>
    </x:row>
    <x:row r="66">
      <x:c r="A66" s="49" t="str">
        <x:v>GR</x:v>
      </x:c>
      <x:c r="B66" s="44" t="str">
        <x:v>Greece</x:v>
      </x:c>
      <x:c r="C66" s="44" t="str">
        <x:v>demand</x:v>
      </x:c>
      <x:c r="D66" s="44" t="str">
        <x:v>TWh</x:v>
      </x:c>
      <x:c r="E66" s="149" t="n">
        <x:f>SUMIFS('03_RUNTIME_INPUTS'!$H$5:$H$165,'03_RUNTIME_INPUTS'!$A$5:$A$165,A66,'03_RUNTIME_INPUTS'!$F$5:$F$165,C66,'03_RUNTIME_INPUTS'!$G$5:$G$165,D66)</x:f>
        <x:v>85.9</x:v>
      </x:c>
      <x:c r="F66" s="149" t="n">
        <x:f>SUMIFS('03_RUNTIME_INPUTS'!$I$5:$I$165,'03_RUNTIME_INPUTS'!$A$5:$A$165,A66,'03_RUNTIME_INPUTS'!$F$5:$F$165,C66,'03_RUNTIME_INPUTS'!$G$5:$G$165,D66)</x:f>
        <x:v>127.4</x:v>
      </x:c>
      <x:c r="G66" s="50" t="str">
        <x:v>Annual electricity demand</x:v>
      </x:c>
    </x:row>
    <x:row r="67">
      <x:c r="A67" s="49" t="str">
        <x:v>GR</x:v>
      </x:c>
      <x:c r="B67" s="44" t="str">
        <x:v>Greece</x:v>
      </x:c>
      <x:c r="C67" s="44" t="str">
        <x:v>hydro_non_phs</x:v>
      </x:c>
      <x:c r="D67" s="44" t="str">
        <x:v>GW</x:v>
      </x:c>
      <x:c r="E67" s="149" t="n">
        <x:f>SUMIFS('03_RUNTIME_INPUTS'!$H$5:$H$165,'03_RUNTIME_INPUTS'!$A$5:$A$165,A67,'03_RUNTIME_INPUTS'!$F$5:$F$165,C67,'03_RUNTIME_INPUTS'!$G$5:$G$165,D67)</x:f>
        <x:v>3.8</x:v>
      </x:c>
      <x:c r="F67" s="149" t="n">
        <x:f>SUMIFS('03_RUNTIME_INPUTS'!$I$5:$I$165,'03_RUNTIME_INPUTS'!$A$5:$A$165,A67,'03_RUNTIME_INPUTS'!$F$5:$F$165,C67,'03_RUNTIME_INPUTS'!$G$5:$G$165,D67)</x:f>
        <x:v>4.5</x:v>
      </x:c>
      <x:c r="G67" s="50" t="str">
        <x:v>Non-storage hydro</x:v>
      </x:c>
    </x:row>
    <x:row r="68">
      <x:c r="A68" s="49" t="str">
        <x:v>GR</x:v>
      </x:c>
      <x:c r="B68" s="44" t="str">
        <x:v>Greece</x:v>
      </x:c>
      <x:c r="C68" s="44" t="str">
        <x:v>nuclear</x:v>
      </x:c>
      <x:c r="D68" s="44" t="str">
        <x:v>GW</x:v>
      </x:c>
      <x:c r="E68" s="149" t="n">
        <x:f>SUMIFS('03_RUNTIME_INPUTS'!$H$5:$H$165,'03_RUNTIME_INPUTS'!$A$5:$A$165,A68,'03_RUNTIME_INPUTS'!$F$5:$F$165,C68,'03_RUNTIME_INPUTS'!$G$5:$G$165,D68)</x:f>
        <x:v>0</x:v>
      </x:c>
      <x:c r="F68" s="149" t="n">
        <x:f>SUMIFS('03_RUNTIME_INPUTS'!$I$5:$I$165,'03_RUNTIME_INPUTS'!$A$5:$A$165,A68,'03_RUNTIME_INPUTS'!$F$5:$F$165,C68,'03_RUNTIME_INPUTS'!$G$5:$G$165,D68)</x:f>
        <x:v>0</x:v>
      </x:c>
      <x:c r="G68" s="50" t="str">
        <x:v>Nuclear</x:v>
      </x:c>
    </x:row>
    <x:row r="69">
      <x:c r="A69" s="49" t="str">
        <x:v>GR</x:v>
      </x:c>
      <x:c r="B69" s="44" t="str">
        <x:v>Greece</x:v>
      </x:c>
      <x:c r="C69" s="44" t="str">
        <x:v>phs_charge_power</x:v>
      </x:c>
      <x:c r="D69" s="44" t="str">
        <x:v>GW</x:v>
      </x:c>
      <x:c r="E69" s="149" t="n">
        <x:f>SUMIFS('03_RUNTIME_INPUTS'!$H$5:$H$165,'03_RUNTIME_INPUTS'!$A$5:$A$165,A69,'03_RUNTIME_INPUTS'!$F$5:$F$165,C69,'03_RUNTIME_INPUTS'!$G$5:$G$165,D69)</x:f>
        <x:v>4.464</x:v>
      </x:c>
      <x:c r="F69" s="149" t="n">
        <x:f>SUMIFS('03_RUNTIME_INPUTS'!$I$5:$I$165,'03_RUNTIME_INPUTS'!$A$5:$A$165,A69,'03_RUNTIME_INPUTS'!$F$5:$F$165,C69,'03_RUNTIME_INPUTS'!$G$5:$G$165,D69)</x:f>
        <x:v>5.453</x:v>
      </x:c>
      <x:c r="G69" s="50" t="str">
        <x:v>PHS pump / charge power</x:v>
      </x:c>
    </x:row>
    <x:row r="70">
      <x:c r="A70" s="49" t="str">
        <x:v>GR</x:v>
      </x:c>
      <x:c r="B70" s="44" t="str">
        <x:v>Greece</x:v>
      </x:c>
      <x:c r="C70" s="44" t="str">
        <x:v>phs_discharge_power</x:v>
      </x:c>
      <x:c r="D70" s="44" t="str">
        <x:v>GW</x:v>
      </x:c>
      <x:c r="E70" s="149" t="n">
        <x:f>SUMIFS('03_RUNTIME_INPUTS'!$H$5:$H$165,'03_RUNTIME_INPUTS'!$A$5:$A$165,A70,'03_RUNTIME_INPUTS'!$F$5:$F$165,C70,'03_RUNTIME_INPUTS'!$G$5:$G$165,D70)</x:f>
        <x:v>4.464</x:v>
      </x:c>
      <x:c r="F70" s="149" t="n">
        <x:f>SUMIFS('03_RUNTIME_INPUTS'!$I$5:$I$165,'03_RUNTIME_INPUTS'!$A$5:$A$165,A70,'03_RUNTIME_INPUTS'!$F$5:$F$165,C70,'03_RUNTIME_INPUTS'!$G$5:$G$165,D70)</x:f>
        <x:v>5.453</x:v>
      </x:c>
      <x:c r="G70" s="50" t="str">
        <x:v>PHS turbine / discharge power</x:v>
      </x:c>
    </x:row>
    <x:row r="71">
      <x:c r="A71" s="49" t="str">
        <x:v>GR</x:v>
      </x:c>
      <x:c r="B71" s="44" t="str">
        <x:v>Greece</x:v>
      </x:c>
      <x:c r="C71" s="44" t="str">
        <x:v>phs_energy</x:v>
      </x:c>
      <x:c r="D71" s="44" t="str">
        <x:v>GWh</x:v>
      </x:c>
      <x:c r="E71" s="149" t="n">
        <x:f>SUMIFS('03_RUNTIME_INPUTS'!$H$5:$H$165,'03_RUNTIME_INPUTS'!$A$5:$A$165,A71,'03_RUNTIME_INPUTS'!$F$5:$F$165,C71,'03_RUNTIME_INPUTS'!$G$5:$G$165,D71)</x:f>
        <x:v>52.484</x:v>
      </x:c>
      <x:c r="F71" s="149" t="n">
        <x:f>SUMIFS('03_RUNTIME_INPUTS'!$I$5:$I$165,'03_RUNTIME_INPUTS'!$A$5:$A$165,A71,'03_RUNTIME_INPUTS'!$F$5:$F$165,C71,'03_RUNTIME_INPUTS'!$G$5:$G$165,D71)</x:f>
        <x:v>66.781</x:v>
      </x:c>
      <x:c r="G71" s="50" t="str">
        <x:v>PHS energy capacity</x:v>
      </x:c>
    </x:row>
    <x:row r="72">
      <x:c r="A72" s="49" t="str">
        <x:v>GR</x:v>
      </x:c>
      <x:c r="B72" s="44" t="str">
        <x:v>Greece</x:v>
      </x:c>
      <x:c r="C72" s="44" t="str">
        <x:v>solar_pv</x:v>
      </x:c>
      <x:c r="D72" s="44" t="str">
        <x:v>GW</x:v>
      </x:c>
      <x:c r="E72" s="149" t="n">
        <x:f>SUMIFS('03_RUNTIME_INPUTS'!$H$5:$H$165,'03_RUNTIME_INPUTS'!$A$5:$A$165,A72,'03_RUNTIME_INPUTS'!$F$5:$F$165,C72,'03_RUNTIME_INPUTS'!$G$5:$G$165,D72)</x:f>
        <x:v>26</x:v>
      </x:c>
      <x:c r="F72" s="149" t="n">
        <x:f>SUMIFS('03_RUNTIME_INPUTS'!$I$5:$I$165,'03_RUNTIME_INPUTS'!$A$5:$A$165,A72,'03_RUNTIME_INPUTS'!$F$5:$F$165,C72,'03_RUNTIME_INPUTS'!$G$5:$G$165,D72)</x:f>
        <x:v>35.1</x:v>
      </x:c>
      <x:c r="G72" s="50" t="str">
        <x:v>Solar PV</x:v>
      </x:c>
    </x:row>
    <x:row r="73">
      <x:c r="A73" s="49" t="str">
        <x:v>GR</x:v>
      </x:c>
      <x:c r="B73" s="44" t="str">
        <x:v>Greece</x:v>
      </x:c>
      <x:c r="C73" s="44" t="str">
        <x:v>thermal_methane_gas</x:v>
      </x:c>
      <x:c r="D73" s="44" t="str">
        <x:v>GW</x:v>
      </x:c>
      <x:c r="E73" s="149" t="n">
        <x:f>SUMIFS('03_RUNTIME_INPUTS'!$H$5:$H$165,'03_RUNTIME_INPUTS'!$A$5:$A$165,A73,'03_RUNTIME_INPUTS'!$F$5:$F$165,C73,'03_RUNTIME_INPUTS'!$G$5:$G$165,D73)</x:f>
        <x:v>5.9</x:v>
      </x:c>
      <x:c r="F73" s="149" t="n">
        <x:f>SUMIFS('03_RUNTIME_INPUTS'!$I$5:$I$165,'03_RUNTIME_INPUTS'!$A$5:$A$165,A73,'03_RUNTIME_INPUTS'!$F$5:$F$165,C73,'03_RUNTIME_INPUTS'!$G$5:$G$165,D73)</x:f>
        <x:v>5.9</x:v>
      </x:c>
      <x:c r="G73" s="50" t="str">
        <x:v>Natural-gas thermal</x:v>
      </x:c>
    </x:row>
    <x:row r="74">
      <x:c r="A74" s="49" t="str">
        <x:v>GR</x:v>
      </x:c>
      <x:c r="B74" s="44" t="str">
        <x:v>Greece</x:v>
      </x:c>
      <x:c r="C74" s="44" t="str">
        <x:v>thermal_oil_liquid</x:v>
      </x:c>
      <x:c r="D74" s="44" t="str">
        <x:v>GW</x:v>
      </x:c>
      <x:c r="E74" s="149" t="n">
        <x:f>SUMIFS('03_RUNTIME_INPUTS'!$H$5:$H$165,'03_RUNTIME_INPUTS'!$A$5:$A$165,A74,'03_RUNTIME_INPUTS'!$F$5:$F$165,C74,'03_RUNTIME_INPUTS'!$G$5:$G$165,D74)</x:f>
        <x:v>0.1</x:v>
      </x:c>
      <x:c r="F74" s="149" t="n">
        <x:f>SUMIFS('03_RUNTIME_INPUTS'!$I$5:$I$165,'03_RUNTIME_INPUTS'!$A$5:$A$165,A74,'03_RUNTIME_INPUTS'!$F$5:$F$165,C74,'03_RUNTIME_INPUTS'!$G$5:$G$165,D74)</x:f>
        <x:v>0.1</x:v>
      </x:c>
      <x:c r="G74" s="50" t="str">
        <x:v>Oil / petroleum thermal</x:v>
      </x:c>
    </x:row>
    <x:row r="75">
      <x:c r="A75" s="49" t="str">
        <x:v>GR</x:v>
      </x:c>
      <x:c r="B75" s="44" t="str">
        <x:v>Greece</x:v>
      </x:c>
      <x:c r="C75" s="44" t="str">
        <x:v>wind_offshore</x:v>
      </x:c>
      <x:c r="D75" s="44" t="str">
        <x:v>GW</x:v>
      </x:c>
      <x:c r="E75" s="149" t="n">
        <x:f>SUMIFS('03_RUNTIME_INPUTS'!$H$5:$H$165,'03_RUNTIME_INPUTS'!$A$5:$A$165,A75,'03_RUNTIME_INPUTS'!$F$5:$F$165,C75,'03_RUNTIME_INPUTS'!$G$5:$G$165,D75)</x:f>
        <x:v>5.8</x:v>
      </x:c>
      <x:c r="F75" s="149" t="n">
        <x:f>SUMIFS('03_RUNTIME_INPUTS'!$I$5:$I$165,'03_RUNTIME_INPUTS'!$A$5:$A$165,A75,'03_RUNTIME_INPUTS'!$F$5:$F$165,C75,'03_RUNTIME_INPUTS'!$G$5:$G$165,D75)</x:f>
        <x:v>11.8</x:v>
      </x:c>
      <x:c r="G75" s="50" t="str">
        <x:v>Offshore wind</x:v>
      </x:c>
    </x:row>
    <x:row r="76">
      <x:c r="A76" s="49" t="str">
        <x:v>GR</x:v>
      </x:c>
      <x:c r="B76" s="44" t="str">
        <x:v>Greece</x:v>
      </x:c>
      <x:c r="C76" s="44" t="str">
        <x:v>wind_onshore</x:v>
      </x:c>
      <x:c r="D76" s="44" t="str">
        <x:v>GW</x:v>
      </x:c>
      <x:c r="E76" s="149" t="n">
        <x:f>SUMIFS('03_RUNTIME_INPUTS'!$H$5:$H$165,'03_RUNTIME_INPUTS'!$A$5:$A$165,A76,'03_RUNTIME_INPUTS'!$F$5:$F$165,C76,'03_RUNTIME_INPUTS'!$G$5:$G$165,D76)</x:f>
        <x:v>11</x:v>
      </x:c>
      <x:c r="F76" s="149" t="n">
        <x:f>SUMIFS('03_RUNTIME_INPUTS'!$I$5:$I$165,'03_RUNTIME_INPUTS'!$A$5:$A$165,A76,'03_RUNTIME_INPUTS'!$F$5:$F$165,C76,'03_RUNTIME_INPUTS'!$G$5:$G$165,D76)</x:f>
        <x:v>13</x:v>
      </x:c>
      <x:c r="G76" s="50" t="str">
        <x:v>Onshore wind</x:v>
      </x:c>
    </x:row>
    <x:row r="77">
      <x:c r="A77" s="49" t="str">
        <x:v>HR</x:v>
      </x:c>
      <x:c r="B77" s="44" t="str">
        <x:v>Croatia</x:v>
      </x:c>
      <x:c r="C77" s="44" t="str">
        <x:v>bess_grid_energy</x:v>
      </x:c>
      <x:c r="D77" s="44" t="str">
        <x:v>GWh</x:v>
      </x:c>
      <x:c r="E77" s="149" t="n">
        <x:f>SUMIFS('03_RUNTIME_INPUTS'!$H$5:$H$165,'03_RUNTIME_INPUTS'!$A$5:$A$165,A77,'03_RUNTIME_INPUTS'!$F$5:$F$165,C77,'03_RUNTIME_INPUTS'!$G$5:$G$165,D77)</x:f>
        <x:v>2.1798654244306417</x:v>
      </x:c>
      <x:c r="F77" s="149" t="n">
        <x:f>SUMIFS('03_RUNTIME_INPUTS'!$I$5:$I$165,'03_RUNTIME_INPUTS'!$A$5:$A$165,A77,'03_RUNTIME_INPUTS'!$F$5:$F$165,C77,'03_RUNTIME_INPUTS'!$G$5:$G$165,D77)</x:f>
        <x:v>2.95346462436178</x:v>
      </x:c>
      <x:c r="G77" s="50" t="str">
        <x:v>BESS energy</x:v>
      </x:c>
    </x:row>
    <x:row r="78">
      <x:c r="A78" s="49" t="str">
        <x:v>HR</x:v>
      </x:c>
      <x:c r="B78" s="44" t="str">
        <x:v>Croatia</x:v>
      </x:c>
      <x:c r="C78" s="44" t="str">
        <x:v>bess_grid_power</x:v>
      </x:c>
      <x:c r="D78" s="44" t="str">
        <x:v>GW</x:v>
      </x:c>
      <x:c r="E78" s="149" t="n">
        <x:f>SUMIFS('03_RUNTIME_INPUTS'!$H$5:$H$165,'03_RUNTIME_INPUTS'!$A$5:$A$165,A78,'03_RUNTIME_INPUTS'!$F$5:$F$165,C78,'03_RUNTIME_INPUTS'!$G$5:$G$165,D78)</x:f>
        <x:v>0.5449663561076604</x:v>
      </x:c>
      <x:c r="F78" s="149" t="n">
        <x:f>SUMIFS('03_RUNTIME_INPUTS'!$I$5:$I$165,'03_RUNTIME_INPUTS'!$A$5:$A$165,A78,'03_RUNTIME_INPUTS'!$F$5:$F$165,C78,'03_RUNTIME_INPUTS'!$G$5:$G$165,D78)</x:f>
        <x:v>0.738366156090445</x:v>
      </x:c>
      <x:c r="G78" s="50" t="str">
        <x:v>BESS power</x:v>
      </x:c>
    </x:row>
    <x:row r="79">
      <x:c r="A79" s="49" t="str">
        <x:v>HR</x:v>
      </x:c>
      <x:c r="B79" s="44" t="str">
        <x:v>Croatia</x:v>
      </x:c>
      <x:c r="C79" s="44" t="str">
        <x:v>bioenergy_biogas</x:v>
      </x:c>
      <x:c r="D79" s="44" t="str">
        <x:v>GW</x:v>
      </x:c>
      <x:c r="E79" s="149" t="n">
        <x:f>SUMIFS('03_RUNTIME_INPUTS'!$H$5:$H$165,'03_RUNTIME_INPUTS'!$A$5:$A$165,A79,'03_RUNTIME_INPUTS'!$F$5:$F$165,C79,'03_RUNTIME_INPUTS'!$G$5:$G$165,D79)</x:f>
        <x:v>0.059</x:v>
      </x:c>
      <x:c r="F79" s="149" t="n">
        <x:f>SUMIFS('03_RUNTIME_INPUTS'!$I$5:$I$165,'03_RUNTIME_INPUTS'!$A$5:$A$165,A79,'03_RUNTIME_INPUTS'!$F$5:$F$165,C79,'03_RUNTIME_INPUTS'!$G$5:$G$165,D79)</x:f>
        <x:v>0.059</x:v>
      </x:c>
      <x:c r="G79" s="50" t="str">
        <x:v>Biogas</x:v>
      </x:c>
    </x:row>
    <x:row r="80">
      <x:c r="A80" s="49" t="str">
        <x:v>HR</x:v>
      </x:c>
      <x:c r="B80" s="44" t="str">
        <x:v>Croatia</x:v>
      </x:c>
      <x:c r="C80" s="44" t="str">
        <x:v>bioenergy_biomass</x:v>
      </x:c>
      <x:c r="D80" s="44" t="str">
        <x:v>GW</x:v>
      </x:c>
      <x:c r="E80" s="149" t="n">
        <x:f>SUMIFS('03_RUNTIME_INPUTS'!$H$5:$H$165,'03_RUNTIME_INPUTS'!$A$5:$A$165,A80,'03_RUNTIME_INPUTS'!$F$5:$F$165,C80,'03_RUNTIME_INPUTS'!$G$5:$G$165,D80)</x:f>
        <x:v>0.135</x:v>
      </x:c>
      <x:c r="F80" s="149" t="n">
        <x:f>SUMIFS('03_RUNTIME_INPUTS'!$I$5:$I$165,'03_RUNTIME_INPUTS'!$A$5:$A$165,A80,'03_RUNTIME_INPUTS'!$F$5:$F$165,C80,'03_RUNTIME_INPUTS'!$G$5:$G$165,D80)</x:f>
        <x:v>0.135</x:v>
      </x:c>
      <x:c r="G80" s="50" t="str">
        <x:v>Biomass</x:v>
      </x:c>
    </x:row>
    <x:row r="81">
      <x:c r="A81" s="49" t="str">
        <x:v>HR</x:v>
      </x:c>
      <x:c r="B81" s="44" t="str">
        <x:v>Croatia</x:v>
      </x:c>
      <x:c r="C81" s="44" t="str">
        <x:v>coal_lignite</x:v>
      </x:c>
      <x:c r="D81" s="44" t="str">
        <x:v>GW</x:v>
      </x:c>
      <x:c r="E81" s="149" t="n">
        <x:f>SUMIFS('03_RUNTIME_INPUTS'!$H$5:$H$165,'03_RUNTIME_INPUTS'!$A$5:$A$165,A81,'03_RUNTIME_INPUTS'!$F$5:$F$165,C81,'03_RUNTIME_INPUTS'!$G$5:$G$165,D81)</x:f>
        <x:v>0</x:v>
      </x:c>
      <x:c r="F81" s="149" t="n">
        <x:f>SUMIFS('03_RUNTIME_INPUTS'!$I$5:$I$165,'03_RUNTIME_INPUTS'!$A$5:$A$165,A81,'03_RUNTIME_INPUTS'!$F$5:$F$165,C81,'03_RUNTIME_INPUTS'!$G$5:$G$165,D81)</x:f>
        <x:v>0</x:v>
      </x:c>
      <x:c r="G81" s="50" t="str">
        <x:v>Coal / lignite</x:v>
      </x:c>
    </x:row>
    <x:row r="82">
      <x:c r="A82" s="49" t="str">
        <x:v>HR</x:v>
      </x:c>
      <x:c r="B82" s="44" t="str">
        <x:v>Croatia</x:v>
      </x:c>
      <x:c r="C82" s="44" t="str">
        <x:v>demand</x:v>
      </x:c>
      <x:c r="D82" s="44" t="str">
        <x:v>TWh</x:v>
      </x:c>
      <x:c r="E82" s="149" t="n">
        <x:f>SUMIFS('03_RUNTIME_INPUTS'!$H$5:$H$165,'03_RUNTIME_INPUTS'!$A$5:$A$165,A82,'03_RUNTIME_INPUTS'!$F$5:$F$165,C82,'03_RUNTIME_INPUTS'!$G$5:$G$165,D82)</x:f>
        <x:v>21.166</x:v>
      </x:c>
      <x:c r="F82" s="149" t="n">
        <x:f>SUMIFS('03_RUNTIME_INPUTS'!$I$5:$I$165,'03_RUNTIME_INPUTS'!$A$5:$A$165,A82,'03_RUNTIME_INPUTS'!$F$5:$F$165,C82,'03_RUNTIME_INPUTS'!$G$5:$G$165,D82)</x:f>
        <x:v>24.423</x:v>
      </x:c>
      <x:c r="G82" s="50" t="str">
        <x:v>Annual electricity demand</x:v>
      </x:c>
    </x:row>
    <x:row r="83">
      <x:c r="A83" s="49" t="str">
        <x:v>HR</x:v>
      </x:c>
      <x:c r="B83" s="44" t="str">
        <x:v>Croatia</x:v>
      </x:c>
      <x:c r="C83" s="44" t="str">
        <x:v>geothermal</x:v>
      </x:c>
      <x:c r="D83" s="44" t="str">
        <x:v>GW</x:v>
      </x:c>
      <x:c r="E83" s="149" t="n">
        <x:f>SUMIFS('03_RUNTIME_INPUTS'!$H$5:$H$165,'03_RUNTIME_INPUTS'!$A$5:$A$165,A83,'03_RUNTIME_INPUTS'!$F$5:$F$165,C83,'03_RUNTIME_INPUTS'!$G$5:$G$165,D83)</x:f>
        <x:v>0.318</x:v>
      </x:c>
      <x:c r="F83" s="149" t="n">
        <x:f>SUMIFS('03_RUNTIME_INPUTS'!$I$5:$I$165,'03_RUNTIME_INPUTS'!$A$5:$A$165,A83,'03_RUNTIME_INPUTS'!$F$5:$F$165,C83,'03_RUNTIME_INPUTS'!$G$5:$G$165,D83)</x:f>
        <x:v>0.405</x:v>
      </x:c>
      <x:c r="G83" s="50" t="str">
        <x:v>Geothermal electricity</x:v>
      </x:c>
    </x:row>
    <x:row r="84">
      <x:c r="A84" s="49" t="str">
        <x:v>HR</x:v>
      </x:c>
      <x:c r="B84" s="44" t="str">
        <x:v>Croatia</x:v>
      </x:c>
      <x:c r="C84" s="44" t="str">
        <x:v>hydro_non_phs</x:v>
      </x:c>
      <x:c r="D84" s="44" t="str">
        <x:v>GW</x:v>
      </x:c>
      <x:c r="E84" s="149" t="n">
        <x:f>SUMIFS('03_RUNTIME_INPUTS'!$H$5:$H$165,'03_RUNTIME_INPUTS'!$A$5:$A$165,A84,'03_RUNTIME_INPUTS'!$F$5:$F$165,C84,'03_RUNTIME_INPUTS'!$G$5:$G$165,D84)</x:f>
        <x:v>2.56</x:v>
      </x:c>
      <x:c r="F84" s="149" t="n">
        <x:f>SUMIFS('03_RUNTIME_INPUTS'!$I$5:$I$165,'03_RUNTIME_INPUTS'!$A$5:$A$165,A84,'03_RUNTIME_INPUTS'!$F$5:$F$165,C84,'03_RUNTIME_INPUTS'!$G$5:$G$165,D84)</x:f>
        <x:v>2.7800000000000002</x:v>
      </x:c>
      <x:c r="G84" s="50" t="str">
        <x:v>Non-PHS hydro</x:v>
      </x:c>
    </x:row>
    <x:row r="85">
      <x:c r="A85" s="49" t="str">
        <x:v>HR</x:v>
      </x:c>
      <x:c r="B85" s="44" t="str">
        <x:v>Croatia</x:v>
      </x:c>
      <x:c r="C85" s="44" t="str">
        <x:v>nuclear</x:v>
      </x:c>
      <x:c r="D85" s="44" t="str">
        <x:v>GW</x:v>
      </x:c>
      <x:c r="E85" s="149" t="n">
        <x:f>SUMIFS('03_RUNTIME_INPUTS'!$H$5:$H$165,'03_RUNTIME_INPUTS'!$A$5:$A$165,A85,'03_RUNTIME_INPUTS'!$F$5:$F$165,C85,'03_RUNTIME_INPUTS'!$G$5:$G$165,D85)</x:f>
        <x:v>0</x:v>
      </x:c>
      <x:c r="F85" s="149" t="n">
        <x:f>SUMIFS('03_RUNTIME_INPUTS'!$I$5:$I$165,'03_RUNTIME_INPUTS'!$A$5:$A$165,A85,'03_RUNTIME_INPUTS'!$F$5:$F$165,C85,'03_RUNTIME_INPUTS'!$G$5:$G$165,D85)</x:f>
        <x:v>0</x:v>
      </x:c>
      <x:c r="G85" s="50" t="str">
        <x:v>Physical nuclear in Croatia node</x:v>
      </x:c>
    </x:row>
    <x:row r="86">
      <x:c r="A86" s="49" t="str">
        <x:v>HR</x:v>
      </x:c>
      <x:c r="B86" s="44" t="str">
        <x:v>Croatia</x:v>
      </x:c>
      <x:c r="C86" s="44" t="str">
        <x:v>phs_charge_power</x:v>
      </x:c>
      <x:c r="D86" s="44" t="str">
        <x:v>GW</x:v>
      </x:c>
      <x:c r="E86" s="149" t="n">
        <x:f>SUMIFS('03_RUNTIME_INPUTS'!$H$5:$H$165,'03_RUNTIME_INPUTS'!$A$5:$A$165,A86,'03_RUNTIME_INPUTS'!$F$5:$F$165,C86,'03_RUNTIME_INPUTS'!$G$5:$G$165,D86)</x:f>
        <x:v>0.39</x:v>
      </x:c>
      <x:c r="F86" s="149" t="n">
        <x:f>SUMIFS('03_RUNTIME_INPUTS'!$I$5:$I$165,'03_RUNTIME_INPUTS'!$A$5:$A$165,A86,'03_RUNTIME_INPUTS'!$F$5:$F$165,C86,'03_RUNTIME_INPUTS'!$G$5:$G$165,D86)</x:f>
        <x:v>0.39</x:v>
      </x:c>
      <x:c r="G86" s="50" t="str">
        <x:v>PHS pump / charge power</x:v>
      </x:c>
    </x:row>
    <x:row r="87">
      <x:c r="A87" s="49" t="str">
        <x:v>HR</x:v>
      </x:c>
      <x:c r="B87" s="44" t="str">
        <x:v>Croatia</x:v>
      </x:c>
      <x:c r="C87" s="44" t="str">
        <x:v>phs_discharge_power</x:v>
      </x:c>
      <x:c r="D87" s="44" t="str">
        <x:v>GW</x:v>
      </x:c>
      <x:c r="E87" s="149" t="n">
        <x:f>SUMIFS('03_RUNTIME_INPUTS'!$H$5:$H$165,'03_RUNTIME_INPUTS'!$A$5:$A$165,A87,'03_RUNTIME_INPUTS'!$F$5:$F$165,C87,'03_RUNTIME_INPUTS'!$G$5:$G$165,D87)</x:f>
        <x:v>0.42000000000000004</x:v>
      </x:c>
      <x:c r="F87" s="149" t="n">
        <x:f>SUMIFS('03_RUNTIME_INPUTS'!$I$5:$I$165,'03_RUNTIME_INPUTS'!$A$5:$A$165,A87,'03_RUNTIME_INPUTS'!$F$5:$F$165,C87,'03_RUNTIME_INPUTS'!$G$5:$G$165,D87)</x:f>
        <x:v>0.42000000000000004</x:v>
      </x:c>
      <x:c r="G87" s="50" t="str">
        <x:v>PHS turbine / discharge power</x:v>
      </x:c>
    </x:row>
    <x:row r="88">
      <x:c r="A88" s="49" t="str">
        <x:v>HR</x:v>
      </x:c>
      <x:c r="B88" s="44" t="str">
        <x:v>Croatia</x:v>
      </x:c>
      <x:c r="C88" s="44" t="str">
        <x:v>phs_energy</x:v>
      </x:c>
      <x:c r="D88" s="44" t="str">
        <x:v>GWh</x:v>
      </x:c>
      <x:c r="E88" s="149" t="n">
        <x:f>SUMIFS('03_RUNTIME_INPUTS'!$H$5:$H$165,'03_RUNTIME_INPUTS'!$A$5:$A$165,A88,'03_RUNTIME_INPUTS'!$F$5:$F$165,C88,'03_RUNTIME_INPUTS'!$G$5:$G$165,D88)</x:f>
        <x:v>4.17761575</x:v>
      </x:c>
      <x:c r="F88" s="149" t="n">
        <x:f>SUMIFS('03_RUNTIME_INPUTS'!$I$5:$I$165,'03_RUNTIME_INPUTS'!$A$5:$A$165,A88,'03_RUNTIME_INPUTS'!$F$5:$F$165,C88,'03_RUNTIME_INPUTS'!$G$5:$G$165,D88)</x:f>
        <x:v>4.17761575</x:v>
      </x:c>
      <x:c r="G88" s="50" t="str">
        <x:v>PHS nominal energy</x:v>
      </x:c>
    </x:row>
    <x:row r="89">
      <x:c r="A89" s="49" t="str">
        <x:v>HR</x:v>
      </x:c>
      <x:c r="B89" s="44" t="str">
        <x:v>Croatia</x:v>
      </x:c>
      <x:c r="C89" s="44" t="str">
        <x:v>solar_pv</x:v>
      </x:c>
      <x:c r="D89" s="44" t="str">
        <x:v>GW</x:v>
      </x:c>
      <x:c r="E89" s="149" t="n">
        <x:f>SUMIFS('03_RUNTIME_INPUTS'!$H$5:$H$165,'03_RUNTIME_INPUTS'!$A$5:$A$165,A89,'03_RUNTIME_INPUTS'!$F$5:$F$165,C89,'03_RUNTIME_INPUTS'!$G$5:$G$165,D89)</x:f>
        <x:v>4.86</x:v>
      </x:c>
      <x:c r="F89" s="149" t="n">
        <x:f>SUMIFS('03_RUNTIME_INPUTS'!$I$5:$I$165,'03_RUNTIME_INPUTS'!$A$5:$A$165,A89,'03_RUNTIME_INPUTS'!$F$5:$F$165,C89,'03_RUNTIME_INPUTS'!$G$5:$G$165,D89)</x:f>
        <x:v>5.77</x:v>
      </x:c>
      <x:c r="G89" s="50" t="str">
        <x:v>Solar PV</x:v>
      </x:c>
    </x:row>
    <x:row r="90">
      <x:c r="A90" s="49" t="str">
        <x:v>HR</x:v>
      </x:c>
      <x:c r="B90" s="44" t="str">
        <x:v>Croatia</x:v>
      </x:c>
      <x:c r="C90" s="44" t="str">
        <x:v>thermal_methane_gas</x:v>
      </x:c>
      <x:c r="D90" s="44" t="str">
        <x:v>GW</x:v>
      </x:c>
      <x:c r="E90" s="149" t="n">
        <x:f>SUMIFS('03_RUNTIME_INPUTS'!$H$5:$H$165,'03_RUNTIME_INPUTS'!$A$5:$A$165,A90,'03_RUNTIME_INPUTS'!$F$5:$F$165,C90,'03_RUNTIME_INPUTS'!$G$5:$G$165,D90)</x:f>
        <x:v>0.831</x:v>
      </x:c>
      <x:c r="F90" s="149" t="n">
        <x:f>SUMIFS('03_RUNTIME_INPUTS'!$I$5:$I$165,'03_RUNTIME_INPUTS'!$A$5:$A$165,A90,'03_RUNTIME_INPUTS'!$F$5:$F$165,C90,'03_RUNTIME_INPUTS'!$G$5:$G$165,D90)</x:f>
        <x:v>0.461</x:v>
      </x:c>
      <x:c r="G90" s="50" t="str">
        <x:v>Gas thermal / CHP</x:v>
      </x:c>
    </x:row>
    <x:row r="91">
      <x:c r="A91" s="49" t="str">
        <x:v>HR</x:v>
      </x:c>
      <x:c r="B91" s="44" t="str">
        <x:v>Croatia</x:v>
      </x:c>
      <x:c r="C91" s="44" t="str">
        <x:v>thermal_oil_liquid</x:v>
      </x:c>
      <x:c r="D91" s="44" t="str">
        <x:v>GW</x:v>
      </x:c>
      <x:c r="E91" s="149" t="n">
        <x:f>SUMIFS('03_RUNTIME_INPUTS'!$H$5:$H$165,'03_RUNTIME_INPUTS'!$A$5:$A$165,A91,'03_RUNTIME_INPUTS'!$F$5:$F$165,C91,'03_RUNTIME_INPUTS'!$G$5:$G$165,D91)</x:f>
        <x:v>0</x:v>
      </x:c>
      <x:c r="F91" s="149" t="n">
        <x:f>SUMIFS('03_RUNTIME_INPUTS'!$I$5:$I$165,'03_RUNTIME_INPUTS'!$A$5:$A$165,A91,'03_RUNTIME_INPUTS'!$F$5:$F$165,C91,'03_RUNTIME_INPUTS'!$G$5:$G$165,D91)</x:f>
        <x:v>0</x:v>
      </x:c>
      <x:c r="G91" s="50" t="str">
        <x:v>Fuel oil thermal</x:v>
      </x:c>
    </x:row>
    <x:row r="92">
      <x:c r="A92" s="49" t="str">
        <x:v>HR</x:v>
      </x:c>
      <x:c r="B92" s="44" t="str">
        <x:v>Croatia</x:v>
      </x:c>
      <x:c r="C92" s="44" t="str">
        <x:v>wind_offshore</x:v>
      </x:c>
      <x:c r="D92" s="44" t="str">
        <x:v>GW</x:v>
      </x:c>
      <x:c r="E92" s="149" t="n">
        <x:f>SUMIFS('03_RUNTIME_INPUTS'!$H$5:$H$165,'03_RUNTIME_INPUTS'!$A$5:$A$165,A92,'03_RUNTIME_INPUTS'!$F$5:$F$165,C92,'03_RUNTIME_INPUTS'!$G$5:$G$165,D92)</x:f>
        <x:v>0</x:v>
      </x:c>
      <x:c r="F92" s="149" t="n">
        <x:f>SUMIFS('03_RUNTIME_INPUTS'!$I$5:$I$165,'03_RUNTIME_INPUTS'!$A$5:$A$165,A92,'03_RUNTIME_INPUTS'!$F$5:$F$165,C92,'03_RUNTIME_INPUTS'!$G$5:$G$165,D92)</x:f>
        <x:v>0</x:v>
      </x:c>
      <x:c r="G92" s="50" t="str">
        <x:v>Offshore wind</x:v>
      </x:c>
    </x:row>
    <x:row r="93">
      <x:c r="A93" s="49" t="str">
        <x:v>HR</x:v>
      </x:c>
      <x:c r="B93" s="44" t="str">
        <x:v>Croatia</x:v>
      </x:c>
      <x:c r="C93" s="44" t="str">
        <x:v>wind_onshore</x:v>
      </x:c>
      <x:c r="D93" s="44" t="str">
        <x:v>GW</x:v>
      </x:c>
      <x:c r="E93" s="149" t="n">
        <x:f>SUMIFS('03_RUNTIME_INPUTS'!$H$5:$H$165,'03_RUNTIME_INPUTS'!$A$5:$A$165,A93,'03_RUNTIME_INPUTS'!$F$5:$F$165,C93,'03_RUNTIME_INPUTS'!$G$5:$G$165,D93)</x:f>
        <x:v>3.563</x:v>
      </x:c>
      <x:c r="F93" s="149" t="n">
        <x:f>SUMIFS('03_RUNTIME_INPUTS'!$I$5:$I$165,'03_RUNTIME_INPUTS'!$A$5:$A$165,A93,'03_RUNTIME_INPUTS'!$F$5:$F$165,C93,'03_RUNTIME_INPUTS'!$G$5:$G$165,D93)</x:f>
        <x:v>4.353</x:v>
      </x:c>
      <x:c r="G93" s="50" t="str">
        <x:v>Onshore wind</x:v>
      </x:c>
    </x:row>
    <x:row r="94">
      <x:c r="A94" s="49" t="str">
        <x:v>ME</x:v>
      </x:c>
      <x:c r="B94" s="44" t="str">
        <x:v>Montenegro</x:v>
      </x:c>
      <x:c r="C94" s="44" t="str">
        <x:v>bess_grid_energy</x:v>
      </x:c>
      <x:c r="D94" s="44" t="str">
        <x:v>GWh</x:v>
      </x:c>
      <x:c r="E94" s="149" t="n">
        <x:f>SUMIFS('03_RUNTIME_INPUTS'!$H$5:$H$165,'03_RUNTIME_INPUTS'!$A$5:$A$165,A94,'03_RUNTIME_INPUTS'!$F$5:$F$165,C94,'03_RUNTIME_INPUTS'!$G$5:$G$165,D94)</x:f>
        <x:v>0.24</x:v>
      </x:c>
      <x:c r="F94" s="149" t="n">
        <x:f>SUMIFS('03_RUNTIME_INPUTS'!$I$5:$I$165,'03_RUNTIME_INPUTS'!$A$5:$A$165,A94,'03_RUNTIME_INPUTS'!$F$5:$F$165,C94,'03_RUNTIME_INPUTS'!$G$5:$G$165,D94)</x:f>
        <x:v>0.24</x:v>
      </x:c>
      <x:c r="G94" s="50" t="str">
        <x:v>Grid BESS energy</x:v>
      </x:c>
    </x:row>
    <x:row r="95">
      <x:c r="A95" s="49" t="str">
        <x:v>ME</x:v>
      </x:c>
      <x:c r="B95" s="44" t="str">
        <x:v>Montenegro</x:v>
      </x:c>
      <x:c r="C95" s="44" t="str">
        <x:v>bess_grid_power</x:v>
      </x:c>
      <x:c r="D95" s="44" t="str">
        <x:v>GW</x:v>
      </x:c>
      <x:c r="E95" s="149" t="n">
        <x:f>SUMIFS('03_RUNTIME_INPUTS'!$H$5:$H$165,'03_RUNTIME_INPUTS'!$A$5:$A$165,A95,'03_RUNTIME_INPUTS'!$F$5:$F$165,C95,'03_RUNTIME_INPUTS'!$G$5:$G$165,D95)</x:f>
        <x:v>0.24</x:v>
      </x:c>
      <x:c r="F95" s="149" t="n">
        <x:f>SUMIFS('03_RUNTIME_INPUTS'!$I$5:$I$165,'03_RUNTIME_INPUTS'!$A$5:$A$165,A95,'03_RUNTIME_INPUTS'!$F$5:$F$165,C95,'03_RUNTIME_INPUTS'!$G$5:$G$165,D95)</x:f>
        <x:v>0.24</x:v>
      </x:c>
      <x:c r="G95" s="50" t="str">
        <x:v>Grid BESS power</x:v>
      </x:c>
    </x:row>
    <x:row r="96">
      <x:c r="A96" s="49" t="str">
        <x:v>ME</x:v>
      </x:c>
      <x:c r="B96" s="44" t="str">
        <x:v>Montenegro</x:v>
      </x:c>
      <x:c r="C96" s="44" t="str">
        <x:v>bioenergy_biogas</x:v>
      </x:c>
      <x:c r="D96" s="44" t="str">
        <x:v>GW</x:v>
      </x:c>
      <x:c r="E96" s="149" t="n">
        <x:f>SUMIFS('03_RUNTIME_INPUTS'!$H$5:$H$165,'03_RUNTIME_INPUTS'!$A$5:$A$165,A96,'03_RUNTIME_INPUTS'!$F$5:$F$165,C96,'03_RUNTIME_INPUTS'!$G$5:$G$165,D96)</x:f>
        <x:v>0.087</x:v>
      </x:c>
      <x:c r="F96" s="149" t="n">
        <x:f>SUMIFS('03_RUNTIME_INPUTS'!$I$5:$I$165,'03_RUNTIME_INPUTS'!$A$5:$A$165,A96,'03_RUNTIME_INPUTS'!$F$5:$F$165,C96,'03_RUNTIME_INPUTS'!$G$5:$G$165,D96)</x:f>
        <x:v>0.087</x:v>
      </x:c>
      <x:c r="G96" s="50" t="str">
        <x:v>Biogas electricity</x:v>
      </x:c>
    </x:row>
    <x:row r="97">
      <x:c r="A97" s="49" t="str">
        <x:v>ME</x:v>
      </x:c>
      <x:c r="B97" s="44" t="str">
        <x:v>Montenegro</x:v>
      </x:c>
      <x:c r="C97" s="44" t="str">
        <x:v>bioenergy_biomass</x:v>
      </x:c>
      <x:c r="D97" s="44" t="str">
        <x:v>GW</x:v>
      </x:c>
      <x:c r="E97" s="149" t="n">
        <x:f>SUMIFS('03_RUNTIME_INPUTS'!$H$5:$H$165,'03_RUNTIME_INPUTS'!$A$5:$A$165,A97,'03_RUNTIME_INPUTS'!$F$5:$F$165,C97,'03_RUNTIME_INPUTS'!$G$5:$G$165,D97)</x:f>
        <x:v>0</x:v>
      </x:c>
      <x:c r="F97" s="149" t="n">
        <x:f>SUMIFS('03_RUNTIME_INPUTS'!$I$5:$I$165,'03_RUNTIME_INPUTS'!$A$5:$A$165,A97,'03_RUNTIME_INPUTS'!$F$5:$F$165,C97,'03_RUNTIME_INPUTS'!$G$5:$G$165,D97)</x:f>
        <x:v>0</x:v>
      </x:c>
      <x:c r="G97" s="50" t="str">
        <x:v>Biomass / waste electricity excluding biogas</x:v>
      </x:c>
    </x:row>
    <x:row r="98">
      <x:c r="A98" s="49" t="str">
        <x:v>ME</x:v>
      </x:c>
      <x:c r="B98" s="44" t="str">
        <x:v>Montenegro</x:v>
      </x:c>
      <x:c r="C98" s="44" t="str">
        <x:v>coal_lignite</x:v>
      </x:c>
      <x:c r="D98" s="44" t="str">
        <x:v>GW</x:v>
      </x:c>
      <x:c r="E98" s="149" t="n">
        <x:f>SUMIFS('03_RUNTIME_INPUTS'!$H$5:$H$165,'03_RUNTIME_INPUTS'!$A$5:$A$165,A98,'03_RUNTIME_INPUTS'!$F$5:$F$165,C98,'03_RUNTIME_INPUTS'!$G$5:$G$165,D98)</x:f>
        <x:v>0.225</x:v>
      </x:c>
      <x:c r="F98" s="149" t="n">
        <x:f>SUMIFS('03_RUNTIME_INPUTS'!$I$5:$I$165,'03_RUNTIME_INPUTS'!$A$5:$A$165,A98,'03_RUNTIME_INPUTS'!$F$5:$F$165,C98,'03_RUNTIME_INPUTS'!$G$5:$G$165,D98)</x:f>
        <x:v>0</x:v>
      </x:c>
      <x:c r="G98" s="50" t="str">
        <x:v>Coal / lignite</x:v>
      </x:c>
    </x:row>
    <x:row r="99">
      <x:c r="A99" s="49" t="str">
        <x:v>ME</x:v>
      </x:c>
      <x:c r="B99" s="44" t="str">
        <x:v>Montenegro</x:v>
      </x:c>
      <x:c r="C99" s="44" t="str">
        <x:v>demand</x:v>
      </x:c>
      <x:c r="D99" s="44" t="str">
        <x:v>TWh</x:v>
      </x:c>
      <x:c r="E99" s="149" t="n">
        <x:f>SUMIFS('03_RUNTIME_INPUTS'!$H$5:$H$165,'03_RUNTIME_INPUTS'!$A$5:$A$165,A99,'03_RUNTIME_INPUTS'!$F$5:$F$165,C99,'03_RUNTIME_INPUTS'!$G$5:$G$165,D99)</x:f>
        <x:v>3.6422</x:v>
      </x:c>
      <x:c r="F99" s="149" t="n">
        <x:f>SUMIFS('03_RUNTIME_INPUTS'!$I$5:$I$165,'03_RUNTIME_INPUTS'!$A$5:$A$165,A99,'03_RUNTIME_INPUTS'!$F$5:$F$165,C99,'03_RUNTIME_INPUTS'!$G$5:$G$165,D99)</x:f>
        <x:v>3.6784</x:v>
      </x:c>
      <x:c r="G99" s="50" t="str">
        <x:v>Annual electricity demand</x:v>
      </x:c>
    </x:row>
    <x:row r="100">
      <x:c r="A100" s="49" t="str">
        <x:v>ME</x:v>
      </x:c>
      <x:c r="B100" s="44" t="str">
        <x:v>Montenegro</x:v>
      </x:c>
      <x:c r="C100" s="44" t="str">
        <x:v>geothermal</x:v>
      </x:c>
      <x:c r="D100" s="44" t="str">
        <x:v>GW</x:v>
      </x:c>
      <x:c r="E100" s="149" t="n">
        <x:f>SUMIFS('03_RUNTIME_INPUTS'!$H$5:$H$165,'03_RUNTIME_INPUTS'!$A$5:$A$165,A100,'03_RUNTIME_INPUTS'!$F$5:$F$165,C100,'03_RUNTIME_INPUTS'!$G$5:$G$165,D100)</x:f>
        <x:v>0</x:v>
      </x:c>
      <x:c r="F100" s="149" t="n">
        <x:f>SUMIFS('03_RUNTIME_INPUTS'!$I$5:$I$165,'03_RUNTIME_INPUTS'!$A$5:$A$165,A100,'03_RUNTIME_INPUTS'!$F$5:$F$165,C100,'03_RUNTIME_INPUTS'!$G$5:$G$165,D100)</x:f>
        <x:v>0</x:v>
      </x:c>
      <x:c r="G100" s="50" t="str">
        <x:v>Geothermal electricity</x:v>
      </x:c>
    </x:row>
    <x:row r="101">
      <x:c r="A101" s="49" t="str">
        <x:v>ME</x:v>
      </x:c>
      <x:c r="B101" s="44" t="str">
        <x:v>Montenegro</x:v>
      </x:c>
      <x:c r="C101" s="44" t="str">
        <x:v>hydro_non_phs</x:v>
      </x:c>
      <x:c r="D101" s="44" t="str">
        <x:v>GW</x:v>
      </x:c>
      <x:c r="E101" s="149" t="n">
        <x:f>SUMIFS('03_RUNTIME_INPUTS'!$H$5:$H$165,'03_RUNTIME_INPUTS'!$A$5:$A$165,A101,'03_RUNTIME_INPUTS'!$F$5:$F$165,C101,'03_RUNTIME_INPUTS'!$G$5:$G$165,D101)</x:f>
        <x:v>1.022604</x:v>
      </x:c>
      <x:c r="F101" s="149" t="n">
        <x:f>SUMIFS('03_RUNTIME_INPUTS'!$I$5:$I$165,'03_RUNTIME_INPUTS'!$A$5:$A$165,A101,'03_RUNTIME_INPUTS'!$F$5:$F$165,C101,'03_RUNTIME_INPUTS'!$G$5:$G$165,D101)</x:f>
        <x:v>1.022604</x:v>
      </x:c>
      <x:c r="G101" s="50" t="str">
        <x:v>Non-PHS hydro</x:v>
      </x:c>
    </x:row>
    <x:row r="102">
      <x:c r="A102" s="49" t="str">
        <x:v>ME</x:v>
      </x:c>
      <x:c r="B102" s="44" t="str">
        <x:v>Montenegro</x:v>
      </x:c>
      <x:c r="C102" s="44" t="str">
        <x:v>nuclear</x:v>
      </x:c>
      <x:c r="D102" s="44" t="str">
        <x:v>GW</x:v>
      </x:c>
      <x:c r="E102" s="149" t="n">
        <x:f>SUMIFS('03_RUNTIME_INPUTS'!$H$5:$H$165,'03_RUNTIME_INPUTS'!$A$5:$A$165,A102,'03_RUNTIME_INPUTS'!$F$5:$F$165,C102,'03_RUNTIME_INPUTS'!$G$5:$G$165,D102)</x:f>
        <x:v>0</x:v>
      </x:c>
      <x:c r="F102" s="149" t="n">
        <x:f>SUMIFS('03_RUNTIME_INPUTS'!$I$5:$I$165,'03_RUNTIME_INPUTS'!$A$5:$A$165,A102,'03_RUNTIME_INPUTS'!$F$5:$F$165,C102,'03_RUNTIME_INPUTS'!$G$5:$G$165,D102)</x:f>
        <x:v>0</x:v>
      </x:c>
      <x:c r="G102" s="50" t="str">
        <x:v>Nuclear</x:v>
      </x:c>
    </x:row>
    <x:row r="103">
      <x:c r="A103" s="49" t="str">
        <x:v>ME</x:v>
      </x:c>
      <x:c r="B103" s="44" t="str">
        <x:v>Montenegro</x:v>
      </x:c>
      <x:c r="C103" s="44" t="str">
        <x:v>phs_charge_power</x:v>
      </x:c>
      <x:c r="D103" s="44" t="str">
        <x:v>GW</x:v>
      </x:c>
      <x:c r="E103" s="149" t="n">
        <x:f>SUMIFS('03_RUNTIME_INPUTS'!$H$5:$H$165,'03_RUNTIME_INPUTS'!$A$5:$A$165,A103,'03_RUNTIME_INPUTS'!$F$5:$F$165,C103,'03_RUNTIME_INPUTS'!$G$5:$G$165,D103)</x:f>
        <x:v>0</x:v>
      </x:c>
      <x:c r="F103" s="149" t="n">
        <x:f>SUMIFS('03_RUNTIME_INPUTS'!$I$5:$I$165,'03_RUNTIME_INPUTS'!$A$5:$A$165,A103,'03_RUNTIME_INPUTS'!$F$5:$F$165,C103,'03_RUNTIME_INPUTS'!$G$5:$G$165,D103)</x:f>
        <x:v>0</x:v>
      </x:c>
      <x:c r="G103" s="50" t="str">
        <x:v>PHS pump / charge</x:v>
      </x:c>
    </x:row>
    <x:row r="104">
      <x:c r="A104" s="49" t="str">
        <x:v>ME</x:v>
      </x:c>
      <x:c r="B104" s="44" t="str">
        <x:v>Montenegro</x:v>
      </x:c>
      <x:c r="C104" s="44" t="str">
        <x:v>phs_discharge_power</x:v>
      </x:c>
      <x:c r="D104" s="44" t="str">
        <x:v>GW</x:v>
      </x:c>
      <x:c r="E104" s="149" t="n">
        <x:f>SUMIFS('03_RUNTIME_INPUTS'!$H$5:$H$165,'03_RUNTIME_INPUTS'!$A$5:$A$165,A104,'03_RUNTIME_INPUTS'!$F$5:$F$165,C104,'03_RUNTIME_INPUTS'!$G$5:$G$165,D104)</x:f>
        <x:v>0</x:v>
      </x:c>
      <x:c r="F104" s="149" t="n">
        <x:f>SUMIFS('03_RUNTIME_INPUTS'!$I$5:$I$165,'03_RUNTIME_INPUTS'!$A$5:$A$165,A104,'03_RUNTIME_INPUTS'!$F$5:$F$165,C104,'03_RUNTIME_INPUTS'!$G$5:$G$165,D104)</x:f>
        <x:v>0</x:v>
      </x:c>
      <x:c r="G104" s="50" t="str">
        <x:v>PHS turbine / discharge</x:v>
      </x:c>
    </x:row>
    <x:row r="105">
      <x:c r="A105" s="49" t="str">
        <x:v>ME</x:v>
      </x:c>
      <x:c r="B105" s="44" t="str">
        <x:v>Montenegro</x:v>
      </x:c>
      <x:c r="C105" s="44" t="str">
        <x:v>phs_energy</x:v>
      </x:c>
      <x:c r="D105" s="44" t="str">
        <x:v>GWh</x:v>
      </x:c>
      <x:c r="E105" s="149" t="n">
        <x:f>SUMIFS('03_RUNTIME_INPUTS'!$H$5:$H$165,'03_RUNTIME_INPUTS'!$A$5:$A$165,A105,'03_RUNTIME_INPUTS'!$F$5:$F$165,C105,'03_RUNTIME_INPUTS'!$G$5:$G$165,D105)</x:f>
        <x:v>0</x:v>
      </x:c>
      <x:c r="F105" s="149" t="n">
        <x:f>SUMIFS('03_RUNTIME_INPUTS'!$I$5:$I$165,'03_RUNTIME_INPUTS'!$A$5:$A$165,A105,'03_RUNTIME_INPUTS'!$F$5:$F$165,C105,'03_RUNTIME_INPUTS'!$G$5:$G$165,D105)</x:f>
        <x:v>0</x:v>
      </x:c>
      <x:c r="G105" s="50" t="str">
        <x:v>PHS energy</x:v>
      </x:c>
    </x:row>
    <x:row r="106">
      <x:c r="A106" s="49" t="str">
        <x:v>ME</x:v>
      </x:c>
      <x:c r="B106" s="44" t="str">
        <x:v>Montenegro</x:v>
      </x:c>
      <x:c r="C106" s="44" t="str">
        <x:v>solar_pv</x:v>
      </x:c>
      <x:c r="D106" s="44" t="str">
        <x:v>GW</x:v>
      </x:c>
      <x:c r="E106" s="149" t="n">
        <x:f>SUMIFS('03_RUNTIME_INPUTS'!$H$5:$H$165,'03_RUNTIME_INPUTS'!$A$5:$A$165,A106,'03_RUNTIME_INPUTS'!$F$5:$F$165,C106,'03_RUNTIME_INPUTS'!$G$5:$G$165,D106)</x:f>
        <x:v>2.608334</x:v>
      </x:c>
      <x:c r="F106" s="149" t="n">
        <x:f>SUMIFS('03_RUNTIME_INPUTS'!$I$5:$I$165,'03_RUNTIME_INPUTS'!$A$5:$A$165,A106,'03_RUNTIME_INPUTS'!$F$5:$F$165,C106,'03_RUNTIME_INPUTS'!$G$5:$G$165,D106)</x:f>
        <x:v>2.608334</x:v>
      </x:c>
      <x:c r="G106" s="50" t="str">
        <x:v>Solar PV</x:v>
      </x:c>
    </x:row>
    <x:row r="107">
      <x:c r="A107" s="49" t="str">
        <x:v>ME</x:v>
      </x:c>
      <x:c r="B107" s="44" t="str">
        <x:v>Montenegro</x:v>
      </x:c>
      <x:c r="C107" s="44" t="str">
        <x:v>thermal_methane_gas</x:v>
      </x:c>
      <x:c r="D107" s="44" t="str">
        <x:v>GW</x:v>
      </x:c>
      <x:c r="E107" s="149" t="n">
        <x:f>SUMIFS('03_RUNTIME_INPUTS'!$H$5:$H$165,'03_RUNTIME_INPUTS'!$A$5:$A$165,A107,'03_RUNTIME_INPUTS'!$F$5:$F$165,C107,'03_RUNTIME_INPUTS'!$G$5:$G$165,D107)</x:f>
        <x:v>0</x:v>
      </x:c>
      <x:c r="F107" s="149" t="n">
        <x:f>SUMIFS('03_RUNTIME_INPUTS'!$I$5:$I$165,'03_RUNTIME_INPUTS'!$A$5:$A$165,A107,'03_RUNTIME_INPUTS'!$F$5:$F$165,C107,'03_RUNTIME_INPUTS'!$G$5:$G$165,D107)</x:f>
        <x:v>0</x:v>
      </x:c>
      <x:c r="G107" s="50" t="str">
        <x:v>Natural-gas thermal</x:v>
      </x:c>
    </x:row>
    <x:row r="108">
      <x:c r="A108" s="49" t="str">
        <x:v>ME</x:v>
      </x:c>
      <x:c r="B108" s="44" t="str">
        <x:v>Montenegro</x:v>
      </x:c>
      <x:c r="C108" s="44" t="str">
        <x:v>thermal_oil_liquid</x:v>
      </x:c>
      <x:c r="D108" s="44" t="str">
        <x:v>GW</x:v>
      </x:c>
      <x:c r="E108" s="149" t="n">
        <x:f>SUMIFS('03_RUNTIME_INPUTS'!$H$5:$H$165,'03_RUNTIME_INPUTS'!$A$5:$A$165,A108,'03_RUNTIME_INPUTS'!$F$5:$F$165,C108,'03_RUNTIME_INPUTS'!$G$5:$G$165,D108)</x:f>
        <x:v>0</x:v>
      </x:c>
      <x:c r="F108" s="149" t="n">
        <x:f>SUMIFS('03_RUNTIME_INPUTS'!$I$5:$I$165,'03_RUNTIME_INPUTS'!$A$5:$A$165,A108,'03_RUNTIME_INPUTS'!$F$5:$F$165,C108,'03_RUNTIME_INPUTS'!$G$5:$G$165,D108)</x:f>
        <x:v>0</x:v>
      </x:c>
      <x:c r="G108" s="50" t="str">
        <x:v>Oil / liquid-fuel thermal</x:v>
      </x:c>
    </x:row>
    <x:row r="109">
      <x:c r="A109" s="49" t="str">
        <x:v>ME</x:v>
      </x:c>
      <x:c r="B109" s="44" t="str">
        <x:v>Montenegro</x:v>
      </x:c>
      <x:c r="C109" s="44" t="str">
        <x:v>wind_offshore</x:v>
      </x:c>
      <x:c r="D109" s="44" t="str">
        <x:v>GW</x:v>
      </x:c>
      <x:c r="E109" s="149" t="n">
        <x:f>SUMIFS('03_RUNTIME_INPUTS'!$H$5:$H$165,'03_RUNTIME_INPUTS'!$A$5:$A$165,A109,'03_RUNTIME_INPUTS'!$F$5:$F$165,C109,'03_RUNTIME_INPUTS'!$G$5:$G$165,D109)</x:f>
        <x:v>0</x:v>
      </x:c>
      <x:c r="F109" s="149" t="n">
        <x:f>SUMIFS('03_RUNTIME_INPUTS'!$I$5:$I$165,'03_RUNTIME_INPUTS'!$A$5:$A$165,A109,'03_RUNTIME_INPUTS'!$F$5:$F$165,C109,'03_RUNTIME_INPUTS'!$G$5:$G$165,D109)</x:f>
        <x:v>0</x:v>
      </x:c>
      <x:c r="G109" s="50" t="str">
        <x:v>Offshore wind</x:v>
      </x:c>
    </x:row>
    <x:row r="110">
      <x:c r="A110" s="49" t="str">
        <x:v>ME</x:v>
      </x:c>
      <x:c r="B110" s="44" t="str">
        <x:v>Montenegro</x:v>
      </x:c>
      <x:c r="C110" s="44" t="str">
        <x:v>wind_onshore</x:v>
      </x:c>
      <x:c r="D110" s="44" t="str">
        <x:v>GW</x:v>
      </x:c>
      <x:c r="E110" s="149" t="n">
        <x:f>SUMIFS('03_RUNTIME_INPUTS'!$H$5:$H$165,'03_RUNTIME_INPUTS'!$A$5:$A$165,A110,'03_RUNTIME_INPUTS'!$F$5:$F$165,C110,'03_RUNTIME_INPUTS'!$G$5:$G$165,D110)</x:f>
        <x:v>0.3936</x:v>
      </x:c>
      <x:c r="F110" s="149" t="n">
        <x:f>SUMIFS('03_RUNTIME_INPUTS'!$I$5:$I$165,'03_RUNTIME_INPUTS'!$A$5:$A$165,A110,'03_RUNTIME_INPUTS'!$F$5:$F$165,C110,'03_RUNTIME_INPUTS'!$G$5:$G$165,D110)</x:f>
        <x:v>0.3936</x:v>
      </x:c>
      <x:c r="G110" s="50" t="str">
        <x:v>Onshore wind</x:v>
      </x:c>
    </x:row>
    <x:row r="111">
      <x:c r="A111" s="49" t="str">
        <x:v>MT</x:v>
      </x:c>
      <x:c r="B111" s="44" t="str">
        <x:v>Malta</x:v>
      </x:c>
      <x:c r="C111" s="44" t="str">
        <x:v>bess_grid_energy</x:v>
      </x:c>
      <x:c r="D111" s="44" t="str">
        <x:v>GWh</x:v>
      </x:c>
      <x:c r="E111" s="149" t="n">
        <x:f>SUMIFS('03_RUNTIME_INPUTS'!$H$5:$H$165,'03_RUNTIME_INPUTS'!$A$5:$A$165,A111,'03_RUNTIME_INPUTS'!$F$5:$F$165,C111,'03_RUNTIME_INPUTS'!$G$5:$G$165,D111)</x:f>
        <x:v>0.084</x:v>
      </x:c>
      <x:c r="F111" s="149" t="n">
        <x:f>SUMIFS('03_RUNTIME_INPUTS'!$I$5:$I$165,'03_RUNTIME_INPUTS'!$A$5:$A$165,A111,'03_RUNTIME_INPUTS'!$F$5:$F$165,C111,'03_RUNTIME_INPUTS'!$G$5:$G$165,D111)</x:f>
        <x:v>0.084</x:v>
      </x:c>
      <x:c r="G111" s="50" t="str">
        <x:v>Grid BESS energy</x:v>
      </x:c>
    </x:row>
    <x:row r="112">
      <x:c r="A112" s="49" t="str">
        <x:v>MT</x:v>
      </x:c>
      <x:c r="B112" s="44" t="str">
        <x:v>Malta</x:v>
      </x:c>
      <x:c r="C112" s="44" t="str">
        <x:v>bess_grid_power</x:v>
      </x:c>
      <x:c r="D112" s="44" t="str">
        <x:v>GW</x:v>
      </x:c>
      <x:c r="E112" s="149" t="n">
        <x:f>SUMIFS('03_RUNTIME_INPUTS'!$H$5:$H$165,'03_RUNTIME_INPUTS'!$A$5:$A$165,A112,'03_RUNTIME_INPUTS'!$F$5:$F$165,C112,'03_RUNTIME_INPUTS'!$G$5:$G$165,D112)</x:f>
        <x:v>0.04</x:v>
      </x:c>
      <x:c r="F112" s="149" t="n">
        <x:f>SUMIFS('03_RUNTIME_INPUTS'!$I$5:$I$165,'03_RUNTIME_INPUTS'!$A$5:$A$165,A112,'03_RUNTIME_INPUTS'!$F$5:$F$165,C112,'03_RUNTIME_INPUTS'!$G$5:$G$165,D112)</x:f>
        <x:v>0.04</x:v>
      </x:c>
      <x:c r="G112" s="50" t="str">
        <x:v>Grid BESS power</x:v>
      </x:c>
    </x:row>
    <x:row r="113">
      <x:c r="A113" s="49" t="str">
        <x:v>MT</x:v>
      </x:c>
      <x:c r="B113" s="44" t="str">
        <x:v>Malta</x:v>
      </x:c>
      <x:c r="C113" s="44" t="str">
        <x:v>coal_lignite</x:v>
      </x:c>
      <x:c r="D113" s="44" t="str">
        <x:v>GW</x:v>
      </x:c>
      <x:c r="E113" s="149" t="n">
        <x:f>SUMIFS('03_RUNTIME_INPUTS'!$H$5:$H$165,'03_RUNTIME_INPUTS'!$A$5:$A$165,A113,'03_RUNTIME_INPUTS'!$F$5:$F$165,C113,'03_RUNTIME_INPUTS'!$G$5:$G$165,D113)</x:f>
        <x:v>0</x:v>
      </x:c>
      <x:c r="F113" s="149" t="n">
        <x:f>SUMIFS('03_RUNTIME_INPUTS'!$I$5:$I$165,'03_RUNTIME_INPUTS'!$A$5:$A$165,A113,'03_RUNTIME_INPUTS'!$F$5:$F$165,C113,'03_RUNTIME_INPUTS'!$G$5:$G$165,D113)</x:f>
        <x:v>0</x:v>
      </x:c>
      <x:c r="G113" s="50" t="str">
        <x:v>Coal / lignite</x:v>
      </x:c>
    </x:row>
    <x:row r="114">
      <x:c r="A114" s="49" t="str">
        <x:v>MT</x:v>
      </x:c>
      <x:c r="B114" s="44" t="str">
        <x:v>Malta</x:v>
      </x:c>
      <x:c r="C114" s="44" t="str">
        <x:v>demand</x:v>
      </x:c>
      <x:c r="D114" s="44" t="str">
        <x:v>TWh</x:v>
      </x:c>
      <x:c r="E114" s="149" t="n">
        <x:f>SUMIFS('03_RUNTIME_INPUTS'!$H$5:$H$165,'03_RUNTIME_INPUTS'!$A$5:$A$165,A114,'03_RUNTIME_INPUTS'!$F$5:$F$165,C114,'03_RUNTIME_INPUTS'!$G$5:$G$165,D114)</x:f>
        <x:v>4.4</x:v>
      </x:c>
      <x:c r="F114" s="149" t="n">
        <x:f>SUMIFS('03_RUNTIME_INPUTS'!$I$5:$I$165,'03_RUNTIME_INPUTS'!$A$5:$A$165,A114,'03_RUNTIME_INPUTS'!$F$5:$F$165,C114,'03_RUNTIME_INPUTS'!$G$5:$G$165,D114)</x:f>
        <x:v>4.4</x:v>
      </x:c>
      <x:c r="G114" s="50" t="str">
        <x:v>Annual electricity demand</x:v>
      </x:c>
    </x:row>
    <x:row r="115">
      <x:c r="A115" s="49" t="str">
        <x:v>MT</x:v>
      </x:c>
      <x:c r="B115" s="44" t="str">
        <x:v>Malta</x:v>
      </x:c>
      <x:c r="C115" s="44" t="str">
        <x:v>geothermal</x:v>
      </x:c>
      <x:c r="D115" s="44" t="str">
        <x:v>GW</x:v>
      </x:c>
      <x:c r="E115" s="149" t="n">
        <x:f>SUMIFS('03_RUNTIME_INPUTS'!$H$5:$H$165,'03_RUNTIME_INPUTS'!$A$5:$A$165,A115,'03_RUNTIME_INPUTS'!$F$5:$F$165,C115,'03_RUNTIME_INPUTS'!$G$5:$G$165,D115)</x:f>
        <x:v>0</x:v>
      </x:c>
      <x:c r="F115" s="149" t="n">
        <x:f>SUMIFS('03_RUNTIME_INPUTS'!$I$5:$I$165,'03_RUNTIME_INPUTS'!$A$5:$A$165,A115,'03_RUNTIME_INPUTS'!$F$5:$F$165,C115,'03_RUNTIME_INPUTS'!$G$5:$G$165,D115)</x:f>
        <x:v>0</x:v>
      </x:c>
      <x:c r="G115" s="50" t="str">
        <x:v>Geothermal electricity</x:v>
      </x:c>
    </x:row>
    <x:row r="116">
      <x:c r="A116" s="49" t="str">
        <x:v>MT</x:v>
      </x:c>
      <x:c r="B116" s="44" t="str">
        <x:v>Malta</x:v>
      </x:c>
      <x:c r="C116" s="44" t="str">
        <x:v>hydro_non_phs</x:v>
      </x:c>
      <x:c r="D116" s="44" t="str">
        <x:v>GW</x:v>
      </x:c>
      <x:c r="E116" s="149" t="n">
        <x:f>SUMIFS('03_RUNTIME_INPUTS'!$H$5:$H$165,'03_RUNTIME_INPUTS'!$A$5:$A$165,A116,'03_RUNTIME_INPUTS'!$F$5:$F$165,C116,'03_RUNTIME_INPUTS'!$G$5:$G$165,D116)</x:f>
        <x:v>0</x:v>
      </x:c>
      <x:c r="F116" s="149" t="n">
        <x:f>SUMIFS('03_RUNTIME_INPUTS'!$I$5:$I$165,'03_RUNTIME_INPUTS'!$A$5:$A$165,A116,'03_RUNTIME_INPUTS'!$F$5:$F$165,C116,'03_RUNTIME_INPUTS'!$G$5:$G$165,D116)</x:f>
        <x:v>0</x:v>
      </x:c>
      <x:c r="G116" s="50" t="str">
        <x:v>Non-PHS hydro</x:v>
      </x:c>
    </x:row>
    <x:row r="117">
      <x:c r="A117" s="49" t="str">
        <x:v>MT</x:v>
      </x:c>
      <x:c r="B117" s="44" t="str">
        <x:v>Malta</x:v>
      </x:c>
      <x:c r="C117" s="44" t="str">
        <x:v>nuclear</x:v>
      </x:c>
      <x:c r="D117" s="44" t="str">
        <x:v>GW</x:v>
      </x:c>
      <x:c r="E117" s="149" t="n">
        <x:f>SUMIFS('03_RUNTIME_INPUTS'!$H$5:$H$165,'03_RUNTIME_INPUTS'!$A$5:$A$165,A117,'03_RUNTIME_INPUTS'!$F$5:$F$165,C117,'03_RUNTIME_INPUTS'!$G$5:$G$165,D117)</x:f>
        <x:v>0</x:v>
      </x:c>
      <x:c r="F117" s="149" t="n">
        <x:f>SUMIFS('03_RUNTIME_INPUTS'!$I$5:$I$165,'03_RUNTIME_INPUTS'!$A$5:$A$165,A117,'03_RUNTIME_INPUTS'!$F$5:$F$165,C117,'03_RUNTIME_INPUTS'!$G$5:$G$165,D117)</x:f>
        <x:v>0</x:v>
      </x:c>
      <x:c r="G117" s="50" t="str">
        <x:v>Nuclear</x:v>
      </x:c>
    </x:row>
    <x:row r="118">
      <x:c r="A118" s="49" t="str">
        <x:v>MT</x:v>
      </x:c>
      <x:c r="B118" s="44" t="str">
        <x:v>Malta</x:v>
      </x:c>
      <x:c r="C118" s="44" t="str">
        <x:v>phs_charge_power</x:v>
      </x:c>
      <x:c r="D118" s="44" t="str">
        <x:v>GW</x:v>
      </x:c>
      <x:c r="E118" s="149" t="n">
        <x:f>SUMIFS('03_RUNTIME_INPUTS'!$H$5:$H$165,'03_RUNTIME_INPUTS'!$A$5:$A$165,A118,'03_RUNTIME_INPUTS'!$F$5:$F$165,C118,'03_RUNTIME_INPUTS'!$G$5:$G$165,D118)</x:f>
        <x:v>0</x:v>
      </x:c>
      <x:c r="F118" s="149" t="n">
        <x:f>SUMIFS('03_RUNTIME_INPUTS'!$I$5:$I$165,'03_RUNTIME_INPUTS'!$A$5:$A$165,A118,'03_RUNTIME_INPUTS'!$F$5:$F$165,C118,'03_RUNTIME_INPUTS'!$G$5:$G$165,D118)</x:f>
        <x:v>0</x:v>
      </x:c>
      <x:c r="G118" s="50" t="str">
        <x:v>PHS pump / charge</x:v>
      </x:c>
    </x:row>
    <x:row r="119">
      <x:c r="A119" s="49" t="str">
        <x:v>MT</x:v>
      </x:c>
      <x:c r="B119" s="44" t="str">
        <x:v>Malta</x:v>
      </x:c>
      <x:c r="C119" s="44" t="str">
        <x:v>phs_discharge_power</x:v>
      </x:c>
      <x:c r="D119" s="44" t="str">
        <x:v>GW</x:v>
      </x:c>
      <x:c r="E119" s="149" t="n">
        <x:f>SUMIFS('03_RUNTIME_INPUTS'!$H$5:$H$165,'03_RUNTIME_INPUTS'!$A$5:$A$165,A119,'03_RUNTIME_INPUTS'!$F$5:$F$165,C119,'03_RUNTIME_INPUTS'!$G$5:$G$165,D119)</x:f>
        <x:v>0</x:v>
      </x:c>
      <x:c r="F119" s="149" t="n">
        <x:f>SUMIFS('03_RUNTIME_INPUTS'!$I$5:$I$165,'03_RUNTIME_INPUTS'!$A$5:$A$165,A119,'03_RUNTIME_INPUTS'!$F$5:$F$165,C119,'03_RUNTIME_INPUTS'!$G$5:$G$165,D119)</x:f>
        <x:v>0</x:v>
      </x:c>
      <x:c r="G119" s="50" t="str">
        <x:v>PHS turbine / discharge</x:v>
      </x:c>
    </x:row>
    <x:row r="120">
      <x:c r="A120" s="49" t="str">
        <x:v>MT</x:v>
      </x:c>
      <x:c r="B120" s="44" t="str">
        <x:v>Malta</x:v>
      </x:c>
      <x:c r="C120" s="44" t="str">
        <x:v>phs_energy</x:v>
      </x:c>
      <x:c r="D120" s="44" t="str">
        <x:v>GWh</x:v>
      </x:c>
      <x:c r="E120" s="149" t="n">
        <x:f>SUMIFS('03_RUNTIME_INPUTS'!$H$5:$H$165,'03_RUNTIME_INPUTS'!$A$5:$A$165,A120,'03_RUNTIME_INPUTS'!$F$5:$F$165,C120,'03_RUNTIME_INPUTS'!$G$5:$G$165,D120)</x:f>
        <x:v>0</x:v>
      </x:c>
      <x:c r="F120" s="149" t="n">
        <x:f>SUMIFS('03_RUNTIME_INPUTS'!$I$5:$I$165,'03_RUNTIME_INPUTS'!$A$5:$A$165,A120,'03_RUNTIME_INPUTS'!$F$5:$F$165,C120,'03_RUNTIME_INPUTS'!$G$5:$G$165,D120)</x:f>
        <x:v>0</x:v>
      </x:c>
      <x:c r="G120" s="50" t="str">
        <x:v>PHS energy</x:v>
      </x:c>
    </x:row>
    <x:row r="121">
      <x:c r="A121" s="49" t="str">
        <x:v>MT</x:v>
      </x:c>
      <x:c r="B121" s="44" t="str">
        <x:v>Malta</x:v>
      </x:c>
      <x:c r="C121" s="44" t="str">
        <x:v>solar_pv</x:v>
      </x:c>
      <x:c r="D121" s="44" t="str">
        <x:v>GW</x:v>
      </x:c>
      <x:c r="E121" s="149" t="n">
        <x:f>SUMIFS('03_RUNTIME_INPUTS'!$H$5:$H$165,'03_RUNTIME_INPUTS'!$A$5:$A$165,A121,'03_RUNTIME_INPUTS'!$F$5:$F$165,C121,'03_RUNTIME_INPUTS'!$G$5:$G$165,D121)</x:f>
        <x:v>0.35</x:v>
      </x:c>
      <x:c r="F121" s="149" t="n">
        <x:f>SUMIFS('03_RUNTIME_INPUTS'!$I$5:$I$165,'03_RUNTIME_INPUTS'!$A$5:$A$165,A121,'03_RUNTIME_INPUTS'!$F$5:$F$165,C121,'03_RUNTIME_INPUTS'!$G$5:$G$165,D121)</x:f>
        <x:v>0.35</x:v>
      </x:c>
      <x:c r="G121" s="50" t="str">
        <x:v>Solar PV</x:v>
      </x:c>
    </x:row>
    <x:row r="122">
      <x:c r="A122" s="49" t="str">
        <x:v>MT</x:v>
      </x:c>
      <x:c r="B122" s="44" t="str">
        <x:v>Malta</x:v>
      </x:c>
      <x:c r="C122" s="44" t="str">
        <x:v>thermal_lowcarbon_gas_h2</x:v>
      </x:c>
      <x:c r="D122" s="44" t="str">
        <x:v>GW</x:v>
      </x:c>
      <x:c r="E122" s="149" t="n">
        <x:f>SUMIFS('03_RUNTIME_INPUTS'!$H$5:$H$165,'03_RUNTIME_INPUTS'!$A$5:$A$165,A122,'03_RUNTIME_INPUTS'!$F$5:$F$165,C122,'03_RUNTIME_INPUTS'!$G$5:$G$165,D122)</x:f>
        <x:v>0</x:v>
      </x:c>
      <x:c r="F122" s="149" t="n">
        <x:f>SUMIFS('03_RUNTIME_INPUTS'!$I$5:$I$165,'03_RUNTIME_INPUTS'!$A$5:$A$165,A122,'03_RUNTIME_INPUTS'!$F$5:$F$165,C122,'03_RUNTIME_INPUTS'!$G$5:$G$165,D122)</x:f>
        <x:v>0</x:v>
      </x:c>
      <x:c r="G122" s="50" t="str">
        <x:v>Dedicated additional hydrogen thermal</x:v>
      </x:c>
    </x:row>
    <x:row r="123">
      <x:c r="A123" s="49" t="str">
        <x:v>MT</x:v>
      </x:c>
      <x:c r="B123" s="44" t="str">
        <x:v>Malta</x:v>
      </x:c>
      <x:c r="C123" s="44" t="str">
        <x:v>thermal_methane_gas</x:v>
      </x:c>
      <x:c r="D123" s="44" t="str">
        <x:v>GW</x:v>
      </x:c>
      <x:c r="E123" s="149" t="n">
        <x:f>SUMIFS('03_RUNTIME_INPUTS'!$H$5:$H$165,'03_RUNTIME_INPUTS'!$A$5:$A$165,A123,'03_RUNTIME_INPUTS'!$F$5:$F$165,C123,'03_RUNTIME_INPUTS'!$G$5:$G$165,D123)</x:f>
        <x:v>0.3578</x:v>
      </x:c>
      <x:c r="F123" s="149" t="n">
        <x:f>SUMIFS('03_RUNTIME_INPUTS'!$I$5:$I$165,'03_RUNTIME_INPUTS'!$A$5:$A$165,A123,'03_RUNTIME_INPUTS'!$F$5:$F$165,C123,'03_RUNTIME_INPUTS'!$G$5:$G$165,D123)</x:f>
        <x:v>0.3578</x:v>
      </x:c>
      <x:c r="G123" s="50" t="str">
        <x:v>Gas / dual-fuel thermal physical envelope</x:v>
      </x:c>
    </x:row>
    <x:row r="124">
      <x:c r="A124" s="49" t="str">
        <x:v>MT</x:v>
      </x:c>
      <x:c r="B124" s="44" t="str">
        <x:v>Malta</x:v>
      </x:c>
      <x:c r="C124" s="44" t="str">
        <x:v>thermal_oil_liquid</x:v>
      </x:c>
      <x:c r="D124" s="44" t="str">
        <x:v>GW</x:v>
      </x:c>
      <x:c r="E124" s="149" t="n">
        <x:f>SUMIFS('03_RUNTIME_INPUTS'!$H$5:$H$165,'03_RUNTIME_INPUTS'!$A$5:$A$165,A124,'03_RUNTIME_INPUTS'!$F$5:$F$165,C124,'03_RUNTIME_INPUTS'!$G$5:$G$165,D124)</x:f>
        <x:v>0.18</x:v>
      </x:c>
      <x:c r="F124" s="149" t="n">
        <x:f>SUMIFS('03_RUNTIME_INPUTS'!$I$5:$I$165,'03_RUNTIME_INPUTS'!$A$5:$A$165,A124,'03_RUNTIME_INPUTS'!$F$5:$F$165,C124,'03_RUNTIME_INPUTS'!$G$5:$G$165,D124)</x:f>
        <x:v>0.18</x:v>
      </x:c>
      <x:c r="G124" s="50" t="str">
        <x:v>Liquid-fuel emergency backup envelope</x:v>
      </x:c>
    </x:row>
    <x:row r="125">
      <x:c r="A125" s="49" t="str">
        <x:v>MT</x:v>
      </x:c>
      <x:c r="B125" s="44" t="str">
        <x:v>Malta</x:v>
      </x:c>
      <x:c r="C125" s="44" t="str">
        <x:v>waste_chp</x:v>
      </x:c>
      <x:c r="D125" s="44" t="str">
        <x:v>GW</x:v>
      </x:c>
      <x:c r="E125" s="149" t="n">
        <x:f>SUMIFS('03_RUNTIME_INPUTS'!$H$5:$H$165,'03_RUNTIME_INPUTS'!$A$5:$A$165,A125,'03_RUNTIME_INPUTS'!$F$5:$F$165,C125,'03_RUNTIME_INPUTS'!$G$5:$G$165,D125)</x:f>
        <x:v>0.02</x:v>
      </x:c>
      <x:c r="F125" s="149" t="n">
        <x:f>SUMIFS('03_RUNTIME_INPUTS'!$I$5:$I$165,'03_RUNTIME_INPUTS'!$A$5:$A$165,A125,'03_RUNTIME_INPUTS'!$F$5:$F$165,C125,'03_RUNTIME_INPUTS'!$G$5:$G$165,D125)</x:f>
        <x:v>0.02</x:v>
      </x:c>
      <x:c r="G125" s="50" t="str">
        <x:v>Waste-to-energy</x:v>
      </x:c>
    </x:row>
    <x:row r="126">
      <x:c r="A126" s="49" t="str">
        <x:v>MT</x:v>
      </x:c>
      <x:c r="B126" s="44" t="str">
        <x:v>Malta</x:v>
      </x:c>
      <x:c r="C126" s="44" t="str">
        <x:v>wind_offshore</x:v>
      </x:c>
      <x:c r="D126" s="44" t="str">
        <x:v>GW</x:v>
      </x:c>
      <x:c r="E126" s="149" t="n">
        <x:f>SUMIFS('03_RUNTIME_INPUTS'!$H$5:$H$165,'03_RUNTIME_INPUTS'!$A$5:$A$165,A126,'03_RUNTIME_INPUTS'!$F$5:$F$165,C126,'03_RUNTIME_INPUTS'!$G$5:$G$165,D126)</x:f>
        <x:v>0.3</x:v>
      </x:c>
      <x:c r="F126" s="149" t="n">
        <x:f>SUMIFS('03_RUNTIME_INPUTS'!$I$5:$I$165,'03_RUNTIME_INPUTS'!$A$5:$A$165,A126,'03_RUNTIME_INPUTS'!$F$5:$F$165,C126,'03_RUNTIME_INPUTS'!$G$5:$G$165,D126)</x:f>
        <x:v>0.35</x:v>
      </x:c>
      <x:c r="G126" s="50" t="str">
        <x:v>Offshore wind</x:v>
      </x:c>
    </x:row>
    <x:row r="127">
      <x:c r="A127" s="49" t="str">
        <x:v>MT</x:v>
      </x:c>
      <x:c r="B127" s="44" t="str">
        <x:v>Malta</x:v>
      </x:c>
      <x:c r="C127" s="44" t="str">
        <x:v>wind_onshore</x:v>
      </x:c>
      <x:c r="D127" s="44" t="str">
        <x:v>GW</x:v>
      </x:c>
      <x:c r="E127" s="149" t="n">
        <x:f>SUMIFS('03_RUNTIME_INPUTS'!$H$5:$H$165,'03_RUNTIME_INPUTS'!$A$5:$A$165,A127,'03_RUNTIME_INPUTS'!$F$5:$F$165,C127,'03_RUNTIME_INPUTS'!$G$5:$G$165,D127)</x:f>
        <x:v>0</x:v>
      </x:c>
      <x:c r="F127" s="149" t="n">
        <x:f>SUMIFS('03_RUNTIME_INPUTS'!$I$5:$I$165,'03_RUNTIME_INPUTS'!$A$5:$A$165,A127,'03_RUNTIME_INPUTS'!$F$5:$F$165,C127,'03_RUNTIME_INPUTS'!$G$5:$G$165,D127)</x:f>
        <x:v>0</x:v>
      </x:c>
      <x:c r="G127" s="50" t="str">
        <x:v>Onshore wind</x:v>
      </x:c>
    </x:row>
    <x:row r="128">
      <x:c r="A128" s="49" t="str">
        <x:v>SI</x:v>
      </x:c>
      <x:c r="B128" s="44" t="str">
        <x:v>Slovenia</x:v>
      </x:c>
      <x:c r="C128" s="44" t="str">
        <x:v>bess_grid_energy</x:v>
      </x:c>
      <x:c r="D128" s="44" t="str">
        <x:v>GWh</x:v>
      </x:c>
      <x:c r="E128" s="149" t="n">
        <x:f>SUMIFS('03_RUNTIME_INPUTS'!$H$5:$H$165,'03_RUNTIME_INPUTS'!$A$5:$A$165,A128,'03_RUNTIME_INPUTS'!$F$5:$F$165,C128,'03_RUNTIME_INPUTS'!$G$5:$G$165,D128)</x:f>
        <x:v>2.5</x:v>
      </x:c>
      <x:c r="F128" s="149" t="n">
        <x:f>SUMIFS('03_RUNTIME_INPUTS'!$I$5:$I$165,'03_RUNTIME_INPUTS'!$A$5:$A$165,A128,'03_RUNTIME_INPUTS'!$F$5:$F$165,C128,'03_RUNTIME_INPUTS'!$G$5:$G$165,D128)</x:f>
        <x:v>3.6</x:v>
      </x:c>
      <x:c r="G128" s="50" t="str">
        <x:v>BESS energy</x:v>
      </x:c>
    </x:row>
    <x:row r="129">
      <x:c r="A129" s="49" t="str">
        <x:v>SI</x:v>
      </x:c>
      <x:c r="B129" s="44" t="str">
        <x:v>Slovenia</x:v>
      </x:c>
      <x:c r="C129" s="44" t="str">
        <x:v>bess_grid_power</x:v>
      </x:c>
      <x:c r="D129" s="44" t="str">
        <x:v>GW</x:v>
      </x:c>
      <x:c r="E129" s="149" t="n">
        <x:f>SUMIFS('03_RUNTIME_INPUTS'!$H$5:$H$165,'03_RUNTIME_INPUTS'!$A$5:$A$165,A129,'03_RUNTIME_INPUTS'!$F$5:$F$165,C129,'03_RUNTIME_INPUTS'!$G$5:$G$165,D129)</x:f>
        <x:v>1</x:v>
      </x:c>
      <x:c r="F129" s="149" t="n">
        <x:f>SUMIFS('03_RUNTIME_INPUTS'!$I$5:$I$165,'03_RUNTIME_INPUTS'!$A$5:$A$165,A129,'03_RUNTIME_INPUTS'!$F$5:$F$165,C129,'03_RUNTIME_INPUTS'!$G$5:$G$165,D129)</x:f>
        <x:v>1.2</x:v>
      </x:c>
      <x:c r="G129" s="50" t="str">
        <x:v>BESS power</x:v>
      </x:c>
    </x:row>
    <x:row r="130">
      <x:c r="A130" s="49" t="str">
        <x:v>SI</x:v>
      </x:c>
      <x:c r="B130" s="44" t="str">
        <x:v>Slovenia</x:v>
      </x:c>
      <x:c r="C130" s="44" t="str">
        <x:v>coal_lignite</x:v>
      </x:c>
      <x:c r="D130" s="44" t="str">
        <x:v>GW</x:v>
      </x:c>
      <x:c r="E130" s="149" t="n">
        <x:f>SUMIFS('03_RUNTIME_INPUTS'!$H$5:$H$165,'03_RUNTIME_INPUTS'!$A$5:$A$165,A130,'03_RUNTIME_INPUTS'!$F$5:$F$165,C130,'03_RUNTIME_INPUTS'!$G$5:$G$165,D130)</x:f>
        <x:v>0</x:v>
      </x:c>
      <x:c r="F130" s="149" t="n">
        <x:f>SUMIFS('03_RUNTIME_INPUTS'!$I$5:$I$165,'03_RUNTIME_INPUTS'!$A$5:$A$165,A130,'03_RUNTIME_INPUTS'!$F$5:$F$165,C130,'03_RUNTIME_INPUTS'!$G$5:$G$165,D130)</x:f>
        <x:v>0</x:v>
      </x:c>
      <x:c r="G130" s="50" t="str">
        <x:v>Coal / lignite</x:v>
      </x:c>
    </x:row>
    <x:row r="131">
      <x:c r="A131" s="49" t="str">
        <x:v>SI</x:v>
      </x:c>
      <x:c r="B131" s="44" t="str">
        <x:v>Slovenia</x:v>
      </x:c>
      <x:c r="C131" s="44" t="str">
        <x:v>demand</x:v>
      </x:c>
      <x:c r="D131" s="44" t="str">
        <x:v>TWh</x:v>
      </x:c>
      <x:c r="E131" s="149" t="n">
        <x:f>SUMIFS('03_RUNTIME_INPUTS'!$H$5:$H$165,'03_RUNTIME_INPUTS'!$A$5:$A$165,A131,'03_RUNTIME_INPUTS'!$F$5:$F$165,C131,'03_RUNTIME_INPUTS'!$G$5:$G$165,D131)</x:f>
        <x:v>20.2</x:v>
      </x:c>
      <x:c r="F131" s="149" t="n">
        <x:f>SUMIFS('03_RUNTIME_INPUTS'!$I$5:$I$165,'03_RUNTIME_INPUTS'!$A$5:$A$165,A131,'03_RUNTIME_INPUTS'!$F$5:$F$165,C131,'03_RUNTIME_INPUTS'!$G$5:$G$165,D131)</x:f>
        <x:v>27.5</x:v>
      </x:c>
      <x:c r="G131" s="50" t="str">
        <x:v>Annual electricity demand</x:v>
      </x:c>
    </x:row>
    <x:row r="132">
      <x:c r="A132" s="49" t="str">
        <x:v>SI</x:v>
      </x:c>
      <x:c r="B132" s="44" t="str">
        <x:v>Slovenia</x:v>
      </x:c>
      <x:c r="C132" s="44" t="str">
        <x:v>hydro_non_phs</x:v>
      </x:c>
      <x:c r="D132" s="44" t="str">
        <x:v>GW</x:v>
      </x:c>
      <x:c r="E132" s="149" t="n">
        <x:f>SUMIFS('03_RUNTIME_INPUTS'!$H$5:$H$165,'03_RUNTIME_INPUTS'!$A$5:$A$165,A132,'03_RUNTIME_INPUTS'!$F$5:$F$165,C132,'03_RUNTIME_INPUTS'!$G$5:$G$165,D132)</x:f>
        <x:v>1.29</x:v>
      </x:c>
      <x:c r="F132" s="149" t="n">
        <x:f>SUMIFS('03_RUNTIME_INPUTS'!$I$5:$I$165,'03_RUNTIME_INPUTS'!$A$5:$A$165,A132,'03_RUNTIME_INPUTS'!$F$5:$F$165,C132,'03_RUNTIME_INPUTS'!$G$5:$G$165,D132)</x:f>
        <x:v>1.29</x:v>
      </x:c>
      <x:c r="G132" s="50" t="str">
        <x:v>Non-PHS hydro</x:v>
      </x:c>
    </x:row>
    <x:row r="133">
      <x:c r="A133" s="49" t="str">
        <x:v>SI</x:v>
      </x:c>
      <x:c r="B133" s="44" t="str">
        <x:v>Slovenia</x:v>
      </x:c>
      <x:c r="C133" s="44" t="str">
        <x:v>nuclear</x:v>
      </x:c>
      <x:c r="D133" s="44" t="str">
        <x:v>GW</x:v>
      </x:c>
      <x:c r="E133" s="149" t="n">
        <x:f>SUMIFS('03_RUNTIME_INPUTS'!$H$5:$H$165,'03_RUNTIME_INPUTS'!$A$5:$A$165,A133,'03_RUNTIME_INPUTS'!$F$5:$F$165,C133,'03_RUNTIME_INPUTS'!$G$5:$G$165,D133)</x:f>
        <x:v>1.796</x:v>
      </x:c>
      <x:c r="F133" s="149" t="n">
        <x:f>SUMIFS('03_RUNTIME_INPUTS'!$I$5:$I$165,'03_RUNTIME_INPUTS'!$A$5:$A$165,A133,'03_RUNTIME_INPUTS'!$F$5:$F$165,C133,'03_RUNTIME_INPUTS'!$G$5:$G$165,D133)</x:f>
        <x:v>1.35</x:v>
      </x:c>
      <x:c r="G133" s="50" t="str">
        <x:v>Total nuclear</x:v>
      </x:c>
    </x:row>
    <x:row r="134">
      <x:c r="A134" s="49" t="str">
        <x:v>SI</x:v>
      </x:c>
      <x:c r="B134" s="44" t="str">
        <x:v>Slovenia</x:v>
      </x:c>
      <x:c r="C134" s="44" t="str">
        <x:v>phs_charge_power</x:v>
      </x:c>
      <x:c r="D134" s="44" t="str">
        <x:v>GW</x:v>
      </x:c>
      <x:c r="E134" s="149" t="n">
        <x:f>SUMIFS('03_RUNTIME_INPUTS'!$H$5:$H$165,'03_RUNTIME_INPUTS'!$A$5:$A$165,A134,'03_RUNTIME_INPUTS'!$F$5:$F$165,C134,'03_RUNTIME_INPUTS'!$G$5:$G$165,D134)</x:f>
        <x:v>0.62</x:v>
      </x:c>
      <x:c r="F134" s="149" t="n">
        <x:f>SUMIFS('03_RUNTIME_INPUTS'!$I$5:$I$165,'03_RUNTIME_INPUTS'!$A$5:$A$165,A134,'03_RUNTIME_INPUTS'!$F$5:$F$165,C134,'03_RUNTIME_INPUTS'!$G$5:$G$165,D134)</x:f>
        <x:v>0.8</x:v>
      </x:c>
      <x:c r="G134" s="50" t="str">
        <x:v>PHS pump / charge power</x:v>
      </x:c>
    </x:row>
    <x:row r="135">
      <x:c r="A135" s="49" t="str">
        <x:v>SI</x:v>
      </x:c>
      <x:c r="B135" s="44" t="str">
        <x:v>Slovenia</x:v>
      </x:c>
      <x:c r="C135" s="44" t="str">
        <x:v>phs_discharge_power</x:v>
      </x:c>
      <x:c r="D135" s="44" t="str">
        <x:v>GW</x:v>
      </x:c>
      <x:c r="E135" s="149" t="n">
        <x:f>SUMIFS('03_RUNTIME_INPUTS'!$H$5:$H$165,'03_RUNTIME_INPUTS'!$A$5:$A$165,A135,'03_RUNTIME_INPUTS'!$F$5:$F$165,C135,'03_RUNTIME_INPUTS'!$G$5:$G$165,D135)</x:f>
        <x:v>0.625</x:v>
      </x:c>
      <x:c r="F135" s="149" t="n">
        <x:f>SUMIFS('03_RUNTIME_INPUTS'!$I$5:$I$165,'03_RUNTIME_INPUTS'!$A$5:$A$165,A135,'03_RUNTIME_INPUTS'!$F$5:$F$165,C135,'03_RUNTIME_INPUTS'!$G$5:$G$165,D135)</x:f>
        <x:v>0.8049999999999999</x:v>
      </x:c>
      <x:c r="G135" s="50" t="str">
        <x:v>PHS turbine / discharge power</x:v>
      </x:c>
    </x:row>
    <x:row r="136">
      <x:c r="A136" s="49" t="str">
        <x:v>SI</x:v>
      </x:c>
      <x:c r="B136" s="44" t="str">
        <x:v>Slovenia</x:v>
      </x:c>
      <x:c r="C136" s="44" t="str">
        <x:v>phs_energy</x:v>
      </x:c>
      <x:c r="D136" s="44" t="str">
        <x:v>GWh</x:v>
      </x:c>
      <x:c r="E136" s="149" t="n">
        <x:f>SUMIFS('03_RUNTIME_INPUTS'!$H$5:$H$165,'03_RUNTIME_INPUTS'!$A$5:$A$165,A136,'03_RUNTIME_INPUTS'!$F$5:$F$165,C136,'03_RUNTIME_INPUTS'!$G$5:$G$165,D136)</x:f>
        <x:v>8.8508</x:v>
      </x:c>
      <x:c r="F136" s="149" t="n">
        <x:f>SUMIFS('03_RUNTIME_INPUTS'!$I$5:$I$165,'03_RUNTIME_INPUTS'!$A$5:$A$165,A136,'03_RUNTIME_INPUTS'!$F$5:$F$165,C136,'03_RUNTIME_INPUTS'!$G$5:$G$165,D136)</x:f>
        <x:v>11.193829318181818</x:v>
      </x:c>
      <x:c r="G136" s="50" t="str">
        <x:v>PHS energy capacity</x:v>
      </x:c>
    </x:row>
    <x:row r="137">
      <x:c r="A137" s="49" t="str">
        <x:v>SI</x:v>
      </x:c>
      <x:c r="B137" s="44" t="str">
        <x:v>Slovenia</x:v>
      </x:c>
      <x:c r="C137" s="44" t="str">
        <x:v>solar_pv</x:v>
      </x:c>
      <x:c r="D137" s="44" t="str">
        <x:v>GW</x:v>
      </x:c>
      <x:c r="E137" s="149" t="n">
        <x:f>SUMIFS('03_RUNTIME_INPUTS'!$H$5:$H$165,'03_RUNTIME_INPUTS'!$A$5:$A$165,A137,'03_RUNTIME_INPUTS'!$F$5:$F$165,C137,'03_RUNTIME_INPUTS'!$G$5:$G$165,D137)</x:f>
        <x:v>6.686089887640449</x:v>
      </x:c>
      <x:c r="F137" s="149" t="n">
        <x:f>SUMIFS('03_RUNTIME_INPUTS'!$I$5:$I$165,'03_RUNTIME_INPUTS'!$A$5:$A$165,A137,'03_RUNTIME_INPUTS'!$F$5:$F$165,C137,'03_RUNTIME_INPUTS'!$G$5:$G$165,D137)</x:f>
        <x:v>7.629</x:v>
      </x:c>
      <x:c r="G137" s="50" t="str">
        <x:v>Solar PV</x:v>
      </x:c>
    </x:row>
    <x:row r="138">
      <x:c r="A138" s="49" t="str">
        <x:v>SI</x:v>
      </x:c>
      <x:c r="B138" s="44" t="str">
        <x:v>Slovenia</x:v>
      </x:c>
      <x:c r="C138" s="44" t="str">
        <x:v>thermal_lowcarbon_gas_h2</x:v>
      </x:c>
      <x:c r="D138" s="44" t="str">
        <x:v>GW</x:v>
      </x:c>
      <x:c r="E138" s="149" t="n">
        <x:f>SUMIFS('03_RUNTIME_INPUTS'!$H$5:$H$165,'03_RUNTIME_INPUTS'!$A$5:$A$165,A138,'03_RUNTIME_INPUTS'!$F$5:$F$165,C138,'03_RUNTIME_INPUTS'!$G$5:$G$165,D138)</x:f>
        <x:v>0.45599999999999996</x:v>
      </x:c>
      <x:c r="F138" s="149" t="n">
        <x:f>SUMIFS('03_RUNTIME_INPUTS'!$I$5:$I$165,'03_RUNTIME_INPUTS'!$A$5:$A$165,A138,'03_RUNTIME_INPUTS'!$F$5:$F$165,C138,'03_RUNTIME_INPUTS'!$G$5:$G$165,D138)</x:f>
        <x:v>1.14</x:v>
      </x:c>
      <x:c r="G138" s="50" t="str">
        <x:v>Renewable / low-carbon gas thermal</x:v>
      </x:c>
    </x:row>
    <x:row r="139">
      <x:c r="A139" s="49" t="str">
        <x:v>SI</x:v>
      </x:c>
      <x:c r="B139" s="44" t="str">
        <x:v>Slovenia</x:v>
      </x:c>
      <x:c r="C139" s="44" t="str">
        <x:v>thermal_methane_gas</x:v>
      </x:c>
      <x:c r="D139" s="44" t="str">
        <x:v>GW</x:v>
      </x:c>
      <x:c r="E139" s="149" t="n">
        <x:f>SUMIFS('03_RUNTIME_INPUTS'!$H$5:$H$165,'03_RUNTIME_INPUTS'!$A$5:$A$165,A139,'03_RUNTIME_INPUTS'!$F$5:$F$165,C139,'03_RUNTIME_INPUTS'!$G$5:$G$165,D139)</x:f>
        <x:v>0.6839999999999999</x:v>
      </x:c>
      <x:c r="F139" s="149" t="n">
        <x:f>SUMIFS('03_RUNTIME_INPUTS'!$I$5:$I$165,'03_RUNTIME_INPUTS'!$A$5:$A$165,A139,'03_RUNTIME_INPUTS'!$F$5:$F$165,C139,'03_RUNTIME_INPUTS'!$G$5:$G$165,D139)</x:f>
        <x:v>0</x:v>
      </x:c>
      <x:c r="G139" s="50" t="str">
        <x:v>Methane / fossil gas thermal</x:v>
      </x:c>
    </x:row>
    <x:row r="140">
      <x:c r="A140" s="49" t="str">
        <x:v>SI</x:v>
      </x:c>
      <x:c r="B140" s="44" t="str">
        <x:v>Slovenia</x:v>
      </x:c>
      <x:c r="C140" s="44" t="str">
        <x:v>thermal_oil_liquid</x:v>
      </x:c>
      <x:c r="D140" s="44" t="str">
        <x:v>GW</x:v>
      </x:c>
      <x:c r="E140" s="149" t="n">
        <x:f>SUMIFS('03_RUNTIME_INPUTS'!$H$5:$H$165,'03_RUNTIME_INPUTS'!$A$5:$A$165,A140,'03_RUNTIME_INPUTS'!$F$5:$F$165,C140,'03_RUNTIME_INPUTS'!$G$5:$G$165,D140)</x:f>
        <x:v>0</x:v>
      </x:c>
      <x:c r="F140" s="149" t="n">
        <x:f>SUMIFS('03_RUNTIME_INPUTS'!$I$5:$I$165,'03_RUNTIME_INPUTS'!$A$5:$A$165,A140,'03_RUNTIME_INPUTS'!$F$5:$F$165,C140,'03_RUNTIME_INPUTS'!$G$5:$G$165,D140)</x:f>
        <x:v>0</x:v>
      </x:c>
      <x:c r="G140" s="50" t="str">
        <x:v>Oil / liquid-fuel thermal</x:v>
      </x:c>
    </x:row>
    <x:row r="141">
      <x:c r="A141" s="49" t="str">
        <x:v>SI</x:v>
      </x:c>
      <x:c r="B141" s="44" t="str">
        <x:v>Slovenia</x:v>
      </x:c>
      <x:c r="C141" s="44" t="str">
        <x:v>thermal_other_chp</x:v>
      </x:c>
      <x:c r="D141" s="44" t="str">
        <x:v>GW</x:v>
      </x:c>
      <x:c r="E141" s="149" t="n">
        <x:f>SUMIFS('03_RUNTIME_INPUTS'!$H$5:$H$165,'03_RUNTIME_INPUTS'!$A$5:$A$165,A141,'03_RUNTIME_INPUTS'!$F$5:$F$165,C141,'03_RUNTIME_INPUTS'!$G$5:$G$165,D141)</x:f>
        <x:v>0.216</x:v>
      </x:c>
      <x:c r="F141" s="149" t="n">
        <x:f>SUMIFS('03_RUNTIME_INPUTS'!$I$5:$I$165,'03_RUNTIME_INPUTS'!$A$5:$A$165,A141,'03_RUNTIME_INPUTS'!$F$5:$F$165,C141,'03_RUNTIME_INPUTS'!$G$5:$G$165,D141)</x:f>
        <x:v>0.216</x:v>
      </x:c>
      <x:c r="G141" s="50" t="str">
        <x:v>Distributed CHP / bioenergy-waste aggregate</x:v>
      </x:c>
    </x:row>
    <x:row r="142">
      <x:c r="A142" s="49" t="str">
        <x:v>SI</x:v>
      </x:c>
      <x:c r="B142" s="44" t="str">
        <x:v>Slovenia</x:v>
      </x:c>
      <x:c r="C142" s="44" t="str">
        <x:v>wind_offshore</x:v>
      </x:c>
      <x:c r="D142" s="44" t="str">
        <x:v>GW</x:v>
      </x:c>
      <x:c r="E142" s="149" t="n">
        <x:f>SUMIFS('03_RUNTIME_INPUTS'!$H$5:$H$165,'03_RUNTIME_INPUTS'!$A$5:$A$165,A142,'03_RUNTIME_INPUTS'!$F$5:$F$165,C142,'03_RUNTIME_INPUTS'!$G$5:$G$165,D142)</x:f>
        <x:v>0</x:v>
      </x:c>
      <x:c r="F142" s="149" t="n">
        <x:f>SUMIFS('03_RUNTIME_INPUTS'!$I$5:$I$165,'03_RUNTIME_INPUTS'!$A$5:$A$165,A142,'03_RUNTIME_INPUTS'!$F$5:$F$165,C142,'03_RUNTIME_INPUTS'!$G$5:$G$165,D142)</x:f>
        <x:v>0</x:v>
      </x:c>
      <x:c r="G142" s="50" t="str">
        <x:v>Offshore wind</x:v>
      </x:c>
    </x:row>
    <x:row r="143">
      <x:c r="A143" s="49" t="str">
        <x:v>SI</x:v>
      </x:c>
      <x:c r="B143" s="44" t="str">
        <x:v>Slovenia</x:v>
      </x:c>
      <x:c r="C143" s="44" t="str">
        <x:v>wind_onshore</x:v>
      </x:c>
      <x:c r="D143" s="44" t="str">
        <x:v>GW</x:v>
      </x:c>
      <x:c r="E143" s="149" t="n">
        <x:f>SUMIFS('03_RUNTIME_INPUTS'!$H$5:$H$165,'03_RUNTIME_INPUTS'!$A$5:$A$165,A143,'03_RUNTIME_INPUTS'!$F$5:$F$165,C143,'03_RUNTIME_INPUTS'!$G$5:$G$165,D143)</x:f>
        <x:v>0.4191666666666667</x:v>
      </x:c>
      <x:c r="F143" s="149" t="n">
        <x:f>SUMIFS('03_RUNTIME_INPUTS'!$I$5:$I$165,'03_RUNTIME_INPUTS'!$A$5:$A$165,A143,'03_RUNTIME_INPUTS'!$F$5:$F$165,C143,'03_RUNTIME_INPUTS'!$G$5:$G$165,D143)</x:f>
        <x:v>0.503</x:v>
      </x:c>
      <x:c r="G143" s="50" t="str">
        <x:v>Onshore wind</x:v>
      </x:c>
    </x:row>
    <x:row r="144">
      <x:c r="A144" s="49" t="str">
        <x:v>TN</x:v>
      </x:c>
      <x:c r="B144" s="44" t="str">
        <x:v>Tunisia</x:v>
      </x:c>
      <x:c r="C144" s="44" t="str">
        <x:v>bess_grid_energy</x:v>
      </x:c>
      <x:c r="D144" s="44" t="str">
        <x:v>GWh</x:v>
      </x:c>
      <x:c r="E144" s="149" t="n">
        <x:f>SUMIFS('03_RUNTIME_INPUTS'!$H$5:$H$165,'03_RUNTIME_INPUTS'!$A$5:$A$165,A144,'03_RUNTIME_INPUTS'!$F$5:$F$165,C144,'03_RUNTIME_INPUTS'!$G$5:$G$165,D144)</x:f>
        <x:v>1.14</x:v>
      </x:c>
      <x:c r="F144" s="149" t="n">
        <x:f>SUMIFS('03_RUNTIME_INPUTS'!$I$5:$I$165,'03_RUNTIME_INPUTS'!$A$5:$A$165,A144,'03_RUNTIME_INPUTS'!$F$5:$F$165,C144,'03_RUNTIME_INPUTS'!$G$5:$G$165,D144)</x:f>
        <x:v>1.14</x:v>
      </x:c>
      <x:c r="G144" s="50" t="str">
        <x:v>Grid BESS energy</x:v>
      </x:c>
    </x:row>
    <x:row r="145">
      <x:c r="A145" s="49" t="str">
        <x:v>TN</x:v>
      </x:c>
      <x:c r="B145" s="44" t="str">
        <x:v>Tunisia</x:v>
      </x:c>
      <x:c r="C145" s="44" t="str">
        <x:v>bess_grid_power</x:v>
      </x:c>
      <x:c r="D145" s="44" t="str">
        <x:v>GW</x:v>
      </x:c>
      <x:c r="E145" s="149" t="n">
        <x:f>SUMIFS('03_RUNTIME_INPUTS'!$H$5:$H$165,'03_RUNTIME_INPUTS'!$A$5:$A$165,A145,'03_RUNTIME_INPUTS'!$F$5:$F$165,C145,'03_RUNTIME_INPUTS'!$G$5:$G$165,D145)</x:f>
        <x:v>0.45</x:v>
      </x:c>
      <x:c r="F145" s="149" t="n">
        <x:f>SUMIFS('03_RUNTIME_INPUTS'!$I$5:$I$165,'03_RUNTIME_INPUTS'!$A$5:$A$165,A145,'03_RUNTIME_INPUTS'!$F$5:$F$165,C145,'03_RUNTIME_INPUTS'!$G$5:$G$165,D145)</x:f>
        <x:v>0.45</x:v>
      </x:c>
      <x:c r="G145" s="50" t="str">
        <x:v>Grid BESS power</x:v>
      </x:c>
    </x:row>
    <x:row r="146">
      <x:c r="A146" s="49" t="str">
        <x:v>TN</x:v>
      </x:c>
      <x:c r="B146" s="44" t="str">
        <x:v>Tunisia</x:v>
      </x:c>
      <x:c r="C146" s="44" t="str">
        <x:v>bioenergy_biomass</x:v>
      </x:c>
      <x:c r="D146" s="44" t="str">
        <x:v>GW</x:v>
      </x:c>
      <x:c r="E146" s="149" t="n">
        <x:f>SUMIFS('03_RUNTIME_INPUTS'!$H$5:$H$165,'03_RUNTIME_INPUTS'!$A$5:$A$165,A146,'03_RUNTIME_INPUTS'!$F$5:$F$165,C146,'03_RUNTIME_INPUTS'!$G$5:$G$165,D146)</x:f>
        <x:v>0.085</x:v>
      </x:c>
      <x:c r="F146" s="149" t="n">
        <x:f>SUMIFS('03_RUNTIME_INPUTS'!$I$5:$I$165,'03_RUNTIME_INPUTS'!$A$5:$A$165,A146,'03_RUNTIME_INPUTS'!$F$5:$F$165,C146,'03_RUNTIME_INPUTS'!$G$5:$G$165,D146)</x:f>
        <x:v>0.12</x:v>
      </x:c>
      <x:c r="G146" s="50" t="str">
        <x:v>Biomass electricity</x:v>
      </x:c>
    </x:row>
    <x:row r="147">
      <x:c r="A147" s="49" t="str">
        <x:v>TN</x:v>
      </x:c>
      <x:c r="B147" s="44" t="str">
        <x:v>Tunisia</x:v>
      </x:c>
      <x:c r="C147" s="44" t="str">
        <x:v>coal_lignite</x:v>
      </x:c>
      <x:c r="D147" s="44" t="str">
        <x:v>GW</x:v>
      </x:c>
      <x:c r="E147" s="149" t="n">
        <x:f>SUMIFS('03_RUNTIME_INPUTS'!$H$5:$H$165,'03_RUNTIME_INPUTS'!$A$5:$A$165,A147,'03_RUNTIME_INPUTS'!$F$5:$F$165,C147,'03_RUNTIME_INPUTS'!$G$5:$G$165,D147)</x:f>
        <x:v>0</x:v>
      </x:c>
      <x:c r="F147" s="149" t="n">
        <x:f>SUMIFS('03_RUNTIME_INPUTS'!$I$5:$I$165,'03_RUNTIME_INPUTS'!$A$5:$A$165,A147,'03_RUNTIME_INPUTS'!$F$5:$F$165,C147,'03_RUNTIME_INPUTS'!$G$5:$G$165,D147)</x:f>
        <x:v>0</x:v>
      </x:c>
      <x:c r="G147" s="50" t="str">
        <x:v>Coal / lignite</x:v>
      </x:c>
    </x:row>
    <x:row r="148">
      <x:c r="A148" s="49" t="str">
        <x:v>TN</x:v>
      </x:c>
      <x:c r="B148" s="44" t="str">
        <x:v>Tunisia</x:v>
      </x:c>
      <x:c r="C148" s="44" t="str">
        <x:v>demand</x:v>
      </x:c>
      <x:c r="D148" s="44" t="str">
        <x:v>TWh</x:v>
      </x:c>
      <x:c r="E148" s="149" t="n">
        <x:f>SUMIFS('03_RUNTIME_INPUTS'!$H$5:$H$165,'03_RUNTIME_INPUTS'!$A$5:$A$165,A148,'03_RUNTIME_INPUTS'!$F$5:$F$165,C148,'03_RUNTIME_INPUTS'!$G$5:$G$165,D148)</x:f>
        <x:v>43.333333333333336</x:v>
      </x:c>
      <x:c r="F148" s="149" t="n">
        <x:f>SUMIFS('03_RUNTIME_INPUTS'!$I$5:$I$165,'03_RUNTIME_INPUTS'!$A$5:$A$165,A148,'03_RUNTIME_INPUTS'!$F$5:$F$165,C148,'03_RUNTIME_INPUTS'!$G$5:$G$165,D148)</x:f>
        <x:v>64.5</x:v>
      </x:c>
      <x:c r="G148" s="50" t="str">
        <x:v>Annual electricity system demand control</x:v>
      </x:c>
    </x:row>
    <x:row r="149">
      <x:c r="A149" s="49" t="str">
        <x:v>TN</x:v>
      </x:c>
      <x:c r="B149" s="44" t="str">
        <x:v>Tunisia</x:v>
      </x:c>
      <x:c r="C149" s="44" t="str">
        <x:v>geothermal</x:v>
      </x:c>
      <x:c r="D149" s="44" t="str">
        <x:v>GW</x:v>
      </x:c>
      <x:c r="E149" s="149" t="n">
        <x:f>SUMIFS('03_RUNTIME_INPUTS'!$H$5:$H$165,'03_RUNTIME_INPUTS'!$A$5:$A$165,A149,'03_RUNTIME_INPUTS'!$F$5:$F$165,C149,'03_RUNTIME_INPUTS'!$G$5:$G$165,D149)</x:f>
        <x:v>0</x:v>
      </x:c>
      <x:c r="F149" s="149" t="n">
        <x:f>SUMIFS('03_RUNTIME_INPUTS'!$I$5:$I$165,'03_RUNTIME_INPUTS'!$A$5:$A$165,A149,'03_RUNTIME_INPUTS'!$F$5:$F$165,C149,'03_RUNTIME_INPUTS'!$G$5:$G$165,D149)</x:f>
        <x:v>0</x:v>
      </x:c>
      <x:c r="G149" s="50" t="str">
        <x:v>Geothermal electricity</x:v>
      </x:c>
    </x:row>
    <x:row r="150">
      <x:c r="A150" s="49" t="str">
        <x:v>TN</x:v>
      </x:c>
      <x:c r="B150" s="44" t="str">
        <x:v>Tunisia</x:v>
      </x:c>
      <x:c r="C150" s="44" t="str">
        <x:v>hydro_non_phs</x:v>
      </x:c>
      <x:c r="D150" s="44" t="str">
        <x:v>GW</x:v>
      </x:c>
      <x:c r="E150" s="149" t="n">
        <x:f>SUMIFS('03_RUNTIME_INPUTS'!$H$5:$H$165,'03_RUNTIME_INPUTS'!$A$5:$A$165,A150,'03_RUNTIME_INPUTS'!$F$5:$F$165,C150,'03_RUNTIME_INPUTS'!$G$5:$G$165,D150)</x:f>
        <x:v>0.062</x:v>
      </x:c>
      <x:c r="F150" s="149" t="n">
        <x:f>SUMIFS('03_RUNTIME_INPUTS'!$I$5:$I$165,'03_RUNTIME_INPUTS'!$A$5:$A$165,A150,'03_RUNTIME_INPUTS'!$F$5:$F$165,C150,'03_RUNTIME_INPUTS'!$G$5:$G$165,D150)</x:f>
        <x:v>0.062</x:v>
      </x:c>
      <x:c r="G150" s="50" t="str">
        <x:v>Non-PHS hydro</x:v>
      </x:c>
    </x:row>
    <x:row r="151">
      <x:c r="A151" s="49" t="str">
        <x:v>TN</x:v>
      </x:c>
      <x:c r="B151" s="44" t="str">
        <x:v>Tunisia</x:v>
      </x:c>
      <x:c r="C151" s="44" t="str">
        <x:v>nuclear</x:v>
      </x:c>
      <x:c r="D151" s="44" t="str">
        <x:v>GW</x:v>
      </x:c>
      <x:c r="E151" s="149" t="n">
        <x:f>SUMIFS('03_RUNTIME_INPUTS'!$H$5:$H$165,'03_RUNTIME_INPUTS'!$A$5:$A$165,A151,'03_RUNTIME_INPUTS'!$F$5:$F$165,C151,'03_RUNTIME_INPUTS'!$G$5:$G$165,D151)</x:f>
        <x:v>0</x:v>
      </x:c>
      <x:c r="F151" s="149" t="n">
        <x:f>SUMIFS('03_RUNTIME_INPUTS'!$I$5:$I$165,'03_RUNTIME_INPUTS'!$A$5:$A$165,A151,'03_RUNTIME_INPUTS'!$F$5:$F$165,C151,'03_RUNTIME_INPUTS'!$G$5:$G$165,D151)</x:f>
        <x:v>0</x:v>
      </x:c>
      <x:c r="G151" s="50" t="str">
        <x:v>Nuclear</x:v>
      </x:c>
    </x:row>
    <x:row r="152">
      <x:c r="A152" s="49" t="str">
        <x:v>TN</x:v>
      </x:c>
      <x:c r="B152" s="44" t="str">
        <x:v>Tunisia</x:v>
      </x:c>
      <x:c r="C152" s="44" t="str">
        <x:v>phs_charge_power</x:v>
      </x:c>
      <x:c r="D152" s="44" t="str">
        <x:v>GW</x:v>
      </x:c>
      <x:c r="E152" s="149" t="n">
        <x:f>SUMIFS('03_RUNTIME_INPUTS'!$H$5:$H$165,'03_RUNTIME_INPUTS'!$A$5:$A$165,A152,'03_RUNTIME_INPUTS'!$F$5:$F$165,C152,'03_RUNTIME_INPUTS'!$G$5:$G$165,D152)</x:f>
        <x:v>0.4</x:v>
      </x:c>
      <x:c r="F152" s="149" t="n">
        <x:f>SUMIFS('03_RUNTIME_INPUTS'!$I$5:$I$165,'03_RUNTIME_INPUTS'!$A$5:$A$165,A152,'03_RUNTIME_INPUTS'!$F$5:$F$165,C152,'03_RUNTIME_INPUTS'!$G$5:$G$165,D152)</x:f>
        <x:v>0.4</x:v>
      </x:c>
      <x:c r="G152" s="50" t="str">
        <x:v>PHS pump / charge</x:v>
      </x:c>
    </x:row>
    <x:row r="153">
      <x:c r="A153" s="49" t="str">
        <x:v>TN</x:v>
      </x:c>
      <x:c r="B153" s="44" t="str">
        <x:v>Tunisia</x:v>
      </x:c>
      <x:c r="C153" s="44" t="str">
        <x:v>phs_discharge_power</x:v>
      </x:c>
      <x:c r="D153" s="44" t="str">
        <x:v>GW</x:v>
      </x:c>
      <x:c r="E153" s="149" t="n">
        <x:f>SUMIFS('03_RUNTIME_INPUTS'!$H$5:$H$165,'03_RUNTIME_INPUTS'!$A$5:$A$165,A153,'03_RUNTIME_INPUTS'!$F$5:$F$165,C153,'03_RUNTIME_INPUTS'!$G$5:$G$165,D153)</x:f>
        <x:v>0.4</x:v>
      </x:c>
      <x:c r="F153" s="149" t="n">
        <x:f>SUMIFS('03_RUNTIME_INPUTS'!$I$5:$I$165,'03_RUNTIME_INPUTS'!$A$5:$A$165,A153,'03_RUNTIME_INPUTS'!$F$5:$F$165,C153,'03_RUNTIME_INPUTS'!$G$5:$G$165,D153)</x:f>
        <x:v>0.4</x:v>
      </x:c>
      <x:c r="G153" s="50" t="str">
        <x:v>PHS turbine / discharge</x:v>
      </x:c>
    </x:row>
    <x:row r="154">
      <x:c r="A154" s="49" t="str">
        <x:v>TN</x:v>
      </x:c>
      <x:c r="B154" s="44" t="str">
        <x:v>Tunisia</x:v>
      </x:c>
      <x:c r="C154" s="44" t="str">
        <x:v>phs_energy</x:v>
      </x:c>
      <x:c r="D154" s="44" t="str">
        <x:v>GWh</x:v>
      </x:c>
      <x:c r="E154" s="149" t="n">
        <x:f>SUMIFS('03_RUNTIME_INPUTS'!$H$5:$H$165,'03_RUNTIME_INPUTS'!$A$5:$A$165,A154,'03_RUNTIME_INPUTS'!$F$5:$F$165,C154,'03_RUNTIME_INPUTS'!$G$5:$G$165,D154)</x:f>
        <x:v>2.4</x:v>
      </x:c>
      <x:c r="F154" s="149" t="n">
        <x:f>SUMIFS('03_RUNTIME_INPUTS'!$I$5:$I$165,'03_RUNTIME_INPUTS'!$A$5:$A$165,A154,'03_RUNTIME_INPUTS'!$F$5:$F$165,C154,'03_RUNTIME_INPUTS'!$G$5:$G$165,D154)</x:f>
        <x:v>2.4</x:v>
      </x:c>
      <x:c r="G154" s="50" t="str">
        <x:v>PHS operational working energy</x:v>
      </x:c>
    </x:row>
    <x:row r="155">
      <x:c r="A155" s="49" t="str">
        <x:v>TN</x:v>
      </x:c>
      <x:c r="B155" s="44" t="str">
        <x:v>Tunisia</x:v>
      </x:c>
      <x:c r="C155" s="44" t="str">
        <x:v>solar_csp</x:v>
      </x:c>
      <x:c r="D155" s="44" t="str">
        <x:v>GW</x:v>
      </x:c>
      <x:c r="E155" s="149" t="n">
        <x:f>SUMIFS('03_RUNTIME_INPUTS'!$H$5:$H$165,'03_RUNTIME_INPUTS'!$A$5:$A$165,A155,'03_RUNTIME_INPUTS'!$F$5:$F$165,C155,'03_RUNTIME_INPUTS'!$G$5:$G$165,D155)</x:f>
        <x:v>0.75</x:v>
      </x:c>
      <x:c r="F155" s="149" t="n">
        <x:f>SUMIFS('03_RUNTIME_INPUTS'!$I$5:$I$165,'03_RUNTIME_INPUTS'!$A$5:$A$165,A155,'03_RUNTIME_INPUTS'!$F$5:$F$165,C155,'03_RUNTIME_INPUTS'!$G$5:$G$165,D155)</x:f>
        <x:v>1.35</x:v>
      </x:c>
      <x:c r="G155" s="50" t="str">
        <x:v>CSP</x:v>
      </x:c>
    </x:row>
    <x:row r="156">
      <x:c r="A156" s="49" t="str">
        <x:v>TN</x:v>
      </x:c>
      <x:c r="B156" s="44" t="str">
        <x:v>Tunisia</x:v>
      </x:c>
      <x:c r="C156" s="44" t="str">
        <x:v>solar_pv</x:v>
      </x:c>
      <x:c r="D156" s="44" t="str">
        <x:v>GW</x:v>
      </x:c>
      <x:c r="E156" s="149" t="n">
        <x:f>SUMIFS('03_RUNTIME_INPUTS'!$H$5:$H$165,'03_RUNTIME_INPUTS'!$A$5:$A$165,A156,'03_RUNTIME_INPUTS'!$F$5:$F$165,C156,'03_RUNTIME_INPUTS'!$G$5:$G$165,D156)</x:f>
        <x:v>6.1</x:v>
      </x:c>
      <x:c r="F156" s="149" t="n">
        <x:f>SUMIFS('03_RUNTIME_INPUTS'!$I$5:$I$165,'03_RUNTIME_INPUTS'!$A$5:$A$165,A156,'03_RUNTIME_INPUTS'!$F$5:$F$165,C156,'03_RUNTIME_INPUTS'!$G$5:$G$165,D156)</x:f>
        <x:v>14.396</x:v>
      </x:c>
      <x:c r="G156" s="50" t="str">
        <x:v>Solar PV</x:v>
      </x:c>
    </x:row>
    <x:row r="157">
      <x:c r="A157" s="49" t="str">
        <x:v>TN</x:v>
      </x:c>
      <x:c r="B157" s="44" t="str">
        <x:v>Tunisia</x:v>
      </x:c>
      <x:c r="C157" s="44" t="str">
        <x:v>thermal_lowcarbon_gas_h2</x:v>
      </x:c>
      <x:c r="D157" s="44" t="str">
        <x:v>GW</x:v>
      </x:c>
      <x:c r="E157" s="149" t="n">
        <x:f>SUMIFS('03_RUNTIME_INPUTS'!$H$5:$H$165,'03_RUNTIME_INPUTS'!$A$5:$A$165,A157,'03_RUNTIME_INPUTS'!$F$5:$F$165,C157,'03_RUNTIME_INPUTS'!$G$5:$G$165,D157)</x:f>
        <x:v>0</x:v>
      </x:c>
      <x:c r="F157" s="149" t="n">
        <x:f>SUMIFS('03_RUNTIME_INPUTS'!$I$5:$I$165,'03_RUNTIME_INPUTS'!$A$5:$A$165,A157,'03_RUNTIME_INPUTS'!$F$5:$F$165,C157,'03_RUNTIME_INPUTS'!$G$5:$G$165,D157)</x:f>
        <x:v>0</x:v>
      </x:c>
      <x:c r="G157" s="50" t="str">
        <x:v>Dedicated additional hydrogen thermal</x:v>
      </x:c>
    </x:row>
    <x:row r="158">
      <x:c r="A158" s="49" t="str">
        <x:v>TN</x:v>
      </x:c>
      <x:c r="B158" s="44" t="str">
        <x:v>Tunisia</x:v>
      </x:c>
      <x:c r="C158" s="44" t="str">
        <x:v>thermal_methane_gas</x:v>
      </x:c>
      <x:c r="D158" s="44" t="str">
        <x:v>GW</x:v>
      </x:c>
      <x:c r="E158" s="149" t="n">
        <x:f>SUMIFS('03_RUNTIME_INPUTS'!$H$5:$H$165,'03_RUNTIME_INPUTS'!$A$5:$A$165,A158,'03_RUNTIME_INPUTS'!$F$5:$F$165,C158,'03_RUNTIME_INPUTS'!$G$5:$G$165,D158)</x:f>
        <x:v>5.645</x:v>
      </x:c>
      <x:c r="F158" s="149" t="n">
        <x:f>SUMIFS('03_RUNTIME_INPUTS'!$I$5:$I$165,'03_RUNTIME_INPUTS'!$A$5:$A$165,A158,'03_RUNTIME_INPUTS'!$F$5:$F$165,C158,'03_RUNTIME_INPUTS'!$G$5:$G$165,D158)</x:f>
        <x:v>5.645</x:v>
      </x:c>
      <x:c r="G158" s="50" t="str">
        <x:v>Gas-dominant conventional thermal total</x:v>
      </x:c>
    </x:row>
    <x:row r="159">
      <x:c r="A159" s="49" t="str">
        <x:v>TN</x:v>
      </x:c>
      <x:c r="B159" s="44" t="str">
        <x:v>Tunisia</x:v>
      </x:c>
      <x:c r="C159" s="44" t="str">
        <x:v>thermal_oil_liquid</x:v>
      </x:c>
      <x:c r="D159" s="44" t="str">
        <x:v>GW</x:v>
      </x:c>
      <x:c r="E159" s="149" t="n">
        <x:f>SUMIFS('03_RUNTIME_INPUTS'!$H$5:$H$165,'03_RUNTIME_INPUTS'!$A$5:$A$165,A159,'03_RUNTIME_INPUTS'!$F$5:$F$165,C159,'03_RUNTIME_INPUTS'!$G$5:$G$165,D159)</x:f>
        <x:v>0</x:v>
      </x:c>
      <x:c r="F159" s="149" t="n">
        <x:f>SUMIFS('03_RUNTIME_INPUTS'!$I$5:$I$165,'03_RUNTIME_INPUTS'!$A$5:$A$165,A159,'03_RUNTIME_INPUTS'!$F$5:$F$165,C159,'03_RUNTIME_INPUTS'!$G$5:$G$165,D159)</x:f>
        <x:v>0</x:v>
      </x:c>
      <x:c r="G159" s="50" t="str">
        <x:v>Dedicated oil / liquid-fuel thermal</x:v>
      </x:c>
    </x:row>
    <x:row r="160">
      <x:c r="A160" s="49" t="str">
        <x:v>TN</x:v>
      </x:c>
      <x:c r="B160" s="44" t="str">
        <x:v>Tunisia</x:v>
      </x:c>
      <x:c r="C160" s="44" t="str">
        <x:v>wind_offshore</x:v>
      </x:c>
      <x:c r="D160" s="44" t="str">
        <x:v>GW</x:v>
      </x:c>
      <x:c r="E160" s="149" t="n">
        <x:f>SUMIFS('03_RUNTIME_INPUTS'!$H$5:$H$165,'03_RUNTIME_INPUTS'!$A$5:$A$165,A160,'03_RUNTIME_INPUTS'!$F$5:$F$165,C160,'03_RUNTIME_INPUTS'!$G$5:$G$165,D160)</x:f>
        <x:v>0.2</x:v>
      </x:c>
      <x:c r="F160" s="149" t="n">
        <x:f>SUMIFS('03_RUNTIME_INPUTS'!$I$5:$I$165,'03_RUNTIME_INPUTS'!$A$5:$A$165,A160,'03_RUNTIME_INPUTS'!$F$5:$F$165,C160,'03_RUNTIME_INPUTS'!$G$5:$G$165,D160)</x:f>
        <x:v>1.4</x:v>
      </x:c>
      <x:c r="G160" s="50" t="str">
        <x:v>Offshore wind</x:v>
      </x:c>
    </x:row>
    <x:row r="161">
      <x:c r="A161" s="51" t="str">
        <x:v>TN</x:v>
      </x:c>
      <x:c r="B161" s="52" t="str">
        <x:v>Tunisia</x:v>
      </x:c>
      <x:c r="C161" s="52" t="str">
        <x:v>wind_onshore</x:v>
      </x:c>
      <x:c r="D161" s="52" t="str">
        <x:v>GW</x:v>
      </x:c>
      <x:c r="E161" s="150" t="n">
        <x:f>SUMIFS('03_RUNTIME_INPUTS'!$H$5:$H$165,'03_RUNTIME_INPUTS'!$A$5:$A$165,A161,'03_RUNTIME_INPUTS'!$F$5:$F$165,C161,'03_RUNTIME_INPUTS'!$G$5:$G$165,D161)</x:f>
        <x:v>3.32</x:v>
      </x:c>
      <x:c r="F161" s="150" t="n">
        <x:f>SUMIFS('03_RUNTIME_INPUTS'!$I$5:$I$165,'03_RUNTIME_INPUTS'!$A$5:$A$165,A161,'03_RUNTIME_INPUTS'!$F$5:$F$165,C161,'03_RUNTIME_INPUTS'!$G$5:$G$165,D161)</x:f>
        <x:v>4.26</x:v>
      </x:c>
      <x:c r="G161" s="53" t="str">
        <x:v>Onshore wind</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15" hidden="0" customWidth="1"/>
    <x:col min="3" max="3" width="29" hidden="0" customWidth="1"/>
    <x:col min="4" max="4" width="10" hidden="0" customWidth="1"/>
    <x:col min="5" max="5" width="14" hidden="0" customWidth="1"/>
    <x:col min="6" max="6" width="14" hidden="0" customWidth="1"/>
    <x:col min="7" max="7" width="72" hidden="0" customWidth="1"/>
    <x:col min="8" max="8" width="3" hidden="0" customWidth="1"/>
  </x:cols>
  <x:sheetData>
    <x:row r="1" ht="28" customHeight="1">
      <x:c r="A1" s="6" t="str">
        <x:v>Demand and storage controls</x:v>
      </x:c>
      <x:c r="B1" s="6" t="str">
        <x:v>Demand and storage controls</x:v>
      </x:c>
      <x:c r="C1" s="6" t="str">
        <x:v>Demand and storage controls</x:v>
      </x:c>
      <x:c r="D1" s="6" t="str">
        <x:v>Demand and storage controls</x:v>
      </x:c>
      <x:c r="E1" s="6" t="str">
        <x:v>Demand and storage controls</x:v>
      </x:c>
      <x:c r="F1" s="6" t="str">
        <x:v>Demand and storage controls</x:v>
      </x:c>
      <x:c r="G1" s="6" t="str">
        <x:v>Demand and storage controls</x:v>
      </x:c>
      <x:c r="H1" s="6" t="str">
        <x:v>Demand and storage controls</x:v>
      </x:c>
    </x:row>
    <x:row r="2">
      <x:c r="A2" s="78" t="str">
        <x:v>Compact controls for the two input families where accounting and power/energy consistency are most important.</x:v>
      </x:c>
      <x:c r="B2" s="79"/>
      <x:c r="C2" s="79"/>
      <x:c r="D2" s="79"/>
      <x:c r="E2" s="79"/>
      <x:c r="F2" s="79"/>
      <x:c r="G2" s="79"/>
      <x:c r="H2" s="80"/>
    </x:row>
    <x:row r="4" ht="21" customHeight="1">
      <x:c r="A4" s="72" t="str">
        <x:v>A. Annual electricity demand</x:v>
      </x:c>
      <x:c r="B4" s="72" t="str">
        <x:v>A. Annual electricity demand</x:v>
      </x:c>
      <x:c r="C4" s="72" t="str">
        <x:v>A. Annual electricity demand</x:v>
      </x:c>
      <x:c r="D4" s="72" t="str">
        <x:v>A. Annual electricity demand</x:v>
      </x:c>
      <x:c r="E4" s="72" t="str">
        <x:v>A. Annual electricity demand</x:v>
      </x:c>
      <x:c r="F4" s="72" t="str">
        <x:v>A. Annual electricity demand</x:v>
      </x:c>
      <x:c r="G4" s="72" t="str">
        <x:v>A. Annual electricity demand</x:v>
      </x:c>
      <x:c r="H4" s="72" t="str">
        <x:v>A. Annual electricity demand</x:v>
      </x:c>
    </x:row>
    <x:row r="5">
      <x:c r="A5" s="34" t="str">
        <x:v>Code</x:v>
      </x:c>
      <x:c r="B5" s="35" t="str">
        <x:v>Country</x:v>
      </x:c>
      <x:c r="C5" s="35" t="str">
        <x:v>2040 TWh</x:v>
      </x:c>
      <x:c r="D5" s="35" t="str">
        <x:v>2050 TWh</x:v>
      </x:c>
      <x:c r="E5" s="36" t="str">
        <x:v>Perimeter / caveat</x:v>
      </x:c>
    </x:row>
    <x:row r="6">
      <x:c r="A6" s="46" t="str">
        <x:v>FR</x:v>
      </x:c>
      <x:c r="B6" s="47" t="str">
        <x:v>France</x:v>
      </x:c>
      <x:c r="C6" s="84" t="n">
        <x:f>SUMIFS('04_RUNTIME_SUMMARY'!$E$5:$E$161,'04_RUNTIME_SUMMARY'!$A$5:$A$161,A6,'04_RUNTIME_SUMMARY'!$C$5:$C$161,"demand",'04_RUNTIME_SUMMARY'!$D$5:$D$161,"TWh")</x:f>
        <x:v>650</x:v>
      </x:c>
      <x:c r="D6" s="84" t="n">
        <x:f>SUMIFS('04_RUNTIME_SUMMARY'!$F$5:$F$161,'04_RUNTIME_SUMMARY'!$A$5:$A$161,A6,'04_RUNTIME_SUMMARY'!$C$5:$C$161,"demand",'04_RUNTIME_SUMMARY'!$D$5:$D$161,"TWh")</x:f>
        <x:v>850</x:v>
      </x:c>
      <x:c r="E6" s="48" t="str">
        <x:v>RTE 2026 N1 Base; thermal/BESS are fixed-capacity bridges where RTE leaves flexibility endogenous. Replace only on stronger final RTE results.</x:v>
      </x:c>
    </x:row>
    <x:row r="7">
      <x:c r="A7" s="49" t="str">
        <x:v>CH</x:v>
      </x:c>
      <x:c r="B7" s="44" t="str">
        <x:v>Switzerland</x:v>
      </x:c>
      <x:c r="C7" s="85" t="n">
        <x:f>SUMIFS('04_RUNTIME_SUMMARY'!$E$5:$E$161,'04_RUNTIME_SUMMARY'!$A$5:$A$161,A7,'04_RUNTIME_SUMMARY'!$C$5:$C$161,"demand",'04_RUNTIME_SUMMARY'!$D$5:$D$161,"TWh")</x:f>
        <x:v>71.5</x:v>
      </x:c>
      <x:c r="D7" s="85" t="n">
        <x:f>SUMIFS('04_RUNTIME_SUMMARY'!$F$5:$F$161,'04_RUNTIME_SUMMARY'!$A$5:$A$161,A7,'04_RUNTIME_SUMMARY'!$C$5:$C$161,"demand",'04_RUNTIME_SUMMARY'!$D$5:$D$161,"TWh")</x:f>
        <x:v>76</x:v>
      </x:c>
      <x:c r="E7" s="50" t="str">
        <x:v>Keep home/distributed BESS separate from merchant grid BESS; preserve asymmetric PHS pump/turbine ratings.</x:v>
      </x:c>
    </x:row>
    <x:row r="8">
      <x:c r="A8" s="49" t="str">
        <x:v>AT</x:v>
      </x:c>
      <x:c r="B8" s="44" t="str">
        <x:v>Austria</x:v>
      </x:c>
      <x:c r="C8" s="85" t="n">
        <x:f>SUMIFS('04_RUNTIME_SUMMARY'!$E$5:$E$161,'04_RUNTIME_SUMMARY'!$A$5:$A$161,A8,'04_RUNTIME_SUMMARY'!$C$5:$C$161,"demand",'04_RUNTIME_SUMMARY'!$D$5:$D$161,"TWh")</x:f>
        <x:v>109</x:v>
      </x:c>
      <x:c r="D8" s="85" t="n">
        <x:f>SUMIFS('04_RUNTIME_SUMMARY'!$F$5:$F$161,'04_RUNTIME_SUMMARY'!$A$5:$A$161,A8,'04_RUNTIME_SUMMARY'!$C$5:$C$161,"demand",'04_RUNTIME_SUMMARY'!$D$5:$D$161,"TWh")</x:f>
        <x:v>121</x:v>
      </x:c>
      <x:c r="E8" s="50" t="str">
        <x:v>National closure follows physical Austrian geography; hydro/control-zone membership and small-BESS wholesale availability remain ETX-7B sensitivities. Demand already embeds electrolysis.</x:v>
      </x:c>
    </x:row>
    <x:row r="9">
      <x:c r="A9" s="49" t="str">
        <x:v>SI</x:v>
      </x:c>
      <x:c r="B9" s="44" t="str">
        <x:v>Slovenia</x:v>
      </x:c>
      <x:c r="C9" s="85" t="n">
        <x:f>SUMIFS('04_RUNTIME_SUMMARY'!$E$5:$E$161,'04_RUNTIME_SUMMARY'!$A$5:$A$161,A9,'04_RUNTIME_SUMMARY'!$C$5:$C$161,"demand",'04_RUNTIME_SUMMARY'!$D$5:$D$161,"TWh")</x:f>
        <x:v>20.2</x:v>
      </x:c>
      <x:c r="D9" s="85" t="n">
        <x:f>SUMIFS('04_RUNTIME_SUMMARY'!$F$5:$F$161,'04_RUNTIME_SUMMARY'!$A$5:$A$161,A9,'04_RUNTIME_SUMMARY'!$C$5:$C$161,"demand",'04_RUNTIME_SUMMARY'!$D$5:$D$161,"TWh")</x:f>
        <x:v>27.5</x:v>
      </x:c>
      <x:c r="E9" s="50" t="str">
        <x:v>Full physical Krško/NEK is represented on Slovenia; low-carbon-gas fuel costs/efficiencies remain an implementation mapping.</x:v>
      </x:c>
    </x:row>
    <x:row r="10">
      <x:c r="A10" s="49" t="str">
        <x:v>HR</x:v>
      </x:c>
      <x:c r="B10" s="44" t="str">
        <x:v>Croatia</x:v>
      </x:c>
      <x:c r="C10" s="85" t="n">
        <x:f>SUMIFS('04_RUNTIME_SUMMARY'!$E$5:$E$161,'04_RUNTIME_SUMMARY'!$A$5:$A$161,A10,'04_RUNTIME_SUMMARY'!$C$5:$C$161,"demand",'04_RUNTIME_SUMMARY'!$D$5:$D$161,"TWh")</x:f>
        <x:v>21.166</x:v>
      </x:c>
      <x:c r="D10" s="85" t="n">
        <x:f>SUMIFS('04_RUNTIME_SUMMARY'!$F$5:$F$161,'04_RUNTIME_SUMMARY'!$A$5:$A$161,A10,'04_RUNTIME_SUMMARY'!$C$5:$C$161,"demand",'04_RUNTIME_SUMMARY'!$D$5:$D$161,"TWh")</x:f>
        <x:v>24.423</x:v>
      </x:c>
      <x:c r="E10" s="50" t="str">
        <x:v>Croatian 348 MW Krško entitlement is QA only. No Croatian nuclear generator; physical host-country Slovenia timing governs the regional Base.</x:v>
      </x:c>
    </x:row>
    <x:row r="11">
      <x:c r="A11" s="49" t="str">
        <x:v>ME</x:v>
      </x:c>
      <x:c r="B11" s="44" t="str">
        <x:v>Montenegro</x:v>
      </x:c>
      <x:c r="C11" s="85" t="n">
        <x:f>SUMIFS('04_RUNTIME_SUMMARY'!$E$5:$E$161,'04_RUNTIME_SUMMARY'!$A$5:$A$161,A11,'04_RUNTIME_SUMMARY'!$C$5:$C$161,"demand",'04_RUNTIME_SUMMARY'!$D$5:$D$161,"TWh")</x:f>
        <x:v>3.6422</x:v>
      </x:c>
      <x:c r="D11" s="85" t="n">
        <x:f>SUMIFS('04_RUNTIME_SUMMARY'!$F$5:$F$161,'04_RUNTIME_SUMMARY'!$A$5:$A$161,A11,'04_RUNTIME_SUMMARY'!$C$5:$C$161,"demand",'04_RUNTIME_SUMMARY'!$D$5:$D$161,"TWh")</x:f>
        <x:v>3.6784</x:v>
      </x:c>
      <x:c r="E11" s="50" t="str">
        <x:v>User override is frozen: PV = 2.608334 GW and biogas = 0.087 GW in both horizons.</x:v>
      </x:c>
    </x:row>
    <x:row r="12">
      <x:c r="A12" s="49" t="str">
        <x:v>MT</x:v>
      </x:c>
      <x:c r="B12" s="44" t="str">
        <x:v>Malta</x:v>
      </x:c>
      <x:c r="C12" s="85" t="n">
        <x:f>SUMIFS('04_RUNTIME_SUMMARY'!$E$5:$E$161,'04_RUNTIME_SUMMARY'!$A$5:$A$161,A12,'04_RUNTIME_SUMMARY'!$C$5:$C$161,"demand",'04_RUNTIME_SUMMARY'!$D$5:$D$161,"TWh")</x:f>
        <x:v>4.4</x:v>
      </x:c>
      <x:c r="D12" s="85" t="n">
        <x:f>SUMIFS('04_RUNTIME_SUMMARY'!$F$5:$F$161,'04_RUNTIME_SUMMARY'!$A$5:$A$161,A12,'04_RUNTIME_SUMMARY'!$C$5:$C$161,"demand",'04_RUNTIME_SUMMARY'!$D$5:$D$161,"TWh")</x:f>
        <x:v>4.4</x:v>
      </x:c>
      <x:c r="E12" s="50" t="str">
        <x:v>4.4 TWh long-run demand bridge and current thermal capacity carry-forward; offshore policy target and BESS floor remain policy/benchmark inputs.</x:v>
      </x:c>
    </x:row>
    <x:row r="13">
      <x:c r="A13" s="49" t="str">
        <x:v>TN</x:v>
      </x:c>
      <x:c r="B13" s="44" t="str">
        <x:v>Tunisia</x:v>
      </x:c>
      <x:c r="C13" s="85" t="n">
        <x:f>SUMIFS('04_RUNTIME_SUMMARY'!$E$5:$E$161,'04_RUNTIME_SUMMARY'!$A$5:$A$161,A13,'04_RUNTIME_SUMMARY'!$C$5:$C$161,"demand",'04_RUNTIME_SUMMARY'!$D$5:$D$161,"TWh")</x:f>
        <x:v>43.333333333333336</x:v>
      </x:c>
      <x:c r="D13" s="85" t="n">
        <x:f>SUMIFS('04_RUNTIME_SUMMARY'!$F$5:$F$161,'04_RUNTIME_SUMMARY'!$A$5:$A$161,A13,'04_RUNTIME_SUMMARY'!$C$5:$C$161,"demand",'04_RUNTIME_SUMMARY'!$D$5:$D$161,"TWh")</x:f>
        <x:v>64.5</x:v>
      </x:c>
      <x:c r="E13" s="50" t="str">
        <x:v>BaC system-production proxy controls load; 2.4 GWh PHS working energy is a technical fill; later 18.3 GW SNBC RES aggregate remains QA only.</x:v>
      </x:c>
    </x:row>
    <x:row r="14">
      <x:c r="A14" s="51" t="str">
        <x:v>GR</x:v>
      </x:c>
      <x:c r="B14" s="52" t="str">
        <x:v>Greece</x:v>
      </x:c>
      <x:c r="C14" s="86" t="n">
        <x:f>SUMIFS('04_RUNTIME_SUMMARY'!$E$5:$E$161,'04_RUNTIME_SUMMARY'!$A$5:$A$161,A14,'04_RUNTIME_SUMMARY'!$C$5:$C$161,"demand",'04_RUNTIME_SUMMARY'!$D$5:$D$161,"TWh")</x:f>
        <x:v>85.9</x:v>
      </x:c>
      <x:c r="D14" s="86" t="n">
        <x:f>SUMIFS('04_RUNTIME_SUMMARY'!$F$5:$F$161,'04_RUNTIME_SUMMARY'!$A$5:$A$161,A14,'04_RUNTIME_SUMMARY'!$C$5:$C$161,"demand",'04_RUNTIME_SUMMARY'!$D$5:$D$161,"TWh")</x:f>
        <x:v>127.4</x:v>
      </x:c>
      <x:c r="E14" s="53" t="str">
        <x:v>Final NECP storage tables completed mechanically in ETX-7A. Demand excludes storage losses because storage is endogenous.</x:v>
      </x:c>
    </x:row>
    <x:row r="17" ht="21" customHeight="1">
      <x:c r="A17" s="72" t="str">
        <x:v>B. Storage power / energy matrix</x:v>
      </x:c>
      <x:c r="B17" s="72" t="str">
        <x:v>B. Storage power / energy matrix</x:v>
      </x:c>
      <x:c r="C17" s="72" t="str">
        <x:v>B. Storage power / energy matrix</x:v>
      </x:c>
      <x:c r="D17" s="72" t="str">
        <x:v>B. Storage power / energy matrix</x:v>
      </x:c>
      <x:c r="E17" s="72" t="str">
        <x:v>B. Storage power / energy matrix</x:v>
      </x:c>
      <x:c r="F17" s="72" t="str">
        <x:v>B. Storage power / energy matrix</x:v>
      </x:c>
      <x:c r="G17" s="72" t="str">
        <x:v>B. Storage power / energy matrix</x:v>
      </x:c>
      <x:c r="H17" s="72" t="str">
        <x:v>B. Storage power / energy matrix</x:v>
      </x:c>
    </x:row>
    <x:row r="18">
      <x:c r="A18" s="34" t="str">
        <x:v>Code</x:v>
      </x:c>
      <x:c r="B18" s="35" t="str">
        <x:v>Country</x:v>
      </x:c>
      <x:c r="C18" s="35" t="str">
        <x:v>Metric</x:v>
      </x:c>
      <x:c r="D18" s="35" t="str">
        <x:v>Unit</x:v>
      </x:c>
      <x:c r="E18" s="35" t="str">
        <x:v>2040</x:v>
      </x:c>
      <x:c r="F18" s="35" t="str">
        <x:v>2050</x:v>
      </x:c>
      <x:c r="G18" s="36" t="str">
        <x:v>Implementation note</x:v>
      </x:c>
    </x:row>
    <x:row r="19">
      <x:c r="A19" s="46" t="str">
        <x:v>FR</x:v>
      </x:c>
      <x:c r="B19" s="47" t="str">
        <x:v>France</x:v>
      </x:c>
      <x:c r="C19" s="47" t="str">
        <x:v>phs_discharge_power</x:v>
      </x:c>
      <x:c r="D19" s="47" t="str">
        <x:v>GW</x:v>
      </x:c>
      <x:c r="E19" s="148" t="n">
        <x:f>SUMIFS('04_RUNTIME_SUMMARY'!$E$5:$E$161,'04_RUNTIME_SUMMARY'!$A$5:$A$161,A19,'04_RUNTIME_SUMMARY'!$C$5:$C$161,C19,'04_RUNTIME_SUMMARY'!$D$5:$D$161,D19)</x:f>
        <x:v>7.3</x:v>
      </x:c>
      <x:c r="F19" s="148" t="n">
        <x:f>SUMIFS('04_RUNTIME_SUMMARY'!$F$5:$F$161,'04_RUNTIME_SUMMARY'!$A$5:$A$161,A19,'04_RUNTIME_SUMMARY'!$C$5:$C$161,C19,'04_RUNTIME_SUMMARY'!$D$5:$D$161,D19)</x:f>
        <x:v>8.5</x:v>
      </x:c>
      <x:c r="G19" s="48" t="str">
        <x:v>PHS discharge/turbine fixed MW; preserve source asymmetry.</x:v>
      </x:c>
    </x:row>
    <x:row r="20">
      <x:c r="A20" s="49" t="str">
        <x:v>FR</x:v>
      </x:c>
      <x:c r="B20" s="44" t="str">
        <x:v>France</x:v>
      </x:c>
      <x:c r="C20" s="44" t="str">
        <x:v>phs_charge_power</x:v>
      </x:c>
      <x:c r="D20" s="44" t="str">
        <x:v>GW</x:v>
      </x:c>
      <x:c r="E20" s="149" t="n">
        <x:f>SUMIFS('04_RUNTIME_SUMMARY'!$E$5:$E$161,'04_RUNTIME_SUMMARY'!$A$5:$A$161,A20,'04_RUNTIME_SUMMARY'!$C$5:$C$161,C20,'04_RUNTIME_SUMMARY'!$D$5:$D$161,D20)</x:f>
        <x:v>0</x:v>
      </x:c>
      <x:c r="F20" s="149" t="n">
        <x:f>SUMIFS('04_RUNTIME_SUMMARY'!$F$5:$F$161,'04_RUNTIME_SUMMARY'!$A$5:$A$161,A20,'04_RUNTIME_SUMMARY'!$C$5:$C$161,C20,'04_RUNTIME_SUMMARY'!$D$5:$D$161,D20)</x:f>
        <x:v>0</x:v>
      </x:c>
      <x:c r="G20" s="50" t="str">
        <x:v>PHS charge/pump fixed MW; only Greece uses explicit symmetric implementation mapping.</x:v>
      </x:c>
    </x:row>
    <x:row r="21">
      <x:c r="A21" s="49" t="str">
        <x:v>FR</x:v>
      </x:c>
      <x:c r="B21" s="44" t="str">
        <x:v>France</x:v>
      </x:c>
      <x:c r="C21" s="44" t="str">
        <x:v>phs_energy</x:v>
      </x:c>
      <x:c r="D21" s="44" t="str">
        <x:v>GWh</x:v>
      </x:c>
      <x:c r="E21" s="149" t="n">
        <x:f>SUMIFS('04_RUNTIME_SUMMARY'!$E$5:$E$161,'04_RUNTIME_SUMMARY'!$A$5:$A$161,A21,'04_RUNTIME_SUMMARY'!$C$5:$C$161,C21,'04_RUNTIME_SUMMARY'!$D$5:$D$161,D21)</x:f>
        <x:v>146</x:v>
      </x:c>
      <x:c r="F21" s="149" t="n">
        <x:f>SUMIFS('04_RUNTIME_SUMMARY'!$F$5:$F$161,'04_RUNTIME_SUMMARY'!$A$5:$A$161,A21,'04_RUNTIME_SUMMARY'!$C$5:$C$161,C21,'04_RUNTIME_SUMMARY'!$D$5:$D$161,D21)</x:f>
        <x:v>170</x:v>
      </x:c>
      <x:c r="G21" s="50" t="str">
        <x:v>PHS operational/nominal energy control; not reservoir chronology unless source says so.</x:v>
      </x:c>
    </x:row>
    <x:row r="22">
      <x:c r="A22" s="49" t="str">
        <x:v>FR</x:v>
      </x:c>
      <x:c r="B22" s="44" t="str">
        <x:v>France</x:v>
      </x:c>
      <x:c r="C22" s="44" t="str">
        <x:v>bess_grid_power</x:v>
      </x:c>
      <x:c r="D22" s="44" t="str">
        <x:v>GW</x:v>
      </x:c>
      <x:c r="E22" s="149" t="n">
        <x:f>SUMIFS('04_RUNTIME_SUMMARY'!$E$5:$E$161,'04_RUNTIME_SUMMARY'!$A$5:$A$161,A22,'04_RUNTIME_SUMMARY'!$C$5:$C$161,C22,'04_RUNTIME_SUMMARY'!$D$5:$D$161,D22)</x:f>
        <x:v>2.117702448210923</x:v>
      </x:c>
      <x:c r="F22" s="149" t="n">
        <x:f>SUMIFS('04_RUNTIME_SUMMARY'!$F$5:$F$161,'04_RUNTIME_SUMMARY'!$A$5:$A$161,A22,'04_RUNTIME_SUMMARY'!$C$5:$C$161,C22,'04_RUNTIME_SUMMARY'!$D$5:$D$161,D22)</x:f>
        <x:v>11.059322033898306</x:v>
      </x:c>
      <x:c r="G22" s="50" t="str">
        <x:v>Grid/utility battery power.</x:v>
      </x:c>
    </x:row>
    <x:row r="23">
      <x:c r="A23" s="49" t="str">
        <x:v>FR</x:v>
      </x:c>
      <x:c r="B23" s="44" t="str">
        <x:v>France</x:v>
      </x:c>
      <x:c r="C23" s="44" t="str">
        <x:v>bess_grid_energy</x:v>
      </x:c>
      <x:c r="D23" s="44" t="str">
        <x:v>GWh</x:v>
      </x:c>
      <x:c r="E23" s="149" t="n">
        <x:f>SUMIFS('04_RUNTIME_SUMMARY'!$E$5:$E$161,'04_RUNTIME_SUMMARY'!$A$5:$A$161,A23,'04_RUNTIME_SUMMARY'!$C$5:$C$161,C23,'04_RUNTIME_SUMMARY'!$D$5:$D$161,D23)</x:f>
        <x:v>8.470809792843692</x:v>
      </x:c>
      <x:c r="F23" s="149" t="n">
        <x:f>SUMIFS('04_RUNTIME_SUMMARY'!$F$5:$F$161,'04_RUNTIME_SUMMARY'!$A$5:$A$161,A23,'04_RUNTIME_SUMMARY'!$C$5:$C$161,C23,'04_RUNTIME_SUMMARY'!$D$5:$D$161,D23)</x:f>
        <x:v>44.237288135593225</x:v>
      </x:c>
      <x:c r="G23" s="50" t="str">
        <x:v>Grid/utility battery energy.</x:v>
      </x:c>
    </x:row>
    <x:row r="24">
      <x:c r="A24" s="49" t="str">
        <x:v>FR</x:v>
      </x:c>
      <x:c r="B24" s="44" t="str">
        <x:v>France</x:v>
      </x:c>
      <x:c r="C24" s="44" t="str">
        <x:v>bess_distributed_power</x:v>
      </x:c>
      <x:c r="D24" s="44" t="str">
        <x:v>GW</x:v>
      </x:c>
      <x:c r="E24" s="149" t="n">
        <x:f>SUMIFS('04_RUNTIME_SUMMARY'!$E$5:$E$161,'04_RUNTIME_SUMMARY'!$A$5:$A$161,A24,'04_RUNTIME_SUMMARY'!$C$5:$C$161,C24,'04_RUNTIME_SUMMARY'!$D$5:$D$161,D24)</x:f>
        <x:v>0</x:v>
      </x:c>
      <x:c r="F24" s="149" t="n">
        <x:f>SUMIFS('04_RUNTIME_SUMMARY'!$F$5:$F$161,'04_RUNTIME_SUMMARY'!$A$5:$A$161,A24,'04_RUNTIME_SUMMARY'!$C$5:$C$161,C24,'04_RUNTIME_SUMMARY'!$D$5:$D$161,D24)</x:f>
        <x:v>0</x:v>
      </x:c>
      <x:c r="G24" s="50" t="str">
        <x:v>Distributed/home/small battery power; availability may be constrained.</x:v>
      </x:c>
    </x:row>
    <x:row r="25">
      <x:c r="A25" s="49" t="str">
        <x:v>FR</x:v>
      </x:c>
      <x:c r="B25" s="44" t="str">
        <x:v>France</x:v>
      </x:c>
      <x:c r="C25" s="44" t="str">
        <x:v>bess_distributed_energy</x:v>
      </x:c>
      <x:c r="D25" s="44" t="str">
        <x:v>GWh</x:v>
      </x:c>
      <x:c r="E25" s="149" t="n">
        <x:f>SUMIFS('04_RUNTIME_SUMMARY'!$E$5:$E$161,'04_RUNTIME_SUMMARY'!$A$5:$A$161,A25,'04_RUNTIME_SUMMARY'!$C$5:$C$161,C25,'04_RUNTIME_SUMMARY'!$D$5:$D$161,D25)</x:f>
        <x:v>0</x:v>
      </x:c>
      <x:c r="F25" s="149" t="n">
        <x:f>SUMIFS('04_RUNTIME_SUMMARY'!$F$5:$F$161,'04_RUNTIME_SUMMARY'!$A$5:$A$161,A25,'04_RUNTIME_SUMMARY'!$C$5:$C$161,C25,'04_RUNTIME_SUMMARY'!$D$5:$D$161,D25)</x:f>
        <x:v>0</x:v>
      </x:c>
      <x:c r="G25" s="50" t="str">
        <x:v>Distributed/home/small battery energy.</x:v>
      </x:c>
    </x:row>
    <x:row r="26">
      <x:c r="A26" s="49" t="str">
        <x:v>CH</x:v>
      </x:c>
      <x:c r="B26" s="44" t="str">
        <x:v>Switzerland</x:v>
      </x:c>
      <x:c r="C26" s="44" t="str">
        <x:v>phs_discharge_power</x:v>
      </x:c>
      <x:c r="D26" s="44" t="str">
        <x:v>GW</x:v>
      </x:c>
      <x:c r="E26" s="149" t="n">
        <x:f>SUMIFS('04_RUNTIME_SUMMARY'!$E$5:$E$161,'04_RUNTIME_SUMMARY'!$A$5:$A$161,A26,'04_RUNTIME_SUMMARY'!$C$5:$C$161,C26,'04_RUNTIME_SUMMARY'!$D$5:$D$161,D26)</x:f>
        <x:v>6.02</x:v>
      </x:c>
      <x:c r="F26" s="149" t="n">
        <x:f>SUMIFS('04_RUNTIME_SUMMARY'!$F$5:$F$161,'04_RUNTIME_SUMMARY'!$A$5:$A$161,A26,'04_RUNTIME_SUMMARY'!$C$5:$C$161,C26,'04_RUNTIME_SUMMARY'!$D$5:$D$161,D26)</x:f>
        <x:v>6</x:v>
      </x:c>
      <x:c r="G26" s="50" t="str">
        <x:v>PHS discharge/turbine fixed MW; preserve source asymmetry.</x:v>
      </x:c>
    </x:row>
    <x:row r="27">
      <x:c r="A27" s="49" t="str">
        <x:v>CH</x:v>
      </x:c>
      <x:c r="B27" s="44" t="str">
        <x:v>Switzerland</x:v>
      </x:c>
      <x:c r="C27" s="44" t="str">
        <x:v>phs_charge_power</x:v>
      </x:c>
      <x:c r="D27" s="44" t="str">
        <x:v>GW</x:v>
      </x:c>
      <x:c r="E27" s="149" t="n">
        <x:f>SUMIFS('04_RUNTIME_SUMMARY'!$E$5:$E$161,'04_RUNTIME_SUMMARY'!$A$5:$A$161,A27,'04_RUNTIME_SUMMARY'!$C$5:$C$161,C27,'04_RUNTIME_SUMMARY'!$D$5:$D$161,D27)</x:f>
        <x:v>5.45</x:v>
      </x:c>
      <x:c r="F27" s="149" t="n">
        <x:f>SUMIFS('04_RUNTIME_SUMMARY'!$F$5:$F$161,'04_RUNTIME_SUMMARY'!$A$5:$A$161,A27,'04_RUNTIME_SUMMARY'!$C$5:$C$161,C27,'04_RUNTIME_SUMMARY'!$D$5:$D$161,D27)</x:f>
        <x:v>5.45</x:v>
      </x:c>
      <x:c r="G27" s="50" t="str">
        <x:v>PHS charge/pump fixed MW; only Greece uses explicit symmetric implementation mapping.</x:v>
      </x:c>
    </x:row>
    <x:row r="28">
      <x:c r="A28" s="49" t="str">
        <x:v>CH</x:v>
      </x:c>
      <x:c r="B28" s="44" t="str">
        <x:v>Switzerland</x:v>
      </x:c>
      <x:c r="C28" s="44" t="str">
        <x:v>phs_energy</x:v>
      </x:c>
      <x:c r="D28" s="44" t="str">
        <x:v>GWh</x:v>
      </x:c>
      <x:c r="E28" s="149" t="n">
        <x:f>SUMIFS('04_RUNTIME_SUMMARY'!$E$5:$E$161,'04_RUNTIME_SUMMARY'!$A$5:$A$161,A28,'04_RUNTIME_SUMMARY'!$C$5:$C$161,C28,'04_RUNTIME_SUMMARY'!$D$5:$D$161,D28)</x:f>
        <x:v>1410</x:v>
      </x:c>
      <x:c r="F28" s="149" t="n">
        <x:f>SUMIFS('04_RUNTIME_SUMMARY'!$F$5:$F$161,'04_RUNTIME_SUMMARY'!$A$5:$A$161,A28,'04_RUNTIME_SUMMARY'!$C$5:$C$161,C28,'04_RUNTIME_SUMMARY'!$D$5:$D$161,D28)</x:f>
        <x:v>1410</x:v>
      </x:c>
      <x:c r="G28" s="50" t="str">
        <x:v>PHS operational/nominal energy control; not reservoir chronology unless source says so.</x:v>
      </x:c>
    </x:row>
    <x:row r="29">
      <x:c r="A29" s="49" t="str">
        <x:v>CH</x:v>
      </x:c>
      <x:c r="B29" s="44" t="str">
        <x:v>Switzerland</x:v>
      </x:c>
      <x:c r="C29" s="44" t="str">
        <x:v>bess_grid_power</x:v>
      </x:c>
      <x:c r="D29" s="44" t="str">
        <x:v>GW</x:v>
      </x:c>
      <x:c r="E29" s="149" t="n">
        <x:f>SUMIFS('04_RUNTIME_SUMMARY'!$E$5:$E$161,'04_RUNTIME_SUMMARY'!$A$5:$A$161,A29,'04_RUNTIME_SUMMARY'!$C$5:$C$161,C29,'04_RUNTIME_SUMMARY'!$D$5:$D$161,D29)</x:f>
        <x:v>2.9427272727272724</x:v>
      </x:c>
      <x:c r="F29" s="149" t="n">
        <x:f>SUMIFS('04_RUNTIME_SUMMARY'!$F$5:$F$161,'04_RUNTIME_SUMMARY'!$A$5:$A$161,A29,'04_RUNTIME_SUMMARY'!$C$5:$C$161,C29,'04_RUNTIME_SUMMARY'!$D$5:$D$161,D29)</x:f>
        <x:v>3.2746478873239435</x:v>
      </x:c>
      <x:c r="G29" s="50" t="str">
        <x:v>Grid/utility battery power.</x:v>
      </x:c>
    </x:row>
    <x:row r="30">
      <x:c r="A30" s="49" t="str">
        <x:v>CH</x:v>
      </x:c>
      <x:c r="B30" s="44" t="str">
        <x:v>Switzerland</x:v>
      </x:c>
      <x:c r="C30" s="44" t="str">
        <x:v>bess_grid_energy</x:v>
      </x:c>
      <x:c r="D30" s="44" t="str">
        <x:v>GWh</x:v>
      </x:c>
      <x:c r="E30" s="149" t="n">
        <x:f>SUMIFS('04_RUNTIME_SUMMARY'!$E$5:$E$161,'04_RUNTIME_SUMMARY'!$A$5:$A$161,A30,'04_RUNTIME_SUMMARY'!$C$5:$C$161,C30,'04_RUNTIME_SUMMARY'!$D$5:$D$161,D30)</x:f>
        <x:v>15.14121212121212</x:v>
      </x:c>
      <x:c r="F30" s="149" t="n">
        <x:f>SUMIFS('04_RUNTIME_SUMMARY'!$F$5:$F$161,'04_RUNTIME_SUMMARY'!$A$5:$A$161,A30,'04_RUNTIME_SUMMARY'!$C$5:$C$161,C30,'04_RUNTIME_SUMMARY'!$D$5:$D$161,D30)</x:f>
        <x:v>16.267605633802816</x:v>
      </x:c>
      <x:c r="G30" s="50" t="str">
        <x:v>Grid/utility battery energy.</x:v>
      </x:c>
    </x:row>
    <x:row r="31">
      <x:c r="A31" s="49" t="str">
        <x:v>CH</x:v>
      </x:c>
      <x:c r="B31" s="44" t="str">
        <x:v>Switzerland</x:v>
      </x:c>
      <x:c r="C31" s="44" t="str">
        <x:v>bess_distributed_power</x:v>
      </x:c>
      <x:c r="D31" s="44" t="str">
        <x:v>GW</x:v>
      </x:c>
      <x:c r="E31" s="149" t="n">
        <x:f>SUMIFS('04_RUNTIME_SUMMARY'!$E$5:$E$161,'04_RUNTIME_SUMMARY'!$A$5:$A$161,A31,'04_RUNTIME_SUMMARY'!$C$5:$C$161,C31,'04_RUNTIME_SUMMARY'!$D$5:$D$161,D31)</x:f>
        <x:v>5.55</x:v>
      </x:c>
      <x:c r="F31" s="149" t="n">
        <x:f>SUMIFS('04_RUNTIME_SUMMARY'!$F$5:$F$161,'04_RUNTIME_SUMMARY'!$A$5:$A$161,A31,'04_RUNTIME_SUMMARY'!$C$5:$C$161,C31,'04_RUNTIME_SUMMARY'!$D$5:$D$161,D31)</x:f>
        <x:v>9</x:v>
      </x:c>
      <x:c r="G31" s="50" t="str">
        <x:v>Distributed/home/small battery power; availability may be constrained.</x:v>
      </x:c>
    </x:row>
    <x:row r="32">
      <x:c r="A32" s="49" t="str">
        <x:v>CH</x:v>
      </x:c>
      <x:c r="B32" s="44" t="str">
        <x:v>Switzerland</x:v>
      </x:c>
      <x:c r="C32" s="44" t="str">
        <x:v>bess_distributed_energy</x:v>
      </x:c>
      <x:c r="D32" s="44" t="str">
        <x:v>GWh</x:v>
      </x:c>
      <x:c r="E32" s="149" t="n">
        <x:f>SUMIFS('04_RUNTIME_SUMMARY'!$E$5:$E$161,'04_RUNTIME_SUMMARY'!$A$5:$A$161,A32,'04_RUNTIME_SUMMARY'!$C$5:$C$161,C32,'04_RUNTIME_SUMMARY'!$D$5:$D$161,D32)</x:f>
        <x:v>2.78</x:v>
      </x:c>
      <x:c r="F32" s="149" t="n">
        <x:f>SUMIFS('04_RUNTIME_SUMMARY'!$F$5:$F$161,'04_RUNTIME_SUMMARY'!$A$5:$A$161,A32,'04_RUNTIME_SUMMARY'!$C$5:$C$161,C32,'04_RUNTIME_SUMMARY'!$D$5:$D$161,D32)</x:f>
        <x:v>4.5</x:v>
      </x:c>
      <x:c r="G32" s="50" t="str">
        <x:v>Distributed/home/small battery energy.</x:v>
      </x:c>
    </x:row>
    <x:row r="33">
      <x:c r="A33" s="49" t="str">
        <x:v>AT</x:v>
      </x:c>
      <x:c r="B33" s="44" t="str">
        <x:v>Austria</x:v>
      </x:c>
      <x:c r="C33" s="44" t="str">
        <x:v>phs_discharge_power</x:v>
      </x:c>
      <x:c r="D33" s="44" t="str">
        <x:v>GW</x:v>
      </x:c>
      <x:c r="E33" s="149" t="n">
        <x:f>SUMIFS('04_RUNTIME_SUMMARY'!$E$5:$E$161,'04_RUNTIME_SUMMARY'!$A$5:$A$161,A33,'04_RUNTIME_SUMMARY'!$C$5:$C$161,C33,'04_RUNTIME_SUMMARY'!$D$5:$D$161,D33)</x:f>
        <x:v>7.443</x:v>
      </x:c>
      <x:c r="F33" s="149" t="n">
        <x:f>SUMIFS('04_RUNTIME_SUMMARY'!$F$5:$F$161,'04_RUNTIME_SUMMARY'!$A$5:$A$161,A33,'04_RUNTIME_SUMMARY'!$C$5:$C$161,C33,'04_RUNTIME_SUMMARY'!$D$5:$D$161,D33)</x:f>
        <x:v>7.443</x:v>
      </x:c>
      <x:c r="G33" s="50" t="str">
        <x:v>PHS discharge/turbine fixed MW; preserve source asymmetry.</x:v>
      </x:c>
    </x:row>
    <x:row r="34">
      <x:c r="A34" s="49" t="str">
        <x:v>AT</x:v>
      </x:c>
      <x:c r="B34" s="44" t="str">
        <x:v>Austria</x:v>
      </x:c>
      <x:c r="C34" s="44" t="str">
        <x:v>phs_charge_power</x:v>
      </x:c>
      <x:c r="D34" s="44" t="str">
        <x:v>GW</x:v>
      </x:c>
      <x:c r="E34" s="149" t="n">
        <x:f>SUMIFS('04_RUNTIME_SUMMARY'!$E$5:$E$161,'04_RUNTIME_SUMMARY'!$A$5:$A$161,A34,'04_RUNTIME_SUMMARY'!$C$5:$C$161,C34,'04_RUNTIME_SUMMARY'!$D$5:$D$161,D34)</x:f>
        <x:v>6.59</x:v>
      </x:c>
      <x:c r="F34" s="149" t="n">
        <x:f>SUMIFS('04_RUNTIME_SUMMARY'!$F$5:$F$161,'04_RUNTIME_SUMMARY'!$A$5:$A$161,A34,'04_RUNTIME_SUMMARY'!$C$5:$C$161,C34,'04_RUNTIME_SUMMARY'!$D$5:$D$161,D34)</x:f>
        <x:v>6.59</x:v>
      </x:c>
      <x:c r="G34" s="50" t="str">
        <x:v>PHS charge/pump fixed MW; only Greece uses explicit symmetric implementation mapping.</x:v>
      </x:c>
    </x:row>
    <x:row r="35">
      <x:c r="A35" s="49" t="str">
        <x:v>AT</x:v>
      </x:c>
      <x:c r="B35" s="44" t="str">
        <x:v>Austria</x:v>
      </x:c>
      <x:c r="C35" s="44" t="str">
        <x:v>phs_energy</x:v>
      </x:c>
      <x:c r="D35" s="44" t="str">
        <x:v>GWh</x:v>
      </x:c>
      <x:c r="E35" s="149" t="n">
        <x:f>SUMIFS('04_RUNTIME_SUMMARY'!$E$5:$E$161,'04_RUNTIME_SUMMARY'!$A$5:$A$161,A35,'04_RUNTIME_SUMMARY'!$C$5:$C$161,C35,'04_RUNTIME_SUMMARY'!$D$5:$D$161,D35)</x:f>
        <x:v>223.23152671089383</x:v>
      </x:c>
      <x:c r="F35" s="149" t="n">
        <x:f>SUMIFS('04_RUNTIME_SUMMARY'!$F$5:$F$161,'04_RUNTIME_SUMMARY'!$A$5:$A$161,A35,'04_RUNTIME_SUMMARY'!$C$5:$C$161,C35,'04_RUNTIME_SUMMARY'!$D$5:$D$161,D35)</x:f>
        <x:v>223.23152671089383</x:v>
      </x:c>
      <x:c r="G35" s="50" t="str">
        <x:v>PHS operational/nominal energy control; not reservoir chronology unless source says so.</x:v>
      </x:c>
    </x:row>
    <x:row r="36">
      <x:c r="A36" s="49" t="str">
        <x:v>AT</x:v>
      </x:c>
      <x:c r="B36" s="44" t="str">
        <x:v>Austria</x:v>
      </x:c>
      <x:c r="C36" s="44" t="str">
        <x:v>bess_grid_power</x:v>
      </x:c>
      <x:c r="D36" s="44" t="str">
        <x:v>GW</x:v>
      </x:c>
      <x:c r="E36" s="149" t="n">
        <x:f>SUMIFS('04_RUNTIME_SUMMARY'!$E$5:$E$161,'04_RUNTIME_SUMMARY'!$A$5:$A$161,A36,'04_RUNTIME_SUMMARY'!$C$5:$C$161,C36,'04_RUNTIME_SUMMARY'!$D$5:$D$161,D36)</x:f>
        <x:v>1.9646341463414634</x:v>
      </x:c>
      <x:c r="F36" s="149" t="n">
        <x:f>SUMIFS('04_RUNTIME_SUMMARY'!$F$5:$F$161,'04_RUNTIME_SUMMARY'!$A$5:$A$161,A36,'04_RUNTIME_SUMMARY'!$C$5:$C$161,C36,'04_RUNTIME_SUMMARY'!$D$5:$D$161,D36)</x:f>
        <x:v>2.2920731707317072</x:v>
      </x:c>
      <x:c r="G36" s="50" t="str">
        <x:v>Grid/utility battery power.</x:v>
      </x:c>
    </x:row>
    <x:row r="37">
      <x:c r="A37" s="49" t="str">
        <x:v>AT</x:v>
      </x:c>
      <x:c r="B37" s="44" t="str">
        <x:v>Austria</x:v>
      </x:c>
      <x:c r="C37" s="44" t="str">
        <x:v>bess_grid_energy</x:v>
      </x:c>
      <x:c r="D37" s="44" t="str">
        <x:v>GWh</x:v>
      </x:c>
      <x:c r="E37" s="149" t="n">
        <x:f>SUMIFS('04_RUNTIME_SUMMARY'!$E$5:$E$161,'04_RUNTIME_SUMMARY'!$A$5:$A$161,A37,'04_RUNTIME_SUMMARY'!$C$5:$C$161,C37,'04_RUNTIME_SUMMARY'!$D$5:$D$161,D37)</x:f>
        <x:v>3.9292682926829268</x:v>
      </x:c>
      <x:c r="F37" s="149" t="n">
        <x:f>SUMIFS('04_RUNTIME_SUMMARY'!$F$5:$F$161,'04_RUNTIME_SUMMARY'!$A$5:$A$161,A37,'04_RUNTIME_SUMMARY'!$C$5:$C$161,C37,'04_RUNTIME_SUMMARY'!$D$5:$D$161,D37)</x:f>
        <x:v>4.5841463414634145</x:v>
      </x:c>
      <x:c r="G37" s="50" t="str">
        <x:v>Grid/utility battery energy.</x:v>
      </x:c>
    </x:row>
    <x:row r="38">
      <x:c r="A38" s="49" t="str">
        <x:v>AT</x:v>
      </x:c>
      <x:c r="B38" s="44" t="str">
        <x:v>Austria</x:v>
      </x:c>
      <x:c r="C38" s="44" t="str">
        <x:v>bess_distributed_power</x:v>
      </x:c>
      <x:c r="D38" s="44" t="str">
        <x:v>GW</x:v>
      </x:c>
      <x:c r="E38" s="149" t="n">
        <x:f>SUMIFS('04_RUNTIME_SUMMARY'!$E$5:$E$161,'04_RUNTIME_SUMMARY'!$A$5:$A$161,A38,'04_RUNTIME_SUMMARY'!$C$5:$C$161,C38,'04_RUNTIME_SUMMARY'!$D$5:$D$161,D38)</x:f>
        <x:v>4.390243902439025</x:v>
      </x:c>
      <x:c r="F38" s="149" t="n">
        <x:f>SUMIFS('04_RUNTIME_SUMMARY'!$F$5:$F$161,'04_RUNTIME_SUMMARY'!$A$5:$A$161,A38,'04_RUNTIME_SUMMARY'!$C$5:$C$161,C38,'04_RUNTIME_SUMMARY'!$D$5:$D$161,D38)</x:f>
        <x:v>5.121951219512196</x:v>
      </x:c>
      <x:c r="G38" s="50" t="str">
        <x:v>Distributed/home/small battery power; availability may be constrained.</x:v>
      </x:c>
    </x:row>
    <x:row r="39">
      <x:c r="A39" s="49" t="str">
        <x:v>AT</x:v>
      </x:c>
      <x:c r="B39" s="44" t="str">
        <x:v>Austria</x:v>
      </x:c>
      <x:c r="C39" s="44" t="str">
        <x:v>bess_distributed_energy</x:v>
      </x:c>
      <x:c r="D39" s="44" t="str">
        <x:v>GWh</x:v>
      </x:c>
      <x:c r="E39" s="149" t="n">
        <x:f>SUMIFS('04_RUNTIME_SUMMARY'!$E$5:$E$161,'04_RUNTIME_SUMMARY'!$A$5:$A$161,A39,'04_RUNTIME_SUMMARY'!$C$5:$C$161,C39,'04_RUNTIME_SUMMARY'!$D$5:$D$161,D39)</x:f>
        <x:v>8.78048780487805</x:v>
      </x:c>
      <x:c r="F39" s="149" t="n">
        <x:f>SUMIFS('04_RUNTIME_SUMMARY'!$F$5:$F$161,'04_RUNTIME_SUMMARY'!$A$5:$A$161,A39,'04_RUNTIME_SUMMARY'!$C$5:$C$161,C39,'04_RUNTIME_SUMMARY'!$D$5:$D$161,D39)</x:f>
        <x:v>10.243902439024392</x:v>
      </x:c>
      <x:c r="G39" s="50" t="str">
        <x:v>Distributed/home/small battery energy.</x:v>
      </x:c>
    </x:row>
    <x:row r="40">
      <x:c r="A40" s="49" t="str">
        <x:v>SI</x:v>
      </x:c>
      <x:c r="B40" s="44" t="str">
        <x:v>Slovenia</x:v>
      </x:c>
      <x:c r="C40" s="44" t="str">
        <x:v>phs_discharge_power</x:v>
      </x:c>
      <x:c r="D40" s="44" t="str">
        <x:v>GW</x:v>
      </x:c>
      <x:c r="E40" s="149" t="n">
        <x:f>SUMIFS('04_RUNTIME_SUMMARY'!$E$5:$E$161,'04_RUNTIME_SUMMARY'!$A$5:$A$161,A40,'04_RUNTIME_SUMMARY'!$C$5:$C$161,C40,'04_RUNTIME_SUMMARY'!$D$5:$D$161,D40)</x:f>
        <x:v>0.625</x:v>
      </x:c>
      <x:c r="F40" s="149" t="n">
        <x:f>SUMIFS('04_RUNTIME_SUMMARY'!$F$5:$F$161,'04_RUNTIME_SUMMARY'!$A$5:$A$161,A40,'04_RUNTIME_SUMMARY'!$C$5:$C$161,C40,'04_RUNTIME_SUMMARY'!$D$5:$D$161,D40)</x:f>
        <x:v>0.8049999999999999</x:v>
      </x:c>
      <x:c r="G40" s="50" t="str">
        <x:v>PHS discharge/turbine fixed MW; preserve source asymmetry.</x:v>
      </x:c>
    </x:row>
    <x:row r="41">
      <x:c r="A41" s="49" t="str">
        <x:v>SI</x:v>
      </x:c>
      <x:c r="B41" s="44" t="str">
        <x:v>Slovenia</x:v>
      </x:c>
      <x:c r="C41" s="44" t="str">
        <x:v>phs_charge_power</x:v>
      </x:c>
      <x:c r="D41" s="44" t="str">
        <x:v>GW</x:v>
      </x:c>
      <x:c r="E41" s="149" t="n">
        <x:f>SUMIFS('04_RUNTIME_SUMMARY'!$E$5:$E$161,'04_RUNTIME_SUMMARY'!$A$5:$A$161,A41,'04_RUNTIME_SUMMARY'!$C$5:$C$161,C41,'04_RUNTIME_SUMMARY'!$D$5:$D$161,D41)</x:f>
        <x:v>0.62</x:v>
      </x:c>
      <x:c r="F41" s="149" t="n">
        <x:f>SUMIFS('04_RUNTIME_SUMMARY'!$F$5:$F$161,'04_RUNTIME_SUMMARY'!$A$5:$A$161,A41,'04_RUNTIME_SUMMARY'!$C$5:$C$161,C41,'04_RUNTIME_SUMMARY'!$D$5:$D$161,D41)</x:f>
        <x:v>0.8</x:v>
      </x:c>
      <x:c r="G41" s="50" t="str">
        <x:v>PHS charge/pump fixed MW; only Greece uses explicit symmetric implementation mapping.</x:v>
      </x:c>
    </x:row>
    <x:row r="42">
      <x:c r="A42" s="49" t="str">
        <x:v>SI</x:v>
      </x:c>
      <x:c r="B42" s="44" t="str">
        <x:v>Slovenia</x:v>
      </x:c>
      <x:c r="C42" s="44" t="str">
        <x:v>phs_energy</x:v>
      </x:c>
      <x:c r="D42" s="44" t="str">
        <x:v>GWh</x:v>
      </x:c>
      <x:c r="E42" s="149" t="n">
        <x:f>SUMIFS('04_RUNTIME_SUMMARY'!$E$5:$E$161,'04_RUNTIME_SUMMARY'!$A$5:$A$161,A42,'04_RUNTIME_SUMMARY'!$C$5:$C$161,C42,'04_RUNTIME_SUMMARY'!$D$5:$D$161,D42)</x:f>
        <x:v>8.8508</x:v>
      </x:c>
      <x:c r="F42" s="149" t="n">
        <x:f>SUMIFS('04_RUNTIME_SUMMARY'!$F$5:$F$161,'04_RUNTIME_SUMMARY'!$A$5:$A$161,A42,'04_RUNTIME_SUMMARY'!$C$5:$C$161,C42,'04_RUNTIME_SUMMARY'!$D$5:$D$161,D42)</x:f>
        <x:v>11.193829318181818</x:v>
      </x:c>
      <x:c r="G42" s="50" t="str">
        <x:v>PHS operational/nominal energy control; not reservoir chronology unless source says so.</x:v>
      </x:c>
    </x:row>
    <x:row r="43">
      <x:c r="A43" s="49" t="str">
        <x:v>SI</x:v>
      </x:c>
      <x:c r="B43" s="44" t="str">
        <x:v>Slovenia</x:v>
      </x:c>
      <x:c r="C43" s="44" t="str">
        <x:v>bess_grid_power</x:v>
      </x:c>
      <x:c r="D43" s="44" t="str">
        <x:v>GW</x:v>
      </x:c>
      <x:c r="E43" s="149" t="n">
        <x:f>SUMIFS('04_RUNTIME_SUMMARY'!$E$5:$E$161,'04_RUNTIME_SUMMARY'!$A$5:$A$161,A43,'04_RUNTIME_SUMMARY'!$C$5:$C$161,C43,'04_RUNTIME_SUMMARY'!$D$5:$D$161,D43)</x:f>
        <x:v>1</x:v>
      </x:c>
      <x:c r="F43" s="149" t="n">
        <x:f>SUMIFS('04_RUNTIME_SUMMARY'!$F$5:$F$161,'04_RUNTIME_SUMMARY'!$A$5:$A$161,A43,'04_RUNTIME_SUMMARY'!$C$5:$C$161,C43,'04_RUNTIME_SUMMARY'!$D$5:$D$161,D43)</x:f>
        <x:v>1.2</x:v>
      </x:c>
      <x:c r="G43" s="50" t="str">
        <x:v>Grid/utility battery power.</x:v>
      </x:c>
    </x:row>
    <x:row r="44">
      <x:c r="A44" s="49" t="str">
        <x:v>SI</x:v>
      </x:c>
      <x:c r="B44" s="44" t="str">
        <x:v>Slovenia</x:v>
      </x:c>
      <x:c r="C44" s="44" t="str">
        <x:v>bess_grid_energy</x:v>
      </x:c>
      <x:c r="D44" s="44" t="str">
        <x:v>GWh</x:v>
      </x:c>
      <x:c r="E44" s="149" t="n">
        <x:f>SUMIFS('04_RUNTIME_SUMMARY'!$E$5:$E$161,'04_RUNTIME_SUMMARY'!$A$5:$A$161,A44,'04_RUNTIME_SUMMARY'!$C$5:$C$161,C44,'04_RUNTIME_SUMMARY'!$D$5:$D$161,D44)</x:f>
        <x:v>2.5</x:v>
      </x:c>
      <x:c r="F44" s="149" t="n">
        <x:f>SUMIFS('04_RUNTIME_SUMMARY'!$F$5:$F$161,'04_RUNTIME_SUMMARY'!$A$5:$A$161,A44,'04_RUNTIME_SUMMARY'!$C$5:$C$161,C44,'04_RUNTIME_SUMMARY'!$D$5:$D$161,D44)</x:f>
        <x:v>3.6</x:v>
      </x:c>
      <x:c r="G44" s="50" t="str">
        <x:v>Grid/utility battery energy.</x:v>
      </x:c>
    </x:row>
    <x:row r="45">
      <x:c r="A45" s="49" t="str">
        <x:v>SI</x:v>
      </x:c>
      <x:c r="B45" s="44" t="str">
        <x:v>Slovenia</x:v>
      </x:c>
      <x:c r="C45" s="44" t="str">
        <x:v>bess_distributed_power</x:v>
      </x:c>
      <x:c r="D45" s="44" t="str">
        <x:v>GW</x:v>
      </x:c>
      <x:c r="E45" s="149" t="n">
        <x:f>SUMIFS('04_RUNTIME_SUMMARY'!$E$5:$E$161,'04_RUNTIME_SUMMARY'!$A$5:$A$161,A45,'04_RUNTIME_SUMMARY'!$C$5:$C$161,C45,'04_RUNTIME_SUMMARY'!$D$5:$D$161,D45)</x:f>
        <x:v>0</x:v>
      </x:c>
      <x:c r="F45" s="149" t="n">
        <x:f>SUMIFS('04_RUNTIME_SUMMARY'!$F$5:$F$161,'04_RUNTIME_SUMMARY'!$A$5:$A$161,A45,'04_RUNTIME_SUMMARY'!$C$5:$C$161,C45,'04_RUNTIME_SUMMARY'!$D$5:$D$161,D45)</x:f>
        <x:v>0</x:v>
      </x:c>
      <x:c r="G45" s="50" t="str">
        <x:v>Distributed/home/small battery power; availability may be constrained.</x:v>
      </x:c>
    </x:row>
    <x:row r="46">
      <x:c r="A46" s="49" t="str">
        <x:v>SI</x:v>
      </x:c>
      <x:c r="B46" s="44" t="str">
        <x:v>Slovenia</x:v>
      </x:c>
      <x:c r="C46" s="44" t="str">
        <x:v>bess_distributed_energy</x:v>
      </x:c>
      <x:c r="D46" s="44" t="str">
        <x:v>GWh</x:v>
      </x:c>
      <x:c r="E46" s="149" t="n">
        <x:f>SUMIFS('04_RUNTIME_SUMMARY'!$E$5:$E$161,'04_RUNTIME_SUMMARY'!$A$5:$A$161,A46,'04_RUNTIME_SUMMARY'!$C$5:$C$161,C46,'04_RUNTIME_SUMMARY'!$D$5:$D$161,D46)</x:f>
        <x:v>0</x:v>
      </x:c>
      <x:c r="F46" s="149" t="n">
        <x:f>SUMIFS('04_RUNTIME_SUMMARY'!$F$5:$F$161,'04_RUNTIME_SUMMARY'!$A$5:$A$161,A46,'04_RUNTIME_SUMMARY'!$C$5:$C$161,C46,'04_RUNTIME_SUMMARY'!$D$5:$D$161,D46)</x:f>
        <x:v>0</x:v>
      </x:c>
      <x:c r="G46" s="50" t="str">
        <x:v>Distributed/home/small battery energy.</x:v>
      </x:c>
    </x:row>
    <x:row r="47">
      <x:c r="A47" s="49" t="str">
        <x:v>HR</x:v>
      </x:c>
      <x:c r="B47" s="44" t="str">
        <x:v>Croatia</x:v>
      </x:c>
      <x:c r="C47" s="44" t="str">
        <x:v>phs_discharge_power</x:v>
      </x:c>
      <x:c r="D47" s="44" t="str">
        <x:v>GW</x:v>
      </x:c>
      <x:c r="E47" s="149" t="n">
        <x:f>SUMIFS('04_RUNTIME_SUMMARY'!$E$5:$E$161,'04_RUNTIME_SUMMARY'!$A$5:$A$161,A47,'04_RUNTIME_SUMMARY'!$C$5:$C$161,C47,'04_RUNTIME_SUMMARY'!$D$5:$D$161,D47)</x:f>
        <x:v>0.42000000000000004</x:v>
      </x:c>
      <x:c r="F47" s="149" t="n">
        <x:f>SUMIFS('04_RUNTIME_SUMMARY'!$F$5:$F$161,'04_RUNTIME_SUMMARY'!$A$5:$A$161,A47,'04_RUNTIME_SUMMARY'!$C$5:$C$161,C47,'04_RUNTIME_SUMMARY'!$D$5:$D$161,D47)</x:f>
        <x:v>0.42000000000000004</x:v>
      </x:c>
      <x:c r="G47" s="50" t="str">
        <x:v>PHS discharge/turbine fixed MW; preserve source asymmetry.</x:v>
      </x:c>
    </x:row>
    <x:row r="48">
      <x:c r="A48" s="49" t="str">
        <x:v>HR</x:v>
      </x:c>
      <x:c r="B48" s="44" t="str">
        <x:v>Croatia</x:v>
      </x:c>
      <x:c r="C48" s="44" t="str">
        <x:v>phs_charge_power</x:v>
      </x:c>
      <x:c r="D48" s="44" t="str">
        <x:v>GW</x:v>
      </x:c>
      <x:c r="E48" s="149" t="n">
        <x:f>SUMIFS('04_RUNTIME_SUMMARY'!$E$5:$E$161,'04_RUNTIME_SUMMARY'!$A$5:$A$161,A48,'04_RUNTIME_SUMMARY'!$C$5:$C$161,C48,'04_RUNTIME_SUMMARY'!$D$5:$D$161,D48)</x:f>
        <x:v>0.39</x:v>
      </x:c>
      <x:c r="F48" s="149" t="n">
        <x:f>SUMIFS('04_RUNTIME_SUMMARY'!$F$5:$F$161,'04_RUNTIME_SUMMARY'!$A$5:$A$161,A48,'04_RUNTIME_SUMMARY'!$C$5:$C$161,C48,'04_RUNTIME_SUMMARY'!$D$5:$D$161,D48)</x:f>
        <x:v>0.39</x:v>
      </x:c>
      <x:c r="G48" s="50" t="str">
        <x:v>PHS charge/pump fixed MW; only Greece uses explicit symmetric implementation mapping.</x:v>
      </x:c>
    </x:row>
    <x:row r="49">
      <x:c r="A49" s="49" t="str">
        <x:v>HR</x:v>
      </x:c>
      <x:c r="B49" s="44" t="str">
        <x:v>Croatia</x:v>
      </x:c>
      <x:c r="C49" s="44" t="str">
        <x:v>phs_energy</x:v>
      </x:c>
      <x:c r="D49" s="44" t="str">
        <x:v>GWh</x:v>
      </x:c>
      <x:c r="E49" s="149" t="n">
        <x:f>SUMIFS('04_RUNTIME_SUMMARY'!$E$5:$E$161,'04_RUNTIME_SUMMARY'!$A$5:$A$161,A49,'04_RUNTIME_SUMMARY'!$C$5:$C$161,C49,'04_RUNTIME_SUMMARY'!$D$5:$D$161,D49)</x:f>
        <x:v>4.17761575</x:v>
      </x:c>
      <x:c r="F49" s="149" t="n">
        <x:f>SUMIFS('04_RUNTIME_SUMMARY'!$F$5:$F$161,'04_RUNTIME_SUMMARY'!$A$5:$A$161,A49,'04_RUNTIME_SUMMARY'!$C$5:$C$161,C49,'04_RUNTIME_SUMMARY'!$D$5:$D$161,D49)</x:f>
        <x:v>4.17761575</x:v>
      </x:c>
      <x:c r="G49" s="50" t="str">
        <x:v>PHS operational/nominal energy control; not reservoir chronology unless source says so.</x:v>
      </x:c>
    </x:row>
    <x:row r="50">
      <x:c r="A50" s="49" t="str">
        <x:v>HR</x:v>
      </x:c>
      <x:c r="B50" s="44" t="str">
        <x:v>Croatia</x:v>
      </x:c>
      <x:c r="C50" s="44" t="str">
        <x:v>bess_grid_power</x:v>
      </x:c>
      <x:c r="D50" s="44" t="str">
        <x:v>GW</x:v>
      </x:c>
      <x:c r="E50" s="149" t="n">
        <x:f>SUMIFS('04_RUNTIME_SUMMARY'!$E$5:$E$161,'04_RUNTIME_SUMMARY'!$A$5:$A$161,A50,'04_RUNTIME_SUMMARY'!$C$5:$C$161,C50,'04_RUNTIME_SUMMARY'!$D$5:$D$161,D50)</x:f>
        <x:v>0.5449663561076604</x:v>
      </x:c>
      <x:c r="F50" s="149" t="n">
        <x:f>SUMIFS('04_RUNTIME_SUMMARY'!$F$5:$F$161,'04_RUNTIME_SUMMARY'!$A$5:$A$161,A50,'04_RUNTIME_SUMMARY'!$C$5:$C$161,C50,'04_RUNTIME_SUMMARY'!$D$5:$D$161,D50)</x:f>
        <x:v>0.738366156090445</x:v>
      </x:c>
      <x:c r="G50" s="50" t="str">
        <x:v>Grid/utility battery power.</x:v>
      </x:c>
    </x:row>
    <x:row r="51">
      <x:c r="A51" s="49" t="str">
        <x:v>HR</x:v>
      </x:c>
      <x:c r="B51" s="44" t="str">
        <x:v>Croatia</x:v>
      </x:c>
      <x:c r="C51" s="44" t="str">
        <x:v>bess_grid_energy</x:v>
      </x:c>
      <x:c r="D51" s="44" t="str">
        <x:v>GWh</x:v>
      </x:c>
      <x:c r="E51" s="149" t="n">
        <x:f>SUMIFS('04_RUNTIME_SUMMARY'!$E$5:$E$161,'04_RUNTIME_SUMMARY'!$A$5:$A$161,A51,'04_RUNTIME_SUMMARY'!$C$5:$C$161,C51,'04_RUNTIME_SUMMARY'!$D$5:$D$161,D51)</x:f>
        <x:v>2.1798654244306417</x:v>
      </x:c>
      <x:c r="F51" s="149" t="n">
        <x:f>SUMIFS('04_RUNTIME_SUMMARY'!$F$5:$F$161,'04_RUNTIME_SUMMARY'!$A$5:$A$161,A51,'04_RUNTIME_SUMMARY'!$C$5:$C$161,C51,'04_RUNTIME_SUMMARY'!$D$5:$D$161,D51)</x:f>
        <x:v>2.95346462436178</x:v>
      </x:c>
      <x:c r="G51" s="50" t="str">
        <x:v>Grid/utility battery energy.</x:v>
      </x:c>
    </x:row>
    <x:row r="52">
      <x:c r="A52" s="49" t="str">
        <x:v>HR</x:v>
      </x:c>
      <x:c r="B52" s="44" t="str">
        <x:v>Croatia</x:v>
      </x:c>
      <x:c r="C52" s="44" t="str">
        <x:v>bess_distributed_power</x:v>
      </x:c>
      <x:c r="D52" s="44" t="str">
        <x:v>GW</x:v>
      </x:c>
      <x:c r="E52" s="149" t="n">
        <x:f>SUMIFS('04_RUNTIME_SUMMARY'!$E$5:$E$161,'04_RUNTIME_SUMMARY'!$A$5:$A$161,A52,'04_RUNTIME_SUMMARY'!$C$5:$C$161,C52,'04_RUNTIME_SUMMARY'!$D$5:$D$161,D52)</x:f>
        <x:v>0</x:v>
      </x:c>
      <x:c r="F52" s="149" t="n">
        <x:f>SUMIFS('04_RUNTIME_SUMMARY'!$F$5:$F$161,'04_RUNTIME_SUMMARY'!$A$5:$A$161,A52,'04_RUNTIME_SUMMARY'!$C$5:$C$161,C52,'04_RUNTIME_SUMMARY'!$D$5:$D$161,D52)</x:f>
        <x:v>0</x:v>
      </x:c>
      <x:c r="G52" s="50" t="str">
        <x:v>Distributed/home/small battery power; availability may be constrained.</x:v>
      </x:c>
    </x:row>
    <x:row r="53">
      <x:c r="A53" s="49" t="str">
        <x:v>HR</x:v>
      </x:c>
      <x:c r="B53" s="44" t="str">
        <x:v>Croatia</x:v>
      </x:c>
      <x:c r="C53" s="44" t="str">
        <x:v>bess_distributed_energy</x:v>
      </x:c>
      <x:c r="D53" s="44" t="str">
        <x:v>GWh</x:v>
      </x:c>
      <x:c r="E53" s="149" t="n">
        <x:f>SUMIFS('04_RUNTIME_SUMMARY'!$E$5:$E$161,'04_RUNTIME_SUMMARY'!$A$5:$A$161,A53,'04_RUNTIME_SUMMARY'!$C$5:$C$161,C53,'04_RUNTIME_SUMMARY'!$D$5:$D$161,D53)</x:f>
        <x:v>0</x:v>
      </x:c>
      <x:c r="F53" s="149" t="n">
        <x:f>SUMIFS('04_RUNTIME_SUMMARY'!$F$5:$F$161,'04_RUNTIME_SUMMARY'!$A$5:$A$161,A53,'04_RUNTIME_SUMMARY'!$C$5:$C$161,C53,'04_RUNTIME_SUMMARY'!$D$5:$D$161,D53)</x:f>
        <x:v>0</x:v>
      </x:c>
      <x:c r="G53" s="50" t="str">
        <x:v>Distributed/home/small battery energy.</x:v>
      </x:c>
    </x:row>
    <x:row r="54">
      <x:c r="A54" s="49" t="str">
        <x:v>ME</x:v>
      </x:c>
      <x:c r="B54" s="44" t="str">
        <x:v>Montenegro</x:v>
      </x:c>
      <x:c r="C54" s="44" t="str">
        <x:v>phs_discharge_power</x:v>
      </x:c>
      <x:c r="D54" s="44" t="str">
        <x:v>GW</x:v>
      </x:c>
      <x:c r="E54" s="149" t="n">
        <x:f>SUMIFS('04_RUNTIME_SUMMARY'!$E$5:$E$161,'04_RUNTIME_SUMMARY'!$A$5:$A$161,A54,'04_RUNTIME_SUMMARY'!$C$5:$C$161,C54,'04_RUNTIME_SUMMARY'!$D$5:$D$161,D54)</x:f>
        <x:v>0</x:v>
      </x:c>
      <x:c r="F54" s="149" t="n">
        <x:f>SUMIFS('04_RUNTIME_SUMMARY'!$F$5:$F$161,'04_RUNTIME_SUMMARY'!$A$5:$A$161,A54,'04_RUNTIME_SUMMARY'!$C$5:$C$161,C54,'04_RUNTIME_SUMMARY'!$D$5:$D$161,D54)</x:f>
        <x:v>0</x:v>
      </x:c>
      <x:c r="G54" s="50" t="str">
        <x:v>PHS discharge/turbine fixed MW; preserve source asymmetry.</x:v>
      </x:c>
    </x:row>
    <x:row r="55">
      <x:c r="A55" s="49" t="str">
        <x:v>ME</x:v>
      </x:c>
      <x:c r="B55" s="44" t="str">
        <x:v>Montenegro</x:v>
      </x:c>
      <x:c r="C55" s="44" t="str">
        <x:v>phs_charge_power</x:v>
      </x:c>
      <x:c r="D55" s="44" t="str">
        <x:v>GW</x:v>
      </x:c>
      <x:c r="E55" s="149" t="n">
        <x:f>SUMIFS('04_RUNTIME_SUMMARY'!$E$5:$E$161,'04_RUNTIME_SUMMARY'!$A$5:$A$161,A55,'04_RUNTIME_SUMMARY'!$C$5:$C$161,C55,'04_RUNTIME_SUMMARY'!$D$5:$D$161,D55)</x:f>
        <x:v>0</x:v>
      </x:c>
      <x:c r="F55" s="149" t="n">
        <x:f>SUMIFS('04_RUNTIME_SUMMARY'!$F$5:$F$161,'04_RUNTIME_SUMMARY'!$A$5:$A$161,A55,'04_RUNTIME_SUMMARY'!$C$5:$C$161,C55,'04_RUNTIME_SUMMARY'!$D$5:$D$161,D55)</x:f>
        <x:v>0</x:v>
      </x:c>
      <x:c r="G55" s="50" t="str">
        <x:v>PHS charge/pump fixed MW; only Greece uses explicit symmetric implementation mapping.</x:v>
      </x:c>
    </x:row>
    <x:row r="56">
      <x:c r="A56" s="49" t="str">
        <x:v>ME</x:v>
      </x:c>
      <x:c r="B56" s="44" t="str">
        <x:v>Montenegro</x:v>
      </x:c>
      <x:c r="C56" s="44" t="str">
        <x:v>phs_energy</x:v>
      </x:c>
      <x:c r="D56" s="44" t="str">
        <x:v>GWh</x:v>
      </x:c>
      <x:c r="E56" s="149" t="n">
        <x:f>SUMIFS('04_RUNTIME_SUMMARY'!$E$5:$E$161,'04_RUNTIME_SUMMARY'!$A$5:$A$161,A56,'04_RUNTIME_SUMMARY'!$C$5:$C$161,C56,'04_RUNTIME_SUMMARY'!$D$5:$D$161,D56)</x:f>
        <x:v>0</x:v>
      </x:c>
      <x:c r="F56" s="149" t="n">
        <x:f>SUMIFS('04_RUNTIME_SUMMARY'!$F$5:$F$161,'04_RUNTIME_SUMMARY'!$A$5:$A$161,A56,'04_RUNTIME_SUMMARY'!$C$5:$C$161,C56,'04_RUNTIME_SUMMARY'!$D$5:$D$161,D56)</x:f>
        <x:v>0</x:v>
      </x:c>
      <x:c r="G56" s="50" t="str">
        <x:v>PHS operational/nominal energy control; not reservoir chronology unless source says so.</x:v>
      </x:c>
    </x:row>
    <x:row r="57">
      <x:c r="A57" s="49" t="str">
        <x:v>ME</x:v>
      </x:c>
      <x:c r="B57" s="44" t="str">
        <x:v>Montenegro</x:v>
      </x:c>
      <x:c r="C57" s="44" t="str">
        <x:v>bess_grid_power</x:v>
      </x:c>
      <x:c r="D57" s="44" t="str">
        <x:v>GW</x:v>
      </x:c>
      <x:c r="E57" s="149" t="n">
        <x:f>SUMIFS('04_RUNTIME_SUMMARY'!$E$5:$E$161,'04_RUNTIME_SUMMARY'!$A$5:$A$161,A57,'04_RUNTIME_SUMMARY'!$C$5:$C$161,C57,'04_RUNTIME_SUMMARY'!$D$5:$D$161,D57)</x:f>
        <x:v>0.24</x:v>
      </x:c>
      <x:c r="F57" s="149" t="n">
        <x:f>SUMIFS('04_RUNTIME_SUMMARY'!$F$5:$F$161,'04_RUNTIME_SUMMARY'!$A$5:$A$161,A57,'04_RUNTIME_SUMMARY'!$C$5:$C$161,C57,'04_RUNTIME_SUMMARY'!$D$5:$D$161,D57)</x:f>
        <x:v>0.24</x:v>
      </x:c>
      <x:c r="G57" s="50" t="str">
        <x:v>Grid/utility battery power.</x:v>
      </x:c>
    </x:row>
    <x:row r="58">
      <x:c r="A58" s="49" t="str">
        <x:v>ME</x:v>
      </x:c>
      <x:c r="B58" s="44" t="str">
        <x:v>Montenegro</x:v>
      </x:c>
      <x:c r="C58" s="44" t="str">
        <x:v>bess_grid_energy</x:v>
      </x:c>
      <x:c r="D58" s="44" t="str">
        <x:v>GWh</x:v>
      </x:c>
      <x:c r="E58" s="149" t="n">
        <x:f>SUMIFS('04_RUNTIME_SUMMARY'!$E$5:$E$161,'04_RUNTIME_SUMMARY'!$A$5:$A$161,A58,'04_RUNTIME_SUMMARY'!$C$5:$C$161,C58,'04_RUNTIME_SUMMARY'!$D$5:$D$161,D58)</x:f>
        <x:v>0.24</x:v>
      </x:c>
      <x:c r="F58" s="149" t="n">
        <x:f>SUMIFS('04_RUNTIME_SUMMARY'!$F$5:$F$161,'04_RUNTIME_SUMMARY'!$A$5:$A$161,A58,'04_RUNTIME_SUMMARY'!$C$5:$C$161,C58,'04_RUNTIME_SUMMARY'!$D$5:$D$161,D58)</x:f>
        <x:v>0.24</x:v>
      </x:c>
      <x:c r="G58" s="50" t="str">
        <x:v>Grid/utility battery energy.</x:v>
      </x:c>
    </x:row>
    <x:row r="59">
      <x:c r="A59" s="49" t="str">
        <x:v>ME</x:v>
      </x:c>
      <x:c r="B59" s="44" t="str">
        <x:v>Montenegro</x:v>
      </x:c>
      <x:c r="C59" s="44" t="str">
        <x:v>bess_distributed_power</x:v>
      </x:c>
      <x:c r="D59" s="44" t="str">
        <x:v>GW</x:v>
      </x:c>
      <x:c r="E59" s="149" t="n">
        <x:f>SUMIFS('04_RUNTIME_SUMMARY'!$E$5:$E$161,'04_RUNTIME_SUMMARY'!$A$5:$A$161,A59,'04_RUNTIME_SUMMARY'!$C$5:$C$161,C59,'04_RUNTIME_SUMMARY'!$D$5:$D$161,D59)</x:f>
        <x:v>0</x:v>
      </x:c>
      <x:c r="F59" s="149" t="n">
        <x:f>SUMIFS('04_RUNTIME_SUMMARY'!$F$5:$F$161,'04_RUNTIME_SUMMARY'!$A$5:$A$161,A59,'04_RUNTIME_SUMMARY'!$C$5:$C$161,C59,'04_RUNTIME_SUMMARY'!$D$5:$D$161,D59)</x:f>
        <x:v>0</x:v>
      </x:c>
      <x:c r="G59" s="50" t="str">
        <x:v>Distributed/home/small battery power; availability may be constrained.</x:v>
      </x:c>
    </x:row>
    <x:row r="60">
      <x:c r="A60" s="49" t="str">
        <x:v>ME</x:v>
      </x:c>
      <x:c r="B60" s="44" t="str">
        <x:v>Montenegro</x:v>
      </x:c>
      <x:c r="C60" s="44" t="str">
        <x:v>bess_distributed_energy</x:v>
      </x:c>
      <x:c r="D60" s="44" t="str">
        <x:v>GWh</x:v>
      </x:c>
      <x:c r="E60" s="149" t="n">
        <x:f>SUMIFS('04_RUNTIME_SUMMARY'!$E$5:$E$161,'04_RUNTIME_SUMMARY'!$A$5:$A$161,A60,'04_RUNTIME_SUMMARY'!$C$5:$C$161,C60,'04_RUNTIME_SUMMARY'!$D$5:$D$161,D60)</x:f>
        <x:v>0</x:v>
      </x:c>
      <x:c r="F60" s="149" t="n">
        <x:f>SUMIFS('04_RUNTIME_SUMMARY'!$F$5:$F$161,'04_RUNTIME_SUMMARY'!$A$5:$A$161,A60,'04_RUNTIME_SUMMARY'!$C$5:$C$161,C60,'04_RUNTIME_SUMMARY'!$D$5:$D$161,D60)</x:f>
        <x:v>0</x:v>
      </x:c>
      <x:c r="G60" s="50" t="str">
        <x:v>Distributed/home/small battery energy.</x:v>
      </x:c>
    </x:row>
    <x:row r="61">
      <x:c r="A61" s="49" t="str">
        <x:v>MT</x:v>
      </x:c>
      <x:c r="B61" s="44" t="str">
        <x:v>Malta</x:v>
      </x:c>
      <x:c r="C61" s="44" t="str">
        <x:v>phs_discharge_power</x:v>
      </x:c>
      <x:c r="D61" s="44" t="str">
        <x:v>GW</x:v>
      </x:c>
      <x:c r="E61" s="149" t="n">
        <x:f>SUMIFS('04_RUNTIME_SUMMARY'!$E$5:$E$161,'04_RUNTIME_SUMMARY'!$A$5:$A$161,A61,'04_RUNTIME_SUMMARY'!$C$5:$C$161,C61,'04_RUNTIME_SUMMARY'!$D$5:$D$161,D61)</x:f>
        <x:v>0</x:v>
      </x:c>
      <x:c r="F61" s="149" t="n">
        <x:f>SUMIFS('04_RUNTIME_SUMMARY'!$F$5:$F$161,'04_RUNTIME_SUMMARY'!$A$5:$A$161,A61,'04_RUNTIME_SUMMARY'!$C$5:$C$161,C61,'04_RUNTIME_SUMMARY'!$D$5:$D$161,D61)</x:f>
        <x:v>0</x:v>
      </x:c>
      <x:c r="G61" s="50" t="str">
        <x:v>PHS discharge/turbine fixed MW; preserve source asymmetry.</x:v>
      </x:c>
    </x:row>
    <x:row r="62">
      <x:c r="A62" s="49" t="str">
        <x:v>MT</x:v>
      </x:c>
      <x:c r="B62" s="44" t="str">
        <x:v>Malta</x:v>
      </x:c>
      <x:c r="C62" s="44" t="str">
        <x:v>phs_charge_power</x:v>
      </x:c>
      <x:c r="D62" s="44" t="str">
        <x:v>GW</x:v>
      </x:c>
      <x:c r="E62" s="149" t="n">
        <x:f>SUMIFS('04_RUNTIME_SUMMARY'!$E$5:$E$161,'04_RUNTIME_SUMMARY'!$A$5:$A$161,A62,'04_RUNTIME_SUMMARY'!$C$5:$C$161,C62,'04_RUNTIME_SUMMARY'!$D$5:$D$161,D62)</x:f>
        <x:v>0</x:v>
      </x:c>
      <x:c r="F62" s="149" t="n">
        <x:f>SUMIFS('04_RUNTIME_SUMMARY'!$F$5:$F$161,'04_RUNTIME_SUMMARY'!$A$5:$A$161,A62,'04_RUNTIME_SUMMARY'!$C$5:$C$161,C62,'04_RUNTIME_SUMMARY'!$D$5:$D$161,D62)</x:f>
        <x:v>0</x:v>
      </x:c>
      <x:c r="G62" s="50" t="str">
        <x:v>PHS charge/pump fixed MW; only Greece uses explicit symmetric implementation mapping.</x:v>
      </x:c>
    </x:row>
    <x:row r="63">
      <x:c r="A63" s="49" t="str">
        <x:v>MT</x:v>
      </x:c>
      <x:c r="B63" s="44" t="str">
        <x:v>Malta</x:v>
      </x:c>
      <x:c r="C63" s="44" t="str">
        <x:v>phs_energy</x:v>
      </x:c>
      <x:c r="D63" s="44" t="str">
        <x:v>GWh</x:v>
      </x:c>
      <x:c r="E63" s="149" t="n">
        <x:f>SUMIFS('04_RUNTIME_SUMMARY'!$E$5:$E$161,'04_RUNTIME_SUMMARY'!$A$5:$A$161,A63,'04_RUNTIME_SUMMARY'!$C$5:$C$161,C63,'04_RUNTIME_SUMMARY'!$D$5:$D$161,D63)</x:f>
        <x:v>0</x:v>
      </x:c>
      <x:c r="F63" s="149" t="n">
        <x:f>SUMIFS('04_RUNTIME_SUMMARY'!$F$5:$F$161,'04_RUNTIME_SUMMARY'!$A$5:$A$161,A63,'04_RUNTIME_SUMMARY'!$C$5:$C$161,C63,'04_RUNTIME_SUMMARY'!$D$5:$D$161,D63)</x:f>
        <x:v>0</x:v>
      </x:c>
      <x:c r="G63" s="50" t="str">
        <x:v>PHS operational/nominal energy control; not reservoir chronology unless source says so.</x:v>
      </x:c>
    </x:row>
    <x:row r="64">
      <x:c r="A64" s="49" t="str">
        <x:v>MT</x:v>
      </x:c>
      <x:c r="B64" s="44" t="str">
        <x:v>Malta</x:v>
      </x:c>
      <x:c r="C64" s="44" t="str">
        <x:v>bess_grid_power</x:v>
      </x:c>
      <x:c r="D64" s="44" t="str">
        <x:v>GW</x:v>
      </x:c>
      <x:c r="E64" s="149" t="n">
        <x:f>SUMIFS('04_RUNTIME_SUMMARY'!$E$5:$E$161,'04_RUNTIME_SUMMARY'!$A$5:$A$161,A64,'04_RUNTIME_SUMMARY'!$C$5:$C$161,C64,'04_RUNTIME_SUMMARY'!$D$5:$D$161,D64)</x:f>
        <x:v>0.04</x:v>
      </x:c>
      <x:c r="F64" s="149" t="n">
        <x:f>SUMIFS('04_RUNTIME_SUMMARY'!$F$5:$F$161,'04_RUNTIME_SUMMARY'!$A$5:$A$161,A64,'04_RUNTIME_SUMMARY'!$C$5:$C$161,C64,'04_RUNTIME_SUMMARY'!$D$5:$D$161,D64)</x:f>
        <x:v>0.04</x:v>
      </x:c>
      <x:c r="G64" s="50" t="str">
        <x:v>Grid/utility battery power.</x:v>
      </x:c>
    </x:row>
    <x:row r="65">
      <x:c r="A65" s="49" t="str">
        <x:v>MT</x:v>
      </x:c>
      <x:c r="B65" s="44" t="str">
        <x:v>Malta</x:v>
      </x:c>
      <x:c r="C65" s="44" t="str">
        <x:v>bess_grid_energy</x:v>
      </x:c>
      <x:c r="D65" s="44" t="str">
        <x:v>GWh</x:v>
      </x:c>
      <x:c r="E65" s="149" t="n">
        <x:f>SUMIFS('04_RUNTIME_SUMMARY'!$E$5:$E$161,'04_RUNTIME_SUMMARY'!$A$5:$A$161,A65,'04_RUNTIME_SUMMARY'!$C$5:$C$161,C65,'04_RUNTIME_SUMMARY'!$D$5:$D$161,D65)</x:f>
        <x:v>0.084</x:v>
      </x:c>
      <x:c r="F65" s="149" t="n">
        <x:f>SUMIFS('04_RUNTIME_SUMMARY'!$F$5:$F$161,'04_RUNTIME_SUMMARY'!$A$5:$A$161,A65,'04_RUNTIME_SUMMARY'!$C$5:$C$161,C65,'04_RUNTIME_SUMMARY'!$D$5:$D$161,D65)</x:f>
        <x:v>0.084</x:v>
      </x:c>
      <x:c r="G65" s="50" t="str">
        <x:v>Grid/utility battery energy.</x:v>
      </x:c>
    </x:row>
    <x:row r="66">
      <x:c r="A66" s="49" t="str">
        <x:v>MT</x:v>
      </x:c>
      <x:c r="B66" s="44" t="str">
        <x:v>Malta</x:v>
      </x:c>
      <x:c r="C66" s="44" t="str">
        <x:v>bess_distributed_power</x:v>
      </x:c>
      <x:c r="D66" s="44" t="str">
        <x:v>GW</x:v>
      </x:c>
      <x:c r="E66" s="149" t="n">
        <x:f>SUMIFS('04_RUNTIME_SUMMARY'!$E$5:$E$161,'04_RUNTIME_SUMMARY'!$A$5:$A$161,A66,'04_RUNTIME_SUMMARY'!$C$5:$C$161,C66,'04_RUNTIME_SUMMARY'!$D$5:$D$161,D66)</x:f>
        <x:v>0</x:v>
      </x:c>
      <x:c r="F66" s="149" t="n">
        <x:f>SUMIFS('04_RUNTIME_SUMMARY'!$F$5:$F$161,'04_RUNTIME_SUMMARY'!$A$5:$A$161,A66,'04_RUNTIME_SUMMARY'!$C$5:$C$161,C66,'04_RUNTIME_SUMMARY'!$D$5:$D$161,D66)</x:f>
        <x:v>0</x:v>
      </x:c>
      <x:c r="G66" s="50" t="str">
        <x:v>Distributed/home/small battery power; availability may be constrained.</x:v>
      </x:c>
    </x:row>
    <x:row r="67">
      <x:c r="A67" s="49" t="str">
        <x:v>MT</x:v>
      </x:c>
      <x:c r="B67" s="44" t="str">
        <x:v>Malta</x:v>
      </x:c>
      <x:c r="C67" s="44" t="str">
        <x:v>bess_distributed_energy</x:v>
      </x:c>
      <x:c r="D67" s="44" t="str">
        <x:v>GWh</x:v>
      </x:c>
      <x:c r="E67" s="149" t="n">
        <x:f>SUMIFS('04_RUNTIME_SUMMARY'!$E$5:$E$161,'04_RUNTIME_SUMMARY'!$A$5:$A$161,A67,'04_RUNTIME_SUMMARY'!$C$5:$C$161,C67,'04_RUNTIME_SUMMARY'!$D$5:$D$161,D67)</x:f>
        <x:v>0</x:v>
      </x:c>
      <x:c r="F67" s="149" t="n">
        <x:f>SUMIFS('04_RUNTIME_SUMMARY'!$F$5:$F$161,'04_RUNTIME_SUMMARY'!$A$5:$A$161,A67,'04_RUNTIME_SUMMARY'!$C$5:$C$161,C67,'04_RUNTIME_SUMMARY'!$D$5:$D$161,D67)</x:f>
        <x:v>0</x:v>
      </x:c>
      <x:c r="G67" s="50" t="str">
        <x:v>Distributed/home/small battery energy.</x:v>
      </x:c>
    </x:row>
    <x:row r="68">
      <x:c r="A68" s="49" t="str">
        <x:v>TN</x:v>
      </x:c>
      <x:c r="B68" s="44" t="str">
        <x:v>Tunisia</x:v>
      </x:c>
      <x:c r="C68" s="44" t="str">
        <x:v>phs_discharge_power</x:v>
      </x:c>
      <x:c r="D68" s="44" t="str">
        <x:v>GW</x:v>
      </x:c>
      <x:c r="E68" s="149" t="n">
        <x:f>SUMIFS('04_RUNTIME_SUMMARY'!$E$5:$E$161,'04_RUNTIME_SUMMARY'!$A$5:$A$161,A68,'04_RUNTIME_SUMMARY'!$C$5:$C$161,C68,'04_RUNTIME_SUMMARY'!$D$5:$D$161,D68)</x:f>
        <x:v>0.4</x:v>
      </x:c>
      <x:c r="F68" s="149" t="n">
        <x:f>SUMIFS('04_RUNTIME_SUMMARY'!$F$5:$F$161,'04_RUNTIME_SUMMARY'!$A$5:$A$161,A68,'04_RUNTIME_SUMMARY'!$C$5:$C$161,C68,'04_RUNTIME_SUMMARY'!$D$5:$D$161,D68)</x:f>
        <x:v>0.4</x:v>
      </x:c>
      <x:c r="G68" s="50" t="str">
        <x:v>PHS discharge/turbine fixed MW; preserve source asymmetry.</x:v>
      </x:c>
    </x:row>
    <x:row r="69">
      <x:c r="A69" s="49" t="str">
        <x:v>TN</x:v>
      </x:c>
      <x:c r="B69" s="44" t="str">
        <x:v>Tunisia</x:v>
      </x:c>
      <x:c r="C69" s="44" t="str">
        <x:v>phs_charge_power</x:v>
      </x:c>
      <x:c r="D69" s="44" t="str">
        <x:v>GW</x:v>
      </x:c>
      <x:c r="E69" s="149" t="n">
        <x:f>SUMIFS('04_RUNTIME_SUMMARY'!$E$5:$E$161,'04_RUNTIME_SUMMARY'!$A$5:$A$161,A69,'04_RUNTIME_SUMMARY'!$C$5:$C$161,C69,'04_RUNTIME_SUMMARY'!$D$5:$D$161,D69)</x:f>
        <x:v>0.4</x:v>
      </x:c>
      <x:c r="F69" s="149" t="n">
        <x:f>SUMIFS('04_RUNTIME_SUMMARY'!$F$5:$F$161,'04_RUNTIME_SUMMARY'!$A$5:$A$161,A69,'04_RUNTIME_SUMMARY'!$C$5:$C$161,C69,'04_RUNTIME_SUMMARY'!$D$5:$D$161,D69)</x:f>
        <x:v>0.4</x:v>
      </x:c>
      <x:c r="G69" s="50" t="str">
        <x:v>PHS charge/pump fixed MW; only Greece uses explicit symmetric implementation mapping.</x:v>
      </x:c>
    </x:row>
    <x:row r="70">
      <x:c r="A70" s="49" t="str">
        <x:v>TN</x:v>
      </x:c>
      <x:c r="B70" s="44" t="str">
        <x:v>Tunisia</x:v>
      </x:c>
      <x:c r="C70" s="44" t="str">
        <x:v>phs_energy</x:v>
      </x:c>
      <x:c r="D70" s="44" t="str">
        <x:v>GWh</x:v>
      </x:c>
      <x:c r="E70" s="149" t="n">
        <x:f>SUMIFS('04_RUNTIME_SUMMARY'!$E$5:$E$161,'04_RUNTIME_SUMMARY'!$A$5:$A$161,A70,'04_RUNTIME_SUMMARY'!$C$5:$C$161,C70,'04_RUNTIME_SUMMARY'!$D$5:$D$161,D70)</x:f>
        <x:v>2.4</x:v>
      </x:c>
      <x:c r="F70" s="149" t="n">
        <x:f>SUMIFS('04_RUNTIME_SUMMARY'!$F$5:$F$161,'04_RUNTIME_SUMMARY'!$A$5:$A$161,A70,'04_RUNTIME_SUMMARY'!$C$5:$C$161,C70,'04_RUNTIME_SUMMARY'!$D$5:$D$161,D70)</x:f>
        <x:v>2.4</x:v>
      </x:c>
      <x:c r="G70" s="50" t="str">
        <x:v>PHS operational/nominal energy control; not reservoir chronology unless source says so.</x:v>
      </x:c>
    </x:row>
    <x:row r="71">
      <x:c r="A71" s="49" t="str">
        <x:v>TN</x:v>
      </x:c>
      <x:c r="B71" s="44" t="str">
        <x:v>Tunisia</x:v>
      </x:c>
      <x:c r="C71" s="44" t="str">
        <x:v>bess_grid_power</x:v>
      </x:c>
      <x:c r="D71" s="44" t="str">
        <x:v>GW</x:v>
      </x:c>
      <x:c r="E71" s="149" t="n">
        <x:f>SUMIFS('04_RUNTIME_SUMMARY'!$E$5:$E$161,'04_RUNTIME_SUMMARY'!$A$5:$A$161,A71,'04_RUNTIME_SUMMARY'!$C$5:$C$161,C71,'04_RUNTIME_SUMMARY'!$D$5:$D$161,D71)</x:f>
        <x:v>0.45</x:v>
      </x:c>
      <x:c r="F71" s="149" t="n">
        <x:f>SUMIFS('04_RUNTIME_SUMMARY'!$F$5:$F$161,'04_RUNTIME_SUMMARY'!$A$5:$A$161,A71,'04_RUNTIME_SUMMARY'!$C$5:$C$161,C71,'04_RUNTIME_SUMMARY'!$D$5:$D$161,D71)</x:f>
        <x:v>0.45</x:v>
      </x:c>
      <x:c r="G71" s="50" t="str">
        <x:v>Grid/utility battery power.</x:v>
      </x:c>
    </x:row>
    <x:row r="72">
      <x:c r="A72" s="49" t="str">
        <x:v>TN</x:v>
      </x:c>
      <x:c r="B72" s="44" t="str">
        <x:v>Tunisia</x:v>
      </x:c>
      <x:c r="C72" s="44" t="str">
        <x:v>bess_grid_energy</x:v>
      </x:c>
      <x:c r="D72" s="44" t="str">
        <x:v>GWh</x:v>
      </x:c>
      <x:c r="E72" s="149" t="n">
        <x:f>SUMIFS('04_RUNTIME_SUMMARY'!$E$5:$E$161,'04_RUNTIME_SUMMARY'!$A$5:$A$161,A72,'04_RUNTIME_SUMMARY'!$C$5:$C$161,C72,'04_RUNTIME_SUMMARY'!$D$5:$D$161,D72)</x:f>
        <x:v>1.14</x:v>
      </x:c>
      <x:c r="F72" s="149" t="n">
        <x:f>SUMIFS('04_RUNTIME_SUMMARY'!$F$5:$F$161,'04_RUNTIME_SUMMARY'!$A$5:$A$161,A72,'04_RUNTIME_SUMMARY'!$C$5:$C$161,C72,'04_RUNTIME_SUMMARY'!$D$5:$D$161,D72)</x:f>
        <x:v>1.14</x:v>
      </x:c>
      <x:c r="G72" s="50" t="str">
        <x:v>Grid/utility battery energy.</x:v>
      </x:c>
    </x:row>
    <x:row r="73">
      <x:c r="A73" s="49" t="str">
        <x:v>TN</x:v>
      </x:c>
      <x:c r="B73" s="44" t="str">
        <x:v>Tunisia</x:v>
      </x:c>
      <x:c r="C73" s="44" t="str">
        <x:v>bess_distributed_power</x:v>
      </x:c>
      <x:c r="D73" s="44" t="str">
        <x:v>GW</x:v>
      </x:c>
      <x:c r="E73" s="149" t="n">
        <x:f>SUMIFS('04_RUNTIME_SUMMARY'!$E$5:$E$161,'04_RUNTIME_SUMMARY'!$A$5:$A$161,A73,'04_RUNTIME_SUMMARY'!$C$5:$C$161,C73,'04_RUNTIME_SUMMARY'!$D$5:$D$161,D73)</x:f>
        <x:v>0</x:v>
      </x:c>
      <x:c r="F73" s="149" t="n">
        <x:f>SUMIFS('04_RUNTIME_SUMMARY'!$F$5:$F$161,'04_RUNTIME_SUMMARY'!$A$5:$A$161,A73,'04_RUNTIME_SUMMARY'!$C$5:$C$161,C73,'04_RUNTIME_SUMMARY'!$D$5:$D$161,D73)</x:f>
        <x:v>0</x:v>
      </x:c>
      <x:c r="G73" s="50" t="str">
        <x:v>Distributed/home/small battery power; availability may be constrained.</x:v>
      </x:c>
    </x:row>
    <x:row r="74">
      <x:c r="A74" s="49" t="str">
        <x:v>TN</x:v>
      </x:c>
      <x:c r="B74" s="44" t="str">
        <x:v>Tunisia</x:v>
      </x:c>
      <x:c r="C74" s="44" t="str">
        <x:v>bess_distributed_energy</x:v>
      </x:c>
      <x:c r="D74" s="44" t="str">
        <x:v>GWh</x:v>
      </x:c>
      <x:c r="E74" s="149" t="n">
        <x:f>SUMIFS('04_RUNTIME_SUMMARY'!$E$5:$E$161,'04_RUNTIME_SUMMARY'!$A$5:$A$161,A74,'04_RUNTIME_SUMMARY'!$C$5:$C$161,C74,'04_RUNTIME_SUMMARY'!$D$5:$D$161,D74)</x:f>
        <x:v>0</x:v>
      </x:c>
      <x:c r="F74" s="149" t="n">
        <x:f>SUMIFS('04_RUNTIME_SUMMARY'!$F$5:$F$161,'04_RUNTIME_SUMMARY'!$A$5:$A$161,A74,'04_RUNTIME_SUMMARY'!$C$5:$C$161,C74,'04_RUNTIME_SUMMARY'!$D$5:$D$161,D74)</x:f>
        <x:v>0</x:v>
      </x:c>
      <x:c r="G74" s="50" t="str">
        <x:v>Distributed/home/small battery energy.</x:v>
      </x:c>
    </x:row>
    <x:row r="75">
      <x:c r="A75" s="49" t="str">
        <x:v>GR</x:v>
      </x:c>
      <x:c r="B75" s="44" t="str">
        <x:v>Greece</x:v>
      </x:c>
      <x:c r="C75" s="44" t="str">
        <x:v>phs_discharge_power</x:v>
      </x:c>
      <x:c r="D75" s="44" t="str">
        <x:v>GW</x:v>
      </x:c>
      <x:c r="E75" s="149" t="n">
        <x:f>SUMIFS('04_RUNTIME_SUMMARY'!$E$5:$E$161,'04_RUNTIME_SUMMARY'!$A$5:$A$161,A75,'04_RUNTIME_SUMMARY'!$C$5:$C$161,C75,'04_RUNTIME_SUMMARY'!$D$5:$D$161,D75)</x:f>
        <x:v>4.464</x:v>
      </x:c>
      <x:c r="F75" s="149" t="n">
        <x:f>SUMIFS('04_RUNTIME_SUMMARY'!$F$5:$F$161,'04_RUNTIME_SUMMARY'!$A$5:$A$161,A75,'04_RUNTIME_SUMMARY'!$C$5:$C$161,C75,'04_RUNTIME_SUMMARY'!$D$5:$D$161,D75)</x:f>
        <x:v>5.453</x:v>
      </x:c>
      <x:c r="G75" s="50" t="str">
        <x:v>PHS discharge/turbine fixed MW; preserve source asymmetry.</x:v>
      </x:c>
    </x:row>
    <x:row r="76">
      <x:c r="A76" s="49" t="str">
        <x:v>GR</x:v>
      </x:c>
      <x:c r="B76" s="44" t="str">
        <x:v>Greece</x:v>
      </x:c>
      <x:c r="C76" s="44" t="str">
        <x:v>phs_charge_power</x:v>
      </x:c>
      <x:c r="D76" s="44" t="str">
        <x:v>GW</x:v>
      </x:c>
      <x:c r="E76" s="149" t="n">
        <x:f>SUMIFS('04_RUNTIME_SUMMARY'!$E$5:$E$161,'04_RUNTIME_SUMMARY'!$A$5:$A$161,A76,'04_RUNTIME_SUMMARY'!$C$5:$C$161,C76,'04_RUNTIME_SUMMARY'!$D$5:$D$161,D76)</x:f>
        <x:v>4.464</x:v>
      </x:c>
      <x:c r="F76" s="149" t="n">
        <x:f>SUMIFS('04_RUNTIME_SUMMARY'!$F$5:$F$161,'04_RUNTIME_SUMMARY'!$A$5:$A$161,A76,'04_RUNTIME_SUMMARY'!$C$5:$C$161,C76,'04_RUNTIME_SUMMARY'!$D$5:$D$161,D76)</x:f>
        <x:v>5.453</x:v>
      </x:c>
      <x:c r="G76" s="50" t="str">
        <x:v>PHS charge/pump fixed MW; only Greece uses explicit symmetric implementation mapping.</x:v>
      </x:c>
    </x:row>
    <x:row r="77">
      <x:c r="A77" s="49" t="str">
        <x:v>GR</x:v>
      </x:c>
      <x:c r="B77" s="44" t="str">
        <x:v>Greece</x:v>
      </x:c>
      <x:c r="C77" s="44" t="str">
        <x:v>phs_energy</x:v>
      </x:c>
      <x:c r="D77" s="44" t="str">
        <x:v>GWh</x:v>
      </x:c>
      <x:c r="E77" s="149" t="n">
        <x:f>SUMIFS('04_RUNTIME_SUMMARY'!$E$5:$E$161,'04_RUNTIME_SUMMARY'!$A$5:$A$161,A77,'04_RUNTIME_SUMMARY'!$C$5:$C$161,C77,'04_RUNTIME_SUMMARY'!$D$5:$D$161,D77)</x:f>
        <x:v>52.484</x:v>
      </x:c>
      <x:c r="F77" s="149" t="n">
        <x:f>SUMIFS('04_RUNTIME_SUMMARY'!$F$5:$F$161,'04_RUNTIME_SUMMARY'!$A$5:$A$161,A77,'04_RUNTIME_SUMMARY'!$C$5:$C$161,C77,'04_RUNTIME_SUMMARY'!$D$5:$D$161,D77)</x:f>
        <x:v>66.781</x:v>
      </x:c>
      <x:c r="G77" s="50" t="str">
        <x:v>PHS operational/nominal energy control; not reservoir chronology unless source says so.</x:v>
      </x:c>
    </x:row>
    <x:row r="78">
      <x:c r="A78" s="49" t="str">
        <x:v>GR</x:v>
      </x:c>
      <x:c r="B78" s="44" t="str">
        <x:v>Greece</x:v>
      </x:c>
      <x:c r="C78" s="44" t="str">
        <x:v>bess_grid_power</x:v>
      </x:c>
      <x:c r="D78" s="44" t="str">
        <x:v>GW</x:v>
      </x:c>
      <x:c r="E78" s="149" t="n">
        <x:f>SUMIFS('04_RUNTIME_SUMMARY'!$E$5:$E$161,'04_RUNTIME_SUMMARY'!$A$5:$A$161,A78,'04_RUNTIME_SUMMARY'!$C$5:$C$161,C78,'04_RUNTIME_SUMMARY'!$D$5:$D$161,D78)</x:f>
        <x:v>8.725</x:v>
      </x:c>
      <x:c r="F78" s="149" t="n">
        <x:f>SUMIFS('04_RUNTIME_SUMMARY'!$F$5:$F$161,'04_RUNTIME_SUMMARY'!$A$5:$A$161,A78,'04_RUNTIME_SUMMARY'!$C$5:$C$161,C78,'04_RUNTIME_SUMMARY'!$D$5:$D$161,D78)</x:f>
        <x:v>12.025</x:v>
      </x:c>
      <x:c r="G78" s="50" t="str">
        <x:v>Grid/utility battery power.</x:v>
      </x:c>
    </x:row>
    <x:row r="79">
      <x:c r="A79" s="49" t="str">
        <x:v>GR</x:v>
      </x:c>
      <x:c r="B79" s="44" t="str">
        <x:v>Greece</x:v>
      </x:c>
      <x:c r="C79" s="44" t="str">
        <x:v>bess_grid_energy</x:v>
      </x:c>
      <x:c r="D79" s="44" t="str">
        <x:v>GWh</x:v>
      </x:c>
      <x:c r="E79" s="149" t="n">
        <x:f>SUMIFS('04_RUNTIME_SUMMARY'!$E$5:$E$161,'04_RUNTIME_SUMMARY'!$A$5:$A$161,A79,'04_RUNTIME_SUMMARY'!$C$5:$C$161,C79,'04_RUNTIME_SUMMARY'!$D$5:$D$161,D79)</x:f>
        <x:v>22.457</x:v>
      </x:c>
      <x:c r="F79" s="149" t="n">
        <x:f>SUMIFS('04_RUNTIME_SUMMARY'!$F$5:$F$161,'04_RUNTIME_SUMMARY'!$A$5:$A$161,A79,'04_RUNTIME_SUMMARY'!$C$5:$C$161,C79,'04_RUNTIME_SUMMARY'!$D$5:$D$161,D79)</x:f>
        <x:v>31.252</x:v>
      </x:c>
      <x:c r="G79" s="50" t="str">
        <x:v>Grid/utility battery energy.</x:v>
      </x:c>
    </x:row>
    <x:row r="80">
      <x:c r="A80" s="49" t="str">
        <x:v>GR</x:v>
      </x:c>
      <x:c r="B80" s="44" t="str">
        <x:v>Greece</x:v>
      </x:c>
      <x:c r="C80" s="44" t="str">
        <x:v>bess_distributed_power</x:v>
      </x:c>
      <x:c r="D80" s="44" t="str">
        <x:v>GW</x:v>
      </x:c>
      <x:c r="E80" s="149" t="n">
        <x:f>SUMIFS('04_RUNTIME_SUMMARY'!$E$5:$E$161,'04_RUNTIME_SUMMARY'!$A$5:$A$161,A80,'04_RUNTIME_SUMMARY'!$C$5:$C$161,C80,'04_RUNTIME_SUMMARY'!$D$5:$D$161,D80)</x:f>
        <x:v>0</x:v>
      </x:c>
      <x:c r="F80" s="149" t="n">
        <x:f>SUMIFS('04_RUNTIME_SUMMARY'!$F$5:$F$161,'04_RUNTIME_SUMMARY'!$A$5:$A$161,A80,'04_RUNTIME_SUMMARY'!$C$5:$C$161,C80,'04_RUNTIME_SUMMARY'!$D$5:$D$161,D80)</x:f>
        <x:v>0</x:v>
      </x:c>
      <x:c r="G80" s="50" t="str">
        <x:v>Distributed/home/small battery power; availability may be constrained.</x:v>
      </x:c>
    </x:row>
    <x:row r="81">
      <x:c r="A81" s="51" t="str">
        <x:v>GR</x:v>
      </x:c>
      <x:c r="B81" s="52" t="str">
        <x:v>Greece</x:v>
      </x:c>
      <x:c r="C81" s="52" t="str">
        <x:v>bess_distributed_energy</x:v>
      </x:c>
      <x:c r="D81" s="52" t="str">
        <x:v>GWh</x:v>
      </x:c>
      <x:c r="E81" s="150" t="n">
        <x:f>SUMIFS('04_RUNTIME_SUMMARY'!$E$5:$E$161,'04_RUNTIME_SUMMARY'!$A$5:$A$161,A81,'04_RUNTIME_SUMMARY'!$C$5:$C$161,C81,'04_RUNTIME_SUMMARY'!$D$5:$D$161,D81)</x:f>
        <x:v>0</x:v>
      </x:c>
      <x:c r="F81" s="150" t="n">
        <x:f>SUMIFS('04_RUNTIME_SUMMARY'!$F$5:$F$161,'04_RUNTIME_SUMMARY'!$A$5:$A$161,A81,'04_RUNTIME_SUMMARY'!$C$5:$C$161,C81,'04_RUNTIME_SUMMARY'!$D$5:$D$161,D81)</x:f>
        <x:v>0</x:v>
      </x:c>
      <x:c r="G81" s="53" t="str">
        <x:v>Distributed/home/small battery energy.</x:v>
      </x:c>
    </x:row>
  </x:sheetData>
  <x:mergeCells>
    <x:mergeCell ref="A1:H1"/>
    <x:mergeCell ref="A2:H2"/>
    <x:mergeCell ref="A4:H4"/>
    <x:mergeCell ref="A17:H17"/>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65" hidden="0" customWidth="1"/>
    <x:col min="4" max="4" width="65" hidden="0" customWidth="1"/>
  </x:cols>
  <x:sheetData>
    <x:row r="1" ht="28" customHeight="1">
      <x:c r="A1" s="6" t="str">
        <x:v>Cross-country governance rules</x:v>
      </x:c>
      <x:c r="B1" s="6" t="str">
        <x:v>Cross-country governance rules</x:v>
      </x:c>
      <x:c r="C1" s="6" t="str">
        <x:v>Cross-country governance rules</x:v>
      </x:c>
      <x:c r="D1" s="6" t="str">
        <x:v>Cross-country governance rules</x:v>
      </x:c>
    </x:row>
    <x:row r="2">
      <x:c r="A2" s="78" t="str">
        <x:v>These rules override mechanically incompatible country-source accounting when the regional physical model would otherwise double count or mis-map assets.</x:v>
      </x:c>
      <x:c r="B2" s="79"/>
      <x:c r="C2" s="79"/>
      <x:c r="D2" s="80"/>
    </x:row>
    <x:row r="4">
      <x:c r="A4" s="34" t="str">
        <x:v>Rule ID</x:v>
      </x:c>
      <x:c r="B4" s="35" t="str">
        <x:v>Rule</x:v>
      </x:c>
      <x:c r="C4" s="35" t="str">
        <x:v>Frozen ETX-7A treatment</x:v>
      </x:c>
      <x:c r="D4" s="36" t="str">
        <x:v>Implementation consequence</x:v>
      </x:c>
    </x:row>
    <x:row r="5">
      <x:c r="A5" s="46" t="str">
        <x:v>R1</x:v>
      </x:c>
      <x:c r="B5" s="47" t="str">
        <x:v>Physical asset location</x:v>
      </x:c>
      <x:c r="C5" s="47" t="str">
        <x:v>A physical generator/storage unit exists on one physical country node only.</x:v>
      </x:c>
      <x:c r="D5" s="48" t="str">
        <x:v>Ownership/contractual entitlements remain QA rather than duplicated generation.</x:v>
      </x:c>
    </x:row>
    <x:row r="6">
      <x:c r="A6" s="49" t="str">
        <x:v>R2</x:v>
      </x:c>
      <x:c r="B6" s="44" t="str">
        <x:v>Krško / NEK</x:v>
      </x:c>
      <x:c r="C6" s="44" t="str">
        <x:v>Full physical NEK/JEK capacity follows Slovenia. Croatia's 348 MW entitlement is QA only.</x:v>
      </x:c>
      <x:c r="D6" s="50" t="str">
        <x:v>No nuclear generator is created on HR. A lifetime-extension sensitivity must change SI and HR accounting consistently.</x:v>
      </x:c>
    </x:row>
    <x:row r="7">
      <x:c r="A7" s="49" t="str">
        <x:v>R3</x:v>
      </x:c>
      <x:c r="B7" s="44" t="str">
        <x:v>Runtime-role precedence</x:v>
      </x:c>
      <x:c r="C7" s="44" t="str">
        <x:v>Runtime role, not Use-in-Base text alone, controls whether a row becomes a model input.</x:v>
      </x:c>
      <x:c r="D7" s="50" t="str">
        <x:v>QA and derivation rows can never be emitted as extra assets.</x:v>
      </x:c>
    </x:row>
    <x:row r="8">
      <x:c r="A8" s="49" t="str">
        <x:v>R4</x:v>
      </x:c>
      <x:c r="B8" s="44" t="str">
        <x:v>Aggregate versus split</x:v>
      </x:c>
      <x:c r="C8" s="44" t="str">
        <x:v>IMPLEMENT_TOTAL is used only where components are derivation-only; IMPLEMENT_CARRIER_SPLIT means the split rows are authoritative.</x:v>
      </x:c>
      <x:c r="D8" s="50" t="str">
        <x:v>Avoid thermal/nuclear double counting when total and component rows coexist.</x:v>
      </x:c>
    </x:row>
    <x:row r="9">
      <x:c r="A9" s="49" t="str">
        <x:v>R5</x:v>
      </x:c>
      <x:c r="B9" s="44" t="str">
        <x:v>Storage pairing</x:v>
      </x:c>
      <x:c r="C9" s="44" t="str">
        <x:v>PHS/BESS power and energy rows are one storage definition. Preserve charge/discharge asymmetry where available.</x:v>
      </x:c>
      <x:c r="D9" s="50" t="str">
        <x:v>Do not independently optimize or duplicate power/energy rows.</x:v>
      </x:c>
    </x:row>
    <x:row r="10">
      <x:c r="A10" s="49" t="str">
        <x:v>R6</x:v>
      </x:c>
      <x:c r="B10" s="44" t="str">
        <x:v>Greek PHS mapping</x:v>
      </x:c>
      <x:c r="C10" s="44" t="str">
        <x:v>Final NECP publishes one PHS power trajectory; discharge is direct, while charge uses an explicit symmetric technical mapping.</x:v>
      </x:c>
      <x:c r="D10" s="50" t="str">
        <x:v>Keep quality-C flag on pump MW until a separate authoritative pumping rating exists.</x:v>
      </x:c>
    </x:row>
    <x:row r="11">
      <x:c r="A11" s="49" t="str">
        <x:v>R7</x:v>
      </x:c>
      <x:c r="B11" s="44" t="str">
        <x:v>Demand perimeter</x:v>
      </x:c>
      <x:c r="C11" s="44" t="str">
        <x:v>Frozen country demand already applies the country-specific Stage-A accounting decision.</x:v>
      </x:c>
      <x:c r="D11" s="50" t="str">
        <x:v>Do not add storage charging/losses again where storage is endogenous; avoid duplicate electrolysis where demand already embeds it.</x:v>
      </x:c>
    </x:row>
    <x:row r="12">
      <x:c r="A12" s="49" t="str">
        <x:v>R8</x:v>
      </x:c>
      <x:c r="B12" s="44" t="str">
        <x:v>Distributed batteries</x:v>
      </x:c>
      <x:c r="C12" s="44" t="str">
        <x:v>Home/small batteries remain distinct from grid-scale BESS.</x:v>
      </x:c>
      <x:c r="D12" s="50" t="str">
        <x:v>Wholesale availability is an ETX-7B sensitivity, not a capacity-research gap.</x:v>
      </x:c>
    </x:row>
    <x:row r="13">
      <x:c r="A13" s="49" t="str">
        <x:v>R9</x:v>
      </x:c>
      <x:c r="B13" s="44" t="str">
        <x:v>Interconnectors</x:v>
      </x:c>
      <x:c r="C13" s="44" t="str">
        <x:v>Interface MW is not generation capacity.</x:v>
      </x:c>
      <x:c r="D13" s="50" t="str">
        <x:v>Build links/lines in the external-interface/network workstream; QA interface rows never become generators.</x:v>
      </x:c>
    </x:row>
    <x:row r="14">
      <x:c r="A14" s="49" t="str">
        <x:v>R10</x:v>
      </x:c>
      <x:c r="B14" s="44" t="str">
        <x:v>Evidence preservation</x:v>
      </x:c>
      <x:c r="C14" s="44" t="str">
        <x:v>Harmonisation never upgrades evidence quality or silently turns a technical fill into an official scenario input.</x:v>
      </x:c>
      <x:c r="D14" s="50" t="str">
        <x:v>Carry evidence class/quality/source IDs through the PyPSA handoff.</x:v>
      </x:c>
    </x:row>
    <x:row r="15">
      <x:c r="A15" s="49" t="str">
        <x:v>R11</x:v>
      </x:c>
      <x:c r="B15" s="44" t="str">
        <x:v>No aggregate rescaling</x:v>
      </x:c>
      <x:c r="C15" s="44" t="str">
        <x:v>Later high-level aggregate controls do not rescale technology detail without an official allocation.</x:v>
      </x:c>
      <x:c r="D15" s="50" t="str">
        <x:v>Example: Tunisia's later 18.3 GW RES aggregate remains QA; the detailed ANME technology trajectory stays authoritative.</x:v>
      </x:c>
    </x:row>
    <x:row r="16">
      <x:c r="A16" s="49" t="str">
        <x:v>R12</x:v>
      </x:c>
      <x:c r="B16" s="44" t="str">
        <x:v>Croatia integration</x:v>
      </x:c>
      <x:c r="C16" s="44" t="str">
        <x:v>Croatia is now the ninth external node under the same runtime-role contract as the original eight.</x:v>
      </x:c>
      <x:c r="D16" s="50" t="str">
        <x:v>The separate HR country workbook is no longer outside the consolidated implementation contract.</x:v>
      </x:c>
    </x:row>
    <x:row r="17">
      <x:c r="A17" s="51" t="str">
        <x:v>R13</x:v>
      </x:c>
      <x:c r="B17" s="52" t="str">
        <x:v>Greece completion</x:v>
      </x:c>
      <x:c r="C17" s="52" t="str">
        <x:v>Greece was completed mechanically from final NECP tables, not by reopening broad country research.</x:v>
      </x:c>
      <x:c r="D17" s="53" t="str">
        <x:v>Its direct generation/storage trajectory is frozen alongside the ETX-6R workbooks.</x:v>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31" hidden="0" customWidth="1"/>
    <x:col min="3" max="3" width="43" hidden="0" customWidth="1"/>
    <x:col min="4" max="4" width="13" hidden="0" customWidth="1"/>
    <x:col min="5" max="5" width="67" hidden="0" customWidth="1"/>
    <x:col min="6" max="6" width="58" hidden="0" customWidth="1"/>
  </x:cols>
  <x:sheetData>
    <x:row r="1" ht="28" customHeight="1">
      <x:c r="A1" s="6" t="str">
        <x:v>PyPSA fixed-capacity implementation contract</x:v>
      </x:c>
      <x:c r="B1" s="6" t="str">
        <x:v>PyPSA fixed-capacity implementation contract</x:v>
      </x:c>
      <x:c r="C1" s="6" t="str">
        <x:v>PyPSA fixed-capacity implementation contract</x:v>
      </x:c>
      <x:c r="D1" s="6" t="str">
        <x:v>PyPSA fixed-capacity implementation contract</x:v>
      </x:c>
      <x:c r="E1" s="6" t="str">
        <x:v>PyPSA fixed-capacity implementation contract</x:v>
      </x:c>
      <x:c r="F1" s="6" t="str">
        <x:v>PyPSA fixed-capacity implementation contract</x:v>
      </x:c>
    </x:row>
    <x:row r="2">
      <x:c r="A2" s="78" t="str">
        <x:v>Static handoff contract only. Costs, efficiencies, emissions, chronology and network transfer limits are applied in ETX-7B without changing the frozen capacity quantities.</x:v>
      </x:c>
      <x:c r="B2" s="79"/>
      <x:c r="C2" s="79"/>
      <x:c r="D2" s="79"/>
      <x:c r="E2" s="79"/>
      <x:c r="F2" s="80"/>
    </x:row>
    <x:row r="4">
      <x:c r="A4" s="34" t="str">
        <x:v>Harmonised group / family</x:v>
      </x:c>
      <x:c r="B4" s="35" t="str">
        <x:v>PyPSA object</x:v>
      </x:c>
      <x:c r="C4" s="35" t="str">
        <x:v>Core fields</x:v>
      </x:c>
      <x:c r="D4" s="35" t="str">
        <x:v>Extendable?</x:v>
      </x:c>
      <x:c r="E4" s="35" t="str">
        <x:v>Implementation rule</x:v>
      </x:c>
      <x:c r="F4" s="36" t="str">
        <x:v>Caveat</x:v>
      </x:c>
    </x:row>
    <x:row r="5">
      <x:c r="A5" s="46" t="str">
        <x:v>demand</x:v>
      </x:c>
      <x:c r="B5" s="47" t="str">
        <x:v>Load</x:v>
      </x:c>
      <x:c r="C5" s="47" t="str">
        <x:v>p_set hourly profile scaled to frozen annual TWh</x:v>
      </x:c>
      <x:c r="D5" s="47" t="str">
        <x:v>No</x:v>
      </x:c>
      <x:c r="E5" s="47" t="str">
        <x:v>Scale one accepted chronology to each country annual demand control.</x:v>
      </x:c>
      <x:c r="F5" s="48" t="str">
        <x:v>Do not duplicate embedded electrolysis/losses.</x:v>
      </x:c>
    </x:row>
    <x:row r="6">
      <x:c r="A6" s="49" t="str">
        <x:v>nuclear / fossil / renewable generators</x:v>
      </x:c>
      <x:c r="B6" s="44" t="str">
        <x:v>Generator</x:v>
      </x:c>
      <x:c r="C6" s="44" t="str">
        <x:v>p_nom, carrier, p_max_pu/profile, marginal cost</x:v>
      </x:c>
      <x:c r="D6" s="44" t="str">
        <x:v>False</x:v>
      </x:c>
      <x:c r="E6" s="44" t="str">
        <x:v>Use 03_RUNTIME_INPUTS / 04_RUNTIME_SUMMARY fixed MW as p_nom.</x:v>
      </x:c>
      <x:c r="F6" s="50" t="str">
        <x:v>Carrier-specific technical parameters come from cost/technology workstream.</x:v>
      </x:c>
    </x:row>
    <x:row r="7">
      <x:c r="A7" s="49" t="str">
        <x:v>solar_pv / wind_onshore / wind_offshore</x:v>
      </x:c>
      <x:c r="B7" s="44" t="str">
        <x:v>Generator</x:v>
      </x:c>
      <x:c r="C7" s="44" t="str">
        <x:v>p_nom, p_max_pu hourly weather profile</x:v>
      </x:c>
      <x:c r="D7" s="44" t="str">
        <x:v>False</x:v>
      </x:c>
      <x:c r="E7" s="44" t="str">
        <x:v>Fixed capacity; chronology supplies availability.</x:v>
      </x:c>
      <x:c r="F7" s="50" t="str">
        <x:v>No capacity expansion in Stage A.</x:v>
      </x:c>
    </x:row>
    <x:row r="8">
      <x:c r="A8" s="49" t="str">
        <x:v>solar_csp</x:v>
      </x:c>
      <x:c r="B8" s="44" t="str">
        <x:v>Generator or storage-coupled CSP representation</x:v>
      </x:c>
      <x:c r="C8" s="44" t="str">
        <x:v>fixed generation MW plus technology-specific chronology</x:v>
      </x:c>
      <x:c r="D8" s="44" t="str">
        <x:v>False</x:v>
      </x:c>
      <x:c r="E8" s="44" t="str">
        <x:v>Preserve Tunisia CSP as a distinct technology.</x:v>
      </x:c>
      <x:c r="F8" s="50" t="str">
        <x:v>Do not invent thermal-storage GWh if not frozen.</x:v>
      </x:c>
    </x:row>
    <x:row r="9">
      <x:c r="A9" s="49" t="str">
        <x:v>hydro_non_phs</x:v>
      </x:c>
      <x:c r="B9" s="44" t="str">
        <x:v>Generator / StorageUnit / Store+Link by hydro subtype</x:v>
      </x:c>
      <x:c r="C9" s="44" t="str">
        <x:v>fixed turbine MW, inflow, reservoir energy where applicable</x:v>
      </x:c>
      <x:c r="D9" s="44" t="str">
        <x:v>False</x:v>
      </x:c>
      <x:c r="E9" s="44" t="str">
        <x:v>Preserve RoR versus reservoir subtype when the source workbook carries it.</x:v>
      </x:c>
      <x:c r="F9" s="50" t="str">
        <x:v>Hourly inflow/reservoir chronology remains ETX-7B.</x:v>
      </x:c>
    </x:row>
    <x:row r="10">
      <x:c r="A10" s="49" t="str">
        <x:v>phs_*</x:v>
      </x:c>
      <x:c r="B10" s="44" t="str">
        <x:v>Prefer Store + charge/discharge Link(s)</x:v>
      </x:c>
      <x:c r="C10" s="44" t="str">
        <x:v>charge MW, discharge MW, e_nom GWh, efficiencies</x:v>
      </x:c>
      <x:c r="D10" s="44" t="str">
        <x:v>False</x:v>
      </x:c>
      <x:c r="E10" s="44" t="str">
        <x:v>Preserve asymmetric pump/turbine ratings; pair the three frozen controls.</x:v>
      </x:c>
      <x:c r="F10" s="50" t="str">
        <x:v>Greece charge MW is an explicit symmetric mapping.</x:v>
      </x:c>
    </x:row>
    <x:row r="11">
      <x:c r="A11" s="49" t="str">
        <x:v>bess_grid_*</x:v>
      </x:c>
      <x:c r="B11" s="44" t="str">
        <x:v>StorageUnit or Store + Link(s)</x:v>
      </x:c>
      <x:c r="C11" s="44" t="str">
        <x:v>power MW, energy MWh, charge/discharge efficiency</x:v>
      </x:c>
      <x:c r="D11" s="44" t="str">
        <x:v>False</x:v>
      </x:c>
      <x:c r="E11" s="44" t="str">
        <x:v>Use fixed power/energy; preserve source duration.</x:v>
      </x:c>
      <x:c r="F11" s="50" t="str">
        <x:v>Round-trip efficiency from technical-cost layer.</x:v>
      </x:c>
    </x:row>
    <x:row r="12">
      <x:c r="A12" s="49" t="str">
        <x:v>bess_distributed_*</x:v>
      </x:c>
      <x:c r="B12" s="44" t="str">
        <x:v>Separate StorageUnit / Store+Link class</x:v>
      </x:c>
      <x:c r="C12" s="44" t="str">
        <x:v>power MW, energy MWh, availability constraint</x:v>
      </x:c>
      <x:c r="D12" s="44" t="str">
        <x:v>False</x:v>
      </x:c>
      <x:c r="E12" s="44" t="str">
        <x:v>Keep distinct from merchant grid BESS.</x:v>
      </x:c>
      <x:c r="F12" s="50" t="str">
        <x:v>Merchant/system availability is sensitivity-specific.</x:v>
      </x:c>
    </x:row>
    <x:row r="13">
      <x:c r="A13" s="49" t="str">
        <x:v>thermal carrier splits</x:v>
      </x:c>
      <x:c r="B13" s="44" t="str">
        <x:v>Generator</x:v>
      </x:c>
      <x:c r="C13" s="44" t="str">
        <x:v>p_nom by methane / low-carbon gas-H2 / oil / other CHP</x:v>
      </x:c>
      <x:c r="D13" s="44" t="str">
        <x:v>False</x:v>
      </x:c>
      <x:c r="E13" s="44" t="str">
        <x:v>When IMPLEMENT_CARRIER_SPLIT is present, split rows—not the QA total—are emitted.</x:v>
      </x:c>
      <x:c r="F13" s="50" t="str">
        <x:v>Fuel mapping must preserve selected country pathway.</x:v>
      </x:c>
    </x:row>
    <x:row r="14">
      <x:c r="A14" s="49" t="str">
        <x:v>bioenergy / waste CHP</x:v>
      </x:c>
      <x:c r="B14" s="44" t="str">
        <x:v>Generator</x:v>
      </x:c>
      <x:c r="C14" s="44" t="str">
        <x:v>p_nom, carrier, marginal cost, emissions</x:v>
      </x:c>
      <x:c r="D14" s="44" t="str">
        <x:v>False</x:v>
      </x:c>
      <x:c r="E14" s="44" t="str">
        <x:v>Preserve combined categories where source evidence does not support a finer split.</x:v>
      </x:c>
      <x:c r="F14" s="50" t="str">
        <x:v>Do not manufacture sub-carrier detail.</x:v>
      </x:c>
    </x:row>
    <x:row r="15">
      <x:c r="A15" s="49" t="str">
        <x:v>QA_CONTROL_ONLY / DERIVATION_DETAIL_ONLY</x:v>
      </x:c>
      <x:c r="B15" s="44" t="str">
        <x:v>None</x:v>
      </x:c>
      <x:c r="C15" s="44" t="str">
        <x:v>None</x:v>
      </x:c>
      <x:c r="D15" s="44" t="str">
        <x:v>n/a</x:v>
      </x:c>
      <x:c r="E15" s="44" t="str">
        <x:v>Never create a PyPSA asset.</x:v>
      </x:c>
      <x:c r="F15" s="50" t="str">
        <x:v>Retain for audit/reconciliation only.</x:v>
      </x:c>
    </x:row>
    <x:row r="16">
      <x:c r="A16" s="51" t="str">
        <x:v>interconnectors / interfaces</x:v>
      </x:c>
      <x:c r="B16" s="52" t="str">
        <x:v>Link or network element</x:v>
      </x:c>
      <x:c r="C16" s="52" t="str">
        <x:v>p_nom directional limits, efficiency/loss convention</x:v>
      </x:c>
      <x:c r="D16" s="52" t="str">
        <x:v>False</x:v>
      </x:c>
      <x:c r="E16" s="52" t="str">
        <x:v>Handled in external network/interface contract, not this generation freeze.</x:v>
      </x:c>
      <x:c r="F16" s="53" t="str">
        <x:v>Do not infer interface capacity from generation rows.</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42" hidden="0" customWidth="1"/>
    <x:col min="3" max="3" width="18" hidden="0" customWidth="1"/>
    <x:col min="4" max="4" width="20" hidden="0" customWidth="1"/>
    <x:col min="5" max="5" width="34" hidden="0" customWidth="1"/>
    <x:col min="6" max="6" width="68" hidden="0" customWidth="1"/>
  </x:cols>
  <x:sheetData>
    <x:row r="1" ht="28" customHeight="1">
      <x:c r="A1" s="6" t="str">
        <x:v>ETX-7A freeze QA</x:v>
      </x:c>
      <x:c r="B1" s="6" t="str">
        <x:v>ETX-7A freeze QA</x:v>
      </x:c>
      <x:c r="C1" s="6" t="str">
        <x:v>ETX-7A freeze QA</x:v>
      </x:c>
      <x:c r="D1" s="6" t="str">
        <x:v>ETX-7A freeze QA</x:v>
      </x:c>
      <x:c r="E1" s="6" t="str">
        <x:v>ETX-7A freeze QA</x:v>
      </x:c>
      <x:c r="F1" s="6" t="str">
        <x:v>ETX-7A freeze QA</x:v>
      </x:c>
    </x:row>
    <x:row r="2">
      <x:c r="A2" s="78" t="str">
        <x:v>Machine-readable checks on coverage, role governance, cross-country double-counting controls and selected high-value reconciliations.</x:v>
      </x:c>
      <x:c r="B2" s="79"/>
      <x:c r="C2" s="79"/>
      <x:c r="D2" s="79"/>
      <x:c r="E2" s="79"/>
      <x:c r="F2" s="80"/>
    </x:row>
    <x:row r="4">
      <x:c r="A4" s="34" t="str">
        <x:v>QA ID</x:v>
      </x:c>
      <x:c r="B4" s="35" t="str">
        <x:v>Check</x:v>
      </x:c>
      <x:c r="C4" s="35" t="str">
        <x:v>Observed</x:v>
      </x:c>
      <x:c r="D4" s="35" t="str">
        <x:v>Target / tolerance</x:v>
      </x:c>
      <x:c r="E4" s="35" t="str">
        <x:v>Status</x:v>
      </x:c>
      <x:c r="F4" s="36" t="str">
        <x:v>Interpretation</x:v>
      </x:c>
    </x:row>
    <x:row r="5">
      <x:c r="A5" s="46" t="str">
        <x:v>QA-01</x:v>
      </x:c>
      <x:c r="B5" s="47" t="str">
        <x:v>External country nodes</x:v>
      </x:c>
      <x:c r="C5" s="148" t="n">
        <x:f>COUNTA('01_COUNTRY_REGISTER'!$A$5:$A$13)</x:f>
        <x:v>9</x:v>
      </x:c>
      <x:c r="D5" s="47" t="str">
        <x:v>9</x:v>
      </x:c>
      <x:c r="E5" s="47" t="str">
        <x:f>IF(ABS(C5-VALUE(D5))&lt;0.00001,"PASS","FAIL")</x:f>
        <x:v>PASS</x:v>
      </x:c>
      <x:c r="F5" s="48" t="str">
        <x:v>PASS if exactly nine external nodes are frozen.</x:v>
      </x:c>
    </x:row>
    <x:row r="6">
      <x:c r="A6" s="49" t="str">
        <x:v>QA-02</x:v>
      </x:c>
      <x:c r="B6" s="44" t="str">
        <x:v>Canonical rows</x:v>
      </x:c>
      <x:c r="C6" s="149" t="n">
        <x:f>COUNTA('02_CANONICAL_STACK'!$A$5:$A$211)</x:f>
        <x:v>207</x:v>
      </x:c>
      <x:c r="D6" s="44" t="str">
        <x:v>207</x:v>
      </x:c>
      <x:c r="E6" s="44" t="str">
        <x:f>IF(ABS(C6-VALUE(D6))&lt;0.00001,"PASS","FAIL")</x:f>
        <x:v>PASS</x:v>
      </x:c>
      <x:c r="F6" s="50" t="str">
        <x:v>Preserves every source/derivation/QA row.</x:v>
      </x:c>
    </x:row>
    <x:row r="7">
      <x:c r="A7" s="49" t="str">
        <x:v>QA-03</x:v>
      </x:c>
      <x:c r="B7" s="44" t="str">
        <x:v>Runtime rows</x:v>
      </x:c>
      <x:c r="C7" s="149" t="n">
        <x:f>COUNTA('03_RUNTIME_INPUTS'!$A$5:$A$165)</x:f>
        <x:v>161</x:v>
      </x:c>
      <x:c r="D7" s="44" t="str">
        <x:v>161</x:v>
      </x:c>
      <x:c r="E7" s="44" t="str">
        <x:f>IF(ABS(C7-VALUE(D7))&lt;0.00001,"PASS","FAIL")</x:f>
        <x:v>PASS</x:v>
      </x:c>
      <x:c r="F7" s="50" t="str">
        <x:v>Only implementation-authoritative roles are emitted.</x:v>
      </x:c>
    </x:row>
    <x:row r="8">
      <x:c r="A8" s="49" t="str">
        <x:v>QA-04</x:v>
      </x:c>
      <x:c r="B8" s="44" t="str">
        <x:v>Non-runtime rows</x:v>
      </x:c>
      <x:c r="C8" s="149" t="n">
        <x:f>COUNTA('02_CANONICAL_STACK'!$A$5:$A$211)-COUNTA('03_RUNTIME_INPUTS'!$A$5:$A$165)</x:f>
        <x:v>46</x:v>
      </x:c>
      <x:c r="D8" s="44" t="str">
        <x:v>46</x:v>
      </x:c>
      <x:c r="E8" s="44" t="str">
        <x:f>IF(ABS(C8-VALUE(D8))&lt;0.00001,"PASS","FAIL")</x:f>
        <x:v>PASS</x:v>
      </x:c>
      <x:c r="F8" s="50" t="str">
        <x:v>QA + derivation rows are retained but not emitted.</x:v>
      </x:c>
    </x:row>
    <x:row r="9">
      <x:c r="A9" s="49" t="str">
        <x:v>QA-05</x:v>
      </x:c>
      <x:c r="B9" s="44" t="str">
        <x:v>Runtime rows with blank harmonised group</x:v>
      </x:c>
      <x:c r="C9" s="149" t="n">
        <x:f>COUNTBLANK('03_RUNTIME_INPUTS'!$F$5:$F$165)</x:f>
        <x:v>0</x:v>
      </x:c>
      <x:c r="D9" s="44" t="str">
        <x:v>0</x:v>
      </x:c>
      <x:c r="E9" s="44" t="str">
        <x:f>IF(ABS(C9-VALUE(D9))&lt;0.00001,"PASS","FAIL")</x:f>
        <x:v>PASS</x:v>
      </x:c>
      <x:c r="F9" s="50" t="str">
        <x:v>No runtime row lacks taxonomy mapping.</x:v>
      </x:c>
    </x:row>
    <x:row r="10">
      <x:c r="A10" s="49" t="str">
        <x:v>QA-06</x:v>
      </x:c>
      <x:c r="B10" s="44" t="str">
        <x:v>QA/derivation rows leaked into runtime</x:v>
      </x:c>
      <x:c r="C10" s="149" t="n">
        <x:f>COUNTIF('03_RUNTIME_INPUTS'!$J$5:$J$165,"QA_CONTROL_ONLY")+COUNTIF('03_RUNTIME_INPUTS'!$J$5:$J$165,"DERIVATION_DETAIL_ONLY")</x:f>
        <x:v>0</x:v>
      </x:c>
      <x:c r="D10" s="44" t="str">
        <x:v>0</x:v>
      </x:c>
      <x:c r="E10" s="44" t="str">
        <x:f>IF(ABS(C10-VALUE(D10))&lt;0.00001,"PASS","FAIL")</x:f>
        <x:v>PASS</x:v>
      </x:c>
      <x:c r="F10" s="50" t="str">
        <x:v>Governance double-counting gate.</x:v>
      </x:c>
    </x:row>
    <x:row r="11">
      <x:c r="A11" s="49" t="str">
        <x:v>QA-07</x:v>
      </x:c>
      <x:c r="B11" s="44" t="str">
        <x:v>Runtime units outside TWh/GW/GWh</x:v>
      </x:c>
      <x:c r="C11" s="149" t="n">
        <x:f>COUNTA('03_RUNTIME_INPUTS'!$G$5:$G$165)-COUNTIF('03_RUNTIME_INPUTS'!$G$5:$G$165,"GW")-COUNTIF('03_RUNTIME_INPUTS'!$G$5:$G$165,"GWh")-COUNTIF('03_RUNTIME_INPUTS'!$G$5:$G$165,"TWh")</x:f>
        <x:v>0</x:v>
      </x:c>
      <x:c r="D11" s="44" t="str">
        <x:v>0</x:v>
      </x:c>
      <x:c r="E11" s="44" t="str">
        <x:f>IF(ABS(C11-VALUE(D11))&lt;0.00001,"PASS","FAIL")</x:f>
        <x:v>PASS</x:v>
      </x:c>
      <x:c r="F11" s="50" t="str">
        <x:v>No unexpected runtime unit.</x:v>
      </x:c>
    </x:row>
    <x:row r="12">
      <x:c r="A12" s="49" t="str">
        <x:v>QA-08</x:v>
      </x:c>
      <x:c r="B12" s="44" t="str">
        <x:v>Direct TYNDP/Open-TYNDP source IDs</x:v>
      </x:c>
      <x:c r="C12" s="149" t="n">
        <x:f>COUNTIF('02_CANONICAL_STACK'!$O$5:$O$211,"*TYNDP*")+COUNTIF('02_CANONICAL_STACK'!$T$5:$T$211,"*TYNDP*")</x:f>
        <x:v>0</x:v>
      </x:c>
      <x:c r="D12" s="44" t="str">
        <x:v>0</x:v>
      </x:c>
      <x:c r="E12" s="44" t="str">
        <x:f>IF(ABS(C12-VALUE(D12))&lt;0.00001,"PASS","FAIL")</x:f>
        <x:v>PASS</x:v>
      </x:c>
      <x:c r="F12" s="50" t="str">
        <x:v>Final capacity closure avoids direct TYNDP/Open-TYNDP fills.</x:v>
      </x:c>
    </x:row>
    <x:row r="13">
      <x:c r="A13" s="49" t="str">
        <x:v>QA-09</x:v>
      </x:c>
      <x:c r="B13" s="44" t="str">
        <x:v>powerplantmatching source IDs</x:v>
      </x:c>
      <x:c r="C13" s="149" t="n">
        <x:f>COUNTIF('02_CANONICAL_STACK'!$O$5:$O$211,"*powerplantmatching*")+COUNTIF('02_CANONICAL_STACK'!$T$5:$T$211,"*powerplantmatching*")</x:f>
        <x:v>0</x:v>
      </x:c>
      <x:c r="D13" s="44" t="str">
        <x:v>0</x:v>
      </x:c>
      <x:c r="E13" s="44" t="str">
        <x:f>IF(ABS(C13-VALUE(D13))&lt;0.00001,"PASS","FAIL")</x:f>
        <x:v>PASS</x:v>
      </x:c>
      <x:c r="F13" s="50" t="str">
        <x:v>No powerplantmatching capacity fill.</x:v>
      </x:c>
    </x:row>
    <x:row r="14">
      <x:c r="A14" s="49" t="str">
        <x:v>QA-10</x:v>
      </x:c>
      <x:c r="B14" s="44" t="str">
        <x:v>FR 2040 PV + onshore wind</x:v>
      </x:c>
      <x:c r="C14" s="149" t="n">
        <x:f>SUMIFS('04_RUNTIME_SUMMARY'!$E$5:$E$161,'04_RUNTIME_SUMMARY'!$A$5:$A$161,"FR",'04_RUNTIME_SUMMARY'!$C$5:$C$161,"solar_pv",'04_RUNTIME_SUMMARY'!$D$5:$D$161,"GW")+SUMIFS('04_RUNTIME_SUMMARY'!$E$5:$E$161,'04_RUNTIME_SUMMARY'!$A$5:$A$161,"FR",'04_RUNTIME_SUMMARY'!$C$5:$C$161,"wind_onshore",'04_RUNTIME_SUMMARY'!$D$5:$D$161,"GW")</x:f>
        <x:v>135</x:v>
      </x:c>
      <x:c r="D14" s="44" t="str">
        <x:v>135</x:v>
      </x:c>
      <x:c r="E14" s="44" t="str">
        <x:f>IF(ABS(C14-VALUE(D14))&lt;0.00001,"PASS","FAIL")</x:f>
        <x:v>PASS</x:v>
      </x:c>
      <x:c r="F14" s="50" t="str">
        <x:v>RTE-based 2040 VRE bridge control.</x:v>
      </x:c>
    </x:row>
    <x:row r="15">
      <x:c r="A15" s="49" t="str">
        <x:v>QA-11</x:v>
      </x:c>
      <x:c r="B15" s="44" t="str">
        <x:v>CH 2040 total hydro turbine MW</x:v>
      </x:c>
      <x:c r="C15" s="149" t="n">
        <x:f>SUMIFS('04_RUNTIME_SUMMARY'!$E$5:$E$161,'04_RUNTIME_SUMMARY'!$A$5:$A$161,"CH",'04_RUNTIME_SUMMARY'!$C$5:$C$161,"hydro_non_phs",'04_RUNTIME_SUMMARY'!$D$5:$D$161,"GW")+SUMIFS('04_RUNTIME_SUMMARY'!$E$5:$E$161,'04_RUNTIME_SUMMARY'!$A$5:$A$161,"CH",'04_RUNTIME_SUMMARY'!$C$5:$C$161,"phs_discharge_power",'04_RUNTIME_SUMMARY'!$D$5:$D$161,"GW")</x:f>
        <x:v>19.259999999999998</x:v>
      </x:c>
      <x:c r="D15" s="44" t="str">
        <x:v>19.26</x:v>
      </x:c>
      <x:c r="E15" s="44" t="str">
        <x:f>IF(ABS(C15-VALUE(D15))&lt;0.00001,"PASS","FAIL")</x:f>
        <x:v>PASS</x:v>
      </x:c>
      <x:c r="F15" s="50" t="str">
        <x:v>Matches direct Swiss hydro architecture.</x:v>
      </x:c>
    </x:row>
    <x:row r="16">
      <x:c r="A16" s="49" t="str">
        <x:v>QA-12</x:v>
      </x:c>
      <x:c r="B16" s="44" t="str">
        <x:v>CH 2050 total hydro turbine MW</x:v>
      </x:c>
      <x:c r="C16" s="149" t="n">
        <x:f>SUMIFS('04_RUNTIME_SUMMARY'!$F$5:$F$161,'04_RUNTIME_SUMMARY'!$A$5:$A$161,"CH",'04_RUNTIME_SUMMARY'!$C$5:$C$161,"hydro_non_phs",'04_RUNTIME_SUMMARY'!$D$5:$D$161,"GW")+SUMIFS('04_RUNTIME_SUMMARY'!$F$5:$F$161,'04_RUNTIME_SUMMARY'!$A$5:$A$161,"CH",'04_RUNTIME_SUMMARY'!$C$5:$C$161,"phs_discharge_power",'04_RUNTIME_SUMMARY'!$D$5:$D$161,"GW")</x:f>
        <x:v>20</x:v>
      </x:c>
      <x:c r="D16" s="44" t="str">
        <x:v>20</x:v>
      </x:c>
      <x:c r="E16" s="44" t="str">
        <x:f>IF(ABS(C16-VALUE(D16))&lt;0.00001,"PASS","FAIL")</x:f>
        <x:v>PASS</x:v>
      </x:c>
      <x:c r="F16" s="50" t="str">
        <x:v>Matches EP2050+ total hydro.</x:v>
      </x:c>
    </x:row>
    <x:row r="17">
      <x:c r="A17" s="49" t="str">
        <x:v>QA-13</x:v>
      </x:c>
      <x:c r="B17" s="44" t="str">
        <x:v>AT 2040 total hydro turbine MW</x:v>
      </x:c>
      <x:c r="C17" s="149" t="n">
        <x:f>SUMIFS('04_RUNTIME_SUMMARY'!$E$5:$E$161,'04_RUNTIME_SUMMARY'!$A$5:$A$161,"AT",'04_RUNTIME_SUMMARY'!$C$5:$C$161,"hydro_non_phs",'04_RUNTIME_SUMMARY'!$D$5:$D$161,"GW")+SUMIFS('04_RUNTIME_SUMMARY'!$E$5:$E$161,'04_RUNTIME_SUMMARY'!$A$5:$A$161,"AT",'04_RUNTIME_SUMMARY'!$C$5:$C$161,"phs_discharge_power",'04_RUNTIME_SUMMARY'!$D$5:$D$161,"GW")</x:f>
        <x:v>19.191</x:v>
      </x:c>
      <x:c r="D17" s="44" t="str">
        <x:v>19.191</x:v>
      </x:c>
      <x:c r="E17" s="44" t="str">
        <x:f>IF(ABS(C17-VALUE(D17))&lt;0.00001,"PASS","FAIL")</x:f>
        <x:v>PASS</x:v>
      </x:c>
      <x:c r="F17" s="50" t="str">
        <x:v>ÖNIP/APG physical-country hydro control.</x:v>
      </x:c>
    </x:row>
    <x:row r="18">
      <x:c r="A18" s="49" t="str">
        <x:v>QA-14</x:v>
      </x:c>
      <x:c r="B18" s="44" t="str">
        <x:v>AT 2050 total hydro turbine MW</x:v>
      </x:c>
      <x:c r="C18" s="149" t="n">
        <x:f>SUMIFS('04_RUNTIME_SUMMARY'!$F$5:$F$161,'04_RUNTIME_SUMMARY'!$A$5:$A$161,"AT",'04_RUNTIME_SUMMARY'!$C$5:$C$161,"hydro_non_phs",'04_RUNTIME_SUMMARY'!$D$5:$D$161,"GW")+SUMIFS('04_RUNTIME_SUMMARY'!$F$5:$F$161,'04_RUNTIME_SUMMARY'!$A$5:$A$161,"AT",'04_RUNTIME_SUMMARY'!$C$5:$C$161,"phs_discharge_power",'04_RUNTIME_SUMMARY'!$D$5:$D$161,"GW")</x:f>
        <x:v>19.191</x:v>
      </x:c>
      <x:c r="D18" s="44" t="str">
        <x:v>19.191</x:v>
      </x:c>
      <x:c r="E18" s="44" t="str">
        <x:f>IF(ABS(C18-VALUE(D18))&lt;0.00001,"PASS","FAIL")</x:f>
        <x:v>PASS</x:v>
      </x:c>
      <x:c r="F18" s="50" t="str">
        <x:v>WAM/ÖNIP carry-forward control.</x:v>
      </x:c>
    </x:row>
    <x:row r="19">
      <x:c r="A19" s="49" t="str">
        <x:v>QA-15</x:v>
      </x:c>
      <x:c r="B19" s="44" t="str">
        <x:v>SI 2040 methane + low-carbon gas</x:v>
      </x:c>
      <x:c r="C19" s="149" t="n">
        <x:f>SUMIFS('04_RUNTIME_SUMMARY'!$E$5:$E$161,'04_RUNTIME_SUMMARY'!$A$5:$A$161,"SI",'04_RUNTIME_SUMMARY'!$C$5:$C$161,"thermal_methane_gas",'04_RUNTIME_SUMMARY'!$D$5:$D$161,"GW")+SUMIFS('04_RUNTIME_SUMMARY'!$E$5:$E$161,'04_RUNTIME_SUMMARY'!$A$5:$A$161,"SI",'04_RUNTIME_SUMMARY'!$C$5:$C$161,"thermal_lowcarbon_gas_h2",'04_RUNTIME_SUMMARY'!$D$5:$D$161,"GW")</x:f>
        <x:v>1.14</x:v>
      </x:c>
      <x:c r="D19" s="44" t="str">
        <x:v>1.14</x:v>
      </x:c>
      <x:c r="E19" s="44" t="str">
        <x:f>IF(ABS(C19-VALUE(D19))&lt;0.00001,"PASS","FAIL")</x:f>
        <x:v>PASS</x:v>
      </x:c>
      <x:c r="F19" s="50" t="str">
        <x:v>Gas-carrier split reconciles to 1.14 GW.</x:v>
      </x:c>
    </x:row>
    <x:row r="20">
      <x:c r="A20" s="49" t="str">
        <x:v>QA-16</x:v>
      </x:c>
      <x:c r="B20" s="44" t="str">
        <x:v>SI 2050 methane + low-carbon gas</x:v>
      </x:c>
      <x:c r="C20" s="149" t="n">
        <x:f>SUMIFS('04_RUNTIME_SUMMARY'!$F$5:$F$161,'04_RUNTIME_SUMMARY'!$A$5:$A$161,"SI",'04_RUNTIME_SUMMARY'!$C$5:$C$161,"thermal_methane_gas",'04_RUNTIME_SUMMARY'!$D$5:$D$161,"GW")+SUMIFS('04_RUNTIME_SUMMARY'!$F$5:$F$161,'04_RUNTIME_SUMMARY'!$A$5:$A$161,"SI",'04_RUNTIME_SUMMARY'!$C$5:$C$161,"thermal_lowcarbon_gas_h2",'04_RUNTIME_SUMMARY'!$D$5:$D$161,"GW")</x:f>
        <x:v>1.14</x:v>
      </x:c>
      <x:c r="D20" s="44" t="str">
        <x:v>1.14</x:v>
      </x:c>
      <x:c r="E20" s="44" t="str">
        <x:f>IF(ABS(C20-VALUE(D20))&lt;0.00001,"PASS","FAIL")</x:f>
        <x:v>PASS</x:v>
      </x:c>
      <x:c r="F20" s="50" t="str">
        <x:v>Gas-carrier split reconciles to 1.14 GW.</x:v>
      </x:c>
    </x:row>
    <x:row r="21">
      <x:c r="A21" s="49" t="str">
        <x:v>QA-17</x:v>
      </x:c>
      <x:c r="B21" s="44" t="str">
        <x:v>HR 2040 hydro non-PHS + PHS</x:v>
      </x:c>
      <x:c r="C21" s="149" t="n">
        <x:f>SUMIFS('04_RUNTIME_SUMMARY'!$E$5:$E$161,'04_RUNTIME_SUMMARY'!$A$5:$A$161,"HR",'04_RUNTIME_SUMMARY'!$C$5:$C$161,"hydro_non_phs",'04_RUNTIME_SUMMARY'!$D$5:$D$161,"GW")+SUMIFS('04_RUNTIME_SUMMARY'!$E$5:$E$161,'04_RUNTIME_SUMMARY'!$A$5:$A$161,"HR",'04_RUNTIME_SUMMARY'!$C$5:$C$161,"phs_discharge_power",'04_RUNTIME_SUMMARY'!$D$5:$D$161,"GW")</x:f>
        <x:v>2.98</x:v>
      </x:c>
      <x:c r="D21" s="44" t="str">
        <x:v>2.98</x:v>
      </x:c>
      <x:c r="E21" s="44" t="str">
        <x:f>IF(ABS(C21-VALUE(D21))&lt;0.00001,"PASS","FAIL")</x:f>
        <x:v>PASS</x:v>
      </x:c>
      <x:c r="F21" s="50" t="str">
        <x:v>Matches final Croatian WAM hydro total.</x:v>
      </x:c>
    </x:row>
    <x:row r="22">
      <x:c r="A22" s="49" t="str">
        <x:v>QA-18</x:v>
      </x:c>
      <x:c r="B22" s="44" t="str">
        <x:v>HR 2050 hydro non-PHS + PHS</x:v>
      </x:c>
      <x:c r="C22" s="149" t="n">
        <x:f>SUMIFS('04_RUNTIME_SUMMARY'!$F$5:$F$161,'04_RUNTIME_SUMMARY'!$A$5:$A$161,"HR",'04_RUNTIME_SUMMARY'!$C$5:$C$161,"hydro_non_phs",'04_RUNTIME_SUMMARY'!$D$5:$D$161,"GW")+SUMIFS('04_RUNTIME_SUMMARY'!$F$5:$F$161,'04_RUNTIME_SUMMARY'!$A$5:$A$161,"HR",'04_RUNTIME_SUMMARY'!$C$5:$C$161,"phs_discharge_power",'04_RUNTIME_SUMMARY'!$D$5:$D$161,"GW")</x:f>
        <x:v>3.2</x:v>
      </x:c>
      <x:c r="D22" s="44" t="str">
        <x:v>3.2</x:v>
      </x:c>
      <x:c r="E22" s="44" t="str">
        <x:f>IF(ABS(C22-VALUE(D22))&lt;0.00001,"PASS","FAIL")</x:f>
        <x:v>PASS</x:v>
      </x:c>
      <x:c r="F22" s="50" t="str">
        <x:v>Matches final Croatian WAM hydro total.</x:v>
      </x:c>
    </x:row>
    <x:row r="23">
      <x:c r="A23" s="49" t="str">
        <x:v>QA-19</x:v>
      </x:c>
      <x:c r="B23" s="44" t="str">
        <x:v>HR runtime nuclear capacity 2040</x:v>
      </x:c>
      <x:c r="C23" s="149" t="n">
        <x:f>SUMIFS('04_RUNTIME_SUMMARY'!$E$5:$E$161,'04_RUNTIME_SUMMARY'!$A$5:$A$161,"HR",'04_RUNTIME_SUMMARY'!$C$5:$C$161,"nuclear",'04_RUNTIME_SUMMARY'!$D$5:$D$161,"GW")</x:f>
        <x:v>0</x:v>
      </x:c>
      <x:c r="D23" s="44" t="str">
        <x:v>0</x:v>
      </x:c>
      <x:c r="E23" s="44" t="str">
        <x:f>IF(ABS(C23-VALUE(D23))&lt;0.00001,"PASS","FAIL")</x:f>
        <x:v>PASS</x:v>
      </x:c>
      <x:c r="F23" s="50" t="str">
        <x:v>Krško physical unit is not duplicated on Croatia.</x:v>
      </x:c>
    </x:row>
    <x:row r="24">
      <x:c r="A24" s="49" t="str">
        <x:v>QA-20</x:v>
      </x:c>
      <x:c r="B24" s="44" t="str">
        <x:v>HR runtime nuclear capacity 2050</x:v>
      </x:c>
      <x:c r="C24" s="149" t="n">
        <x:f>SUMIFS('04_RUNTIME_SUMMARY'!$F$5:$F$161,'04_RUNTIME_SUMMARY'!$A$5:$A$161,"HR",'04_RUNTIME_SUMMARY'!$C$5:$C$161,"nuclear",'04_RUNTIME_SUMMARY'!$D$5:$D$161,"GW")</x:f>
        <x:v>0</x:v>
      </x:c>
      <x:c r="D24" s="44" t="str">
        <x:v>0</x:v>
      </x:c>
      <x:c r="E24" s="44" t="str">
        <x:f>IF(ABS(C24-VALUE(D24))&lt;0.00001,"PASS","FAIL")</x:f>
        <x:v>PASS</x:v>
      </x:c>
      <x:c r="F24" s="50" t="str">
        <x:v>Host-country Slovenia timing governs physical plant.</x:v>
      </x:c>
    </x:row>
    <x:row r="25">
      <x:c r="A25" s="49" t="str">
        <x:v>QA-21</x:v>
      </x:c>
      <x:c r="B25" s="44" t="str">
        <x:v>ME solar PV 2040</x:v>
      </x:c>
      <x:c r="C25" s="149" t="n">
        <x:f>SUMIFS('04_RUNTIME_SUMMARY'!$E$5:$E$161,'04_RUNTIME_SUMMARY'!$A$5:$A$161,"ME",'04_RUNTIME_SUMMARY'!$C$5:$C$161,"solar_pv",'04_RUNTIME_SUMMARY'!$D$5:$D$161,"GW")</x:f>
        <x:v>2.608334</x:v>
      </x:c>
      <x:c r="D25" s="44" t="str">
        <x:v>2.608334</x:v>
      </x:c>
      <x:c r="E25" s="44" t="str">
        <x:f>IF(ABS(C25-VALUE(D25))&lt;0.00001,"PASS","FAIL")</x:f>
        <x:v>PASS</x:v>
      </x:c>
      <x:c r="F25" s="50" t="str">
        <x:v>User override frozen.</x:v>
      </x:c>
    </x:row>
    <x:row r="26">
      <x:c r="A26" s="49" t="str">
        <x:v>QA-22</x:v>
      </x:c>
      <x:c r="B26" s="44" t="str">
        <x:v>ME biogas 2050</x:v>
      </x:c>
      <x:c r="C26" s="149" t="n">
        <x:f>SUMIFS('04_RUNTIME_SUMMARY'!$F$5:$F$161,'04_RUNTIME_SUMMARY'!$A$5:$A$161,"ME",'04_RUNTIME_SUMMARY'!$C$5:$C$161,"bioenergy_biogas",'04_RUNTIME_SUMMARY'!$D$5:$D$161,"GW")</x:f>
        <x:v>0.087</x:v>
      </x:c>
      <x:c r="D26" s="44" t="str">
        <x:v>0.087</x:v>
      </x:c>
      <x:c r="E26" s="44" t="str">
        <x:f>IF(ABS(C26-VALUE(D26))&lt;0.00001,"PASS","FAIL")</x:f>
        <x:v>PASS</x:v>
      </x:c>
      <x:c r="F26" s="50" t="str">
        <x:v>User override frozen.</x:v>
      </x:c>
    </x:row>
    <x:row r="27">
      <x:c r="A27" s="49" t="str">
        <x:v>QA-23</x:v>
      </x:c>
      <x:c r="B27" s="44" t="str">
        <x:v>MT runtime thermal total 2040</x:v>
      </x:c>
      <x:c r="C27" s="149" t="n">
        <x:f>SUMIFS('04_RUNTIME_SUMMARY'!$E$5:$E$161,'04_RUNTIME_SUMMARY'!$A$5:$A$161,"MT",'04_RUNTIME_SUMMARY'!$C$5:$C$161,"thermal_methane_gas",'04_RUNTIME_SUMMARY'!$D$5:$D$161,"GW")+SUMIFS('04_RUNTIME_SUMMARY'!$E$5:$E$161,'04_RUNTIME_SUMMARY'!$A$5:$A$161,"MT",'04_RUNTIME_SUMMARY'!$C$5:$C$161,"thermal_oil_liquid",'04_RUNTIME_SUMMARY'!$D$5:$D$161,"GW")+SUMIFS('04_RUNTIME_SUMMARY'!$E$5:$E$161,'04_RUNTIME_SUMMARY'!$A$5:$A$161,"MT",'04_RUNTIME_SUMMARY'!$C$5:$C$161,"thermal_lowcarbon_gas_h2",'04_RUNTIME_SUMMARY'!$D$5:$D$161,"GW")</x:f>
        <x:v>0.5378000000000001</x:v>
      </x:c>
      <x:c r="D27" s="44" t="str">
        <x:v>0.5378</x:v>
      </x:c>
      <x:c r="E27" s="44" t="str">
        <x:f>IF(ABS(C27-VALUE(D27))&lt;0.00001,"PASS","FAIL")</x:f>
        <x:v>PASS</x:v>
      </x:c>
      <x:c r="F27" s="50" t="str">
        <x:v>Gas/dual-fuel + emergency liquid capacity.</x:v>
      </x:c>
    </x:row>
    <x:row r="28">
      <x:c r="A28" s="49" t="str">
        <x:v>QA-24</x:v>
      </x:c>
      <x:c r="B28" s="44" t="str">
        <x:v>MT runtime thermal total 2050</x:v>
      </x:c>
      <x:c r="C28" s="149" t="n">
        <x:f>SUMIFS('04_RUNTIME_SUMMARY'!$F$5:$F$161,'04_RUNTIME_SUMMARY'!$A$5:$A$161,"MT",'04_RUNTIME_SUMMARY'!$C$5:$C$161,"thermal_methane_gas",'04_RUNTIME_SUMMARY'!$D$5:$D$161,"GW")+SUMIFS('04_RUNTIME_SUMMARY'!$F$5:$F$161,'04_RUNTIME_SUMMARY'!$A$5:$A$161,"MT",'04_RUNTIME_SUMMARY'!$C$5:$C$161,"thermal_oil_liquid",'04_RUNTIME_SUMMARY'!$D$5:$D$161,"GW")+SUMIFS('04_RUNTIME_SUMMARY'!$F$5:$F$161,'04_RUNTIME_SUMMARY'!$A$5:$A$161,"MT",'04_RUNTIME_SUMMARY'!$C$5:$C$161,"thermal_lowcarbon_gas_h2",'04_RUNTIME_SUMMARY'!$D$5:$D$161,"GW")</x:f>
        <x:v>0.5378000000000001</x:v>
      </x:c>
      <x:c r="D28" s="44" t="str">
        <x:v>0.5378</x:v>
      </x:c>
      <x:c r="E28" s="44" t="str">
        <x:f>IF(ABS(C28-VALUE(D28))&lt;0.00001,"PASS","FAIL")</x:f>
        <x:v>PASS</x:v>
      </x:c>
      <x:c r="F28" s="50" t="str">
        <x:v>Long-run policy bridge retains local backup envelope.</x:v>
      </x:c>
    </x:row>
    <x:row r="29">
      <x:c r="A29" s="49" t="str">
        <x:v>QA-25</x:v>
      </x:c>
      <x:c r="B29" s="44" t="str">
        <x:v>TN gas-dominant thermal 2040</x:v>
      </x:c>
      <x:c r="C29" s="149" t="n">
        <x:f>SUMIFS('04_RUNTIME_SUMMARY'!$E$5:$E$161,'04_RUNTIME_SUMMARY'!$A$5:$A$161,"TN",'04_RUNTIME_SUMMARY'!$C$5:$C$161,"thermal_methane_gas",'04_RUNTIME_SUMMARY'!$D$5:$D$161,"GW")</x:f>
        <x:v>5.645</x:v>
      </x:c>
      <x:c r="D29" s="44" t="str">
        <x:v>5.645</x:v>
      </x:c>
      <x:c r="E29" s="44" t="str">
        <x:f>IF(ABS(C29-VALUE(D29))&lt;0.00001,"PASS","FAIL")</x:f>
        <x:v>PASS</x:v>
      </x:c>
      <x:c r="F29" s="50" t="str">
        <x:v>Replacement-equivalent conventional envelope.</x:v>
      </x:c>
    </x:row>
    <x:row r="30">
      <x:c r="A30" s="49" t="str">
        <x:v>QA-26</x:v>
      </x:c>
      <x:c r="B30" s="44" t="str">
        <x:v>TN PHS discharge power 2040</x:v>
      </x:c>
      <x:c r="C30" s="149" t="n">
        <x:f>SUMIFS('04_RUNTIME_SUMMARY'!$E$5:$E$161,'04_RUNTIME_SUMMARY'!$A$5:$A$161,"TN",'04_RUNTIME_SUMMARY'!$C$5:$C$161,"phs_discharge_power",'04_RUNTIME_SUMMARY'!$D$5:$D$161,"GW")</x:f>
        <x:v>0.4</x:v>
      </x:c>
      <x:c r="D30" s="44" t="str">
        <x:v>0.4</x:v>
      </x:c>
      <x:c r="E30" s="44" t="str">
        <x:f>IF(ABS(C30-VALUE(D30))&lt;0.00001,"PASS","FAIL")</x:f>
        <x:v>PASS</x:v>
      </x:c>
      <x:c r="F30" s="50" t="str">
        <x:v>Conservative Oued El Maleh lower-bound power.</x:v>
      </x:c>
    </x:row>
    <x:row r="31">
      <x:c r="A31" s="49" t="str">
        <x:v>QA-27</x:v>
      </x:c>
      <x:c r="B31" s="44" t="str">
        <x:v>TN PHS working energy 2040</x:v>
      </x:c>
      <x:c r="C31" s="149" t="n">
        <x:f>SUMIFS('04_RUNTIME_SUMMARY'!$E$5:$E$161,'04_RUNTIME_SUMMARY'!$A$5:$A$161,"TN",'04_RUNTIME_SUMMARY'!$C$5:$C$161,"phs_energy",'04_RUNTIME_SUMMARY'!$D$5:$D$161,"GWh")</x:f>
        <x:v>2.4</x:v>
      </x:c>
      <x:c r="D31" s="44" t="str">
        <x:v>2.4</x:v>
      </x:c>
      <x:c r="E31" s="44" t="str">
        <x:f>IF(ABS(C31-VALUE(D31))&lt;0.00001,"PASS","FAIL")</x:f>
        <x:v>PASS</x:v>
      </x:c>
      <x:c r="F31" s="50" t="str">
        <x:v>Technical working-energy fill remains explicit.</x:v>
      </x:c>
    </x:row>
    <x:row r="32">
      <x:c r="A32" s="49" t="str">
        <x:v>QA-28</x:v>
      </x:c>
      <x:c r="B32" s="44" t="str">
        <x:v>TN grid BESS power 2040</x:v>
      </x:c>
      <x:c r="C32" s="149" t="n">
        <x:f>SUMIFS('04_RUNTIME_SUMMARY'!$E$5:$E$161,'04_RUNTIME_SUMMARY'!$A$5:$A$161,"TN",'04_RUNTIME_SUMMARY'!$C$5:$C$161,"bess_grid_power",'04_RUNTIME_SUMMARY'!$D$5:$D$161,"GW")</x:f>
        <x:v>0.45</x:v>
      </x:c>
      <x:c r="D32" s="44" t="str">
        <x:v>0.45</x:v>
      </x:c>
      <x:c r="E32" s="44" t="str">
        <x:f>IF(ABS(C32-VALUE(D32))&lt;0.00001,"PASS","FAIL")</x:f>
        <x:v>PASS</x:v>
      </x:c>
      <x:c r="F32" s="50" t="str">
        <x:v>Official 2026 project floor.</x:v>
      </x:c>
    </x:row>
    <x:row r="33">
      <x:c r="A33" s="49" t="str">
        <x:v>QA-29</x:v>
      </x:c>
      <x:c r="B33" s="44" t="str">
        <x:v>TN grid BESS energy 2040</x:v>
      </x:c>
      <x:c r="C33" s="149" t="n">
        <x:f>SUMIFS('04_RUNTIME_SUMMARY'!$E$5:$E$161,'04_RUNTIME_SUMMARY'!$A$5:$A$161,"TN",'04_RUNTIME_SUMMARY'!$C$5:$C$161,"bess_grid_energy",'04_RUNTIME_SUMMARY'!$D$5:$D$161,"GWh")</x:f>
        <x:v>1.14</x:v>
      </x:c>
      <x:c r="D33" s="44" t="str">
        <x:v>1.14</x:v>
      </x:c>
      <x:c r="E33" s="44" t="str">
        <x:f>IF(ABS(C33-VALUE(D33))&lt;0.00001,"PASS","FAIL")</x:f>
        <x:v>PASS</x:v>
      </x:c>
      <x:c r="F33" s="50" t="str">
        <x:v>Official 2026 project floor.</x:v>
      </x:c>
    </x:row>
    <x:row r="34">
      <x:c r="A34" s="49" t="str">
        <x:v>QA-30</x:v>
      </x:c>
      <x:c r="B34" s="44" t="str">
        <x:v>GR storage power total 2040</x:v>
      </x:c>
      <x:c r="C34" s="149" t="n">
        <x:f>SUMIFS('04_RUNTIME_SUMMARY'!$E$5:$E$161,'04_RUNTIME_SUMMARY'!$A$5:$A$161,"GR",'04_RUNTIME_SUMMARY'!$C$5:$C$161,"phs_discharge_power",'04_RUNTIME_SUMMARY'!$D$5:$D$161,"GW")+SUMIFS('04_RUNTIME_SUMMARY'!$E$5:$E$161,'04_RUNTIME_SUMMARY'!$A$5:$A$161,"GR",'04_RUNTIME_SUMMARY'!$C$5:$C$161,"bess_grid_power",'04_RUNTIME_SUMMARY'!$D$5:$D$161,"GW")</x:f>
        <x:v>13.189</x:v>
      </x:c>
      <x:c r="D34" s="44" t="str">
        <x:v>13.189</x:v>
      </x:c>
      <x:c r="E34" s="44" t="str">
        <x:f>IF(ABS(C34-VALUE(D34))&lt;0.00001,"PASS","FAIL")</x:f>
        <x:v>PASS</x:v>
      </x:c>
      <x:c r="F34" s="50" t="str">
        <x:v>Final NECP HS-4 total installed storage power.</x:v>
      </x:c>
    </x:row>
    <x:row r="35">
      <x:c r="A35" s="49" t="str">
        <x:v>QA-31</x:v>
      </x:c>
      <x:c r="B35" s="44" t="str">
        <x:v>GR storage power total 2050</x:v>
      </x:c>
      <x:c r="C35" s="149" t="n">
        <x:f>SUMIFS('04_RUNTIME_SUMMARY'!$F$5:$F$161,'04_RUNTIME_SUMMARY'!$A$5:$A$161,"GR",'04_RUNTIME_SUMMARY'!$C$5:$C$161,"phs_discharge_power",'04_RUNTIME_SUMMARY'!$D$5:$D$161,"GW")+SUMIFS('04_RUNTIME_SUMMARY'!$F$5:$F$161,'04_RUNTIME_SUMMARY'!$A$5:$A$161,"GR",'04_RUNTIME_SUMMARY'!$C$5:$C$161,"bess_grid_power",'04_RUNTIME_SUMMARY'!$D$5:$D$161,"GW")</x:f>
        <x:v>17.478</x:v>
      </x:c>
      <x:c r="D35" s="44" t="str">
        <x:v>17.478</x:v>
      </x:c>
      <x:c r="E35" s="44" t="str">
        <x:f>IF(ABS(C35-VALUE(D35))&lt;0.00001,"PASS","FAIL")</x:f>
        <x:v>PASS</x:v>
      </x:c>
      <x:c r="F35" s="50" t="str">
        <x:v>Final NECP HS-4 total installed storage power.</x:v>
      </x:c>
    </x:row>
    <x:row r="36">
      <x:c r="A36" s="49" t="str">
        <x:v>QA-32</x:v>
      </x:c>
      <x:c r="B36" s="44" t="str">
        <x:v>GR storage energy component sum 2040</x:v>
      </x:c>
      <x:c r="C36" s="149" t="n">
        <x:f>SUMIFS('04_RUNTIME_SUMMARY'!$E$5:$E$161,'04_RUNTIME_SUMMARY'!$A$5:$A$161,"GR",'04_RUNTIME_SUMMARY'!$C$5:$C$161,"phs_energy",'04_RUNTIME_SUMMARY'!$D$5:$D$161,"GWh")+SUMIFS('04_RUNTIME_SUMMARY'!$E$5:$E$161,'04_RUNTIME_SUMMARY'!$A$5:$A$161,"GR",'04_RUNTIME_SUMMARY'!$C$5:$C$161,"bess_grid_energy",'04_RUNTIME_SUMMARY'!$D$5:$D$161,"GWh")</x:f>
        <x:v>74.941</x:v>
      </x:c>
      <x:c r="D36" s="44" t="str">
        <x:v>74.941</x:v>
      </x:c>
      <x:c r="E36" s="44" t="str">
        <x:f>IF(ABS(C36-VALUE(D36))&lt;0.00001,"PASS","FAIL")</x:f>
        <x:v>PASS</x:v>
      </x:c>
      <x:c r="F36" s="50" t="str">
        <x:v>52.484 + 22.457 GWh.</x:v>
      </x:c>
    </x:row>
    <x:row r="37">
      <x:c r="A37" s="49" t="str">
        <x:v>QA-33</x:v>
      </x:c>
      <x:c r="B37" s="44" t="str">
        <x:v>GR storage energy component sum 2050</x:v>
      </x:c>
      <x:c r="C37" s="149" t="n">
        <x:f>SUMIFS('04_RUNTIME_SUMMARY'!$F$5:$F$161,'04_RUNTIME_SUMMARY'!$A$5:$A$161,"GR",'04_RUNTIME_SUMMARY'!$C$5:$C$161,"phs_energy",'04_RUNTIME_SUMMARY'!$D$5:$D$161,"GWh")+SUMIFS('04_RUNTIME_SUMMARY'!$F$5:$F$161,'04_RUNTIME_SUMMARY'!$A$5:$A$161,"GR",'04_RUNTIME_SUMMARY'!$C$5:$C$161,"bess_grid_energy",'04_RUNTIME_SUMMARY'!$D$5:$D$161,"GWh")</x:f>
        <x:v>98.033</x:v>
      </x:c>
      <x:c r="D37" s="44" t="str">
        <x:v>98.033</x:v>
      </x:c>
      <x:c r="E37" s="44" t="str">
        <x:f>IF(ABS(C37-VALUE(D37))&lt;0.00001,"PASS","FAIL")</x:f>
        <x:v>PASS</x:v>
      </x:c>
      <x:c r="F37" s="50" t="str">
        <x:v>Component sum; published total is 98.032 GWh due to 1 MWh source rounding.</x:v>
      </x:c>
    </x:row>
    <x:row r="38">
      <x:c r="A38" s="49" t="str">
        <x:v>QA-34</x:v>
      </x:c>
      <x:c r="B38" s="44" t="str">
        <x:v>Countries with non-zero 2040 demand</x:v>
      </x:c>
      <x:c r="C38" s="149" t="n">
        <x:f>COUNTIF('01_COUNTRY_REGISTER'!$H$5:$H$13,"&gt;0")</x:f>
        <x:v>9</x:v>
      </x:c>
      <x:c r="D38" s="44" t="str">
        <x:v>9</x:v>
      </x:c>
      <x:c r="E38" s="44" t="str">
        <x:f>IF(ABS(C38-VALUE(D38))&lt;0.00001,"PASS","FAIL")</x:f>
        <x:v>PASS</x:v>
      </x:c>
      <x:c r="F38" s="50" t="str">
        <x:v>All external nodes have an annual demand control.</x:v>
      </x:c>
    </x:row>
    <x:row r="39">
      <x:c r="A39" s="51" t="str">
        <x:v>QA-35</x:v>
      </x:c>
      <x:c r="B39" s="52" t="str">
        <x:v>Countries with non-zero 2050 demand</x:v>
      </x:c>
      <x:c r="C39" s="150" t="n">
        <x:f>COUNTIF('01_COUNTRY_REGISTER'!$I$5:$I$13,"&gt;0")</x:f>
        <x:v>9</x:v>
      </x:c>
      <x:c r="D39" s="52" t="str">
        <x:v>9</x:v>
      </x:c>
      <x:c r="E39" s="52" t="str">
        <x:f>IF(ABS(C39-VALUE(D39))&lt;0.00001,"PASS","FAIL")</x:f>
        <x:v>PASS</x:v>
      </x:c>
      <x:c r="F39" s="53" t="str">
        <x:v>All external nodes have an annual demand control.</x:v>
      </x:c>
    </x:row>
    <x:row r="41">
      <x:c r="A41" s="162" t="str">
        <x:v>FREEZE</x:v>
      </x:c>
      <x:c r="B41" s="163" t="str">
        <x:v>Overall ETX-7A static-freeze result</x:v>
      </x:c>
      <x:c r="C41" s="163" t="n">
        <x:f>COUNTIF(E5:E39,"FAIL")</x:f>
        <x:v>0</x:v>
      </x:c>
      <x:c r="D41" s="163" t="str">
        <x:v>All QA checks PASS</x:v>
      </x:c>
      <x:c r="E41" s="163" t="str">
        <x:f>IF(C41=0,"ETX7A_EXTERNAL_COUNTRY_STATIC_FREEZE_COMPLETE","ETX7A_FREEZE_BLOCKED")</x:f>
        <x:v>ETX7A_EXTERNAL_COUNTRY_STATIC_FREEZE_COMPLETE</x:v>
      </x:c>
      <x:c r="F41" s="164" t="str">
        <x:v>If this gate passes, proceed to ETX-7B without reopening country capacity research.</x:v>
      </x:c>
    </x:row>
  </x:sheetData>
  <x:mergeCells>
    <x:mergeCell ref="A1:F1"/>
    <x:mergeCell ref="A2:F2"/>
  </x:mergeCells>
  <x:conditionalFormatting sqref="E5:E39">
    <x:cfRule type="expression" dxfId="4" priority="1">
      <x:formula>E5="PASS"</x:formula>
    </x:cfRule>
    <x:cfRule type="expression" dxfId="5" priority="2">
      <x:formula>E5="FAIL"</x:formula>
    </x:cfRule>
  </x:conditionalFormatting>
  <x:conditionalFormatting sqref="E41:E41">
    <x:cfRule type="expression" dxfId="6" priority="3">
      <x:formula>E41="ETX7A_EXTERNAL_COUNTRY_STATIC_FREEZE_COMPLETE"</x:formula>
    </x:cfRule>
  </x:conditionalFormatting>
  <x:pageMargins left="0.7" right="0.7" top="0.75" bottom="0.75" header="0.3" footer="0.3"/>
</x:worksheet>
</file>
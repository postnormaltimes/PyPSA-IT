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9.xml" ContentType="application/vnd.openxmlformats-officedocument.spreadsheetml.worksheet+xml"/>
  <Override PartName="/xl/tables/table24.xml" ContentType="application/vnd.openxmlformats-officedocument.spreadsheetml.table+xml"/>
  <Override PartName="/xl/worksheets/sheet30.xml" ContentType="application/vnd.openxmlformats-officedocument.spreadsheetml.worksheet+xml"/>
  <Override PartName="/xl/tables/table25.xml" ContentType="application/vnd.openxmlformats-officedocument.spreadsheetml.table+xml"/>
  <Override PartName="/xl/worksheets/sheet31.xml" ContentType="application/vnd.openxmlformats-officedocument.spreadsheetml.worksheet+xml"/>
  <Override PartName="/xl/tables/table26.xml" ContentType="application/vnd.openxmlformats-officedocument.spreadsheetml.table+xml"/>
  <Override PartName="/xl/worksheets/sheet32.xml" ContentType="application/vnd.openxmlformats-officedocument.spreadsheetml.worksheet+xml"/>
  <Override PartName="/xl/tables/table27.xml" ContentType="application/vnd.openxmlformats-officedocument.spreadsheetml.table+xml"/>
  <Override PartName="/xl/worksheets/sheet33.xml" ContentType="application/vnd.openxmlformats-officedocument.spreadsheetml.worksheet+xml"/>
  <Override PartName="/xl/tables/table28.xml" ContentType="application/vnd.openxmlformats-officedocument.spreadsheetml.table+xml"/>
  <Override PartName="/xl/worksheets/sheet34.xml" ContentType="application/vnd.openxmlformats-officedocument.spreadsheetml.worksheet+xml"/>
  <Override PartName="/xl/tables/table29.xml" ContentType="application/vnd.openxmlformats-officedocument.spreadsheetml.table+xml"/>
  <Override PartName="/xl/worksheets/sheet35.xml" ContentType="application/vnd.openxmlformats-officedocument.spreadsheetml.worksheet+xml"/>
  <Override PartName="/xl/tables/table30.xml" ContentType="application/vnd.openxmlformats-officedocument.spreadsheetml.table+xml"/>
  <Override PartName="/xl/worksheets/sheet36.xml" ContentType="application/vnd.openxmlformats-officedocument.spreadsheetml.worksheet+xml"/>
  <Override PartName="/xl/tables/table31.xml" ContentType="application/vnd.openxmlformats-officedocument.spreadsheetml.table+xml"/>
  <Override PartName="/xl/worksheets/sheet37.xml" ContentType="application/vnd.openxmlformats-officedocument.spreadsheetml.worksheet+xml"/>
  <Override PartName="/xl/tables/table32.xml" ContentType="application/vnd.openxmlformats-officedocument.spreadsheetml.table+xml"/>
  <Override PartName="/xl/worksheets/sheet38.xml" ContentType="application/vnd.openxmlformats-officedocument.spreadsheetml.worksheet+xml"/>
  <Override PartName="/xl/tables/table33.xml" ContentType="application/vnd.openxmlformats-officedocument.spreadsheetml.table+xml"/>
  <Override PartName="/xl/worksheets/sheet39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0.xml" ContentType="application/vnd.openxmlformats-officedocument.spreadsheetml.worksheet+xml"/>
  <Override PartName="/xl/tables/table34.xml" ContentType="application/vnd.openxmlformats-officedocument.spreadsheetml.table+xml"/>
  <Override PartName="/xl/worksheets/sheet41.xml" ContentType="application/vnd.openxmlformats-officedocument.spreadsheetml.worksheet+xml"/>
  <Override PartName="/xl/tables/table35.xml" ContentType="application/vnd.openxmlformats-officedocument.spreadsheetml.table+xml"/>
  <Override PartName="/xl/worksheets/sheet42.xml" ContentType="application/vnd.openxmlformats-officedocument.spreadsheetml.worksheet+xml"/>
  <Override PartName="/xl/tables/table36.xml" ContentType="application/vnd.openxmlformats-officedocument.spreadsheetml.table+xml"/>
  <Override PartName="/xl/worksheets/sheet43.xml" ContentType="application/vnd.openxmlformats-officedocument.spreadsheetml.worksheet+xml"/>
  <Override PartName="/xl/tables/table37.xml" ContentType="application/vnd.openxmlformats-officedocument.spreadsheetml.table+xml"/>
  <Override PartName="/xl/worksheets/sheet44.xml" ContentType="application/vnd.openxmlformats-officedocument.spreadsheetml.worksheet+xml"/>
  <Override PartName="/xl/tables/table38.xml" ContentType="application/vnd.openxmlformats-officedocument.spreadsheetml.table+xml"/>
  <Override PartName="/xl/worksheets/sheet45.xml" ContentType="application/vnd.openxmlformats-officedocument.spreadsheetml.worksheet+xml"/>
  <Override PartName="/xl/tables/table39.xml" ContentType="application/vnd.openxmlformats-officedocument.spreadsheetml.table+xml"/>
  <Override PartName="/xl/worksheets/sheet46.xml" ContentType="application/vnd.openxmlformats-officedocument.spreadsheetml.worksheet+xml"/>
  <Override PartName="/xl/tables/table40.xml" ContentType="application/vnd.openxmlformats-officedocument.spreadsheetml.table+xml"/>
  <Override PartName="/xl/worksheets/sheet47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48.xml" ContentType="application/vnd.openxmlformats-officedocument.spreadsheetml.worksheet+xml"/>
  <Override PartName="/xl/tables/table41.xml" ContentType="application/vnd.openxmlformats-officedocument.spreadsheetml.table+xml"/>
  <Override PartName="/xl/worksheets/sheet49.xml" ContentType="application/vnd.openxmlformats-officedocument.spreadsheetml.worksheet+xml"/>
  <Override PartName="/xl/tables/table42.xml" ContentType="application/vnd.openxmlformats-officedocument.spreadsheetml.table+xml"/>
  <Override PartName="/xl/worksheets/sheet50.xml" ContentType="application/vnd.openxmlformats-officedocument.spreadsheetml.worksheet+xml"/>
  <Override PartName="/xl/tables/table43.xml" ContentType="application/vnd.openxmlformats-officedocument.spreadsheetml.table+xml"/>
  <Override PartName="/xl/worksheets/sheet51.xml" ContentType="application/vnd.openxmlformats-officedocument.spreadsheetml.worksheet+xml"/>
  <Override PartName="/xl/tables/table44.xml" ContentType="application/vnd.openxmlformats-officedocument.spreadsheetml.table+xml"/>
  <Override PartName="/xl/worksheets/sheet52.xml" ContentType="application/vnd.openxmlformats-officedocument.spreadsheetml.worksheet+xml"/>
  <Override PartName="/xl/tables/table45.xml" ContentType="application/vnd.openxmlformats-officedocument.spreadsheetml.table+xml"/>
  <Override PartName="/xl/worksheets/sheet53.xml" ContentType="application/vnd.openxmlformats-officedocument.spreadsheetml.worksheet+xml"/>
  <Override PartName="/xl/tables/table46.xml" ContentType="application/vnd.openxmlformats-officedocument.spreadsheetml.table+xml"/>
  <Override PartName="/xl/worksheets/sheet54.xml" ContentType="application/vnd.openxmlformats-officedocument.spreadsheetml.worksheet+xml"/>
  <Override PartName="/xl/tables/table47.xml" ContentType="application/vnd.openxmlformats-officedocument.spreadsheetml.table+xml"/>
  <Override PartName="/xl/worksheets/sheet55.xml" ContentType="application/vnd.openxmlformats-officedocument.spreadsheetml.worksheet+xml"/>
  <Override PartName="/xl/drawings/drawing6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56.xml" ContentType="application/vnd.openxmlformats-officedocument.spreadsheetml.worksheet+xml"/>
  <Override PartName="/xl/tables/table48.xml" ContentType="application/vnd.openxmlformats-officedocument.spreadsheetml.table+xml"/>
  <Override PartName="/xl/worksheets/sheet57.xml" ContentType="application/vnd.openxmlformats-officedocument.spreadsheetml.worksheet+xml"/>
  <Override PartName="/xl/tables/table4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ae9e25145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cbd238b69e64455"/>
    <x:sheet xmlns:r="http://schemas.openxmlformats.org/officeDocument/2006/relationships" name="01_SOURCE_REGISTER" sheetId="2" r:id="R2e01eac9db0e4083"/>
    <x:sheet xmlns:r="http://schemas.openxmlformats.org/officeDocument/2006/relationships" name="02_STRUCTURE_MAP" sheetId="3" r:id="Rf7fc7d2c236242d5"/>
    <x:sheet xmlns:r="http://schemas.openxmlformats.org/officeDocument/2006/relationships" name="03_TABLE_FIGURE_CATALOGUE" sheetId="4" r:id="Ra8b45e05ad1c4a7b"/>
    <x:sheet xmlns:r="http://schemas.openxmlformats.org/officeDocument/2006/relationships" name="04_EXTERNAL_REFERENCES" sheetId="5" r:id="Re8d8c2d0f6f14007"/>
    <x:sheet xmlns:r="http://schemas.openxmlformats.org/officeDocument/2006/relationships" name="99_LISTS" sheetId="6" r:id="R9745004963d94a6f"/>
    <x:sheet xmlns:r="http://schemas.openxmlformats.org/officeDocument/2006/relationships" name="05_PHASE2_SUMMARY" sheetId="7" r:id="R88aaf69f9a294ed6"/>
    <x:sheet xmlns:r="http://schemas.openxmlformats.org/officeDocument/2006/relationships" name="06_MODEL_REQUIREMENTS" sheetId="8" r:id="Rc1a71abb552043de"/>
    <x:sheet xmlns:r="http://schemas.openxmlformats.org/officeDocument/2006/relationships" name="07_PYPSA_INPUT_MAP" sheetId="9" r:id="R85335d1c94154f37"/>
    <x:sheet xmlns:r="http://schemas.openxmlformats.org/officeDocument/2006/relationships" name="08_MODELLING_DECISIONS" sheetId="10" r:id="Rabfed76d20534e0f"/>
    <x:sheet xmlns:r="http://schemas.openxmlformats.org/officeDocument/2006/relationships" name="10_SCENARIO_CROSSWALK" sheetId="11" r:id="R3f29c07df8da4a98"/>
    <x:sheet xmlns:r="http://schemas.openxmlformats.org/officeDocument/2006/relationships" name="11_DEMAND_TOTAL" sheetId="12" r:id="R69aed5f461b4436d"/>
    <x:sheet xmlns:r="http://schemas.openxmlformats.org/officeDocument/2006/relationships" name="12_DEMAND_SECTORAL" sheetId="13" r:id="R870d6a3bc1f54732"/>
    <x:sheet xmlns:r="http://schemas.openxmlformats.org/officeDocument/2006/relationships" name="13_SCENARIO_PARAMETERS" sheetId="14" r:id="R61fbe4a1ccf64662"/>
    <x:sheet xmlns:r="http://schemas.openxmlformats.org/officeDocument/2006/relationships" name="14_GEN_CAP_NATIONAL" sheetId="15" r:id="R7d42ce2ac6664f7c"/>
    <x:sheet xmlns:r="http://schemas.openxmlformats.org/officeDocument/2006/relationships" name="15_GEN_CAP_ZONAL" sheetId="16" r:id="R4578571537184d48"/>
    <x:sheet xmlns:r="http://schemas.openxmlformats.org/officeDocument/2006/relationships" name="16_ANNUAL_BALANCE" sheetId="17" r:id="R8b1be737da3e4701"/>
    <x:sheet xmlns:r="http://schemas.openxmlformats.org/officeDocument/2006/relationships" name="18_3A_EXTRACTION_LOG" sheetId="18" r:id="R3c19087975da45fa"/>
    <x:sheet xmlns:r="http://schemas.openxmlformats.org/officeDocument/2006/relationships" name="17_3A_QA" sheetId="19" r:id="Rf66b9588247c4ae7"/>
    <x:sheet xmlns:r="http://schemas.openxmlformats.org/officeDocument/2006/relationships" name="09_3A_SUMMARY" sheetId="20" r:id="Rf5d5a13e9af34b2a"/>
    <x:sheet xmlns:r="http://schemas.openxmlformats.org/officeDocument/2006/relationships" name="20_STORAGE" sheetId="21" r:id="R13ad6d62401c4e59"/>
    <x:sheet xmlns:r="http://schemas.openxmlformats.org/officeDocument/2006/relationships" name="21_STORAGE_ZONAL" sheetId="22" r:id="R6f0a327b33b843a7"/>
    <x:sheet xmlns:r="http://schemas.openxmlformats.org/officeDocument/2006/relationships" name="22_HYDRO" sheetId="23" r:id="R243912b025a3434d"/>
    <x:sheet xmlns:r="http://schemas.openxmlformats.org/officeDocument/2006/relationships" name="23_FLEXIBILITY_CONTEXT" sheetId="24" r:id="R5233d919022b4e31"/>
    <x:sheet xmlns:r="http://schemas.openxmlformats.org/officeDocument/2006/relationships" name="26_3B_DECISIONS" sheetId="25" r:id="R79271f52bc7749fe"/>
    <x:sheet xmlns:r="http://schemas.openxmlformats.org/officeDocument/2006/relationships" name="25_3B_EXTRACTION_LOG" sheetId="26" r:id="Rcfc52fed845044a2"/>
    <x:sheet xmlns:r="http://schemas.openxmlformats.org/officeDocument/2006/relationships" name="24_3B_QA" sheetId="27" r:id="Ra35b528f071e4999"/>
    <x:sheet xmlns:r="http://schemas.openxmlformats.org/officeDocument/2006/relationships" name="19_3B_SUMMARY" sheetId="28" r:id="R9bb7562baee04389"/>
    <x:sheet xmlns:r="http://schemas.openxmlformats.org/officeDocument/2006/relationships" name="INTERZONAL_CAPACITY" sheetId="29" r:id="R5963346e8f8f42c2"/>
    <x:sheet xmlns:r="http://schemas.openxmlformats.org/officeDocument/2006/relationships" name="CURRENT_SEASONAL_LIMITS" sheetId="30" r:id="Rababc114cee142dc"/>
    <x:sheet xmlns:r="http://schemas.openxmlformats.org/officeDocument/2006/relationships" name="FOREIGN_INTERCONNECTORS" sheetId="31" r:id="Rea2e87a9350d447f"/>
    <x:sheet xmlns:r="http://schemas.openxmlformats.org/officeDocument/2006/relationships" name="GRID_PROJECTS" sheetId="32" r:id="R94177a49339a4401"/>
    <x:sheet xmlns:r="http://schemas.openxmlformats.org/officeDocument/2006/relationships" name="ZONE_REGION_CROSSWALK" sheetId="33" r:id="R91ac33bfc5f24a20"/>
    <x:sheet xmlns:r="http://schemas.openxmlformats.org/officeDocument/2006/relationships" name="GRID_TOPOLOGY" sheetId="34" r:id="R3e141a3d119c4abe"/>
    <x:sheet xmlns:r="http://schemas.openxmlformats.org/officeDocument/2006/relationships" name="GRID_VARIANTS" sheetId="35" r:id="R56d31287f568402e"/>
    <x:sheet xmlns:r="http://schemas.openxmlformats.org/officeDocument/2006/relationships" name="3C_QA" sheetId="36" r:id="Ree960e55e5484cf2"/>
    <x:sheet xmlns:r="http://schemas.openxmlformats.org/officeDocument/2006/relationships" name="3C_EXTRACTION_LOG" sheetId="37" r:id="R5a2fe7295d8247d5"/>
    <x:sheet xmlns:r="http://schemas.openxmlformats.org/officeDocument/2006/relationships" name="3C_DECISIONS" sheetId="38" r:id="Ra0cec17e380344cb"/>
    <x:sheet xmlns:r="http://schemas.openxmlformats.org/officeDocument/2006/relationships" name="27_3C_SUMMARY" sheetId="39" r:id="R972e5f5d1eeb4c0c"/>
    <x:sheet xmlns:r="http://schemas.openxmlformats.org/officeDocument/2006/relationships" name="TECH_PARAMETERS" sheetId="40" r:id="Rc3ebe1e1a0dd4004"/>
    <x:sheet xmlns:r="http://schemas.openxmlformats.org/officeDocument/2006/relationships" name="FUEL_CO2" sheetId="41" r:id="Rccf1d48f09f2464b"/>
    <x:sheet xmlns:r="http://schemas.openxmlformats.org/officeDocument/2006/relationships" name="TECH_DATA_CANDIDATES" sheetId="42" r:id="R754902bd17c44da0"/>
    <x:sheet xmlns:r="http://schemas.openxmlformats.org/officeDocument/2006/relationships" name="EXTERNAL_GAPS" sheetId="43" r:id="R4319fea68fe34f09"/>
    <x:sheet xmlns:r="http://schemas.openxmlformats.org/officeDocument/2006/relationships" name="3D_DECISIONS" sheetId="44" r:id="Rd9997d39f5a14c0a"/>
    <x:sheet xmlns:r="http://schemas.openxmlformats.org/officeDocument/2006/relationships" name="3D_QA" sheetId="45" r:id="Re787ffd00bcf42aa"/>
    <x:sheet xmlns:r="http://schemas.openxmlformats.org/officeDocument/2006/relationships" name="3D_EXTRACTION_LOG" sheetId="46" r:id="R3924e01cbc354c07"/>
    <x:sheet xmlns:r="http://schemas.openxmlformats.org/officeDocument/2006/relationships" name="28_3D_SUMMARY" sheetId="47" r:id="R076fae9f04b840c8"/>
    <x:sheet xmlns:r="http://schemas.openxmlformats.org/officeDocument/2006/relationships" name="SCENARIO_CATALOGUE" sheetId="48" r:id="R314602bc8f8b4a3d"/>
    <x:sheet xmlns:r="http://schemas.openxmlformats.org/officeDocument/2006/relationships" name="SCENARIO_2040" sheetId="49" r:id="Reb9058d100d940f0"/>
    <x:sheet xmlns:r="http://schemas.openxmlformats.org/officeDocument/2006/relationships" name="SCENARIO_2050" sheetId="50" r:id="R5a4c16b6680a4395"/>
    <x:sheet xmlns:r="http://schemas.openxmlformats.org/officeDocument/2006/relationships" name="ASSUMPTIONS" sheetId="51" r:id="Rebff971a93884393"/>
    <x:sheet xmlns:r="http://schemas.openxmlformats.org/officeDocument/2006/relationships" name="TECH_TAXONOMY" sheetId="52" r:id="R4d825fe442784f0d"/>
    <x:sheet xmlns:r="http://schemas.openxmlformats.org/officeDocument/2006/relationships" name="RECONCILIATION" sheetId="53" r:id="R05dd709b35ef40d7"/>
    <x:sheet xmlns:r="http://schemas.openxmlformats.org/officeDocument/2006/relationships" name="4_DECISIONS" sheetId="54" r:id="Rb5547373eb974994"/>
    <x:sheet xmlns:r="http://schemas.openxmlformats.org/officeDocument/2006/relationships" name="29_4_SUMMARY" sheetId="55" r:id="R2dd6c82d7f744143"/>
    <x:sheet xmlns:r="http://schemas.openxmlformats.org/officeDocument/2006/relationships" name="MACSE_ROADMAP" sheetId="56" r:id="Rc80194c9c4b24ddc"/>
    <x:sheet xmlns:r="http://schemas.openxmlformats.org/officeDocument/2006/relationships" name="PNIEC_2050_BASE_BRIDGE" sheetId="57" r:id="Rab91a3774f31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0.000"/>
    <x:numFmt numFmtId="202" formatCode="0.00000"/>
    <x:numFmt numFmtId="203" formatCode="0.00"/>
    <x:numFmt numFmtId="204" formatCode="0"/>
    <x:numFmt numFmtId="205" formatCode="0.0000"/>
    <x:numFmt numFmtId="206" formatCode="0.0%"/>
    <x:numFmt numFmtId="207" formatCode="0.000000"/>
  </x:numFmts>
  <x:fonts count="20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4313A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2"/>
      <x:name val="Aptos"/>
    </x:font>
    <x:font>
      <x:sz val="11"/>
      <x:color rgb="FF24313A"/>
      <x:name val="Aptos"/>
    </x:font>
    <x:font>
      <x:b/>
      <x:sz val="18"/>
      <x:color rgb="FF24313A"/>
      <x:name val="Aptos"/>
    </x:font>
    <x:font>
      <x:b/>
      <x:sz val="11"/>
      <x:color rgb="FF24313A"/>
      <x:name val="Aptos"/>
    </x:font>
    <x:font>
      <x:b/>
      <x:sz val="12"/>
      <x:color rgb="FF24313A"/>
      <x:name val="Aptos"/>
    </x:font>
    <x:font>
      <x:b/>
      <x:sz val="18"/>
      <x:color rgb="FF24313A"/>
      <x:name val="Aptos Display"/>
    </x:font>
    <x:font>
      <x:i/>
      <x:sz val="10"/>
      <x:color rgb="FF24313A"/>
      <x:name val="Aptos Display"/>
    </x:font>
    <x:font>
      <x:sz val="9"/>
      <x:color rgb="FF24313A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9"/>
      <x:name val="Aptos"/>
    </x:font>
    <x:font>
      <x:sz val="9"/>
      <x:color rgb="FF1155CC"/>
      <x:name val="Aptos"/>
    </x:font>
    <x:font>
      <x:b/>
      <x:sz val="9"/>
      <x:color rgb="FF24313A"/>
      <x:name val="Aptos"/>
    </x:font>
    <x:font>
      <x:sz val="8"/>
      <x:name val="Aptos"/>
    </x:font>
    <x:font>
      <x:b/>
      <x:sz val="11"/>
      <x:color rgb="FF24313A"/>
      <x:name val="Carlito"/>
    </x:font>
  </x:fonts>
  <x:fills count="5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DEFE4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D9EFEF"/>
      </x:patternFill>
    </x:fill>
    <x:fill>
      <x:patternFill patternType="solid">
        <x:fgColor rgb="FFDDEFE4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  <x:fill>
      <x:patternFill patternType="solid">
        <x:fgColor rgb="FF163A5F"/>
      </x:patternFill>
    </x:fill>
    <x:fill>
      <x:patternFill patternType="solid">
        <x:fgColor rgb="FFF4F8FB"/>
      </x:patternFill>
    </x:fill>
    <x:fill>
      <x:patternFill patternType="solid">
        <x:fgColor rgb="FF1F6FA8"/>
      </x:patternFill>
    </x:fill>
    <x:fill>
      <x:patternFill patternType="solid">
        <x:fgColor rgb="FFFFF0CC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8D7DA"/>
      </x:patternFill>
    </x:fill>
    <x:fill>
      <x:patternFill patternType="solid">
        <x:fgColor rgb="FFDCEEF8"/>
      </x:patternFill>
    </x:fill>
    <x:fill>
      <x:patternFill patternType="solid">
        <x:fgColor rgb="FF163A5F"/>
      </x:patternFill>
    </x:fill>
    <x:fill>
      <x:patternFill patternType="solid">
        <x:fgColor rgb="FF1F6FA8"/>
      </x:patternFill>
    </x:fill>
    <x:fill>
      <x:patternFill patternType="solid">
        <x:fgColor rgb="FFDCEEF8"/>
      </x:patternFill>
    </x:fill>
    <x:fill>
      <x:patternFill patternType="solid">
        <x:fgColor rgb="FF163A5F"/>
      </x:patternFill>
    </x:fill>
    <x:fill>
      <x:patternFill patternType="solid">
        <x:fgColor rgb="FF1F6FA8"/>
      </x:patternFill>
    </x:fill>
  </x:fills>
  <x:borders count="5">
    <x:border/>
    <x:border/>
    <x:border/>
    <x:border/>
    <x:border/>
  </x:borders>
  <x:cellStyleXfs count="1">
    <x:xf numFmtId="0" fontId="0" fillId="0" borderId="0"/>
  </x:cellStyleXfs>
  <x:cellXfs count="4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8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6" fillId="6" borderId="1" xfId="0" applyNumberFormat="1" applyFont="1" applyFill="1" applyBorder="1"/>
    <x:xf numFmtId="0" fontId="6" fillId="7" borderId="1" xfId="0" applyNumberFormat="1" applyFont="1" applyFill="1" applyBorder="1"/>
    <x:xf numFmtId="0" fontId="6" fillId="8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3" xfId="0" applyNumberFormat="1" applyFont="1" applyFill="1" applyBorder="1" applyAlignment="1">
      <x:alignment wrapText="1"/>
    </x:xf>
    <x:xf numFmtId="0" fontId="13" fillId="4" borderId="3" xfId="0" applyNumberFormat="1" applyFont="1" applyFill="1" applyBorder="1" applyAlignment="1">
      <x:alignment horizont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4" borderId="3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horizontal="center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13" fillId="9" borderId="0" xfId="0" applyNumberFormat="1" applyFont="1" applyFill="1" applyBorder="1"/>
    <x:xf numFmtId="0" fontId="14" fillId="0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4" xfId="0" applyNumberFormat="1" applyFont="1" applyFill="1" applyBorder="1"/>
    <x:xf numFmtId="0" fontId="13" fillId="11" borderId="4" xfId="0" applyNumberFormat="1" applyFont="1" applyFill="1" applyBorder="1" applyAlignment="1">
      <x:alignment wrapText="1"/>
    </x:xf>
    <x:xf numFmtId="0" fontId="13" fillId="11" borderId="4" xfId="0" applyNumberFormat="1" applyFont="1" applyFill="1" applyBorder="1" applyAlignment="1">
      <x:alignment horizontal="center" wrapText="1"/>
    </x:xf>
    <x:xf numFmtId="0" fontId="13" fillId="11" borderId="4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4" fillId="5" borderId="0" xfId="0" applyNumberFormat="1" applyFont="1" applyFill="1" applyBorder="1"/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vertical="top" wrapText="1"/>
    </x:xf>
    <x:xf numFmtId="0" fontId="17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horizontal="center" vertical="top" wrapText="1"/>
    </x:xf>
    <x:xf numFmtId="0" fontId="13" fillId="18" borderId="0" xfId="0" applyNumberFormat="1" applyFont="1" applyFill="1" applyBorder="1" applyAlignment="1">
      <x:alignment horizontal="center" vertical="center" wrapText="1"/>
    </x:xf>
    <x:xf numFmtId="200" fontId="12" fillId="0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/>
    <x:xf numFmtId="200" fontId="0" fillId="0" borderId="0" xfId="0" applyNumberFormat="1" applyFont="1" applyFill="1" applyBorder="1"/>
    <x:xf numFmtId="0" fontId="0" fillId="20" borderId="0" xfId="0" applyNumberFormat="1" applyFont="1" applyFill="1" applyBorder="1"/>
    <x:xf numFmtId="0" fontId="14" fillId="20" borderId="0" xfId="0" applyNumberFormat="1" applyFont="1" applyFill="1" applyBorder="1"/>
    <x:xf numFmtId="0" fontId="14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200" fontId="14" fillId="20" borderId="0" xfId="0" applyNumberFormat="1" applyFont="1" applyFill="1" applyBorder="1"/>
    <x:xf numFmtId="0" fontId="7" fillId="16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/>
    <x:xf numFmtId="0" fontId="8" fillId="19" borderId="0" xfId="0" applyNumberFormat="1" applyFont="1" applyFill="1" applyBorder="1"/>
    <x:xf numFmtId="0" fontId="8" fillId="16" borderId="0" xfId="0" applyNumberFormat="1" applyFont="1" applyFill="1" applyBorder="1"/>
    <x:xf numFmtId="200" fontId="6" fillId="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8" fillId="21" borderId="0" xfId="0" applyNumberFormat="1" applyFont="1" applyFill="1" applyBorder="1"/>
    <x:xf numFmtId="0" fontId="12" fillId="20" borderId="0" xfId="0" applyNumberFormat="1" applyFont="1" applyFill="1" applyBorder="1"/>
    <x:xf numFmtId="200" fontId="12" fillId="20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200" fontId="14" fillId="7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12" fillId="7" borderId="0" xfId="0" applyNumberFormat="1" applyFont="1" applyFill="1" applyBorder="1"/>
    <x:xf numFmtId="200" fontId="12" fillId="7" borderId="0" xfId="0" applyNumberFormat="1" applyFont="1" applyFill="1" applyBorder="1"/>
    <x:xf numFmtId="0" fontId="18" fillId="0" borderId="0" xfId="0" applyNumberFormat="1" applyFont="1" applyFill="1" applyBorder="1"/>
    <x:xf numFmtId="200" fontId="18" fillId="0" borderId="0" xfId="0" applyNumberFormat="1" applyFont="1" applyFill="1" applyBorder="1"/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vertical="center" wrapText="1"/>
    </x:xf>
    <x:xf numFmtId="0" fontId="12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horizontal="center" vertical="top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201" fontId="12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2" fillId="0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wrapText="1"/>
    </x:xf>
    <x:xf numFmtId="0" fontId="6" fillId="26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7" fillId="22" borderId="0" xfId="0" applyNumberFormat="1" applyFont="1" applyFill="1" applyBorder="1" applyAlignment="1">
      <x:alignment vertical="center"/>
    </x:xf>
    <x:xf numFmtId="0" fontId="8" fillId="24" borderId="0" xfId="0" applyNumberFormat="1" applyFont="1" applyFill="1" applyBorder="1"/>
    <x:xf numFmtId="0" fontId="8" fillId="25" borderId="0" xfId="0" applyNumberFormat="1" applyFont="1" applyFill="1" applyBorder="1"/>
    <x:xf numFmtId="0" fontId="8" fillId="22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12" fillId="27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0" fontId="13" fillId="24" borderId="0" xfId="0" applyNumberFormat="1" applyFont="1" applyFill="1" applyBorder="1"/>
    <x:xf numFmtId="0" fontId="13" fillId="22" borderId="0" xfId="0" applyNumberFormat="1" applyFont="1" applyFill="1" applyBorder="1"/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2" fillId="29" borderId="0" xfId="0" applyNumberFormat="1" applyFont="1" applyFill="1" applyBorder="1" applyAlignment="1">
      <x:alignment vertical="center" wrapText="1"/>
    </x:xf>
    <x:xf numFmtId="0" fontId="12" fillId="30" borderId="0" xfId="0" applyNumberFormat="1" applyFont="1" applyFill="1" applyBorder="1" applyAlignment="1">
      <x:alignment vertical="top" wrapText="1"/>
    </x:xf>
    <x:xf numFmtId="0" fontId="13" fillId="30" borderId="0" xfId="0" applyNumberFormat="1" applyFont="1" applyFill="1" applyBorder="1" applyAlignment="1">
      <x:alignment vertical="top" wrapText="1"/>
    </x:xf>
    <x:xf numFmtId="0" fontId="13" fillId="30" borderId="0" xfId="0" applyNumberFormat="1" applyFont="1" applyFill="1" applyBorder="1" applyAlignment="1">
      <x:alignment horizontal="center" vertical="top" wrapText="1"/>
    </x:xf>
    <x:xf numFmtId="0" fontId="13" fillId="30" borderId="0" xfId="0" applyNumberFormat="1" applyFont="1" applyFill="1" applyBorder="1" applyAlignment="1">
      <x:alignment horizontal="center" vertical="center" wrapText="1"/>
    </x:xf>
    <x:xf numFmtId="204" fontId="12" fillId="0" borderId="0" xfId="0" applyNumberFormat="1" applyFont="1" applyFill="1" applyBorder="1" applyAlignment="1">
      <x:alignment vertical="top" wrapText="1"/>
    </x:xf>
    <x:xf numFmtId="203" fontId="12" fillId="0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0" fillId="32" borderId="0" xfId="0" applyNumberFormat="1" applyFont="1" applyFill="1" applyBorder="1"/>
    <x:xf numFmtId="0" fontId="6" fillId="32" borderId="0" xfId="0" applyNumberFormat="1" applyFont="1" applyFill="1" applyBorder="1"/>
    <x:xf numFmtId="0" fontId="6" fillId="32" borderId="0" xfId="0" applyNumberFormat="1" applyFont="1" applyFill="1" applyBorder="1" applyAlignment="1">
      <x:alignment wrapText="1"/>
    </x:xf>
    <x:xf numFmtId="0" fontId="6" fillId="32" borderId="0" xfId="0" applyNumberFormat="1" applyFont="1" applyFill="1" applyBorder="1" applyAlignment="1">
      <x:alignment vertical="center" wrapText="1"/>
    </x:xf>
    <x:xf numFmtId="0" fontId="3" fillId="28" borderId="0" xfId="0" applyNumberFormat="1" applyFont="1" applyFill="1" applyBorder="1"/>
    <x:xf numFmtId="0" fontId="4" fillId="3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vertical="center"/>
    </x:xf>
    <x:xf numFmtId="0" fontId="8" fillId="30" borderId="0" xfId="0" applyNumberFormat="1" applyFont="1" applyFill="1" applyBorder="1"/>
    <x:xf numFmtId="0" fontId="8" fillId="31" borderId="0" xfId="0" applyNumberFormat="1" applyFont="1" applyFill="1" applyBorder="1"/>
    <x:xf numFmtId="0" fontId="8" fillId="28" borderId="0" xfId="0" applyNumberFormat="1" applyFont="1" applyFill="1" applyBorder="1"/>
    <x:xf numFmtId="0" fontId="8" fillId="31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2" fillId="33" borderId="0" xfId="0" applyNumberFormat="1" applyFont="1" applyFill="1" applyBorder="1" applyAlignment="1">
      <x:alignment wrapText="1"/>
    </x:xf>
    <x:xf numFmtId="0" fontId="13" fillId="30" borderId="0" xfId="0" applyNumberFormat="1" applyFont="1" applyFill="1" applyBorder="1"/>
    <x:xf numFmtId="0" fontId="13" fillId="28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wrapText="1"/>
    </x:xf>
    <x:xf numFmtId="0" fontId="2" fillId="35" borderId="0" xfId="0" applyNumberFormat="1" applyFont="1" applyFill="1" applyBorder="1" applyAlignment="1">
      <x:alignment vertical="center" wrapText="1"/>
    </x:xf>
    <x:xf numFmtId="0" fontId="12" fillId="36" borderId="0" xfId="0" applyNumberFormat="1" applyFont="1" applyFill="1" applyBorder="1" applyAlignment="1">
      <x:alignment vertical="top" wrapText="1"/>
    </x:xf>
    <x:xf numFmtId="0" fontId="13" fillId="36" borderId="0" xfId="0" applyNumberFormat="1" applyFont="1" applyFill="1" applyBorder="1" applyAlignment="1">
      <x:alignment vertical="top" wrapText="1"/>
    </x:xf>
    <x:xf numFmtId="0" fontId="13" fillId="36" borderId="0" xfId="0" applyNumberFormat="1" applyFont="1" applyFill="1" applyBorder="1" applyAlignment="1">
      <x:alignment horizontal="center" vertical="top" wrapText="1"/>
    </x:xf>
    <x:xf numFmtId="0" fontId="13" fillId="36" borderId="0" xfId="0" applyNumberFormat="1" applyFont="1" applyFill="1" applyBorder="1" applyAlignment="1">
      <x:alignment horizontal="center" vertical="center" wrapText="1"/>
    </x:xf>
    <x:xf numFmtId="205" fontId="12" fillId="0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0" fillId="38" borderId="0" xfId="0" applyNumberFormat="1" applyFont="1" applyFill="1" applyBorder="1"/>
    <x:xf numFmtId="0" fontId="6" fillId="38" borderId="0" xfId="0" applyNumberFormat="1" applyFont="1" applyFill="1" applyBorder="1"/>
    <x:xf numFmtId="0" fontId="6" fillId="38" borderId="0" xfId="0" applyNumberFormat="1" applyFont="1" applyFill="1" applyBorder="1" applyAlignment="1">
      <x:alignment wrapText="1"/>
    </x:xf>
    <x:xf numFmtId="0" fontId="6" fillId="38" borderId="0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/>
    <x:xf numFmtId="0" fontId="4" fillId="37" borderId="0" xfId="0" applyNumberFormat="1" applyFont="1" applyFill="1" applyBorder="1" applyAlignment="1">
      <x:alignment wrapText="1"/>
    </x:xf>
    <x:xf numFmtId="203" fontId="0" fillId="36" borderId="0" xfId="0" applyNumberFormat="1" applyFont="1" applyFill="1" applyBorder="1"/>
    <x:xf numFmtId="203" fontId="3" fillId="36" borderId="0" xfId="0" applyNumberFormat="1" applyFont="1" applyFill="1" applyBorder="1"/>
    <x:xf numFmtId="203" fontId="0" fillId="39" borderId="0" xfId="0" applyNumberFormat="1" applyFont="1" applyFill="1" applyBorder="1"/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203" fontId="14" fillId="39" borderId="0" xfId="0" applyNumberFormat="1" applyFont="1" applyFill="1" applyBorder="1"/>
    <x:xf numFmtId="0" fontId="14" fillId="39" borderId="0" xfId="0" applyNumberFormat="1" applyFont="1" applyFill="1" applyBorder="1"/>
    <x:xf numFmtId="0" fontId="13" fillId="39" borderId="0" xfId="0" applyNumberFormat="1" applyFont="1" applyFill="1" applyBorder="1"/>
    <x:xf numFmtId="203" fontId="14" fillId="39" borderId="0" xfId="0" applyNumberFormat="1" applyFont="1" applyFill="1" applyBorder="1" applyAlignment="1">
      <x:alignment wrapText="1"/>
    </x:xf>
    <x:xf numFmtId="0" fontId="14" fillId="39" borderId="0" xfId="0" applyNumberFormat="1" applyFont="1" applyFill="1" applyBorder="1" applyAlignment="1">
      <x:alignment wrapText="1"/>
    </x:xf>
    <x:xf numFmtId="0" fontId="13" fillId="39" borderId="0" xfId="0" applyNumberFormat="1" applyFont="1" applyFill="1" applyBorder="1" applyAlignment="1">
      <x:alignment wrapText="1"/>
    </x:xf>
    <x:xf numFmtId="0" fontId="7" fillId="34" borderId="0" xfId="0" applyNumberFormat="1" applyFont="1" applyFill="1" applyBorder="1" applyAlignment="1">
      <x:alignment vertical="center"/>
    </x:xf>
    <x:xf numFmtId="0" fontId="8" fillId="36" borderId="0" xfId="0" applyNumberFormat="1" applyFont="1" applyFill="1" applyBorder="1"/>
    <x:xf numFmtId="0" fontId="8" fillId="37" borderId="0" xfId="0" applyNumberFormat="1" applyFont="1" applyFill="1" applyBorder="1"/>
    <x:xf numFmtId="0" fontId="8" fillId="34" borderId="0" xfId="0" applyNumberFormat="1" applyFont="1" applyFill="1" applyBorder="1"/>
    <x:xf numFmtId="203" fontId="8" fillId="36" borderId="0" xfId="0" applyNumberFormat="1" applyFont="1" applyFill="1" applyBorder="1"/>
    <x:xf numFmtId="203" fontId="12" fillId="39" borderId="0" xfId="0" applyNumberFormat="1" applyFont="1" applyFill="1" applyBorder="1" applyAlignment="1">
      <x:alignment wrapText="1"/>
    </x:xf>
    <x:xf numFmtId="0" fontId="12" fillId="39" borderId="0" xfId="0" applyNumberFormat="1" applyFont="1" applyFill="1" applyBorder="1" applyAlignment="1">
      <x:alignment wrapText="1"/>
    </x:xf>
    <x:xf numFmtId="0" fontId="17" fillId="39" borderId="0" xfId="0" applyNumberFormat="1" applyFont="1" applyFill="1" applyBorder="1" applyAlignment="1">
      <x:alignment wrapText="1"/>
    </x:xf>
    <x:xf numFmtId="0" fontId="8" fillId="37" borderId="0" xfId="0" applyNumberFormat="1" applyFont="1" applyFill="1" applyBorder="1" applyAlignment="1">
      <x:alignment wrapText="1"/>
    </x:xf>
    <x:xf numFmtId="0" fontId="13" fillId="36" borderId="0" xfId="0" applyNumberFormat="1" applyFont="1" applyFill="1" applyBorder="1"/>
    <x:xf numFmtId="0" fontId="13" fillId="34" borderId="0" xfId="0" applyNumberFormat="1" applyFont="1" applyFill="1" applyBorder="1"/>
    <x:xf numFmtId="203" fontId="13" fillId="36" borderId="0" xfId="0" applyNumberFormat="1" applyFont="1" applyFill="1" applyBorder="1"/>
    <x:xf numFmtId="203" fontId="0" fillId="4" borderId="0" xfId="0" applyNumberFormat="1" applyFont="1" applyFill="1" applyBorder="1"/>
    <x:xf numFmtId="203" fontId="3" fillId="4" borderId="0" xfId="0" applyNumberFormat="1" applyFont="1" applyFill="1" applyBorder="1"/>
    <x:xf numFmtId="203" fontId="0" fillId="7" borderId="0" xfId="0" applyNumberFormat="1" applyFont="1" applyFill="1" applyBorder="1"/>
    <x:xf numFmtId="0" fontId="3" fillId="7" borderId="0" xfId="0" applyNumberFormat="1" applyFont="1" applyFill="1" applyBorder="1"/>
    <x:xf numFmtId="203" fontId="14" fillId="7" borderId="0" xfId="0" applyNumberFormat="1" applyFont="1" applyFill="1" applyBorder="1"/>
    <x:xf numFmtId="0" fontId="13" fillId="7" borderId="0" xfId="0" applyNumberFormat="1" applyFont="1" applyFill="1" applyBorder="1"/>
    <x:xf numFmtId="203" fontId="14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wrapText="1"/>
    </x:xf>
    <x:xf numFmtId="203" fontId="8" fillId="4" borderId="0" xfId="0" applyNumberFormat="1" applyFont="1" applyFill="1" applyBorder="1"/>
    <x:xf numFmtId="203" fontId="12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wrapText="1"/>
    </x:xf>
    <x:xf numFmtId="203" fontId="13" fillId="4" borderId="0" xfId="0" applyNumberFormat="1" applyFont="1" applyFill="1" applyBorder="1"/>
    <x:xf numFmtId="0" fontId="13" fillId="40" borderId="0" xfId="0" applyNumberFormat="1" applyFont="1" applyFill="1" applyBorder="1"/>
    <x:xf numFmtId="0" fontId="8" fillId="41" borderId="0" xfId="0" applyNumberFormat="1" applyFont="1" applyFill="1" applyBorder="1" applyAlignment="1">
      <x:alignment wrapText="1"/>
    </x:xf>
    <x:xf numFmtId="0" fontId="17" fillId="41" borderId="0" xfId="0" applyNumberFormat="1" applyFont="1" applyFill="1" applyBorder="1" applyAlignment="1">
      <x:alignment wrapText="1"/>
    </x:xf>
    <x:xf numFmtId="0" fontId="13" fillId="40" borderId="0" xfId="0" applyNumberFormat="1" applyFont="1" applyFill="1" applyBorder="1" applyAlignment="1">
      <x:alignment wrapText="1"/>
    </x:xf>
    <x:xf numFmtId="0" fontId="12" fillId="42" borderId="0" xfId="0" applyNumberFormat="1" applyFont="1" applyFill="1" applyBorder="1" applyAlignment="1">
      <x:alignment wrapText="1"/>
    </x:xf>
    <x:xf numFmtId="0" fontId="13" fillId="42" borderId="0" xfId="0" applyNumberFormat="1" applyFont="1" applyFill="1" applyBorder="1" applyAlignment="1">
      <x:alignment wrapText="1"/>
    </x:xf>
    <x:xf numFmtId="0" fontId="12" fillId="43" borderId="0" xfId="0" applyNumberFormat="1" applyFont="1" applyFill="1" applyBorder="1" applyAlignment="1">
      <x:alignment wrapText="1"/>
    </x:xf>
    <x:xf numFmtId="0" fontId="6" fillId="43" borderId="0" xfId="0" applyNumberFormat="1" applyFont="1" applyFill="1" applyBorder="1"/>
    <x:xf numFmtId="0" fontId="12" fillId="43" borderId="0" xfId="0" applyNumberFormat="1" applyFont="1" applyFill="1" applyBorder="1"/>
    <x:xf numFmtId="206" fontId="6" fillId="0" borderId="0" xfId="0" applyNumberFormat="1" applyFont="1" applyFill="1" applyBorder="1"/>
    <x:xf numFmtId="0" fontId="17" fillId="5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1" fillId="44" borderId="0" xfId="0" applyNumberFormat="1" applyFont="1" applyFill="1" applyBorder="1"/>
    <x:xf numFmtId="0" fontId="1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" fillId="45" borderId="0" xfId="0" applyNumberFormat="1" applyFont="1" applyFill="1" applyBorder="1"/>
    <x:xf numFmtId="0" fontId="2" fillId="45" borderId="0" xfId="0" applyNumberFormat="1" applyFont="1" applyFill="1" applyBorder="1" applyAlignment="1">
      <x:alignment wrapText="1"/>
    </x:xf>
    <x:xf numFmtId="0" fontId="2" fillId="45" borderId="0" xfId="0" applyNumberFormat="1" applyFont="1" applyFill="1" applyBorder="1" applyAlignment="1">
      <x:alignment vertical="center" wrapText="1"/>
    </x:xf>
    <x:xf numFmtId="0" fontId="12" fillId="46" borderId="0" xfId="0" applyNumberFormat="1" applyFont="1" applyFill="1" applyBorder="1" applyAlignment="1">
      <x:alignment vertical="top" wrapText="1"/>
    </x:xf>
    <x:xf numFmtId="0" fontId="13" fillId="46" borderId="0" xfId="0" applyNumberFormat="1" applyFont="1" applyFill="1" applyBorder="1" applyAlignment="1">
      <x:alignment vertical="top" wrapText="1"/>
    </x:xf>
    <x:xf numFmtId="0" fontId="13" fillId="46" borderId="0" xfId="0" applyNumberFormat="1" applyFont="1" applyFill="1" applyBorder="1" applyAlignment="1">
      <x:alignment horizontal="center" vertical="top" wrapText="1"/>
    </x:xf>
    <x:xf numFmtId="0" fontId="13" fillId="46" borderId="0" xfId="0" applyNumberFormat="1" applyFont="1" applyFill="1" applyBorder="1" applyAlignment="1">
      <x:alignment horizontal="center" vertical="center" wrapText="1"/>
    </x:xf>
    <x:xf numFmtId="207" fontId="12" fillId="0" borderId="0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/>
    <x:xf numFmtId="0" fontId="13" fillId="46" borderId="0" xfId="0" applyNumberFormat="1" applyFont="1" applyFill="1" applyBorder="1"/>
    <x:xf numFmtId="0" fontId="0" fillId="47" borderId="0" xfId="0" applyNumberFormat="1" applyFont="1" applyFill="1" applyBorder="1"/>
    <x:xf numFmtId="0" fontId="17" fillId="47" borderId="0" xfId="0" applyNumberFormat="1" applyFont="1" applyFill="1" applyBorder="1"/>
    <x:xf numFmtId="0" fontId="9" fillId="0" borderId="0" xfId="0" applyNumberFormat="1" applyFont="1" applyFill="1" applyBorder="1"/>
    <x:xf numFmtId="0" fontId="0" fillId="48" borderId="0" xfId="0" applyNumberFormat="1" applyFont="1" applyFill="1" applyBorder="1"/>
    <x:xf numFmtId="0" fontId="6" fillId="48" borderId="0" xfId="0" applyNumberFormat="1" applyFont="1" applyFill="1" applyBorder="1"/>
    <x:xf numFmtId="0" fontId="6" fillId="48" borderId="0" xfId="0" applyNumberFormat="1" applyFont="1" applyFill="1" applyBorder="1" applyAlignment="1">
      <x:alignment wrapText="1"/>
    </x:xf>
    <x:xf numFmtId="0" fontId="6" fillId="48" borderId="0" xfId="0" applyNumberFormat="1" applyFont="1" applyFill="1" applyBorder="1" applyAlignment="1">
      <x:alignment vertical="center" wrapText="1"/>
    </x:xf>
    <x:xf numFmtId="0" fontId="13" fillId="44" borderId="0" xfId="0" applyNumberFormat="1" applyFont="1" applyFill="1" applyBorder="1"/>
    <x:xf numFmtId="0" fontId="15" fillId="47" borderId="0" xfId="0" applyNumberFormat="1" applyFont="1" applyFill="1" applyBorder="1"/>
    <x:xf numFmtId="0" fontId="15" fillId="47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19" fillId="49" borderId="0" xfId="0" applyNumberFormat="1" applyFont="1" applyFill="1" applyBorder="1" applyAlignment="1">
      <x:alignment wrapText="1"/>
    </x:xf>
    <x:xf numFmtId="0" fontId="7" fillId="44" borderId="0" xfId="0" applyNumberFormat="1" applyFont="1" applyFill="1" applyBorder="1" applyAlignment="1">
      <x:alignment vertical="center"/>
    </x:xf>
    <x:xf numFmtId="0" fontId="17" fillId="46" borderId="0" xfId="0" applyNumberFormat="1" applyFont="1" applyFill="1" applyBorder="1"/>
    <x:xf numFmtId="0" fontId="17" fillId="44" borderId="0" xfId="0" applyNumberFormat="1" applyFont="1" applyFill="1" applyBorder="1"/>
    <x:xf numFmtId="0" fontId="17" fillId="47" borderId="0" xfId="0" applyNumberFormat="1" applyFont="1" applyFill="1" applyBorder="1" applyAlignment="1">
      <x:alignment wrapText="1"/>
    </x:xf>
    <x:xf numFmtId="0" fontId="8" fillId="49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/>
    <x:xf numFmtId="0" fontId="17" fillId="5" borderId="0" xfId="0" applyNumberFormat="1" applyFont="1" applyFill="1" applyBorder="1"/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7" fillId="4" borderId="0" xfId="0" applyNumberFormat="1" applyFont="1" applyFill="1" applyBorder="1"/>
    <x:xf numFmtId="0" fontId="17" fillId="2" borderId="0" xfId="0" applyNumberFormat="1" applyFont="1" applyFill="1" applyBorder="1"/>
    <x:xf numFmtId="0" fontId="0" fillId="50" borderId="0" xfId="0" applyNumberFormat="1" applyFont="1" applyFill="1" applyBorder="1"/>
    <x:xf numFmtId="0" fontId="12" fillId="50" borderId="0" xfId="0" applyNumberFormat="1" applyFont="1" applyFill="1" applyBorder="1"/>
    <x:xf numFmtId="0" fontId="12" fillId="50" borderId="0" xfId="0" applyNumberFormat="1" applyFont="1" applyFill="1" applyBorder="1" applyAlignment="1">
      <x:alignment wrapText="1"/>
    </x:xf>
    <x:xf numFmtId="0" fontId="12" fillId="50" borderId="0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/>
    <x:xf numFmtId="0" fontId="1" fillId="51" borderId="0" xfId="0" applyNumberFormat="1" applyFont="1" applyFill="1" applyBorder="1"/>
    <x:xf numFmtId="0" fontId="1" fillId="51" borderId="0" xfId="0" applyNumberFormat="1" applyFont="1" applyFill="1" applyBorder="1" applyAlignment="1">
      <x:alignment vertical="center"/>
    </x:xf>
    <x:xf numFmtId="0" fontId="2" fillId="50" borderId="0" xfId="0" applyNumberFormat="1" applyFont="1" applyFill="1" applyBorder="1"/>
    <x:xf numFmtId="0" fontId="2" fillId="50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13" fillId="52" borderId="0" xfId="0" applyNumberFormat="1" applyFont="1" applyFill="1" applyBorder="1"/>
    <x:xf numFmtId="0" fontId="13" fillId="52" borderId="0" xfId="0" applyNumberFormat="1" applyFont="1" applyFill="1" applyBorder="1" applyAlignment="1">
      <x:alignment wrapText="1"/>
    </x:xf>
    <x:xf numFmtId="0" fontId="13" fillId="52" borderId="0" xfId="0" applyNumberFormat="1" applyFont="1" applyFill="1" applyBorder="1" applyAlignment="1">
      <x:alignment horizontal="center" wrapText="1"/>
    </x:xf>
    <x:xf numFmtId="207" fontId="12" fillId="50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top" wrapText="1"/>
    </x:xf>
    <x:xf numFmtId="207" fontId="12" fillId="3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12" fillId="53" borderId="0" xfId="0" applyNumberFormat="1" applyFont="1" applyFill="1" applyBorder="1"/>
    <x:xf numFmtId="0" fontId="12" fillId="53" borderId="0" xfId="0" applyNumberFormat="1" applyFont="1" applyFill="1" applyBorder="1" applyAlignment="1">
      <x:alignment wrapText="1"/>
    </x:xf>
    <x:xf numFmtId="0" fontId="12" fillId="53" borderId="0" xfId="0" applyNumberFormat="1" applyFont="1" applyFill="1" applyBorder="1" applyAlignment="1">
      <x:alignment vertical="top" wrapText="1"/>
    </x:xf>
    <x:xf numFmtId="207" fontId="12" fillId="53" borderId="0" xfId="0" applyNumberFormat="1" applyFont="1" applyFill="1" applyBorder="1" applyAlignment="1">
      <x:alignment vertical="top"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vertical="center"/>
    </x:xf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13" fillId="55" borderId="0" xfId="0" applyNumberFormat="1" applyFont="1" applyFill="1" applyBorder="1"/>
    <x:xf numFmtId="0" fontId="13" fillId="55" borderId="0" xfId="0" applyNumberFormat="1" applyFont="1" applyFill="1" applyBorder="1" applyAlignment="1">
      <x:alignment wrapText="1"/>
    </x:xf>
    <x:xf numFmtId="0" fontId="13" fillId="55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3"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8D7DA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8D7DA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CEEF8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E7ECF0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E7ECF0"/>
        </x:patternFill>
      </x:fill>
    </x:dxf>
    <x:dxf>
      <x:font>
        <x:b/>
      </x:font>
      <x:fill>
        <x:patternFill>
          <x:bgColor rgb="FFF8D7DA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CEEF8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8D7DA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ont>
        <x:b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31ec95bae460b" /><Relationship Type="http://schemas.openxmlformats.org/officeDocument/2006/relationships/theme" Target="/xl/theme/theme1.xml" Id="R1b6baf950fce449c" /><Relationship Type="http://schemas.microsoft.com/office/2022/11/relationships/FeaturePropertyBag" Target="/xl/featurePropertyBag/featurePropertyBag.xml" Id="Re0088eec9580473e" /><Relationship Type="http://schemas.openxmlformats.org/officeDocument/2006/relationships/sharedStrings" Target="/xl/sharedStrings.xml" Id="Rf90705f8745e4e2a" /><Relationship Type="http://schemas.openxmlformats.org/officeDocument/2006/relationships/worksheet" Target="/xl/worksheets/sheet1.xml" Id="Rfcbd238b69e64455" /><Relationship Type="http://schemas.openxmlformats.org/officeDocument/2006/relationships/worksheet" Target="/xl/worksheets/sheet2.xml" Id="R2e01eac9db0e4083" /><Relationship Type="http://schemas.openxmlformats.org/officeDocument/2006/relationships/worksheet" Target="/xl/worksheets/sheet3.xml" Id="Rf7fc7d2c236242d5" /><Relationship Type="http://schemas.openxmlformats.org/officeDocument/2006/relationships/worksheet" Target="/xl/worksheets/sheet4.xml" Id="Ra8b45e05ad1c4a7b" /><Relationship Type="http://schemas.openxmlformats.org/officeDocument/2006/relationships/worksheet" Target="/xl/worksheets/sheet5.xml" Id="Re8d8c2d0f6f14007" /><Relationship Type="http://schemas.openxmlformats.org/officeDocument/2006/relationships/worksheet" Target="/xl/worksheets/sheet6.xml" Id="R9745004963d94a6f" /><Relationship Type="http://schemas.openxmlformats.org/officeDocument/2006/relationships/worksheet" Target="/xl/worksheets/sheet7.xml" Id="R88aaf69f9a294ed6" /><Relationship Type="http://schemas.openxmlformats.org/officeDocument/2006/relationships/worksheet" Target="/xl/worksheets/sheet8.xml" Id="Rc1a71abb552043de" /><Relationship Type="http://schemas.openxmlformats.org/officeDocument/2006/relationships/worksheet" Target="/xl/worksheets/sheet9.xml" Id="R85335d1c94154f37" /><Relationship Type="http://schemas.openxmlformats.org/officeDocument/2006/relationships/worksheet" Target="/xl/worksheets/sheet10.xml" Id="Rabfed76d20534e0f" /><Relationship Type="http://schemas.openxmlformats.org/officeDocument/2006/relationships/worksheet" Target="/xl/worksheets/sheet11.xml" Id="R3f29c07df8da4a98" /><Relationship Type="http://schemas.openxmlformats.org/officeDocument/2006/relationships/worksheet" Target="/xl/worksheets/sheet12.xml" Id="R69aed5f461b4436d" /><Relationship Type="http://schemas.openxmlformats.org/officeDocument/2006/relationships/worksheet" Target="/xl/worksheets/sheet13.xml" Id="R870d6a3bc1f54732" /><Relationship Type="http://schemas.openxmlformats.org/officeDocument/2006/relationships/worksheet" Target="/xl/worksheets/sheet14.xml" Id="R61fbe4a1ccf64662" /><Relationship Type="http://schemas.openxmlformats.org/officeDocument/2006/relationships/worksheet" Target="/xl/worksheets/sheet15.xml" Id="R7d42ce2ac6664f7c" /><Relationship Type="http://schemas.openxmlformats.org/officeDocument/2006/relationships/worksheet" Target="/xl/worksheets/sheet16.xml" Id="R4578571537184d48" /><Relationship Type="http://schemas.openxmlformats.org/officeDocument/2006/relationships/worksheet" Target="/xl/worksheets/sheet17.xml" Id="R8b1be737da3e4701" /><Relationship Type="http://schemas.openxmlformats.org/officeDocument/2006/relationships/worksheet" Target="/xl/worksheets/sheet18.xml" Id="R3c19087975da45fa" /><Relationship Type="http://schemas.openxmlformats.org/officeDocument/2006/relationships/worksheet" Target="/xl/worksheets/sheet19.xml" Id="Rf66b9588247c4ae7" /><Relationship Type="http://schemas.openxmlformats.org/officeDocument/2006/relationships/worksheet" Target="/xl/worksheets/sheet20.xml" Id="Rf5d5a13e9af34b2a" /><Relationship Type="http://schemas.openxmlformats.org/officeDocument/2006/relationships/worksheet" Target="/xl/worksheets/sheet21.xml" Id="R13ad6d62401c4e59" /><Relationship Type="http://schemas.openxmlformats.org/officeDocument/2006/relationships/worksheet" Target="/xl/worksheets/sheet22.xml" Id="R6f0a327b33b843a7" /><Relationship Type="http://schemas.openxmlformats.org/officeDocument/2006/relationships/worksheet" Target="/xl/worksheets/sheet23.xml" Id="R243912b025a3434d" /><Relationship Type="http://schemas.openxmlformats.org/officeDocument/2006/relationships/worksheet" Target="/xl/worksheets/sheet24.xml" Id="R5233d919022b4e31" /><Relationship Type="http://schemas.openxmlformats.org/officeDocument/2006/relationships/worksheet" Target="/xl/worksheets/sheet25.xml" Id="R79271f52bc7749fe" /><Relationship Type="http://schemas.openxmlformats.org/officeDocument/2006/relationships/worksheet" Target="/xl/worksheets/sheet26.xml" Id="Rcfc52fed845044a2" /><Relationship Type="http://schemas.openxmlformats.org/officeDocument/2006/relationships/worksheet" Target="/xl/worksheets/sheet27.xml" Id="Ra35b528f071e4999" /><Relationship Type="http://schemas.openxmlformats.org/officeDocument/2006/relationships/worksheet" Target="/xl/worksheets/sheet28.xml" Id="R9bb7562baee04389" /><Relationship Type="http://schemas.openxmlformats.org/officeDocument/2006/relationships/worksheet" Target="/xl/worksheets/sheet29.xml" Id="R5963346e8f8f42c2" /><Relationship Type="http://schemas.openxmlformats.org/officeDocument/2006/relationships/worksheet" Target="/xl/worksheets/sheet30.xml" Id="Rababc114cee142dc" /><Relationship Type="http://schemas.openxmlformats.org/officeDocument/2006/relationships/worksheet" Target="/xl/worksheets/sheet31.xml" Id="Rea2e87a9350d447f" /><Relationship Type="http://schemas.openxmlformats.org/officeDocument/2006/relationships/worksheet" Target="/xl/worksheets/sheet32.xml" Id="R94177a49339a4401" /><Relationship Type="http://schemas.openxmlformats.org/officeDocument/2006/relationships/worksheet" Target="/xl/worksheets/sheet33.xml" Id="R91ac33bfc5f24a20" /><Relationship Type="http://schemas.openxmlformats.org/officeDocument/2006/relationships/worksheet" Target="/xl/worksheets/sheet34.xml" Id="R3e141a3d119c4abe" /><Relationship Type="http://schemas.openxmlformats.org/officeDocument/2006/relationships/worksheet" Target="/xl/worksheets/sheet35.xml" Id="R56d31287f568402e" /><Relationship Type="http://schemas.openxmlformats.org/officeDocument/2006/relationships/worksheet" Target="/xl/worksheets/sheet36.xml" Id="Ree960e55e5484cf2" /><Relationship Type="http://schemas.openxmlformats.org/officeDocument/2006/relationships/worksheet" Target="/xl/worksheets/sheet37.xml" Id="R5a2fe7295d8247d5" /><Relationship Type="http://schemas.openxmlformats.org/officeDocument/2006/relationships/worksheet" Target="/xl/worksheets/sheet38.xml" Id="Ra0cec17e380344cb" /><Relationship Type="http://schemas.openxmlformats.org/officeDocument/2006/relationships/worksheet" Target="/xl/worksheets/sheet39.xml" Id="R972e5f5d1eeb4c0c" /><Relationship Type="http://schemas.openxmlformats.org/officeDocument/2006/relationships/worksheet" Target="/xl/worksheets/sheet40.xml" Id="Rc3ebe1e1a0dd4004" /><Relationship Type="http://schemas.openxmlformats.org/officeDocument/2006/relationships/worksheet" Target="/xl/worksheets/sheet41.xml" Id="Rccf1d48f09f2464b" /><Relationship Type="http://schemas.openxmlformats.org/officeDocument/2006/relationships/worksheet" Target="/xl/worksheets/sheet42.xml" Id="R754902bd17c44da0" /><Relationship Type="http://schemas.openxmlformats.org/officeDocument/2006/relationships/worksheet" Target="/xl/worksheets/sheet43.xml" Id="R4319fea68fe34f09" /><Relationship Type="http://schemas.openxmlformats.org/officeDocument/2006/relationships/worksheet" Target="/xl/worksheets/sheet44.xml" Id="Rd9997d39f5a14c0a" /><Relationship Type="http://schemas.openxmlformats.org/officeDocument/2006/relationships/worksheet" Target="/xl/worksheets/sheet45.xml" Id="Re787ffd00bcf42aa" /><Relationship Type="http://schemas.openxmlformats.org/officeDocument/2006/relationships/worksheet" Target="/xl/worksheets/sheet46.xml" Id="R3924e01cbc354c07" /><Relationship Type="http://schemas.openxmlformats.org/officeDocument/2006/relationships/worksheet" Target="/xl/worksheets/sheet47.xml" Id="R076fae9f04b840c8" /><Relationship Type="http://schemas.openxmlformats.org/officeDocument/2006/relationships/worksheet" Target="/xl/worksheets/sheet48.xml" Id="R314602bc8f8b4a3d" /><Relationship Type="http://schemas.openxmlformats.org/officeDocument/2006/relationships/worksheet" Target="/xl/worksheets/sheet49.xml" Id="Reb9058d100d940f0" /><Relationship Type="http://schemas.openxmlformats.org/officeDocument/2006/relationships/worksheet" Target="/xl/worksheets/sheet50.xml" Id="R5a4c16b6680a4395" /><Relationship Type="http://schemas.openxmlformats.org/officeDocument/2006/relationships/worksheet" Target="/xl/worksheets/sheet51.xml" Id="Rebff971a93884393" /><Relationship Type="http://schemas.openxmlformats.org/officeDocument/2006/relationships/worksheet" Target="/xl/worksheets/sheet52.xml" Id="R4d825fe442784f0d" /><Relationship Type="http://schemas.openxmlformats.org/officeDocument/2006/relationships/worksheet" Target="/xl/worksheets/sheet53.xml" Id="R05dd709b35ef40d7" /><Relationship Type="http://schemas.openxmlformats.org/officeDocument/2006/relationships/worksheet" Target="/xl/worksheets/sheet54.xml" Id="Rb5547373eb974994" /><Relationship Type="http://schemas.openxmlformats.org/officeDocument/2006/relationships/worksheet" Target="/xl/worksheets/sheet55.xml" Id="R2dd6c82d7f744143" /><Relationship Type="http://schemas.openxmlformats.org/officeDocument/2006/relationships/worksheet" Target="/xl/worksheets/sheet56.xml" Id="Rc80194c9c4b24ddc" /><Relationship Type="http://schemas.openxmlformats.org/officeDocument/2006/relationships/worksheet" Target="/xl/worksheets/sheet57.xml" Id="Rab91a3774f3145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4a512a6c0a434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95e03d3fdd54c39" /><Relationship Type="http://schemas.openxmlformats.org/officeDocument/2006/relationships/chart" Target="/xl/drawings/charts/chart3.xml" Id="R24d8eaf6865a45f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84e0c5807044e72" /><Relationship Type="http://schemas.openxmlformats.org/officeDocument/2006/relationships/chart" Target="/xl/drawings/charts/chart5.xml" Id="R9e8307afde3d42d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571dbc3e90484cd3" /><Relationship Type="http://schemas.openxmlformats.org/officeDocument/2006/relationships/chart" Target="/xl/drawings/charts/chart7.xml" Id="Rb66a2ae684cd4eb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24b3c7d1a6d542e8" /><Relationship Type="http://schemas.openxmlformats.org/officeDocument/2006/relationships/chart" Target="/xl/drawings/charts/chart9.xml" Id="R1aaad4f4cc5d4ae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581c063bb2744dc1" /><Relationship Type="http://schemas.openxmlformats.org/officeDocument/2006/relationships/chart" Target="/xl/drawings/charts/chart11.xml" Id="R392f7c5ea95949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Requisiti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N. requisiti</c:v>
          </c:tx>
          <c:cat>
            <c:strRef>
              <c:f>'05_PHASE2_SUMMARY'!$A$13:$A$22</c:f>
              <c:strCache>
                <c:ptCount val="0"/>
              </c:strCache>
            </c:strRef>
          </c:cat>
          <c:val>
            <c:numRef>
              <c:f>'05_PHASE2_SUMMARY'!$B$13:$B$22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Fabbisogno elettrico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Fabbisogno TWh</c:v>
          </c:tx>
          <c:cat>
            <c:strRef>
              <c:f>'09_3A_SUMMARY'!$A$16:$A$18</c:f>
              <c:strCache>
                <c:ptCount val="0"/>
              </c:strCache>
            </c:strRef>
          </c:cat>
          <c:val>
            <c:numRef>
              <c:f>'09_3A_SUMMARY'!$B$16:$B$18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installata 2050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FRNP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'09_3A_SUMMARY'!$B$45:$B$48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Solare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'09_3A_SUMMARY'!$C$45:$C$48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Onshore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'09_3A_SUMMARY'!$D$45:$D$48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Offshore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'09_3A_SUMMARY'!$E$45:$E$48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Nucleare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'09_3A_SUMMARY'!$F$45:$F$48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energetica storage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Small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'19_3B_SUMMARY'!$B$45:$B$47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Utility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'19_3B_SUMMARY'!$C$45:$C$47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CM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'19_3B_SUMMARY'!$D$45:$D$47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Crescita dei flexibility needs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'19_3B_SUMMARY'!$G$45:$G$48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Weekly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'19_3B_SUMMARY'!$H$45:$H$48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Monthly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'19_3B_SUMMARY'!$I$45:$I$48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2040 lungo il backbone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Verso sud GW</c:v>
          </c:tx>
          <c:cat>
            <c:strRef>
              <c:f>'27_3C_SUMMARY'!$A$45:$A$49</c:f>
              <c:strCache>
                <c:ptCount val="0"/>
              </c:strCache>
            </c:strRef>
          </c:cat>
          <c:val>
            <c:numRef>
              <c:f>'27_3C_SUMMARY'!$B$45:$B$49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Verso nord GW</c:v>
          </c:tx>
          <c:cat>
            <c:strRef>
              <c:f>'27_3C_SUMMARY'!$A$45:$A$49</c:f>
              <c:strCache>
                <c:ptCount val="0"/>
              </c:strCache>
            </c:strRef>
          </c:cat>
          <c:val>
            <c:numRef>
              <c:f>'27_3C_SUMMARY'!$C$45:$C$49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Evoluzione dei flussi potenziali verso Nord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CNOR→NORD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'27_3C_SUMMARY'!$F$45:$F$48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CSUD→CNOR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'27_3C_SUMMARY'!$G$45:$G$48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SUD→CSUD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'27_3C_SUMMARY'!$H$45:$H$48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CALA→SUD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'27_3C_SUMMARY'!$I$45:$I$48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CCGT: componenti fuel e CO₂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Gas component</c:v>
          </c:tx>
          <c:cat>
            <c:strRef>
              <c:f>'28_3D_SUMMARY'!$A$48:$A$51</c:f>
              <c:strCache>
                <c:ptCount val="0"/>
              </c:strCache>
            </c:strRef>
          </c:cat>
          <c:val>
            <c:numRef>
              <c:f>'28_3D_SUMMARY'!$B$48:$B$51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CO₂ component</c:v>
          </c:tx>
          <c:cat>
            <c:strRef>
              <c:f>'28_3D_SUMMARY'!$A$48:$A$51</c:f>
              <c:strCache>
                <c:ptCount val="0"/>
              </c:strCache>
            </c:strRef>
          </c:cat>
          <c:val>
            <c:numRef>
              <c:f>'28_3D_SUMMARY'!$C$48:$C$51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Subtotal</c:v>
          </c:tx>
          <c:cat>
            <c:strRef>
              <c:f>'28_3D_SUMMARY'!$A$48:$A$51</c:f>
              <c:strCache>
                <c:ptCount val="0"/>
              </c:strCache>
            </c:strRef>
          </c:cat>
          <c:val>
            <c:numRef>
              <c:f>'28_3D_SUMMARY'!$D$48:$D$51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Variazione tra release technology-data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Variazione v0.15.0 vs v0.9.2</c:v>
          </c:tx>
          <c:cat>
            <c:strRef>
              <c:f>'28_3D_SUMMARY'!$F$48:$F$52</c:f>
              <c:strCache>
                <c:ptCount val="0"/>
              </c:strCache>
            </c:strRef>
          </c:cat>
          <c:val>
            <c:numRef>
              <c:f>'28_3D_SUMMARY'!$G$48:$G$52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Domanda elettrica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Domanda TWh</c:v>
          </c:tx>
          <c:cat>
            <c:strRef>
              <c:f>'29_4_SUMMARY'!$A$46:$A$49</c:f>
              <c:strCache>
                <c:ptCount val="0"/>
              </c:strCache>
            </c:strRef>
          </c:cat>
          <c:val>
            <c:numRef>
              <c:f>'29_4_SUMMARY'!$B$46:$B$49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rinnovabile e nucleare 2050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Solare GW</c:v>
          </c:tx>
          <c:cat>
            <c:strRef>
              <c:f>'29_4_SUMMARY'!$D$46:$D$47</c:f>
              <c:strCache>
                <c:ptCount val="0"/>
              </c:strCache>
            </c:strRef>
          </c:cat>
          <c:val>
            <c:numRef>
              <c:f>'29_4_SUMMARY'!$E$46:$E$47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Onshore GW</c:v>
          </c:tx>
          <c:cat>
            <c:strRef>
              <c:f>'29_4_SUMMARY'!$D$46:$D$47</c:f>
              <c:strCache>
                <c:ptCount val="0"/>
              </c:strCache>
            </c:strRef>
          </c:cat>
          <c:val>
            <c:numRef>
              <c:f>'29_4_SUMMARY'!$F$46:$F$47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Offshore GW</c:v>
          </c:tx>
          <c:cat>
            <c:strRef>
              <c:f>'29_4_SUMMARY'!$D$46:$D$47</c:f>
              <c:strCache>
                <c:ptCount val="0"/>
              </c:strCache>
            </c:strRef>
          </c:cat>
          <c:val>
            <c:numRef>
              <c:f>'29_4_SUMMARY'!$G$46:$G$47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Nucleare GW</c:v>
          </c:tx>
          <c:cat>
            <c:strRef>
              <c:f>'29_4_SUMMARY'!$D$46:$D$47</c:f>
              <c:strCache>
                <c:ptCount val="0"/>
              </c:strCache>
            </c:strRef>
          </c:cat>
          <c:val>
            <c:numRef>
              <c:f>'29_4_SUMMARY'!$H$46:$H$47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4a512a6c0a434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5e03d3fdd54c39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d8eaf6865a45f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4e0c5807044e72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8307afde3d42d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1dbc3e90484cd3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6a2ae684cd4ebc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b3c7d1a6d542e8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aad4f4cc5d4aeb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1c063bb2744dc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2f7c5ea959497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RegisterTable" displayName="SourceRegisterTable" ref="A4:P12" headerRowCount="1">
  <x:tableColumns count="16">
    <x:tableColumn id="1" name="Source ID"/>
    <x:tableColumn id="2" name="Titolo"/>
    <x:tableColumn id="3" name="Autore"/>
    <x:tableColumn id="4" name="Anno"/>
    <x:tableColumn id="5" name="Pagine"/>
    <x:tableColumn id="6" name="Tipo documento"/>
    <x:tableColumn id="7" name="Versione/data"/>
    <x:tableColumn id="8" name="Ruolo principale"/>
    <x:tableColumn id="9" name="Scenari"/>
    <x:tableColumn id="10" name="Anni coperti"/>
    <x:tableColumn id="11" name="Geografia"/>
    <x:tableColumn id="12" name="Tecnologie"/>
    <x:tableColumn id="13" name="Contenuto quantitativo"/>
    <x:tableColumn id="14" name="Leggibilità"/>
    <x:tableColumn id="15" name="Priorità"/>
    <x:tableColumn id="16" name="Limiti/sezioni secondarie"/>
  </x:tableColumns>
  <x:tableStyleInfo name="TableStyleMedium2" showRowStripes="1"/>
</x:table>
</file>

<file path=xl/tables/table2.xml><?xml version="1.0" encoding="utf-8"?>
<x:table xmlns:x="http://schemas.openxmlformats.org/spreadsheetml/2006/main" id="2" name="StructureMapTable" displayName="StructureMapTable" ref="A4:G78" headerRowCount="1">
  <x:tableColumns count="7">
    <x:tableColumn id="1" name="Source ID"/>
    <x:tableColumn id="2" name="Documento"/>
    <x:tableColumn id="3" name="Sezione"/>
    <x:tableColumn id="4" name="Pagine stampate"/>
    <x:tableColumn id="5" name="Blocchi del modello"/>
    <x:tableColumn id="6" name="Priorità"/>
    <x:tableColumn id="7" name="Uso previsto / cautela"/>
  </x:tableColumns>
  <x:tableStyleInfo name="TableStyleMedium2" showRowStripes="1"/>
</x:table>
</file>

<file path=xl/tables/table3.xml><?xml version="1.0" encoding="utf-8"?>
<x:table xmlns:x="http://schemas.openxmlformats.org/spreadsheetml/2006/main" id="3" name="TableFigureCatalogue" displayName="TableFigureCatalogue" ref="A4:N392" headerRowCount="1">
  <x:tableColumns count="14">
    <x:tableColumn id="1" name="Catalogue ID"/>
    <x:tableColumn id="2" name="Source ID"/>
    <x:tableColumn id="3" name="Documento"/>
    <x:tableColumn id="4" name="Tipo"/>
    <x:tableColumn id="5" name="Numero"/>
    <x:tableColumn id="6" name="Pagina PDF"/>
    <x:tableColumn id="7" name="Pagina stampata"/>
    <x:tableColumn id="8" name="Sezione"/>
    <x:tableColumn id="9" name="Titolo"/>
    <x:tableColumn id="10" name="Tema"/>
    <x:tableColumn id="11" name="Priorità"/>
    <x:tableColumn id="12" name="Metodo previsto"/>
    <x:tableColumn id="13" name="Rischio"/>
    <x:tableColumn id="14" name="Stato"/>
  </x:tableColumns>
  <x:tableStyleInfo name="TableStyleMedium2" showRowStripes="1"/>
</x:table>
</file>

<file path=xl/tables/table4.xml><?xml version="1.0" encoding="utf-8"?>
<x:table xmlns:x="http://schemas.openxmlformats.org/spreadsheetml/2006/main" id="4" name="ExternalReferencesTable" displayName="ExternalReferencesTable" ref="A4:I49" headerRowCount="1">
  <x:tableColumns count="9">
    <x:tableColumn id="1" name="Ref ID"/>
    <x:tableColumn id="2" name="Riferimento"/>
    <x:tableColumn id="3" name="Editore"/>
    <x:tableColumn id="4" name="Anno"/>
    <x:tableColumn id="5" name="Tipo"/>
    <x:tableColumn id="6" name="Citato in"/>
    <x:tableColumn id="7" name="Uso previsto"/>
    <x:tableColumn id="8" name="Priorità"/>
    <x:tableColumn id="9" name="Stato"/>
  </x:tableColumns>
  <x:tableStyleInfo name="TableStyleMedium2" showRowStripes="1"/>
</x:table>
</file>

<file path=xl/tables/table5.xml><?xml version="1.0" encoding="utf-8"?>
<x:table xmlns:x="http://schemas.openxmlformats.org/spreadsheetml/2006/main" id="5" name="ModelRequirementsTable" displayName="ModelRequirementsTable" ref="A4:X138" headerRowCount="1">
  <x:tableColumns count="24">
    <x:tableColumn id="1" name="Requirement ID"/>
    <x:tableColumn id="2" name="Categoria"/>
    <x:tableColumn id="3" name="Sottocategoria"/>
    <x:tableColumn id="4" name="Variabile"/>
    <x:tableColumn id="5" name="Descrizione"/>
    <x:tableColumn id="6" name="Unità"/>
    <x:tableColumn id="7" name="Anni"/>
    <x:tableColumn id="8" name="Scenari"/>
    <x:tableColumn id="9" name="Granularità temporale"/>
    <x:tableColumn id="10" name="Granularità geografica"/>
    <x:tableColumn id="11" name="Tecnologie"/>
    <x:tableColumn id="12" name="Componente PyPSA"/>
    <x:tableColumn id="13" name="Campo/i PyPSA"/>
    <x:tableColumn id="14" name="Formato input atteso"/>
    <x:tableColumn id="15" name="Obbligatorio"/>
    <x:tableColumn id="16" name="Model-critical"/>
    <x:tableColumn id="17" name="Fonte primaria"/>
    <x:tableColumn id="18" name="Fonte secondaria"/>
    <x:tableColumn id="19" name="Metodo di derivazione"/>
    <x:tableColumn id="20" name="Stato"/>
    <x:tableColumn id="21" name="Target qualità"/>
    <x:tableColumn id="22" name="Decision ID"/>
    <x:tableColumn id="23" name="Richiesto entro"/>
    <x:tableColumn id="24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PyPSAInputMapTable" displayName="PyPSAInputMapTable" ref="A4:O39" headerRowCount="1">
  <x:tableColumns count="15">
    <x:tableColumn id="1" name="Map ID"/>
    <x:tableColumn id="2" name="Blocco input"/>
    <x:tableColumn id="3" name="Concetto"/>
    <x:tableColumn id="4" name="Componente PyPSA"/>
    <x:tableColumn id="5" name="Statico / serie"/>
    <x:tableColumn id="6" name="Campo/i"/>
    <x:tableColumn id="7" name="Unità"/>
    <x:tableColumn id="8" name="Convenzione segno"/>
    <x:tableColumn id="9" name="Trattamento dispatch-only"/>
    <x:tableColumn id="10" name="Trasformazione"/>
    <x:tableColumn id="11" name="Fonte prevista"/>
    <x:tableColumn id="12" name="Decision ID"/>
    <x:tableColumn id="13" name="Controllo QA"/>
    <x:tableColumn id="14" name="Documentazione ufficiale"/>
    <x:tableColumn id="15" name="Stato"/>
  </x:tableColumns>
  <x:tableStyleInfo name="TableStyleMedium2" showRowStripes="1"/>
</x:table>
</file>

<file path=xl/tables/table7.xml><?xml version="1.0" encoding="utf-8"?>
<x:table xmlns:x="http://schemas.openxmlformats.org/spreadsheetml/2006/main" id="7" name="ModellingDecisionsTable" displayName="ModellingDecisionsTable" ref="A4:L40" headerRowCount="1">
  <x:tableColumns count="12">
    <x:tableColumn id="1" name="Decision ID"/>
    <x:tableColumn id="2" name="Tema"/>
    <x:tableColumn id="3" name="Domanda decisionale"/>
    <x:tableColumn id="4" name="Default raccomandato"/>
    <x:tableColumn id="5" name="Razionale"/>
    <x:tableColumn id="6" name="Alternative"/>
    <x:tableColumn id="7" name="Impatto sui risultati"/>
    <x:tableColumn id="8" name="Richiesta entro"/>
    <x:tableColumn id="9" name="Bloccante ora"/>
    <x:tableColumn id="10" name="Stato"/>
    <x:tableColumn id="11" name="Decisione utente"/>
    <x:tableColumn id="12" name="Nota implementativa"/>
  </x:tableColumns>
  <x:tableStyleInfo name="TableStyleMedium2" showRowStripes="1"/>
</x:table>
</file>

<file path=xl/tables/table8.xml><?xml version="1.0" encoding="utf-8"?>
<x:table xmlns:x="http://schemas.openxmlformats.org/spreadsheetml/2006/main" id="8" name="ScenarioCrosswalk3A" displayName="ScenarioCrosswalk3A" ref="A4:N17" headerRowCount="1">
  <x:tableColumns count="14">
    <x:tableColumn id="1" name="Scenario ID"/>
    <x:tableColumn id="2" name="Etichetta"/>
    <x:tableColumn id="3" name="Anno"/>
    <x:tableColumn id="4" name="Famiglia"/>
    <x:tableColumn id="5" name="Tipo evidenza"/>
    <x:tableColumn id="6" name="Status policy"/>
    <x:tableColumn id="7" name="Origine"/>
    <x:tableColumn id="8" name="Ruolo elettrico"/>
    <x:tableColumn id="9" name="Relazione"/>
    <x:tableColumn id="10" name="Uso nel progetto"/>
    <x:tableColumn id="11" name="Fonte"/>
    <x:tableColumn id="12" name="Pagine PDF"/>
    <x:tableColumn id="13" name="Pagine stampate"/>
    <x:tableColumn id="14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DemandTotal3A" displayName="DemandTotal3A" ref="A4:R77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DemandSector3A" displayName="DemandSector3A" ref="A4:R46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ScenarioParameters3A" displayName="ScenarioParameters3A" ref="A4:R20" headerRowCount="1">
  <x:tableColumns count="18">
    <x:tableColumn id="1" name="Record ID"/>
    <x:tableColumn id="2" name="Gruppo"/>
    <x:tableColumn id="3" name="Parametro"/>
    <x:tableColumn id="4" name="Anno"/>
    <x:tableColumn id="5" name="Valore"/>
    <x:tableColumn id="6" name="Unità"/>
    <x:tableColumn id="7" name="Base prezzi"/>
    <x:tableColumn id="8" name="Scenari applicabili"/>
    <x:tableColumn id="9" name="Tipo evidenza"/>
    <x:tableColumn id="10" name="Uso modello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GenCapNational3A" displayName="GenCapNational3A" ref="A4:W92" headerRowCount="1">
  <x:tableColumns count="23">
    <x:tableColumn id="1" name="Record ID"/>
    <x:tableColumn id="2" name="Scenario ID"/>
    <x:tableColumn id="3" name="Anno"/>
    <x:tableColumn id="4" name="Scenario"/>
    <x:tableColumn id="5" name="Gruppo tecnologia"/>
    <x:tableColumn id="6" name="Tecnologia"/>
    <x:tableColumn id="7" name="Sottotecnologia"/>
    <x:tableColumn id="8" name="Min"/>
    <x:tableColumn id="9" name="Valore"/>
    <x:tableColumn id="10" name="Max"/>
    <x:tableColumn id="11" name="Unità"/>
    <x:tableColumn id="12" name="Geografia"/>
    <x:tableColumn id="13" name="Perimetro"/>
    <x:tableColumn id="14" name="Tipo evidenza"/>
    <x:tableColumn id="15" name="Fonte"/>
    <x:tableColumn id="16" name="File fonte"/>
    <x:tableColumn id="17" name="Pagina PDF"/>
    <x:tableColumn id="18" name="Pagina stampata"/>
    <x:tableColumn id="19" name="Tabella/Figura"/>
    <x:tableColumn id="20" name="Metodo"/>
    <x:tableColumn id="21" name="Affidabilità"/>
    <x:tableColumn id="22" name="Uso modello"/>
    <x:tableColumn id="23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GenCapZonal3A" displayName="GenCapZonal3A" ref="A4:T256" headerRowCount="1">
  <x:tableColumns count="20">
    <x:tableColumn id="1" name="Record ID"/>
    <x:tableColumn id="2" name="Scenario ID"/>
    <x:tableColumn id="3" name="Anno"/>
    <x:tableColumn id="4" name="Scenario"/>
    <x:tableColumn id="5" name="Zona"/>
    <x:tableColumn id="6" name="Gruppo tecnologia"/>
    <x:tableColumn id="7" name="Tecnologia"/>
    <x:tableColumn id="8" name="Categoria fonte"/>
    <x:tableColumn id="9" name="Valore"/>
    <x:tableColumn id="10" name="Unità"/>
    <x:tableColumn id="11" name="Tipo evidenza"/>
    <x:tableColumn id="12" name="Fonte"/>
    <x:tableColumn id="13" name="File fonte"/>
    <x:tableColumn id="14" name="Pagina PDF"/>
    <x:tableColumn id="15" name="Pagina stampata"/>
    <x:tableColumn id="16" name="Tabella/Figura"/>
    <x:tableColumn id="17" name="Metodo"/>
    <x:tableColumn id="18" name="Affidabilità"/>
    <x:tableColumn id="19" name="Uso modello"/>
    <x:tableColumn id="20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AnnualBalance3A" displayName="AnnualBalance3A" ref="A4:Q199" headerRowCount="1">
  <x:tableColumns count="17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Tipo evidenza"/>
    <x:tableColumn id="10" name="Fonte"/>
    <x:tableColumn id="11" name="File fonte"/>
    <x:tableColumn id="12" name="Pagina PDF"/>
    <x:tableColumn id="13" name="Pagina stampata"/>
    <x:tableColumn id="14" name="Tabella/Figura"/>
    <x:tableColumn id="15" name="Metodo"/>
    <x:tableColumn id="16" name="Affidabilità"/>
    <x:tableColumn id="17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ExtractionLog3A" displayName="ExtractionLog3A" ref="A4:I20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QA3A" displayName="QA3A" ref="A4:K42" headerRowCount="1">
  <x:tableColumns count="11">
    <x:tableColumn id="1" name="QA ID"/>
    <x:tableColumn id="2" name="Scenario ID"/>
    <x:tableColumn id="3" name="Controll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ables/table17.xml><?xml version="1.0" encoding="utf-8"?>
<x:table xmlns:x="http://schemas.openxmlformats.org/spreadsheetml/2006/main" id="17" name="Storage3B" displayName="Storage3B" ref="A4:AC62" headerRowCount="1">
  <x:tableColumns count="29">
    <x:tableColumn id="1" name="Record ID"/>
    <x:tableColumn id="2" name="Scenario ID"/>
    <x:tableColumn id="3" name="Anno"/>
    <x:tableColumn id="4" name="Scenario"/>
    <x:tableColumn id="5" name="Geografia"/>
    <x:tableColumn id="6" name="Zona"/>
    <x:tableColumn id="7" name="Classe storage"/>
    <x:tableColumn id="8" name="Tecnologia"/>
    <x:tableColumn id="9" name="Status"/>
    <x:tableColumn id="10" name="Energia GWh"/>
    <x:tableColumn id="11" name="Potenza carica GW"/>
    <x:tableColumn id="12" name="Potenza scarica GW"/>
    <x:tableColumn id="13" name="Durata min h"/>
    <x:tableColumn id="14" name="Durata base h"/>
    <x:tableColumn id="15" name="Durata max h"/>
    <x:tableColumn id="16" name="Potenza derivata min GW"/>
    <x:tableColumn id="17" name="Potenza derivata base GW"/>
    <x:tableColumn id="18" name="Potenza derivata max GW"/>
    <x:tableColumn id="19" name="Durata implicita E/P h"/>
    <x:tableColumn id="20" name="Fonte"/>
    <x:tableColumn id="21" name="File fonte"/>
    <x:tableColumn id="22" name="Pagina PDF"/>
    <x:tableColumn id="23" name="Pagina stampata"/>
    <x:tableColumn id="24" name="Tabella/Figura"/>
    <x:tableColumn id="25" name="Tipo evidenza"/>
    <x:tableColumn id="26" name="Metodo"/>
    <x:tableColumn id="27" name="Affidabilità"/>
    <x:tableColumn id="28" name="Trattamento modello"/>
    <x:tableColumn id="29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StorageZonal3B" displayName="StorageZonal3B" ref="A4:V256" headerRowCount="1">
  <x:tableColumns count="22">
    <x:tableColumn id="1" name="Record ID"/>
    <x:tableColumn id="2" name="Scenario ID"/>
    <x:tableColumn id="3" name="Anno"/>
    <x:tableColumn id="4" name="Scenario"/>
    <x:tableColumn id="5" name="Zona"/>
    <x:tableColumn id="6" name="Classe storage"/>
    <x:tableColumn id="7" name="Energia GWh"/>
    <x:tableColumn id="8" name="Esclude pompaggi esistenti"/>
    <x:tableColumn id="9" name="Durata min h"/>
    <x:tableColumn id="10" name="Durata max h"/>
    <x:tableColumn id="11" name="Potenza derivata min GW"/>
    <x:tableColumn id="12" name="Potenza derivata max GW"/>
    <x:tableColumn id="13" name="Fonte"/>
    <x:tableColumn id="14" name="File fonte"/>
    <x:tableColumn id="15" name="Pagina PDF"/>
    <x:tableColumn id="16" name="Pagina stampata"/>
    <x:tableColumn id="17" name="Tabella/Figura"/>
    <x:tableColumn id="18" name="Tipo evidenza"/>
    <x:tableColumn id="19" name="Metodo"/>
    <x:tableColumn id="20" name="Affidabilità"/>
    <x:tableColumn id="21" name="Uso modello"/>
    <x:tableColumn id="22" name="Note"/>
  </x:tableColumns>
  <x:tableStyleInfo name="TableStyleMedium2" showRowStripes="1"/>
</x:table>
</file>

<file path=xl/tables/table19.xml><?xml version="1.0" encoding="utf-8"?>
<x:table xmlns:x="http://schemas.openxmlformats.org/spreadsheetml/2006/main" id="19" name="Hydro3B" displayName="Hydro3B" ref="A4:U71" headerRowCount="1">
  <x:tableColumns count="21">
    <x:tableColumn id="1" name="Record ID"/>
    <x:tableColumn id="2" name="Scenario ID"/>
    <x:tableColumn id="3" name="Anno"/>
    <x:tableColumn id="4" name="Scenario"/>
    <x:tableColumn id="5" name="Geografia"/>
    <x:tableColumn id="6" name="Zona"/>
    <x:tableColumn id="7" name="Classe idro"/>
    <x:tableColumn id="8" name="Metrica"/>
    <x:tableColumn id="9" name="Valore"/>
    <x:tableColumn id="10" name="Unità"/>
    <x:tableColumn id="11" name="Status"/>
    <x:tableColumn id="12" name="Fonte"/>
    <x:tableColumn id="13" name="File fonte"/>
    <x:tableColumn id="14" name="Pagina PDF"/>
    <x:tableColumn id="15" name="Pagina stampata"/>
    <x:tableColumn id="16" name="Tabella/Figura"/>
    <x:tableColumn id="17" name="Tipo evidenz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Flexibility3B" displayName="Flexibility3B" ref="A4:U100" headerRowCount="1">
  <x:tableColumns count="21">
    <x:tableColumn id="1" name="Record ID"/>
    <x:tableColumn id="2" name="Scenario ID"/>
    <x:tableColumn id="3" name="Anno"/>
    <x:tableColumn id="4" name="Scenario"/>
    <x:tableColumn id="5" name="Scala temporale"/>
    <x:tableColumn id="6" name="Categoria"/>
    <x:tableColumn id="7" name="Metrica"/>
    <x:tableColumn id="8" name="Operatore"/>
    <x:tableColumn id="9" name="Valore"/>
    <x:tableColumn id="10" name="Unità"/>
    <x:tableColumn id="11" name="Status"/>
    <x:tableColumn id="12" name="Fonte"/>
    <x:tableColumn id="13" name="File fonte"/>
    <x:tableColumn id="14" name="Pagina PDF"/>
    <x:tableColumn id="15" name="Pagina stampata"/>
    <x:tableColumn id="16" name="Tabella/Figura"/>
    <x:tableColumn id="17" name="Tipo evidenz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1.xml><?xml version="1.0" encoding="utf-8"?>
<x:table xmlns:x="http://schemas.openxmlformats.org/spreadsheetml/2006/main" id="21" name="Decisions3B" displayName="Decisions3B" ref="A4:F13" headerRowCount="1">
  <x:tableColumns count="6">
    <x:tableColumn id="1" name="ID"/>
    <x:tableColumn id="2" name="Tema"/>
    <x:tableColumn id="3" name="Impostazione raccomandata"/>
    <x:tableColumn id="4" name="Status"/>
    <x:tableColumn id="5" name="Bloccante"/>
    <x:tableColumn id="6" name="Motivazione"/>
  </x:tableColumns>
  <x:tableStyleInfo name="TableStyleMedium2" showRowStripes="1"/>
</x:table>
</file>

<file path=xl/tables/table22.xml><?xml version="1.0" encoding="utf-8"?>
<x:table xmlns:x="http://schemas.openxmlformats.org/spreadsheetml/2006/main" id="22" name="ExtractionLog3B" displayName="ExtractionLog3B" ref="A4:I17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23.xml><?xml version="1.0" encoding="utf-8"?>
<x:table xmlns:x="http://schemas.openxmlformats.org/spreadsheetml/2006/main" id="23" name="QA3B" displayName="QA3B" ref="A4:K50" headerRowCount="1">
  <x:tableColumns count="11">
    <x:tableColumn id="1" name="QA ID"/>
    <x:tableColumn id="2" name="Tipo controllo"/>
    <x:tableColumn id="3" name="Scenario ID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ables/table24.xml><?xml version="1.0" encoding="utf-8"?>
<x:table xmlns:x="http://schemas.openxmlformats.org/spreadsheetml/2006/main" id="24" name="InterzonalCapacity3C" displayName="InterzonalCapacity3C" ref="A4:U188" headerRowCount="1">
  <x:tableColumns count="21">
    <x:tableColumn id="1" name="Record ID"/>
    <x:tableColumn id="2" name="Dataset"/>
    <x:tableColumn id="3" name="Anno"/>
    <x:tableColumn id="4" name="Scenario / rete"/>
    <x:tableColumn id="5" name="Da zona"/>
    <x:tableColumn id="6" name="A zona"/>
    <x:tableColumn id="7" name="Capacità MW"/>
    <x:tableColumn id="8" name="Capacità GW"/>
    <x:tableColumn id="9" name="Incremento vs orizzonte precedente MW"/>
    <x:tableColumn id="10" name="Tipo capacità"/>
    <x:tableColumn id="11" name="Direzionalità"/>
    <x:tableColumn id="12" name="Status"/>
    <x:tableColumn id="13" name="Fonte"/>
    <x:tableColumn id="14" name="URL fonte"/>
    <x:tableColumn id="15" name="Pagina PDF"/>
    <x:tableColumn id="16" name="Pagina stampata"/>
    <x:tableColumn id="17" name="Tabella/Figur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5.xml><?xml version="1.0" encoding="utf-8"?>
<x:table xmlns:x="http://schemas.openxmlformats.org/spreadsheetml/2006/main" id="25" name="CurrentLimits3C" displayName="CurrentLimits3C" ref="A4:R44" headerRowCount="1">
  <x:tableColumns count="18">
    <x:tableColumn id="1" name="Record ID"/>
    <x:tableColumn id="2" name="Anno"/>
    <x:tableColumn id="3" name="Stagione"/>
    <x:tableColumn id="4" name="Da zona"/>
    <x:tableColumn id="5" name="A zona"/>
    <x:tableColumn id="6" name="Limite min MW"/>
    <x:tableColumn id="7" name="Limite max MW"/>
    <x:tableColumn id="8" name="Massimo MW"/>
    <x:tableColumn id="9" name="Ampiezza intervallo MW"/>
    <x:tableColumn id="10" name="Status"/>
    <x:tableColumn id="11" name="Fonte"/>
    <x:tableColumn id="12" name="URL fonte"/>
    <x:tableColumn id="13" name="Pagina PDF"/>
    <x:tableColumn id="14" name="Pagina stampata"/>
    <x:tableColumn id="15" name="Figura"/>
    <x:tableColumn id="16" name="Affidabilità"/>
    <x:tableColumn id="17" name="Uso modello"/>
    <x:tableColumn id="18" name="Note"/>
  </x:tableColumns>
  <x:tableStyleInfo name="TableStyleMedium2" showRowStripes="1"/>
</x:table>
</file>

<file path=xl/tables/table26.xml><?xml version="1.0" encoding="utf-8"?>
<x:table xmlns:x="http://schemas.openxmlformats.org/spreadsheetml/2006/main" id="26" name="ForeignInterconnectors3C" displayName="ForeignInterconnectors3C" ref="A4:Z30" headerRowCount="1">
  <x:tableColumns count="26">
    <x:tableColumn id="1" name="Record ID"/>
    <x:tableColumn id="2" name="Tipo record"/>
    <x:tableColumn id="3" name="Anno"/>
    <x:tableColumn id="4" name="Zona italiana"/>
    <x:tableColumn id="5" name="Area estera"/>
    <x:tableColumn id="6" name="Paese/area"/>
    <x:tableColumn id="7" name="Da area"/>
    <x:tableColumn id="8" name="A area"/>
    <x:tableColumn id="9" name="Capacità MW"/>
    <x:tableColumn id="10" name="Capacità GW"/>
    <x:tableColumn id="11" name="Incremento NTC MW"/>
    <x:tableColumn id="12" name="ID progetto"/>
    <x:tableColumn id="13" name="Progetto"/>
    <x:tableColumn id="14" name="Stato progetto"/>
    <x:tableColumn id="15" name="Entrata in esercizio"/>
    <x:tableColumn id="16" name="Tecnologia"/>
    <x:tableColumn id="17" name="Capacità nominale MW"/>
    <x:tableColumn id="18" name="Condizionalità"/>
    <x:tableColumn id="19" name="Fonte"/>
    <x:tableColumn id="20" name="URL fonte"/>
    <x:tableColumn id="21" name="Pagina PDF"/>
    <x:tableColumn id="22" name="Pagina stampata"/>
    <x:tableColumn id="23" name="Tabella/Figura"/>
    <x:tableColumn id="24" name="Affidabilità"/>
    <x:tableColumn id="25" name="Uso modello"/>
    <x:tableColumn id="26" name="Note"/>
  </x:tableColumns>
  <x:tableStyleInfo name="TableStyleMedium2" showRowStripes="1"/>
</x:table>
</file>

<file path=xl/tables/table27.xml><?xml version="1.0" encoding="utf-8"?>
<x:table xmlns:x="http://schemas.openxmlformats.org/spreadsheetml/2006/main" id="27" name="GridProjects3C" displayName="GridProjects3C" ref="A4:T61" headerRowCount="1">
  <x:tableColumns count="20">
    <x:tableColumn id="1" name="Record ID"/>
    <x:tableColumn id="2" name="ID progetto"/>
    <x:tableColumn id="3" name="Progetto"/>
    <x:tableColumn id="4" name="Categoria"/>
    <x:tableColumn id="5" name="Tecnologia"/>
    <x:tableColumn id="6" name="Da zona"/>
    <x:tableColumn id="7" name="A zona"/>
    <x:tableColumn id="8" name="Incremento NTC MW"/>
    <x:tableColumn id="9" name="Nominale/totale MW"/>
    <x:tableColumn id="10" name="Nominale meno NTC MW"/>
    <x:tableColumn id="11" name="Entrata in esercizio"/>
    <x:tableColumn id="12" name="Stato progetto"/>
    <x:tableColumn id="13" name="Trattamento 2040 Base"/>
    <x:tableColumn id="14" name="Fonte"/>
    <x:tableColumn id="15" name="URL fonte"/>
    <x:tableColumn id="16" name="Pagina PDF"/>
    <x:tableColumn id="17" name="Pagina stampata"/>
    <x:tableColumn id="18" name="Tabella/Figura"/>
    <x:tableColumn id="19" name="Affidabilità"/>
    <x:tableColumn id="20" name="Note"/>
  </x:tableColumns>
  <x:tableStyleInfo name="TableStyleMedium2" showRowStripes="1"/>
</x:table>
</file>

<file path=xl/tables/table28.xml><?xml version="1.0" encoding="utf-8"?>
<x:table xmlns:x="http://schemas.openxmlformats.org/spreadsheetml/2006/main" id="28" name="ZoneRegionCrosswalk3C" displayName="ZoneRegionCrosswalk3C" ref="A4:N34" headerRowCount="1">
  <x:tableColumns count="14">
    <x:tableColumn id="1" name="Record ID"/>
    <x:tableColumn id="2" name="Tipo record"/>
    <x:tableColumn id="3" name="Codice zona"/>
    <x:tableColumn id="4" name="Zona"/>
    <x:tableColumn id="5" name="Tipo unità"/>
    <x:tableColumn id="6" name="Regione/area"/>
    <x:tableColumn id="7" name="Bus PyPSA"/>
    <x:tableColumn id="8" name="Validità"/>
    <x:tableColumn id="9" name="Status"/>
    <x:tableColumn id="10" name="Affidabilità"/>
    <x:tableColumn id="11" name="Regola di assegnazione"/>
    <x:tableColumn id="12" name="Fonte"/>
    <x:tableColumn id="13" name="URL fonte"/>
    <x:tableColumn id="14" name="Note"/>
  </x:tableColumns>
  <x:tableStyleInfo name="TableStyleMedium2" showRowStripes="1"/>
</x:table>
</file>

<file path=xl/tables/table29.xml><?xml version="1.0" encoding="utf-8"?>
<x:table xmlns:x="http://schemas.openxmlformats.org/spreadsheetml/2006/main" id="29" name="GridTopology3C" displayName="GridTopology3C" ref="A4:J24" headerRowCount="1">
  <x:tableColumns count="10">
    <x:tableColumn id="1" name="Record ID"/>
    <x:tableColumn id="2" name="Zona A"/>
    <x:tableColumn id="3" name="Zona B"/>
    <x:tableColumn id="4" name="Tipo collegamento"/>
    <x:tableColumn id="5" name="Status topologia"/>
    <x:tableColumn id="6" name="Bidirezionale"/>
    <x:tableColumn id="7" name="Componente modello"/>
    <x:tableColumn id="8" name="Fonte"/>
    <x:tableColumn id="9" name="URL fonte"/>
    <x:tableColumn id="10" name="Note"/>
  </x:tableColumns>
  <x:tableStyleInfo name="TableStyleMedium2" showRowStripes="1"/>
</x:table>
</file>

<file path=xl/tables/table30.xml><?xml version="1.0" encoding="utf-8"?>
<x:table xmlns:x="http://schemas.openxmlformats.org/spreadsheetml/2006/main" id="30" name="GridVariants3C" displayName="GridVariants3C" ref="A4:O100" headerRowCount="1">
  <x:tableColumns count="15">
    <x:tableColumn id="1" name="Record ID"/>
    <x:tableColumn id="2" name="Variante"/>
    <x:tableColumn id="3" name="Anno modello"/>
    <x:tableColumn id="4" name="Da zona"/>
    <x:tableColumn id="5" name="A zona"/>
    <x:tableColumn id="6" name="Capacità MW"/>
    <x:tableColumn id="7" name="Capacità GW"/>
    <x:tableColumn id="8" name="Orizzonte fonte"/>
    <x:tableColumn id="9" name="Dataset fonte"/>
    <x:tableColumn id="10" name="Delta vs 2040 Base MW"/>
    <x:tableColumn id="11" name="Eseguibile ora"/>
    <x:tableColumn id="12" name="Classe assunzione"/>
    <x:tableColumn id="13" name="Descrizione"/>
    <x:tableColumn id="14" name="Regola estero"/>
    <x:tableColumn id="15" name="Note"/>
  </x:tableColumns>
  <x:tableStyleInfo name="TableStyleMedium2" showRowStripes="1"/>
</x:table>
</file>

<file path=xl/tables/table31.xml><?xml version="1.0" encoding="utf-8"?>
<x:table xmlns:x="http://schemas.openxmlformats.org/spreadsheetml/2006/main" id="31" name="QA3C" displayName="QA3C" ref="A4:J70" headerRowCount="1">
  <x:tableColumns count="10">
    <x:tableColumn id="1" name="QA ID"/>
    <x:tableColumn id="2" name="Tipo controllo"/>
    <x:tableColumn id="3" name="Arco/oggett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</x:tableColumns>
  <x:tableStyleInfo name="TableStyleMedium2" showRowStripes="1"/>
</x:table>
</file>

<file path=xl/tables/table32.xml><?xml version="1.0" encoding="utf-8"?>
<x:table xmlns:x="http://schemas.openxmlformats.org/spreadsheetml/2006/main" id="32" name="ExtractionLog3C" displayName="ExtractionLog3C" ref="A4:I17" headerRowCount="1">
  <x:tableColumns count="9">
    <x:tableColumn id="1" name="Extraction ID"/>
    <x:tableColumn id="2" name="Fonte"/>
    <x:tableColumn id="3" name="Contenuto"/>
    <x:tableColumn id="4" name="Pagine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33.xml><?xml version="1.0" encoding="utf-8"?>
<x:table xmlns:x="http://schemas.openxmlformats.org/spreadsheetml/2006/main" id="33" name="Decisions3C" displayName="Decisions3C" ref="A4:F12" headerRowCount="1">
  <x:tableColumns count="6">
    <x:tableColumn id="1" name="ID"/>
    <x:tableColumn id="2" name="Tema"/>
    <x:tableColumn id="3" name="Impostazione raccomandata"/>
    <x:tableColumn id="4" name="Status"/>
    <x:tableColumn id="5" name="Bloccante"/>
    <x:tableColumn id="6" name="Motivazione"/>
  </x:tableColumns>
  <x:tableStyleInfo name="TableStyleMedium2" showRowStripes="1"/>
</x:table>
</file>

<file path=xl/tables/table34.xml><?xml version="1.0" encoding="utf-8"?>
<x:table xmlns:x="http://schemas.openxmlformats.org/spreadsheetml/2006/main" id="34" name="TechParameters3D" displayName="TechParameters3D" ref="A4:X98" headerRowCount="1">
  <x:tableColumns count="24">
    <x:tableColumn id="1" name="Record ID"/>
    <x:tableColumn id="2" name="Categoria"/>
    <x:tableColumn id="3" name="Tecnologia"/>
    <x:tableColumn id="4" name="Parametro"/>
    <x:tableColumn id="5" name="Anno"/>
    <x:tableColumn id="6" name="Scenario"/>
    <x:tableColumn id="7" name="Min"/>
    <x:tableColumn id="8" name="Valore"/>
    <x:tableColumn id="9" name="Max"/>
    <x:tableColumn id="10" name="Unità"/>
    <x:tableColumn id="11" name="Base monetaria"/>
    <x:tableColumn id="12" name="Tipo evidenza"/>
    <x:tableColumn id="13" name="Ruolo nel dispatch"/>
    <x:tableColumn id="14" name="Fonte"/>
    <x:tableColumn id="15" name="File fonte"/>
    <x:tableColumn id="16" name="Pagina PDF"/>
    <x:tableColumn id="17" name="Pagina stampata"/>
    <x:tableColumn id="18" name="Tabella/Figura"/>
    <x:tableColumn id="19" name="Metodo"/>
    <x:tableColumn id="20" name="Affidabilità"/>
    <x:tableColumn id="21" name="Componente PyPSA"/>
    <x:tableColumn id="22" name="Campo PyPSA"/>
    <x:tableColumn id="23" name="Status adozione"/>
    <x:tableColumn id="24" name="Note"/>
  </x:tableColumns>
  <x:tableStyleInfo name="TableStyleMedium2" showRowStripes="1"/>
</x:table>
</file>

<file path=xl/tables/table35.xml><?xml version="1.0" encoding="utf-8"?>
<x:table xmlns:x="http://schemas.openxmlformats.org/spreadsheetml/2006/main" id="35" name="FuelCO23D" displayName="FuelCO23D" ref="A4:P8" headerRowCount="1">
  <x:tableColumns count="16">
    <x:tableColumn id="1" name="Record ID"/>
    <x:tableColumn id="2" name="Anno"/>
    <x:tableColumn id="3" name="Scenario"/>
    <x:tableColumn id="4" name="Gas EUR/MWh_th"/>
    <x:tableColumn id="5" name="CO₂ EUR/t"/>
    <x:tableColumn id="6" name="Efficienza"/>
    <x:tableColumn id="7" name="Fattore emissivo t/MWh_th"/>
    <x:tableColumn id="8" name="Componente combustibile"/>
    <x:tableColumn id="9" name="Componente CO₂"/>
    <x:tableColumn id="10" name="Subtotale prima VOM"/>
    <x:tableColumn id="11" name="Costo variabile Terna"/>
    <x:tableColumn id="12" name="Residuo implicito"/>
    <x:tableColumn id="13" name="VOM candidato"/>
    <x:tableColumn id="14" name="Costo marginale finale"/>
    <x:tableColumn id="15" name="Stato"/>
    <x:tableColumn id="16" name="Note"/>
  </x:tableColumns>
  <x:tableStyleInfo name="TableStyleMedium2" showRowStripes="1"/>
</x:table>
</file>

<file path=xl/tables/table36.xml><?xml version="1.0" encoding="utf-8"?>
<x:table xmlns:x="http://schemas.openxmlformats.org/spreadsheetml/2006/main" id="36" name="TechDataCandidates3D" displayName="TechDataCandidates3D" ref="A4:O256" headerRowCount="1">
  <x:tableColumns count="15">
    <x:tableColumn id="1" name="Candidate ID"/>
    <x:tableColumn id="2" name="Famiglia fonte"/>
    <x:tableColumn id="3" name="Versione"/>
    <x:tableColumn id="4" name="Anno modello"/>
    <x:tableColumn id="5" name="Tecnologia"/>
    <x:tableColumn id="6" name="Parametro"/>
    <x:tableColumn id="7" name="Valore"/>
    <x:tableColumn id="8" name="Unità"/>
    <x:tableColumn id="9" name="Currency year"/>
    <x:tableColumn id="10" name="Fonte originaria"/>
    <x:tableColumn id="11" name="Descrizione"/>
    <x:tableColumn id="12" name="Ruolo"/>
    <x:tableColumn id="13" name="Status adozione"/>
    <x:tableColumn id="14" name="URL file ufficiale"/>
    <x:tableColumn id="15" name="Note"/>
  </x:tableColumns>
  <x:tableStyleInfo name="TableStyleMedium2" showRowStripes="1"/>
</x:table>
</file>

<file path=xl/tables/table37.xml><?xml version="1.0" encoding="utf-8"?>
<x:table xmlns:x="http://schemas.openxmlformats.org/spreadsheetml/2006/main" id="37" name="ExternalGaps3D" displayName="ExternalGaps3D" ref="A4:N34" headerRowCount="1">
  <x:tableColumns count="14">
    <x:tableColumn id="1" name="Gap ID"/>
    <x:tableColumn id="2" name="Categoria"/>
    <x:tableColumn id="3" name="Tecnologia"/>
    <x:tableColumn id="4" name="Parametro"/>
    <x:tableColumn id="5" name="Criticità dispatch"/>
    <x:tableColumn id="6" name="Criticità report"/>
    <x:tableColumn id="7" name="Fonte candidata"/>
    <x:tableColumn id="8" name="URL candidato"/>
    <x:tableColumn id="9" name="Anno monetario"/>
    <x:tableColumn id="10" name="Conversione richiesta"/>
    <x:tableColumn id="11" name="Priorità"/>
    <x:tableColumn id="12" name="Fase risoluzione"/>
    <x:tableColumn id="13" name="Stato"/>
    <x:tableColumn id="14" name="Note"/>
  </x:tableColumns>
  <x:tableStyleInfo name="TableStyleMedium2" showRowStripes="1"/>
</x:table>
</file>

<file path=xl/tables/table38.xml><?xml version="1.0" encoding="utf-8"?>
<x:table xmlns:x="http://schemas.openxmlformats.org/spreadsheetml/2006/main" id="38" name="Decisions3D" displayName="Decisions3D" ref="A4:F16" headerRowCount="1">
  <x:tableColumns count="6">
    <x:tableColumn id="1" name="ID"/>
    <x:tableColumn id="2" name="Tema"/>
    <x:tableColumn id="3" name="Impostazione raccomandata"/>
    <x:tableColumn id="4" name="Stato"/>
    <x:tableColumn id="5" name="Quando blocca"/>
    <x:tableColumn id="6" name="Motivazione"/>
  </x:tableColumns>
  <x:tableStyleInfo name="TableStyleMedium2" showRowStripes="1"/>
</x:table>
</file>

<file path=xl/tables/table39.xml><?xml version="1.0" encoding="utf-8"?>
<x:table xmlns:x="http://schemas.openxmlformats.org/spreadsheetml/2006/main" id="39" name="QA3D" displayName="QA3D" ref="A4:J37" headerRowCount="1">
  <x:tableColumns count="10">
    <x:tableColumn id="1" name="QA ID"/>
    <x:tableColumn id="2" name="Tipo controllo"/>
    <x:tableColumn id="3" name="Oggett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</x:tableColumns>
  <x:tableStyleInfo name="TableStyleMedium2" showRowStripes="1"/>
</x:table>
</file>

<file path=xl/tables/table40.xml><?xml version="1.0" encoding="utf-8"?>
<x:table xmlns:x="http://schemas.openxmlformats.org/spreadsheetml/2006/main" id="40" name="ExtractionLog3D" displayName="ExtractionLog3D" ref="A4:I16" headerRowCount="1">
  <x:tableColumns count="9">
    <x:tableColumn id="1" name="Extraction ID"/>
    <x:tableColumn id="2" name="Fonte"/>
    <x:tableColumn id="3" name="Contenuto"/>
    <x:tableColumn id="4" name="Pagine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41.xml><?xml version="1.0" encoding="utf-8"?>
<x:table xmlns:x="http://schemas.openxmlformats.org/spreadsheetml/2006/main" id="41" name="ScenarioCatalogue4" displayName="ScenarioCatalogue4" ref="A4:L12" headerRowCount="1">
  <x:tableColumns count="12">
    <x:tableColumn id="1" name="Scenario ID"/>
    <x:tableColumn id="2" name="Anno"/>
    <x:tableColumn id="3" name="Ruolo"/>
    <x:tableColumn id="4" name="Scenario fonte"/>
    <x:tableColumn id="5" name="Pacchetto domanda"/>
    <x:tableColumn id="6" name="Pacchetto capacità"/>
    <x:tableColumn id="7" name="Pacchetto storage"/>
    <x:tableColumn id="8" name="Pacchetto rete"/>
    <x:tableColumn id="9" name="Ramo nucleare"/>
    <x:tableColumn id="10" name="Technology-data"/>
    <x:tableColumn id="11" name="Stato di esecuzione"/>
    <x:tableColumn id="12" name="Razionale"/>
  </x:tableColumns>
  <x:tableStyleInfo name="TableStyleMedium2" showRowStripes="1"/>
</x:table>
</file>

<file path=xl/tables/table42.xml><?xml version="1.0" encoding="utf-8"?>
<x:table xmlns:x="http://schemas.openxmlformats.org/spreadsheetml/2006/main" id="42" name="Scenario2040Inputs" displayName="Scenario2040Inputs" ref="A4:AA532" headerRowCount="1">
  <x:tableColumns count="27">
    <x:tableColumn id="1" name="Record ID"/>
    <x:tableColumn id="2" name="Scenario ID"/>
    <x:tableColumn id="3" name="Anno modello"/>
    <x:tableColumn id="4" name="Blocco input"/>
    <x:tableColumn id="5" name="Geografia"/>
    <x:tableColumn id="6" name="Zona"/>
    <x:tableColumn id="7" name="Tecnologia fonte"/>
    <x:tableColumn id="8" name="Tecnologia standard"/>
    <x:tableColumn id="9" name="Carrier"/>
    <x:tableColumn id="10" name="Componente PyPSA"/>
    <x:tableColumn id="11" name="Campo PyPSA"/>
    <x:tableColumn id="12" name="Valore originale"/>
    <x:tableColumn id="13" name="Unità originale"/>
    <x:tableColumn id="14" name="Valore normalizzato"/>
    <x:tableColumn id="15" name="Unità normalizzata"/>
    <x:tableColumn id="16" name="Anno monetario originale"/>
    <x:tableColumn id="17" name="Deflatore a EUR2025"/>
    <x:tableColumn id="18" name="Valore EUR2025"/>
    <x:tableColumn id="19" name="Classe evidenza"/>
    <x:tableColumn id="20" name="Trasformazione"/>
    <x:tableColumn id="21" name="Fonte"/>
    <x:tableColumn id="22" name="Riferimento fonte"/>
    <x:tableColumn id="23" name="URL fonte"/>
    <x:tableColumn id="24" name="Affidabilità"/>
    <x:tableColumn id="25" name="Status adozione"/>
    <x:tableColumn id="26" name="Status esecuzione"/>
    <x:tableColumn id="27" name="Note"/>
  </x:tableColumns>
  <x:tableStyleInfo name="TableStyleMedium2" showRowStripes="1"/>
</x:table>
</file>

<file path=xl/tables/table43.xml><?xml version="1.0" encoding="utf-8"?>
<x:table xmlns:x="http://schemas.openxmlformats.org/spreadsheetml/2006/main" id="43" name="Scenario2050Inputs" displayName="Scenario2050Inputs" ref="A4:AA194" headerRowCount="1">
  <x:tableColumns count="27">
    <x:tableColumn id="1" name="Record ID"/>
    <x:tableColumn id="2" name="Scenario ID"/>
    <x:tableColumn id="3" name="Anno modello"/>
    <x:tableColumn id="4" name="Blocco input"/>
    <x:tableColumn id="5" name="Geografia"/>
    <x:tableColumn id="6" name="Zona"/>
    <x:tableColumn id="7" name="Tecnologia fonte"/>
    <x:tableColumn id="8" name="Tecnologia standard"/>
    <x:tableColumn id="9" name="Carrier"/>
    <x:tableColumn id="10" name="Componente PyPSA"/>
    <x:tableColumn id="11" name="Campo PyPSA"/>
    <x:tableColumn id="12" name="Valore originale"/>
    <x:tableColumn id="13" name="Unità originale"/>
    <x:tableColumn id="14" name="Valore normalizzato"/>
    <x:tableColumn id="15" name="Unità normalizzata"/>
    <x:tableColumn id="16" name="Anno monetario originale"/>
    <x:tableColumn id="17" name="Deflatore a EUR2025"/>
    <x:tableColumn id="18" name="Valore EUR2025"/>
    <x:tableColumn id="19" name="Classe evidenza"/>
    <x:tableColumn id="20" name="Trasformazione"/>
    <x:tableColumn id="21" name="Fonte"/>
    <x:tableColumn id="22" name="Riferimento fonte"/>
    <x:tableColumn id="23" name="URL fonte"/>
    <x:tableColumn id="24" name="Affidabilità"/>
    <x:tableColumn id="25" name="Status adozione"/>
    <x:tableColumn id="26" name="Status esecuzione"/>
    <x:tableColumn id="27" name="Note"/>
  </x:tableColumns>
  <x:tableStyleInfo name="TableStyleMedium2" showRowStripes="1"/>
</x:table>
</file>

<file path=xl/tables/table44.xml><?xml version="1.0" encoding="utf-8"?>
<x:table xmlns:x="http://schemas.openxmlformats.org/spreadsheetml/2006/main" id="44" name="Assumptions4" displayName="Assumptions4" ref="A4:I37" headerRowCount="1">
  <x:tableColumns count="9">
    <x:tableColumn id="1" name="Assumption ID"/>
    <x:tableColumn id="2" name="Tema"/>
    <x:tableColumn id="3" name="Valore"/>
    <x:tableColumn id="4" name="Classificazione"/>
    <x:tableColumn id="5" name="Stato"/>
    <x:tableColumn id="6" name="Quando blocca"/>
    <x:tableColumn id="7" name="Razionale"/>
    <x:tableColumn id="8" name="Fonte"/>
    <x:tableColumn id="9" name="URL fonte"/>
  </x:tableColumns>
  <x:tableStyleInfo name="TableStyleMedium2" showRowStripes="1"/>
</x:table>
</file>

<file path=xl/tables/table45.xml><?xml version="1.0" encoding="utf-8"?>
<x:table xmlns:x="http://schemas.openxmlformats.org/spreadsheetml/2006/main" id="45" name="TechTaxonomy4" displayName="TechTaxonomy4" ref="A4:F20" headerRowCount="1">
  <x:tableColumns count="6">
    <x:tableColumn id="1" name="Tecnologia fonte"/>
    <x:tableColumn id="2" name="Tecnologia standard"/>
    <x:tableColumn id="3" name="Carrier"/>
    <x:tableColumn id="4" name="Componente PyPSA"/>
    <x:tableColumn id="5" name="Regola di aggregazione"/>
    <x:tableColumn id="6" name="Note"/>
  </x:tableColumns>
  <x:tableStyleInfo name="TableStyleMedium2" showRowStripes="1"/>
</x:table>
</file>

<file path=xl/tables/table46.xml><?xml version="1.0" encoding="utf-8"?>
<x:table xmlns:x="http://schemas.openxmlformats.org/spreadsheetml/2006/main" id="46" name="Reconciliation4" displayName="Reconciliation4" ref="A4:N63" headerRowCount="1">
  <x:tableColumns count="14">
    <x:tableColumn id="1" name="Recon ID"/>
    <x:tableColumn id="2" name="Scenario ID"/>
    <x:tableColumn id="3" name="Anno"/>
    <x:tableColumn id="4" name="Tipo controllo"/>
    <x:tableColumn id="5" name="Categoria"/>
    <x:tableColumn id="6" name="Metrica"/>
    <x:tableColumn id="7" name="Atteso"/>
    <x:tableColumn id="8" name="Calcolato"/>
    <x:tableColumn id="9" name="Differenza"/>
    <x:tableColumn id="10" name="Unità"/>
    <x:tableColumn id="11" name="Tolleranza"/>
    <x:tableColumn id="12" name="Stato"/>
    <x:tableColumn id="13" name="Logica"/>
    <x:tableColumn id="14" name="Note"/>
  </x:tableColumns>
  <x:tableStyleInfo name="TableStyleMedium2" showRowStripes="1"/>
</x:table>
</file>

<file path=xl/tables/table47.xml><?xml version="1.0" encoding="utf-8"?>
<x:table xmlns:x="http://schemas.openxmlformats.org/spreadsheetml/2006/main" id="47" name="Decisions4" displayName="Decisions4" ref="A4:G15" headerRowCount="1">
  <x:tableColumns count="7">
    <x:tableColumn id="1" name="Decision ID"/>
    <x:tableColumn id="2" name="Decisione"/>
    <x:tableColumn id="3" name="Raccomandazione"/>
    <x:tableColumn id="4" name="Effetto"/>
    <x:tableColumn id="5" name="Gate"/>
    <x:tableColumn id="6" name="Decisione utente"/>
    <x:tableColumn id="7" name="Stato gate"/>
  </x:tableColumns>
  <x:tableStyleInfo name="TableStyleMedium2" showRowStripes="1"/>
</x:table>
</file>

<file path=xl/tables/table48.xml><?xml version="1.0" encoding="utf-8"?>
<x:table xmlns:x="http://schemas.openxmlformats.org/spreadsheetml/2006/main" id="48" name="MacseRoadmap4" displayName="MacseRoadmap4" ref="A4:I8" headerRowCount="1">
  <x:tableColumns count="9">
    <x:tableColumn id="1" name="Tranche"/>
    <x:tableColumn id="2" name="Anno consegna"/>
    <x:tableColumn id="3" name="Status"/>
    <x:tableColumn id="4" name="Energia GWh"/>
    <x:tableColumn id="5" name="Durata h"/>
    <x:tableColumn id="6" name="Potenza implicita GW"/>
    <x:tableColumn id="7" name="Classe evidenza"/>
    <x:tableColumn id="8" name="Fonte ufficiale"/>
    <x:tableColumn id="9" name="Note"/>
  </x:tableColumns>
  <x:tableStyleInfo name="TableStyleMedium2" showRowStripes="1"/>
</x:table>
</file>

<file path=xl/tables/table49.xml><?xml version="1.0" encoding="utf-8"?>
<x:table xmlns:x="http://schemas.openxmlformats.org/spreadsheetml/2006/main" id="49" name="PNIEC2050Bridge" displayName="PNIEC2050Bridge" ref="A4:H18" headerRowCount="1">
  <x:tableColumns count="8">
    <x:tableColumn id="1" name="Parametro"/>
    <x:tableColumn id="2" name="Valore fonte"/>
    <x:tableColumn id="3" name="Valore modello"/>
    <x:tableColumn id="4" name="Unità"/>
    <x:tableColumn id="5" name="Classe evidenza"/>
    <x:tableColumn id="6" name="Trasformazione / boundary"/>
    <x:tableColumn id="7" name="Fonte"/>
    <x:tableColumn id="8" name="Status Fase 5"/>
  </x:tableColumns>
  <x:tableStyleInfo name="TableStyleMedium2" showRowStripes="1"/>
</x: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3a1ecc85144b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1e9625a0f743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0834407a7844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07366ed85846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1f013a7c2da48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3eff80b4add4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5db21e027e548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2aae422ec1e445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52a5c3e36344c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798db6196f24c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721c6d9cdd419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53118ceae1f40c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01c14c08babb4c9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30c5db3bb1c64bb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fbe35bb120e846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75a712fb8bd5483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5f9e3d64e46447c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aaf6ae4aedaa412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69b4887758984a9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953e100ac398463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1d095e674be74fe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78176b6bcf34475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8880cb69e631433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2.xml" Id="Rbde9e96a55474ab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3.xml" Id="R607a901ac489490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3.xml" Id="Ra12031c4adb74e6b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4.xml" Id="R4d7cc59d5a984e7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5.xml" Id="Red2c6a37ae94444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6.xml" Id="R05cf53fe315f4ad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7.xml" Id="R73554f1a55024b6b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8.xml" Id="R7b4f83fa82d849a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9.xml" Id="R49430043fce640e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0.xml" Id="R43f4349ef91b4899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1.xml" Id="R252b289e17de4a35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2.xml" Id="R66202738bde345d3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3.xml" Id="Rf8e313e1d62a439d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4.xml" Id="Rbf4333a4549d4174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4.xml" Id="Re43d0fd0cd174ffb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35.xml" Id="Rda175ff76a1a4d68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36.xml" Id="R036df4b1255f48a3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37.xml" Id="Rc7981050d5d24204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38.xml" Id="R81f8643678a84eba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39.xml" Id="R6c176ce10d7a406b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0.xml" Id="R95a229a6dd4b4e59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5.xml" Id="Rc785eb5595814de6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1.xml" Id="R6313d002a0c04fb1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2.xml" Id="R508f51c9b6be481d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43.xml" Id="Rda72bd5cbacd46f8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44.xml" Id="R3efb37787203444e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45.xml" Id="R77cc187b721a459f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46.xml" Id="R4cb493264ede49c9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47.xml" Id="Rad456369039e459e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6.xml" Id="R3423fb310c354c5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48.xml" Id="R1554c88a9c8e439b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49.xml" Id="R9b10534d9c83442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62" t="str">
        <x:v>Fase 1 — Inventario documentale Terna–PNIEC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3" t="str">
        <x:v>Modello PyPSA-Eur per il mercato spot italiano, orizzonti 2040 e 2050</x:v>
      </x:c>
      <x:c r="B2" s="63"/>
      <x:c r="C2" s="63"/>
      <x:c r="D2" s="63"/>
      <x:c r="E2" s="63"/>
      <x:c r="F2" s="63"/>
      <x:c r="G2" s="63"/>
      <x:c r="H2" s="63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Indicatore</x:v>
      </x:c>
      <x:c r="B4" s="46" t="str">
        <x:v>Valore</x:v>
      </x:c>
      <x:c r="C4" s="45"/>
      <x:c r="D4" s="46" t="str">
        <x:v>Conclusione preliminare</x:v>
      </x:c>
      <x:c r="E4" s="46"/>
      <x:c r="F4" s="46"/>
      <x:c r="G4" s="46"/>
      <x:c r="H4" s="46"/>
    </x:row>
    <x:row r="5">
      <x:c r="A5" s="47" t="str">
        <x:v>Documenti</x:v>
      </x:c>
      <x:c r="B5" s="48" t="n">
        <x:v>8</x:v>
      </x:c>
      <x:c r="C5" s="45"/>
      <x:c r="D5" s="32" t="str">
        <x:v>Il corpus copre in modo forte gli scenari nazionali 2040 e 2050 e l'architettura di rete. I principali gap sono DDS 2024 completo, profili orari, disaggregazione zonale 2050, capacità di scambio effettiva al mercato e un set omogeneo di costi/efficienze.</x:v>
      </x:c>
      <x:c r="E5" s="32"/>
      <x:c r="F5" s="32"/>
      <x:c r="G5" s="32"/>
      <x:c r="H5" s="32"/>
    </x:row>
    <x:row r="6">
      <x:c r="A6" s="47" t="str">
        <x:v>Pagine PDF</x:v>
      </x:c>
      <x:c r="B6" s="48" t="n">
        <x:v>1099</x:v>
      </x:c>
      <x:c r="C6" s="45"/>
      <x:c r="D6" s="32"/>
      <x:c r="E6" s="32"/>
      <x:c r="F6" s="32"/>
      <x:c r="G6" s="32"/>
      <x:c r="H6" s="32"/>
    </x:row>
    <x:row r="7">
      <x:c r="A7" s="47" t="str">
        <x:v>Elementi catalogati</x:v>
      </x:c>
      <x:c r="B7" s="48" t="n">
        <x:v>388</x:v>
      </x:c>
      <x:c r="C7" s="45"/>
      <x:c r="D7" s="32"/>
      <x:c r="E7" s="32"/>
      <x:c r="F7" s="32"/>
      <x:c r="G7" s="32"/>
      <x:c r="H7" s="32"/>
    </x:row>
    <x:row r="8">
      <x:c r="A8" s="47" t="str">
        <x:v>Elementi P1</x:v>
      </x:c>
      <x:c r="B8" s="48" t="n">
        <x:v>97</x:v>
      </x:c>
      <x:c r="C8" s="45"/>
      <x:c r="D8" s="32"/>
      <x:c r="E8" s="32"/>
      <x:c r="F8" s="32"/>
      <x:c r="G8" s="32"/>
      <x:c r="H8" s="32"/>
    </x:row>
    <x:row r="9">
      <x:c r="A9" s="47" t="str">
        <x:v>Riferimenti esterni</x:v>
      </x:c>
      <x:c r="B9" s="48" t="n">
        <x:v>45</x:v>
      </x:c>
      <x:c r="C9" s="45"/>
      <x:c r="D9" s="32"/>
      <x:c r="E9" s="32"/>
      <x:c r="F9" s="32"/>
      <x:c r="G9" s="32"/>
      <x:c r="H9" s="32"/>
    </x:row>
    <x:row r="10">
      <x:c r="A10" s="45"/>
      <x:c r="B10" s="45"/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>
      <x:c r="A12" s="49" t="str">
        <x:v>Legenda delle priorità</x:v>
      </x:c>
      <x:c r="B12" s="49"/>
      <x:c r="C12" s="49"/>
      <x:c r="D12" s="49"/>
      <x:c r="E12" s="49"/>
      <x:c r="F12" s="49"/>
      <x:c r="G12" s="49"/>
      <x:c r="H12" s="49"/>
    </x:row>
    <x:row r="13">
      <x:c r="A13" s="50" t="str">
        <x:v>P1</x:v>
      </x:c>
      <x:c r="B13" s="50" t="str">
        <x:v>Input diretto o parametro centrale</x:v>
      </x:c>
      <x:c r="C13" s="50" t="str"/>
      <x:c r="D13" s="50" t="str"/>
      <x:c r="E13" s="50" t="str"/>
      <x:c r="F13" s="50" t="str"/>
      <x:c r="G13" s="50" t="str"/>
      <x:c r="H13" s="50" t="str"/>
    </x:row>
    <x:row r="14">
      <x:c r="A14" s="51" t="str">
        <x:v>P2</x:v>
      </x:c>
      <x:c r="B14" s="51" t="str">
        <x:v>Contesto, riconciliazione o validazione</x:v>
      </x:c>
      <x:c r="C14" s="51" t="str"/>
      <x:c r="D14" s="51" t="str"/>
      <x:c r="E14" s="51" t="str"/>
      <x:c r="F14" s="51" t="str"/>
      <x:c r="G14" s="51" t="str"/>
      <x:c r="H14" s="51" t="str"/>
    </x:row>
    <x:row r="15">
      <x:c r="A15" s="52" t="str">
        <x:v>P3</x:v>
      </x:c>
      <x:c r="B15" s="52" t="str">
        <x:v>Secondario rispetto al dispatch-only</x:v>
      </x:c>
      <x:c r="C15" s="52" t="str"/>
      <x:c r="D15" s="52" t="str"/>
      <x:c r="E15" s="52" t="str"/>
      <x:c r="F15" s="52" t="str"/>
      <x:c r="G15" s="52" t="str"/>
      <x:c r="H15" s="52" t="str"/>
    </x:row>
    <x:row r="18">
      <x:c r="A18" s="92" t="str">
        <x:v>Fase 2 — Specifica del modello</x:v>
      </x:c>
      <x:c r="B18" s="92"/>
      <x:c r="C18" s="92"/>
      <x:c r="D18" s="92"/>
      <x:c r="E18" s="92"/>
      <x:c r="F18" s="92"/>
      <x:c r="G18" s="92"/>
      <x:c r="H18" s="92"/>
    </x:row>
    <x:row r="19">
      <x:c r="A19" s="124" t="str">
        <x:v>Completati 134 requisiti, 35 mapping PyPSA e 36 decisioni. La Fase 3A può iniziare senza decisioni bloccanti immediate. Le scelte provvisorie sono: modello zonale di trasporto, capacità fisse, anno completo orario e prezzi zonali come output primario.</x:v>
      </x:c>
      <x:c r="B19" s="124"/>
      <x:c r="C19" s="124"/>
      <x:c r="D19" s="124"/>
      <x:c r="E19" s="124"/>
      <x:c r="F19" s="124"/>
      <x:c r="G19" s="124"/>
      <x:c r="H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</x:row>
    <x:row r="21">
      <x:c r="A21" s="124"/>
      <x:c r="B21" s="124"/>
      <x:c r="C21" s="124"/>
      <x:c r="D21" s="124"/>
      <x:c r="E21" s="124"/>
      <x:c r="F21" s="124"/>
      <x:c r="G21" s="124"/>
      <x:c r="H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</x:row>
    <x:row r="23">
      <x:c r="A23" s="124"/>
      <x:c r="B23" s="124"/>
      <x:c r="C23" s="124"/>
      <x:c r="D23" s="124"/>
      <x:c r="E23" s="124"/>
      <x:c r="F23" s="124"/>
      <x:c r="G23" s="124"/>
      <x:c r="H23" s="124"/>
    </x:row>
    <x:row r="25">
      <x:c r="A25" s="151" t="str">
        <x:v>Fase 3A — Estrazione scenari, domanda e capacità</x:v>
      </x:c>
      <x:c r="B25" s="151"/>
      <x:c r="C25" s="151"/>
      <x:c r="D25" s="151"/>
      <x:c r="E25" s="151"/>
      <x:c r="F25" s="151"/>
      <x:c r="G25" s="151"/>
      <x:c r="H25" s="151"/>
    </x:row>
    <x:row r="26">
      <x:c r="A26" s="150" t="str">
        <x:v>DDS 2024 acquisito come S09. Estratti 13 scenari, 115 record di domanda, 88 capacità nazionali, 252 zonali e 195 voci di bilancio. QA: 34 PASS, 4 REVIEW.</x:v>
      </x:c>
      <x:c r="B26" s="150"/>
      <x:c r="C26" s="150"/>
      <x:c r="D26" s="150"/>
      <x:c r="E26" s="150"/>
      <x:c r="F26" s="150"/>
      <x:c r="G26" s="150"/>
      <x:c r="H26" s="150"/>
    </x:row>
    <x:row r="27">
      <x:c r="A27" s="150"/>
      <x:c r="B27" s="150"/>
      <x:c r="C27" s="150"/>
      <x:c r="D27" s="150"/>
      <x:c r="E27" s="150"/>
      <x:c r="F27" s="150"/>
      <x:c r="G27" s="150"/>
      <x:c r="H27" s="150"/>
    </x:row>
    <x:row r="28">
      <x:c r="A28" s="150"/>
      <x:c r="B28" s="150"/>
      <x:c r="C28" s="150"/>
      <x:c r="D28" s="150"/>
      <x:c r="E28" s="150"/>
      <x:c r="F28" s="150"/>
      <x:c r="G28" s="150"/>
      <x:c r="H28" s="150"/>
    </x:row>
    <x:row r="29">
      <x:c r="A29" s="150"/>
      <x:c r="B29" s="150"/>
      <x:c r="C29" s="150"/>
      <x:c r="D29" s="150"/>
      <x:c r="E29" s="150"/>
      <x:c r="F29" s="150"/>
      <x:c r="G29" s="150"/>
      <x:c r="H29" s="150"/>
    </x:row>
    <x:row r="30">
      <x:c r="A30" s="150"/>
      <x:c r="B30" s="150"/>
      <x:c r="C30" s="150"/>
      <x:c r="D30" s="150"/>
      <x:c r="E30" s="150"/>
      <x:c r="F30" s="150"/>
      <x:c r="G30" s="150"/>
      <x:c r="H30" s="150"/>
    </x:row>
    <x:row r="31">
      <x:c r="A31" s="150"/>
      <x:c r="B31" s="150"/>
      <x:c r="C31" s="150"/>
      <x:c r="D31" s="150"/>
      <x:c r="E31" s="150"/>
      <x:c r="F31" s="150"/>
      <x:c r="G31" s="150"/>
      <x:c r="H31" s="150"/>
    </x:row>
    <x:row r="33">
      <x:c r="A33" s="213" t="str">
        <x:v>Fase 3B — Accumuli, idroelettrico e flessibilità</x:v>
      </x:c>
      <x:c r="B33" s="213"/>
      <x:c r="C33" s="213"/>
      <x:c r="D33" s="213"/>
      <x:c r="E33" s="213"/>
      <x:c r="F33" s="213"/>
      <x:c r="G33" s="213"/>
      <x:c r="H33" s="213"/>
    </x:row>
    <x:row r="34">
      <x:c r="A34" s="212" t="str">
        <x:v>Estratti 58 record storage nazionali/contrattuali, 252 record zonali, 67 record idroelettrici e 96 record di flessibilità. Potenza derivata solo dove la durata è esplicita. QA: 43 PASS e 3 REVIEW.</x:v>
      </x:c>
      <x:c r="B34" s="212"/>
      <x:c r="C34" s="212"/>
      <x:c r="D34" s="212"/>
      <x:c r="E34" s="212"/>
      <x:c r="F34" s="212"/>
      <x:c r="G34" s="212"/>
      <x:c r="H34" s="212"/>
    </x:row>
    <x:row r="35">
      <x:c r="A35" s="212"/>
      <x:c r="B35" s="212"/>
      <x:c r="C35" s="212"/>
      <x:c r="D35" s="212"/>
      <x:c r="E35" s="212"/>
      <x:c r="F35" s="212"/>
      <x:c r="G35" s="212"/>
      <x:c r="H35" s="212"/>
    </x:row>
    <x:row r="36">
      <x:c r="A36" s="212"/>
      <x:c r="B36" s="212"/>
      <x:c r="C36" s="212"/>
      <x:c r="D36" s="212"/>
      <x:c r="E36" s="212"/>
      <x:c r="F36" s="212"/>
      <x:c r="G36" s="212"/>
      <x:c r="H36" s="212"/>
    </x:row>
    <x:row r="37">
      <x:c r="A37" s="212"/>
      <x:c r="B37" s="212"/>
      <x:c r="C37" s="212"/>
      <x:c r="D37" s="212"/>
      <x:c r="E37" s="212"/>
      <x:c r="F37" s="212"/>
      <x:c r="G37" s="212"/>
      <x:c r="H37" s="212"/>
    </x:row>
    <x:row r="38">
      <x:c r="A38" s="212"/>
      <x:c r="B38" s="212"/>
      <x:c r="C38" s="212"/>
      <x:c r="D38" s="212"/>
      <x:c r="E38" s="212"/>
      <x:c r="F38" s="212"/>
      <x:c r="G38" s="212"/>
      <x:c r="H38" s="212"/>
    </x:row>
    <x:row r="39">
      <x:c r="A39" s="212"/>
      <x:c r="B39" s="212"/>
      <x:c r="C39" s="212"/>
      <x:c r="D39" s="212"/>
      <x:c r="E39" s="212"/>
      <x:c r="F39" s="212"/>
      <x:c r="G39" s="212"/>
      <x:c r="H39" s="212"/>
    </x:row>
    <x:row r="40">
      <x:c r="A40" s="212"/>
      <x:c r="B40" s="212"/>
      <x:c r="C40" s="212"/>
      <x:c r="D40" s="212"/>
      <x:c r="E40" s="212"/>
      <x:c r="F40" s="212"/>
      <x:c r="G40" s="212"/>
      <x:c r="H40" s="212"/>
    </x:row>
    <x:row r="42">
      <x:c r="A42" s="251" t="str">
        <x:v>Fase 3C — Rete, interzonali e interconnessioni</x:v>
      </x:c>
      <x:c r="B42" s="251"/>
      <x:c r="C42" s="251"/>
      <x:c r="D42" s="251"/>
      <x:c r="E42" s="251"/>
      <x:c r="F42" s="251"/>
      <x:c r="G42" s="251"/>
      <x:c r="H42" s="251"/>
    </x:row>
    <x:row r="43">
      <x:c r="A43" s="250" t="str">
        <x:v>Estratti 40 limiti correnti stagionali, 184 record di capacità PDS/DDS, 26 record esteri e 57 effetti di progetto. 2040 Base usa S03 Figura 3; 2040 Conservative usa il livello 2035; 2050 Central usa il 2040 come floor documentato. Rating nominali e NTC restano separati.</x:v>
      </x:c>
      <x:c r="B43" s="250"/>
      <x:c r="C43" s="250"/>
      <x:c r="D43" s="250"/>
      <x:c r="E43" s="250"/>
      <x:c r="F43" s="250"/>
      <x:c r="G43" s="250"/>
      <x:c r="H43" s="250"/>
    </x:row>
    <x:row r="44">
      <x:c r="A44" s="250"/>
      <x:c r="B44" s="250"/>
      <x:c r="C44" s="250"/>
      <x:c r="D44" s="250"/>
      <x:c r="E44" s="250"/>
      <x:c r="F44" s="250"/>
      <x:c r="G44" s="250"/>
      <x:c r="H44" s="250"/>
    </x:row>
    <x:row r="45">
      <x:c r="A45" s="250"/>
      <x:c r="B45" s="250"/>
      <x:c r="C45" s="250"/>
      <x:c r="D45" s="250"/>
      <x:c r="E45" s="250"/>
      <x:c r="F45" s="250"/>
      <x:c r="G45" s="250"/>
      <x:c r="H45" s="250"/>
    </x:row>
    <x:row r="46">
      <x:c r="A46" s="250"/>
      <x:c r="B46" s="250"/>
      <x:c r="C46" s="250"/>
      <x:c r="D46" s="250"/>
      <x:c r="E46" s="250"/>
      <x:c r="F46" s="250"/>
      <x:c r="G46" s="250"/>
      <x:c r="H46" s="250"/>
    </x:row>
    <x:row r="47">
      <x:c r="A47" s="250"/>
      <x:c r="B47" s="250"/>
      <x:c r="C47" s="250"/>
      <x:c r="D47" s="250"/>
      <x:c r="E47" s="250"/>
      <x:c r="F47" s="250"/>
      <x:c r="G47" s="250"/>
      <x:c r="H47" s="250"/>
    </x:row>
    <x:row r="48">
      <x:c r="A48" s="250"/>
      <x:c r="B48" s="250"/>
      <x:c r="C48" s="250"/>
      <x:c r="D48" s="250"/>
      <x:c r="E48" s="250"/>
      <x:c r="F48" s="250"/>
      <x:c r="G48" s="250"/>
      <x:c r="H48" s="250"/>
    </x:row>
    <x:row r="49">
      <x:c r="A49" s="250"/>
      <x:c r="B49" s="250"/>
      <x:c r="C49" s="250"/>
      <x:c r="D49" s="250"/>
      <x:c r="E49" s="250"/>
      <x:c r="F49" s="250"/>
      <x:c r="G49" s="250"/>
      <x:c r="H49" s="250"/>
    </x:row>
    <x:row r="51">
      <x:c r="A51" s="288" t="str">
        <x:v>Fase 3D — Costi, efficienze e parametri tecnici</x:v>
      </x:c>
      <x:c r="B51" s="288"/>
      <x:c r="C51" s="288"/>
      <x:c r="D51" s="288"/>
      <x:c r="E51" s="288"/>
      <x:c r="F51" s="288"/>
      <x:c r="G51" s="288"/>
      <x:c r="H51" s="288"/>
    </x:row>
    <x:row r="52">
      <x:c r="A52" s="287" t="str">
        <x:v>Estratti 94 record interni; importati 252 parametri candidati da technology-data v0.9.2 e v0.15.0; registrati 30 gap. Commodity disponibili fino al 2040; costo marginale CCGT formalizzato. CAPEX/LCOE/FOM restano fuori dal dispatch-only. La release tecnica deve essere pinning al progetto PyPSA-Eur CLI prima del model build.</x:v>
      </x:c>
      <x:c r="B52" s="287"/>
      <x:c r="C52" s="287"/>
      <x:c r="D52" s="287"/>
      <x:c r="E52" s="287"/>
      <x:c r="F52" s="287"/>
      <x:c r="G52" s="287"/>
      <x:c r="H52" s="287"/>
    </x:row>
    <x:row r="53">
      <x:c r="A53" s="287"/>
      <x:c r="B53" s="287"/>
      <x:c r="C53" s="287"/>
      <x:c r="D53" s="287"/>
      <x:c r="E53" s="287"/>
      <x:c r="F53" s="287"/>
      <x:c r="G53" s="287"/>
      <x:c r="H53" s="287"/>
    </x:row>
    <x:row r="54">
      <x:c r="A54" s="287"/>
      <x:c r="B54" s="287"/>
      <x:c r="C54" s="287"/>
      <x:c r="D54" s="287"/>
      <x:c r="E54" s="287"/>
      <x:c r="F54" s="287"/>
      <x:c r="G54" s="287"/>
      <x:c r="H54" s="287"/>
    </x:row>
    <x:row r="55">
      <x:c r="A55" s="287"/>
      <x:c r="B55" s="287"/>
      <x:c r="C55" s="287"/>
      <x:c r="D55" s="287"/>
      <x:c r="E55" s="287"/>
      <x:c r="F55" s="287"/>
      <x:c r="G55" s="287"/>
      <x:c r="H55" s="287"/>
    </x:row>
    <x:row r="56">
      <x:c r="A56" s="287"/>
      <x:c r="B56" s="287"/>
      <x:c r="C56" s="287"/>
      <x:c r="D56" s="287"/>
      <x:c r="E56" s="287"/>
      <x:c r="F56" s="287"/>
      <x:c r="G56" s="287"/>
      <x:c r="H56" s="287"/>
    </x:row>
    <x:row r="57">
      <x:c r="A57" s="287"/>
      <x:c r="B57" s="287"/>
      <x:c r="C57" s="287"/>
      <x:c r="D57" s="287"/>
      <x:c r="E57" s="287"/>
      <x:c r="F57" s="287"/>
      <x:c r="G57" s="287"/>
      <x:c r="H57" s="287"/>
    </x:row>
    <x:row r="58">
      <x:c r="A58" s="287"/>
      <x:c r="B58" s="287"/>
      <x:c r="C58" s="287"/>
      <x:c r="D58" s="287"/>
      <x:c r="E58" s="287"/>
      <x:c r="F58" s="287"/>
      <x:c r="G58" s="287"/>
      <x:c r="H58" s="287"/>
    </x:row>
    <x:row r="59">
      <x:c r="A59" s="287"/>
      <x:c r="B59" s="287"/>
      <x:c r="C59" s="287"/>
      <x:c r="D59" s="287"/>
      <x:c r="E59" s="287"/>
      <x:c r="F59" s="287"/>
      <x:c r="G59" s="287"/>
      <x:c r="H59" s="287"/>
    </x:row>
    <x:row r="61">
      <x:c r="A61" s="369" t="str">
        <x:v>Fase 4 — Armonizzazione scenari 2040/2050</x:v>
      </x:c>
      <x:c r="B61" s="369"/>
      <x:c r="C61" s="369"/>
      <x:c r="D61" s="369"/>
      <x:c r="E61" s="369"/>
      <x:c r="F61" s="369"/>
      <x:c r="G61" s="369"/>
      <x:c r="H61" s="369"/>
    </x:row>
    <x:row r="62">
      <x:c r="A62" s="358" t="str">
        <x:v>Fase 4 v1.2 — PHASE 5 READY: DE-IT approvato come base 2040; PNIEC 2050 con 8 GW nucleari approvato come base. PNIEC storage n/a: bridge provvisorio 237.667 GWh / 43.653 GW. Capacity Market 4h e MACSE 42 GWh restano separati. EUR2025 e technology-data v0.15.0 confermati, subordinati al pin CLI.</x:v>
      </x:c>
      <x:c r="B62" s="358"/>
      <x:c r="C62" s="358"/>
      <x:c r="D62" s="358"/>
      <x:c r="E62" s="358"/>
      <x:c r="F62" s="358"/>
      <x:c r="G62" s="358"/>
      <x:c r="H62" s="358"/>
    </x:row>
    <x:row r="63">
      <x:c r="A63" s="358"/>
      <x:c r="B63" s="358"/>
      <x:c r="C63" s="358"/>
      <x:c r="D63" s="358"/>
      <x:c r="E63" s="358"/>
      <x:c r="F63" s="358"/>
      <x:c r="G63" s="358"/>
      <x:c r="H63" s="358"/>
    </x:row>
    <x:row r="64">
      <x:c r="A64" s="358"/>
      <x:c r="B64" s="358"/>
      <x:c r="C64" s="358"/>
      <x:c r="D64" s="358"/>
      <x:c r="E64" s="358"/>
      <x:c r="F64" s="358"/>
      <x:c r="G64" s="358"/>
      <x:c r="H64" s="358"/>
    </x:row>
    <x:row r="65">
      <x:c r="A65" s="358"/>
      <x:c r="B65" s="358"/>
      <x:c r="C65" s="358"/>
      <x:c r="D65" s="358"/>
      <x:c r="E65" s="358"/>
      <x:c r="F65" s="358"/>
      <x:c r="G65" s="358"/>
      <x:c r="H65" s="358"/>
    </x:row>
    <x:row r="66">
      <x:c r="A66" s="358"/>
      <x:c r="B66" s="358"/>
      <x:c r="C66" s="358"/>
      <x:c r="D66" s="358"/>
      <x:c r="E66" s="358"/>
      <x:c r="F66" s="358"/>
      <x:c r="G66" s="358"/>
      <x:c r="H66" s="358"/>
    </x:row>
    <x:row r="67">
      <x:c r="A67" s="358"/>
      <x:c r="B67" s="358"/>
      <x:c r="C67" s="358"/>
      <x:c r="D67" s="358"/>
      <x:c r="E67" s="358"/>
      <x:c r="F67" s="358"/>
      <x:c r="G67" s="358"/>
      <x:c r="H67" s="358"/>
    </x:row>
    <x:row r="68">
      <x:c r="A68" s="358"/>
      <x:c r="B68" s="358"/>
      <x:c r="C68" s="358"/>
      <x:c r="D68" s="358"/>
      <x:c r="E68" s="358"/>
      <x:c r="F68" s="358"/>
      <x:c r="G68" s="358"/>
      <x:c r="H68" s="358"/>
    </x:row>
    <x:row r="69">
      <x:c r="A69" s="358"/>
      <x:c r="B69" s="358"/>
      <x:c r="C69" s="358"/>
      <x:c r="D69" s="358"/>
      <x:c r="E69" s="358"/>
      <x:c r="F69" s="358"/>
      <x:c r="G69" s="358"/>
      <x:c r="H69" s="358"/>
    </x:row>
  </x:sheetData>
  <x:mergeCells>
    <x:mergeCell ref="A1:H1"/>
    <x:mergeCell ref="A2:H2"/>
    <x:mergeCell ref="D4:H4"/>
    <x:mergeCell ref="D5:H9"/>
    <x:mergeCell ref="A12:H12"/>
    <x:mergeCell ref="A18:H18"/>
    <x:mergeCell ref="A19:H23"/>
    <x:mergeCell ref="A25:H25"/>
    <x:mergeCell ref="A26:H31"/>
    <x:mergeCell ref="A33:H33"/>
    <x:mergeCell ref="A34:H40"/>
    <x:mergeCell ref="A42:H42"/>
    <x:mergeCell ref="A43:H49"/>
    <x:mergeCell ref="A51:H51"/>
    <x:mergeCell ref="A52:H59"/>
    <x:mergeCell ref="A61:H61"/>
    <x:mergeCell ref="A62:H6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8" hidden="0" customWidth="1"/>
    <x:col min="5" max="5" width="8" hidden="0" customWidth="1"/>
    <x:col min="6" max="6" width="24" hidden="0" customWidth="1"/>
    <x:col min="7" max="7" width="22" hidden="0" customWidth="1"/>
    <x:col min="8" max="8" width="40" hidden="0" customWidth="1"/>
    <x:col min="9" max="9" width="40" hidden="0" customWidth="1"/>
    <x:col min="10" max="10" width="24" hidden="0" customWidth="1"/>
    <x:col min="11" max="11" width="34" hidden="0" customWidth="1"/>
    <x:col min="12" max="12" width="40" hidden="0" customWidth="1"/>
    <x:col min="13" max="13" width="24" hidden="0" customWidth="1"/>
    <x:col min="14" max="14" width="40" hidden="0" customWidth="1"/>
    <x:col min="15" max="15" width="24" hidden="0" customWidth="1"/>
    <x:col min="16" max="16" width="42" hidden="0" customWidth="1"/>
  </x:cols>
  <x:sheetData>
    <x:row r="1" ht="34" customHeight="1">
      <x:c r="A1" s="5" t="str">
        <x:v>Registro delle fonti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3" t="str">
        <x:v>Otto documenti del corpus e loro ruolo nel progetto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82" t="str">
        <x:v>Source ID</x:v>
      </x:c>
      <x:c r="B4" s="82" t="str">
        <x:v>Titolo</x:v>
      </x:c>
      <x:c r="C4" s="82" t="str">
        <x:v>Autore</x:v>
      </x:c>
      <x:c r="D4" s="82" t="str">
        <x:v>Anno</x:v>
      </x:c>
      <x:c r="E4" s="82" t="str">
        <x:v>Pagine</x:v>
      </x:c>
      <x:c r="F4" s="82" t="str">
        <x:v>Tipo documento</x:v>
      </x:c>
      <x:c r="G4" s="82" t="str">
        <x:v>Versione/data</x:v>
      </x:c>
      <x:c r="H4" s="82" t="str">
        <x:v>Ruolo principale</x:v>
      </x:c>
      <x:c r="I4" s="82" t="str">
        <x:v>Scenari</x:v>
      </x:c>
      <x:c r="J4" s="82" t="str">
        <x:v>Anni coperti</x:v>
      </x:c>
      <x:c r="K4" s="82" t="str">
        <x:v>Geografia</x:v>
      </x:c>
      <x:c r="L4" s="82" t="str">
        <x:v>Tecnologie</x:v>
      </x:c>
      <x:c r="M4" s="82" t="str">
        <x:v>Contenuto quantitativo</x:v>
      </x:c>
      <x:c r="N4" s="82" t="str">
        <x:v>Leggibilità</x:v>
      </x:c>
      <x:c r="O4" s="82" t="str">
        <x:v>Priorità</x:v>
      </x:c>
      <x:c r="P4" s="82" t="str">
        <x:v>Limiti/sezioni secondarie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Terna S.p.A.</x:v>
      </x:c>
      <x:c r="D5" s="83" t="n">
        <x:v>2025</x:v>
      </x:c>
      <x:c r="E5" s="83" t="n">
        <x:v>104</x:v>
      </x:c>
      <x:c r="F5" s="83" t="str">
        <x:v>Piano di Sviluppo Terna - fascicolo tecnico</x:v>
      </x:c>
      <x:c r="G5" s="83" t="str">
        <x:v>Marzo 2025 (PDF modificato 13 marzo 2025)</x:v>
      </x:c>
      <x:c r="H5" s="83" t="str">
        <x:v>Baseline storica 2023-2024; struttura del mercato; scenari elettrici 2030-2040; bilanci, capacità e carico residuo.</x:v>
      </x:c>
      <x:c r="I5" s="83" t="str">
        <x:v>Storico 2023-2024; PNIEC Policy 2030; PNIEC Slow 2030/2035/2040; DE-IT 2035/2040; richiamo GA-IT/DDS24.</x:v>
      </x:c>
      <x:c r="J5" s="83" t="str">
        <x:v>Storico fino al 2024; scenari 2030, 2035, 2040.</x:v>
      </x:c>
      <x:c r="K5" s="83" t="str">
        <x:v>Nazionale; zone di mercato; alcune mappe regionali/territoriali; frontiere estere.</x:v>
      </x:c>
      <x:c r="L5" s="83" t="str">
        <x:v>Solare, eolico, idroelettrico, bioenergie/altre FER, gas, carbone/olio, accumuli elettrochimici, pompaggi, elettrolizzatori.</x:v>
      </x:c>
      <x:c r="M5" s="83" t="str">
        <x:v>Molto elevato: tabelle, mappe, grafici e bilanci.</x:v>
      </x:c>
      <x:c r="N5" s="83" t="str">
        <x:v>PDF testuale; tabelle parzialmente estraibili; mappe e grafici richiedono verifica visuale/digitalizzazione.</x:v>
      </x:c>
      <x:c r="O5" s="83" t="str">
        <x:v>Critica / fonte primaria 2040</x:v>
      </x:c>
      <x:c r="P5" s="83" t="str">
        <x:v>Dettagli di qualità/robustezza non direttamente traducibili nel dispatch zonale, salvo contesto e validazione.</x:v>
      </x:c>
    </x:row>
    <x:row r="6">
      <x:c r="A6" s="83" t="str">
        <x:v>S02</x:v>
      </x:c>
      <x:c r="B6" s="83" t="str">
        <x:v>Piano di Sviluppo 2025 - Overview</x:v>
      </x:c>
      <x:c r="C6" s="83" t="str">
        <x:v>Terna S.p.A.</x:v>
      </x:c>
      <x:c r="D6" s="83" t="n">
        <x:v>2025</x:v>
      </x:c>
      <x:c r="E6" s="83" t="n">
        <x:v>68</x:v>
      </x:c>
      <x:c r="F6" s="83" t="str">
        <x:v>Piano di Sviluppo Terna - overview</x:v>
      </x:c>
      <x:c r="G6" s="83" t="str">
        <x:v>Marzo 2025 (PDF modificato 13 marzo 2025)</x:v>
      </x:c>
      <x:c r="H6" s="83" t="str">
        <x:v>Mappa sintetica del PdS 2025; cross-check di scenari, mercato, investimenti e cronologia rete 2030-2040.</x:v>
      </x:c>
      <x:c r="I6" s="83" t="str">
        <x:v>PNIEC/DDS24; orizzonti 2030, 2034 e 2040.</x:v>
      </x:c>
      <x:c r="J6" s="83" t="str">
        <x:v>Contesto storico recente; 2030, 2034, 2040.</x:v>
      </x:c>
      <x:c r="K6" s="83" t="str">
        <x:v>Nazionale, zonale e interconnessioni estere.</x:v>
      </x:c>
      <x:c r="L6" s="83" t="str">
        <x:v>FER, accumuli, generazione termica, data center; infrastrutture AC/HVDC.</x:v>
      </x:c>
      <x:c r="M6" s="83" t="str">
        <x:v>Medio-alto: indicatori sintetici, mappe e timeline.</x:v>
      </x:c>
      <x:c r="N6" s="83" t="str">
        <x:v>PDF testuale; molti grafici sintetici e mappe da verificare visualmente.</x:v>
      </x:c>
      <x:c r="O6" s="83" t="str">
        <x:v>Alta / fonte di orientamento e cross-check</x:v>
      </x:c>
      <x:c r="P6" s="83" t="str">
        <x:v>Dati sintetici non sostituiscono i fascicoli tecnici sottostanti.</x:v>
      </x:c>
    </x:row>
    <x:row r="7">
      <x:c r="A7" s="83" t="str">
        <x:v>S03</x:v>
      </x:c>
      <x:c r="B7" s="83" t="str">
        <x:v>Benefici di sistema e analisi robustezza rete</x:v>
      </x:c>
      <x:c r="C7" s="83" t="str">
        <x:v>Terna S.p.A.</x:v>
      </x:c>
      <x:c r="D7" s="83" t="n">
        <x:v>2025</x:v>
      </x:c>
      <x:c r="E7" s="83" t="n">
        <x:v>64</x:v>
      </x:c>
      <x:c r="F7" s="83" t="str">
        <x:v>Piano di Sviluppo Terna - fascicolo tecnico</x:v>
      </x:c>
      <x:c r="G7" s="83" t="str">
        <x:v>Marzo 2025 (PDF modificato 13 marzo 2025)</x:v>
      </x:c>
      <x:c r="H7" s="83" t="str">
        <x:v>Capacità di trasporto, effetti con/senza interventi, congestioni, adeguatezza, FER, riserva, emissioni e perdite.</x:v>
      </x:c>
      <x:c r="I7" s="83" t="str">
        <x:v>PNIEC 2030; DE-IT 2035/2040; analisi con e senza sviluppi di rete.</x:v>
      </x:c>
      <x:c r="J7" s="83" t="str">
        <x:v>2030, 2035, 2040; confronti con rete di riferimento.</x:v>
      </x:c>
      <x:c r="K7" s="83" t="str">
        <x:v>Frontiere estere; zone di mercato italiane; corridoi e aree di rete.</x:v>
      </x:c>
      <x:c r="L7" s="83" t="str">
        <x:v>FER, termoelettrico, accumuli; interventi AC/HVDC; risorse inverter-based.</x:v>
      </x:c>
      <x:c r="M7" s="83" t="str">
        <x:v>Elevato: capacità, benefici, indicatori di adeguatezza e mappe.</x:v>
      </x:c>
      <x:c r="N7" s="83" t="str">
        <x:v>PDF testuale; tabelle discrete; mappe/capacità richiedono controllo visuale.</x:v>
      </x:c>
      <x:c r="O7" s="83" t="str">
        <x:v>Critica / fonte primaria rete e validazione</x:v>
      </x:c>
      <x:c r="P7" s="83" t="str">
        <x:v>System strength e simulazioni dinamiche non modellati direttamente nel dispatch, salvo assunzioni/limiti.</x:v>
      </x:c>
    </x:row>
    <x:row r="8">
      <x:c r="A8" s="83" t="str">
        <x:v>S04</x:v>
      </x:c>
      <x:c r="B8" s="83" t="str">
        <x:v>Programmazione territoriale efficiente e interventi di connessione</x:v>
      </x:c>
      <x:c r="C8" s="83" t="str">
        <x:v>Terna S.p.A.</x:v>
      </x:c>
      <x:c r="D8" s="83" t="n">
        <x:v>2025</x:v>
      </x:c>
      <x:c r="E8" s="83" t="n">
        <x:v>108</x:v>
      </x:c>
      <x:c r="F8" s="83" t="str">
        <x:v>Piano di Sviluppo Terna - fascicolo tecnico</x:v>
      </x:c>
      <x:c r="G8" s="83" t="str">
        <x:v>Marzo 2025 (PDF modificato 13 marzo 2025)</x:v>
      </x:c>
      <x:c r="H8" s="83" t="str">
        <x:v>Pipeline territoriale di connessione; distribuzione regionale/locale; microzone; grandi carichi e opere di connessione.</x:v>
      </x:c>
      <x:c r="I8" s="83" t="str">
        <x:v>Richieste 2023-2024; confronto PNIEC Policy 2030; approccio microzonale prospettico.</x:v>
      </x:c>
      <x:c r="J8" s="83" t="str">
        <x:v>Storico richieste fino a dicembre 2024; target 2030; progetti in corso.</x:v>
      </x:c>
      <x:c r="K8" s="83" t="str">
        <x:v>Nazionale, regionale, provinciale/comunale e microzonale.</x:v>
      </x:c>
      <x:c r="L8" s="83" t="str">
        <x:v>Solare, eolico on/offshore, BESS, pompaggi, termoelettrico; data center, RFI, cold ironing, cabine primarie.</x:v>
      </x:c>
      <x:c r="M8" s="83" t="str">
        <x:v>Molto elevato: mappe regionali, tabelle pipeline e appendici progetto.</x:v>
      </x:c>
      <x:c r="N8" s="83" t="str">
        <x:v>PDF testuale ma con numerose mappe/infografiche; appendici tabellari estraibili con revisione.</x:v>
      </x:c>
      <x:c r="O8" s="83" t="str">
        <x:v>Alta per allocazione geografica; non fonte di capacità certa</x:v>
      </x:c>
      <x:c r="P8" s="83" t="str">
        <x:v>Le richieste di connessione sono pipeline e non devono essere trattate come capacità futura realizzata.</x:v>
      </x:c>
    </x:row>
    <x:row r="9">
      <x:c r="A9" s="83" t="str">
        <x:v>S05</x:v>
      </x:c>
      <x:c r="B9" s="83" t="str">
        <x:v>Esigenze di sviluppo: i nuovi progetti</x:v>
      </x:c>
      <x:c r="C9" s="83" t="str">
        <x:v>Terna S.p.A.</x:v>
      </x:c>
      <x:c r="D9" s="83" t="n">
        <x:v>2025</x:v>
      </x:c>
      <x:c r="E9" s="83" t="n">
        <x:v>100</x:v>
      </x:c>
      <x:c r="F9" s="83" t="str">
        <x:v>Piano di Sviluppo Terna - fascicolo progetti</x:v>
      </x:c>
      <x:c r="G9" s="83" t="str">
        <x:v>Marzo 2025 (PDF modificato 13 marzo 2025)</x:v>
      </x:c>
      <x:c r="H9" s="83" t="str">
        <x:v>Architettura futura della RTN, capacità interzonali/estere, Hypergrid, cronologia e stato dei progetti.</x:v>
      </x:c>
      <x:c r="I9" s="83" t="str">
        <x:v>Target capacity e architetture 2030, 2034, 2040.</x:v>
      </x:c>
      <x:c r="J9" s="83" t="str">
        <x:v>2025-2034; orizzonte architetturale 2040.</x:v>
      </x:c>
      <x:c r="K9" s="83" t="str">
        <x:v>Aree Nord-Ovest, Nord-Est, Centro-Sud; zone e frontiere estere; singoli corridoi/progetti.</x:v>
      </x:c>
      <x:c r="L9" s="83" t="str">
        <x:v>Linee AC, HVDC/VSC, reconductoring, DTR, stazioni e interconnector.</x:v>
      </x:c>
      <x:c r="M9" s="83" t="str">
        <x:v>Elevato: mappe, schede e tabelle di progetto.</x:v>
      </x:c>
      <x:c r="N9" s="83" t="str">
        <x:v>PDF testuale; schede progetto e mappe richiedono estrazione strutturata e controllo visuale.</x:v>
      </x:c>
      <x:c r="O9" s="83" t="str">
        <x:v>Critica / fonte primaria architettura rete</x:v>
      </x:c>
      <x:c r="P9" s="83" t="str">
        <x:v>CAPEX di rete e dettagli impiantistici restano contestuali nel dispatch-only.</x:v>
      </x:c>
    </x:row>
    <x:row r="10">
      <x:c r="A10" s="83" t="str">
        <x:v>S06</x:v>
      </x:c>
      <x:c r="B10" s="83" t="str">
        <x:v>Pianificazione della rete elettrica</x:v>
      </x:c>
      <x:c r="C10" s="83" t="str">
        <x:v>Terna S.p.A.</x:v>
      </x:c>
      <x:c r="D10" s="83" t="n">
        <x:v>2025</x:v>
      </x:c>
      <x:c r="E10" s="83" t="n">
        <x:v>92</x:v>
      </x:c>
      <x:c r="F10" s="83" t="str">
        <x:v>Piano di Sviluppo Terna - fascicolo metodologico</x:v>
      </x:c>
      <x:c r="G10" s="83" t="str">
        <x:v>Marzo 2025 (PDF modificato 13 marzo 2025)</x:v>
      </x:c>
      <x:c r="H10" s="83" t="str">
        <x:v>Quadro metodologico, normativo e istituzionale; coordinamento TSO-DSO, TYNDP, storage e nuovi carichi.</x:v>
      </x:c>
      <x:c r="I10" s="83" t="str">
        <x:v>Pianificazione decennale; TYNDP e cooperazione europea/mediterranea.</x:v>
      </x:c>
      <x:c r="J10" s="83" t="str">
        <x:v>2025-2034; programmi UE 2021-2027; riferimenti prospettici.</x:v>
      </x:c>
      <x:c r="K10" s="83" t="str">
        <x:v>Italia, Europa, Mediterraneo; casi nazionali.</x:v>
      </x:c>
      <x:c r="L10" s="83" t="str">
        <x:v>Storage, data center, cold ironing, e-mobility; digitalizzazione rete.</x:v>
      </x:c>
      <x:c r="M10" s="83" t="str">
        <x:v>Basso-medio: prevalenza descrittiva, alcune figure/tabelle.</x:v>
      </x:c>
      <x:c r="N10" s="83" t="str">
        <x:v>PDF testuale; dati numerici limitati.</x:v>
      </x:c>
      <x:c r="O10" s="83" t="str">
        <x:v>Media / contesto e riferimenti esterni</x:v>
      </x:c>
      <x:c r="P10" s="83" t="str">
        <x:v>Digitalizzazione, finanza agevolata e stakeholder engagement non sono input del modello.</x:v>
      </x:c>
    </x:row>
    <x:row r="11">
      <x:c r="A11" s="83" t="str">
        <x:v>S07</x:v>
      </x:c>
      <x:c r="B11" s="83" t="str">
        <x:v>Prospettive di Sviluppo del Sistema Energetico 2050 - Copertura della domanda elettrica</x:v>
      </x:c>
      <x:c r="C11" s="83" t="str">
        <x:v>Terna S.p.A.</x:v>
      </x:c>
      <x:c r="D11" s="83" t="n">
        <x:v>2025</x:v>
      </x:c>
      <x:c r="E11" s="83" t="n">
        <x:v>72</x:v>
      </x:c>
      <x:c r="F11" s="83" t="str">
        <x:v>Nota tecnica Terna ex Delibera ARERA 392/2024</x:v>
      </x:c>
      <x:c r="G11" s="83" t="str">
        <x:v>2025 (PDF creato/modificato 27 ottobre 2025)</x:v>
      </x:c>
      <x:c r="H11" s="83" t="str">
        <x:v>Fonte primaria 2050: domanda, mix, accumuli, costi tecnologici, adeguatezza e flessibilità.</x:v>
      </x:c>
      <x:c r="I11" s="83" t="str">
        <x:v>DDS24 2030-2040; scenari PNIEC 2050 con e senza nucleare; analisi di sensitività.</x:v>
      </x:c>
      <x:c r="J11" s="83" t="str">
        <x:v>Storico 2019-2025; 2030, 2040, 2050.</x:v>
      </x:c>
      <x:c r="K11" s="83" t="str">
        <x:v>Prevalentemente nazionale; profili temporali nazionali.</x:v>
      </x:c>
      <x:c r="L11" s="83" t="str">
        <x:v>Solare, eolico on/offshore, batterie, idroelettrico, gas, nucleare, CCUS/CCS, tecnologie emergenti.</x:v>
      </x:c>
      <x:c r="M11" s="83" t="str">
        <x:v>Molto elevato: costi, capacità, bilanci, domanda e flessibilità.</x:v>
      </x:c>
      <x:c r="N11" s="83" t="str">
        <x:v>PDF testuale; tabelle estraibili; numerosi grafici richiedono verifica/digitalizzazione.</x:v>
      </x:c>
      <x:c r="O11" s="83" t="str">
        <x:v>Critica / fonte primaria 2050</x:v>
      </x:c>
      <x:c r="P11" s="83" t="str">
        <x:v>Dati prevalentemente nazionali: disaggregazione zonale da costruire separatamente.</x:v>
      </x:c>
    </x:row>
    <x:row r="12">
      <x:c r="A12" s="83" t="str">
        <x:v>S08</x:v>
      </x:c>
      <x:c r="B12" s="83" t="str">
        <x:v>Piano Nazionale Integrato per l'Energia e il Clima</x:v>
      </x:c>
      <x:c r="C12" s="83" t="str">
        <x:v>MASE</x:v>
      </x:c>
      <x:c r="D12" s="83" t="n">
        <x:v>2024</x:v>
      </x:c>
      <x:c r="E12" s="83" t="n">
        <x:v>491</x:v>
      </x:c>
      <x:c r="F12" s="83" t="str">
        <x:v>Piano nazionale energia e clima</x:v>
      </x:c>
      <x:c r="G12" s="83" t="str">
        <x:v>Giugno 2024</x:v>
      </x:c>
      <x:c r="H12" s="83" t="str">
        <x:v>Target ufficiali, traiettorie di policy, domanda/consumi settoriali, interconnessioni, prezzi e base analitica.</x:v>
      </x:c>
      <x:c r="I12" s="83" t="str">
        <x:v>Scenario di riferimento/WEM; scenario con politiche aggiuntive/PNIEC; proiezioni fino al 2040; ipotesi nucleare 2035-2050.</x:v>
      </x:c>
      <x:c r="J12" s="83" t="str">
        <x:v>Storico fino al 2022/2023; obiettivi 2030; proiezioni 2040; alcune ipotesi 2050.</x:v>
      </x:c>
      <x:c r="K12" s="83" t="str">
        <x:v>Prevalentemente nazionale; alcuni dati regionali/settoriali; interconnessioni transfrontaliere.</x:v>
      </x:c>
      <x:c r="L12" s="83" t="str">
        <x:v>FER elettriche/termiche/trasporti, termoelettrico, nucleare, idrogeno, CCS, reti e accumuli.</x:v>
      </x:c>
      <x:c r="M12" s="83" t="str">
        <x:v>Molto elevato ma disperso in 491 pagine.</x:v>
      </x:c>
      <x:c r="N12" s="83" t="str">
        <x:v>PDF testuale; molte tabelle estraibili, alcune complesse; figure e note richiedono controllo.</x:v>
      </x:c>
      <x:c r="O12" s="83" t="str">
        <x:v>Alta / fonte ufficiale di policy e cross-check</x:v>
      </x:c>
      <x:c r="P12" s="83" t="str">
        <x:v>Ampie sezioni non elettriche o solo normative saranno catalogate ma non estratte integralmente.</x:v>
      </x:c>
    </x:row>
    <x:row r="13">
      <x:c r="A13" s="129" t="str">
        <x:v>S09</x:v>
      </x:c>
      <x:c r="B13" s="129" t="str">
        <x:v>Documento di Descrizione degli Scenari 2024</x:v>
      </x:c>
      <x:c r="C13" s="129" t="str">
        <x:v>Terna e Snam</x:v>
      </x:c>
      <x:c r="D13" s="129" t="n">
        <x:v>2024</x:v>
      </x:c>
      <x:c r="E13" s="129" t="n">
        <x:v>121</x:v>
      </x:c>
      <x:c r="F13" s="129" t="str">
        <x:v>Documento congiunto di scenario tecnico</x:v>
      </x:c>
      <x:c r="G13" s="129" t="str">
        <x:v>2024</x:v>
      </x:c>
      <x:c r="H13" s="129" t="str">
        <x:v>Fonte primaria 2030-2040 per domanda, capacità FER, bilanci, commodity e risultati di simulazione.</x:v>
      </x:c>
      <x:c r="I13" s="129" t="str">
        <x:v>PNIEC Policy; PNIEC Slow; DE-IT; GA-IT</x:v>
      </x:c>
      <x:c r="J13" s="129" t="str">
        <x:v>2023; 2030; 2035; 2040</x:v>
      </x:c>
      <x:c r="K13" s="129" t="str">
        <x:v>Nazionale e sette zone per solare, eolico, accumuli ed elettrolizzatori.</x:v>
      </x:c>
      <x:c r="L13" s="129" t="str">
        <x:v>Domanda; FER; storage; H2; termoelettrico aggregato; commodity; bilanci; flussi.</x:v>
      </x:c>
      <x:c r="M13" s="129" t="str">
        <x:v>Molto elevato: tabelle e figure direttamente utilizzabili.</x:v>
      </x:c>
      <x:c r="N13" s="129" t="str">
        <x:v>PDF testuale; tabelle estraibili e pagine quantitative verificate visivamente.</x:v>
      </x:c>
      <x:c r="O13" s="129" t="str">
        <x:v>Critica / fonte primaria 2040</x:v>
      </x:c>
      <x:c r="P13" s="129" t="str">
        <x:v>Non copre il 2050 dettagliato; termoelettrico e idrico aggregati; rete completa in fasi successive.</x:v>
      </x:c>
    </x:row>
  </x:sheetData>
  <x:mergeCells>
    <x:mergeCell ref="A1:P1"/>
    <x:mergeCell ref="A2:P2"/>
  </x:mergeCells>
  <x:conditionalFormatting sqref="O5:O12">
    <x:cfRule type="expression" dxfId="0" priority="1">
      <x:formula>LEFT(O5,7)="Critica"</x:formula>
    </x:cfRule>
    <x:cfRule type="expression" dxfId="1" priority="2">
      <x:formula>LEFT(O5,4)="Alta"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3a1ecc85144b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4" hidden="0" customWidth="1"/>
    <x:col min="5" max="5" width="35" hidden="0" customWidth="1"/>
    <x:col min="6" max="6" width="10" hidden="0" customWidth="1"/>
    <x:col min="7" max="7" width="58" hidden="0" customWidth="1"/>
  </x:cols>
  <x:sheetData>
    <x:row r="1" ht="34" customHeight="1">
      <x:c r="A1" s="5" t="str">
        <x:v>Mappa della struttura documentale</x:v>
      </x:c>
      <x:c r="B1" s="5"/>
      <x:c r="C1" s="5"/>
      <x:c r="D1" s="5"/>
      <x:c r="E1" s="5"/>
      <x:c r="F1" s="5"/>
      <x:c r="G1" s="5"/>
    </x:row>
    <x:row r="2" ht="28" customHeight="1">
      <x:c r="A2" s="13" t="str">
        <x:v>Capitoli, pagine, blocchi del modello e priorità</x:v>
      </x:c>
      <x:c r="B2" s="13"/>
      <x:c r="C2" s="13"/>
      <x:c r="D2" s="13"/>
      <x:c r="E2" s="13"/>
      <x:c r="F2" s="13"/>
      <x:c r="G2" s="13"/>
    </x:row>
    <x:row r="4" ht="34" customHeight="1">
      <x:c r="A4" s="82" t="str">
        <x:v>Source ID</x:v>
      </x:c>
      <x:c r="B4" s="82" t="str">
        <x:v>Documento</x:v>
      </x:c>
      <x:c r="C4" s="82" t="str">
        <x:v>Sezione</x:v>
      </x:c>
      <x:c r="D4" s="82" t="str">
        <x:v>Pagine stampate</x:v>
      </x:c>
      <x:c r="E4" s="82" t="str">
        <x:v>Blocchi del modello</x:v>
      </x:c>
      <x:c r="F4" s="82" t="str">
        <x:v>Priorità</x:v>
      </x:c>
      <x:c r="G4" s="82" t="str">
        <x:v>Uso previsto / cautela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1. La Rete di Trasmissione Nazionale</x:v>
      </x:c>
      <x:c r="D5" s="83" t="str">
        <x:v>11-18</x:v>
      </x:c>
      <x:c r="E5" s="83" t="str">
        <x:v>Trasmissione; geografia; validazione</x:v>
      </x:c>
      <x:c r="F5" s="83" t="str">
        <x:v>P2</x:v>
      </x:c>
      <x:c r="G5" s="83" t="str">
        <x:v>Consistenze RTN e variazioni; utile per descrivere il perimetro fisico, non sufficiente per capacità di scambio.</x:v>
      </x:c>
    </x:row>
    <x:row r="6">
      <x:c r="A6" s="83" t="str">
        <x:v>S01</x:v>
      </x:c>
      <x:c r="B6" s="83" t="str">
        <x:v>Stato del sistema elettrico e scenari energetici</x:v>
      </x:c>
      <x:c r="C6" s="83" t="str">
        <x:v>2.1 Bilancio energetico nazionale</x:v>
      </x:c>
      <x:c r="D6" s="83" t="str">
        <x:v>21-22</x:v>
      </x:c>
      <x:c r="E6" s="83" t="str">
        <x:v>Domanda; produzione; import/export; validazione</x:v>
      </x:c>
      <x:c r="F6" s="83" t="str">
        <x:v>P1</x:v>
      </x:c>
      <x:c r="G6" s="83" t="str">
        <x:v>Baseline storica e perimetri del bilancio.</x:v>
      </x:c>
    </x:row>
    <x:row r="7">
      <x:c r="A7" s="83" t="str">
        <x:v>S01</x:v>
      </x:c>
      <x:c r="B7" s="83" t="str">
        <x:v>Stato del sistema elettrico e scenari energetici</x:v>
      </x:c>
      <x:c r="C7" s="83" t="str">
        <x:v>2.2 Domanda elettrica nazionale</x:v>
      </x:c>
      <x:c r="D7" s="83" t="str">
        <x:v>23-23</x:v>
      </x:c>
      <x:c r="E7" s="83" t="str">
        <x:v>Domanda</x:v>
      </x:c>
      <x:c r="F7" s="83" t="str">
        <x:v>P1</x:v>
      </x:c>
      <x:c r="G7" s="83" t="str">
        <x:v>Valori storici e definizioni del fabbisogno.</x:v>
      </x:c>
    </x:row>
    <x:row r="8">
      <x:c r="A8" s="83" t="str">
        <x:v>S01</x:v>
      </x:c>
      <x:c r="B8" s="83" t="str">
        <x:v>Stato del sistema elettrico e scenari energetici</x:v>
      </x:c>
      <x:c r="C8" s="83" t="str">
        <x:v>2.3 Produzione elettrica nazionale</x:v>
      </x:c>
      <x:c r="D8" s="83" t="str">
        <x:v>24-24</x:v>
      </x:c>
      <x:c r="E8" s="83" t="str">
        <x:v>Produzione; capacità</x:v>
      </x:c>
      <x:c r="F8" s="83" t="str">
        <x:v>P1</x:v>
      </x:c>
      <x:c r="G8" s="83" t="str">
        <x:v>Mix storico e confronto tecnologico.</x:v>
      </x:c>
    </x:row>
    <x:row r="9">
      <x:c r="A9" s="83" t="str">
        <x:v>S01</x:v>
      </x:c>
      <x:c r="B9" s="83" t="str">
        <x:v>Stato del sistema elettrico e scenari energetici</x:v>
      </x:c>
      <x:c r="C9" s="83" t="str">
        <x:v>2.4 Rinnovabili e sistemi di accumulo</x:v>
      </x:c>
      <x:c r="D9" s="83" t="str">
        <x:v>24-29</x:v>
      </x:c>
      <x:c r="E9" s="83" t="str">
        <x:v>Capacità; accumuli; produzione</x:v>
      </x:c>
      <x:c r="F9" s="83" t="str">
        <x:v>P1</x:v>
      </x:c>
      <x:c r="G9" s="83" t="str">
        <x:v>Capacità, produzione e distribuzione territoriale recente.</x:v>
      </x:c>
    </x:row>
    <x:row r="10">
      <x:c r="A10" s="83" t="str">
        <x:v>S01</x:v>
      </x:c>
      <x:c r="B10" s="83" t="str">
        <x:v>Stato del sistema elettrico e scenari energetici</x:v>
      </x:c>
      <x:c r="C10" s="83" t="str">
        <x:v>2.5 Analisi del carico residuo</x:v>
      </x:c>
      <x:c r="D10" s="83" t="str">
        <x:v>30-32</x:v>
      </x:c>
      <x:c r="E10" s="83" t="str">
        <x:v>Domanda; flessibilità; profili</x:v>
      </x:c>
      <x:c r="F10" s="83" t="str">
        <x:v>P1</x:v>
      </x:c>
      <x:c r="G10" s="83" t="str">
        <x:v>Profilo e definizione del carico residuo.</x:v>
      </x:c>
    </x:row>
    <x:row r="11">
      <x:c r="A11" s="83" t="str">
        <x:v>S01</x:v>
      </x:c>
      <x:c r="B11" s="83" t="str">
        <x:v>Stato del sistema elettrico e scenari energetici</x:v>
      </x:c>
      <x:c r="C11" s="83" t="str">
        <x:v>3.1 Mercato elettrico e zone di mercato</x:v>
      </x:c>
      <x:c r="D11" s="83" t="str">
        <x:v>34-39</x:v>
      </x:c>
      <x:c r="E11" s="83" t="str">
        <x:v>Mercato; geografia; prezzi zonali</x:v>
      </x:c>
      <x:c r="F11" s="83" t="str">
        <x:v>P1</x:v>
      </x:c>
      <x:c r="G11" s="83" t="str">
        <x:v>Regole e topologia zonale.</x:v>
      </x:c>
    </x:row>
    <x:row r="12">
      <x:c r="A12" s="83" t="str">
        <x:v>S01</x:v>
      </x:c>
      <x:c r="B12" s="83" t="str">
        <x:v>Stato del sistema elettrico e scenari energetici</x:v>
      </x:c>
      <x:c r="C12" s="83" t="str">
        <x:v>3.2 Mercato del Giorno Prima</x:v>
      </x:c>
      <x:c r="D12" s="83" t="str">
        <x:v>40-42</x:v>
      </x:c>
      <x:c r="E12" s="83" t="str">
        <x:v>Mercato; prezzi</x:v>
      </x:c>
      <x:c r="F12" s="83" t="str">
        <x:v>P1</x:v>
      </x:c>
      <x:c r="G12" s="83" t="str">
        <x:v>PUN/prezzi zonali e funzionamento MGP.</x:v>
      </x:c>
    </x:row>
    <x:row r="13">
      <x:c r="A13" s="83" t="str">
        <x:v>S01</x:v>
      </x:c>
      <x:c r="B13" s="83" t="str">
        <x:v>Stato del sistema elettrico e scenari energetici</x:v>
      </x:c>
      <x:c r="C13" s="83" t="str">
        <x:v>3.3 Mercato di bilanciamento e ridispacciamento</x:v>
      </x:c>
      <x:c r="D13" s="83" t="str">
        <x:v>43-49</x:v>
      </x:c>
      <x:c r="E13" s="83" t="str">
        <x:v>Mercato; validazione</x:v>
      </x:c>
      <x:c r="F13" s="83" t="str">
        <x:v>P2</x:v>
      </x:c>
      <x:c r="G13" s="83" t="str">
        <x:v>Contesto MSD/MBR; non modellato integralmente nel dispatch MGP.</x:v>
      </x:c>
    </x:row>
    <x:row r="14">
      <x:c r="A14" s="83" t="str">
        <x:v>S01</x:v>
      </x:c>
      <x:c r="B14" s="83" t="str">
        <x:v>Stato del sistema elettrico e scenari energetici</x:v>
      </x:c>
      <x:c r="C14" s="83" t="str">
        <x:v>3.4-3.5 Servizi e ruolo degli accumuli/pompaggi</x:v>
      </x:c>
      <x:c r="D14" s="83" t="str">
        <x:v>50-58</x:v>
      </x:c>
      <x:c r="E14" s="83" t="str">
        <x:v>Accumuli; flessibilità; idroelettrico</x:v>
      </x:c>
      <x:c r="F14" s="83" t="str">
        <x:v>P1</x:v>
      </x:c>
      <x:c r="G14" s="83" t="str">
        <x:v>Vincoli e ruolo operativo delle risorse.</x:v>
      </x:c>
    </x:row>
    <x:row r="15">
      <x:c r="A15" s="83" t="str">
        <x:v>S01</x:v>
      </x:c>
      <x:c r="B15" s="83" t="str">
        <x:v>Stato del sistema elettrico e scenari energetici</x:v>
      </x:c>
      <x:c r="C15" s="83" t="str">
        <x:v>4. Impatti sul sistema elettrico</x:v>
      </x:c>
      <x:c r="D15" s="83" t="str">
        <x:v>59-82</x:v>
      </x:c>
      <x:c r="E15" s="83" t="str">
        <x:v>FER; qualità; sicurezza; validazione</x:v>
      </x:c>
      <x:c r="F15" s="83" t="str">
        <x:v>P2</x:v>
      </x:c>
      <x:c r="G15" s="83" t="str">
        <x:v>Indicatori per validare curtailment, sicurezza e limiti del modello.</x:v>
      </x:c>
    </x:row>
    <x:row r="16">
      <x:c r="A16" s="83" t="str">
        <x:v>S01</x:v>
      </x:c>
      <x:c r="B16" s="83" t="str">
        <x:v>Stato del sistema elettrico e scenari energetici</x:v>
      </x:c>
      <x:c r="C16" s="83" t="str">
        <x:v>5.1-5.2 Costruzione scenari e DDS 2024</x:v>
      </x:c>
      <x:c r="D16" s="83" t="str">
        <x:v>84-88</x:v>
      </x:c>
      <x:c r="E16" s="83" t="str">
        <x:v>Scenario; combustibili; CO2; metodologia</x:v>
      </x:c>
      <x:c r="F16" s="83" t="str">
        <x:v>P1</x:v>
      </x:c>
      <x:c r="G16" s="83" t="str">
        <x:v>Gerarchia PNIEC Policy/Slow, DE-IT/GA-IT e ipotesi macro/commodity.</x:v>
      </x:c>
    </x:row>
    <x:row r="17">
      <x:c r="A17" s="83" t="str">
        <x:v>S01</x:v>
      </x:c>
      <x:c r="B17" s="83" t="str">
        <x:v>Stato del sistema elettrico e scenari energetici</x:v>
      </x:c>
      <x:c r="C17" s="83" t="str">
        <x:v>5.3 Scenari alla base del PdS 2025</x:v>
      </x:c>
      <x:c r="D17" s="83" t="str">
        <x:v>89-96</x:v>
      </x:c>
      <x:c r="E17" s="83" t="str">
        <x:v>Domanda; capacità; accumuli; bilancio</x:v>
      </x:c>
      <x:c r="F17" s="83" t="str">
        <x:v>P1</x:v>
      </x:c>
      <x:c r="G17" s="83" t="str">
        <x:v>Nucleo quantitativo 2030-2040.</x:v>
      </x:c>
    </x:row>
    <x:row r="18">
      <x:c r="A18" s="83" t="str">
        <x:v>S01</x:v>
      </x:c>
      <x:c r="B18" s="83" t="str">
        <x:v>Stato del sistema elettrico e scenari energetici</x:v>
      </x:c>
      <x:c r="C18" s="83" t="str">
        <x:v>5.3.4 Evoluzione carico residuo</x:v>
      </x:c>
      <x:c r="D18" s="83" t="str">
        <x:v>96-98</x:v>
      </x:c>
      <x:c r="E18" s="83" t="str">
        <x:v>Flessibilità; profili; accumuli</x:v>
      </x:c>
      <x:c r="F18" s="83" t="str">
        <x:v>P1</x:v>
      </x:c>
      <x:c r="G18" s="83" t="str">
        <x:v>Confronto orario 2023/2030/2040.</x:v>
      </x:c>
    </x:row>
    <x:row r="19">
      <x:c r="A19" s="83" t="str">
        <x:v>S02</x:v>
      </x:c>
      <x:c r="B19" s="83" t="str">
        <x:v>Piano di Sviluppo 2025 - Overview</x:v>
      </x:c>
      <x:c r="C19" s="83" t="str">
        <x:v>1. Contesto e scenari energetici</x:v>
      </x:c>
      <x:c r="D19" s="83" t="str">
        <x:v>8-23</x:v>
      </x:c>
      <x:c r="E19" s="83" t="str">
        <x:v>Scenario; prezzi; domanda; adeguatezza</x:v>
      </x:c>
      <x:c r="F19" s="83" t="str">
        <x:v>P1</x:v>
      </x:c>
      <x:c r="G19" s="83" t="str">
        <x:v>Overview e cross-check, non fonte finale se esiste fascicolo tecnico.</x:v>
      </x:c>
    </x:row>
    <x:row r="20">
      <x:c r="A20" s="83" t="str">
        <x:v>S02</x:v>
      </x:c>
      <x:c r="B20" s="83" t="str">
        <x:v>Piano di Sviluppo 2025 - Overview</x:v>
      </x:c>
      <x:c r="C20" s="83" t="str">
        <x:v>2. Contesto di mercato e regolatorio</x:v>
      </x:c>
      <x:c r="D20" s="83" t="str">
        <x:v>24-33</x:v>
      </x:c>
      <x:c r="E20" s="83" t="str">
        <x:v>Mercato; Capacity Market; MACSE; flessibilità</x:v>
      </x:c>
      <x:c r="F20" s="83" t="str">
        <x:v>P2</x:v>
      </x:c>
      <x:c r="G20" s="83" t="str">
        <x:v>Contesto dei meccanismi che spiegano il mix futuro.</x:v>
      </x:c>
    </x:row>
    <x:row r="21">
      <x:c r="A21" s="83" t="str">
        <x:v>S02</x:v>
      </x:c>
      <x:c r="B21" s="83" t="str">
        <x:v>Piano di Sviluppo 2025 - Overview</x:v>
      </x:c>
      <x:c r="C21" s="83" t="str">
        <x:v>3. Strategia di sviluppo RTN</x:v>
      </x:c>
      <x:c r="D21" s="83" t="str">
        <x:v>34-47</x:v>
      </x:c>
      <x:c r="E21" s="83" t="str">
        <x:v>Trasmissione; interconnessioni; geografia</x:v>
      </x:c>
      <x:c r="F21" s="83" t="str">
        <x:v>P1</x:v>
      </x:c>
      <x:c r="G21" s="83" t="str">
        <x:v>Cronologia e obiettivi 2030/2034/2040.</x:v>
      </x:c>
    </x:row>
    <x:row r="22">
      <x:c r="A22" s="83" t="str">
        <x:v>S02</x:v>
      </x:c>
      <x:c r="B22" s="83" t="str">
        <x:v>Piano di Sviluppo 2025 - Overview</x:v>
      </x:c>
      <x:c r="C22" s="83" t="str">
        <x:v>4. Programmazione Territoriale Efficiente</x:v>
      </x:c>
      <x:c r="D22" s="83" t="str">
        <x:v>48-53</x:v>
      </x:c>
      <x:c r="E22" s="83" t="str">
        <x:v>Geografia; connessioni; microzone</x:v>
      </x:c>
      <x:c r="F22" s="83" t="str">
        <x:v>P2</x:v>
      </x:c>
      <x:c r="G22" s="83" t="str">
        <x:v>Rinvio al fascicolo S04.</x:v>
      </x:c>
    </x:row>
    <x:row r="23">
      <x:c r="A23" s="83" t="str">
        <x:v>S02</x:v>
      </x:c>
      <x:c r="B23" s="83" t="str">
        <x:v>Piano di Sviluppo 2025 - Overview</x:v>
      </x:c>
      <x:c r="C23" s="83" t="str">
        <x:v>5. Investimenti e benefici</x:v>
      </x:c>
      <x:c r="D23" s="83" t="str">
        <x:v>54-57</x:v>
      </x:c>
      <x:c r="E23" s="83" t="str">
        <x:v>Costi contestuali; emissioni; benefici</x:v>
      </x:c>
      <x:c r="F23" s="83" t="str">
        <x:v>P2</x:v>
      </x:c>
      <x:c r="G23" s="83" t="str">
        <x:v>Non input dispatch diretto.</x:v>
      </x:c>
    </x:row>
    <x:row r="24">
      <x:c r="A24" s="83" t="str">
        <x:v>S02</x:v>
      </x:c>
      <x:c r="B24" s="83" t="str">
        <x:v>Piano di Sviluppo 2025 - Overview</x:v>
      </x:c>
      <x:c r="C24" s="83" t="str">
        <x:v>6. Struttura del Piano</x:v>
      </x:c>
      <x:c r="D24" s="83" t="str">
        <x:v>58-68</x:v>
      </x:c>
      <x:c r="E24" s="83" t="str">
        <x:v>Metodologia documentale</x:v>
      </x:c>
      <x:c r="F24" s="83" t="str">
        <x:v>P3</x:v>
      </x:c>
      <x:c r="G24" s="83" t="str">
        <x:v>Usato per navigazione del corpus.</x:v>
      </x:c>
    </x:row>
    <x:row r="25">
      <x:c r="A25" s="83" t="str">
        <x:v>S03</x:v>
      </x:c>
      <x:c r="B25" s="83" t="str">
        <x:v>Benefici di sistema e analisi robustezza rete</x:v>
      </x:c>
      <x:c r="C25" s="83" t="str">
        <x:v>1. Impatto degli sviluppi di rete</x:v>
      </x:c>
      <x:c r="D25" s="83" t="str">
        <x:v>7-12</x:v>
      </x:c>
      <x:c r="E25" s="83" t="str">
        <x:v>Scenario; congestioni; validazione</x:v>
      </x:c>
      <x:c r="F25" s="83" t="str">
        <x:v>P1</x:v>
      </x:c>
      <x:c r="G25" s="83" t="str">
        <x:v>Confronti con/senza interventi.</x:v>
      </x:c>
    </x:row>
    <x:row r="26">
      <x:c r="A26" s="83" t="str">
        <x:v>S03</x:v>
      </x:c>
      <x:c r="B26" s="83" t="str">
        <x:v>Benefici di sistema e analisi robustezza rete</x:v>
      </x:c>
      <x:c r="C26" s="83" t="str">
        <x:v>2.1 Capacità di trasporto con l'estero</x:v>
      </x:c>
      <x:c r="D26" s="83" t="str">
        <x:v>15-15</x:v>
      </x:c>
      <x:c r="E26" s="83" t="str">
        <x:v>Interconnessioni</x:v>
      </x:c>
      <x:c r="F26" s="83" t="str">
        <x:v>P1</x:v>
      </x:c>
      <x:c r="G26" s="83" t="str">
        <x:v>Tabella progetti/capacità previsionali.</x:v>
      </x:c>
    </x:row>
    <x:row r="27">
      <x:c r="A27" s="83" t="str">
        <x:v>S03</x:v>
      </x:c>
      <x:c r="B27" s="83" t="str">
        <x:v>Benefici di sistema e analisi robustezza rete</x:v>
      </x:c>
      <x:c r="C27" s="83" t="str">
        <x:v>2.2 Capacità tra zone di mercato</x:v>
      </x:c>
      <x:c r="D27" s="83" t="str">
        <x:v>16-18</x:v>
      </x:c>
      <x:c r="E27" s="83" t="str">
        <x:v>Trasmissione zonale</x:v>
      </x:c>
      <x:c r="F27" s="83" t="str">
        <x:v>P1</x:v>
      </x:c>
      <x:c r="G27" s="83" t="str">
        <x:v>Input centrale per Link/Line zonali.</x:v>
      </x:c>
    </x:row>
    <x:row r="28">
      <x:c r="A28" s="83" t="str">
        <x:v>S03</x:v>
      </x:c>
      <x:c r="B28" s="83" t="str">
        <x:v>Benefici di sistema e analisi robustezza rete</x:v>
      </x:c>
      <x:c r="C28" s="83" t="str">
        <x:v>3. Adeguatezza</x:v>
      </x:c>
      <x:c r="D28" s="83" t="str">
        <x:v>19-22</x:v>
      </x:c>
      <x:c r="E28" s="83" t="str">
        <x:v>Adeguatezza; load shedding; validazione</x:v>
      </x:c>
      <x:c r="F28" s="83" t="str">
        <x:v>P2</x:v>
      </x:c>
      <x:c r="G28" s="83" t="str">
        <x:v>Indicatori LOLE/EENS e parco disponibile.</x:v>
      </x:c>
    </x:row>
    <x:row r="29">
      <x:c r="A29" s="83" t="str">
        <x:v>S03</x:v>
      </x:c>
      <x:c r="B29" s="83" t="str">
        <x:v>Benefici di sistema e analisi robustezza rete</x:v>
      </x:c>
      <x:c r="C29" s="83" t="str">
        <x:v>4. Integrazione FER e riserva</x:v>
      </x:c>
      <x:c r="D29" s="83" t="str">
        <x:v>23-28</x:v>
      </x:c>
      <x:c r="E29" s="83" t="str">
        <x:v>Curtailment; riserva; accumuli</x:v>
      </x:c>
      <x:c r="F29" s="83" t="str">
        <x:v>P1</x:v>
      </x:c>
      <x:c r="G29" s="83" t="str">
        <x:v>Validazione del modello e sensitività.</x:v>
      </x:c>
    </x:row>
    <x:row r="30">
      <x:c r="A30" s="83" t="str">
        <x:v>S03</x:v>
      </x:c>
      <x:c r="B30" s="83" t="str">
        <x:v>Benefici di sistema e analisi robustezza rete</x:v>
      </x:c>
      <x:c r="C30" s="83" t="str">
        <x:v>5. Emissioni e perdite</x:v>
      </x:c>
      <x:c r="D30" s="83" t="str">
        <x:v>29-32</x:v>
      </x:c>
      <x:c r="E30" s="83" t="str">
        <x:v>CO2; perdite; validazione</x:v>
      </x:c>
      <x:c r="F30" s="83" t="str">
        <x:v>P2</x:v>
      </x:c>
      <x:c r="G30" s="83" t="str">
        <x:v>Perdite e benefici emissivi.</x:v>
      </x:c>
    </x:row>
    <x:row r="31">
      <x:c r="A31" s="83" t="str">
        <x:v>S03</x:v>
      </x:c>
      <x:c r="B31" s="83" t="str">
        <x:v>Benefici di sistema e analisi robustezza rete</x:v>
      </x:c>
      <x:c r="C31" s="83" t="str">
        <x:v>6-7 Dinamica e system strength</x:v>
      </x:c>
      <x:c r="D31" s="83" t="str">
        <x:v>33-56</x:v>
      </x:c>
      <x:c r="E31" s="83" t="str">
        <x:v>Stabilità; inverter-based</x:v>
      </x:c>
      <x:c r="F31" s="83" t="str">
        <x:v>P3</x:v>
      </x:c>
      <x:c r="G31" s="83" t="str">
        <x:v>Non rappresentato direttamente nel modello zonale; documentare come limite.</x:v>
      </x:c>
    </x:row>
    <x:row r="32">
      <x:c r="A32" s="83" t="str">
        <x:v>S03</x:v>
      </x:c>
      <x:c r="B32" s="83" t="str">
        <x:v>Benefici di sistema e analisi robustezza rete</x:v>
      </x:c>
      <x:c r="C32" s="83" t="str">
        <x:v>8. Conclusioni</x:v>
      </x:c>
      <x:c r="D32" s="83" t="str">
        <x:v>57-64</x:v>
      </x:c>
      <x:c r="E32" s="83" t="str">
        <x:v>Sintesi</x:v>
      </x:c>
      <x:c r="F32" s="83" t="str">
        <x:v>P3</x:v>
      </x:c>
      <x:c r="G32" s="83" t="str">
        <x:v>Riepilogo, nessuna estrazione autonoma.</x:v>
      </x:c>
    </x:row>
    <x:row r="33">
      <x:c r="A33" s="83" t="str">
        <x:v>S04</x:v>
      </x:c>
      <x:c r="B33" s="83" t="str">
        <x:v>Programmazione territoriale efficiente e interventi di connessione</x:v>
      </x:c>
      <x:c r="C33" s="83" t="str">
        <x:v>1.1 Richieste FER AT/MT-BT</x:v>
      </x:c>
      <x:c r="D33" s="83" t="str">
        <x:v>11-24</x:v>
      </x:c>
      <x:c r="E33" s="83" t="str">
        <x:v>Capacità pipeline; geografia</x:v>
      </x:c>
      <x:c r="F33" s="83" t="str">
        <x:v>P1</x:v>
      </x:c>
      <x:c r="G33" s="83" t="str">
        <x:v>Usare solo come pipeline/proxy territoriale filtrato.</x:v>
      </x:c>
    </x:row>
    <x:row r="34">
      <x:c r="A34" s="83" t="str">
        <x:v>S04</x:v>
      </x:c>
      <x:c r="B34" s="83" t="str">
        <x:v>Programmazione territoriale efficiente e interventi di connessione</x:v>
      </x:c>
      <x:c r="C34" s="83" t="str">
        <x:v>1.2 Accumuli e pompaggi</x:v>
      </x:c>
      <x:c r="D34" s="83" t="str">
        <x:v>25-32</x:v>
      </x:c>
      <x:c r="E34" s="83" t="str">
        <x:v>Accumuli; capacità pipeline</x:v>
      </x:c>
      <x:c r="F34" s="83" t="str">
        <x:v>P1</x:v>
      </x:c>
      <x:c r="G34" s="83" t="str">
        <x:v>Distingue elettrochimico e idroelettrico; include durata assunta.</x:v>
      </x:c>
    </x:row>
    <x:row r="35">
      <x:c r="A35" s="83" t="str">
        <x:v>S04</x:v>
      </x:c>
      <x:c r="B35" s="83" t="str">
        <x:v>Programmazione territoriale efficiente e interventi di connessione</x:v>
      </x:c>
      <x:c r="C35" s="83" t="str">
        <x:v>1.3 Utenti passivi RTN</x:v>
      </x:c>
      <x:c r="D35" s="83" t="str">
        <x:v>33-39</x:v>
      </x:c>
      <x:c r="E35" s="83" t="str">
        <x:v>Domanda; grandi carichi; geografia</x:v>
      </x:c>
      <x:c r="F35" s="83" t="str">
        <x:v>P1</x:v>
      </x:c>
      <x:c r="G35" s="83" t="str">
        <x:v>Data center, RFI, cold ironing.</x:v>
      </x:c>
    </x:row>
    <x:row r="36">
      <x:c r="A36" s="83" t="str">
        <x:v>S04</x:v>
      </x:c>
      <x:c r="B36" s="83" t="str">
        <x:v>Programmazione territoriale efficiente e interventi di connessione</x:v>
      </x:c>
      <x:c r="C36" s="83" t="str">
        <x:v>1.4 Cabine primarie</x:v>
      </x:c>
      <x:c r="D36" s="83" t="str">
        <x:v>40-42</x:v>
      </x:c>
      <x:c r="E36" s="83" t="str">
        <x:v>Domanda; distribuzione</x:v>
      </x:c>
      <x:c r="F36" s="83" t="str">
        <x:v>P2</x:v>
      </x:c>
      <x:c r="G36" s="83" t="str">
        <x:v>Segnali di domanda e generazione distribuita.</x:v>
      </x:c>
    </x:row>
    <x:row r="37">
      <x:c r="A37" s="83" t="str">
        <x:v>S04</x:v>
      </x:c>
      <x:c r="B37" s="83" t="str">
        <x:v>Programmazione territoriale efficiente e interventi di connessione</x:v>
      </x:c>
      <x:c r="C37" s="83" t="str">
        <x:v>1.5 Produzione convenzionale</x:v>
      </x:c>
      <x:c r="D37" s="83" t="str">
        <x:v>43-44</x:v>
      </x:c>
      <x:c r="E37" s="83" t="str">
        <x:v>Capacità termica; pipeline</x:v>
      </x:c>
      <x:c r="F37" s="83" t="str">
        <x:v>P2</x:v>
      </x:c>
      <x:c r="G37" s="83" t="str">
        <x:v>Connessioni non equivalenti a installato futuro.</x:v>
      </x:c>
    </x:row>
    <x:row r="38">
      <x:c r="A38" s="83" t="str">
        <x:v>S04</x:v>
      </x:c>
      <x:c r="B38" s="83" t="str">
        <x:v>Programmazione territoriale efficiente e interventi di connessione</x:v>
      </x:c>
      <x:c r="C38" s="83" t="str">
        <x:v>2.1 Programmazione territoriale e TE.R.R.A.</x:v>
      </x:c>
      <x:c r="D38" s="83" t="str">
        <x:v>47-54</x:v>
      </x:c>
      <x:c r="E38" s="83" t="str">
        <x:v>Geografia; microzone; capacità di rete</x:v>
      </x:c>
      <x:c r="F38" s="83" t="str">
        <x:v>P1</x:v>
      </x:c>
      <x:c r="G38" s="83" t="str">
        <x:v>Possibile base per mapping sub-zonale e remaining capacity.</x:v>
      </x:c>
    </x:row>
    <x:row r="39">
      <x:c r="A39" s="83" t="str">
        <x:v>S04</x:v>
      </x:c>
      <x:c r="B39" s="83" t="str">
        <x:v>Programmazione territoriale efficiente e interventi di connessione</x:v>
      </x:c>
      <x:c r="C39" s="83" t="str">
        <x:v>2.2-2.4 Gestione grandi carichi/accumuli/CP</x:v>
      </x:c>
      <x:c r="D39" s="83" t="str">
        <x:v>55-58</x:v>
      </x:c>
      <x:c r="E39" s="83" t="str">
        <x:v>Domanda; accumuli; connessioni</x:v>
      </x:c>
      <x:c r="F39" s="83" t="str">
        <x:v>P2</x:v>
      </x:c>
      <x:c r="G39" s="83" t="str">
        <x:v>Contesto procedurale e tempistiche.</x:v>
      </x:c>
    </x:row>
    <x:row r="40">
      <x:c r="A40" s="83" t="str">
        <x:v>S04</x:v>
      </x:c>
      <x:c r="B40" s="83" t="str">
        <x:v>Programmazione territoriale efficiente e interventi di connessione</x:v>
      </x:c>
      <x:c r="C40" s="83" t="str">
        <x:v>Appendice 1 - accesso RTN</x:v>
      </x:c>
      <x:c r="D40" s="83" t="str">
        <x:v>59-64</x:v>
      </x:c>
      <x:c r="E40" s="83" t="str">
        <x:v>Metodologia; status progetti</x:v>
      </x:c>
      <x:c r="F40" s="83" t="str">
        <x:v>P2</x:v>
      </x:c>
      <x:c r="G40" s="83" t="str">
        <x:v>Necessaria per interpretare maturità delle richieste.</x:v>
      </x:c>
    </x:row>
    <x:row r="41">
      <x:c r="A41" s="83" t="str">
        <x:v>S04</x:v>
      </x:c>
      <x:c r="B41" s="83" t="str">
        <x:v>Programmazione territoriale efficiente e interventi di connessione</x:v>
      </x:c>
      <x:c r="C41" s="83" t="str">
        <x:v>Appendice 2 - interventi di connessione</x:v>
      </x:c>
      <x:c r="D41" s="83" t="str">
        <x:v>65-105</x:v>
      </x:c>
      <x:c r="E41" s="83" t="str">
        <x:v>Geografia; progetti; capacità</x:v>
      </x:c>
      <x:c r="F41" s="83" t="str">
        <x:v>P1</x:v>
      </x:c>
      <x:c r="G41" s="83" t="str">
        <x:v>Schede e tabelle per regione/comune; richiede strutturazione.</x:v>
      </x:c>
    </x:row>
    <x:row r="42">
      <x:c r="A42" s="83" t="str">
        <x:v>S05</x:v>
      </x:c>
      <x:c r="B42" s="83" t="str">
        <x:v>Esigenze di sviluppo: i nuovi progetti</x:v>
      </x:c>
      <x:c r="C42" s="83" t="str">
        <x:v>1. Esigenze del sistema</x:v>
      </x:c>
      <x:c r="D42" s="83" t="str">
        <x:v>8-17</x:v>
      </x:c>
      <x:c r="E42" s="83" t="str">
        <x:v>Trasmissione; interconnessioni; flessibilità</x:v>
      </x:c>
      <x:c r="F42" s="83" t="str">
        <x:v>P1</x:v>
      </x:c>
      <x:c r="G42" s="83" t="str">
        <x:v>Driver e target capacity.</x:v>
      </x:c>
    </x:row>
    <x:row r="43">
      <x:c r="A43" s="83" t="str">
        <x:v>S05</x:v>
      </x:c>
      <x:c r="B43" s="83" t="str">
        <x:v>Esigenze di sviluppo: i nuovi progetti</x:v>
      </x:c>
      <x:c r="C43" s="83" t="str">
        <x:v>2. Piano investimenti</x:v>
      </x:c>
      <x:c r="D43" s="83" t="str">
        <x:v>18-23</x:v>
      </x:c>
      <x:c r="E43" s="83" t="str">
        <x:v>Costi di rete; cronologia</x:v>
      </x:c>
      <x:c r="F43" s="83" t="str">
        <x:v>P2</x:v>
      </x:c>
      <x:c r="G43" s="83" t="str">
        <x:v>Contesto e stato del portafoglio.</x:v>
      </x:c>
    </x:row>
    <x:row r="44">
      <x:c r="A44" s="83" t="str">
        <x:v>S05</x:v>
      </x:c>
      <x:c r="B44" s="83" t="str">
        <x:v>Esigenze di sviluppo: i nuovi progetti</x:v>
      </x:c>
      <x:c r="C44" s="83" t="str">
        <x:v>3. Rete infrastrutturale e architettura 2034/2040</x:v>
      </x:c>
      <x:c r="D44" s="83" t="str">
        <x:v>24-33</x:v>
      </x:c>
      <x:c r="E44" s="83" t="str">
        <x:v>Topologia; trasmissione; geografia</x:v>
      </x:c>
      <x:c r="F44" s="83" t="str">
        <x:v>P1</x:v>
      </x:c>
      <x:c r="G44" s="83" t="str">
        <x:v>Mappe e architettura futura.</x:v>
      </x:c>
    </x:row>
    <x:row r="45">
      <x:c r="A45" s="83" t="str">
        <x:v>S05</x:v>
      </x:c>
      <x:c r="B45" s="83" t="str">
        <x:v>Esigenze di sviluppo: i nuovi progetti</x:v>
      </x:c>
      <x:c r="C45" s="83" t="str">
        <x:v>4. Massimizzazione asset</x:v>
      </x:c>
      <x:c r="D45" s="83" t="str">
        <x:v>34-49</x:v>
      </x:c>
      <x:c r="E45" s="83" t="str">
        <x:v>Capacità; tempistiche; sensitività</x:v>
      </x:c>
      <x:c r="F45" s="83" t="str">
        <x:v>P1</x:v>
      </x:c>
      <x:c r="G45" s="83" t="str">
        <x:v>Reconductoring, DTR e rimozione limitazioni.</x:v>
      </x:c>
    </x:row>
    <x:row r="46">
      <x:c r="A46" s="83" t="str">
        <x:v>S05</x:v>
      </x:c>
      <x:c r="B46" s="83" t="str">
        <x:v>Esigenze di sviluppo: i nuovi progetti</x:v>
      </x:c>
      <x:c r="C46" s="83" t="str">
        <x:v>5. Interconnessioni con l'estero</x:v>
      </x:c>
      <x:c r="D46" s="83" t="str">
        <x:v>50-69</x:v>
      </x:c>
      <x:c r="E46" s="83" t="str">
        <x:v>Interconnessioni; import/export</x:v>
      </x:c>
      <x:c r="F46" s="83" t="str">
        <x:v>P1</x:v>
      </x:c>
      <x:c r="G46" s="83" t="str">
        <x:v>Progetti, merchant lines e Nord Africa.</x:v>
      </x:c>
    </x:row>
    <x:row r="47">
      <x:c r="A47" s="83" t="str">
        <x:v>S05</x:v>
      </x:c>
      <x:c r="B47" s="83" t="str">
        <x:v>Esigenze di sviluppo: i nuovi progetti</x:v>
      </x:c>
      <x:c r="C47" s="83" t="str">
        <x:v>6. Nuovi interventi per area</x:v>
      </x:c>
      <x:c r="D47" s="83" t="str">
        <x:v>70-87</x:v>
      </x:c>
      <x:c r="E47" s="83" t="str">
        <x:v>Progetti; geografia</x:v>
      </x:c>
      <x:c r="F47" s="83" t="str">
        <x:v>P1</x:v>
      </x:c>
      <x:c r="G47" s="83" t="str">
        <x:v>Schede Nord-Ovest/Nord-Est/Centro-Sud.</x:v>
      </x:c>
    </x:row>
    <x:row r="48">
      <x:c r="A48" s="83" t="str">
        <x:v>S05</x:v>
      </x:c>
      <x:c r="B48" s="83" t="str">
        <x:v>Esigenze di sviluppo: i nuovi progetti</x:v>
      </x:c>
      <x:c r="C48" s="83" t="str">
        <x:v>7. Piano minimo di realizzazioni</x:v>
      </x:c>
      <x:c r="D48" s="83" t="str">
        <x:v>88-100</x:v>
      </x:c>
      <x:c r="E48" s="83" t="str">
        <x:v>Cronologia; stato progetti</x:v>
      </x:c>
      <x:c r="F48" s="83" t="str">
        <x:v>P1</x:v>
      </x:c>
      <x:c r="G48" s="83" t="str">
        <x:v>Base per scenario rete conservativo.</x:v>
      </x:c>
    </x:row>
    <x:row r="49">
      <x:c r="A49" s="83" t="str">
        <x:v>S06</x:v>
      </x:c>
      <x:c r="B49" s="83" t="str">
        <x:v>Pianificazione della rete elettrica</x:v>
      </x:c>
      <x:c r="C49" s="83" t="str">
        <x:v>1. Obiettivi, criteri e linee guida</x:v>
      </x:c>
      <x:c r="D49" s="83" t="str">
        <x:v>7-12</x:v>
      </x:c>
      <x:c r="E49" s="83" t="str">
        <x:v>Metodologia; status progetti</x:v>
      </x:c>
      <x:c r="F49" s="83" t="str">
        <x:v>P2</x:v>
      </x:c>
      <x:c r="G49" s="83" t="str">
        <x:v>Definizioni e governance del PdS.</x:v>
      </x:c>
    </x:row>
    <x:row r="50">
      <x:c r="A50" s="83" t="str">
        <x:v>S06</x:v>
      </x:c>
      <x:c r="B50" s="83" t="str">
        <x:v>Pianificazione della rete elettrica</x:v>
      </x:c>
      <x:c r="C50" s="83" t="str">
        <x:v>2. Stakeholder engagement</x:v>
      </x:c>
      <x:c r="D50" s="83" t="str">
        <x:v>13-26</x:v>
      </x:c>
      <x:c r="E50" s="83" t="str">
        <x:v>Contesto</x:v>
      </x:c>
      <x:c r="F50" s="83" t="str">
        <x:v>P3</x:v>
      </x:c>
      <x:c r="G50" s="83" t="str">
        <x:v>Non input del modello.</x:v>
      </x:c>
    </x:row>
    <x:row r="51">
      <x:c r="A51" s="83" t="str">
        <x:v>S06</x:v>
      </x:c>
      <x:c r="B51" s="83" t="str">
        <x:v>Pianificazione della rete elettrica</x:v>
      </x:c>
      <x:c r="C51" s="83" t="str">
        <x:v>3. Pianificazione europea e TYNDP</x:v>
      </x:c>
      <x:c r="D51" s="83" t="str">
        <x:v>27-36</x:v>
      </x:c>
      <x:c r="E51" s="83" t="str">
        <x:v>Scenari europei; interconnessioni</x:v>
      </x:c>
      <x:c r="F51" s="83" t="str">
        <x:v>P1</x:v>
      </x:c>
      <x:c r="G51" s="83" t="str">
        <x:v>Registro di fonti esterne e coerenza ENTSO-E.</x:v>
      </x:c>
    </x:row>
    <x:row r="52">
      <x:c r="A52" s="83" t="str">
        <x:v>S06</x:v>
      </x:c>
      <x:c r="B52" s="83" t="str">
        <x:v>Pianificazione della rete elettrica</x:v>
      </x:c>
      <x:c r="C52" s="83" t="str">
        <x:v>4. Pianificazione mediterranea</x:v>
      </x:c>
      <x:c r="D52" s="83" t="str">
        <x:v>37-42</x:v>
      </x:c>
      <x:c r="E52" s="83" t="str">
        <x:v>Interconnessioni; Nord Africa</x:v>
      </x:c>
      <x:c r="F52" s="83" t="str">
        <x:v>P2</x:v>
      </x:c>
      <x:c r="G52" s="83" t="str">
        <x:v>Contesto Med-TSO.</x:v>
      </x:c>
    </x:row>
    <x:row r="53">
      <x:c r="A53" s="83" t="str">
        <x:v>S06</x:v>
      </x:c>
      <x:c r="B53" s="83" t="str">
        <x:v>Pianificazione della rete elettrica</x:v>
      </x:c>
      <x:c r="C53" s="83" t="str">
        <x:v>5. Interoperabilità TSO-DSO e nuovi carichi</x:v>
      </x:c>
      <x:c r="D53" s="83" t="str">
        <x:v>43-58</x:v>
      </x:c>
      <x:c r="E53" s="83" t="str">
        <x:v>Domanda; accumuli; geografia</x:v>
      </x:c>
      <x:c r="F53" s="83" t="str">
        <x:v>P1</x:v>
      </x:c>
      <x:c r="G53" s="83" t="str">
        <x:v>Data center, storage, cold ironing, e-mobility.</x:v>
      </x:c>
    </x:row>
    <x:row r="54">
      <x:c r="A54" s="83" t="str">
        <x:v>S06</x:v>
      </x:c>
      <x:c r="B54" s="83" t="str">
        <x:v>Pianificazione della rete elettrica</x:v>
      </x:c>
      <x:c r="C54" s="83" t="str">
        <x:v>6. Digitalizzazione</x:v>
      </x:c>
      <x:c r="D54" s="83" t="str">
        <x:v>59-70</x:v>
      </x:c>
      <x:c r="E54" s="83" t="str">
        <x:v>Contesto rete</x:v>
      </x:c>
      <x:c r="F54" s="83" t="str">
        <x:v>P3</x:v>
      </x:c>
      <x:c r="G54" s="83" t="str">
        <x:v>Non input del dispatch.</x:v>
      </x:c>
    </x:row>
    <x:row r="55">
      <x:c r="A55" s="83" t="str">
        <x:v>S06</x:v>
      </x:c>
      <x:c r="B55" s="83" t="str">
        <x:v>Pianificazione della rete elettrica</x:v>
      </x:c>
      <x:c r="C55" s="83" t="str">
        <x:v>7. Finanza agevolata</x:v>
      </x:c>
      <x:c r="D55" s="83" t="str">
        <x:v>71-89</x:v>
      </x:c>
      <x:c r="E55" s="83" t="str">
        <x:v>Investimenti contestuali</x:v>
      </x:c>
      <x:c r="F55" s="83" t="str">
        <x:v>P3</x:v>
      </x:c>
      <x:c r="G55" s="83" t="str">
        <x:v>Non input del dispatch.</x:v>
      </x:c>
    </x:row>
    <x:row r="56">
      <x:c r="A56" s="83" t="str">
        <x:v>S07</x:v>
      </x:c>
      <x:c r="B56" s="83" t="str">
        <x:v>Prospettive di Sviluppo del Sistema Energetico 2050 - Copertura della domanda elettrica</x:v>
      </x:c>
      <x:c r="C56" s="83" t="str">
        <x:v>1. Introduzione</x:v>
      </x:c>
      <x:c r="D56" s="83" t="str">
        <x:v>4-4</x:v>
      </x:c>
      <x:c r="E56" s="83" t="str">
        <x:v>Metodologia; perimetro</x:v>
      </x:c>
      <x:c r="F56" s="83" t="str">
        <x:v>P2</x:v>
      </x:c>
      <x:c r="G56" s="83" t="str">
        <x:v>Nota ex Delibera ARERA 392/2024; dati nazionali.</x:v>
      </x:c>
    </x:row>
    <x:row r="57">
      <x:c r="A57" s="83" t="str">
        <x:v>S07</x:v>
      </x:c>
      <x:c r="B57" s="83" t="str">
        <x:v>Prospettive di Sviluppo del Sistema Energetico 2050 - Copertura della domanda elettrica</x:v>
      </x:c>
      <x:c r="C57" s="83" t="str">
        <x:v>2.1 Dipendenza e prezzi</x:v>
      </x:c>
      <x:c r="D57" s="83" t="str">
        <x:v>5-9</x:v>
      </x:c>
      <x:c r="E57" s="83" t="str">
        <x:v>Prezzi; fuel; marginal cost</x:v>
      </x:c>
      <x:c r="F57" s="83" t="str">
        <x:v>P1</x:v>
      </x:c>
      <x:c r="G57" s="83" t="str">
        <x:v>Relazione gas-PUN e costo variabile CCGT.</x:v>
      </x:c>
    </x:row>
    <x:row r="58">
      <x:c r="A58" s="83" t="str">
        <x:v>S07</x:v>
      </x:c>
      <x:c r="B58" s="83" t="str">
        <x:v>Prospettive di Sviluppo del Sistema Energetico 2050 - Copertura della domanda elettrica</x:v>
      </x:c>
      <x:c r="C58" s="83" t="str">
        <x:v>2.2 Trend di sistema</x:v>
      </x:c>
      <x:c r="D58" s="83" t="str">
        <x:v>10-19</x:v>
      </x:c>
      <x:c r="E58" s="83" t="str">
        <x:v>Capacità; produzione; accumuli</x:v>
      </x:c>
      <x:c r="F58" s="83" t="str">
        <x:v>P1</x:v>
      </x:c>
      <x:c r="G58" s="83" t="str">
        <x:v>Trend UE/Italia e parco termoelettrico.</x:v>
      </x:c>
    </x:row>
    <x:row r="59">
      <x:c r="A59" s="83" t="str">
        <x:v>S07</x:v>
      </x:c>
      <x:c r="B59" s="83" t="str">
        <x:v>Prospettive di Sviluppo del Sistema Energetico 2050 - Copertura della domanda elettrica</x:v>
      </x:c>
      <x:c r="C59" s="83" t="str">
        <x:v>2.3 Trend di mercato</x:v>
      </x:c>
      <x:c r="D59" s="83" t="str">
        <x:v>20-21</x:v>
      </x:c>
      <x:c r="E59" s="83" t="str">
        <x:v>Prezzi; overgeneration</x:v>
      </x:c>
      <x:c r="F59" s="83" t="str">
        <x:v>P2</x:v>
      </x:c>
      <x:c r="G59" s="83" t="str">
        <x:v>Prezzi bassi/negativi e marginalità.</x:v>
      </x:c>
    </x:row>
    <x:row r="60">
      <x:c r="A60" s="83" t="str">
        <x:v>S07</x:v>
      </x:c>
      <x:c r="B60" s="83" t="str">
        <x:v>Prospettive di Sviluppo del Sistema Energetico 2050 - Copertura della domanda elettrica</x:v>
      </x:c>
      <x:c r="C60" s="83" t="str">
        <x:v>2.4 Investimenti e strumenti a termine</x:v>
      </x:c>
      <x:c r="D60" s="83" t="str">
        <x:v>22-27</x:v>
      </x:c>
      <x:c r="E60" s="83" t="str">
        <x:v>CAPEX/OPEX; LCOE; contesto</x:v>
      </x:c>
      <x:c r="F60" s="83" t="str">
        <x:v>P1</x:v>
      </x:c>
      <x:c r="G60" s="83" t="str">
        <x:v>Costi tecnologici e distinzione costi fissi/variabili.</x:v>
      </x:c>
    </x:row>
    <x:row r="61">
      <x:c r="A61" s="83" t="str">
        <x:v>S07</x:v>
      </x:c>
      <x:c r="B61" s="83" t="str">
        <x:v>Prospettive di Sviluppo del Sistema Energetico 2050 - Copertura della domanda elettrica</x:v>
      </x:c>
      <x:c r="C61" s="83" t="str">
        <x:v>3. Evoluzione 2030-2040</x:v>
      </x:c>
      <x:c r="D61" s="83" t="str">
        <x:v>28-30</x:v>
      </x:c>
      <x:c r="E61" s="83" t="str">
        <x:v>Scenario; domanda; capacità; bilancio</x:v>
      </x:c>
      <x:c r="F61" s="83" t="str">
        <x:v>P1</x:v>
      </x:c>
      <x:c r="G61" s="83" t="str">
        <x:v>Crosswalk DDS 2024 e punto di partenza 2050.</x:v>
      </x:c>
    </x:row>
    <x:row r="62">
      <x:c r="A62" s="83" t="str">
        <x:v>S07</x:v>
      </x:c>
      <x:c r="B62" s="83" t="str">
        <x:v>Prospettive di Sviluppo del Sistema Energetico 2050 - Copertura della domanda elettrica</x:v>
      </x:c>
      <x:c r="C62" s="83" t="str">
        <x:v>4. Interazione stakeholder</x:v>
      </x:c>
      <x:c r="D62" s="83" t="str">
        <x:v>31-32</x:v>
      </x:c>
      <x:c r="E62" s="83" t="str">
        <x:v>Validazione qualitativa</x:v>
      </x:c>
      <x:c r="F62" s="83" t="str">
        <x:v>P2</x:v>
      </x:c>
      <x:c r="G62" s="83" t="str">
        <x:v>Contesto di robustezza delle ipotesi.</x:v>
      </x:c>
    </x:row>
    <x:row r="63">
      <x:c r="A63" s="83" t="str">
        <x:v>S07</x:v>
      </x:c>
      <x:c r="B63" s="83" t="str">
        <x:v>Prospettive di Sviluppo del Sistema Energetico 2050 - Copertura della domanda elettrica</x:v>
      </x:c>
      <x:c r="C63" s="83" t="str">
        <x:v>5.1 Tecnologie mature/emergenti</x:v>
      </x:c>
      <x:c r="D63" s="83" t="str">
        <x:v>33-48</x:v>
      </x:c>
      <x:c r="E63" s="83" t="str">
        <x:v>CAPEX; LCOE; efficienza; tecnologie</x:v>
      </x:c>
      <x:c r="F63" s="83" t="str">
        <x:v>P1</x:v>
      </x:c>
      <x:c r="G63" s="83" t="str">
        <x:v>Solare, eolico, batterie, nucleare, offshore, CCUS.</x:v>
      </x:c>
    </x:row>
    <x:row r="64">
      <x:c r="A64" s="83" t="str">
        <x:v>S07</x:v>
      </x:c>
      <x:c r="B64" s="83" t="str">
        <x:v>Prospettive di Sviluppo del Sistema Energetico 2050 - Copertura della domanda elettrica</x:v>
      </x:c>
      <x:c r="C64" s="83" t="str">
        <x:v>5.2 Copertura della domanda 2050</x:v>
      </x:c>
      <x:c r="D64" s="83" t="str">
        <x:v>49-60</x:v>
      </x:c>
      <x:c r="E64" s="83" t="str">
        <x:v>Domanda; capacità; bilancio; accumuli</x:v>
      </x:c>
      <x:c r="F64" s="83" t="str">
        <x:v>P1</x:v>
      </x:c>
      <x:c r="G64" s="83" t="str">
        <x:v>Nucleo quantitativo 2050.</x:v>
      </x:c>
    </x:row>
    <x:row r="65">
      <x:c r="A65" s="83" t="str">
        <x:v>S07</x:v>
      </x:c>
      <x:c r="B65" s="83" t="str">
        <x:v>Prospettive di Sviluppo del Sistema Energetico 2050 - Copertura della domanda elettrica</x:v>
      </x:c>
      <x:c r="C65" s="83" t="str">
        <x:v>5.3 Adeguatezza e flessibilità</x:v>
      </x:c>
      <x:c r="D65" s="83" t="str">
        <x:v>61-70</x:v>
      </x:c>
      <x:c r="E65" s="83" t="str">
        <x:v>Adeguatezza; carico residuo; flessibilità</x:v>
      </x:c>
      <x:c r="F65" s="83" t="str">
        <x:v>P1</x:v>
      </x:c>
      <x:c r="G65" s="83" t="str">
        <x:v>Validazione e dimensionamento risorse.</x:v>
      </x:c>
    </x:row>
    <x:row r="66">
      <x:c r="A66" s="83" t="str">
        <x:v>S08</x:v>
      </x:c>
      <x:c r="B66" s="83" t="str">
        <x:v>Piano Nazionale Integrato per l'Energia e il Clima</x:v>
      </x:c>
      <x:c r="C66" s="83" t="str">
        <x:v>1. Schema generale e processo</x:v>
      </x:c>
      <x:c r="D66" s="83" t="str">
        <x:v>4-72</x:v>
      </x:c>
      <x:c r="E66" s="83" t="str">
        <x:v>Contesto; baseline politica</x:v>
      </x:c>
      <x:c r="F66" s="83" t="str">
        <x:v>P2</x:v>
      </x:c>
      <x:c r="G66" s="83" t="str">
        <x:v>Sintesi e situazione attuale; estrazione selettiva.</x:v>
      </x:c>
    </x:row>
    <x:row r="67">
      <x:c r="A67" s="83" t="str">
        <x:v>S08</x:v>
      </x:c>
      <x:c r="B67" s="83" t="str">
        <x:v>Piano Nazionale Integrato per l'Energia e il Clima</x:v>
      </x:c>
      <x:c r="C67" s="83" t="str">
        <x:v>2.1.1 Emissioni</x:v>
      </x:c>
      <x:c r="D67" s="83" t="str">
        <x:v>73-83</x:v>
      </x:c>
      <x:c r="E67" s="83" t="str">
        <x:v>CO2; fattori emissivi; scenari</x:v>
      </x:c>
      <x:c r="F67" s="83" t="str">
        <x:v>P2</x:v>
      </x:c>
      <x:c r="G67" s="83" t="str">
        <x:v>Target e traiettorie.</x:v>
      </x:c>
    </x:row>
    <x:row r="68">
      <x:c r="A68" s="83" t="str">
        <x:v>S08</x:v>
      </x:c>
      <x:c r="B68" s="83" t="str">
        <x:v>Piano Nazionale Integrato per l'Energia e il Clima</x:v>
      </x:c>
      <x:c r="C68" s="83" t="str">
        <x:v>2.1.2 Energia rinnovabile</x:v>
      </x:c>
      <x:c r="D68" s="83" t="str">
        <x:v>84-115</x:v>
      </x:c>
      <x:c r="E68" s="83" t="str">
        <x:v>Capacità; produzione; settori</x:v>
      </x:c>
      <x:c r="F68" s="83" t="str">
        <x:v>P1</x:v>
      </x:c>
      <x:c r="G68" s="83" t="str">
        <x:v>Target FER e potenza 2030.</x:v>
      </x:c>
    </x:row>
    <x:row r="69">
      <x:c r="A69" s="83" t="str">
        <x:v>S08</x:v>
      </x:c>
      <x:c r="B69" s="83" t="str">
        <x:v>Piano Nazionale Integrato per l'Energia e il Clima</x:v>
      </x:c>
      <x:c r="C69" s="83" t="str">
        <x:v>2.2 Efficienza energetica</x:v>
      </x:c>
      <x:c r="D69" s="83" t="str">
        <x:v>116-142</x:v>
      </x:c>
      <x:c r="E69" s="83" t="str">
        <x:v>Domanda; consumi settoriali</x:v>
      </x:c>
      <x:c r="F69" s="83" t="str">
        <x:v>P1</x:v>
      </x:c>
      <x:c r="G69" s="83" t="str">
        <x:v>Base per elettrificazione/consumi.</x:v>
      </x:c>
    </x:row>
    <x:row r="70">
      <x:c r="A70" s="83" t="str">
        <x:v>S08</x:v>
      </x:c>
      <x:c r="B70" s="83" t="str">
        <x:v>Piano Nazionale Integrato per l'Energia e il Clima</x:v>
      </x:c>
      <x:c r="C70" s="83" t="str">
        <x:v>2.3 Sicurezza energetica</x:v>
      </x:c>
      <x:c r="D70" s="83" t="str">
        <x:v>143-158</x:v>
      </x:c>
      <x:c r="E70" s="83" t="str">
        <x:v>Fuel; importazioni; adeguatezza</x:v>
      </x:c>
      <x:c r="F70" s="83" t="str">
        <x:v>P2</x:v>
      </x:c>
      <x:c r="G70" s="83" t="str">
        <x:v>Contesto commodity e disponibilità.</x:v>
      </x:c>
    </x:row>
    <x:row r="71">
      <x:c r="A71" s="83" t="str">
        <x:v>S08</x:v>
      </x:c>
      <x:c r="B71" s="83" t="str">
        <x:v>Piano Nazionale Integrato per l'Energia e il Clima</x:v>
      </x:c>
      <x:c r="C71" s="83" t="str">
        <x:v>2.4 Mercato interno</x:v>
      </x:c>
      <x:c r="D71" s="83" t="str">
        <x:v>159-178</x:v>
      </x:c>
      <x:c r="E71" s="83" t="str">
        <x:v>Interconnessioni; rete; mercato; prezzi</x:v>
      </x:c>
      <x:c r="F71" s="83" t="str">
        <x:v>P1</x:v>
      </x:c>
      <x:c r="G71" s="83" t="str">
        <x:v>Topologia, mercato e politiche.</x:v>
      </x:c>
    </x:row>
    <x:row r="72">
      <x:c r="A72" s="83" t="str">
        <x:v>S08</x:v>
      </x:c>
      <x:c r="B72" s="83" t="str">
        <x:v>Piano Nazionale Integrato per l'Energia e il Clima</x:v>
      </x:c>
      <x:c r="C72" s="83" t="str">
        <x:v>3. Politiche e misure</x:v>
      </x:c>
      <x:c r="D72" s="83" t="str">
        <x:v>194-362</x:v>
      </x:c>
      <x:c r="E72" s="83" t="str">
        <x:v>Target; strumenti; cronologia</x:v>
      </x:c>
      <x:c r="F72" s="83" t="str">
        <x:v>P2</x:v>
      </x:c>
      <x:c r="G72" s="83" t="str">
        <x:v>Da usare per status e plausibilità, non come dataset unico.</x:v>
      </x:c>
    </x:row>
    <x:row r="73">
      <x:c r="A73" s="83" t="str">
        <x:v>S08</x:v>
      </x:c>
      <x:c r="B73" s="83" t="str">
        <x:v>Piano Nazionale Integrato per l'Energia e il Clima</x:v>
      </x:c>
      <x:c r="C73" s="83" t="str">
        <x:v>4.1 Fattori esogeni</x:v>
      </x:c>
      <x:c r="D73" s="83" t="str">
        <x:v>363-366</x:v>
      </x:c>
      <x:c r="E73" s="83" t="str">
        <x:v>Macro; fuel; CO2</x:v>
      </x:c>
      <x:c r="F73" s="83" t="str">
        <x:v>P1</x:v>
      </x:c>
      <x:c r="G73" s="83" t="str">
        <x:v>Prezzi e driver scenario.</x:v>
      </x:c>
    </x:row>
    <x:row r="74">
      <x:c r="A74" s="83" t="str">
        <x:v>S08</x:v>
      </x:c>
      <x:c r="B74" s="83" t="str">
        <x:v>Piano Nazionale Integrato per l'Energia e il Clima</x:v>
      </x:c>
      <x:c r="C74" s="83" t="str">
        <x:v>4.2 Decarbonizzazione/FER</x:v>
      </x:c>
      <x:c r="D74" s="83" t="str">
        <x:v>367-379</x:v>
      </x:c>
      <x:c r="E74" s="83" t="str">
        <x:v>Capacità; produzione; emissioni</x:v>
      </x:c>
      <x:c r="F74" s="83" t="str">
        <x:v>P1</x:v>
      </x:c>
      <x:c r="G74" s="83" t="str">
        <x:v>Proiezioni WEM fino al 2040.</x:v>
      </x:c>
    </x:row>
    <x:row r="75">
      <x:c r="A75" s="83" t="str">
        <x:v>S08</x:v>
      </x:c>
      <x:c r="B75" s="83" t="str">
        <x:v>Piano Nazionale Integrato per l'Energia e il Clima</x:v>
      </x:c>
      <x:c r="C75" s="83" t="str">
        <x:v>4.3 Efficienza e consumi</x:v>
      </x:c>
      <x:c r="D75" s="83" t="str">
        <x:v>380-397</x:v>
      </x:c>
      <x:c r="E75" s="83" t="str">
        <x:v>Domanda; settori; efficienza</x:v>
      </x:c>
      <x:c r="F75" s="83" t="str">
        <x:v>P1</x:v>
      </x:c>
      <x:c r="G75" s="83" t="str">
        <x:v>Consumi storici/prospettici.</x:v>
      </x:c>
    </x:row>
    <x:row r="76">
      <x:c r="A76" s="83" t="str">
        <x:v>S08</x:v>
      </x:c>
      <x:c r="B76" s="83" t="str">
        <x:v>Piano Nazionale Integrato per l'Energia e il Clima</x:v>
      </x:c>
      <x:c r="C76" s="83" t="str">
        <x:v>4.4 Sicurezza energetica</x:v>
      </x:c>
      <x:c r="D76" s="83" t="str">
        <x:v>398-401</x:v>
      </x:c>
      <x:c r="E76" s="83" t="str">
        <x:v>Fuel; importazioni</x:v>
      </x:c>
      <x:c r="F76" s="83" t="str">
        <x:v>P2</x:v>
      </x:c>
      <x:c r="G76" s="83" t="str">
        <x:v>Baseline e dipendenza.</x:v>
      </x:c>
    </x:row>
    <x:row r="77">
      <x:c r="A77" s="83" t="str">
        <x:v>S08</x:v>
      </x:c>
      <x:c r="B77" s="83" t="str">
        <x:v>Piano Nazionale Integrato per l'Energia e il Clima</x:v>
      </x:c>
      <x:c r="C77" s="83" t="str">
        <x:v>4.5 Mercato interno e prezzi</x:v>
      </x:c>
      <x:c r="D77" s="83" t="str">
        <x:v>402-429</x:v>
      </x:c>
      <x:c r="E77" s="83" t="str">
        <x:v>Interconnessioni; trasmissione; prezzi</x:v>
      </x:c>
      <x:c r="F77" s="83" t="str">
        <x:v>P1</x:v>
      </x:c>
      <x:c r="G77" s="83" t="str">
        <x:v>Mappe, limiti di transito e PUN.</x:v>
      </x:c>
    </x:row>
    <x:row r="78">
      <x:c r="A78" s="83" t="str">
        <x:v>S08</x:v>
      </x:c>
      <x:c r="B78" s="83" t="str">
        <x:v>Piano Nazionale Integrato per l'Energia e il Clima</x:v>
      </x:c>
      <x:c r="C78" s="83" t="str">
        <x:v>5. Valutazione impatti</x:v>
      </x:c>
      <x:c r="D78" s="83" t="str">
        <x:v>456-491</x:v>
      </x:c>
      <x:c r="E78" s="83" t="str">
        <x:v>Scenario 2040; domanda; capacità; investimenti</x:v>
      </x:c>
      <x:c r="F78" s="83" t="str">
        <x:v>P1</x:v>
      </x:c>
      <x:c r="G78" s="83" t="str">
        <x:v>Confronto riferimento/PNIEC e quadro investimenti.</x:v>
      </x:c>
    </x:row>
  </x:sheetData>
  <x:mergeCells>
    <x:mergeCell ref="A1:G1"/>
    <x:mergeCell ref="A2:G2"/>
  </x:mergeCells>
  <x:conditionalFormatting sqref="F5:F78">
    <x:cfRule type="expression" dxfId="2" priority="1">
      <x:formula>F5="P1"</x:formula>
    </x:cfRule>
    <x:cfRule type="expression" dxfId="3" priority="2">
      <x:formula>F5="P2"</x:formula>
    </x:cfRule>
    <x:cfRule type="expression" dxfId="4" priority="3">
      <x:formula>F5="P3"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1e9625a0f743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10" hidden="0" customWidth="1"/>
    <x:col min="5" max="5" width="9" hidden="0" customWidth="1"/>
    <x:col min="6" max="6" width="10" hidden="0" customWidth="1"/>
    <x:col min="7" max="7" width="12" hidden="0" customWidth="1"/>
    <x:col min="8" max="8" width="34" hidden="0" customWidth="1"/>
    <x:col min="9" max="9" width="65" hidden="0" customWidth="1"/>
    <x:col min="10" max="10" width="30" hidden="0" customWidth="1"/>
    <x:col min="11" max="11" width="24" hidden="0" customWidth="1"/>
    <x:col min="12" max="12" width="42" hidden="0" customWidth="1"/>
    <x:col min="13" max="13" width="10" hidden="0" customWidth="1"/>
    <x:col min="14" max="14" width="22" hidden="0" customWidth="1"/>
  </x:cols>
  <x:sheetData>
    <x:row r="1" ht="34" customHeight="1">
      <x:c r="A1" s="5" t="str">
        <x:v>Catalogo preliminare di tabelle, figure e mappe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388 elementi; nessuna estrazione numerica completa in questa fase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82" t="str">
        <x:v>Catalogue ID</x:v>
      </x:c>
      <x:c r="B4" s="82" t="str">
        <x:v>Source ID</x:v>
      </x:c>
      <x:c r="C4" s="82" t="str">
        <x:v>Documento</x:v>
      </x:c>
      <x:c r="D4" s="82" t="str">
        <x:v>Tipo</x:v>
      </x:c>
      <x:c r="E4" s="82" t="str">
        <x:v>Numero</x:v>
      </x:c>
      <x:c r="F4" s="82" t="str">
        <x:v>Pagina PDF</x:v>
      </x:c>
      <x:c r="G4" s="82" t="str">
        <x:v>Pagina stampata</x:v>
      </x:c>
      <x:c r="H4" s="82" t="str">
        <x:v>Sezione</x:v>
      </x:c>
      <x:c r="I4" s="82" t="str">
        <x:v>Titolo</x:v>
      </x:c>
      <x:c r="J4" s="82" t="str">
        <x:v>Tema</x:v>
      </x:c>
      <x:c r="K4" s="82" t="str">
        <x:v>Priorità</x:v>
      </x:c>
      <x:c r="L4" s="82" t="str">
        <x:v>Metodo previsto</x:v>
      </x:c>
      <x:c r="M4" s="82" t="str">
        <x:v>Rischio</x:v>
      </x:c>
      <x:c r="N4" s="82" t="str">
        <x:v>Stato</x:v>
      </x:c>
    </x:row>
    <x:row r="5">
      <x:c r="A5" s="83" t="str">
        <x:v>S08-TAB-1-18</x:v>
      </x:c>
      <x:c r="B5" s="83" t="str">
        <x:v>S08</x:v>
      </x:c>
      <x:c r="C5" s="83" t="str">
        <x:v>Piano Nazionale Integrato per l'Energia e il Clima</x:v>
      </x:c>
      <x:c r="D5" s="83" t="str">
        <x:v>Tabella</x:v>
      </x:c>
      <x:c r="E5" s="83" t="str">
        <x:v>1</x:v>
      </x:c>
      <x:c r="F5" s="83" t="n">
        <x:v>18</x:v>
      </x:c>
      <x:c r="G5" s="83" t="n">
        <x:v>17</x:v>
      </x:c>
      <x:c r="H5" s="83" t="str">
        <x:v>1. Schema generale e processo</x:v>
      </x:c>
      <x:c r="I5" s="83" t="str">
        <x:v>Tabella 1 - Principali indicatori di scenario e obiettivi su energia e clima al 2030</x:v>
      </x:c>
      <x:c r="J5" s="83" t="str">
        <x:v>Scenario e metodologia</x:v>
      </x:c>
      <x:c r="K5" s="83" t="str">
        <x:v>P2 - contesto/validazione</x:v>
      </x:c>
      <x:c r="L5" s="83" t="str">
        <x:v>Tabella testuale/PDF</x:v>
      </x:c>
      <x:c r="M5" s="83" t="str">
        <x:v>Basso</x:v>
      </x:c>
      <x:c r="N5" s="83" t="str">
        <x:v>Da verificare in Fase 3</x:v>
      </x:c>
    </x:row>
    <x:row r="6">
      <x:c r="A6" s="83" t="str">
        <x:v>S08-TAB-4-42</x:v>
      </x:c>
      <x:c r="B6" s="83" t="str">
        <x:v>S08</x:v>
      </x:c>
      <x:c r="C6" s="83" t="str">
        <x:v>Piano Nazionale Integrato per l'Energia e il Clima</x:v>
      </x:c>
      <x:c r="D6" s="83" t="str">
        <x:v>Tabella</x:v>
      </x:c>
      <x:c r="E6" s="83" t="str">
        <x:v>4</x:v>
      </x:c>
      <x:c r="F6" s="83" t="n">
        <x:v>42</x:v>
      </x:c>
      <x:c r="G6" s="83" t="n">
        <x:v>41</x:v>
      </x:c>
      <x:c r="H6" s="83" t="str">
        <x:v>1. Schema generale e processo</x:v>
      </x:c>
      <x:c r="I6" s="83" t="str">
        <x:v>Tabella 4 - Dati di import e di export dai vari Paesi con cui l’Italia è interconnessa</x:v>
      </x:c>
      <x:c r="J6" s="83" t="str">
        <x:v>Trasmissione e interconnessioni</x:v>
      </x:c>
      <x:c r="K6" s="83" t="str">
        <x:v>P2 - contesto/validazione</x:v>
      </x:c>
      <x:c r="L6" s="83" t="str">
        <x:v>Tabella testuale/PDF</x:v>
      </x:c>
      <x:c r="M6" s="83" t="str">
        <x:v>Basso</x:v>
      </x:c>
      <x:c r="N6" s="83" t="str">
        <x:v>Da verificare in Fase 3</x:v>
      </x:c>
    </x:row>
    <x:row r="7">
      <x:c r="A7" s="83" t="str">
        <x:v>S08-FIG-1-43</x:v>
      </x:c>
      <x:c r="B7" s="83" t="str">
        <x:v>S08</x:v>
      </x:c>
      <x:c r="C7" s="83" t="str">
        <x:v>Piano Nazionale Integrato per l'Energia e il Clima</x:v>
      </x:c>
      <x:c r="D7" s="83" t="str">
        <x:v>Figura</x:v>
      </x:c>
      <x:c r="E7" s="83" t="str">
        <x:v>1</x:v>
      </x:c>
      <x:c r="F7" s="83" t="n">
        <x:v>43</x:v>
      </x:c>
      <x:c r="G7" s="83" t="n">
        <x:v>42</x:v>
      </x:c>
      <x:c r="H7" s="83" t="str">
        <x:v>1. Schema generale e processo</x:v>
      </x:c>
      <x:c r="I7" s="83" t="str">
        <x:v>Figura 1 – Capacità di scambio transfrontaliera in import ed export delle interconnessioni esistenti</x:v>
      </x:c>
      <x:c r="J7" s="83" t="str">
        <x:v>Trasmissione e interconnessioni</x:v>
      </x:c>
      <x:c r="K7" s="83" t="str">
        <x:v>P1 - input diretto/parametro</x:v>
      </x:c>
      <x:c r="L7" s="83" t="str">
        <x:v>Figura o mappa; lettura etichette / eventuale digitalizzazione</x:v>
      </x:c>
      <x:c r="M7" s="83" t="str">
        <x:v>Medio</x:v>
      </x:c>
      <x:c r="N7" s="83" t="str">
        <x:v>Da verificare in Fase 3</x:v>
      </x:c>
    </x:row>
    <x:row r="8">
      <x:c r="A8" s="83" t="str">
        <x:v>S08-FIG-2-46</x:v>
      </x:c>
      <x:c r="B8" s="83" t="str">
        <x:v>S08</x:v>
      </x:c>
      <x:c r="C8" s="83" t="str">
        <x:v>Piano Nazionale Integrato per l'Energia e il Clima</x:v>
      </x:c>
      <x:c r="D8" s="83" t="str">
        <x:v>Figura</x:v>
      </x:c>
      <x:c r="E8" s="83" t="str">
        <x:v>2</x:v>
      </x:c>
      <x:c r="F8" s="83" t="n">
        <x:v>46</x:v>
      </x:c>
      <x:c r="G8" s="83" t="n">
        <x:v>45</x:v>
      </x:c>
      <x:c r="H8" s="83" t="str">
        <x:v>1. Schema generale e processo</x:v>
      </x:c>
      <x:c r="I8" s="83" t="str">
        <x:v>Figura 2 – Mappa rete gas nazionale e principali punti di entrata</x:v>
      </x:c>
      <x:c r="J8" s="83" t="str">
        <x:v>Mercato e prezzi</x:v>
      </x:c>
      <x:c r="K8" s="83" t="str">
        <x:v>P1 - input diretto/parametro</x:v>
      </x:c>
      <x:c r="L8" s="83" t="str">
        <x:v>Figura o mappa; lettura etichette / eventuale digitalizzazione</x:v>
      </x:c>
      <x:c r="M8" s="83" t="str">
        <x:v>Medio</x:v>
      </x:c>
      <x:c r="N8" s="83" t="str">
        <x:v>Da verificare in Fase 3</x:v>
      </x:c>
    </x:row>
    <x:row r="9">
      <x:c r="A9" s="83" t="str">
        <x:v>S08-TAB-6-75</x:v>
      </x:c>
      <x:c r="B9" s="83" t="str">
        <x:v>S08</x:v>
      </x:c>
      <x:c r="C9" s="83" t="str">
        <x:v>Piano Nazionale Integrato per l'Energia e il Clima</x:v>
      </x:c>
      <x:c r="D9" s="83" t="str">
        <x:v>Tabella</x:v>
      </x:c>
      <x:c r="E9" s="83" t="str">
        <x:v>6</x:v>
      </x:c>
      <x:c r="F9" s="83" t="n">
        <x:v>75</x:v>
      </x:c>
      <x:c r="G9" s="83" t="n">
        <x:v>74</x:v>
      </x:c>
      <x:c r="H9" s="83" t="str">
        <x:v>2. Obiettivi e traguardi</x:v>
      </x:c>
      <x:c r="I9" s="83" t="str">
        <x:v>Tabella 6 - Evoluzione delle emissioni per settore nel periodo 1990-2022 (Emissioni di GHG, Mt di CO2eq)</x:v>
      </x:c>
      <x:c r="J9" s="83" t="str">
        <x:v>Mercato e prezzi; Emissioni e ambiente</x:v>
      </x:c>
      <x:c r="K9" s="83" t="str">
        <x:v>P1 - input diretto/parametro</x:v>
      </x:c>
      <x:c r="L9" s="83" t="str">
        <x:v>Tabella testuale/PDF</x:v>
      </x:c>
      <x:c r="M9" s="83" t="str">
        <x:v>Basso</x:v>
      </x:c>
      <x:c r="N9" s="83" t="str">
        <x:v>Da verificare in Fase 3</x:v>
      </x:c>
    </x:row>
    <x:row r="10">
      <x:c r="A10" s="83" t="str">
        <x:v>S08-TAB-7-76</x:v>
      </x:c>
      <x:c r="B10" s="83" t="str">
        <x:v>S08</x:v>
      </x:c>
      <x:c r="C10" s="83" t="str">
        <x:v>Piano Nazionale Integrato per l'Energia e il Clima</x:v>
      </x:c>
      <x:c r="D10" s="83" t="str">
        <x:v>Tabella</x:v>
      </x:c>
      <x:c r="E10" s="83" t="str">
        <x:v>7</x:v>
      </x:c>
      <x:c r="F10" s="83" t="n">
        <x:v>76</x:v>
      </x:c>
      <x:c r="G10" s="83" t="n">
        <x:v>75</x:v>
      </x:c>
      <x:c r="H10" s="83" t="str">
        <x:v>2. Obiettivi e traguardi</x:v>
      </x:c>
      <x:c r="I10" s="83" t="str">
        <x:v>Tabella 7 – Scenario di riferimento ed obiettivi emissioni ETS, ESR e LULUCF al 2030</x:v>
      </x:c>
      <x:c r="J10" s="83" t="str">
        <x:v>Capacità e generazione; Emissioni e ambiente; Scenario e metodologia</x:v>
      </x:c>
      <x:c r="K10" s="83" t="str">
        <x:v>P2 - contesto/validazione</x:v>
      </x:c>
      <x:c r="L10" s="83" t="str">
        <x:v>Tabella testuale/PDF</x:v>
      </x:c>
      <x:c r="M10" s="83" t="str">
        <x:v>Basso</x:v>
      </x:c>
      <x:c r="N10" s="83" t="str">
        <x:v>Da verificare in Fase 3</x:v>
      </x:c>
    </x:row>
    <x:row r="11">
      <x:c r="A11" s="83" t="str">
        <x:v>S08-FIG-4-78</x:v>
      </x:c>
      <x:c r="B11" s="83" t="str">
        <x:v>S08</x:v>
      </x:c>
      <x:c r="C11" s="83" t="str">
        <x:v>Piano Nazionale Integrato per l'Energia e il Clima</x:v>
      </x:c>
      <x:c r="D11" s="83" t="str">
        <x:v>Figura</x:v>
      </x:c>
      <x:c r="E11" s="83" t="str">
        <x:v>4</x:v>
      </x:c>
      <x:c r="F11" s="83" t="n">
        <x:v>78</x:v>
      </x:c>
      <x:c r="G11" s="83" t="n">
        <x:v>77</x:v>
      </x:c>
      <x:c r="H11" s="83" t="str">
        <x:v>2. Obiettivi e traguardi</x:v>
      </x:c>
      <x:c r="I11" s="83" t="str">
        <x:v>Figura 4 - Andamento storico delle emissioni nei settori Effort Sharing e scenari futuri a politiche aggiuntive</x:v>
      </x:c>
      <x:c r="J11" s="83" t="str">
        <x:v>Emissioni e ambiente</x:v>
      </x:c>
      <x:c r="K11" s="83" t="str">
        <x:v>P2 - contesto/validazione</x:v>
      </x:c>
      <x:c r="L11" s="83" t="str">
        <x:v>Figura o mappa; lettura etichette / eventuale digitalizzazione</x:v>
      </x:c>
      <x:c r="M11" s="83" t="str">
        <x:v>Medio</x:v>
      </x:c>
      <x:c r="N11" s="83" t="str">
        <x:v>Da verificare in Fase 3</x:v>
      </x:c>
    </x:row>
    <x:row r="12">
      <x:c r="A12" s="83" t="str">
        <x:v>S08-TAB-8-79</x:v>
      </x:c>
      <x:c r="B12" s="83" t="str">
        <x:v>S08</x:v>
      </x:c>
      <x:c r="C12" s="83" t="str">
        <x:v>Piano Nazionale Integrato per l'Energia e il Clima</x:v>
      </x:c>
      <x:c r="D12" s="83" t="str">
        <x:v>Tabella</x:v>
      </x:c>
      <x:c r="E12" s="83" t="str">
        <x:v>8</x:v>
      </x:c>
      <x:c r="F12" s="83" t="n">
        <x:v>79</x:v>
      </x:c>
      <x:c r="G12" s="83" t="n">
        <x:v>78</x:v>
      </x:c>
      <x:c r="H12" s="83" t="str">
        <x:v>2. Obiettivi e traguardi</x:v>
      </x:c>
      <x:c r="I12" s="83" t="str">
        <x:v>Tabella 8 - Proiezioni per categorie LULUCF (MtCO2eq) [Fonte: ISPRA]</x:v>
      </x:c>
      <x:c r="J12" s="83" t="str">
        <x:v>Mercato e prezzi; Emissioni e ambiente</x:v>
      </x:c>
      <x:c r="K12" s="83" t="str">
        <x:v>P1 - input diretto/parametro</x:v>
      </x:c>
      <x:c r="L12" s="83" t="str">
        <x:v>Tabella testuale/PDF</x:v>
      </x:c>
      <x:c r="M12" s="83" t="str">
        <x:v>Basso</x:v>
      </x:c>
      <x:c r="N12" s="83" t="str">
        <x:v>Da verificare in Fase 3</x:v>
      </x:c>
    </x:row>
    <x:row r="13">
      <x:c r="A13" s="83" t="str">
        <x:v>S08-TAB-9-89</x:v>
      </x:c>
      <x:c r="B13" s="83" t="str">
        <x:v>S08</x:v>
      </x:c>
      <x:c r="C13" s="83" t="str">
        <x:v>Piano Nazionale Integrato per l'Energia e il Clima</x:v>
      </x:c>
      <x:c r="D13" s="83" t="str">
        <x:v>Tabella</x:v>
      </x:c>
      <x:c r="E13" s="83" t="str">
        <x:v>9</x:v>
      </x:c>
      <x:c r="F13" s="83" t="n">
        <x:v>89</x:v>
      </x:c>
      <x:c r="G13" s="83" t="n">
        <x:v>88</x:v>
      </x:c>
      <x:c r="H13" s="83" t="str">
        <x:v>2. Obiettivi e traguardi</x:v>
      </x:c>
      <x:c r="I13" s="83" t="str">
        <x:v>Tabella 9 – Emissioni CO2 settori industriali Hard to Abate nel 2022</x:v>
      </x:c>
      <x:c r="J13" s="83" t="str">
        <x:v>Mercato e prezzi; Emissioni e ambiente</x:v>
      </x:c>
      <x:c r="K13" s="83" t="str">
        <x:v>P1 - input diretto/parametro</x:v>
      </x:c>
      <x:c r="L13" s="83" t="str">
        <x:v>Tabella testuale/PDF</x:v>
      </x:c>
      <x:c r="M13" s="83" t="str">
        <x:v>Basso</x:v>
      </x:c>
      <x:c r="N13" s="83" t="str">
        <x:v>Da verificare in Fase 3</x:v>
      </x:c>
    </x:row>
    <x:row r="14">
      <x:c r="A14" s="83" t="str">
        <x:v>S08-FIG-5-90</x:v>
      </x:c>
      <x:c r="B14" s="83" t="str">
        <x:v>S08</x:v>
      </x:c>
      <x:c r="C14" s="83" t="str">
        <x:v>Piano Nazionale Integrato per l'Energia e il Clima</x:v>
      </x:c>
      <x:c r="D14" s="83" t="str">
        <x:v>Figura</x:v>
      </x:c>
      <x:c r="E14" s="83" t="str">
        <x:v>5</x:v>
      </x:c>
      <x:c r="F14" s="83" t="n">
        <x:v>90</x:v>
      </x:c>
      <x:c r="G14" s="83" t="n">
        <x:v>89</x:v>
      </x:c>
      <x:c r="H14" s="83" t="str">
        <x:v>2. Obiettivi e traguardi</x:v>
      </x:c>
      <x:c r="I14" s="83" t="str">
        <x:v>Figura 5 – Mappatura emissioni siti industriali, inceneritori e termoelettrici effettuata nell’ambito delle attivitàd i</x:v>
      </x:c>
      <x:c r="J14" s="83" t="str">
        <x:v>Emissioni e ambiente</x:v>
      </x:c>
      <x:c r="K14" s="83" t="str">
        <x:v>P2 - contesto/validazione</x:v>
      </x:c>
      <x:c r="L14" s="83" t="str">
        <x:v>Figura o mappa; lettura etichette / eventuale digitalizzazione</x:v>
      </x:c>
      <x:c r="M14" s="83" t="str">
        <x:v>Medio</x:v>
      </x:c>
      <x:c r="N14" s="83" t="str">
        <x:v>Da verificare in Fase 3</x:v>
      </x:c>
    </x:row>
    <x:row r="15">
      <x:c r="A15" s="83" t="str">
        <x:v>S08-FIG-6-92</x:v>
      </x:c>
      <x:c r="B15" s="83" t="str">
        <x:v>S08</x:v>
      </x:c>
      <x:c r="C15" s="83" t="str">
        <x:v>Piano Nazionale Integrato per l'Energia e il Clima</x:v>
      </x:c>
      <x:c r="D15" s="83" t="str">
        <x:v>Figura</x:v>
      </x:c>
      <x:c r="E15" s="83" t="str">
        <x:v>6</x:v>
      </x:c>
      <x:c r="F15" s="83" t="n">
        <x:v>92</x:v>
      </x:c>
      <x:c r="G15" s="83" t="n">
        <x:v>91</x:v>
      </x:c>
      <x:c r="H15" s="83" t="str">
        <x:v>2. Obiettivi e traguardi</x:v>
      </x:c>
      <x:c r="I15" s="83" t="str">
        <x:v>Figura 6 – Sviluppo della capacità di generazione nucleare nello scenario considerato, rappresentata</x:v>
      </x:c>
      <x:c r="J15" s="83" t="str">
        <x:v>Capacità e generazione; Scenario e metodologia</x:v>
      </x:c>
      <x:c r="K15" s="83" t="str">
        <x:v>P2 - contesto/validazione</x:v>
      </x:c>
      <x:c r="L15" s="83" t="str">
        <x:v>Figura o mappa; lettura etichette / eventuale digitalizzazione</x:v>
      </x:c>
      <x:c r="M15" s="83" t="str">
        <x:v>Medio</x:v>
      </x:c>
      <x:c r="N15" s="83" t="str">
        <x:v>Da verificare in Fase 3</x:v>
      </x:c>
    </x:row>
    <x:row r="16">
      <x:c r="A16" s="83" t="str">
        <x:v>S08-FIG-7-94</x:v>
      </x:c>
      <x:c r="B16" s="83" t="str">
        <x:v>S08</x:v>
      </x:c>
      <x:c r="C16" s="83" t="str">
        <x:v>Piano Nazionale Integrato per l'Energia e il Clima</x:v>
      </x:c>
      <x:c r="D16" s="83" t="str">
        <x:v>Figura</x:v>
      </x:c>
      <x:c r="E16" s="83" t="str">
        <x:v>7</x:v>
      </x:c>
      <x:c r="F16" s="83" t="n">
        <x:v>94</x:v>
      </x:c>
      <x:c r="G16" s="83" t="n">
        <x:v>93</x:v>
      </x:c>
      <x:c r="H16" s="83" t="str">
        <x:v>2. Obiettivi e traguardi</x:v>
      </x:c>
      <x:c r="I16" s="83" t="str">
        <x:v>Figura 7 – Richiesta di energia elettrica al 2050 negli scenari con e senza nucleare.</x:v>
      </x:c>
      <x:c r="J16" s="83" t="str">
        <x:v>Capacità e generazione</x:v>
      </x:c>
      <x:c r="K16" s="83" t="str">
        <x:v>P1 - input diretto/parametro</x:v>
      </x:c>
      <x:c r="L16" s="83" t="str">
        <x:v>Figura o mappa; lettura etichette / eventuale digitalizzazione</x:v>
      </x:c>
      <x:c r="M16" s="83" t="str">
        <x:v>Medio</x:v>
      </x:c>
      <x:c r="N16" s="83" t="str">
        <x:v>Da verificare in Fase 3</x:v>
      </x:c>
    </x:row>
    <x:row r="17">
      <x:c r="A17" s="83" t="str">
        <x:v>S08-FIG-8-94</x:v>
      </x:c>
      <x:c r="B17" s="83" t="str">
        <x:v>S08</x:v>
      </x:c>
      <x:c r="C17" s="83" t="str">
        <x:v>Piano Nazionale Integrato per l'Energia e il Clima</x:v>
      </x:c>
      <x:c r="D17" s="83" t="str">
        <x:v>Figura</x:v>
      </x:c>
      <x:c r="E17" s="83" t="str">
        <x:v>8</x:v>
      </x:c>
      <x:c r="F17" s="83" t="n">
        <x:v>94</x:v>
      </x:c>
      <x:c r="G17" s="83" t="n">
        <x:v>93</x:v>
      </x:c>
      <x:c r="H17" s="83" t="str">
        <x:v>2. Obiettivi e traguardi</x:v>
      </x:c>
      <x:c r="I17" s="83" t="str">
        <x:v>Figura 8 – Produzione nazionale di energia elettrica al 2050 negli scenari con e senza nucleare.</x:v>
      </x:c>
      <x:c r="J17" s="83" t="str">
        <x:v>Capacità e generazione</x:v>
      </x:c>
      <x:c r="K17" s="83" t="str">
        <x:v>P1 - input diretto/parametro</x:v>
      </x:c>
      <x:c r="L17" s="83" t="str">
        <x:v>Figura o mappa; lettura etichette / eventuale digitalizzazione</x:v>
      </x:c>
      <x:c r="M17" s="83" t="str">
        <x:v>Medio</x:v>
      </x:c>
      <x:c r="N17" s="83" t="str">
        <x:v>Da verificare in Fase 3</x:v>
      </x:c>
    </x:row>
    <x:row r="18">
      <x:c r="A18" s="83" t="str">
        <x:v>S08-FIG-9-97</x:v>
      </x:c>
      <x:c r="B18" s="83" t="str">
        <x:v>S08</x:v>
      </x:c>
      <x:c r="C18" s="83" t="str">
        <x:v>Piano Nazionale Integrato per l'Energia e il Clima</x:v>
      </x:c>
      <x:c r="D18" s="83" t="str">
        <x:v>Figura</x:v>
      </x:c>
      <x:c r="E18" s="83" t="str">
        <x:v>9</x:v>
      </x:c>
      <x:c r="F18" s="83" t="n">
        <x:v>97</x:v>
      </x:c>
      <x:c r="G18" s="83" t="n">
        <x:v>96</x:v>
      </x:c>
      <x:c r="H18" s="83" t="str">
        <x:v>2. Obiettivi e traguardi</x:v>
      </x:c>
      <x:c r="I18" s="83" t="str">
        <x:v>Figura 9 - Traiettoria della quota FER complessiva (Quota dei Consumi Finali Lordi di energia coperta da fonti</x:v>
      </x:c>
      <x:c r="J18" s="83" t="str">
        <x:v>Domanda e consumi; Capacità e generazione; Scenario e metodologia</x:v>
      </x:c>
      <x:c r="K18" s="83" t="str">
        <x:v>P2 - contesto/validazione</x:v>
      </x:c>
      <x:c r="L18" s="83" t="str">
        <x:v>Figura o mappa; lettura etichette / eventuale digitalizzazione</x:v>
      </x:c>
      <x:c r="M18" s="83" t="str">
        <x:v>Medio</x:v>
      </x:c>
      <x:c r="N18" s="83" t="str">
        <x:v>Da verificare in Fase 3</x:v>
      </x:c>
    </x:row>
    <x:row r="19">
      <x:c r="A19" s="83" t="str">
        <x:v>S08-TAB-10-97</x:v>
      </x:c>
      <x:c r="B19" s="83" t="str">
        <x:v>S08</x:v>
      </x:c>
      <x:c r="C19" s="83" t="str">
        <x:v>Piano Nazionale Integrato per l'Energia e il Clima</x:v>
      </x:c>
      <x:c r="D19" s="83" t="str">
        <x:v>Tabella</x:v>
      </x:c>
      <x:c r="E19" s="83" t="str">
        <x:v>10</x:v>
      </x:c>
      <x:c r="F19" s="83" t="n">
        <x:v>97</x:v>
      </x:c>
      <x:c r="G19" s="83" t="n">
        <x:v>96</x:v>
      </x:c>
      <x:c r="H19" s="83" t="str">
        <x:v>2. Obiettivi e traguardi</x:v>
      </x:c>
      <x:c r="I19" s="83" t="str">
        <x:v>Tabella 10 – Obiettivo complessivo FER al 2030 (ktep) [Fonte: RSE, GSE]</x:v>
      </x:c>
      <x:c r="J19" s="83" t="str">
        <x:v>Capacità e generazione</x:v>
      </x:c>
      <x:c r="K19" s="83" t="str">
        <x:v>P2 - contesto/validazione</x:v>
      </x:c>
      <x:c r="L19" s="83" t="str">
        <x:v>Tabella testuale/PDF</x:v>
      </x:c>
      <x:c r="M19" s="83" t="str">
        <x:v>Basso</x:v>
      </x:c>
      <x:c r="N19" s="83" t="str">
        <x:v>Da verificare in Fase 3</x:v>
      </x:c>
    </x:row>
    <x:row r="20">
      <x:c r="A20" s="83" t="str">
        <x:v>S08-FIG-10-99</x:v>
      </x:c>
      <x:c r="B20" s="83" t="str">
        <x:v>S08</x:v>
      </x:c>
      <x:c r="C20" s="83" t="str">
        <x:v>Piano Nazionale Integrato per l'Energia e il Clima</x:v>
      </x:c>
      <x:c r="D20" s="83" t="str">
        <x:v>Figura</x:v>
      </x:c>
      <x:c r="E20" s="83" t="str">
        <x:v>10</x:v>
      </x:c>
      <x:c r="F20" s="83" t="n">
        <x:v>99</x:v>
      </x:c>
      <x:c r="G20" s="83" t="n">
        <x:v>98</x:v>
      </x:c>
      <x:c r="H20" s="83" t="str">
        <x:v>2. Obiettivi e traguardi</x:v>
      </x:c>
      <x:c r="I20" s="83" t="str">
        <x:v>Figura 10 - Traiettoria della quota FER complessiva [Fonte: RSE, GSE]</x:v>
      </x:c>
      <x:c r="J20" s="83" t="str">
        <x:v>Capacità e generazione; Scenario e metodologia</x:v>
      </x:c>
      <x:c r="K20" s="83" t="str">
        <x:v>P2 - contesto/validazione</x:v>
      </x:c>
      <x:c r="L20" s="83" t="str">
        <x:v>Figura o mappa; lettura etichette / eventuale digitalizzazione</x:v>
      </x:c>
      <x:c r="M20" s="83" t="str">
        <x:v>Medio</x:v>
      </x:c>
      <x:c r="N20" s="83" t="str">
        <x:v>Da verificare in Fase 3</x:v>
      </x:c>
    </x:row>
    <x:row r="21">
      <x:c r="A21" s="83" t="str">
        <x:v>S08-FIG-11-99</x:v>
      </x:c>
      <x:c r="B21" s="83" t="str">
        <x:v>S08</x:v>
      </x:c>
      <x:c r="C21" s="83" t="str">
        <x:v>Piano Nazionale Integrato per l'Energia e il Clima</x:v>
      </x:c>
      <x:c r="D21" s="83" t="str">
        <x:v>Figura</x:v>
      </x:c>
      <x:c r="E21" s="83" t="str">
        <x:v>11</x:v>
      </x:c>
      <x:c r="F21" s="83" t="n">
        <x:v>99</x:v>
      </x:c>
      <x:c r="G21" s="83" t="n">
        <x:v>98</x:v>
      </x:c>
      <x:c r="H21" s="83" t="str">
        <x:v>2. Obiettivi e traguardi</x:v>
      </x:c>
      <x:c r="I21" s="83" t="str">
        <x:v>Figura 11 - Traiettoria della quota FER elettrica [Fonte: RSE, GSE]</x:v>
      </x:c>
      <x:c r="J21" s="83" t="str">
        <x:v>Capacità e generazione; Scenario e metodologia</x:v>
      </x:c>
      <x:c r="K21" s="83" t="str">
        <x:v>P2 - contesto/validazione</x:v>
      </x:c>
      <x:c r="L21" s="83" t="str">
        <x:v>Figura o mappa; lettura etichette / eventuale digitalizzazione</x:v>
      </x:c>
      <x:c r="M21" s="83" t="str">
        <x:v>Medio</x:v>
      </x:c>
      <x:c r="N21" s="83" t="str">
        <x:v>Estratto e verificato — Fase 3C</x:v>
      </x:c>
    </x:row>
    <x:row r="22">
      <x:c r="A22" s="83" t="str">
        <x:v>S08-FIG-12-100</x:v>
      </x:c>
      <x:c r="B22" s="83" t="str">
        <x:v>S08</x:v>
      </x:c>
      <x:c r="C22" s="83" t="str">
        <x:v>Piano Nazionale Integrato per l'Energia e il Clima</x:v>
      </x:c>
      <x:c r="D22" s="83" t="str">
        <x:v>Figura</x:v>
      </x:c>
      <x:c r="E22" s="83" t="str">
        <x:v>12</x:v>
      </x:c>
      <x:c r="F22" s="83" t="n">
        <x:v>100</x:v>
      </x:c>
      <x:c r="G22" s="83" t="n">
        <x:v>99</x:v>
      </x:c>
      <x:c r="H22" s="83" t="str">
        <x:v>2. Obiettivi e traguardi</x:v>
      </x:c>
      <x:c r="I22" s="83" t="str">
        <x:v>Figura 12 - Traiettoria della quota FER nel settore termico [Fonte: RSE, GSE]</x:v>
      </x:c>
      <x:c r="J22" s="83" t="str">
        <x:v>Capacità e generazione; Scenario e metodologia</x:v>
      </x:c>
      <x:c r="K22" s="83" t="str">
        <x:v>P2 - contesto/validazione</x:v>
      </x:c>
      <x:c r="L22" s="83" t="str">
        <x:v>Figura o mappa; lettura etichette / eventuale digitalizzazione</x:v>
      </x:c>
      <x:c r="M22" s="83" t="str">
        <x:v>Medio</x:v>
      </x:c>
      <x:c r="N22" s="83" t="str">
        <x:v>Da verificare in Fase 3</x:v>
      </x:c>
    </x:row>
    <x:row r="23">
      <x:c r="A23" s="83" t="str">
        <x:v>S08-FIG-13-100</x:v>
      </x:c>
      <x:c r="B23" s="83" t="str">
        <x:v>S08</x:v>
      </x:c>
      <x:c r="C23" s="83" t="str">
        <x:v>Piano Nazionale Integrato per l'Energia e il Clima</x:v>
      </x:c>
      <x:c r="D23" s="83" t="str">
        <x:v>Figura</x:v>
      </x:c>
      <x:c r="E23" s="83" t="str">
        <x:v>13</x:v>
      </x:c>
      <x:c r="F23" s="83" t="n">
        <x:v>100</x:v>
      </x:c>
      <x:c r="G23" s="83" t="n">
        <x:v>99</x:v>
      </x:c>
      <x:c r="H23" s="83" t="str">
        <x:v>2. Obiettivi e traguardi</x:v>
      </x:c>
      <x:c r="I23" s="83" t="str">
        <x:v>Figura 13 - Traiettoria della quota FER nel settore trasporti(*) [Fonte: RSE, GSE]</x:v>
      </x:c>
      <x:c r="J23" s="83" t="str">
        <x:v>Capacità e generazione; Scenario e metodologia</x:v>
      </x:c>
      <x:c r="K23" s="83" t="str">
        <x:v>P2 - contesto/validazione</x:v>
      </x:c>
      <x:c r="L23" s="83" t="str">
        <x:v>Figura o mappa; lettura etichette / eventuale digitalizzazione</x:v>
      </x:c>
      <x:c r="M23" s="83" t="str">
        <x:v>Medio</x:v>
      </x:c>
      <x:c r="N23" s="83" t="str">
        <x:v>Da verificare in Fase 3</x:v>
      </x:c>
    </x:row>
    <x:row r="24">
      <x:c r="A24" s="83" t="str">
        <x:v>S08-TAB-11-103</x:v>
      </x:c>
      <x:c r="B24" s="83" t="str">
        <x:v>S08</x:v>
      </x:c>
      <x:c r="C24" s="83" t="str">
        <x:v>Piano Nazionale Integrato per l'Energia e il Clima</x:v>
      </x:c>
      <x:c r="D24" s="83" t="str">
        <x:v>Tabella</x:v>
      </x:c>
      <x:c r="E24" s="83" t="str">
        <x:v>11</x:v>
      </x:c>
      <x:c r="F24" s="83" t="n">
        <x:v>103</x:v>
      </x:c>
      <x:c r="G24" s="83" t="n">
        <x:v>102</x:v>
      </x:c>
      <x:c r="H24" s="83" t="str">
        <x:v>2. Obiettivi e traguardi</x:v>
      </x:c>
      <x:c r="I24" s="83" t="str">
        <x:v>Tabella 11 - Obiettivi di crescita della potenza da fonte rinnovabile al 2030 (MW) [Fonte: RSE, GSE, Terna]</x:v>
      </x:c>
      <x:c r="J24" s="83" t="str">
        <x:v>Scenario e metodologia</x:v>
      </x:c>
      <x:c r="K24" s="83" t="str">
        <x:v>P2 - contesto/validazione</x:v>
      </x:c>
      <x:c r="L24" s="83" t="str">
        <x:v>Tabella testuale/PDF</x:v>
      </x:c>
      <x:c r="M24" s="83" t="str">
        <x:v>Basso</x:v>
      </x:c>
      <x:c r="N24" s="83" t="str">
        <x:v>Da verificare in Fase 3</x:v>
      </x:c>
    </x:row>
    <x:row r="25">
      <x:c r="A25" s="83" t="str">
        <x:v>S08-TAB-12-104</x:v>
      </x:c>
      <x:c r="B25" s="83" t="str">
        <x:v>S08</x:v>
      </x:c>
      <x:c r="C25" s="83" t="str">
        <x:v>Piano Nazionale Integrato per l'Energia e il Clima</x:v>
      </x:c>
      <x:c r="D25" s="83" t="str">
        <x:v>Tabella</x:v>
      </x:c>
      <x:c r="E25" s="83" t="str">
        <x:v>12</x:v>
      </x:c>
      <x:c r="F25" s="83" t="n">
        <x:v>104</x:v>
      </x:c>
      <x:c r="G25" s="83" t="n">
        <x:v>103</x:v>
      </x:c>
      <x:c r="H25" s="83" t="str">
        <x:v>2. Obiettivi e traguardi</x:v>
      </x:c>
      <x:c r="I25" s="83" t="str">
        <x:v>Tabella 12 - Obiettivi di crescita al 2030 della quota rinnovabile nel settore elettrico (TWh) [Fonte: RSE, GSE,</x:v>
      </x:c>
      <x:c r="J25" s="83" t="str">
        <x:v>Scenario e metodologia</x:v>
      </x:c>
      <x:c r="K25" s="83" t="str">
        <x:v>P2 - contesto/validazione</x:v>
      </x:c>
      <x:c r="L25" s="83" t="str">
        <x:v>Tabella testuale/PDF</x:v>
      </x:c>
      <x:c r="M25" s="83" t="str">
        <x:v>Basso</x:v>
      </x:c>
      <x:c r="N25" s="83" t="str">
        <x:v>Da verificare in Fase 3</x:v>
      </x:c>
    </x:row>
    <x:row r="26">
      <x:c r="A26" s="83" t="str">
        <x:v>S08-FIG-14-105</x:v>
      </x:c>
      <x:c r="B26" s="83" t="str">
        <x:v>S08</x:v>
      </x:c>
      <x:c r="C26" s="83" t="str">
        <x:v>Piano Nazionale Integrato per l'Energia e il Clima</x:v>
      </x:c>
      <x:c r="D26" s="83" t="str">
        <x:v>Figura</x:v>
      </x:c>
      <x:c r="E26" s="83" t="str">
        <x:v>14</x:v>
      </x:c>
      <x:c r="F26" s="83" t="n">
        <x:v>105</x:v>
      </x:c>
      <x:c r="G26" s="83" t="n">
        <x:v>104</x:v>
      </x:c>
      <x:c r="H26" s="83" t="str">
        <x:v>2. Obiettivi e traguardi</x:v>
      </x:c>
      <x:c r="I26" s="83" t="str">
        <x:v>Figura 14 - Traiettorie di crescita dell’energia elettrica da FER al 2030 (TWh)* [Fonte: GSE, RSE]</x:v>
      </x:c>
      <x:c r="J26" s="83" t="str">
        <x:v>Capacità e generazione</x:v>
      </x:c>
      <x:c r="K26" s="83" t="str">
        <x:v>P2 - contesto/validazione</x:v>
      </x:c>
      <x:c r="L26" s="83" t="str">
        <x:v>Figura o mappa; lettura etichette / eventuale digitalizzazione</x:v>
      </x:c>
      <x:c r="M26" s="83" t="str">
        <x:v>Medio</x:v>
      </x:c>
      <x:c r="N26" s="83" t="str">
        <x:v>Da verificare in Fase 3</x:v>
      </x:c>
    </x:row>
    <x:row r="27">
      <x:c r="A27" s="83" t="str">
        <x:v>S08-TAB-13-107</x:v>
      </x:c>
      <x:c r="B27" s="83" t="str">
        <x:v>S08</x:v>
      </x:c>
      <x:c r="C27" s="83" t="str">
        <x:v>Piano Nazionale Integrato per l'Energia e il Clima</x:v>
      </x:c>
      <x:c r="D27" s="83" t="str">
        <x:v>Tabella</x:v>
      </x:c>
      <x:c r="E27" s="83" t="str">
        <x:v>13</x:v>
      </x:c>
      <x:c r="F27" s="83" t="n">
        <x:v>107</x:v>
      </x:c>
      <x:c r="G27" s="83" t="n">
        <x:v>106</x:v>
      </x:c>
      <x:c r="H27" s="83" t="str">
        <x:v>2. Obiettivi e traguardi</x:v>
      </x:c>
      <x:c r="I27" s="83" t="str">
        <x:v>Tabella 13 - Obiettivi di crescita al 2030 della quota rinnovabile nel settore termico (ktep) [Fonte: GSE, RSE]</x:v>
      </x:c>
      <x:c r="J27" s="83" t="str">
        <x:v>Scenario e metodologia</x:v>
      </x:c>
      <x:c r="K27" s="83" t="str">
        <x:v>P2 - contesto/validazione</x:v>
      </x:c>
      <x:c r="L27" s="83" t="str">
        <x:v>Tabella testuale/PDF</x:v>
      </x:c>
      <x:c r="M27" s="83" t="str">
        <x:v>Basso</x:v>
      </x:c>
      <x:c r="N27" s="83" t="str">
        <x:v>Da verificare in Fase 3</x:v>
      </x:c>
    </x:row>
    <x:row r="28">
      <x:c r="A28" s="83" t="str">
        <x:v>S08-FIG-15-108</x:v>
      </x:c>
      <x:c r="B28" s="83" t="str">
        <x:v>S08</x:v>
      </x:c>
      <x:c r="C28" s="83" t="str">
        <x:v>Piano Nazionale Integrato per l'Energia e il Clima</x:v>
      </x:c>
      <x:c r="D28" s="83" t="str">
        <x:v>Figura</x:v>
      </x:c>
      <x:c r="E28" s="83" t="str">
        <x:v>15</x:v>
      </x:c>
      <x:c r="F28" s="83" t="n">
        <x:v>108</x:v>
      </x:c>
      <x:c r="G28" s="83" t="n">
        <x:v>107</x:v>
      </x:c>
      <x:c r="H28" s="83" t="str">
        <x:v>2. Obiettivi e traguardi</x:v>
      </x:c>
      <x:c r="I28" s="83" t="str">
        <x:v>Figura 15 - Traiettorie di crescita dell’energia da FER al 2030 nel settore termico – ktep [Fonte: GSE, RSE]</x:v>
      </x:c>
      <x:c r="J28" s="83" t="str">
        <x:v>Capacità e generazione</x:v>
      </x:c>
      <x:c r="K28" s="83" t="str">
        <x:v>P2 - contesto/validazione</x:v>
      </x:c>
      <x:c r="L28" s="83" t="str">
        <x:v>Figura o mappa; lettura etichette / eventuale digitalizzazione</x:v>
      </x:c>
      <x:c r="M28" s="83" t="str">
        <x:v>Medio</x:v>
      </x:c>
      <x:c r="N28" s="83" t="str">
        <x:v>Da verificare in Fase 3</x:v>
      </x:c>
    </x:row>
    <x:row r="29">
      <x:c r="A29" s="83" t="str">
        <x:v>S08-TAB-14-111</x:v>
      </x:c>
      <x:c r="B29" s="83" t="str">
        <x:v>S08</x:v>
      </x:c>
      <x:c r="C29" s="83" t="str">
        <x:v>Piano Nazionale Integrato per l'Energia e il Clima</x:v>
      </x:c>
      <x:c r="D29" s="83" t="str">
        <x:v>Tabella</x:v>
      </x:c>
      <x:c r="E29" s="83" t="str">
        <x:v>14</x:v>
      </x:c>
      <x:c r="F29" s="83" t="n">
        <x:v>111</x:v>
      </x:c>
      <x:c r="G29" s="83" t="n">
        <x:v>110</x:v>
      </x:c>
      <x:c r="H29" s="83" t="str">
        <x:v>2. Obiettivi e traguardi</x:v>
      </x:c>
      <x:c r="I29" s="83" t="str">
        <x:v>Tabella 14 - Contributo delle FER nel settore trasporti previsto al 2030, secondo i criteri di calcolo definiti</x:v>
      </x:c>
      <x:c r="J29" s="83" t="str">
        <x:v>Capacità e generazione</x:v>
      </x:c>
      <x:c r="K29" s="83" t="str">
        <x:v>P2 - contesto/validazione</x:v>
      </x:c>
      <x:c r="L29" s="83" t="str">
        <x:v>Tabella testuale/PDF</x:v>
      </x:c>
      <x:c r="M29" s="83" t="str">
        <x:v>Basso</x:v>
      </x:c>
      <x:c r="N29" s="83" t="str">
        <x:v>Da verificare in Fase 3</x:v>
      </x:c>
    </x:row>
    <x:row r="30">
      <x:c r="A30" s="83" t="str">
        <x:v>S08-TAB-15-112</x:v>
      </x:c>
      <x:c r="B30" s="83" t="str">
        <x:v>S08</x:v>
      </x:c>
      <x:c r="C30" s="83" t="str">
        <x:v>Piano Nazionale Integrato per l'Energia e il Clima</x:v>
      </x:c>
      <x:c r="D30" s="83" t="str">
        <x:v>Tabella</x:v>
      </x:c>
      <x:c r="E30" s="83" t="str">
        <x:v>15</x:v>
      </x:c>
      <x:c r="F30" s="83" t="n">
        <x:v>112</x:v>
      </x:c>
      <x:c r="G30" s="83" t="n">
        <x:v>111</x:v>
      </x:c>
      <x:c r="H30" s="83" t="str">
        <x:v>2. Obiettivi e traguardi</x:v>
      </x:c>
      <x:c r="I30" s="83" t="str">
        <x:v>Tabella 15 - Contributo delle FER nel settore trasporti previsto al 2030, secondo i criteri di calcolo definiti</x:v>
      </x:c>
      <x:c r="J30" s="83" t="str">
        <x:v>Capacità e generazione</x:v>
      </x:c>
      <x:c r="K30" s="83" t="str">
        <x:v>P2 - contesto/validazione</x:v>
      </x:c>
      <x:c r="L30" s="83" t="str">
        <x:v>Tabella testuale/PDF</x:v>
      </x:c>
      <x:c r="M30" s="83" t="str">
        <x:v>Basso</x:v>
      </x:c>
      <x:c r="N30" s="83" t="str">
        <x:v>Da verificare in Fase 3</x:v>
      </x:c>
    </x:row>
    <x:row r="31">
      <x:c r="A31" s="83" t="str">
        <x:v>S08-FIG-16-112</x:v>
      </x:c>
      <x:c r="B31" s="83" t="str">
        <x:v>S08</x:v>
      </x:c>
      <x:c r="C31" s="83" t="str">
        <x:v>Piano Nazionale Integrato per l'Energia e il Clima</x:v>
      </x:c>
      <x:c r="D31" s="83" t="str">
        <x:v>Figura</x:v>
      </x:c>
      <x:c r="E31" s="83" t="str">
        <x:v>16</x:v>
      </x:c>
      <x:c r="F31" s="83" t="n">
        <x:v>112</x:v>
      </x:c>
      <x:c r="G31" s="83" t="n">
        <x:v>111</x:v>
      </x:c>
      <x:c r="H31" s="83" t="str">
        <x:v>2. Obiettivi e traguardi</x:v>
      </x:c>
      <x:c r="I31" s="83" t="str">
        <x:v>Figura 16 - Traiettorie di evoluzione dei biocarburanti nel settore dei trasporti [Fonte: GSE, RSE]</x:v>
      </x:c>
      <x:c r="J31" s="83" t="str">
        <x:v>Contesto / metodologia</x:v>
      </x:c>
      <x:c r="K31" s="83" t="str">
        <x:v>P2 - contesto/validazione</x:v>
      </x:c>
      <x:c r="L31" s="83" t="str">
        <x:v>Figura o mappa; lettura etichette / eventuale digitalizzazione</x:v>
      </x:c>
      <x:c r="M31" s="83" t="str">
        <x:v>Medio</x:v>
      </x:c>
      <x:c r="N31" s="83" t="str">
        <x:v>Da verificare in Fase 3</x:v>
      </x:c>
    </x:row>
    <x:row r="32">
      <x:c r="A32" s="83" t="str">
        <x:v>S08-FIG-17-113</x:v>
      </x:c>
      <x:c r="B32" s="83" t="str">
        <x:v>S08</x:v>
      </x:c>
      <x:c r="C32" s="83" t="str">
        <x:v>Piano Nazionale Integrato per l'Energia e il Clima</x:v>
      </x:c>
      <x:c r="D32" s="83" t="str">
        <x:v>Figura</x:v>
      </x:c>
      <x:c r="E32" s="83" t="str">
        <x:v>17</x:v>
      </x:c>
      <x:c r="F32" s="83" t="n">
        <x:v>113</x:v>
      </x:c>
      <x:c r="G32" s="83" t="n">
        <x:v>112</x:v>
      </x:c>
      <x:c r="H32" s="83" t="str">
        <x:v>2. Obiettivi e traguardi</x:v>
      </x:c>
      <x:c r="I32" s="83" t="str">
        <x:v>Figura 17 - Traiettorie di evoluzione dei consumi di RFNBO e della quota FER dell’energia elettrica nel</x:v>
      </x:c>
      <x:c r="J32" s="83" t="str">
        <x:v>Capacità e generazione</x:v>
      </x:c>
      <x:c r="K32" s="83" t="str">
        <x:v>P2 - contesto/validazione</x:v>
      </x:c>
      <x:c r="L32" s="83" t="str">
        <x:v>Figura o mappa; lettura etichette / eventuale digitalizzazione</x:v>
      </x:c>
      <x:c r="M32" s="83" t="str">
        <x:v>Medio</x:v>
      </x:c>
      <x:c r="N32" s="83" t="str">
        <x:v>Da verificare in Fase 3</x:v>
      </x:c>
    </x:row>
    <x:row r="33">
      <x:c r="A33" s="83" t="str">
        <x:v>S08-TAB-16-114</x:v>
      </x:c>
      <x:c r="B33" s="83" t="str">
        <x:v>S08</x:v>
      </x:c>
      <x:c r="C33" s="83" t="str">
        <x:v>Piano Nazionale Integrato per l'Energia e il Clima</x:v>
      </x:c>
      <x:c r="D33" s="83" t="str">
        <x:v>Tabella</x:v>
      </x:c>
      <x:c r="E33" s="83" t="str">
        <x:v>16</x:v>
      </x:c>
      <x:c r="F33" s="83" t="n">
        <x:v>114</x:v>
      </x:c>
      <x:c r="G33" s="83" t="n">
        <x:v>113</x:v>
      </x:c>
      <x:c r="H33" s="83" t="str">
        <x:v>2. Obiettivi e traguardi</x:v>
      </x:c>
      <x:c r="I33" s="83" t="str">
        <x:v>Tabella 16 - Stima degli obiettivi di consumo di idrogeno al 2030</x:v>
      </x:c>
      <x:c r="J33" s="83" t="str">
        <x:v>Scenario e metodologia</x:v>
      </x:c>
      <x:c r="K33" s="83" t="str">
        <x:v>P2 - contesto/validazione</x:v>
      </x:c>
      <x:c r="L33" s="83" t="str">
        <x:v>Tabella testuale/PDF</x:v>
      </x:c>
      <x:c r="M33" s="83" t="str">
        <x:v>Basso</x:v>
      </x:c>
      <x:c r="N33" s="83" t="str">
        <x:v>Da verificare in Fase 3</x:v>
      </x:c>
    </x:row>
    <x:row r="34">
      <x:c r="A34" s="83" t="str">
        <x:v>S08-FIG-19-118</x:v>
      </x:c>
      <x:c r="B34" s="83" t="str">
        <x:v>S08</x:v>
      </x:c>
      <x:c r="C34" s="83" t="str">
        <x:v>Piano Nazionale Integrato per l'Energia e il Clima</x:v>
      </x:c>
      <x:c r="D34" s="83" t="str">
        <x:v>Figura</x:v>
      </x:c>
      <x:c r="E34" s="83" t="str">
        <x:v>19</x:v>
      </x:c>
      <x:c r="F34" s="83" t="n">
        <x:v>118</x:v>
      </x:c>
      <x:c r="G34" s="83" t="n">
        <x:v>117</x:v>
      </x:c>
      <x:c r="H34" s="83" t="str">
        <x:v>2. Obiettivi e traguardi</x:v>
      </x:c>
      <x:c r="I34" s="83" t="str">
        <x:v>Figura 19 - Traiettoria dei consumi di energia primaria e finale (Mtep) nel periodo 2010-2030</x:v>
      </x:c>
      <x:c r="J34" s="83" t="str">
        <x:v>Scenario e metodologia</x:v>
      </x:c>
      <x:c r="K34" s="83" t="str">
        <x:v>P2 - contesto/validazione</x:v>
      </x:c>
      <x:c r="L34" s="83" t="str">
        <x:v>Figura o mappa; lettura etichette / eventuale digitalizzazione</x:v>
      </x:c>
      <x:c r="M34" s="83" t="str">
        <x:v>Medio</x:v>
      </x:c>
      <x:c r="N34" s="83" t="str">
        <x:v>Da verificare in Fase 3</x:v>
      </x:c>
    </x:row>
    <x:row r="35">
      <x:c r="A35" s="83" t="str">
        <x:v>S08-FIG-20-119</x:v>
      </x:c>
      <x:c r="B35" s="83" t="str">
        <x:v>S08</x:v>
      </x:c>
      <x:c r="C35" s="83" t="str">
        <x:v>Piano Nazionale Integrato per l'Energia e il Clima</x:v>
      </x:c>
      <x:c r="D35" s="83" t="str">
        <x:v>Figura</x:v>
      </x:c>
      <x:c r="E35" s="83" t="str">
        <x:v>20</x:v>
      </x:c>
      <x:c r="F35" s="83" t="n">
        <x:v>119</x:v>
      </x:c>
      <x:c r="G35" s="83" t="n">
        <x:v>118</x:v>
      </x:c>
      <x:c r="H35" s="83" t="str">
        <x:v>2. Obiettivi e traguardi</x:v>
      </x:c>
      <x:c r="I35" s="83" t="str">
        <x:v>Figura 20 - Obiettivo di risparmio energetico da misure efficienza energetica a confronto 2021-2030 (art.8</x:v>
      </x:c>
      <x:c r="J35" s="83" t="str">
        <x:v>Contesto / metodologia</x:v>
      </x:c>
      <x:c r="K35" s="83" t="str">
        <x:v>P1 - input diretto/parametro</x:v>
      </x:c>
      <x:c r="L35" s="83" t="str">
        <x:v>Figura o mappa; lettura etichette / eventuale digitalizzazione</x:v>
      </x:c>
      <x:c r="M35" s="83" t="str">
        <x:v>Medio</x:v>
      </x:c>
      <x:c r="N35" s="83" t="str">
        <x:v>Da verificare in Fase 3</x:v>
      </x:c>
    </x:row>
    <x:row r="36">
      <x:c r="A36" s="83" t="str">
        <x:v>S08-FIG-24-135</x:v>
      </x:c>
      <x:c r="B36" s="83" t="str">
        <x:v>S08</x:v>
      </x:c>
      <x:c r="C36" s="83" t="str">
        <x:v>Piano Nazionale Integrato per l'Energia e il Clima</x:v>
      </x:c>
      <x:c r="D36" s="83" t="str">
        <x:v>Figura</x:v>
      </x:c>
      <x:c r="E36" s="83" t="str">
        <x:v>24</x:v>
      </x:c>
      <x:c r="F36" s="83" t="n">
        <x:v>135</x:v>
      </x:c>
      <x:c r="G36" s="83" t="n">
        <x:v>134</x:v>
      </x:c>
      <x:c r="H36" s="83" t="str">
        <x:v>2. Obiettivi e traguardi</x:v>
      </x:c>
      <x:c r="I36" s="83" t="str">
        <x:v>Figura 24 - Distribuzione percentuale degli APE afferenti alla proprietà pubblica emessi tra il 2015 e il 2022</x:v>
      </x:c>
      <x:c r="J36" s="83" t="str">
        <x:v>Capacità e generazione</x:v>
      </x:c>
      <x:c r="K36" s="83" t="str">
        <x:v>P2 - contesto/validazione</x:v>
      </x:c>
      <x:c r="L36" s="83" t="str">
        <x:v>Figura o mappa; lettura etichette / eventuale digitalizzazione</x:v>
      </x:c>
      <x:c r="M36" s="83" t="str">
        <x:v>Medio</x:v>
      </x:c>
      <x:c r="N36" s="83" t="str">
        <x:v>Da verificare in Fase 3</x:v>
      </x:c>
    </x:row>
    <x:row r="37">
      <x:c r="A37" s="83" t="str">
        <x:v>S08-FIG-25-135</x:v>
      </x:c>
      <x:c r="B37" s="83" t="str">
        <x:v>S08</x:v>
      </x:c>
      <x:c r="C37" s="83" t="str">
        <x:v>Piano Nazionale Integrato per l'Energia e il Clima</x:v>
      </x:c>
      <x:c r="D37" s="83" t="str">
        <x:v>Figura</x:v>
      </x:c>
      <x:c r="E37" s="83" t="str">
        <x:v>25</x:v>
      </x:c>
      <x:c r="F37" s="83" t="n">
        <x:v>135</x:v>
      </x:c>
      <x:c r="G37" s="83" t="n">
        <x:v>134</x:v>
      </x:c>
      <x:c r="H37" s="83" t="str">
        <x:v>2. Obiettivi e traguardi</x:v>
      </x:c>
      <x:c r="I37" s="83" t="str">
        <x:v>Figura 25 - Distribuzione degli APE afferenti alla proprietà pubblica per (a) zona climatica, (b) motivazione e</x:v>
      </x:c>
      <x:c r="J37" s="83" t="str">
        <x:v>Capacità e generazione</x:v>
      </x:c>
      <x:c r="K37" s="83" t="str">
        <x:v>P2 - contesto/validazione</x:v>
      </x:c>
      <x:c r="L37" s="83" t="str">
        <x:v>Figura o mappa; lettura etichette / eventuale digitalizzazione</x:v>
      </x:c>
      <x:c r="M37" s="83" t="str">
        <x:v>Medio</x:v>
      </x:c>
      <x:c r="N37" s="83" t="str">
        <x:v>Da verificare in Fase 3</x:v>
      </x:c>
    </x:row>
    <x:row r="38">
      <x:c r="A38" s="83" t="str">
        <x:v>S08-FIG-29-145</x:v>
      </x:c>
      <x:c r="B38" s="83" t="str">
        <x:v>S08</x:v>
      </x:c>
      <x:c r="C38" s="83" t="str">
        <x:v>Piano Nazionale Integrato per l'Energia e il Clima</x:v>
      </x:c>
      <x:c r="D38" s="83" t="str">
        <x:v>Figura</x:v>
      </x:c>
      <x:c r="E38" s="83" t="str">
        <x:v>29</x:v>
      </x:c>
      <x:c r="F38" s="83" t="n">
        <x:v>145</x:v>
      </x:c>
      <x:c r="G38" s="83" t="n">
        <x:v>144</x:v>
      </x:c>
      <x:c r="H38" s="83" t="str">
        <x:v>2. Obiettivi e traguardi</x:v>
      </x:c>
      <x:c r="I38" s="83" t="str">
        <x:v>Figura 29 - Scostamento dei consumi mensili di gas e elettricità dell’area euro rispetto alla media degli</x:v>
      </x:c>
      <x:c r="J38" s="83" t="str">
        <x:v>Contesto / metodologia</x:v>
      </x:c>
      <x:c r="K38" s="83" t="str">
        <x:v>P2 - contesto/validazione</x:v>
      </x:c>
      <x:c r="L38" s="83" t="str">
        <x:v>Figura o mappa; lettura etichette / eventuale digitalizzazione</x:v>
      </x:c>
      <x:c r="M38" s="83" t="str">
        <x:v>Medio</x:v>
      </x:c>
      <x:c r="N38" s="83" t="str">
        <x:v>Da verificare in Fase 3</x:v>
      </x:c>
    </x:row>
    <x:row r="39">
      <x:c r="A39" s="83" t="str">
        <x:v>S08-FIG-30-146</x:v>
      </x:c>
      <x:c r="B39" s="83" t="str">
        <x:v>S08</x:v>
      </x:c>
      <x:c r="C39" s="83" t="str">
        <x:v>Piano Nazionale Integrato per l'Energia e il Clima</x:v>
      </x:c>
      <x:c r="D39" s="83" t="str">
        <x:v>Figura</x:v>
      </x:c>
      <x:c r="E39" s="83" t="str">
        <x:v>30</x:v>
      </x:c>
      <x:c r="F39" s="83" t="n">
        <x:v>146</x:v>
      </x:c>
      <x:c r="G39" s="83" t="n">
        <x:v>145</x:v>
      </x:c>
      <x:c r="H39" s="83" t="str">
        <x:v>2. Obiettivi e traguardi</x:v>
      </x:c>
      <x:c r="I39" s="83" t="str">
        <x:v>Figura 30 - Scostamento dei consumi mensili di gas e elettricità italiani rispetto alla media degli ultimi 5 anni</x:v>
      </x:c>
      <x:c r="J39" s="83" t="str">
        <x:v>Contesto / metodologia</x:v>
      </x:c>
      <x:c r="K39" s="83" t="str">
        <x:v>P2 - contesto/validazione</x:v>
      </x:c>
      <x:c r="L39" s="83" t="str">
        <x:v>Figura o mappa; lettura etichette / eventuale digitalizzazione</x:v>
      </x:c>
      <x:c r="M39" s="83" t="str">
        <x:v>Medio</x:v>
      </x:c>
      <x:c r="N39" s="83" t="str">
        <x:v>Da verificare in Fase 3</x:v>
      </x:c>
    </x:row>
    <x:row r="40">
      <x:c r="A40" s="83" t="str">
        <x:v>S08-TAB-32-148</x:v>
      </x:c>
      <x:c r="B40" s="83" t="str">
        <x:v>S08</x:v>
      </x:c>
      <x:c r="C40" s="83" t="str">
        <x:v>Piano Nazionale Integrato per l'Energia e il Clima</x:v>
      </x:c>
      <x:c r="D40" s="83" t="str">
        <x:v>Tabella</x:v>
      </x:c>
      <x:c r="E40" s="83" t="str">
        <x:v>32</x:v>
      </x:c>
      <x:c r="F40" s="83" t="n">
        <x:v>148</x:v>
      </x:c>
      <x:c r="G40" s="83" t="n">
        <x:v>147</x:v>
      </x:c>
      <x:c r="H40" s="83" t="str">
        <x:v>2. Obiettivi e traguardi</x:v>
      </x:c>
      <x:c r="I40" s="83" t="str">
        <x:v>Tabella 32 - Consumi dei principali comparti industriali direttamente interconnessi alla rete Snam Rete Gas</x:v>
      </x:c>
      <x:c r="J40" s="83" t="str">
        <x:v>Trasmissione e interconnessioni</x:v>
      </x:c>
      <x:c r="K40" s="83" t="str">
        <x:v>P2 - contesto/validazione</x:v>
      </x:c>
      <x:c r="L40" s="83" t="str">
        <x:v>Tabella testuale/PDF</x:v>
      </x:c>
      <x:c r="M40" s="83" t="str">
        <x:v>Basso</x:v>
      </x:c>
      <x:c r="N40" s="83" t="str">
        <x:v>Da verificare in Fase 3</x:v>
      </x:c>
    </x:row>
    <x:row r="41">
      <x:c r="A41" s="83" t="str">
        <x:v>S08-TAB-33-149</x:v>
      </x:c>
      <x:c r="B41" s="83" t="str">
        <x:v>S08</x:v>
      </x:c>
      <x:c r="C41" s="83" t="str">
        <x:v>Piano Nazionale Integrato per l'Energia e il Clima</x:v>
      </x:c>
      <x:c r="D41" s="83" t="str">
        <x:v>Tabella</x:v>
      </x:c>
      <x:c r="E41" s="83" t="str">
        <x:v>33</x:v>
      </x:c>
      <x:c r="F41" s="83" t="n">
        <x:v>149</x:v>
      </x:c>
      <x:c r="G41" s="83" t="n">
        <x:v>148</x:v>
      </x:c>
      <x:c r="H41" s="83" t="str">
        <x:v>2. Obiettivi e traguardi</x:v>
      </x:c>
      <x:c r="I41" s="83" t="str">
        <x:v>Tabella 33 - Consumi di gas per i trasporti</x:v>
      </x:c>
      <x:c r="J41" s="83" t="str">
        <x:v>Contesto / metodologia</x:v>
      </x:c>
      <x:c r="K41" s="83" t="str">
        <x:v>P2 - contesto/validazione</x:v>
      </x:c>
      <x:c r="L41" s="83" t="str">
        <x:v>Tabella testuale/PDF</x:v>
      </x:c>
      <x:c r="M41" s="83" t="str">
        <x:v>Basso</x:v>
      </x:c>
      <x:c r="N41" s="83" t="str">
        <x:v>Da verificare in Fase 3</x:v>
      </x:c>
    </x:row>
    <x:row r="42">
      <x:c r="A42" s="83" t="str">
        <x:v>S08-TAB-35-154</x:v>
      </x:c>
      <x:c r="B42" s="83" t="str">
        <x:v>S08</x:v>
      </x:c>
      <x:c r="C42" s="83" t="str">
        <x:v>Piano Nazionale Integrato per l'Energia e il Clima</x:v>
      </x:c>
      <x:c r="D42" s="83" t="str">
        <x:v>Tabella</x:v>
      </x:c>
      <x:c r="E42" s="83" t="str">
        <x:v>35</x:v>
      </x:c>
      <x:c r="F42" s="83" t="n">
        <x:v>154</x:v>
      </x:c>
      <x:c r="G42" s="83" t="n">
        <x:v>153</x:v>
      </x:c>
      <x:c r="H42" s="83" t="str">
        <x:v>2. Obiettivi e traguardi</x:v>
      </x:c>
      <x:c r="I42" s="83" t="str">
        <x:v>Tabella 35 - Dati di import e export dai vari Paesi con cui l’Italia è interconnessa</x:v>
      </x:c>
      <x:c r="J42" s="83" t="str">
        <x:v>Trasmissione e interconnessioni</x:v>
      </x:c>
      <x:c r="K42" s="83" t="str">
        <x:v>P2 - contesto/validazione</x:v>
      </x:c>
      <x:c r="L42" s="83" t="str">
        <x:v>Tabella testuale/PDF</x:v>
      </x:c>
      <x:c r="M42" s="83" t="str">
        <x:v>Basso</x:v>
      </x:c>
      <x:c r="N42" s="83" t="str">
        <x:v>Da verificare in Fase 3</x:v>
      </x:c>
    </x:row>
    <x:row r="43">
      <x:c r="A43" s="83" t="str">
        <x:v>S08-FIG-31-158</x:v>
      </x:c>
      <x:c r="B43" s="83" t="str">
        <x:v>S08</x:v>
      </x:c>
      <x:c r="C43" s="83" t="str">
        <x:v>Piano Nazionale Integrato per l'Energia e il Clima</x:v>
      </x:c>
      <x:c r="D43" s="83" t="str">
        <x:v>Figura</x:v>
      </x:c>
      <x:c r="E43" s="83" t="str">
        <x:v>31</x:v>
      </x:c>
      <x:c r="F43" s="83" t="n">
        <x:v>158</x:v>
      </x:c>
      <x:c r="G43" s="83" t="n">
        <x:v>157</x:v>
      </x:c>
      <x:c r="H43" s="83" t="str">
        <x:v>2. Obiettivi e traguardi</x:v>
      </x:c>
      <x:c r="I43" s="83" t="str">
        <x:v>Figura 31 - Localizzazione accumuli 2019 e 2030 (GW)</x:v>
      </x:c>
      <x:c r="J43" s="83" t="str">
        <x:v>Accumuli e flessibilità</x:v>
      </x:c>
      <x:c r="K43" s="83" t="str">
        <x:v>P1 - input diretto/parametro</x:v>
      </x:c>
      <x:c r="L43" s="83" t="str">
        <x:v>Figura o mappa; lettura etichette / eventuale digitalizzazione</x:v>
      </x:c>
      <x:c r="M43" s="83" t="str">
        <x:v>Medio</x:v>
      </x:c>
      <x:c r="N43" s="83" t="str">
        <x:v>Da verificare in Fase 3</x:v>
      </x:c>
    </x:row>
    <x:row r="44">
      <x:c r="A44" s="83" t="str">
        <x:v>S08-FIG-32-163</x:v>
      </x:c>
      <x:c r="B44" s="83" t="str">
        <x:v>S08</x:v>
      </x:c>
      <x:c r="C44" s="83" t="str">
        <x:v>Piano Nazionale Integrato per l'Energia e il Clima</x:v>
      </x:c>
      <x:c r="D44" s="83" t="str">
        <x:v>Figura</x:v>
      </x:c>
      <x:c r="E44" s="83" t="str">
        <x:v>32</x:v>
      </x:c>
      <x:c r="F44" s="83" t="n">
        <x:v>163</x:v>
      </x:c>
      <x:c r="G44" s="83" t="n">
        <x:v>162</x:v>
      </x:c>
      <x:c r="H44" s="83" t="str">
        <x:v>2. Obiettivi e traguardi</x:v>
      </x:c>
      <x:c r="I44" s="83" t="str">
        <x:v>Figura 32 Piano di Sviluppo 2023 di Terna: Overview nuovi interventi e incrementi capacità di trasporto</x:v>
      </x:c>
      <x:c r="J44" s="83" t="str">
        <x:v>Trasmissione e interconnessioni</x:v>
      </x:c>
      <x:c r="K44" s="83" t="str">
        <x:v>P1 - input diretto/parametro</x:v>
      </x:c>
      <x:c r="L44" s="83" t="str">
        <x:v>Figura o mappa; lettura etichette / eventuale digitalizzazione</x:v>
      </x:c>
      <x:c r="M44" s="83" t="str">
        <x:v>Medio</x:v>
      </x:c>
      <x:c r="N44" s="83" t="str">
        <x:v>Da verificare in Fase 3</x:v>
      </x:c>
    </x:row>
    <x:row r="45">
      <x:c r="A45" s="83" t="str">
        <x:v>S08-TAB-36-199</x:v>
      </x:c>
      <x:c r="B45" s="83" t="str">
        <x:v>S08</x:v>
      </x:c>
      <x:c r="C45" s="83" t="str">
        <x:v>Piano Nazionale Integrato per l'Energia e il Clima</x:v>
      </x:c>
      <x:c r="D45" s="83" t="str">
        <x:v>Tabella</x:v>
      </x:c>
      <x:c r="E45" s="83" t="str">
        <x:v>36</x:v>
      </x:c>
      <x:c r="F45" s="83" t="n">
        <x:v>199</x:v>
      </x:c>
      <x:c r="G45" s="83" t="n">
        <x:v>198</x:v>
      </x:c>
      <x:c r="H45" s="83" t="str">
        <x:v>3. Politiche e misure</x:v>
      </x:c>
      <x:c r="I45" s="83" t="str">
        <x:v>Tabella 36 - Emissioni di gas serra delle categorie del settore rifiuti, anni 1990-2022</x:v>
      </x:c>
      <x:c r="J45" s="83" t="str">
        <x:v>Emissioni e ambiente</x:v>
      </x:c>
      <x:c r="K45" s="83" t="str">
        <x:v>P2 - contesto/validazione</x:v>
      </x:c>
      <x:c r="L45" s="83" t="str">
        <x:v>Tabella testuale/PDF</x:v>
      </x:c>
      <x:c r="M45" s="83" t="str">
        <x:v>Basso</x:v>
      </x:c>
      <x:c r="N45" s="83" t="str">
        <x:v>Da verificare in Fase 3</x:v>
      </x:c>
    </x:row>
    <x:row r="46">
      <x:c r="A46" s="83" t="str">
        <x:v>S08-FIG-34-200</x:v>
      </x:c>
      <x:c r="B46" s="83" t="str">
        <x:v>S08</x:v>
      </x:c>
      <x:c r="C46" s="83" t="str">
        <x:v>Piano Nazionale Integrato per l'Energia e il Clima</x:v>
      </x:c>
      <x:c r="D46" s="83" t="str">
        <x:v>Figura</x:v>
      </x:c>
      <x:c r="E46" s="83" t="str">
        <x:v>34</x:v>
      </x:c>
      <x:c r="F46" s="83" t="n">
        <x:v>200</x:v>
      </x:c>
      <x:c r="G46" s="83" t="n">
        <x:v>199</x:v>
      </x:c>
      <x:c r="H46" s="83" t="str">
        <x:v>3. Politiche e misure</x:v>
      </x:c>
      <x:c r="I46" s="83" t="str">
        <x:v>Figura 34 - Andamento della raccolta differenziata della FORSU in Italia</x:v>
      </x:c>
      <x:c r="J46" s="83" t="str">
        <x:v>Capacità e generazione</x:v>
      </x:c>
      <x:c r="K46" s="83" t="str">
        <x:v>P2 - contesto/validazione</x:v>
      </x:c>
      <x:c r="L46" s="83" t="str">
        <x:v>Figura o mappa; lettura etichette / eventuale digitalizzazione</x:v>
      </x:c>
      <x:c r="M46" s="83" t="str">
        <x:v>Medio</x:v>
      </x:c>
      <x:c r="N46" s="83" t="str">
        <x:v>Da verificare in Fase 3</x:v>
      </x:c>
    </x:row>
    <x:row r="47">
      <x:c r="A47" s="83" t="str">
        <x:v>S08-FIG-35-209</x:v>
      </x:c>
      <x:c r="B47" s="83" t="str">
        <x:v>S08</x:v>
      </x:c>
      <x:c r="C47" s="83" t="str">
        <x:v>Piano Nazionale Integrato per l'Energia e il Clima</x:v>
      </x:c>
      <x:c r="D47" s="83" t="str">
        <x:v>Figura</x:v>
      </x:c>
      <x:c r="E47" s="83" t="str">
        <x:v>35</x:v>
      </x:c>
      <x:c r="F47" s="83" t="n">
        <x:v>209</x:v>
      </x:c>
      <x:c r="G47" s="83" t="n">
        <x:v>208</x:v>
      </x:c>
      <x:c r="H47" s="83" t="str">
        <x:v>3. Politiche e misure</x:v>
      </x:c>
      <x:c r="I47" s="83" t="str">
        <x:v>Figura 35- Emissioni di CH4 (kt CO2 eq.) nelle sorgenti della filiera del gas naturale, gas immesso in rete</x:v>
      </x:c>
      <x:c r="J47" s="83" t="str">
        <x:v>Mercato e prezzi; Emissioni e ambiente</x:v>
      </x:c>
      <x:c r="K47" s="83" t="str">
        <x:v>P1 - input diretto/parametro</x:v>
      </x:c>
      <x:c r="L47" s="83" t="str">
        <x:v>Figura o mappa; lettura etichette / eventuale digitalizzazione</x:v>
      </x:c>
      <x:c r="M47" s="83" t="str">
        <x:v>Medio</x:v>
      </x:c>
      <x:c r="N47" s="83" t="str">
        <x:v>Da verificare in Fase 3</x:v>
      </x:c>
    </x:row>
    <x:row r="48">
      <x:c r="A48" s="83" t="str">
        <x:v>S08-FIG-36-233</x:v>
      </x:c>
      <x:c r="B48" s="83" t="str">
        <x:v>S08</x:v>
      </x:c>
      <x:c r="C48" s="83" t="str">
        <x:v>Piano Nazionale Integrato per l'Energia e il Clima</x:v>
      </x:c>
      <x:c r="D48" s="83" t="str">
        <x:v>Figura</x:v>
      </x:c>
      <x:c r="E48" s="83" t="str">
        <x:v>36</x:v>
      </x:c>
      <x:c r="F48" s="83" t="n">
        <x:v>233</x:v>
      </x:c>
      <x:c r="G48" s="83" t="n">
        <x:v>232</x:v>
      </x:c>
      <x:c r="H48" s="83" t="str">
        <x:v>3. Politiche e misure</x:v>
      </x:c>
      <x:c r="I48" s="83" t="str">
        <x:v>Figura 36 - Investimenti in impianti a fonti rinnovabili termiche che nel 2022 hanno avuto accesso alle</x:v>
      </x:c>
      <x:c r="J48" s="83" t="str">
        <x:v>Contesto / metodologia</x:v>
      </x:c>
      <x:c r="K48" s="83" t="str">
        <x:v>P2 - contesto/validazione</x:v>
      </x:c>
      <x:c r="L48" s="83" t="str">
        <x:v>Figura o mappa; lettura etichette / eventuale digitalizzazione</x:v>
      </x:c>
      <x:c r="M48" s="83" t="str">
        <x:v>Medio</x:v>
      </x:c>
      <x:c r="N48" s="83" t="str">
        <x:v>Da verificare in Fase 3</x:v>
      </x:c>
    </x:row>
    <x:row r="49">
      <x:c r="A49" s="83" t="str">
        <x:v>S08-FIG-37-233</x:v>
      </x:c>
      <x:c r="B49" s="83" t="str">
        <x:v>S08</x:v>
      </x:c>
      <x:c r="C49" s="83" t="str">
        <x:v>Piano Nazionale Integrato per l'Energia e il Clima</x:v>
      </x:c>
      <x:c r="D49" s="83" t="str">
        <x:v>Figura</x:v>
      </x:c>
      <x:c r="E49" s="83" t="str">
        <x:v>37</x:v>
      </x:c>
      <x:c r="F49" s="83" t="n">
        <x:v>233</x:v>
      </x:c>
      <x:c r="G49" s="83" t="n">
        <x:v>232</x:v>
      </x:c>
      <x:c r="H49" s="83" t="str">
        <x:v>3. Politiche e misure</x:v>
      </x:c>
      <x:c r="I49" s="83" t="str">
        <x:v>Figura 37 - Investimenti in impianti a fonti rinnovabili termiche che al 31 dicembre 2022 hanno avuto</x:v>
      </x:c>
      <x:c r="J49" s="83" t="str">
        <x:v>Contesto / metodologia</x:v>
      </x:c>
      <x:c r="K49" s="83" t="str">
        <x:v>P2 - contesto/validazione</x:v>
      </x:c>
      <x:c r="L49" s="83" t="str">
        <x:v>Figura o mappa; lettura etichette / eventuale digitalizzazione</x:v>
      </x:c>
      <x:c r="M49" s="83" t="str">
        <x:v>Medio</x:v>
      </x:c>
      <x:c r="N49" s="83" t="str">
        <x:v>Da verificare in Fase 3</x:v>
      </x:c>
    </x:row>
    <x:row r="50">
      <x:c r="A50" s="83" t="str">
        <x:v>S08-FIG-38-235</x:v>
      </x:c>
      <x:c r="B50" s="83" t="str">
        <x:v>S08</x:v>
      </x:c>
      <x:c r="C50" s="83" t="str">
        <x:v>Piano Nazionale Integrato per l'Energia e il Clima</x:v>
      </x:c>
      <x:c r="D50" s="83" t="str">
        <x:v>Figura</x:v>
      </x:c>
      <x:c r="E50" s="83" t="str">
        <x:v>38</x:v>
      </x:c>
      <x:c r="F50" s="83" t="n">
        <x:v>235</x:v>
      </x:c>
      <x:c r="G50" s="83" t="n">
        <x:v>234</x:v>
      </x:c>
      <x:c r="H50" s="83" t="str">
        <x:v>3. Politiche e misure</x:v>
      </x:c>
      <x:c r="I50" s="83" t="str">
        <x:v>Figura 38 - Stima degli investimenti in impianti a fonti rinnovabili termiche nel Conto Termico nel 2022</x:v>
      </x:c>
      <x:c r="J50" s="83" t="str">
        <x:v>Contesto / metodologia</x:v>
      </x:c>
      <x:c r="K50" s="83" t="str">
        <x:v>P2 - contesto/validazione</x:v>
      </x:c>
      <x:c r="L50" s="83" t="str">
        <x:v>Figura o mappa; lettura etichette / eventuale digitalizzazione</x:v>
      </x:c>
      <x:c r="M50" s="83" t="str">
        <x:v>Medio</x:v>
      </x:c>
      <x:c r="N50" s="83" t="str">
        <x:v>Da verificare in Fase 3</x:v>
      </x:c>
    </x:row>
    <x:row r="51">
      <x:c r="A51" s="83" t="str">
        <x:v>S08-TAB-39-253</x:v>
      </x:c>
      <x:c r="B51" s="83" t="str">
        <x:v>S08</x:v>
      </x:c>
      <x:c r="C51" s="83" t="str">
        <x:v>Piano Nazionale Integrato per l'Energia e il Clima</x:v>
      </x:c>
      <x:c r="D51" s="83" t="str">
        <x:v>Tabella</x:v>
      </x:c>
      <x:c r="E51" s="83" t="str">
        <x:v>39</x:v>
      </x:c>
      <x:c r="F51" s="83" t="n">
        <x:v>253</x:v>
      </x:c>
      <x:c r="G51" s="83" t="n">
        <x:v>252</x:v>
      </x:c>
      <x:c r="H51" s="83" t="str">
        <x:v>3. Politiche e misure</x:v>
      </x:c>
      <x:c r="I51" s="83" t="str">
        <x:v>Tabella 39 Emissioni centrale termoelettrica Sulcis in ETS 2021-2023 (ktCO2):</x:v>
      </x:c>
      <x:c r="J51" s="83" t="str">
        <x:v>Mercato e prezzi; Emissioni e ambiente</x:v>
      </x:c>
      <x:c r="K51" s="83" t="str">
        <x:v>P1 - input diretto/parametro</x:v>
      </x:c>
      <x:c r="L51" s="83" t="str">
        <x:v>Tabella testuale/PDF</x:v>
      </x:c>
      <x:c r="M51" s="83" t="str">
        <x:v>Basso</x:v>
      </x:c>
      <x:c r="N51" s="83" t="str">
        <x:v>Da verificare in Fase 3</x:v>
      </x:c>
    </x:row>
    <x:row r="52">
      <x:c r="A52" s="83" t="str">
        <x:v>S08-FIG-41-285</x:v>
      </x:c>
      <x:c r="B52" s="83" t="str">
        <x:v>S08</x:v>
      </x:c>
      <x:c r="C52" s="83" t="str">
        <x:v>Piano Nazionale Integrato per l'Energia e il Clima</x:v>
      </x:c>
      <x:c r="D52" s="83" t="str">
        <x:v>Figura</x:v>
      </x:c>
      <x:c r="E52" s="83" t="str">
        <x:v>41</x:v>
      </x:c>
      <x:c r="F52" s="83" t="n">
        <x:v>285</x:v>
      </x:c>
      <x:c r="G52" s="83" t="n">
        <x:v>284</x:v>
      </x:c>
      <x:c r="H52" s="83" t="str">
        <x:v>3. Politiche e misure</x:v>
      </x:c>
      <x:c r="I52" s="83" t="str">
        <x:v>Figura 41 - Risparmi di energia finale previsti per il Conto Termico (Mtep)</x:v>
      </x:c>
      <x:c r="J52" s="83" t="str">
        <x:v>Contesto / metodologia</x:v>
      </x:c>
      <x:c r="K52" s="83" t="str">
        <x:v>P2 - contesto/validazione</x:v>
      </x:c>
      <x:c r="L52" s="83" t="str">
        <x:v>Figura o mappa; lettura etichette / eventuale digitalizzazione</x:v>
      </x:c>
      <x:c r="M52" s="83" t="str">
        <x:v>Medio</x:v>
      </x:c>
      <x:c r="N52" s="83" t="str">
        <x:v>Da verificare in Fase 3</x:v>
      </x:c>
    </x:row>
    <x:row r="53">
      <x:c r="A53" s="83" t="str">
        <x:v>S08-FIG-42-286</x:v>
      </x:c>
      <x:c r="B53" s="83" t="str">
        <x:v>S08</x:v>
      </x:c>
      <x:c r="C53" s="83" t="str">
        <x:v>Piano Nazionale Integrato per l'Energia e il Clima</x:v>
      </x:c>
      <x:c r="D53" s="83" t="str">
        <x:v>Figura</x:v>
      </x:c>
      <x:c r="E53" s="83" t="str">
        <x:v>42</x:v>
      </x:c>
      <x:c r="F53" s="83" t="n">
        <x:v>286</x:v>
      </x:c>
      <x:c r="G53" s="83" t="n">
        <x:v>285</x:v>
      </x:c>
      <x:c r="H53" s="83" t="str">
        <x:v>3. Politiche e misure</x:v>
      </x:c>
      <x:c r="I53" s="83" t="str">
        <x:v>Figura 42 - Risparmi di energia finale previsti per il Fondo Nazionale per l’Efficienza Energetica (Mtep)</x:v>
      </x:c>
      <x:c r="J53" s="83" t="str">
        <x:v>Contesto / metodologia</x:v>
      </x:c>
      <x:c r="K53" s="83" t="str">
        <x:v>P1 - input diretto/parametro</x:v>
      </x:c>
      <x:c r="L53" s="83" t="str">
        <x:v>Figura o mappa; lettura etichette / eventuale digitalizzazione</x:v>
      </x:c>
      <x:c r="M53" s="83" t="str">
        <x:v>Medio</x:v>
      </x:c>
      <x:c r="N53" s="83" t="str">
        <x:v>Da verificare in Fase 3</x:v>
      </x:c>
    </x:row>
    <x:row r="54">
      <x:c r="A54" s="83" t="str">
        <x:v>S08-FIG-53-300</x:v>
      </x:c>
      <x:c r="B54" s="83" t="str">
        <x:v>S08</x:v>
      </x:c>
      <x:c r="C54" s="83" t="str">
        <x:v>Piano Nazionale Integrato per l'Energia e il Clima</x:v>
      </x:c>
      <x:c r="D54" s="83" t="str">
        <x:v>Figura</x:v>
      </x:c>
      <x:c r="E54" s="83" t="str">
        <x:v>53</x:v>
      </x:c>
      <x:c r="F54" s="83" t="n">
        <x:v>300</x:v>
      </x:c>
      <x:c r="G54" s="83" t="n">
        <x:v>299</x:v>
      </x:c>
      <x:c r="H54" s="83" t="str">
        <x:v>3. Politiche e misure</x:v>
      </x:c>
      <x:c r="I54" s="83" t="str">
        <x:v>Figura 53 - Quadro di sintesi dei risparmi attesi 2021-2030 dalle misure di promozione dell’efficienza</x:v>
      </x:c>
      <x:c r="J54" s="83" t="str">
        <x:v>Contesto / metodologia</x:v>
      </x:c>
      <x:c r="K54" s="83" t="str">
        <x:v>P1 - input diretto/parametro</x:v>
      </x:c>
      <x:c r="L54" s="83" t="str">
        <x:v>Figura o mappa; lettura etichette / eventuale digitalizzazione</x:v>
      </x:c>
      <x:c r="M54" s="83" t="str">
        <x:v>Medio</x:v>
      </x:c>
      <x:c r="N54" s="83" t="str">
        <x:v>Da verificare in Fase 3</x:v>
      </x:c>
    </x:row>
    <x:row r="55">
      <x:c r="A55" s="83" t="str">
        <x:v>S08-TAB-45-325</x:v>
      </x:c>
      <x:c r="B55" s="83" t="str">
        <x:v>S08</x:v>
      </x:c>
      <x:c r="C55" s="83" t="str">
        <x:v>Piano Nazionale Integrato per l'Energia e il Clima</x:v>
      </x:c>
      <x:c r="D55" s="83" t="str">
        <x:v>Tabella</x:v>
      </x:c>
      <x:c r="E55" s="83" t="str">
        <x:v>45</x:v>
      </x:c>
      <x:c r="F55" s="83" t="n">
        <x:v>325</x:v>
      </x:c>
      <x:c r="G55" s="83" t="n">
        <x:v>324</x:v>
      </x:c>
      <x:c r="H55" s="83" t="str">
        <x:v>3. Politiche e misure</x:v>
      </x:c>
      <x:c r="I55" s="83" t="str">
        <x:v>Tabella 45 - Progetti di interconnessione Pianificati nel PdS23 ed Iniziative Merchat Lines (TYNDP24)</x:v>
      </x:c>
      <x:c r="J55" s="83" t="str">
        <x:v>Trasmissione e interconnessioni</x:v>
      </x:c>
      <x:c r="K55" s="83" t="str">
        <x:v>P2 - contesto/validazione</x:v>
      </x:c>
      <x:c r="L55" s="83" t="str">
        <x:v>Tabella testuale/PDF</x:v>
      </x:c>
      <x:c r="M55" s="83" t="str">
        <x:v>Basso</x:v>
      </x:c>
      <x:c r="N55" s="83" t="str">
        <x:v>Da verificare in Fase 3</x:v>
      </x:c>
    </x:row>
    <x:row r="56">
      <x:c r="A56" s="83" t="str">
        <x:v>S08-TAB-53-366</x:v>
      </x:c>
      <x:c r="B56" s="83" t="str">
        <x:v>S08</x:v>
      </x:c>
      <x:c r="C56" s="83" t="str">
        <x:v>Piano Nazionale Integrato per l'Energia e il Clima</x:v>
      </x:c>
      <x:c r="D56" s="83" t="str">
        <x:v>Tabella</x:v>
      </x:c>
      <x:c r="E56" s="83" t="str">
        <x:v>53</x:v>
      </x:c>
      <x:c r="F56" s="83" t="n">
        <x:v>366</x:v>
      </x:c>
      <x:c r="G56" s="83" t="n">
        <x:v>365</x:v>
      </x:c>
      <x:c r="H56" s="83" t="str">
        <x:v>4. Situazione attuale e proiezioni</x:v>
      </x:c>
      <x:c r="I56" s="83" t="str">
        <x:v>Tabella 53 - Evoluzione dei prezzi internazionali delle commodity energetiche e delle quote di emissione ETS</x:v>
      </x:c>
      <x:c r="J56" s="83" t="str">
        <x:v>Mercato e prezzi; Emissioni e ambiente</x:v>
      </x:c>
      <x:c r="K56" s="83" t="str">
        <x:v>P2 - contesto/validazione</x:v>
      </x:c>
      <x:c r="L56" s="83" t="str">
        <x:v>Tabella testuale/PDF</x:v>
      </x:c>
      <x:c r="M56" s="83" t="str">
        <x:v>Basso</x:v>
      </x:c>
      <x:c r="N56" s="83" t="str">
        <x:v>Da verificare in Fase 3</x:v>
      </x:c>
    </x:row>
    <x:row r="57">
      <x:c r="A57" s="83" t="str">
        <x:v>S08-TAB-54-367</x:v>
      </x:c>
      <x:c r="B57" s="83" t="str">
        <x:v>S08</x:v>
      </x:c>
      <x:c r="C57" s="83" t="str">
        <x:v>Piano Nazionale Integrato per l'Energia e il Clima</x:v>
      </x:c>
      <x:c r="D57" s="83" t="str">
        <x:v>Tabella</x:v>
      </x:c>
      <x:c r="E57" s="83" t="str">
        <x:v>54</x:v>
      </x:c>
      <x:c r="F57" s="83" t="n">
        <x:v>367</x:v>
      </x:c>
      <x:c r="G57" s="83" t="n">
        <x:v>366</x:v>
      </x:c>
      <x:c r="H57" s="83" t="str">
        <x:v>4. Situazione attuale e proiezioni</x:v>
      </x:c>
      <x:c r="I57" s="83" t="str">
        <x:v>Tabella 54 Evoluzione dei prezzi delle quote di emissione ETS2 [Fonte: Commissione europea ed</x:v>
      </x:c>
      <x:c r="J57" s="83" t="str">
        <x:v>Emissioni e ambiente</x:v>
      </x:c>
      <x:c r="K57" s="83" t="str">
        <x:v>P2 - contesto/validazione</x:v>
      </x:c>
      <x:c r="L57" s="83" t="str">
        <x:v>Tabella testuale/PDF</x:v>
      </x:c>
      <x:c r="M57" s="83" t="str">
        <x:v>Basso</x:v>
      </x:c>
      <x:c r="N57" s="83" t="str">
        <x:v>Da verificare in Fase 3</x:v>
      </x:c>
    </x:row>
    <x:row r="58">
      <x:c r="A58" s="83" t="str">
        <x:v>S08-FIG-56-368</x:v>
      </x:c>
      <x:c r="B58" s="83" t="str">
        <x:v>S08</x:v>
      </x:c>
      <x:c r="C58" s="83" t="str">
        <x:v>Piano Nazionale Integrato per l'Energia e il Clima</x:v>
      </x:c>
      <x:c r="D58" s="83" t="str">
        <x:v>Figura</x:v>
      </x:c>
      <x:c r="E58" s="83" t="str">
        <x:v>56</x:v>
      </x:c>
      <x:c r="F58" s="83" t="n">
        <x:v>368</x:v>
      </x:c>
      <x:c r="G58" s="83" t="n">
        <x:v>367</x:v>
      </x:c>
      <x:c r="H58" s="83" t="str">
        <x:v>4. Situazione attuale e proiezioni</x:v>
      </x:c>
      <x:c r="I58" s="83" t="str">
        <x:v>Figura 56 - Emissioni di gas serra ETS ed ESR (Mt CO2eq), anni storici e scenario di riferimento [Fonte:</x:v>
      </x:c>
      <x:c r="J58" s="83" t="str">
        <x:v>Capacità e generazione; Mercato e prezzi; Emissioni e ambiente</x:v>
      </x:c>
      <x:c r="K58" s="83" t="str">
        <x:v>P1 - input diretto/parametro</x:v>
      </x:c>
      <x:c r="L58" s="83" t="str">
        <x:v>Figura o mappa; lettura etichette / eventuale digitalizzazione</x:v>
      </x:c>
      <x:c r="M58" s="83" t="str">
        <x:v>Medio</x:v>
      </x:c>
      <x:c r="N58" s="83" t="str">
        <x:v>Da verificare in Fase 3</x:v>
      </x:c>
    </x:row>
    <x:row r="59">
      <x:c r="A59" s="83" t="str">
        <x:v>S08-TAB-55-369</x:v>
      </x:c>
      <x:c r="B59" s="83" t="str">
        <x:v>S08</x:v>
      </x:c>
      <x:c r="C59" s="83" t="str">
        <x:v>Piano Nazionale Integrato per l'Energia e il Clima</x:v>
      </x:c>
      <x:c r="D59" s="83" t="str">
        <x:v>Tabella</x:v>
      </x:c>
      <x:c r="E59" s="83" t="str">
        <x:v>55</x:v>
      </x:c>
      <x:c r="F59" s="83" t="n">
        <x:v>369</x:v>
      </x:c>
      <x:c r="G59" s="83" t="n">
        <x:v>368</x:v>
      </x:c>
      <x:c r="H59" s="83" t="str">
        <x:v>4. Situazione attuale e proiezioni</x:v>
      </x:c>
      <x:c r="I59" s="83" t="str">
        <x:v>Tabella 55 - Emissioni nazionali di gas serra e obiettivi europei (Mt CO2eq), storico e scenario di riferimento</x:v>
      </x:c>
      <x:c r="J59" s="83" t="str">
        <x:v>Capacità e generazione; Mercato e prezzi; Emissioni e ambiente</x:v>
      </x:c>
      <x:c r="K59" s="83" t="str">
        <x:v>P1 - input diretto/parametro</x:v>
      </x:c>
      <x:c r="L59" s="83" t="str">
        <x:v>Tabella testuale/PDF</x:v>
      </x:c>
      <x:c r="M59" s="83" t="str">
        <x:v>Basso</x:v>
      </x:c>
      <x:c r="N59" s="83" t="str">
        <x:v>Da verificare in Fase 3</x:v>
      </x:c>
    </x:row>
    <x:row r="60">
      <x:c r="A60" s="83" t="str">
        <x:v>S08-TAB-56-370</x:v>
      </x:c>
      <x:c r="B60" s="83" t="str">
        <x:v>S08</x:v>
      </x:c>
      <x:c r="C60" s="83" t="str">
        <x:v>Piano Nazionale Integrato per l'Energia e il Clima</x:v>
      </x:c>
      <x:c r="D60" s="83" t="str">
        <x:v>Tabella</x:v>
      </x:c>
      <x:c r="E60" s="83" t="str">
        <x:v>56</x:v>
      </x:c>
      <x:c r="F60" s="83" t="n">
        <x:v>370</x:v>
      </x:c>
      <x:c r="G60" s="83" t="n">
        <x:v>369</x:v>
      </x:c>
      <x:c r="H60" s="83" t="str">
        <x:v>4. Situazione attuale e proiezioni</x:v>
      </x:c>
      <x:c r="I60" s="83" t="str">
        <x:v>Tabella 56 - Emissioni nazionali di gas serra LULUCF e obiettivi europei (Mt CO2eq), storico e scenario di</x:v>
      </x:c>
      <x:c r="J60" s="83" t="str">
        <x:v>Mercato e prezzi; Emissioni e ambiente; Scenario e metodologia</x:v>
      </x:c>
      <x:c r="K60" s="83" t="str">
        <x:v>P1 - input diretto/parametro</x:v>
      </x:c>
      <x:c r="L60" s="83" t="str">
        <x:v>Tabella testuale/PDF</x:v>
      </x:c>
      <x:c r="M60" s="83" t="str">
        <x:v>Basso</x:v>
      </x:c>
      <x:c r="N60" s="83" t="str">
        <x:v>Da verificare in Fase 3</x:v>
      </x:c>
    </x:row>
    <x:row r="61">
      <x:c r="A61" s="83" t="str">
        <x:v>S08-TAB-57-370</x:v>
      </x:c>
      <x:c r="B61" s="83" t="str">
        <x:v>S08</x:v>
      </x:c>
      <x:c r="C61" s="83" t="str">
        <x:v>Piano Nazionale Integrato per l'Energia e il Clima</x:v>
      </x:c>
      <x:c r="D61" s="83" t="str">
        <x:v>Tabella</x:v>
      </x:c>
      <x:c r="E61" s="83" t="str">
        <x:v>57</x:v>
      </x:c>
      <x:c r="F61" s="83" t="n">
        <x:v>370</x:v>
      </x:c>
      <x:c r="G61" s="83" t="n">
        <x:v>369</x:v>
      </x:c>
      <x:c r="H61" s="83" t="str">
        <x:v>4. Situazione attuale e proiezioni</x:v>
      </x:c>
      <x:c r="I61" s="83" t="str">
        <x:v>Tabella 57 - La situazione emissiva del settore LULUCF per il 2026-2030 (Mt CO2 eq.) [Fonte: ISPRA]</x:v>
      </x:c>
      <x:c r="J61" s="83" t="str">
        <x:v>Mercato e prezzi; Emissioni e ambiente</x:v>
      </x:c>
      <x:c r="K61" s="83" t="str">
        <x:v>P1 - input diretto/parametro</x:v>
      </x:c>
      <x:c r="L61" s="83" t="str">
        <x:v>Tabella testuale/PDF</x:v>
      </x:c>
      <x:c r="M61" s="83" t="str">
        <x:v>Basso</x:v>
      </x:c>
      <x:c r="N61" s="83" t="str">
        <x:v>Da verificare in Fase 3</x:v>
      </x:c>
    </x:row>
    <x:row r="62">
      <x:c r="A62" s="83" t="str">
        <x:v>S08-TAB-58-371</x:v>
      </x:c>
      <x:c r="B62" s="83" t="str">
        <x:v>S08</x:v>
      </x:c>
      <x:c r="C62" s="83" t="str">
        <x:v>Piano Nazionale Integrato per l'Energia e il Clima</x:v>
      </x:c>
      <x:c r="D62" s="83" t="str">
        <x:v>Tabella</x:v>
      </x:c>
      <x:c r="E62" s="83" t="str">
        <x:v>58</x:v>
      </x:c>
      <x:c r="F62" s="83" t="n">
        <x:v>371</x:v>
      </x:c>
      <x:c r="G62" s="83" t="n">
        <x:v>370</x:v>
      </x:c>
      <x:c r="H62" s="83" t="str">
        <x:v>4. Situazione attuale e proiezioni</x:v>
      </x:c>
      <x:c r="I62" s="83" t="str">
        <x:v>Tabella 58 - Emissioni di gas serra disaggregate per settore (Mt CO2eq), storico e scenario di riferimento</x:v>
      </x:c>
      <x:c r="J62" s="83" t="str">
        <x:v>Capacità e generazione; Mercato e prezzi; Emissioni e ambiente</x:v>
      </x:c>
      <x:c r="K62" s="83" t="str">
        <x:v>P1 - input diretto/parametro</x:v>
      </x:c>
      <x:c r="L62" s="83" t="str">
        <x:v>Tabella testuale/PDF</x:v>
      </x:c>
      <x:c r="M62" s="83" t="str">
        <x:v>Basso</x:v>
      </x:c>
      <x:c r="N62" s="83" t="str">
        <x:v>Da verificare in Fase 3</x:v>
      </x:c>
    </x:row>
    <x:row r="63">
      <x:c r="A63" s="83" t="str">
        <x:v>S08-FIG-57-372</x:v>
      </x:c>
      <x:c r="B63" s="83" t="str">
        <x:v>S08</x:v>
      </x:c>
      <x:c r="C63" s="83" t="str">
        <x:v>Piano Nazionale Integrato per l'Energia e il Clima</x:v>
      </x:c>
      <x:c r="D63" s="83" t="str">
        <x:v>Figura</x:v>
      </x:c>
      <x:c r="E63" s="83" t="str">
        <x:v>57</x:v>
      </x:c>
      <x:c r="F63" s="83" t="n">
        <x:v>372</x:v>
      </x:c>
      <x:c r="G63" s="83" t="n">
        <x:v>371</x:v>
      </x:c>
      <x:c r="H63" s="83" t="str">
        <x:v>4. Situazione attuale e proiezioni</x:v>
      </x:c>
      <x:c r="I63" s="83" t="str">
        <x:v>Figura 57 - Emissioni di gas serra disaggregate per settore (Mt CO2eq), storico e scenario di riferimento</x:v>
      </x:c>
      <x:c r="J63" s="83" t="str">
        <x:v>Capacità e generazione; Mercato e prezzi; Emissioni e ambiente</x:v>
      </x:c>
      <x:c r="K63" s="83" t="str">
        <x:v>P1 - input diretto/parametro</x:v>
      </x:c>
      <x:c r="L63" s="83" t="str">
        <x:v>Figura o mappa; lettura etichette / eventuale digitalizzazione</x:v>
      </x:c>
      <x:c r="M63" s="83" t="str">
        <x:v>Medio</x:v>
      </x:c>
      <x:c r="N63" s="83" t="str">
        <x:v>Da verificare in Fase 3</x:v>
      </x:c>
    </x:row>
    <x:row r="64">
      <x:c r="A64" s="83" t="str">
        <x:v>S08-FIG-58-373</x:v>
      </x:c>
      <x:c r="B64" s="83" t="str">
        <x:v>S08</x:v>
      </x:c>
      <x:c r="C64" s="83" t="str">
        <x:v>Piano Nazionale Integrato per l'Energia e il Clima</x:v>
      </x:c>
      <x:c r="D64" s="83" t="str">
        <x:v>Figura</x:v>
      </x:c>
      <x:c r="E64" s="83" t="str">
        <x:v>58</x:v>
      </x:c>
      <x:c r="F64" s="83" t="n">
        <x:v>373</x:v>
      </x:c>
      <x:c r="G64" s="83" t="n">
        <x:v>372</x:v>
      </x:c>
      <x:c r="H64" s="83" t="str">
        <x:v>4. Situazione attuale e proiezioni</x:v>
      </x:c>
      <x:c r="I64" s="83" t="str">
        <x:v>Figura 58 - Emissioni di gas serra per settore in percentuale sul totale Effort Sharing al 2030 nello scenario di</x:v>
      </x:c>
      <x:c r="J64" s="83" t="str">
        <x:v>Emissioni e ambiente; Scenario e metodologia</x:v>
      </x:c>
      <x:c r="K64" s="83" t="str">
        <x:v>P2 - contesto/validazione</x:v>
      </x:c>
      <x:c r="L64" s="83" t="str">
        <x:v>Figura o mappa; lettura etichette / eventuale digitalizzazione</x:v>
      </x:c>
      <x:c r="M64" s="83" t="str">
        <x:v>Medio</x:v>
      </x:c>
      <x:c r="N64" s="83" t="str">
        <x:v>Da verificare in Fase 3</x:v>
      </x:c>
    </x:row>
    <x:row r="65">
      <x:c r="A65" s="83" t="str">
        <x:v>S08-TAB-59-374</x:v>
      </x:c>
      <x:c r="B65" s="83" t="str">
        <x:v>S08</x:v>
      </x:c>
      <x:c r="C65" s="83" t="str">
        <x:v>Piano Nazionale Integrato per l'Energia e il Clima</x:v>
      </x:c>
      <x:c r="D65" s="83" t="str">
        <x:v>Tabella</x:v>
      </x:c>
      <x:c r="E65" s="83" t="str">
        <x:v>59</x:v>
      </x:c>
      <x:c r="F65" s="83" t="n">
        <x:v>374</x:v>
      </x:c>
      <x:c r="G65" s="83" t="n">
        <x:v>373</x:v>
      </x:c>
      <x:c r="H65" s="83" t="str">
        <x:v>4. Situazione attuale e proiezioni</x:v>
      </x:c>
      <x:c r="I65" s="83" t="str">
        <x:v>Tabella 59 - Emissioni di gas serra dal 2005 al 2040, disaggregate per gas (Mt CO2eq), storiche fino al 2022 e</x:v>
      </x:c>
      <x:c r="J65" s="83" t="str">
        <x:v>Mercato e prezzi; Emissioni e ambiente</x:v>
      </x:c>
      <x:c r="K65" s="83" t="str">
        <x:v>P1 - input diretto/parametro</x:v>
      </x:c>
      <x:c r="L65" s="83" t="str">
        <x:v>Tabella testuale/PDF</x:v>
      </x:c>
      <x:c r="M65" s="83" t="str">
        <x:v>Basso</x:v>
      </x:c>
      <x:c r="N65" s="83" t="str">
        <x:v>Da verificare in Fase 3</x:v>
      </x:c>
    </x:row>
    <x:row r="66">
      <x:c r="A66" s="83" t="str">
        <x:v>S08-TAB-60-375</x:v>
      </x:c>
      <x:c r="B66" s="83" t="str">
        <x:v>S08</x:v>
      </x:c>
      <x:c r="C66" s="83" t="str">
        <x:v>Piano Nazionale Integrato per l'Energia e il Clima</x:v>
      </x:c>
      <x:c r="D66" s="83" t="str">
        <x:v>Tabella</x:v>
      </x:c>
      <x:c r="E66" s="83" t="str">
        <x:v>60</x:v>
      </x:c>
      <x:c r="F66" s="83" t="n">
        <x:v>375</x:v>
      </x:c>
      <x:c r="G66" s="83" t="n">
        <x:v>374</x:v>
      </x:c>
      <x:c r="H66" s="83" t="str">
        <x:v>4. Situazione attuale e proiezioni</x:v>
      </x:c>
      <x:c r="I66" s="83" t="str">
        <x:v>Tabella 60 - Quota FER totale (ktep)(*) [Fonte: GSE]</x:v>
      </x:c>
      <x:c r="J66" s="83" t="str">
        <x:v>Capacità e generazione</x:v>
      </x:c>
      <x:c r="K66" s="83" t="str">
        <x:v>P2 - contesto/validazione</x:v>
      </x:c>
      <x:c r="L66" s="83" t="str">
        <x:v>Tabella testuale/PDF</x:v>
      </x:c>
      <x:c r="M66" s="83" t="str">
        <x:v>Basso</x:v>
      </x:c>
      <x:c r="N66" s="83" t="str">
        <x:v>Da verificare in Fase 3</x:v>
      </x:c>
    </x:row>
    <x:row r="67">
      <x:c r="A67" s="83" t="str">
        <x:v>S08-TAB-61-375</x:v>
      </x:c>
      <x:c r="B67" s="83" t="str">
        <x:v>S08</x:v>
      </x:c>
      <x:c r="C67" s="83" t="str">
        <x:v>Piano Nazionale Integrato per l'Energia e il Clima</x:v>
      </x:c>
      <x:c r="D67" s="83" t="str">
        <x:v>Tabella</x:v>
      </x:c>
      <x:c r="E67" s="83" t="str">
        <x:v>61</x:v>
      </x:c>
      <x:c r="F67" s="83" t="n">
        <x:v>375</x:v>
      </x:c>
      <x:c r="G67" s="83" t="n">
        <x:v>374</x:v>
      </x:c>
      <x:c r="H67" s="83" t="str">
        <x:v>4. Situazione attuale e proiezioni</x:v>
      </x:c>
      <x:c r="I67" s="83" t="str">
        <x:v>Tabella 61 - Quota FER settore elettrico (TWh) [Fonte: GSE]</x:v>
      </x:c>
      <x:c r="J67" s="83" t="str">
        <x:v>Capacità e generazione</x:v>
      </x:c>
      <x:c r="K67" s="83" t="str">
        <x:v>P2 - contesto/validazione</x:v>
      </x:c>
      <x:c r="L67" s="83" t="str">
        <x:v>Tabella testuale/PDF</x:v>
      </x:c>
      <x:c r="M67" s="83" t="str">
        <x:v>Basso</x:v>
      </x:c>
      <x:c r="N67" s="83" t="str">
        <x:v>Da verificare in Fase 3</x:v>
      </x:c>
    </x:row>
    <x:row r="68">
      <x:c r="A68" s="83" t="str">
        <x:v>S08-TAB-62-376</x:v>
      </x:c>
      <x:c r="B68" s="83" t="str">
        <x:v>S08</x:v>
      </x:c>
      <x:c r="C68" s="83" t="str">
        <x:v>Piano Nazionale Integrato per l'Energia e il Clima</x:v>
      </x:c>
      <x:c r="D68" s="83" t="str">
        <x:v>Tabella</x:v>
      </x:c>
      <x:c r="E68" s="83" t="str">
        <x:v>62</x:v>
      </x:c>
      <x:c r="F68" s="83" t="n">
        <x:v>376</x:v>
      </x:c>
      <x:c r="G68" s="83" t="n">
        <x:v>375</x:v>
      </x:c>
      <x:c r="H68" s="83" t="str">
        <x:v>4. Situazione attuale e proiezioni</x:v>
      </x:c>
      <x:c r="I68" s="83" t="str">
        <x:v>Tabella 62 - Quota FER settore termico (ktep) [Fonte: GSE]</x:v>
      </x:c>
      <x:c r="J68" s="83" t="str">
        <x:v>Capacità e generazione</x:v>
      </x:c>
      <x:c r="K68" s="83" t="str">
        <x:v>P2 - contesto/validazione</x:v>
      </x:c>
      <x:c r="L68" s="83" t="str">
        <x:v>Tabella testuale/PDF</x:v>
      </x:c>
      <x:c r="M68" s="83" t="str">
        <x:v>Basso</x:v>
      </x:c>
      <x:c r="N68" s="83" t="str">
        <x:v>Da verificare in Fase 3</x:v>
      </x:c>
    </x:row>
    <x:row r="69">
      <x:c r="A69" s="83" t="str">
        <x:v>S08-TAB-63-376</x:v>
      </x:c>
      <x:c r="B69" s="83" t="str">
        <x:v>S08</x:v>
      </x:c>
      <x:c r="C69" s="83" t="str">
        <x:v>Piano Nazionale Integrato per l'Energia e il Clima</x:v>
      </x:c>
      <x:c r="D69" s="83" t="str">
        <x:v>Tabella</x:v>
      </x:c>
      <x:c r="E69" s="83" t="str">
        <x:v>63</x:v>
      </x:c>
      <x:c r="F69" s="83" t="n">
        <x:v>376</x:v>
      </x:c>
      <x:c r="G69" s="83" t="n">
        <x:v>375</x:v>
      </x:c>
      <x:c r="H69" s="83" t="str">
        <x:v>4. Situazione attuale e proiezioni</x:v>
      </x:c>
      <x:c r="I69" s="83" t="str">
        <x:v>Tabella 63 - Quota FER settore trasporti (ktep) [Fonte: GSE]</x:v>
      </x:c>
      <x:c r="J69" s="83" t="str">
        <x:v>Capacità e generazione</x:v>
      </x:c>
      <x:c r="K69" s="83" t="str">
        <x:v>P2 - contesto/validazione</x:v>
      </x:c>
      <x:c r="L69" s="83" t="str">
        <x:v>Tabella testuale/PDF</x:v>
      </x:c>
      <x:c r="M69" s="83" t="str">
        <x:v>Basso</x:v>
      </x:c>
      <x:c r="N69" s="83" t="str">
        <x:v>Da verificare in Fase 3</x:v>
      </x:c>
    </x:row>
    <x:row r="70">
      <x:c r="A70" s="83" t="str">
        <x:v>S08-TAB-64-377</x:v>
      </x:c>
      <x:c r="B70" s="83" t="str">
        <x:v>S08</x:v>
      </x:c>
      <x:c r="C70" s="83" t="str">
        <x:v>Piano Nazionale Integrato per l'Energia e il Clima</x:v>
      </x:c>
      <x:c r="D70" s="83" t="str">
        <x:v>Tabella</x:v>
      </x:c>
      <x:c r="E70" s="83" t="str">
        <x:v>64</x:v>
      </x:c>
      <x:c r="F70" s="83" t="n">
        <x:v>377</x:v>
      </x:c>
      <x:c r="G70" s="83" t="n">
        <x:v>376</x:v>
      </x:c>
      <x:c r="H70" s="83" t="str">
        <x:v>4. Situazione attuale e proiezioni</x:v>
      </x:c>
      <x:c r="I70" s="83" t="str">
        <x:v>Tabella 64 - Quota FER totale 2025-2040 con politiche vigenti e confronto con il 2022 (ktep) [Fonte: RSE]</x:v>
      </x:c>
      <x:c r="J70" s="83" t="str">
        <x:v>Capacità e generazione</x:v>
      </x:c>
      <x:c r="K70" s="83" t="str">
        <x:v>P2 - contesto/validazione</x:v>
      </x:c>
      <x:c r="L70" s="83" t="str">
        <x:v>Tabella testuale/PDF</x:v>
      </x:c>
      <x:c r="M70" s="83" t="str">
        <x:v>Basso</x:v>
      </x:c>
      <x:c r="N70" s="83" t="str">
        <x:v>Da verificare in Fase 3</x:v>
      </x:c>
    </x:row>
    <x:row r="71">
      <x:c r="A71" s="83" t="str">
        <x:v>S08-TAB-65-379</x:v>
      </x:c>
      <x:c r="B71" s="83" t="str">
        <x:v>S08</x:v>
      </x:c>
      <x:c r="C71" s="83" t="str">
        <x:v>Piano Nazionale Integrato per l'Energia e il Clima</x:v>
      </x:c>
      <x:c r="D71" s="83" t="str">
        <x:v>Tabella</x:v>
      </x:c>
      <x:c r="E71" s="83" t="str">
        <x:v>65</x:v>
      </x:c>
      <x:c r="F71" s="83" t="n">
        <x:v>379</x:v>
      </x:c>
      <x:c r="G71" s="83" t="n">
        <x:v>378</x:v>
      </x:c>
      <x:c r="H71" s="83" t="str">
        <x:v>4. Situazione attuale e proiezioni</x:v>
      </x:c>
      <x:c r="I71" s="83" t="str">
        <x:v>Tabella 65 - Quota FER nel settore elettrico 2025-2040 con politiche vigenti e confronto con il 2022(TWh)</x:v>
      </x:c>
      <x:c r="J71" s="83" t="str">
        <x:v>Capacità e generazione</x:v>
      </x:c>
      <x:c r="K71" s="83" t="str">
        <x:v>P2 - contesto/validazione</x:v>
      </x:c>
      <x:c r="L71" s="83" t="str">
        <x:v>Tabella testuale/PDF</x:v>
      </x:c>
      <x:c r="M71" s="83" t="str">
        <x:v>Basso</x:v>
      </x:c>
      <x:c r="N71" s="83" t="str">
        <x:v>Da verificare in Fase 3</x:v>
      </x:c>
    </x:row>
    <x:row r="72">
      <x:c r="A72" s="83" t="str">
        <x:v>S08-TAB-66-379</x:v>
      </x:c>
      <x:c r="B72" s="83" t="str">
        <x:v>S08</x:v>
      </x:c>
      <x:c r="C72" s="83" t="str">
        <x:v>Piano Nazionale Integrato per l'Energia e il Clima</x:v>
      </x:c>
      <x:c r="D72" s="83" t="str">
        <x:v>Tabella</x:v>
      </x:c>
      <x:c r="E72" s="83" t="str">
        <x:v>66</x:v>
      </x:c>
      <x:c r="F72" s="83" t="n">
        <x:v>379</x:v>
      </x:c>
      <x:c r="G72" s="83" t="n">
        <x:v>378</x:v>
      </x:c>
      <x:c r="H72" s="83" t="str">
        <x:v>4. Situazione attuale e proiezioni</x:v>
      </x:c>
      <x:c r="I72" s="83" t="str">
        <x:v>Tabella 66 - Quota FER nel settore termico 2025-2040 con politiche vigenti e confronto con il 2022 (ktep)</x:v>
      </x:c>
      <x:c r="J72" s="83" t="str">
        <x:v>Capacità e generazione</x:v>
      </x:c>
      <x:c r="K72" s="83" t="str">
        <x:v>P2 - contesto/validazione</x:v>
      </x:c>
      <x:c r="L72" s="83" t="str">
        <x:v>Tabella testuale/PDF</x:v>
      </x:c>
      <x:c r="M72" s="83" t="str">
        <x:v>Basso</x:v>
      </x:c>
      <x:c r="N72" s="83" t="str">
        <x:v>Da verificare in Fase 3</x:v>
      </x:c>
    </x:row>
    <x:row r="73">
      <x:c r="A73" s="83" t="str">
        <x:v>S08-TAB-67-380</x:v>
      </x:c>
      <x:c r="B73" s="83" t="str">
        <x:v>S08</x:v>
      </x:c>
      <x:c r="C73" s="83" t="str">
        <x:v>Piano Nazionale Integrato per l'Energia e il Clima</x:v>
      </x:c>
      <x:c r="D73" s="83" t="str">
        <x:v>Tabella</x:v>
      </x:c>
      <x:c r="E73" s="83" t="str">
        <x:v>67</x:v>
      </x:c>
      <x:c r="F73" s="83" t="n">
        <x:v>380</x:v>
      </x:c>
      <x:c r="G73" s="83" t="n">
        <x:v>379</x:v>
      </x:c>
      <x:c r="H73" s="83" t="str">
        <x:v>4. Situazione attuale e proiezioni</x:v>
      </x:c>
      <x:c r="I73" s="83" t="str">
        <x:v>Tabella 67 - Quota FER nel settore trasporti 2025-2040 con politiche vigenti e confronto con il 2022 - criteri</x:v>
      </x:c>
      <x:c r="J73" s="83" t="str">
        <x:v>Capacità e generazione</x:v>
      </x:c>
      <x:c r="K73" s="83" t="str">
        <x:v>P2 - contesto/validazione</x:v>
      </x:c>
      <x:c r="L73" s="83" t="str">
        <x:v>Tabella testuale/PDF</x:v>
      </x:c>
      <x:c r="M73" s="83" t="str">
        <x:v>Basso</x:v>
      </x:c>
      <x:c r="N73" s="83" t="str">
        <x:v>Da verificare in Fase 3</x:v>
      </x:c>
    </x:row>
    <x:row r="74">
      <x:c r="A74" s="83" t="str">
        <x:v>S08-FIG-60-383</x:v>
      </x:c>
      <x:c r="B74" s="83" t="str">
        <x:v>S08</x:v>
      </x:c>
      <x:c r="C74" s="83" t="str">
        <x:v>Piano Nazionale Integrato per l'Energia e il Clima</x:v>
      </x:c>
      <x:c r="D74" s="83" t="str">
        <x:v>Figura</x:v>
      </x:c>
      <x:c r="E74" s="83" t="str">
        <x:v>60</x:v>
      </x:c>
      <x:c r="F74" s="83" t="n">
        <x:v>383</x:v>
      </x:c>
      <x:c r="G74" s="83" t="n">
        <x:v>382</x:v>
      </x:c>
      <x:c r="H74" s="83" t="str">
        <x:v>4. Situazione attuale e proiezioni</x:v>
      </x:c>
      <x:c r="I74" s="83" t="str">
        <x:v>Figura 60 - Evoluzione dei consumi finali per fonte (Mtep) [Fonte: Eurostat]98</x:v>
      </x:c>
      <x:c r="J74" s="83" t="str">
        <x:v>Domanda e consumi</x:v>
      </x:c>
      <x:c r="K74" s="83" t="str">
        <x:v>P2 - contesto/validazione</x:v>
      </x:c>
      <x:c r="L74" s="83" t="str">
        <x:v>Figura o mappa; lettura etichette / eventuale digitalizzazione</x:v>
      </x:c>
      <x:c r="M74" s="83" t="str">
        <x:v>Medio</x:v>
      </x:c>
      <x:c r="N74" s="83" t="str">
        <x:v>Da verificare in Fase 3</x:v>
      </x:c>
    </x:row>
    <x:row r="75">
      <x:c r="A75" s="83" t="str">
        <x:v>S08-FIG-61-384</x:v>
      </x:c>
      <x:c r="B75" s="83" t="str">
        <x:v>S08</x:v>
      </x:c>
      <x:c r="C75" s="83" t="str">
        <x:v>Piano Nazionale Integrato per l'Energia e il Clima</x:v>
      </x:c>
      <x:c r="D75" s="83" t="str">
        <x:v>Figura</x:v>
      </x:c>
      <x:c r="E75" s="83" t="str">
        <x:v>61</x:v>
      </x:c>
      <x:c r="F75" s="83" t="n">
        <x:v>384</x:v>
      </x:c>
      <x:c r="G75" s="83" t="n">
        <x:v>383</x:v>
      </x:c>
      <x:c r="H75" s="83" t="str">
        <x:v>4. Situazione attuale e proiezioni</x:v>
      </x:c>
      <x:c r="I75" s="83" t="str">
        <x:v>Figura 61 - Consumi energetici finali per fonte e settore, anno 2022 (Mtep) [Fonte: Eurostat]</x:v>
      </x:c>
      <x:c r="J75" s="83" t="str">
        <x:v>Contesto / metodologia</x:v>
      </x:c>
      <x:c r="K75" s="83" t="str">
        <x:v>P2 - contesto/validazione</x:v>
      </x:c>
      <x:c r="L75" s="83" t="str">
        <x:v>Figura o mappa; lettura etichette / eventuale digitalizzazione</x:v>
      </x:c>
      <x:c r="M75" s="83" t="str">
        <x:v>Medio</x:v>
      </x:c>
      <x:c r="N75" s="83" t="str">
        <x:v>Da verificare in Fase 3</x:v>
      </x:c>
    </x:row>
    <x:row r="76">
      <x:c r="A76" s="83" t="str">
        <x:v>S08-FIG-63-386</x:v>
      </x:c>
      <x:c r="B76" s="83" t="str">
        <x:v>S08</x:v>
      </x:c>
      <x:c r="C76" s="83" t="str">
        <x:v>Piano Nazionale Integrato per l'Energia e il Clima</x:v>
      </x:c>
      <x:c r="D76" s="83" t="str">
        <x:v>Figura</x:v>
      </x:c>
      <x:c r="E76" s="83" t="str">
        <x:v>63</x:v>
      </x:c>
      <x:c r="F76" s="83" t="n">
        <x:v>386</x:v>
      </x:c>
      <x:c r="G76" s="83" t="n">
        <x:v>385</x:v>
      </x:c>
      <x:c r="H76" s="83" t="str">
        <x:v>4. Situazione attuale e proiezioni</x:v>
      </x:c>
      <x:c r="I76" s="83" t="str">
        <x:v>Figura 63 - Consumi finali per unità di consumo interno lordo, Anni 2000-2022 [Fonte: Eurostat]</x:v>
      </x:c>
      <x:c r="J76" s="83" t="str">
        <x:v>Domanda e consumi</x:v>
      </x:c>
      <x:c r="K76" s="83" t="str">
        <x:v>P2 - contesto/validazione</x:v>
      </x:c>
      <x:c r="L76" s="83" t="str">
        <x:v>Figura o mappa; lettura etichette / eventuale digitalizzazione</x:v>
      </x:c>
      <x:c r="M76" s="83" t="str">
        <x:v>Medio</x:v>
      </x:c>
      <x:c r="N76" s="83" t="str">
        <x:v>Da verificare in Fase 3</x:v>
      </x:c>
    </x:row>
    <x:row r="77">
      <x:c r="A77" s="83" t="str">
        <x:v>S08-FIG-64-387</x:v>
      </x:c>
      <x:c r="B77" s="83" t="str">
        <x:v>S08</x:v>
      </x:c>
      <x:c r="C77" s="83" t="str">
        <x:v>Piano Nazionale Integrato per l'Energia e il Clima</x:v>
      </x:c>
      <x:c r="D77" s="83" t="str">
        <x:v>Figura</x:v>
      </x:c>
      <x:c r="E77" s="83" t="str">
        <x:v>64</x:v>
      </x:c>
      <x:c r="F77" s="83" t="n">
        <x:v>387</x:v>
      </x:c>
      <x:c r="G77" s="83" t="n">
        <x:v>386</x:v>
      </x:c>
      <x:c r="H77" s="83" t="str">
        <x:v>4. Situazione attuale e proiezioni</x:v>
      </x:c>
      <x:c r="I77" s="83" t="str">
        <x:v>Figura 64 - Efficienza del parco termoelettrico nazionale* [Fonte: Eurostat]</x:v>
      </x:c>
      <x:c r="J77" s="83" t="str">
        <x:v>Capacità e generazione</x:v>
      </x:c>
      <x:c r="K77" s="83" t="str">
        <x:v>P1 - input diretto/parametro</x:v>
      </x:c>
      <x:c r="L77" s="83" t="str">
        <x:v>Figura o mappa; lettura etichette / eventuale digitalizzazione</x:v>
      </x:c>
      <x:c r="M77" s="83" t="str">
        <x:v>Medio</x:v>
      </x:c>
      <x:c r="N77" s="83" t="str">
        <x:v>Da verificare in Fase 3</x:v>
      </x:c>
    </x:row>
    <x:row r="78">
      <x:c r="A78" s="83" t="str">
        <x:v>S08-FIG-65-388</x:v>
      </x:c>
      <x:c r="B78" s="83" t="str">
        <x:v>S08</x:v>
      </x:c>
      <x:c r="C78" s="83" t="str">
        <x:v>Piano Nazionale Integrato per l'Energia e il Clima</x:v>
      </x:c>
      <x:c r="D78" s="83" t="str">
        <x:v>Figura</x:v>
      </x:c>
      <x:c r="E78" s="83" t="str">
        <x:v>65</x:v>
      </x:c>
      <x:c r="F78" s="83" t="n">
        <x:v>388</x:v>
      </x:c>
      <x:c r="G78" s="83" t="n">
        <x:v>387</x:v>
      </x:c>
      <x:c r="H78" s="83" t="str">
        <x:v>4. Situazione attuale e proiezioni</x:v>
      </x:c>
      <x:c r="I78" s="83" t="str">
        <x:v>Figura 65 - Confronto tra livello attuale TLR, potenziale tecnico e scenario Reference al 2030 (TWh)</x:v>
      </x:c>
      <x:c r="J78" s="83" t="str">
        <x:v>Capacità e generazione; Scenario e metodologia</x:v>
      </x:c>
      <x:c r="K78" s="83" t="str">
        <x:v>P2 - contesto/validazione</x:v>
      </x:c>
      <x:c r="L78" s="83" t="str">
        <x:v>Figura o mappa; lettura etichette / eventuale digitalizzazione</x:v>
      </x:c>
      <x:c r="M78" s="83" t="str">
        <x:v>Medio</x:v>
      </x:c>
      <x:c r="N78" s="83" t="str">
        <x:v>Da verificare in Fase 3</x:v>
      </x:c>
    </x:row>
    <x:row r="79">
      <x:c r="A79" s="83" t="str">
        <x:v>S08-FIG-66-389</x:v>
      </x:c>
      <x:c r="B79" s="83" t="str">
        <x:v>S08</x:v>
      </x:c>
      <x:c r="C79" s="83" t="str">
        <x:v>Piano Nazionale Integrato per l'Energia e il Clima</x:v>
      </x:c>
      <x:c r="D79" s="83" t="str">
        <x:v>Figura</x:v>
      </x:c>
      <x:c r="E79" s="83" t="str">
        <x:v>66</x:v>
      </x:c>
      <x:c r="F79" s="83" t="n">
        <x:v>389</x:v>
      </x:c>
      <x:c r="G79" s="83" t="n">
        <x:v>388</x:v>
      </x:c>
      <x:c r="H79" s="83" t="str">
        <x:v>4. Situazione attuale e proiezioni</x:v>
      </x:c>
      <x:c r="I79" s="83" t="str">
        <x:v>Figura 66 - Confronto tra livello attuale CAR (esclusi impianti CAR-TLR), potenziale tecnico e scenario</x:v>
      </x:c>
      <x:c r="J79" s="83" t="str">
        <x:v>Scenario e metodologia</x:v>
      </x:c>
      <x:c r="K79" s="83" t="str">
        <x:v>P2 - contesto/validazione</x:v>
      </x:c>
      <x:c r="L79" s="83" t="str">
        <x:v>Figura o mappa; lettura etichette / eventuale digitalizzazione</x:v>
      </x:c>
      <x:c r="M79" s="83" t="str">
        <x:v>Medio</x:v>
      </x:c>
      <x:c r="N79" s="83" t="str">
        <x:v>Da verificare in Fase 3</x:v>
      </x:c>
    </x:row>
    <x:row r="80">
      <x:c r="A80" s="83" t="str">
        <x:v>S08-TAB-69-390</x:v>
      </x:c>
      <x:c r="B80" s="83" t="str">
        <x:v>S08</x:v>
      </x:c>
      <x:c r="C80" s="83" t="str">
        <x:v>Piano Nazionale Integrato per l'Energia e il Clima</x:v>
      </x:c>
      <x:c r="D80" s="83" t="str">
        <x:v>Tabella</x:v>
      </x:c>
      <x:c r="E80" s="83" t="str">
        <x:v>69</x:v>
      </x:c>
      <x:c r="F80" s="83" t="n">
        <x:v>390</x:v>
      </x:c>
      <x:c r="G80" s="83" t="n">
        <x:v>389</x:v>
      </x:c>
      <x:c r="H80" s="83" t="str">
        <x:v>4. Situazione attuale e proiezioni</x:v>
      </x:c>
      <x:c r="I80" s="83" t="str">
        <x:v>Tabella 69 - Consumo di energia primaria e finale (per ciascun settore); proiezioni 2025-2040 nello scenario</x:v>
      </x:c>
      <x:c r="J80" s="83" t="str">
        <x:v>Scenario e metodologia</x:v>
      </x:c>
      <x:c r="K80" s="83" t="str">
        <x:v>P2 - contesto/validazione</x:v>
      </x:c>
      <x:c r="L80" s="83" t="str">
        <x:v>Tabella testuale/PDF</x:v>
      </x:c>
      <x:c r="M80" s="83" t="str">
        <x:v>Basso</x:v>
      </x:c>
      <x:c r="N80" s="83" t="str">
        <x:v>Da verificare in Fase 3</x:v>
      </x:c>
    </x:row>
    <x:row r="81">
      <x:c r="A81" s="83" t="str">
        <x:v>S08-FIG-68-391</x:v>
      </x:c>
      <x:c r="B81" s="83" t="str">
        <x:v>S08</x:v>
      </x:c>
      <x:c r="C81" s="83" t="str">
        <x:v>Piano Nazionale Integrato per l'Energia e il Clima</x:v>
      </x:c>
      <x:c r="D81" s="83" t="str">
        <x:v>Figura</x:v>
      </x:c>
      <x:c r="E81" s="83" t="str">
        <x:v>68</x:v>
      </x:c>
      <x:c r="F81" s="83" t="n">
        <x:v>391</x:v>
      </x:c>
      <x:c r="G81" s="83" t="n">
        <x:v>390</x:v>
      </x:c>
      <x:c r="H81" s="83" t="str">
        <x:v>4. Situazione attuale e proiezioni</x:v>
      </x:c>
      <x:c r="I81" s="83" t="str">
        <x:v>Figura 68 Confronto del mix energetico primario 2022 e 2030 (scenario di Riferimento).</x:v>
      </x:c>
      <x:c r="J81" s="83" t="str">
        <x:v>Capacità e generazione; Scenario e metodologia</x:v>
      </x:c>
      <x:c r="K81" s="83" t="str">
        <x:v>P2 - contesto/validazione</x:v>
      </x:c>
      <x:c r="L81" s="83" t="str">
        <x:v>Figura o mappa; lettura etichette / eventuale digitalizzazione</x:v>
      </x:c>
      <x:c r="M81" s="83" t="str">
        <x:v>Medio</x:v>
      </x:c>
      <x:c r="N81" s="83" t="str">
        <x:v>Da verificare in Fase 3</x:v>
      </x:c>
    </x:row>
    <x:row r="82">
      <x:c r="A82" s="83" t="str">
        <x:v>S08-FIG-69-392</x:v>
      </x:c>
      <x:c r="B82" s="83" t="str">
        <x:v>S08</x:v>
      </x:c>
      <x:c r="C82" s="83" t="str">
        <x:v>Piano Nazionale Integrato per l'Energia e il Clima</x:v>
      </x:c>
      <x:c r="D82" s="83" t="str">
        <x:v>Figura</x:v>
      </x:c>
      <x:c r="E82" s="83" t="str">
        <x:v>69</x:v>
      </x:c>
      <x:c r="F82" s="83" t="n">
        <x:v>392</x:v>
      </x:c>
      <x:c r="G82" s="83" t="n">
        <x:v>391</x:v>
      </x:c>
      <x:c r="H82" s="83" t="str">
        <x:v>4. Situazione attuale e proiezioni</x:v>
      </x:c>
      <x:c r="I82" s="83" t="str">
        <x:v>Figura 69 Confronto del mix energetico finale 2022 e 2030 (scenario di Riferimento).</x:v>
      </x:c>
      <x:c r="J82" s="83" t="str">
        <x:v>Capacità e generazione; Scenario e metodologia</x:v>
      </x:c>
      <x:c r="K82" s="83" t="str">
        <x:v>P2 - contesto/validazione</x:v>
      </x:c>
      <x:c r="L82" s="83" t="str">
        <x:v>Figura o mappa; lettura etichette / eventuale digitalizzazione</x:v>
      </x:c>
      <x:c r="M82" s="83" t="str">
        <x:v>Medio</x:v>
      </x:c>
      <x:c r="N82" s="83" t="str">
        <x:v>Da verificare in Fase 3</x:v>
      </x:c>
    </x:row>
    <x:row r="83">
      <x:c r="A83" s="83" t="str">
        <x:v>S08-FIG-70-392</x:v>
      </x:c>
      <x:c r="B83" s="83" t="str">
        <x:v>S08</x:v>
      </x:c>
      <x:c r="C83" s="83" t="str">
        <x:v>Piano Nazionale Integrato per l'Energia e il Clima</x:v>
      </x:c>
      <x:c r="D83" s="83" t="str">
        <x:v>Figura</x:v>
      </x:c>
      <x:c r="E83" s="83" t="str">
        <x:v>70</x:v>
      </x:c>
      <x:c r="F83" s="83" t="n">
        <x:v>392</x:v>
      </x:c>
      <x:c r="G83" s="83" t="n">
        <x:v>391</x:v>
      </x:c>
      <x:c r="H83" s="83" t="str">
        <x:v>4. Situazione attuale e proiezioni</x:v>
      </x:c>
      <x:c r="I83" s="83" t="str">
        <x:v>Figura 70 Confronto ripartizione dei consumi dei settori di uso finale 2022 e 2030 (scenario di Riferimento).</x:v>
      </x:c>
      <x:c r="J83" s="83" t="str">
        <x:v>Capacità e generazione; Scenario e metodologia</x:v>
      </x:c>
      <x:c r="K83" s="83" t="str">
        <x:v>P2 - contesto/validazione</x:v>
      </x:c>
      <x:c r="L83" s="83" t="str">
        <x:v>Figura o mappa; lettura etichette / eventuale digitalizzazione</x:v>
      </x:c>
      <x:c r="M83" s="83" t="str">
        <x:v>Medio</x:v>
      </x:c>
      <x:c r="N83" s="83" t="str">
        <x:v>Da verificare in Fase 3</x:v>
      </x:c>
    </x:row>
    <x:row r="84">
      <x:c r="A84" s="83" t="str">
        <x:v>S08-TAB-75-402</x:v>
      </x:c>
      <x:c r="B84" s="83" t="str">
        <x:v>S08</x:v>
      </x:c>
      <x:c r="C84" s="83" t="str">
        <x:v>Piano Nazionale Integrato per l'Energia e il Clima</x:v>
      </x:c>
      <x:c r="D84" s="83" t="str">
        <x:v>Tabella</x:v>
      </x:c>
      <x:c r="E84" s="83" t="str">
        <x:v>75</x:v>
      </x:c>
      <x:c r="F84" s="83" t="n">
        <x:v>402</x:v>
      </x:c>
      <x:c r="G84" s="83" t="n">
        <x:v>401</x:v>
      </x:c>
      <x:c r="H84" s="83" t="str">
        <x:v>4. Situazione attuale e proiezioni</x:v>
      </x:c>
      <x:c r="I84" s="83" t="str">
        <x:v>Tabella 75 - Risorse energetiche interne, proiezioni 2025-2040, scenario di riferimento (ktep)</x:v>
      </x:c>
      <x:c r="J84" s="83" t="str">
        <x:v>Capacità e generazione; Scenario e metodologia</x:v>
      </x:c>
      <x:c r="K84" s="83" t="str">
        <x:v>P2 - contesto/validazione</x:v>
      </x:c>
      <x:c r="L84" s="83" t="str">
        <x:v>Tabella testuale/PDF</x:v>
      </x:c>
      <x:c r="M84" s="83" t="str">
        <x:v>Basso</x:v>
      </x:c>
      <x:c r="N84" s="83" t="str">
        <x:v>Da verificare in Fase 3</x:v>
      </x:c>
    </x:row>
    <x:row r="85">
      <x:c r="A85" s="83" t="str">
        <x:v>S08-TAB-76-402</x:v>
      </x:c>
      <x:c r="B85" s="83" t="str">
        <x:v>S08</x:v>
      </x:c>
      <x:c r="C85" s="83" t="str">
        <x:v>Piano Nazionale Integrato per l'Energia e il Clima</x:v>
      </x:c>
      <x:c r="D85" s="83" t="str">
        <x:v>Tabella</x:v>
      </x:c>
      <x:c r="E85" s="83" t="str">
        <x:v>76</x:v>
      </x:c>
      <x:c r="F85" s="83" t="n">
        <x:v>402</x:v>
      </x:c>
      <x:c r="G85" s="83" t="n">
        <x:v>401</x:v>
      </x:c>
      <x:c r="H85" s="83" t="str">
        <x:v>4. Situazione attuale e proiezioni</x:v>
      </x:c>
      <x:c r="I85" s="83" t="str">
        <x:v>Tabella 76 - Importazioni nette, proiezioni 2025-2040, scenario di riferimento (ktep)</x:v>
      </x:c>
      <x:c r="J85" s="83" t="str">
        <x:v>Capacità e generazione; Scenario e metodologia</x:v>
      </x:c>
      <x:c r="K85" s="83" t="str">
        <x:v>P2 - contesto/validazione</x:v>
      </x:c>
      <x:c r="L85" s="83" t="str">
        <x:v>Tabella testuale/PDF</x:v>
      </x:c>
      <x:c r="M85" s="83" t="str">
        <x:v>Basso</x:v>
      </x:c>
      <x:c r="N85" s="83" t="str">
        <x:v>Da verificare in Fase 3</x:v>
      </x:c>
    </x:row>
    <x:row r="86">
      <x:c r="A86" s="83" t="str">
        <x:v>S08-TAB-77-402</x:v>
      </x:c>
      <x:c r="B86" s="83" t="str">
        <x:v>S08</x:v>
      </x:c>
      <x:c r="C86" s="83" t="str">
        <x:v>Piano Nazionale Integrato per l'Energia e il Clima</x:v>
      </x:c>
      <x:c r="D86" s="83" t="str">
        <x:v>Tabella</x:v>
      </x:c>
      <x:c r="E86" s="83" t="str">
        <x:v>77</x:v>
      </x:c>
      <x:c r="F86" s="83" t="n">
        <x:v>402</x:v>
      </x:c>
      <x:c r="G86" s="83" t="n">
        <x:v>401</x:v>
      </x:c>
      <x:c r="H86" s="83" t="str">
        <x:v>4. Situazione attuale e proiezioni</x:v>
      </x:c>
      <x:c r="I86" s="83" t="str">
        <x:v>Tabella 77 - Dipendenza energetica, proiezioni 2025-2040, scenario di riferimento (%)</x:v>
      </x:c>
      <x:c r="J86" s="83" t="str">
        <x:v>Capacità e generazione; Scenario e metodologia</x:v>
      </x:c>
      <x:c r="K86" s="83" t="str">
        <x:v>P2 - contesto/validazione</x:v>
      </x:c>
      <x:c r="L86" s="83" t="str">
        <x:v>Tabella testuale/PDF</x:v>
      </x:c>
      <x:c r="M86" s="83" t="str">
        <x:v>Basso</x:v>
      </x:c>
      <x:c r="N86" s="83" t="str">
        <x:v>Da verificare in Fase 3</x:v>
      </x:c>
    </x:row>
    <x:row r="87">
      <x:c r="A87" s="83" t="str">
        <x:v>S08-FIG-73-403</x:v>
      </x:c>
      <x:c r="B87" s="83" t="str">
        <x:v>S08</x:v>
      </x:c>
      <x:c r="C87" s="83" t="str">
        <x:v>Piano Nazionale Integrato per l'Energia e il Clima</x:v>
      </x:c>
      <x:c r="D87" s="83" t="str">
        <x:v>Figura</x:v>
      </x:c>
      <x:c r="E87" s="83" t="str">
        <x:v>73</x:v>
      </x:c>
      <x:c r="F87" s="83" t="n">
        <x:v>403</x:v>
      </x:c>
      <x:c r="G87" s="83" t="n">
        <x:v>402</x:v>
      </x:c>
      <x:c r="H87" s="83" t="str">
        <x:v>4. Situazione attuale e proiezioni</x:v>
      </x:c>
      <x:c r="I87" s="83" t="str">
        <x:v>Figura 73 - Mappa delle interconnessioni esistenti [Fonte: Terna]</x:v>
      </x:c>
      <x:c r="J87" s="83" t="str">
        <x:v>Trasmissione e interconnessioni</x:v>
      </x:c>
      <x:c r="K87" s="83" t="str">
        <x:v>P1 - input diretto/parametro</x:v>
      </x:c>
      <x:c r="L87" s="83" t="str">
        <x:v>Figura o mappa; lettura etichette / eventuale digitalizzazione</x:v>
      </x:c>
      <x:c r="M87" s="83" t="str">
        <x:v>Medio</x:v>
      </x:c>
      <x:c r="N87" s="83" t="str">
        <x:v>Da verificare in Fase 3</x:v>
      </x:c>
    </x:row>
    <x:row r="88">
      <x:c r="A88" s="83" t="str">
        <x:v>S08-TAB-78-404</x:v>
      </x:c>
      <x:c r="B88" s="83" t="str">
        <x:v>S08</x:v>
      </x:c>
      <x:c r="C88" s="83" t="str">
        <x:v>Piano Nazionale Integrato per l'Energia e il Clima</x:v>
      </x:c>
      <x:c r="D88" s="83" t="str">
        <x:v>Tabella</x:v>
      </x:c>
      <x:c r="E88" s="83" t="str">
        <x:v>78</x:v>
      </x:c>
      <x:c r="F88" s="83" t="n">
        <x:v>404</x:v>
      </x:c>
      <x:c r="G88" s="83" t="n">
        <x:v>403</x:v>
      </x:c>
      <x:c r="H88" s="83" t="str">
        <x:v>4. Situazione attuale e proiezioni</x:v>
      </x:c>
      <x:c r="I88" s="83" t="str">
        <x:v>Tabella 78 - Consistenza delle linee di interconnessione con l’estero</x:v>
      </x:c>
      <x:c r="J88" s="83" t="str">
        <x:v>Trasmissione e interconnessioni</x:v>
      </x:c>
      <x:c r="K88" s="83" t="str">
        <x:v>P2 - contesto/validazione</x:v>
      </x:c>
      <x:c r="L88" s="83" t="str">
        <x:v>Tabella testuale/PDF</x:v>
      </x:c>
      <x:c r="M88" s="83" t="str">
        <x:v>Basso</x:v>
      </x:c>
      <x:c r="N88" s="83" t="str">
        <x:v>Da verificare in Fase 3</x:v>
      </x:c>
    </x:row>
    <x:row r="89">
      <x:c r="A89" s="83" t="str">
        <x:v>S08-TAB-79-405</x:v>
      </x:c>
      <x:c r="B89" s="83" t="str">
        <x:v>S08</x:v>
      </x:c>
      <x:c r="C89" s="83" t="str">
        <x:v>Piano Nazionale Integrato per l'Energia e il Clima</x:v>
      </x:c>
      <x:c r="D89" s="83" t="str">
        <x:v>Tabella</x:v>
      </x:c>
      <x:c r="E89" s="83" t="str">
        <x:v>79</x:v>
      </x:c>
      <x:c r="F89" s="83" t="n">
        <x:v>405</x:v>
      </x:c>
      <x:c r="G89" s="83" t="n">
        <x:v>404</x:v>
      </x:c>
      <x:c r="H89" s="83" t="str">
        <x:v>4. Situazione attuale e proiezioni</x:v>
      </x:c>
      <x:c r="I89" s="83" t="str">
        <x:v>Tabella 79 - Capacità di interconnessione [elaborazioni dati Terna]</x:v>
      </x:c>
      <x:c r="J89" s="83" t="str">
        <x:v>Trasmissione e interconnessioni</x:v>
      </x:c>
      <x:c r="K89" s="83" t="str">
        <x:v>P2 - contesto/validazione</x:v>
      </x:c>
      <x:c r="L89" s="83" t="str">
        <x:v>Tabella testuale/PDF</x:v>
      </x:c>
      <x:c r="M89" s="83" t="str">
        <x:v>Basso</x:v>
      </x:c>
      <x:c r="N89" s="83" t="str">
        <x:v>Da verificare in Fase 3</x:v>
      </x:c>
    </x:row>
    <x:row r="90">
      <x:c r="A90" s="83" t="str">
        <x:v>S08-FIG-74-406</x:v>
      </x:c>
      <x:c r="B90" s="83" t="str">
        <x:v>S08</x:v>
      </x:c>
      <x:c r="C90" s="83" t="str">
        <x:v>Piano Nazionale Integrato per l'Energia e il Clima</x:v>
      </x:c>
      <x:c r="D90" s="83" t="str">
        <x:v>Figura</x:v>
      </x:c>
      <x:c r="E90" s="83" t="str">
        <x:v>74</x:v>
      </x:c>
      <x:c r="F90" s="83" t="n">
        <x:v>406</x:v>
      </x:c>
      <x:c r="G90" s="83" t="n">
        <x:v>405</x:v>
      </x:c>
      <x:c r="H90" s="83" t="str">
        <x:v>4. Situazione attuale e proiezioni</x:v>
      </x:c>
      <x:c r="I90" s="83" t="str">
        <x:v>Figura 74 - Progetti di interconnessione pianificati da Terna [Fonte: Terna]</x:v>
      </x:c>
      <x:c r="J90" s="83" t="str">
        <x:v>Trasmissione e interconnessioni</x:v>
      </x:c>
      <x:c r="K90" s="83" t="str">
        <x:v>P2 - contesto/validazione</x:v>
      </x:c>
      <x:c r="L90" s="83" t="str">
        <x:v>Figura o mappa; lettura etichette / eventuale digitalizzazione</x:v>
      </x:c>
      <x:c r="M90" s="83" t="str">
        <x:v>Medio</x:v>
      </x:c>
      <x:c r="N90" s="83" t="str">
        <x:v>Da verificare in Fase 3</x:v>
      </x:c>
    </x:row>
    <x:row r="91">
      <x:c r="A91" s="83" t="str">
        <x:v>S08-FIG-77-422</x:v>
      </x:c>
      <x:c r="B91" s="83" t="str">
        <x:v>S08</x:v>
      </x:c>
      <x:c r="C91" s="83" t="str">
        <x:v>Piano Nazionale Integrato per l'Energia e il Clima</x:v>
      </x:c>
      <x:c r="D91" s="83" t="str">
        <x:v>Figura</x:v>
      </x:c>
      <x:c r="E91" s="83" t="str">
        <x:v>77</x:v>
      </x:c>
      <x:c r="F91" s="83" t="n">
        <x:v>422</x:v>
      </x:c>
      <x:c r="G91" s="83" t="n">
        <x:v>421</x:v>
      </x:c>
      <x:c r="H91" s="83" t="str">
        <x:v>4. Situazione attuale e proiezioni</x:v>
      </x:c>
      <x:c r="I91" s="83" t="str">
        <x:v>Figura 77: Contributo dei maggiori gruppi alla produzione nazionale lorda: confronto 2021-2022</x:v>
      </x:c>
      <x:c r="J91" s="83" t="str">
        <x:v>Capacità e generazione</x:v>
      </x:c>
      <x:c r="K91" s="83" t="str">
        <x:v>P1 - input diretto/parametro</x:v>
      </x:c>
      <x:c r="L91" s="83" t="str">
        <x:v>Figura o mappa; lettura etichette / eventuale digitalizzazione</x:v>
      </x:c>
      <x:c r="M91" s="83" t="str">
        <x:v>Medio</x:v>
      </x:c>
      <x:c r="N91" s="83" t="str">
        <x:v>Da verificare in Fase 3</x:v>
      </x:c>
    </x:row>
    <x:row r="92">
      <x:c r="A92" s="83" t="str">
        <x:v>S08-FIG-86-446</x:v>
      </x:c>
      <x:c r="B92" s="83" t="str">
        <x:v>S08</x:v>
      </x:c>
      <x:c r="C92" s="83" t="str">
        <x:v>Piano Nazionale Integrato per l'Energia e il Clima</x:v>
      </x:c>
      <x:c r="D92" s="83" t="str">
        <x:v>Figura</x:v>
      </x:c>
      <x:c r="E92" s="83" t="str">
        <x:v>86</x:v>
      </x:c>
      <x:c r="F92" s="83" t="n">
        <x:v>446</x:v>
      </x:c>
      <x:c r="G92" s="83" t="n">
        <x:v>445</x:v>
      </x:c>
      <x:c r="H92" s="83" t="str">
        <x:v>4. Situazione attuale e proiezioni</x:v>
      </x:c>
      <x:c r="I92" s="83" t="str">
        <x:v>Figura 86 Andamento del prezzo dell'energia elettrica per il consumatore domestico tipo in maggior</x:v>
      </x:c>
      <x:c r="J92" s="83" t="str">
        <x:v>Mercato e prezzi</x:v>
      </x:c>
      <x:c r="K92" s="83" t="str">
        <x:v>P2 - contesto/validazione</x:v>
      </x:c>
      <x:c r="L92" s="83" t="str">
        <x:v>Figura o mappa; lettura etichette / eventuale digitalizzazione</x:v>
      </x:c>
      <x:c r="M92" s="83" t="str">
        <x:v>Medio</x:v>
      </x:c>
      <x:c r="N92" s="83" t="str">
        <x:v>Da verificare in Fase 3</x:v>
      </x:c>
    </x:row>
    <x:row r="93">
      <x:c r="A93" s="83" t="str">
        <x:v>S08-FIG-87-448</x:v>
      </x:c>
      <x:c r="B93" s="83" t="str">
        <x:v>S08</x:v>
      </x:c>
      <x:c r="C93" s="83" t="str">
        <x:v>Piano Nazionale Integrato per l'Energia e il Clima</x:v>
      </x:c>
      <x:c r="D93" s="83" t="str">
        <x:v>Figura</x:v>
      </x:c>
      <x:c r="E93" s="83" t="str">
        <x:v>87</x:v>
      </x:c>
      <x:c r="F93" s="83" t="n">
        <x:v>448</x:v>
      </x:c>
      <x:c r="G93" s="83" t="n">
        <x:v>447</x:v>
      </x:c>
      <x:c r="H93" s="83" t="str">
        <x:v>4. Situazione attuale e proiezioni</x:v>
      </x:c>
      <x:c r="I93" s="83" t="str">
        <x:v>Figura 87 Andamento del prezzo del gas naturale per un consumatore domestico tipo in regime di tutela e</x:v>
      </x:c>
      <x:c r="J93" s="83" t="str">
        <x:v>Mercato e prezzi</x:v>
      </x:c>
      <x:c r="K93" s="83" t="str">
        <x:v>P2 - contesto/validazione</x:v>
      </x:c>
      <x:c r="L93" s="83" t="str">
        <x:v>Figura o mappa; lettura etichette / eventuale digitalizzazione</x:v>
      </x:c>
      <x:c r="M93" s="83" t="str">
        <x:v>Medio</x:v>
      </x:c>
      <x:c r="N93" s="83" t="str">
        <x:v>Da verificare in Fase 3</x:v>
      </x:c>
    </x:row>
    <x:row r="94">
      <x:c r="A94" s="83" t="str">
        <x:v>S08-FIG-88-449</x:v>
      </x:c>
      <x:c r="B94" s="83" t="str">
        <x:v>S08</x:v>
      </x:c>
      <x:c r="C94" s="83" t="str">
        <x:v>Piano Nazionale Integrato per l'Energia e il Clima</x:v>
      </x:c>
      <x:c r="D94" s="83" t="str">
        <x:v>Figura</x:v>
      </x:c>
      <x:c r="E94" s="83" t="str">
        <x:v>88</x:v>
      </x:c>
      <x:c r="F94" s="83" t="n">
        <x:v>449</x:v>
      </x:c>
      <x:c r="G94" s="83" t="n">
        <x:v>448</x:v>
      </x:c>
      <x:c r="H94" s="83" t="str">
        <x:v>4. Situazione attuale e proiezioni</x:v>
      </x:c>
      <x:c r="I94" s="83" t="str">
        <x:v>Figura 88 Andamento del prezzo alla pompa di Benzina, Gasolio auto, Metano, Elettricità da ricarica</x:v>
      </x:c>
      <x:c r="J94" s="83" t="str">
        <x:v>Mercato e prezzi</x:v>
      </x:c>
      <x:c r="K94" s="83" t="str">
        <x:v>P2 - contesto/validazione</x:v>
      </x:c>
      <x:c r="L94" s="83" t="str">
        <x:v>Figura o mappa; lettura etichette / eventuale digitalizzazione</x:v>
      </x:c>
      <x:c r="M94" s="83" t="str">
        <x:v>Medio</x:v>
      </x:c>
      <x:c r="N94" s="83" t="str">
        <x:v>Da verificare in Fase 3</x:v>
      </x:c>
    </x:row>
    <x:row r="95">
      <x:c r="A95" s="83" t="str">
        <x:v>S08-FIG-89-449</x:v>
      </x:c>
      <x:c r="B95" s="83" t="str">
        <x:v>S08</x:v>
      </x:c>
      <x:c r="C95" s="83" t="str">
        <x:v>Piano Nazionale Integrato per l'Energia e il Clima</x:v>
      </x:c>
      <x:c r="D95" s="83" t="str">
        <x:v>Figura</x:v>
      </x:c>
      <x:c r="E95" s="83" t="str">
        <x:v>89</x:v>
      </x:c>
      <x:c r="F95" s="83" t="n">
        <x:v>449</x:v>
      </x:c>
      <x:c r="G95" s="83" t="n">
        <x:v>448</x:v>
      </x:c>
      <x:c r="H95" s="83" t="str">
        <x:v>4. Situazione attuale e proiezioni</x:v>
      </x:c>
      <x:c r="I95" s="83" t="str">
        <x:v>Figura 89 Andamento del prezzo (€/l) alla pompa della Benzina e delle sue componenti (fonte: elaborazioni</x:v>
      </x:c>
      <x:c r="J95" s="83" t="str">
        <x:v>Mercato e prezzi</x:v>
      </x:c>
      <x:c r="K95" s="83" t="str">
        <x:v>P2 - contesto/validazione</x:v>
      </x:c>
      <x:c r="L95" s="83" t="str">
        <x:v>Figura o mappa; lettura etichette / eventuale digitalizzazione</x:v>
      </x:c>
      <x:c r="M95" s="83" t="str">
        <x:v>Medio</x:v>
      </x:c>
      <x:c r="N95" s="83" t="str">
        <x:v>Da verificare in Fase 3</x:v>
      </x:c>
    </x:row>
    <x:row r="96">
      <x:c r="A96" s="83" t="str">
        <x:v>S08-FIG-90-450</x:v>
      </x:c>
      <x:c r="B96" s="83" t="str">
        <x:v>S08</x:v>
      </x:c>
      <x:c r="C96" s="83" t="str">
        <x:v>Piano Nazionale Integrato per l'Energia e il Clima</x:v>
      </x:c>
      <x:c r="D96" s="83" t="str">
        <x:v>Figura</x:v>
      </x:c>
      <x:c r="E96" s="83" t="str">
        <x:v>90</x:v>
      </x:c>
      <x:c r="F96" s="83" t="n">
        <x:v>450</x:v>
      </x:c>
      <x:c r="G96" s="83" t="n">
        <x:v>449</x:v>
      </x:c>
      <x:c r="H96" s="83" t="str">
        <x:v>4. Situazione attuale e proiezioni</x:v>
      </x:c>
      <x:c r="I96" s="83" t="str">
        <x:v>Figura 90 Andamento del prezzo (€/l) alla pompa del Gasolio auto e delle sue componenti (fonte:</x:v>
      </x:c>
      <x:c r="J96" s="83" t="str">
        <x:v>Mercato e prezzi</x:v>
      </x:c>
      <x:c r="K96" s="83" t="str">
        <x:v>P2 - contesto/validazione</x:v>
      </x:c>
      <x:c r="L96" s="83" t="str">
        <x:v>Figura o mappa; lettura etichette / eventuale digitalizzazione</x:v>
      </x:c>
      <x:c r="M96" s="83" t="str">
        <x:v>Medio</x:v>
      </x:c>
      <x:c r="N96" s="83" t="str">
        <x:v>Da verificare in Fase 3</x:v>
      </x:c>
    </x:row>
    <x:row r="97">
      <x:c r="A97" s="83" t="str">
        <x:v>S08-TAB-89-458</x:v>
      </x:c>
      <x:c r="B97" s="83" t="str">
        <x:v>S08</x:v>
      </x:c>
      <x:c r="C97" s="83" t="str">
        <x:v>Piano Nazionale Integrato per l'Energia e il Clima</x:v>
      </x:c>
      <x:c r="D97" s="83" t="str">
        <x:v>Tabella</x:v>
      </x:c>
      <x:c r="E97" s="83" t="str">
        <x:v>89</x:v>
      </x:c>
      <x:c r="F97" s="83" t="n">
        <x:v>458</x:v>
      </x:c>
      <x:c r="G97" s="83" t="n">
        <x:v>457</x:v>
      </x:c>
      <x:c r="H97" s="83" t="str">
        <x:v>5. Valutazione di impatto</x:v>
      </x:c>
      <x:c r="I97" s="83" t="str">
        <x:v>Tabella 89 - Consumo di energia primaria e finale (per ciascun settore), proiezioni 2020-2040 nello scenario</x:v>
      </x:c>
      <x:c r="J97" s="83" t="str">
        <x:v>Scenario e metodologia</x:v>
      </x:c>
      <x:c r="K97" s="83" t="str">
        <x:v>P2 - contesto/validazione</x:v>
      </x:c>
      <x:c r="L97" s="83" t="str">
        <x:v>Tabella testuale/PDF</x:v>
      </x:c>
      <x:c r="M97" s="83" t="str">
        <x:v>Basso</x:v>
      </x:c>
      <x:c r="N97" s="83" t="str">
        <x:v>Da verificare in Fase 3</x:v>
      </x:c>
    </x:row>
    <x:row r="98">
      <x:c r="A98" s="83" t="str">
        <x:v>S08-FIG-93-459</x:v>
      </x:c>
      <x:c r="B98" s="83" t="str">
        <x:v>S08</x:v>
      </x:c>
      <x:c r="C98" s="83" t="str">
        <x:v>Piano Nazionale Integrato per l'Energia e il Clima</x:v>
      </x:c>
      <x:c r="D98" s="83" t="str">
        <x:v>Figura</x:v>
      </x:c>
      <x:c r="E98" s="83" t="str">
        <x:v>93</x:v>
      </x:c>
      <x:c r="F98" s="83" t="n">
        <x:v>459</x:v>
      </x:c>
      <x:c r="G98" s="83" t="n">
        <x:v>458</x:v>
      </x:c>
      <x:c r="H98" s="83" t="str">
        <x:v>5. Valutazione di impatto</x:v>
      </x:c>
      <x:c r="I98" s="83" t="str">
        <x:v>Figura 93 - Mix del fabbisogno primario al 2030</x:v>
      </x:c>
      <x:c r="J98" s="83" t="str">
        <x:v>Domanda e consumi</x:v>
      </x:c>
      <x:c r="K98" s="83" t="str">
        <x:v>P1 - input diretto/parametro</x:v>
      </x:c>
      <x:c r="L98" s="83" t="str">
        <x:v>Figura o mappa; lettura etichette / eventuale digitalizzazione</x:v>
      </x:c>
      <x:c r="M98" s="83" t="str">
        <x:v>Medio</x:v>
      </x:c>
      <x:c r="N98" s="83" t="str">
        <x:v>Da verificare in Fase 3</x:v>
      </x:c>
    </x:row>
    <x:row r="99">
      <x:c r="A99" s="83" t="str">
        <x:v>S08-TAB-90-460</x:v>
      </x:c>
      <x:c r="B99" s="83" t="str">
        <x:v>S08</x:v>
      </x:c>
      <x:c r="C99" s="83" t="str">
        <x:v>Piano Nazionale Integrato per l'Energia e il Clima</x:v>
      </x:c>
      <x:c r="D99" s="83" t="str">
        <x:v>Tabella</x:v>
      </x:c>
      <x:c r="E99" s="83" t="str">
        <x:v>90</x:v>
      </x:c>
      <x:c r="F99" s="83" t="n">
        <x:v>460</x:v>
      </x:c>
      <x:c r="G99" s="83" t="n">
        <x:v>459</x:v>
      </x:c>
      <x:c r="H99" s="83" t="str">
        <x:v>5. Valutazione di impatto</x:v>
      </x:c>
      <x:c r="I99" s="83" t="str">
        <x:v>Tabella 90 - Risorse energetiche interne, proiezioni 2025-2040 – scenario PNIEC (ktep)</x:v>
      </x:c>
      <x:c r="J99" s="83" t="str">
        <x:v>Scenario e metodologia</x:v>
      </x:c>
      <x:c r="K99" s="83" t="str">
        <x:v>P2 - contesto/validazione</x:v>
      </x:c>
      <x:c r="L99" s="83" t="str">
        <x:v>Tabella testuale/PDF</x:v>
      </x:c>
      <x:c r="M99" s="83" t="str">
        <x:v>Basso</x:v>
      </x:c>
      <x:c r="N99" s="83" t="str">
        <x:v>Da verificare in Fase 3</x:v>
      </x:c>
    </x:row>
    <x:row r="100">
      <x:c r="A100" s="83" t="str">
        <x:v>S08-TAB-91-460</x:v>
      </x:c>
      <x:c r="B100" s="83" t="str">
        <x:v>S08</x:v>
      </x:c>
      <x:c r="C100" s="83" t="str">
        <x:v>Piano Nazionale Integrato per l'Energia e il Clima</x:v>
      </x:c>
      <x:c r="D100" s="83" t="str">
        <x:v>Tabella</x:v>
      </x:c>
      <x:c r="E100" s="83" t="str">
        <x:v>91</x:v>
      </x:c>
      <x:c r="F100" s="83" t="n">
        <x:v>460</x:v>
      </x:c>
      <x:c r="G100" s="83" t="n">
        <x:v>459</x:v>
      </x:c>
      <x:c r="H100" s="83" t="str">
        <x:v>5. Valutazione di impatto</x:v>
      </x:c>
      <x:c r="I100" s="83" t="str">
        <x:v>Tabella 91 - Importazioni nette, proiezioni 2025-2040 – scenario PNIEC (ktep)</x:v>
      </x:c>
      <x:c r="J100" s="83" t="str">
        <x:v>Scenario e metodologia</x:v>
      </x:c>
      <x:c r="K100" s="83" t="str">
        <x:v>P2 - contesto/validazione</x:v>
      </x:c>
      <x:c r="L100" s="83" t="str">
        <x:v>Tabella testuale/PDF</x:v>
      </x:c>
      <x:c r="M100" s="83" t="str">
        <x:v>Basso</x:v>
      </x:c>
      <x:c r="N100" s="83" t="str">
        <x:v>Da verificare in Fase 3</x:v>
      </x:c>
    </x:row>
    <x:row r="101">
      <x:c r="A101" s="83" t="str">
        <x:v>S08-TAB-92-460</x:v>
      </x:c>
      <x:c r="B101" s="83" t="str">
        <x:v>S08</x:v>
      </x:c>
      <x:c r="C101" s="83" t="str">
        <x:v>Piano Nazionale Integrato per l'Energia e il Clima</x:v>
      </x:c>
      <x:c r="D101" s="83" t="str">
        <x:v>Tabella</x:v>
      </x:c>
      <x:c r="E101" s="83" t="str">
        <x:v>92</x:v>
      </x:c>
      <x:c r="F101" s="83" t="n">
        <x:v>460</x:v>
      </x:c>
      <x:c r="G101" s="83" t="n">
        <x:v>459</x:v>
      </x:c>
      <x:c r="H101" s="83" t="str">
        <x:v>5. Valutazione di impatto</x:v>
      </x:c>
      <x:c r="I101" s="83" t="str">
        <x:v>Tabella 92 - Dipendenza energetica, proiezioni 2025-2040 – scenario PNIEC</x:v>
      </x:c>
      <x:c r="J101" s="83" t="str">
        <x:v>Scenario e metodologia</x:v>
      </x:c>
      <x:c r="K101" s="83" t="str">
        <x:v>P2 - contesto/validazione</x:v>
      </x:c>
      <x:c r="L101" s="83" t="str">
        <x:v>Tabella testuale/PDF</x:v>
      </x:c>
      <x:c r="M101" s="83" t="str">
        <x:v>Basso</x:v>
      </x:c>
      <x:c r="N101" s="83" t="str">
        <x:v>Da verificare in Fase 3</x:v>
      </x:c>
    </x:row>
    <x:row r="102">
      <x:c r="A102" s="83" t="str">
        <x:v>S08-FIG-94-461</x:v>
      </x:c>
      <x:c r="B102" s="83" t="str">
        <x:v>S08</x:v>
      </x:c>
      <x:c r="C102" s="83" t="str">
        <x:v>Piano Nazionale Integrato per l'Energia e il Clima</x:v>
      </x:c>
      <x:c r="D102" s="83" t="str">
        <x:v>Figura</x:v>
      </x:c>
      <x:c r="E102" s="83" t="str">
        <x:v>94</x:v>
      </x:c>
      <x:c r="F102" s="83" t="n">
        <x:v>461</x:v>
      </x:c>
      <x:c r="G102" s="83" t="n">
        <x:v>460</x:v>
      </x:c>
      <x:c r="H102" s="83" t="str">
        <x:v>5. Valutazione di impatto</x:v>
      </x:c>
      <x:c r="I102" s="83" t="str">
        <x:v>Figura 94 - Evoluzione dei consumi finali per fonte al 2040 [Fonte: RSE]</x:v>
      </x:c>
      <x:c r="J102" s="83" t="str">
        <x:v>Domanda e consumi</x:v>
      </x:c>
      <x:c r="K102" s="83" t="str">
        <x:v>P2 - contesto/validazione</x:v>
      </x:c>
      <x:c r="L102" s="83" t="str">
        <x:v>Figura o mappa; lettura etichette / eventuale digitalizzazione</x:v>
      </x:c>
      <x:c r="M102" s="83" t="str">
        <x:v>Medio</x:v>
      </x:c>
      <x:c r="N102" s="83" t="str">
        <x:v>Da verificare in Fase 3</x:v>
      </x:c>
    </x:row>
    <x:row r="103">
      <x:c r="A103" s="83" t="str">
        <x:v>S08-FIG-95-462</x:v>
      </x:c>
      <x:c r="B103" s="83" t="str">
        <x:v>S08</x:v>
      </x:c>
      <x:c r="C103" s="83" t="str">
        <x:v>Piano Nazionale Integrato per l'Energia e il Clima</x:v>
      </x:c>
      <x:c r="D103" s="83" t="str">
        <x:v>Figura</x:v>
      </x:c>
      <x:c r="E103" s="83" t="str">
        <x:v>95</x:v>
      </x:c>
      <x:c r="F103" s="83" t="n">
        <x:v>462</x:v>
      </x:c>
      <x:c r="G103" s="83" t="n">
        <x:v>461</x:v>
      </x:c>
      <x:c r="H103" s="83" t="str">
        <x:v>5. Valutazione di impatto</x:v>
      </x:c>
      <x:c r="I103" s="83" t="str">
        <x:v>Figura 95 - Evoluzione della produzione lorda di energia elettrica al 2040 (inclusa l’energia elettrica</x:v>
      </x:c>
      <x:c r="J103" s="83" t="str">
        <x:v>Contesto / metodologia</x:v>
      </x:c>
      <x:c r="K103" s="83" t="str">
        <x:v>P2 - contesto/validazione</x:v>
      </x:c>
      <x:c r="L103" s="83" t="str">
        <x:v>Figura o mappa; lettura etichette / eventuale digitalizzazione</x:v>
      </x:c>
      <x:c r="M103" s="83" t="str">
        <x:v>Medio</x:v>
      </x:c>
      <x:c r="N103" s="83" t="str">
        <x:v>Da verificare in Fase 3</x:v>
      </x:c>
    </x:row>
    <x:row r="104">
      <x:c r="A104" s="83" t="str">
        <x:v>S08-TAB-93-463</x:v>
      </x:c>
      <x:c r="B104" s="83" t="str">
        <x:v>S08</x:v>
      </x:c>
      <x:c r="C104" s="83" t="str">
        <x:v>Piano Nazionale Integrato per l'Energia e il Clima</x:v>
      </x:c>
      <x:c r="D104" s="83" t="str">
        <x:v>Tabella</x:v>
      </x:c>
      <x:c r="E104" s="83" t="str">
        <x:v>93</x:v>
      </x:c>
      <x:c r="F104" s="83" t="n">
        <x:v>463</x:v>
      </x:c>
      <x:c r="G104" s="83" t="n">
        <x:v>462</x:v>
      </x:c>
      <x:c r="H104" s="83" t="str">
        <x:v>5. Valutazione di impatto</x:v>
      </x:c>
      <x:c r="I104" s="83" t="str">
        <x:v>Tabella 93 - Emissioni nazionali di gas serra e obiettivi europei (Mt CO2eq) - scenario con politiche</x:v>
      </x:c>
      <x:c r="J104" s="83" t="str">
        <x:v>Mercato e prezzi; Emissioni e ambiente; Scenario e metodologia</x:v>
      </x:c>
      <x:c r="K104" s="83" t="str">
        <x:v>P1 - input diretto/parametro</x:v>
      </x:c>
      <x:c r="L104" s="83" t="str">
        <x:v>Tabella testuale/PDF</x:v>
      </x:c>
      <x:c r="M104" s="83" t="str">
        <x:v>Basso</x:v>
      </x:c>
      <x:c r="N104" s="83" t="str">
        <x:v>Da verificare in Fase 3</x:v>
      </x:c>
    </x:row>
    <x:row r="105">
      <x:c r="A105" s="83" t="str">
        <x:v>S08-TAB-94-463</x:v>
      </x:c>
      <x:c r="B105" s="83" t="str">
        <x:v>S08</x:v>
      </x:c>
      <x:c r="C105" s="83" t="str">
        <x:v>Piano Nazionale Integrato per l'Energia e il Clima</x:v>
      </x:c>
      <x:c r="D105" s="83" t="str">
        <x:v>Tabella</x:v>
      </x:c>
      <x:c r="E105" s="83" t="str">
        <x:v>94</x:v>
      </x:c>
      <x:c r="F105" s="83" t="n">
        <x:v>463</x:v>
      </x:c>
      <x:c r="G105" s="83" t="n">
        <x:v>462</x:v>
      </x:c>
      <x:c r="H105" s="83" t="str">
        <x:v>5. Valutazione di impatto</x:v>
      </x:c>
      <x:c r="I105" s="83" t="str">
        <x:v>Tabella 94 - Emissioni di gas serra storiche fino al 2015 e secondo lo scenario PNIEC disaggregate per settore</x:v>
      </x:c>
      <x:c r="J105" s="83" t="str">
        <x:v>Emissioni e ambiente; Scenario e metodologia</x:v>
      </x:c>
      <x:c r="K105" s="83" t="str">
        <x:v>P2 - contesto/validazione</x:v>
      </x:c>
      <x:c r="L105" s="83" t="str">
        <x:v>Tabella testuale/PDF</x:v>
      </x:c>
      <x:c r="M105" s="83" t="str">
        <x:v>Basso</x:v>
      </x:c>
      <x:c r="N105" s="83" t="str">
        <x:v>Da verificare in Fase 3</x:v>
      </x:c>
    </x:row>
    <x:row r="106">
      <x:c r="A106" s="83" t="str">
        <x:v>S08-FIG-96-464</x:v>
      </x:c>
      <x:c r="B106" s="83" t="str">
        <x:v>S08</x:v>
      </x:c>
      <x:c r="C106" s="83" t="str">
        <x:v>Piano Nazionale Integrato per l'Energia e il Clima</x:v>
      </x:c>
      <x:c r="D106" s="83" t="str">
        <x:v>Figura</x:v>
      </x:c>
      <x:c r="E106" s="83" t="str">
        <x:v>96</x:v>
      </x:c>
      <x:c r="F106" s="83" t="n">
        <x:v>464</x:v>
      </x:c>
      <x:c r="G106" s="83" t="n">
        <x:v>463</x:v>
      </x:c>
      <x:c r="H106" s="83" t="str">
        <x:v>5. Valutazione di impatto</x:v>
      </x:c>
      <x:c r="I106" s="83" t="str">
        <x:v>Figura 96 - Emissioni di gas serra storiche fino al 2022 e secondo lo scenario a politiche aggiuntive</x:v>
      </x:c>
      <x:c r="J106" s="83" t="str">
        <x:v>Emissioni e ambiente; Scenario e metodologia</x:v>
      </x:c>
      <x:c r="K106" s="83" t="str">
        <x:v>P2 - contesto/validazione</x:v>
      </x:c>
      <x:c r="L106" s="83" t="str">
        <x:v>Figura o mappa; lettura etichette / eventuale digitalizzazione</x:v>
      </x:c>
      <x:c r="M106" s="83" t="str">
        <x:v>Medio</x:v>
      </x:c>
      <x:c r="N106" s="83" t="str">
        <x:v>Da verificare in Fase 3</x:v>
      </x:c>
    </x:row>
    <x:row r="107">
      <x:c r="A107" s="83" t="str">
        <x:v>S08-TAB-100-479</x:v>
      </x:c>
      <x:c r="B107" s="83" t="str">
        <x:v>S08</x:v>
      </x:c>
      <x:c r="C107" s="83" t="str">
        <x:v>Piano Nazionale Integrato per l'Energia e il Clima</x:v>
      </x:c>
      <x:c r="D107" s="83" t="str">
        <x:v>Tabella</x:v>
      </x:c>
      <x:c r="E107" s="83" t="str">
        <x:v>100</x:v>
      </x:c>
      <x:c r="F107" s="83" t="n">
        <x:v>479</x:v>
      </x:c>
      <x:c r="G107" s="83" t="n">
        <x:v>478</x:v>
      </x:c>
      <x:c r="H107" s="83" t="str">
        <x:v>5. Valutazione di impatto</x:v>
      </x:c>
      <x:c r="I107" s="83" t="str">
        <x:v>Tabella 100 - Investimenti in tecnologie di produzione di energia elettrica da FER necessari per l’evoluzione</x:v>
      </x:c>
      <x:c r="J107" s="83" t="str">
        <x:v>Capacità e generazione</x:v>
      </x:c>
      <x:c r="K107" s="83" t="str">
        <x:v>P2 - contesto/validazione</x:v>
      </x:c>
      <x:c r="L107" s="83" t="str">
        <x:v>Tabella testuale/PDF</x:v>
      </x:c>
      <x:c r="M107" s="83" t="str">
        <x:v>Basso</x:v>
      </x:c>
      <x:c r="N107" s="83" t="str">
        <x:v>Da verificare in Fase 3</x:v>
      </x:c>
    </x:row>
    <x:row r="108">
      <x:c r="A108" s="83" t="str">
        <x:v>S08-TAB-102-484</x:v>
      </x:c>
      <x:c r="B108" s="83" t="str">
        <x:v>S08</x:v>
      </x:c>
      <x:c r="C108" s="83" t="str">
        <x:v>Piano Nazionale Integrato per l'Energia e il Clima</x:v>
      </x:c>
      <x:c r="D108" s="83" t="str">
        <x:v>Tabella</x:v>
      </x:c>
      <x:c r="E108" s="83" t="str">
        <x:v>102</x:v>
      </x:c>
      <x:c r="F108" s="83" t="n">
        <x:v>484</x:v>
      </x:c>
      <x:c r="G108" s="83" t="n">
        <x:v>483</x:v>
      </x:c>
      <x:c r="H108" s="83" t="str">
        <x:v>5. Valutazione di impatto</x:v>
      </x:c>
      <x:c r="I108" s="83" t="str">
        <x:v>Tabella 102 - Spese green - Prima emissione BTP 2045 del 3 marzo 2021 (mln €)</x:v>
      </x:c>
      <x:c r="J108" s="83" t="str">
        <x:v>Emissioni e ambiente</x:v>
      </x:c>
      <x:c r="K108" s="83" t="str">
        <x:v>P2 - contesto/validazione</x:v>
      </x:c>
      <x:c r="L108" s="83" t="str">
        <x:v>Tabella testuale/PDF</x:v>
      </x:c>
      <x:c r="M108" s="83" t="str">
        <x:v>Basso</x:v>
      </x:c>
      <x:c r="N108" s="83" t="str">
        <x:v>Da verificare in Fase 3</x:v>
      </x:c>
    </x:row>
    <x:row r="109">
      <x:c r="A109" s="83" t="str">
        <x:v>S08-FIG-98-485</x:v>
      </x:c>
      <x:c r="B109" s="83" t="str">
        <x:v>S08</x:v>
      </x:c>
      <x:c r="C109" s="83" t="str">
        <x:v>Piano Nazionale Integrato per l'Energia e il Clima</x:v>
      </x:c>
      <x:c r="D109" s="83" t="str">
        <x:v>Figura</x:v>
      </x:c>
      <x:c r="E109" s="83" t="str">
        <x:v>98</x:v>
      </x:c>
      <x:c r="F109" s="83" t="n">
        <x:v>485</x:v>
      </x:c>
      <x:c r="G109" s="83" t="n">
        <x:v>484</x:v>
      </x:c>
      <x:c r="H109" s="83" t="str">
        <x:v>5. Valutazione di impatto</x:v>
      </x:c>
      <x:c r="I109" s="83" t="str">
        <x:v>Figura 98 - Allocazione e Impatto emissione BTP 2045 del 3 marzo 2021</x:v>
      </x:c>
      <x:c r="J109" s="83" t="str">
        <x:v>Emissioni e ambiente</x:v>
      </x:c>
      <x:c r="K109" s="83" t="str">
        <x:v>P2 - contesto/validazione</x:v>
      </x:c>
      <x:c r="L109" s="83" t="str">
        <x:v>Figura o mappa; lettura etichette / eventuale digitalizzazione</x:v>
      </x:c>
      <x:c r="M109" s="83" t="str">
        <x:v>Medio</x:v>
      </x:c>
      <x:c r="N109" s="83" t="str">
        <x:v>Da verificare in Fase 3</x:v>
      </x:c>
    </x:row>
    <x:row r="110">
      <x:c r="A110" s="83" t="str">
        <x:v>S07-FIG-1-7</x:v>
      </x:c>
      <x:c r="B110" s="83" t="str">
        <x:v>S07</x:v>
      </x:c>
      <x:c r="C110" s="83" t="str">
        <x:v>Prospettive di Sviluppo del Sistema Energetico 2050 - Copertura della domanda elettrica</x:v>
      </x:c>
      <x:c r="D110" s="83" t="str">
        <x:v>Figura</x:v>
      </x:c>
      <x:c r="E110" s="83" t="str">
        <x:v>1</x:v>
      </x:c>
      <x:c r="F110" s="83" t="n">
        <x:v>7</x:v>
      </x:c>
      <x:c r="G110" s="83" t="n">
        <x:v>5</x:v>
      </x:c>
      <x:c r="H110" s="83" t="str">
        <x:v>2. Contesto energetico e mercato</x:v>
      </x:c>
      <x:c r="I110" s="83" t="str">
        <x:v>Figura 1 - Bilancio energetico EU27 (sinistra) e Italia (destra) (Fonte: Eurostat, dati 2023 [Mtep])</x:v>
      </x:c>
      <x:c r="J110" s="83" t="str">
        <x:v>Contesto / metodologia</x:v>
      </x:c>
      <x:c r="K110" s="83" t="str">
        <x:v>P2 - contesto/validazione</x:v>
      </x:c>
      <x:c r="L110" s="83" t="str">
        <x:v>Figura o mappa; lettura etichette / eventuale digitalizzazione</x:v>
      </x:c>
      <x:c r="M110" s="83" t="str">
        <x:v>Medio</x:v>
      </x:c>
      <x:c r="N110" s="83" t="str">
        <x:v>Da verificare in Fase 3</x:v>
      </x:c>
    </x:row>
    <x:row r="111">
      <x:c r="A111" s="83" t="str">
        <x:v>S07-FIG-2-8</x:v>
      </x:c>
      <x:c r="B111" s="83" t="str">
        <x:v>S07</x:v>
      </x:c>
      <x:c r="C111" s="83" t="str">
        <x:v>Prospettive di Sviluppo del Sistema Energetico 2050 - Copertura della domanda elettrica</x:v>
      </x:c>
      <x:c r="D111" s="83" t="str">
        <x:v>Figura</x:v>
      </x:c>
      <x:c r="E111" s="83" t="str">
        <x:v>2</x:v>
      </x:c>
      <x:c r="F111" s="83" t="n">
        <x:v>8</x:v>
      </x:c>
      <x:c r="G111" s="83" t="n">
        <x:v>6</x:v>
      </x:c>
      <x:c r="H111" s="83" t="str">
        <x:v>2. Contesto energetico e mercato</x:v>
      </x:c>
      <x:c r="I111" s="83" t="str">
        <x:v>Figura 2 - Approvvigionamento elettrico per fonte in Italia (%) (Fonte Terna, dati al 2024 provvisori)</x:v>
      </x:c>
      <x:c r="J111" s="83" t="str">
        <x:v>Contesto / metodologia</x:v>
      </x:c>
      <x:c r="K111" s="83" t="str">
        <x:v>P2 - contesto/validazione</x:v>
      </x:c>
      <x:c r="L111" s="83" t="str">
        <x:v>Figura o mappa; lettura etichette / eventuale digitalizzazione</x:v>
      </x:c>
      <x:c r="M111" s="83" t="str">
        <x:v>Medio</x:v>
      </x:c>
      <x:c r="N111" s="83" t="str">
        <x:v>Da verificare in Fase 3</x:v>
      </x:c>
    </x:row>
    <x:row r="112">
      <x:c r="A112" s="83" t="str">
        <x:v>S07-FIG-3-9</x:v>
      </x:c>
      <x:c r="B112" s="83" t="str">
        <x:v>S07</x:v>
      </x:c>
      <x:c r="C112" s="83" t="str">
        <x:v>Prospettive di Sviluppo del Sistema Energetico 2050 - Copertura della domanda elettrica</x:v>
      </x:c>
      <x:c r="D112" s="83" t="str">
        <x:v>Figura</x:v>
      </x:c>
      <x:c r="E112" s="83" t="str">
        <x:v>3</x:v>
      </x:c>
      <x:c r="F112" s="83" t="n">
        <x:v>9</x:v>
      </x:c>
      <x:c r="G112" s="83" t="n">
        <x:v>7</x:v>
      </x:c>
      <x:c r="H112" s="83" t="str">
        <x:v>2. Contesto energetico e mercato</x:v>
      </x:c>
      <x:c r="I112" s="83" t="str">
        <x:v>Figura 3 - Andamento prezzi giornalieri commodity</x:v>
      </x:c>
      <x:c r="J112" s="83" t="str">
        <x:v>Mercato e prezzi</x:v>
      </x:c>
      <x:c r="K112" s="83" t="str">
        <x:v>P2 - contesto/validazione</x:v>
      </x:c>
      <x:c r="L112" s="83" t="str">
        <x:v>Figura o mappa; lettura etichette / eventuale digitalizzazione</x:v>
      </x:c>
      <x:c r="M112" s="83" t="str">
        <x:v>Medio</x:v>
      </x:c>
      <x:c r="N112" s="83" t="str">
        <x:v>Da verificare in Fase 3</x:v>
      </x:c>
    </x:row>
    <x:row r="113">
      <x:c r="A113" s="83" t="str">
        <x:v>S07-TAB-1-9</x:v>
      </x:c>
      <x:c r="B113" s="83" t="str">
        <x:v>S07</x:v>
      </x:c>
      <x:c r="C113" s="83" t="str">
        <x:v>Prospettive di Sviluppo del Sistema Energetico 2050 - Copertura della domanda elettrica</x:v>
      </x:c>
      <x:c r="D113" s="83" t="str">
        <x:v>Tabella</x:v>
      </x:c>
      <x:c r="E113" s="83" t="str">
        <x:v>1</x:v>
      </x:c>
      <x:c r="F113" s="83" t="n">
        <x:v>9</x:v>
      </x:c>
      <x:c r="G113" s="83" t="n">
        <x:v>7</x:v>
      </x:c>
      <x:c r="H113" s="83" t="str">
        <x:v>2. Contesto energetico e mercato</x:v>
      </x:c>
      <x:c r="I113" s="83" t="str">
        <x:v>Tabella 1 - Confronto tra il costo variabile degli impianti a ciclo combinato a gas naturale (CCGT) e il</x:v>
      </x:c>
      <x:c r="J113" s="83" t="str">
        <x:v>Capacità e generazione; Mercato e prezzi</x:v>
      </x:c>
      <x:c r="K113" s="83" t="str">
        <x:v>P1 - input diretto/parametro</x:v>
      </x:c>
      <x:c r="L113" s="83" t="str">
        <x:v>Tabella testuale/PDF</x:v>
      </x:c>
      <x:c r="M113" s="83" t="str">
        <x:v>Basso</x:v>
      </x:c>
      <x:c r="N113" s="83" t="str">
        <x:v>Da verificare in Fase 3</x:v>
      </x:c>
    </x:row>
    <x:row r="114">
      <x:c r="A114" s="83" t="str">
        <x:v>S07-FIG-4-10</x:v>
      </x:c>
      <x:c r="B114" s="83" t="str">
        <x:v>S07</x:v>
      </x:c>
      <x:c r="C114" s="83" t="str">
        <x:v>Prospettive di Sviluppo del Sistema Energetico 2050 - Copertura della domanda elettrica</x:v>
      </x:c>
      <x:c r="D114" s="83" t="str">
        <x:v>Figura</x:v>
      </x:c>
      <x:c r="E114" s="83" t="str">
        <x:v>4</x:v>
      </x:c>
      <x:c r="F114" s="83" t="n">
        <x:v>10</x:v>
      </x:c>
      <x:c r="G114" s="83" t="n">
        <x:v>8</x:v>
      </x:c>
      <x:c r="H114" s="83" t="str">
        <x:v>2. Contesto energetico e mercato</x:v>
      </x:c>
      <x:c r="I114" s="83" t="str">
        <x:v>Figura 4 - Confronto investimenti PNIEC e costo variabile CCGT</x:v>
      </x:c>
      <x:c r="J114" s="83" t="str">
        <x:v>Capacità e generazione; Mercato e prezzi; Scenario e metodologia</x:v>
      </x:c>
      <x:c r="K114" s="83" t="str">
        <x:v>P1 - input diretto/parametro</x:v>
      </x:c>
      <x:c r="L114" s="83" t="str">
        <x:v>Figura o mappa; lettura etichette / eventuale digitalizzazione</x:v>
      </x:c>
      <x:c r="M114" s="83" t="str">
        <x:v>Medio</x:v>
      </x:c>
      <x:c r="N114" s="83" t="str">
        <x:v>Da verificare in Fase 3</x:v>
      </x:c>
    </x:row>
    <x:row r="115">
      <x:c r="A115" s="83" t="str">
        <x:v>S07-FIG-5-11</x:v>
      </x:c>
      <x:c r="B115" s="83" t="str">
        <x:v>S07</x:v>
      </x:c>
      <x:c r="C115" s="83" t="str">
        <x:v>Prospettive di Sviluppo del Sistema Energetico 2050 - Copertura della domanda elettrica</x:v>
      </x:c>
      <x:c r="D115" s="83" t="str">
        <x:v>Figura</x:v>
      </x:c>
      <x:c r="E115" s="83" t="str">
        <x:v>5</x:v>
      </x:c>
      <x:c r="F115" s="83" t="n">
        <x:v>11</x:v>
      </x:c>
      <x:c r="G115" s="83" t="n">
        <x:v>9</x:v>
      </x:c>
      <x:c r="H115" s="83" t="str">
        <x:v>2. Contesto energetico e mercato</x:v>
      </x:c>
      <x:c r="I115" s="83" t="str">
        <x:v>Figura 5 - Possibile progressione temporale della capacità installata [GW] (Fonte: PNIEC 2024)</x:v>
      </x:c>
      <x:c r="J115" s="83" t="str">
        <x:v>Capacità e generazione; Scenario e metodologia</x:v>
      </x:c>
      <x:c r="K115" s="83" t="str">
        <x:v>P1 - input diretto/parametro</x:v>
      </x:c>
      <x:c r="L115" s="83" t="str">
        <x:v>Figura o mappa; lettura etichette / eventuale digitalizzazione</x:v>
      </x:c>
      <x:c r="M115" s="83" t="str">
        <x:v>Medio</x:v>
      </x:c>
      <x:c r="N115" s="83" t="str">
        <x:v>Da verificare in Fase 3</x:v>
      </x:c>
    </x:row>
    <x:row r="116">
      <x:c r="A116" s="83" t="str">
        <x:v>S07-FIG-6-12</x:v>
      </x:c>
      <x:c r="B116" s="83" t="str">
        <x:v>S07</x:v>
      </x:c>
      <x:c r="C116" s="83" t="str">
        <x:v>Prospettive di Sviluppo del Sistema Energetico 2050 - Copertura della domanda elettrica</x:v>
      </x:c>
      <x:c r="D116" s="83" t="str">
        <x:v>Figura</x:v>
      </x:c>
      <x:c r="E116" s="83" t="str">
        <x:v>6</x:v>
      </x:c>
      <x:c r="F116" s="83" t="n">
        <x:v>12</x:v>
      </x:c>
      <x:c r="G116" s="83" t="n">
        <x:v>10</x:v>
      </x:c>
      <x:c r="H116" s="83" t="str">
        <x:v>2. Contesto energetico e mercato</x:v>
      </x:c>
      <x:c r="I116" s="83" t="str">
        <x:v>Figura 6 - Andamento capacità installata solare e eolica EU (Fonte: IRENA)</x:v>
      </x:c>
      <x:c r="J116" s="83" t="str">
        <x:v>Capacità e generazione</x:v>
      </x:c>
      <x:c r="K116" s="83" t="str">
        <x:v>P1 - input diretto/parametro</x:v>
      </x:c>
      <x:c r="L116" s="83" t="str">
        <x:v>Figura o mappa; lettura etichette / eventuale digitalizzazione</x:v>
      </x:c>
      <x:c r="M116" s="83" t="str">
        <x:v>Medio</x:v>
      </x:c>
      <x:c r="N116" s="83" t="str">
        <x:v>Da verificare in Fase 3</x:v>
      </x:c>
    </x:row>
    <x:row r="117">
      <x:c r="A117" s="83" t="str">
        <x:v>S07-FIG-7-13</x:v>
      </x:c>
      <x:c r="B117" s="83" t="str">
        <x:v>S07</x:v>
      </x:c>
      <x:c r="C117" s="83" t="str">
        <x:v>Prospettive di Sviluppo del Sistema Energetico 2050 - Copertura della domanda elettrica</x:v>
      </x:c>
      <x:c r="D117" s="83" t="str">
        <x:v>Figura</x:v>
      </x:c>
      <x:c r="E117" s="83" t="str">
        <x:v>7</x:v>
      </x:c>
      <x:c r="F117" s="83" t="n">
        <x:v>13</x:v>
      </x:c>
      <x:c r="G117" s="83" t="n">
        <x:v>11</x:v>
      </x:c>
      <x:c r="H117" s="83" t="str">
        <x:v>2. Contesto energetico e mercato</x:v>
      </x:c>
      <x:c r="I117" s="83" t="str">
        <x:v>Figura 7 - Evoluzione della generazione elettrica in EU-27/EEA 2020-2024 (TWh) (Fonte: ACER)</x:v>
      </x:c>
      <x:c r="J117" s="83" t="str">
        <x:v>Capacità e generazione</x:v>
      </x:c>
      <x:c r="K117" s="83" t="str">
        <x:v>P1 - input diretto/parametro</x:v>
      </x:c>
      <x:c r="L117" s="83" t="str">
        <x:v>Figura o mappa; lettura etichette / eventuale digitalizzazione</x:v>
      </x:c>
      <x:c r="M117" s="83" t="str">
        <x:v>Medio</x:v>
      </x:c>
      <x:c r="N117" s="83" t="str">
        <x:v>Da verificare in Fase 3</x:v>
      </x:c>
    </x:row>
    <x:row r="118">
      <x:c r="A118" s="83" t="str">
        <x:v>S07-FIG-8-13</x:v>
      </x:c>
      <x:c r="B118" s="83" t="str">
        <x:v>S07</x:v>
      </x:c>
      <x:c r="C118" s="83" t="str">
        <x:v>Prospettive di Sviluppo del Sistema Energetico 2050 - Copertura della domanda elettrica</x:v>
      </x:c>
      <x:c r="D118" s="83" t="str">
        <x:v>Figura</x:v>
      </x:c>
      <x:c r="E118" s="83" t="str">
        <x:v>8</x:v>
      </x:c>
      <x:c r="F118" s="83" t="n">
        <x:v>13</x:v>
      </x:c>
      <x:c r="G118" s="83" t="n">
        <x:v>11</x:v>
      </x:c>
      <x:c r="H118" s="83" t="str">
        <x:v>2. Contesto energetico e mercato</x:v>
      </x:c>
      <x:c r="I118" s="83" t="str">
        <x:v>Figura 8 - Capacità BESS in Europa (2019-2024) (Fonte: SolarPowerEurope)</x:v>
      </x:c>
      <x:c r="J118" s="83" t="str">
        <x:v>Accumuli e flessibilità</x:v>
      </x:c>
      <x:c r="K118" s="83" t="str">
        <x:v>P2 - contesto/validazione</x:v>
      </x:c>
      <x:c r="L118" s="83" t="str">
        <x:v>Figura o mappa; lettura etichette / eventuale digitalizzazione</x:v>
      </x:c>
      <x:c r="M118" s="83" t="str">
        <x:v>Medio</x:v>
      </x:c>
      <x:c r="N118" s="83" t="str">
        <x:v>Da verificare in Fase 3</x:v>
      </x:c>
    </x:row>
    <x:row r="119">
      <x:c r="A119" s="83" t="str">
        <x:v>S07-FIG-9-15</x:v>
      </x:c>
      <x:c r="B119" s="83" t="str">
        <x:v>S07</x:v>
      </x:c>
      <x:c r="C119" s="83" t="str">
        <x:v>Prospettive di Sviluppo del Sistema Energetico 2050 - Copertura della domanda elettrica</x:v>
      </x:c>
      <x:c r="D119" s="83" t="str">
        <x:v>Figura</x:v>
      </x:c>
      <x:c r="E119" s="83" t="str">
        <x:v>9</x:v>
      </x:c>
      <x:c r="F119" s="83" t="n">
        <x:v>15</x:v>
      </x:c>
      <x:c r="G119" s="83" t="n">
        <x:v>13</x:v>
      </x:c>
      <x:c r="H119" s="83" t="str">
        <x:v>2. Contesto energetico e mercato</x:v>
      </x:c>
      <x:c r="I119" s="83" t="str">
        <x:v>Figura 9 - Capacità totale installata eolica e solare (Fonte: Terna)</x:v>
      </x:c>
      <x:c r="J119" s="83" t="str">
        <x:v>Capacità e generazione</x:v>
      </x:c>
      <x:c r="K119" s="83" t="str">
        <x:v>P2 - contesto/validazione</x:v>
      </x:c>
      <x:c r="L119" s="83" t="str">
        <x:v>Figura o mappa; lettura etichette / eventuale digitalizzazione</x:v>
      </x:c>
      <x:c r="M119" s="83" t="str">
        <x:v>Medio</x:v>
      </x:c>
      <x:c r="N119" s="83" t="str">
        <x:v>Da verificare in Fase 3</x:v>
      </x:c>
    </x:row>
    <x:row r="120">
      <x:c r="A120" s="83" t="str">
        <x:v>S07-FIG-10-15</x:v>
      </x:c>
      <x:c r="B120" s="83" t="str">
        <x:v>S07</x:v>
      </x:c>
      <x:c r="C120" s="83" t="str">
        <x:v>Prospettive di Sviluppo del Sistema Energetico 2050 - Copertura della domanda elettrica</x:v>
      </x:c>
      <x:c r="D120" s="83" t="str">
        <x:v>Figura</x:v>
      </x:c>
      <x:c r="E120" s="83" t="str">
        <x:v>10</x:v>
      </x:c>
      <x:c r="F120" s="83" t="n">
        <x:v>15</x:v>
      </x:c>
      <x:c r="G120" s="83" t="n">
        <x:v>13</x:v>
      </x:c>
      <x:c r="H120" s="83" t="str">
        <x:v>2. Contesto energetico e mercato</x:v>
      </x:c>
      <x:c r="I120" s="83" t="str">
        <x:v>Figura 10 - Nuova capacità solare entrata in esercizio per anno e taglia degli impianti (MW) (Fonte: Terna)</x:v>
      </x:c>
      <x:c r="J120" s="83" t="str">
        <x:v>Capacità e generazione</x:v>
      </x:c>
      <x:c r="K120" s="83" t="str">
        <x:v>P2 - contesto/validazione</x:v>
      </x:c>
      <x:c r="L120" s="83" t="str">
        <x:v>Figura o mappa; lettura etichette / eventuale digitalizzazione</x:v>
      </x:c>
      <x:c r="M120" s="83" t="str">
        <x:v>Medio</x:v>
      </x:c>
      <x:c r="N120" s="83" t="str">
        <x:v>Da verificare in Fase 3</x:v>
      </x:c>
    </x:row>
    <x:row r="121">
      <x:c r="A121" s="83" t="str">
        <x:v>S07-FIG-11-16</x:v>
      </x:c>
      <x:c r="B121" s="83" t="str">
        <x:v>S07</x:v>
      </x:c>
      <x:c r="C121" s="83" t="str">
        <x:v>Prospettive di Sviluppo del Sistema Energetico 2050 - Copertura della domanda elettrica</x:v>
      </x:c>
      <x:c r="D121" s="83" t="str">
        <x:v>Figura</x:v>
      </x:c>
      <x:c r="E121" s="83" t="str">
        <x:v>11</x:v>
      </x:c>
      <x:c r="F121" s="83" t="n">
        <x:v>16</x:v>
      </x:c>
      <x:c r="G121" s="83" t="n">
        <x:v>14</x:v>
      </x:c>
      <x:c r="H121" s="83" t="str">
        <x:v>2. Contesto energetico e mercato</x:v>
      </x:c>
      <x:c r="I121" s="83" t="str">
        <x:v>Figura 11 - Sistemi di accumulo: capacità e potenza in esercizio (sx)</x:v>
      </x:c>
      <x:c r="J121" s="83" t="str">
        <x:v>Accumuli e flessibilità</x:v>
      </x:c>
      <x:c r="K121" s="83" t="str">
        <x:v>P2 - contesto/validazione</x:v>
      </x:c>
      <x:c r="L121" s="83" t="str">
        <x:v>Figura o mappa; lettura etichette / eventuale digitalizzazione</x:v>
      </x:c>
      <x:c r="M121" s="83" t="str">
        <x:v>Medio</x:v>
      </x:c>
      <x:c r="N121" s="83" t="str">
        <x:v>Estratto e verificato — Fase 3C</x:v>
      </x:c>
    </x:row>
    <x:row r="122">
      <x:c r="A122" s="83" t="str">
        <x:v>S07-FIG-12-17</x:v>
      </x:c>
      <x:c r="B122" s="83" t="str">
        <x:v>S07</x:v>
      </x:c>
      <x:c r="C122" s="83" t="str">
        <x:v>Prospettive di Sviluppo del Sistema Energetico 2050 - Copertura della domanda elettrica</x:v>
      </x:c>
      <x:c r="D122" s="83" t="str">
        <x:v>Figura</x:v>
      </x:c>
      <x:c r="E122" s="83" t="str">
        <x:v>12</x:v>
      </x:c>
      <x:c r="F122" s="83" t="n">
        <x:v>17</x:v>
      </x:c>
      <x:c r="G122" s="83" t="n">
        <x:v>15</x:v>
      </x:c>
      <x:c r="H122" s="83" t="str">
        <x:v>2. Contesto energetico e mercato</x:v>
      </x:c>
      <x:c r="I122" s="83" t="str">
        <x:v>Figura 12 - Potenziale del repowering solare in Italia (generazione attuale è base 100).</x:v>
      </x:c>
      <x:c r="J122" s="83" t="str">
        <x:v>Capacità e generazione</x:v>
      </x:c>
      <x:c r="K122" s="83" t="str">
        <x:v>P2 - contesto/validazione</x:v>
      </x:c>
      <x:c r="L122" s="83" t="str">
        <x:v>Figura o mappa; lettura etichette / eventuale digitalizzazione</x:v>
      </x:c>
      <x:c r="M122" s="83" t="str">
        <x:v>Medio</x:v>
      </x:c>
      <x:c r="N122" s="83" t="str">
        <x:v>Da verificare in Fase 3</x:v>
      </x:c>
    </x:row>
    <x:row r="123">
      <x:c r="A123" s="83" t="str">
        <x:v>S07-FIG-13-18</x:v>
      </x:c>
      <x:c r="B123" s="83" t="str">
        <x:v>S07</x:v>
      </x:c>
      <x:c r="C123" s="83" t="str">
        <x:v>Prospettive di Sviluppo del Sistema Energetico 2050 - Copertura della domanda elettrica</x:v>
      </x:c>
      <x:c r="D123" s="83" t="str">
        <x:v>Figura</x:v>
      </x:c>
      <x:c r="E123" s="83" t="str">
        <x:v>13</x:v>
      </x:c>
      <x:c r="F123" s="83" t="n">
        <x:v>18</x:v>
      </x:c>
      <x:c r="G123" s="83" t="n">
        <x:v>16</x:v>
      </x:c>
      <x:c r="H123" s="83" t="str">
        <x:v>2. Contesto energetico e mercato</x:v>
      </x:c>
      <x:c r="I123" s="83" t="str">
        <x:v>Figura 13 - Benefici del repowering (Fonte: Elemens)</x:v>
      </x:c>
      <x:c r="J123" s="83" t="str">
        <x:v>Contesto / metodologia</x:v>
      </x:c>
      <x:c r="K123" s="83" t="str">
        <x:v>P2 - contesto/validazione</x:v>
      </x:c>
      <x:c r="L123" s="83" t="str">
        <x:v>Figura o mappa; lettura etichette / eventuale digitalizzazione</x:v>
      </x:c>
      <x:c r="M123" s="83" t="str">
        <x:v>Medio</x:v>
      </x:c>
      <x:c r="N123" s="83" t="str">
        <x:v>Da verificare in Fase 3</x:v>
      </x:c>
    </x:row>
    <x:row r="124">
      <x:c r="A124" s="83" t="str">
        <x:v>S07-FIG-14-19</x:v>
      </x:c>
      <x:c r="B124" s="83" t="str">
        <x:v>S07</x:v>
      </x:c>
      <x:c r="C124" s="83" t="str">
        <x:v>Prospettive di Sviluppo del Sistema Energetico 2050 - Copertura della domanda elettrica</x:v>
      </x:c>
      <x:c r="D124" s="83" t="str">
        <x:v>Figura</x:v>
      </x:c>
      <x:c r="E124" s="83" t="str">
        <x:v>14</x:v>
      </x:c>
      <x:c r="F124" s="83" t="n">
        <x:v>19</x:v>
      </x:c>
      <x:c r="G124" s="83" t="n">
        <x:v>17</x:v>
      </x:c>
      <x:c r="H124" s="83" t="str">
        <x:v>2. Contesto energetico e mercato</x:v>
      </x:c>
      <x:c r="I124" s="83" t="str">
        <x:v>Figura 14 - Andamento potenza elettrica parco termoelettrico con dettaglio CHP e non CHP</x:v>
      </x:c>
      <x:c r="J124" s="83" t="str">
        <x:v>Capacità e generazione</x:v>
      </x:c>
      <x:c r="K124" s="83" t="str">
        <x:v>P2 - contesto/validazione</x:v>
      </x:c>
      <x:c r="L124" s="83" t="str">
        <x:v>Figura o mappa; lettura etichette / eventuale digitalizzazione</x:v>
      </x:c>
      <x:c r="M124" s="83" t="str">
        <x:v>Medio</x:v>
      </x:c>
      <x:c r="N124" s="83" t="str">
        <x:v>Da verificare in Fase 3</x:v>
      </x:c>
    </x:row>
    <x:row r="125">
      <x:c r="A125" s="83" t="str">
        <x:v>S07-FIG-15-19</x:v>
      </x:c>
      <x:c r="B125" s="83" t="str">
        <x:v>S07</x:v>
      </x:c>
      <x:c r="C125" s="83" t="str">
        <x:v>Prospettive di Sviluppo del Sistema Energetico 2050 - Copertura della domanda elettrica</x:v>
      </x:c>
      <x:c r="D125" s="83" t="str">
        <x:v>Figura</x:v>
      </x:c>
      <x:c r="E125" s="83" t="str">
        <x:v>15</x:v>
      </x:c>
      <x:c r="F125" s="83" t="n">
        <x:v>19</x:v>
      </x:c>
      <x:c r="G125" s="83" t="n">
        <x:v>17</x:v>
      </x:c>
      <x:c r="H125" s="83" t="str">
        <x:v>2. Contesto energetico e mercato</x:v>
      </x:c>
      <x:c r="I125" s="83" t="str">
        <x:v>Figura 15 - Andamento generazione elettrica e ore equivalenti parco termoelettrico con dettaglio CHP e</x:v>
      </x:c>
      <x:c r="J125" s="83" t="str">
        <x:v>Capacità e generazione</x:v>
      </x:c>
      <x:c r="K125" s="83" t="str">
        <x:v>P1 - input diretto/parametro</x:v>
      </x:c>
      <x:c r="L125" s="83" t="str">
        <x:v>Figura o mappa; lettura etichette / eventuale digitalizzazione</x:v>
      </x:c>
      <x:c r="M125" s="83" t="str">
        <x:v>Medio</x:v>
      </x:c>
      <x:c r="N125" s="83" t="str">
        <x:v>Da verificare in Fase 3</x:v>
      </x:c>
    </x:row>
    <x:row r="126">
      <x:c r="A126" s="83" t="str">
        <x:v>S07-FIG-16-20</x:v>
      </x:c>
      <x:c r="B126" s="83" t="str">
        <x:v>S07</x:v>
      </x:c>
      <x:c r="C126" s="83" t="str">
        <x:v>Prospettive di Sviluppo del Sistema Energetico 2050 - Copertura della domanda elettrica</x:v>
      </x:c>
      <x:c r="D126" s="83" t="str">
        <x:v>Figura</x:v>
      </x:c>
      <x:c r="E126" s="83" t="str">
        <x:v>16</x:v>
      </x:c>
      <x:c r="F126" s="83" t="n">
        <x:v>20</x:v>
      </x:c>
      <x:c r="G126" s="83" t="n">
        <x:v>18</x:v>
      </x:c>
      <x:c r="H126" s="83" t="str">
        <x:v>2. Contesto energetico e mercato</x:v>
      </x:c>
      <x:c r="I126" s="83" t="str">
        <x:v>Figura 16 - Copertura fabbisogno mercato per il giorno 1°maggio 2025 (Fonte: Misure Terna)</x:v>
      </x:c>
      <x:c r="J126" s="83" t="str">
        <x:v>Domanda e consumi; Mercato e prezzi</x:v>
      </x:c>
      <x:c r="K126" s="83" t="str">
        <x:v>P1 - input diretto/parametro</x:v>
      </x:c>
      <x:c r="L126" s="83" t="str">
        <x:v>Figura o mappa; lettura etichette / eventuale digitalizzazione</x:v>
      </x:c>
      <x:c r="M126" s="83" t="str">
        <x:v>Medio</x:v>
      </x:c>
      <x:c r="N126" s="83" t="str">
        <x:v>Da verificare in Fase 3</x:v>
      </x:c>
    </x:row>
    <x:row r="127">
      <x:c r="A127" s="83" t="str">
        <x:v>S07-FIG-17-21</x:v>
      </x:c>
      <x:c r="B127" s="83" t="str">
        <x:v>S07</x:v>
      </x:c>
      <x:c r="C127" s="83" t="str">
        <x:v>Prospettive di Sviluppo del Sistema Energetico 2050 - Copertura della domanda elettrica</x:v>
      </x:c>
      <x:c r="D127" s="83" t="str">
        <x:v>Figura</x:v>
      </x:c>
      <x:c r="E127" s="83" t="str">
        <x:v>17</x:v>
      </x:c>
      <x:c r="F127" s="83" t="n">
        <x:v>21</x:v>
      </x:c>
      <x:c r="G127" s="83" t="n">
        <x:v>19</x:v>
      </x:c>
      <x:c r="H127" s="83" t="str">
        <x:v>2. Contesto energetico e mercato</x:v>
      </x:c>
      <x:c r="I127" s="83" t="str">
        <x:v>Figura 17 - Focus copertura fabbisogno mercato da parco termoelettrico con dettaglio CHP per il giorno</x:v>
      </x:c>
      <x:c r="J127" s="83" t="str">
        <x:v>Domanda e consumi; Capacità e generazione; Mercato e prezzi</x:v>
      </x:c>
      <x:c r="K127" s="83" t="str">
        <x:v>P1 - input diretto/parametro</x:v>
      </x:c>
      <x:c r="L127" s="83" t="str">
        <x:v>Figura o mappa; lettura etichette / eventuale digitalizzazione</x:v>
      </x:c>
      <x:c r="M127" s="83" t="str">
        <x:v>Medio</x:v>
      </x:c>
      <x:c r="N127" s="83" t="str">
        <x:v>Da verificare in Fase 3</x:v>
      </x:c>
    </x:row>
    <x:row r="128">
      <x:c r="A128" s="83" t="str">
        <x:v>S07-FIG-18-22</x:v>
      </x:c>
      <x:c r="B128" s="83" t="str">
        <x:v>S07</x:v>
      </x:c>
      <x:c r="C128" s="83" t="str">
        <x:v>Prospettive di Sviluppo del Sistema Energetico 2050 - Copertura della domanda elettrica</x:v>
      </x:c>
      <x:c r="D128" s="83" t="str">
        <x:v>Figura</x:v>
      </x:c>
      <x:c r="E128" s="83" t="str">
        <x:v>18</x:v>
      </x:c>
      <x:c r="F128" s="83" t="n">
        <x:v>22</x:v>
      </x:c>
      <x:c r="G128" s="83" t="n">
        <x:v>20</x:v>
      </x:c>
      <x:c r="H128" s="83" t="str">
        <x:v>2. Contesto energetico e mercato</x:v>
      </x:c>
      <x:c r="I128" s="83" t="str">
        <x:v>Figura 18 - Percentuale di ore con prezzi minori o uguali a 0 €/MWh nei principali Paesi europei durante il</x:v>
      </x:c>
      <x:c r="J128" s="83" t="str">
        <x:v>Contesto / metodologia</x:v>
      </x:c>
      <x:c r="K128" s="83" t="str">
        <x:v>P2 - contesto/validazione</x:v>
      </x:c>
      <x:c r="L128" s="83" t="str">
        <x:v>Figura o mappa; lettura etichette / eventuale digitalizzazione</x:v>
      </x:c>
      <x:c r="M128" s="83" t="str">
        <x:v>Medio</x:v>
      </x:c>
      <x:c r="N128" s="83" t="str">
        <x:v>Da verificare in Fase 3</x:v>
      </x:c>
    </x:row>
    <x:row r="129">
      <x:c r="A129" s="83" t="str">
        <x:v>S07-FIG-19-22</x:v>
      </x:c>
      <x:c r="B129" s="83" t="str">
        <x:v>S07</x:v>
      </x:c>
      <x:c r="C129" s="83" t="str">
        <x:v>Prospettive di Sviluppo del Sistema Energetico 2050 - Copertura della domanda elettrica</x:v>
      </x:c>
      <x:c r="D129" s="83" t="str">
        <x:v>Figura</x:v>
      </x:c>
      <x:c r="E129" s="83" t="str">
        <x:v>19</x:v>
      </x:c>
      <x:c r="F129" s="83" t="n">
        <x:v>22</x:v>
      </x:c>
      <x:c r="G129" s="83" t="n">
        <x:v>20</x:v>
      </x:c>
      <x:c r="H129" s="83" t="str">
        <x:v>2. Contesto energetico e mercato</x:v>
      </x:c>
      <x:c r="I129" s="83" t="str">
        <x:v>Figura 19 - Numero di ore cumulate con prezzi negativi in Germania (Fonte: Energy-Charts)</x:v>
      </x:c>
      <x:c r="J129" s="83" t="str">
        <x:v>Contesto / metodologia</x:v>
      </x:c>
      <x:c r="K129" s="83" t="str">
        <x:v>P2 - contesto/validazione</x:v>
      </x:c>
      <x:c r="L129" s="83" t="str">
        <x:v>Figura o mappa; lettura etichette / eventuale digitalizzazione</x:v>
      </x:c>
      <x:c r="M129" s="83" t="str">
        <x:v>Medio</x:v>
      </x:c>
      <x:c r="N129" s="83" t="str">
        <x:v>Da verificare in Fase 3</x:v>
      </x:c>
    </x:row>
    <x:row r="130">
      <x:c r="A130" s="83" t="str">
        <x:v>S07-FIG-20-23</x:v>
      </x:c>
      <x:c r="B130" s="83" t="str">
        <x:v>S07</x:v>
      </x:c>
      <x:c r="C130" s="83" t="str">
        <x:v>Prospettive di Sviluppo del Sistema Energetico 2050 - Copertura della domanda elettrica</x:v>
      </x:c>
      <x:c r="D130" s="83" t="str">
        <x:v>Figura</x:v>
      </x:c>
      <x:c r="E130" s="83" t="str">
        <x:v>20</x:v>
      </x:c>
      <x:c r="F130" s="83" t="n">
        <x:v>23</x:v>
      </x:c>
      <x:c r="G130" s="83" t="n">
        <x:v>21</x:v>
      </x:c>
      <x:c r="H130" s="83" t="str">
        <x:v>2. Contesto energetico e mercato</x:v>
      </x:c>
      <x:c r="I130" s="83" t="str">
        <x:v>Figura 20 - Andamento dei prezzi elettrici wholesale e penetrazione FER. Prezzo Normalizzato:</x:v>
      </x:c>
      <x:c r="J130" s="83" t="str">
        <x:v>Capacità e generazione; Mercato e prezzi</x:v>
      </x:c>
      <x:c r="K130" s="83" t="str">
        <x:v>P2 - contesto/validazione</x:v>
      </x:c>
      <x:c r="L130" s="83" t="str">
        <x:v>Figura o mappa; lettura etichette / eventuale digitalizzazione</x:v>
      </x:c>
      <x:c r="M130" s="83" t="str">
        <x:v>Medio</x:v>
      </x:c>
      <x:c r="N130" s="83" t="str">
        <x:v>Da verificare in Fase 3</x:v>
      </x:c>
    </x:row>
    <x:row r="131">
      <x:c r="A131" s="83" t="str">
        <x:v>S07-FIG-21-24</x:v>
      </x:c>
      <x:c r="B131" s="83" t="str">
        <x:v>S07</x:v>
      </x:c>
      <x:c r="C131" s="83" t="str">
        <x:v>Prospettive di Sviluppo del Sistema Energetico 2050 - Copertura della domanda elettrica</x:v>
      </x:c>
      <x:c r="D131" s="83" t="str">
        <x:v>Figura</x:v>
      </x:c>
      <x:c r="E131" s="83" t="str">
        <x:v>21</x:v>
      </x:c>
      <x:c r="F131" s="83" t="n">
        <x:v>24</x:v>
      </x:c>
      <x:c r="G131" s="83" t="n">
        <x:v>22</x:v>
      </x:c>
      <x:c r="H131" s="83" t="str">
        <x:v>2. Contesto energetico e mercato</x:v>
      </x:c>
      <x:c r="I131" s="83" t="str">
        <x:v>Figura 21 - Investimenti necessari nel settore dell’energia elettrica nel periodo 2024-30</x:v>
      </x:c>
      <x:c r="J131" s="83" t="str">
        <x:v>Contesto / metodologia</x:v>
      </x:c>
      <x:c r="K131" s="83" t="str">
        <x:v>P2 - contesto/validazione</x:v>
      </x:c>
      <x:c r="L131" s="83" t="str">
        <x:v>Figura o mappa; lettura etichette / eventuale digitalizzazione</x:v>
      </x:c>
      <x:c r="M131" s="83" t="str">
        <x:v>Medio</x:v>
      </x:c>
      <x:c r="N131" s="83" t="str">
        <x:v>Da verificare in Fase 3</x:v>
      </x:c>
    </x:row>
    <x:row r="132">
      <x:c r="A132" s="83" t="str">
        <x:v>S07-FIG-22-24</x:v>
      </x:c>
      <x:c r="B132" s="83" t="str">
        <x:v>S07</x:v>
      </x:c>
      <x:c r="C132" s="83" t="str">
        <x:v>Prospettive di Sviluppo del Sistema Energetico 2050 - Copertura della domanda elettrica</x:v>
      </x:c>
      <x:c r="D132" s="83" t="str">
        <x:v>Figura</x:v>
      </x:c>
      <x:c r="E132" s="83" t="str">
        <x:v>22</x:v>
      </x:c>
      <x:c r="F132" s="83" t="n">
        <x:v>24</x:v>
      </x:c>
      <x:c r="G132" s="83" t="n">
        <x:v>22</x:v>
      </x:c>
      <x:c r="H132" s="83" t="str">
        <x:v>2. Contesto energetico e mercato</x:v>
      </x:c>
      <x:c r="I132" s="83" t="str">
        <x:v>Figura 22 - Confronto LCOE di un CCGT con LCOE di un impianto eolico e composizione del costo (%)8.</x:v>
      </x:c>
      <x:c r="J132" s="83" t="str">
        <x:v>Capacità e generazione; Mercato e prezzi</x:v>
      </x:c>
      <x:c r="K132" s="83" t="str">
        <x:v>P1 - input diretto/parametro</x:v>
      </x:c>
      <x:c r="L132" s="83" t="str">
        <x:v>Figura o mappa; lettura etichette / eventuale digitalizzazione</x:v>
      </x:c>
      <x:c r="M132" s="83" t="str">
        <x:v>Medio</x:v>
      </x:c>
      <x:c r="N132" s="83" t="str">
        <x:v>Da verificare in Fase 3</x:v>
      </x:c>
    </x:row>
    <x:row r="133">
      <x:c r="A133" s="83" t="str">
        <x:v>S07-FIG-23-25</x:v>
      </x:c>
      <x:c r="B133" s="83" t="str">
        <x:v>S07</x:v>
      </x:c>
      <x:c r="C133" s="83" t="str">
        <x:v>Prospettive di Sviluppo del Sistema Energetico 2050 - Copertura della domanda elettrica</x:v>
      </x:c>
      <x:c r="D133" s="83" t="str">
        <x:v>Figura</x:v>
      </x:c>
      <x:c r="E133" s="83" t="str">
        <x:v>23</x:v>
      </x:c>
      <x:c r="F133" s="83" t="n">
        <x:v>25</x:v>
      </x:c>
      <x:c r="G133" s="83" t="n">
        <x:v>23</x:v>
      </x:c>
      <x:c r="H133" s="83" t="str">
        <x:v>2. Contesto energetico e mercato</x:v>
      </x:c>
      <x:c r="I133" s="83" t="str">
        <x:v>Figura 23 - Impatto di CAPEX, producibilità e parametri finanziari sul LCOE: differenze tra impianti</x:v>
      </x:c>
      <x:c r="J133" s="83" t="str">
        <x:v>Capacità e generazione; Mercato e prezzi</x:v>
      </x:c>
      <x:c r="K133" s="83" t="str">
        <x:v>P1 - input diretto/parametro</x:v>
      </x:c>
      <x:c r="L133" s="83" t="str">
        <x:v>Figura o mappa; lettura etichette / eventuale digitalizzazione</x:v>
      </x:c>
      <x:c r="M133" s="83" t="str">
        <x:v>Medio</x:v>
      </x:c>
      <x:c r="N133" s="83" t="str">
        <x:v>Da verificare in Fase 3</x:v>
      </x:c>
    </x:row>
    <x:row r="134">
      <x:c r="A134" s="83" t="str">
        <x:v>S07-FIG-24-27</x:v>
      </x:c>
      <x:c r="B134" s="83" t="str">
        <x:v>S07</x:v>
      </x:c>
      <x:c r="C134" s="83" t="str">
        <x:v>Prospettive di Sviluppo del Sistema Energetico 2050 - Copertura della domanda elettrica</x:v>
      </x:c>
      <x:c r="D134" s="83" t="str">
        <x:v>Figura</x:v>
      </x:c>
      <x:c r="E134" s="83" t="str">
        <x:v>24</x:v>
      </x:c>
      <x:c r="F134" s="83" t="n">
        <x:v>27</x:v>
      </x:c>
      <x:c r="G134" s="83" t="n">
        <x:v>25</x:v>
      </x:c>
      <x:c r="H134" s="83" t="str">
        <x:v>2. Contesto energetico e mercato</x:v>
      </x:c>
      <x:c r="I134" s="83" t="str">
        <x:v>Figura 24 - Necessità di sistema e strumenti contrattuali a termine necessari per garantire lo sviluppo di</x:v>
      </x:c>
      <x:c r="J134" s="83" t="str">
        <x:v>Contesto / metodologia</x:v>
      </x:c>
      <x:c r="K134" s="83" t="str">
        <x:v>P2 - contesto/validazione</x:v>
      </x:c>
      <x:c r="L134" s="83" t="str">
        <x:v>Figura o mappa; lettura etichette / eventuale digitalizzazione</x:v>
      </x:c>
      <x:c r="M134" s="83" t="str">
        <x:v>Medio</x:v>
      </x:c>
      <x:c r="N134" s="83" t="str">
        <x:v>Da verificare in Fase 3</x:v>
      </x:c>
    </x:row>
    <x:row r="135">
      <x:c r="A135" s="83" t="str">
        <x:v>S07-FIG-25-28</x:v>
      </x:c>
      <x:c r="B135" s="83" t="str">
        <x:v>S07</x:v>
      </x:c>
      <x:c r="C135" s="83" t="str">
        <x:v>Prospettive di Sviluppo del Sistema Energetico 2050 - Copertura della domanda elettrica</x:v>
      </x:c>
      <x:c r="D135" s="83" t="str">
        <x:v>Figura</x:v>
      </x:c>
      <x:c r="E135" s="83" t="str">
        <x:v>25</x:v>
      </x:c>
      <x:c r="F135" s="83" t="n">
        <x:v>28</x:v>
      </x:c>
      <x:c r="G135" s="83" t="n">
        <x:v>26</x:v>
      </x:c>
      <x:c r="H135" s="83" t="str">
        <x:v>2. Contesto energetico e mercato</x:v>
      </x:c>
      <x:c r="I135" s="83" t="str">
        <x:v>Figura 25 - Evoluzione dei costi fissi/variabili per il sistema elettrico. (Fonte: elaborazioni Terna)</x:v>
      </x:c>
      <x:c r="J135" s="83" t="str">
        <x:v>Contesto / metodologia</x:v>
      </x:c>
      <x:c r="K135" s="83" t="str">
        <x:v>P2 - contesto/validazione</x:v>
      </x:c>
      <x:c r="L135" s="83" t="str">
        <x:v>Figura o mappa; lettura etichette / eventuale digitalizzazione</x:v>
      </x:c>
      <x:c r="M135" s="83" t="str">
        <x:v>Medio</x:v>
      </x:c>
      <x:c r="N135" s="83" t="str">
        <x:v>Da verificare in Fase 3</x:v>
      </x:c>
    </x:row>
    <x:row r="136">
      <x:c r="A136" s="83" t="str">
        <x:v>S07-FIG-26-29</x:v>
      </x:c>
      <x:c r="B136" s="83" t="str">
        <x:v>S07</x:v>
      </x:c>
      <x:c r="C136" s="83" t="str">
        <x:v>Prospettive di Sviluppo del Sistema Energetico 2050 - Copertura della domanda elettrica</x:v>
      </x:c>
      <x:c r="D136" s="83" t="str">
        <x:v>Figura</x:v>
      </x:c>
      <x:c r="E136" s="83" t="str">
        <x:v>26</x:v>
      </x:c>
      <x:c r="F136" s="83" t="n">
        <x:v>29</x:v>
      </x:c>
      <x:c r="G136" s="83" t="n">
        <x:v>27</x:v>
      </x:c>
      <x:c r="H136" s="83" t="str">
        <x:v>2. Contesto energetico e mercato</x:v>
      </x:c>
      <x:c r="I136" s="83" t="str">
        <x:v>Figura 26 - Funzionamento dei contratti per differenza a due vie per le rinnovabili.</x:v>
      </x:c>
      <x:c r="J136" s="83" t="str">
        <x:v>Capacità e generazione</x:v>
      </x:c>
      <x:c r="K136" s="83" t="str">
        <x:v>P2 - contesto/validazione</x:v>
      </x:c>
      <x:c r="L136" s="83" t="str">
        <x:v>Figura o mappa; lettura etichette / eventuale digitalizzazione</x:v>
      </x:c>
      <x:c r="M136" s="83" t="str">
        <x:v>Medio</x:v>
      </x:c>
      <x:c r="N136" s="83" t="str">
        <x:v>Da verificare in Fase 3</x:v>
      </x:c>
    </x:row>
    <x:row r="137">
      <x:c r="A137" s="83" t="str">
        <x:v>S07-TAB-2-31</x:v>
      </x:c>
      <x:c r="B137" s="83" t="str">
        <x:v>S07</x:v>
      </x:c>
      <x:c r="C137" s="83" t="str">
        <x:v>Prospettive di Sviluppo del Sistema Energetico 2050 - Copertura della domanda elettrica</x:v>
      </x:c>
      <x:c r="D137" s="83" t="str">
        <x:v>Tabella</x:v>
      </x:c>
      <x:c r="E137" s="83" t="str">
        <x:v>2</x:v>
      </x:c>
      <x:c r="F137" s="83" t="n">
        <x:v>31</x:v>
      </x:c>
      <x:c r="G137" s="83" t="n">
        <x:v>29</x:v>
      </x:c>
      <x:c r="H137" s="83" t="str">
        <x:v>3. Evoluzione 2030-2040</x:v>
      </x:c>
      <x:c r="I137" s="83" t="str">
        <x:v>Tabella 2 - Evoluzione del fabbisogno elettrico 2023-2040 [TWh]</x:v>
      </x:c>
      <x:c r="J137" s="83" t="str">
        <x:v>Domanda e consumi</x:v>
      </x:c>
      <x:c r="K137" s="83" t="str">
        <x:v>P1 - input diretto/parametro</x:v>
      </x:c>
      <x:c r="L137" s="83" t="str">
        <x:v>Tabella testuale/PDF</x:v>
      </x:c>
      <x:c r="M137" s="83" t="str">
        <x:v>Basso</x:v>
      </x:c>
      <x:c r="N137" s="83" t="str">
        <x:v>Da verificare in Fase 3</x:v>
      </x:c>
    </x:row>
    <x:row r="138">
      <x:c r="A138" s="83" t="str">
        <x:v>S07-FIG-27-32</x:v>
      </x:c>
      <x:c r="B138" s="83" t="str">
        <x:v>S07</x:v>
      </x:c>
      <x:c r="C138" s="83" t="str">
        <x:v>Prospettive di Sviluppo del Sistema Energetico 2050 - Copertura della domanda elettrica</x:v>
      </x:c>
      <x:c r="D138" s="83" t="str">
        <x:v>Figura</x:v>
      </x:c>
      <x:c r="E138" s="83" t="str">
        <x:v>27</x:v>
      </x:c>
      <x:c r="F138" s="83" t="n">
        <x:v>32</x:v>
      </x:c>
      <x:c r="G138" s="83" t="n">
        <x:v>30</x:v>
      </x:c>
      <x:c r="H138" s="83" t="str">
        <x:v>3. Evoluzione 2030-2040</x:v>
      </x:c>
      <x:c r="I138" s="83" t="str">
        <x:v>Figura 27 - Capacità FER 2023-2040 [GW]</x:v>
      </x:c>
      <x:c r="J138" s="83" t="str">
        <x:v>Capacità e generazione</x:v>
      </x:c>
      <x:c r="K138" s="83" t="str">
        <x:v>P2 - contesto/validazione</x:v>
      </x:c>
      <x:c r="L138" s="83" t="str">
        <x:v>Figura o mappa; lettura etichette / eventuale digitalizzazione</x:v>
      </x:c>
      <x:c r="M138" s="83" t="str">
        <x:v>Medio</x:v>
      </x:c>
      <x:c r="N138" s="83" t="str">
        <x:v>Da verificare in Fase 3</x:v>
      </x:c>
    </x:row>
    <x:row r="139">
      <x:c r="A139" s="83" t="str">
        <x:v>S07-FIG-28-32</x:v>
      </x:c>
      <x:c r="B139" s="83" t="str">
        <x:v>S07</x:v>
      </x:c>
      <x:c r="C139" s="83" t="str">
        <x:v>Prospettive di Sviluppo del Sistema Energetico 2050 - Copertura della domanda elettrica</x:v>
      </x:c>
      <x:c r="D139" s="83" t="str">
        <x:v>Figura</x:v>
      </x:c>
      <x:c r="E139" s="83" t="str">
        <x:v>28</x:v>
      </x:c>
      <x:c r="F139" s="83" t="n">
        <x:v>32</x:v>
      </x:c>
      <x:c r="G139" s="83" t="n">
        <x:v>30</x:v>
      </x:c>
      <x:c r="H139" s="83" t="str">
        <x:v>3. Evoluzione 2030-2040</x:v>
      </x:c>
      <x:c r="I139" s="83" t="str">
        <x:v>Figura 28 - Capacità di accumulo 2023-2040 [GWh]</x:v>
      </x:c>
      <x:c r="J139" s="83" t="str">
        <x:v>Accumuli e flessibilità</x:v>
      </x:c>
      <x:c r="K139" s="83" t="str">
        <x:v>P1 - input diretto/parametro</x:v>
      </x:c>
      <x:c r="L139" s="83" t="str">
        <x:v>Figura o mappa; lettura etichette / eventuale digitalizzazione</x:v>
      </x:c>
      <x:c r="M139" s="83" t="str">
        <x:v>Medio</x:v>
      </x:c>
      <x:c r="N139" s="83" t="str">
        <x:v>Da verificare in Fase 3</x:v>
      </x:c>
    </x:row>
    <x:row r="140">
      <x:c r="A140" s="83" t="str">
        <x:v>S07-FIG-29-32</x:v>
      </x:c>
      <x:c r="B140" s="83" t="str">
        <x:v>S07</x:v>
      </x:c>
      <x:c r="C140" s="83" t="str">
        <x:v>Prospettive di Sviluppo del Sistema Energetico 2050 - Copertura della domanda elettrica</x:v>
      </x:c>
      <x:c r="D140" s="83" t="str">
        <x:v>Figura</x:v>
      </x:c>
      <x:c r="E140" s="83" t="str">
        <x:v>29</x:v>
      </x:c>
      <x:c r="F140" s="83" t="n">
        <x:v>32</x:v>
      </x:c>
      <x:c r="G140" s="83" t="n">
        <x:v>30</x:v>
      </x:c>
      <x:c r="H140" s="83" t="str">
        <x:v>3. Evoluzione 2030-2040</x:v>
      </x:c>
      <x:c r="I140" s="83" t="str">
        <x:v>Figura 29 - Bilancio sistema elettrico 2023-2040 [GWh]</x:v>
      </x:c>
      <x:c r="J140" s="83" t="str">
        <x:v>Contesto / metodologia</x:v>
      </x:c>
      <x:c r="K140" s="83" t="str">
        <x:v>P2 - contesto/validazione</x:v>
      </x:c>
      <x:c r="L140" s="83" t="str">
        <x:v>Figura o mappa; lettura etichette / eventuale digitalizzazione</x:v>
      </x:c>
      <x:c r="M140" s="83" t="str">
        <x:v>Medio</x:v>
      </x:c>
      <x:c r="N140" s="83" t="str">
        <x:v>Da verificare in Fase 3</x:v>
      </x:c>
    </x:row>
    <x:row r="141">
      <x:c r="A141" s="83" t="str">
        <x:v>S07-FIG-30-36</x:v>
      </x:c>
      <x:c r="B141" s="83" t="str">
        <x:v>S07</x:v>
      </x:c>
      <x:c r="C141" s="83" t="str">
        <x:v>Prospettive di Sviluppo del Sistema Energetico 2050 - Copertura della domanda elettrica</x:v>
      </x:c>
      <x:c r="D141" s="83" t="str">
        <x:v>Figura</x:v>
      </x:c>
      <x:c r="E141" s="83" t="str">
        <x:v>30</x:v>
      </x:c>
      <x:c r="F141" s="83" t="n">
        <x:v>36</x:v>
      </x:c>
      <x:c r="G141" s="83" t="n">
        <x:v>34</x:v>
      </x:c>
      <x:c r="H141" s="83" t="str">
        <x:v>5. Prospettive 2050</x:v>
      </x:c>
      <x:c r="I141" s="83" t="str">
        <x:v>Figura 30 - Costi di installazione, fattore di capacità e LCOE del solare</x:v>
      </x:c>
      <x:c r="J141" s="83" t="str">
        <x:v>Capacità e generazione; Mercato e prezzi</x:v>
      </x:c>
      <x:c r="K141" s="83" t="str">
        <x:v>P1 - input diretto/parametro</x:v>
      </x:c>
      <x:c r="L141" s="83" t="str">
        <x:v>Figura o mappa; lettura etichette / eventuale digitalizzazione</x:v>
      </x:c>
      <x:c r="M141" s="83" t="str">
        <x:v>Medio</x:v>
      </x:c>
      <x:c r="N141" s="83" t="str">
        <x:v>Da verificare in Fase 3</x:v>
      </x:c>
    </x:row>
    <x:row r="142">
      <x:c r="A142" s="83" t="str">
        <x:v>S07-FIG-31-37</x:v>
      </x:c>
      <x:c r="B142" s="83" t="str">
        <x:v>S07</x:v>
      </x:c>
      <x:c r="C142" s="83" t="str">
        <x:v>Prospettive di Sviluppo del Sistema Energetico 2050 - Copertura della domanda elettrica</x:v>
      </x:c>
      <x:c r="D142" s="83" t="str">
        <x:v>Figura</x:v>
      </x:c>
      <x:c r="E142" s="83" t="str">
        <x:v>31</x:v>
      </x:c>
      <x:c r="F142" s="83" t="n">
        <x:v>37</x:v>
      </x:c>
      <x:c r="G142" s="83" t="n">
        <x:v>35</x:v>
      </x:c>
      <x:c r="H142" s="83" t="str">
        <x:v>5. Prospettive 2050</x:v>
      </x:c>
      <x:c r="I142" s="83" t="str">
        <x:v>Figura 31 - Evoluzione efficienza pannelli solari monocristallini</x:v>
      </x:c>
      <x:c r="J142" s="83" t="str">
        <x:v>Contesto / metodologia</x:v>
      </x:c>
      <x:c r="K142" s="83" t="str">
        <x:v>P1 - input diretto/parametro</x:v>
      </x:c>
      <x:c r="L142" s="83" t="str">
        <x:v>Figura o mappa; lettura etichette / eventuale digitalizzazione</x:v>
      </x:c>
      <x:c r="M142" s="83" t="str">
        <x:v>Medio</x:v>
      </x:c>
      <x:c r="N142" s="83" t="str">
        <x:v>Da verificare in Fase 3</x:v>
      </x:c>
    </x:row>
    <x:row r="143">
      <x:c r="A143" s="83" t="str">
        <x:v>S07-FIG-32-37</x:v>
      </x:c>
      <x:c r="B143" s="83" t="str">
        <x:v>S07</x:v>
      </x:c>
      <x:c r="C143" s="83" t="str">
        <x:v>Prospettive di Sviluppo del Sistema Energetico 2050 - Copertura della domanda elettrica</x:v>
      </x:c>
      <x:c r="D143" s="83" t="str">
        <x:v>Figura</x:v>
      </x:c>
      <x:c r="E143" s="83" t="str">
        <x:v>32</x:v>
      </x:c>
      <x:c r="F143" s="83" t="n">
        <x:v>37</x:v>
      </x:c>
      <x:c r="G143" s="83" t="n">
        <x:v>35</x:v>
      </x:c>
      <x:c r="H143" s="83" t="str">
        <x:v>5. Prospettive 2050</x:v>
      </x:c>
      <x:c r="I143" s="83" t="str">
        <x:v>Figura 32 - LCOE solare PV Italia: evoluzione storica e prospettica</x:v>
      </x:c>
      <x:c r="J143" s="83" t="str">
        <x:v>Capacità e generazione; Mercato e prezzi</x:v>
      </x:c>
      <x:c r="K143" s="83" t="str">
        <x:v>P1 - input diretto/parametro</x:v>
      </x:c>
      <x:c r="L143" s="83" t="str">
        <x:v>Figura o mappa; lettura etichette / eventuale digitalizzazione</x:v>
      </x:c>
      <x:c r="M143" s="83" t="str">
        <x:v>Medio</x:v>
      </x:c>
      <x:c r="N143" s="83" t="str">
        <x:v>Da verificare in Fase 3</x:v>
      </x:c>
    </x:row>
    <x:row r="144">
      <x:c r="A144" s="83" t="str">
        <x:v>S07-FIG-33-38</x:v>
      </x:c>
      <x:c r="B144" s="83" t="str">
        <x:v>S07</x:v>
      </x:c>
      <x:c r="C144" s="83" t="str">
        <x:v>Prospettive di Sviluppo del Sistema Energetico 2050 - Copertura della domanda elettrica</x:v>
      </x:c>
      <x:c r="D144" s="83" t="str">
        <x:v>Figura</x:v>
      </x:c>
      <x:c r="E144" s="83" t="str">
        <x:v>33</x:v>
      </x:c>
      <x:c r="F144" s="83" t="n">
        <x:v>38</x:v>
      </x:c>
      <x:c r="G144" s="83" t="n">
        <x:v>36</x:v>
      </x:c>
      <x:c r="H144" s="83" t="str">
        <x:v>5. Prospettive 2050</x:v>
      </x:c>
      <x:c r="I144" s="83" t="str">
        <x:v>Figura 33.</x:v>
      </x:c>
      <x:c r="J144" s="83" t="str">
        <x:v>Contesto / metodologia</x:v>
      </x:c>
      <x:c r="K144" s="83" t="str">
        <x:v>P2 - contesto/validazione</x:v>
      </x:c>
      <x:c r="L144" s="83" t="str">
        <x:v>Figura o mappa; lettura etichette / eventuale digitalizzazione</x:v>
      </x:c>
      <x:c r="M144" s="83" t="str">
        <x:v>Medio</x:v>
      </x:c>
      <x:c r="N144" s="83" t="str">
        <x:v>Da verificare in Fase 3</x:v>
      </x:c>
    </x:row>
    <x:row r="145">
      <x:c r="A145" s="83" t="str">
        <x:v>S07-FIG-33-38</x:v>
      </x:c>
      <x:c r="B145" s="83" t="str">
        <x:v>S07</x:v>
      </x:c>
      <x:c r="C145" s="83" t="str">
        <x:v>Prospettive di Sviluppo del Sistema Energetico 2050 - Copertura della domanda elettrica</x:v>
      </x:c>
      <x:c r="D145" s="83" t="str">
        <x:v>Figura</x:v>
      </x:c>
      <x:c r="E145" s="83" t="str">
        <x:v>33</x:v>
      </x:c>
      <x:c r="F145" s="83" t="n">
        <x:v>38</x:v>
      </x:c>
      <x:c r="G145" s="83" t="n">
        <x:v>36</x:v>
      </x:c>
      <x:c r="H145" s="83" t="str">
        <x:v>5. Prospettive 2050</x:v>
      </x:c>
      <x:c r="I145" s="83" t="str">
        <x:v>Figura 33 - Costi di installazione, fattore di capacità e LCOE per l’eolico onshore, media globale</x:v>
      </x:c>
      <x:c r="J145" s="83" t="str">
        <x:v>Capacità e generazione; Mercato e prezzi</x:v>
      </x:c>
      <x:c r="K145" s="83" t="str">
        <x:v>P1 - input diretto/parametro</x:v>
      </x:c>
      <x:c r="L145" s="83" t="str">
        <x:v>Figura o mappa; lettura etichette / eventuale digitalizzazione</x:v>
      </x:c>
      <x:c r="M145" s="83" t="str">
        <x:v>Medio</x:v>
      </x:c>
      <x:c r="N145" s="83" t="str">
        <x:v>Da verificare in Fase 3</x:v>
      </x:c>
    </x:row>
    <x:row r="146">
      <x:c r="A146" s="83" t="str">
        <x:v>S07-FIG-34-39</x:v>
      </x:c>
      <x:c r="B146" s="83" t="str">
        <x:v>S07</x:v>
      </x:c>
      <x:c r="C146" s="83" t="str">
        <x:v>Prospettive di Sviluppo del Sistema Energetico 2050 - Copertura della domanda elettrica</x:v>
      </x:c>
      <x:c r="D146" s="83" t="str">
        <x:v>Figura</x:v>
      </x:c>
      <x:c r="E146" s="83" t="str">
        <x:v>34</x:v>
      </x:c>
      <x:c r="F146" s="83" t="n">
        <x:v>39</x:v>
      </x:c>
      <x:c r="G146" s="83" t="n">
        <x:v>37</x:v>
      </x:c>
      <x:c r="H146" s="83" t="str">
        <x:v>5. Prospettive 2050</x:v>
      </x:c>
      <x:c r="I146" s="83" t="str">
        <x:v>Figura 34 - LCOE eolico onshore Italia: evoluzione storica e prospettica</x:v>
      </x:c>
      <x:c r="J146" s="83" t="str">
        <x:v>Capacità e generazione; Mercato e prezzi</x:v>
      </x:c>
      <x:c r="K146" s="83" t="str">
        <x:v>P1 - input diretto/parametro</x:v>
      </x:c>
      <x:c r="L146" s="83" t="str">
        <x:v>Figura o mappa; lettura etichette / eventuale digitalizzazione</x:v>
      </x:c>
      <x:c r="M146" s="83" t="str">
        <x:v>Medio</x:v>
      </x:c>
      <x:c r="N146" s="83" t="str">
        <x:v>Da verificare in Fase 3</x:v>
      </x:c>
    </x:row>
    <x:row r="147">
      <x:c r="A147" s="83" t="str">
        <x:v>S07-FIG-35-40</x:v>
      </x:c>
      <x:c r="B147" s="83" t="str">
        <x:v>S07</x:v>
      </x:c>
      <x:c r="C147" s="83" t="str">
        <x:v>Prospettive di Sviluppo del Sistema Energetico 2050 - Copertura della domanda elettrica</x:v>
      </x:c>
      <x:c r="D147" s="83" t="str">
        <x:v>Figura</x:v>
      </x:c>
      <x:c r="E147" s="83" t="str">
        <x:v>35</x:v>
      </x:c>
      <x:c r="F147" s="83" t="n">
        <x:v>40</x:v>
      </x:c>
      <x:c r="G147" s="83" t="n">
        <x:v>38</x:v>
      </x:c>
      <x:c r="H147" s="83" t="str">
        <x:v>5. Prospettive 2050</x:v>
      </x:c>
      <x:c r="I147" s="83" t="str">
        <x:v>Figura 35 - Evoluzione dei costi delle batterie26 e relativi driver</x:v>
      </x:c>
      <x:c r="J147" s="83" t="str">
        <x:v>Accumuli e flessibilità</x:v>
      </x:c>
      <x:c r="K147" s="83" t="str">
        <x:v>P1 - input diretto/parametro</x:v>
      </x:c>
      <x:c r="L147" s="83" t="str">
        <x:v>Figura o mappa; lettura etichette / eventuale digitalizzazione</x:v>
      </x:c>
      <x:c r="M147" s="83" t="str">
        <x:v>Medio</x:v>
      </x:c>
      <x:c r="N147" s="83" t="str">
        <x:v>Da verificare in Fase 3</x:v>
      </x:c>
    </x:row>
    <x:row r="148">
      <x:c r="A148" s="83" t="str">
        <x:v>S07-FIG-36-40</x:v>
      </x:c>
      <x:c r="B148" s="83" t="str">
        <x:v>S07</x:v>
      </x:c>
      <x:c r="C148" s="83" t="str">
        <x:v>Prospettive di Sviluppo del Sistema Energetico 2050 - Copertura della domanda elettrica</x:v>
      </x:c>
      <x:c r="D148" s="83" t="str">
        <x:v>Figura</x:v>
      </x:c>
      <x:c r="E148" s="83" t="str">
        <x:v>36</x:v>
      </x:c>
      <x:c r="F148" s="83" t="n">
        <x:v>40</x:v>
      </x:c>
      <x:c r="G148" s="83" t="n">
        <x:v>38</x:v>
      </x:c>
      <x:c r="H148" s="83" t="str">
        <x:v>5. Prospettive 2050</x:v>
      </x:c>
      <x:c r="I148" s="83" t="str">
        <x:v>Figura 36 - CAPEX batterie al litio da 4h27: evoluzione storica e prospettica</x:v>
      </x:c>
      <x:c r="J148" s="83" t="str">
        <x:v>Accumuli e flessibilità; Mercato e prezzi</x:v>
      </x:c>
      <x:c r="K148" s="83" t="str">
        <x:v>P1 - input diretto/parametro</x:v>
      </x:c>
      <x:c r="L148" s="83" t="str">
        <x:v>Figura o mappa; lettura etichette / eventuale digitalizzazione</x:v>
      </x:c>
      <x:c r="M148" s="83" t="str">
        <x:v>Medio</x:v>
      </x:c>
      <x:c r="N148" s="83" t="str">
        <x:v>Da verificare in Fase 3</x:v>
      </x:c>
    </x:row>
    <x:row r="149">
      <x:c r="A149" s="83" t="str">
        <x:v>S07-FIG-37-42</x:v>
      </x:c>
      <x:c r="B149" s="83" t="str">
        <x:v>S07</x:v>
      </x:c>
      <x:c r="C149" s="83" t="str">
        <x:v>Prospettive di Sviluppo del Sistema Energetico 2050 - Copertura della domanda elettrica</x:v>
      </x:c>
      <x:c r="D149" s="83" t="str">
        <x:v>Figura</x:v>
      </x:c>
      <x:c r="E149" s="83" t="str">
        <x:v>37</x:v>
      </x:c>
      <x:c r="F149" s="83" t="n">
        <x:v>42</x:v>
      </x:c>
      <x:c r="G149" s="83" t="n">
        <x:v>40</x:v>
      </x:c>
      <x:c r="H149" s="83" t="str">
        <x:v>5. Prospettive 2050</x:v>
      </x:c>
      <x:c r="I149" s="83" t="str">
        <x:v>Figura 37 - Progetti SMR nel mondo per grado di avanzamento29</x:v>
      </x:c>
      <x:c r="J149" s="83" t="str">
        <x:v>Contesto / metodologia</x:v>
      </x:c>
      <x:c r="K149" s="83" t="str">
        <x:v>P2 - contesto/validazione</x:v>
      </x:c>
      <x:c r="L149" s="83" t="str">
        <x:v>Figura o mappa; lettura etichette / eventuale digitalizzazione</x:v>
      </x:c>
      <x:c r="M149" s="83" t="str">
        <x:v>Medio</x:v>
      </x:c>
      <x:c r="N149" s="83" t="str">
        <x:v>Da verificare in Fase 3</x:v>
      </x:c>
    </x:row>
    <x:row r="150">
      <x:c r="A150" s="83" t="str">
        <x:v>S07-FIG-38-43</x:v>
      </x:c>
      <x:c r="B150" s="83" t="str">
        <x:v>S07</x:v>
      </x:c>
      <x:c r="C150" s="83" t="str">
        <x:v>Prospettive di Sviluppo del Sistema Energetico 2050 - Copertura della domanda elettrica</x:v>
      </x:c>
      <x:c r="D150" s="83" t="str">
        <x:v>Figura</x:v>
      </x:c>
      <x:c r="E150" s="83" t="str">
        <x:v>38</x:v>
      </x:c>
      <x:c r="F150" s="83" t="n">
        <x:v>43</x:v>
      </x:c>
      <x:c r="G150" s="83" t="n">
        <x:v>41</x:v>
      </x:c>
      <x:c r="H150" s="83" t="str">
        <x:v>5. Prospettive 2050</x:v>
      </x:c>
      <x:c r="I150" s="83" t="str">
        <x:v>Figura 38 - Progetti SMR nel mondo per tipologia30</x:v>
      </x:c>
      <x:c r="J150" s="83" t="str">
        <x:v>Contesto / metodologia</x:v>
      </x:c>
      <x:c r="K150" s="83" t="str">
        <x:v>P2 - contesto/validazione</x:v>
      </x:c>
      <x:c r="L150" s="83" t="str">
        <x:v>Figura o mappa; lettura etichette / eventuale digitalizzazione</x:v>
      </x:c>
      <x:c r="M150" s="83" t="str">
        <x:v>Medio</x:v>
      </x:c>
      <x:c r="N150" s="83" t="str">
        <x:v>Da verificare in Fase 3</x:v>
      </x:c>
    </x:row>
    <x:row r="151">
      <x:c r="A151" s="83" t="str">
        <x:v>S07-FIG-39-44</x:v>
      </x:c>
      <x:c r="B151" s="83" t="str">
        <x:v>S07</x:v>
      </x:c>
      <x:c r="C151" s="83" t="str">
        <x:v>Prospettive di Sviluppo del Sistema Energetico 2050 - Copertura della domanda elettrica</x:v>
      </x:c>
      <x:c r="D151" s="83" t="str">
        <x:v>Figura</x:v>
      </x:c>
      <x:c r="E151" s="83" t="str">
        <x:v>39</x:v>
      </x:c>
      <x:c r="F151" s="83" t="n">
        <x:v>44</x:v>
      </x:c>
      <x:c r="G151" s="83" t="n">
        <x:v>42</x:v>
      </x:c>
      <x:c r="H151" s="83" t="str">
        <x:v>5. Prospettive 2050</x:v>
      </x:c>
      <x:c r="I151" s="83" t="str">
        <x:v>Figura 39 - Prospettive di evoluzione dell’LCOE nucleare 2030 – 2050 (USD/MWh)</x:v>
      </x:c>
      <x:c r="J151" s="83" t="str">
        <x:v>Capacità e generazione; Mercato e prezzi</x:v>
      </x:c>
      <x:c r="K151" s="83" t="str">
        <x:v>P1 - input diretto/parametro</x:v>
      </x:c>
      <x:c r="L151" s="83" t="str">
        <x:v>Figura o mappa; lettura etichette / eventuale digitalizzazione</x:v>
      </x:c>
      <x:c r="M151" s="83" t="str">
        <x:v>Medio</x:v>
      </x:c>
      <x:c r="N151" s="83" t="str">
        <x:v>Da verificare in Fase 3</x:v>
      </x:c>
    </x:row>
    <x:row r="152">
      <x:c r="A152" s="83" t="str">
        <x:v>S07-FIG-40-45</x:v>
      </x:c>
      <x:c r="B152" s="83" t="str">
        <x:v>S07</x:v>
      </x:c>
      <x:c r="C152" s="83" t="str">
        <x:v>Prospettive di Sviluppo del Sistema Energetico 2050 - Copertura della domanda elettrica</x:v>
      </x:c>
      <x:c r="D152" s="83" t="str">
        <x:v>Figura</x:v>
      </x:c>
      <x:c r="E152" s="83" t="str">
        <x:v>40</x:v>
      </x:c>
      <x:c r="F152" s="83" t="n">
        <x:v>45</x:v>
      </x:c>
      <x:c r="G152" s="83" t="n">
        <x:v>43</x:v>
      </x:c>
      <x:c r="H152" s="83" t="str">
        <x:v>5. Prospettive 2050</x:v>
      </x:c>
      <x:c r="I152" s="83" t="str">
        <x:v>Figura 40 - LCOE eolico offshore: evoluzione storica e prospettica</x:v>
      </x:c>
      <x:c r="J152" s="83" t="str">
        <x:v>Capacità e generazione; Mercato e prezzi</x:v>
      </x:c>
      <x:c r="K152" s="83" t="str">
        <x:v>P1 - input diretto/parametro</x:v>
      </x:c>
      <x:c r="L152" s="83" t="str">
        <x:v>Figura o mappa; lettura etichette / eventuale digitalizzazione</x:v>
      </x:c>
      <x:c r="M152" s="83" t="str">
        <x:v>Medio</x:v>
      </x:c>
      <x:c r="N152" s="83" t="str">
        <x:v>Da verificare in Fase 3</x:v>
      </x:c>
    </x:row>
    <x:row r="153">
      <x:c r="A153" s="83" t="str">
        <x:v>S07-FIG-41-46</x:v>
      </x:c>
      <x:c r="B153" s="83" t="str">
        <x:v>S07</x:v>
      </x:c>
      <x:c r="C153" s="83" t="str">
        <x:v>Prospettive di Sviluppo del Sistema Energetico 2050 - Copertura della domanda elettrica</x:v>
      </x:c>
      <x:c r="D153" s="83" t="str">
        <x:v>Figura</x:v>
      </x:c>
      <x:c r="E153" s="83" t="str">
        <x:v>41</x:v>
      </x:c>
      <x:c r="F153" s="83" t="n">
        <x:v>46</x:v>
      </x:c>
      <x:c r="G153" s="83" t="n">
        <x:v>44</x:v>
      </x:c>
      <x:c r="H153" s="83" t="str">
        <x:v>5. Prospettive 2050</x:v>
      </x:c>
      <x:c r="I153" s="83" t="str">
        <x:v>Figura 41 - Indice di rilevanza CCUS dei settori oggetto di applicabilità del processo di cattura della CO2</x:v>
      </x:c>
      <x:c r="J153" s="83" t="str">
        <x:v>Mercato e prezzi; Emissioni e ambiente</x:v>
      </x:c>
      <x:c r="K153" s="83" t="str">
        <x:v>P1 - input diretto/parametro</x:v>
      </x:c>
      <x:c r="L153" s="83" t="str">
        <x:v>Figura o mappa; lettura etichette / eventuale digitalizzazione</x:v>
      </x:c>
      <x:c r="M153" s="83" t="str">
        <x:v>Medio</x:v>
      </x:c>
      <x:c r="N153" s="83" t="str">
        <x:v>Da verificare in Fase 3</x:v>
      </x:c>
    </x:row>
    <x:row r="154">
      <x:c r="A154" s="83" t="str">
        <x:v>S07-FIG-42-47</x:v>
      </x:c>
      <x:c r="B154" s="83" t="str">
        <x:v>S07</x:v>
      </x:c>
      <x:c r="C154" s="83" t="str">
        <x:v>Prospettive di Sviluppo del Sistema Energetico 2050 - Copertura della domanda elettrica</x:v>
      </x:c>
      <x:c r="D154" s="83" t="str">
        <x:v>Figura</x:v>
      </x:c>
      <x:c r="E154" s="83" t="str">
        <x:v>42</x:v>
      </x:c>
      <x:c r="F154" s="83" t="n">
        <x:v>47</x:v>
      </x:c>
      <x:c r="G154" s="83" t="n">
        <x:v>45</x:v>
      </x:c>
      <x:c r="H154" s="83" t="str">
        <x:v>5. Prospettive 2050</x:v>
      </x:c>
      <x:c r="I154" s="83" t="str">
        <x:v>Figura 42 - Costo di cattura (€/tCO2) per i diversi casi Studio e intervallo di confidenza sensitività</x:v>
      </x:c>
      <x:c r="J154" s="83" t="str">
        <x:v>Mercato e prezzi; Emissioni e ambiente</x:v>
      </x:c>
      <x:c r="K154" s="83" t="str">
        <x:v>P1 - input diretto/parametro</x:v>
      </x:c>
      <x:c r="L154" s="83" t="str">
        <x:v>Figura o mappa; lettura etichette / eventuale digitalizzazione</x:v>
      </x:c>
      <x:c r="M154" s="83" t="str">
        <x:v>Medio</x:v>
      </x:c>
      <x:c r="N154" s="83" t="str">
        <x:v>Da verificare in Fase 3</x:v>
      </x:c>
    </x:row>
    <x:row r="155">
      <x:c r="A155" s="83" t="str">
        <x:v>S07-FIG-43-48</x:v>
      </x:c>
      <x:c r="B155" s="83" t="str">
        <x:v>S07</x:v>
      </x:c>
      <x:c r="C155" s="83" t="str">
        <x:v>Prospettive di Sviluppo del Sistema Energetico 2050 - Copertura della domanda elettrica</x:v>
      </x:c>
      <x:c r="D155" s="83" t="str">
        <x:v>Figura</x:v>
      </x:c>
      <x:c r="E155" s="83" t="str">
        <x:v>43</x:v>
      </x:c>
      <x:c r="F155" s="83" t="n">
        <x:v>48</x:v>
      </x:c>
      <x:c r="G155" s="83" t="n">
        <x:v>46</x:v>
      </x:c>
      <x:c r="H155" s="83" t="str">
        <x:v>5. Prospettive 2050</x:v>
      </x:c>
      <x:c r="I155" s="83" t="str">
        <x:v>Figura 43 - Posizionamento delle diverse tecnologie</x:v>
      </x:c>
      <x:c r="J155" s="83" t="str">
        <x:v>Contesto / metodologia</x:v>
      </x:c>
      <x:c r="K155" s="83" t="str">
        <x:v>P2 - contesto/validazione</x:v>
      </x:c>
      <x:c r="L155" s="83" t="str">
        <x:v>Figura o mappa; lettura etichette / eventuale digitalizzazione</x:v>
      </x:c>
      <x:c r="M155" s="83" t="str">
        <x:v>Medio</x:v>
      </x:c>
      <x:c r="N155" s="83" t="str">
        <x:v>Da verificare in Fase 3</x:v>
      </x:c>
    </x:row>
    <x:row r="156">
      <x:c r="A156" s="83" t="str">
        <x:v>S07-FIG-44-50</x:v>
      </x:c>
      <x:c r="B156" s="83" t="str">
        <x:v>S07</x:v>
      </x:c>
      <x:c r="C156" s="83" t="str">
        <x:v>Prospettive di Sviluppo del Sistema Energetico 2050 - Copertura della domanda elettrica</x:v>
      </x:c>
      <x:c r="D156" s="83" t="str">
        <x:v>Figura</x:v>
      </x:c>
      <x:c r="E156" s="83" t="str">
        <x:v>44</x:v>
      </x:c>
      <x:c r="F156" s="83" t="n">
        <x:v>50</x:v>
      </x:c>
      <x:c r="G156" s="83" t="n">
        <x:v>48</x:v>
      </x:c>
      <x:c r="H156" s="83" t="str">
        <x:v>5. Prospettive 2050</x:v>
      </x:c>
      <x:c r="I156" s="83" t="str">
        <x:v>Figura 44 - LCOS di una batteria da 4h per un ciclo giornaliero, settimanale e stagionale di carica-scarica.</x:v>
      </x:c>
      <x:c r="J156" s="83" t="str">
        <x:v>Accumuli e flessibilità</x:v>
      </x:c>
      <x:c r="K156" s="83" t="str">
        <x:v>P2 - contesto/validazione</x:v>
      </x:c>
      <x:c r="L156" s="83" t="str">
        <x:v>Figura o mappa; lettura etichette / eventuale digitalizzazione</x:v>
      </x:c>
      <x:c r="M156" s="83" t="str">
        <x:v>Medio</x:v>
      </x:c>
      <x:c r="N156" s="83" t="str">
        <x:v>Da verificare in Fase 3</x:v>
      </x:c>
    </x:row>
    <x:row r="157">
      <x:c r="A157" s="83" t="str">
        <x:v>S07-TAB-3-52</x:v>
      </x:c>
      <x:c r="B157" s="83" t="str">
        <x:v>S07</x:v>
      </x:c>
      <x:c r="C157" s="83" t="str">
        <x:v>Prospettive di Sviluppo del Sistema Energetico 2050 - Copertura della domanda elettrica</x:v>
      </x:c>
      <x:c r="D157" s="83" t="str">
        <x:v>Tabella</x:v>
      </x:c>
      <x:c r="E157" s="83" t="str">
        <x:v>3</x:v>
      </x:c>
      <x:c r="F157" s="83" t="n">
        <x:v>52</x:v>
      </x:c>
      <x:c r="G157" s="83" t="n">
        <x:v>50</x:v>
      </x:c>
      <x:c r="H157" s="83" t="str">
        <x:v>5. Prospettive 2050</x:v>
      </x:c>
      <x:c r="I157" s="83" t="str">
        <x:v>Tabella 3 - Fabbisogno, consumi e produzione nazionale degli scenari 2050 contenuti nel PNIEC</x:v>
      </x:c>
      <x:c r="J157" s="83" t="str">
        <x:v>Domanda e consumi; Capacità e generazione; Scenario e metodologia</x:v>
      </x:c>
      <x:c r="K157" s="83" t="str">
        <x:v>P1 - input diretto/parametro</x:v>
      </x:c>
      <x:c r="L157" s="83" t="str">
        <x:v>Tabella testuale/PDF</x:v>
      </x:c>
      <x:c r="M157" s="83" t="str">
        <x:v>Basso</x:v>
      </x:c>
      <x:c r="N157" s="83" t="str">
        <x:v>Da verificare in Fase 3</x:v>
      </x:c>
    </x:row>
    <x:row r="158">
      <x:c r="A158" s="83" t="str">
        <x:v>S07-FIG-45-53</x:v>
      </x:c>
      <x:c r="B158" s="83" t="str">
        <x:v>S07</x:v>
      </x:c>
      <x:c r="C158" s="83" t="str">
        <x:v>Prospettive di Sviluppo del Sistema Energetico 2050 - Copertura della domanda elettrica</x:v>
      </x:c>
      <x:c r="D158" s="83" t="str">
        <x:v>Figura</x:v>
      </x:c>
      <x:c r="E158" s="83" t="str">
        <x:v>45</x:v>
      </x:c>
      <x:c r="F158" s="83" t="n">
        <x:v>53</x:v>
      </x:c>
      <x:c r="G158" s="83" t="n">
        <x:v>51</x:v>
      </x:c>
      <x:c r="H158" s="83" t="str">
        <x:v>5. Prospettive 2050</x:v>
      </x:c>
      <x:c r="I158" s="83" t="str">
        <x:v>Figura 45 - Drivers di evoluzione del fabbisogno elettrico al 2050</x:v>
      </x:c>
      <x:c r="J158" s="83" t="str">
        <x:v>Domanda e consumi</x:v>
      </x:c>
      <x:c r="K158" s="83" t="str">
        <x:v>P1 - input diretto/parametro</x:v>
      </x:c>
      <x:c r="L158" s="83" t="str">
        <x:v>Figura o mappa; lettura etichette / eventuale digitalizzazione</x:v>
      </x:c>
      <x:c r="M158" s="83" t="str">
        <x:v>Medio</x:v>
      </x:c>
      <x:c r="N158" s="83" t="str">
        <x:v>Da verificare in Fase 3</x:v>
      </x:c>
    </x:row>
    <x:row r="159">
      <x:c r="A159" s="83" t="str">
        <x:v>S07-FIG-46-54</x:v>
      </x:c>
      <x:c r="B159" s="83" t="str">
        <x:v>S07</x:v>
      </x:c>
      <x:c r="C159" s="83" t="str">
        <x:v>Prospettive di Sviluppo del Sistema Energetico 2050 - Copertura della domanda elettrica</x:v>
      </x:c>
      <x:c r="D159" s="83" t="str">
        <x:v>Figura</x:v>
      </x:c>
      <x:c r="E159" s="83" t="str">
        <x:v>46</x:v>
      </x:c>
      <x:c r="F159" s="83" t="n">
        <x:v>54</x:v>
      </x:c>
      <x:c r="G159" s="83" t="n">
        <x:v>52</x:v>
      </x:c>
      <x:c r="H159" s="83" t="str">
        <x:v>5. Prospettive 2050</x:v>
      </x:c>
      <x:c r="I159" s="83" t="str">
        <x:v>Figura 46 - Distribuzione mensile (%) del fabbisogno elettrico (2024 vs 2050)</x:v>
      </x:c>
      <x:c r="J159" s="83" t="str">
        <x:v>Domanda e consumi</x:v>
      </x:c>
      <x:c r="K159" s="83" t="str">
        <x:v>P1 - input diretto/parametro</x:v>
      </x:c>
      <x:c r="L159" s="83" t="str">
        <x:v>Figura o mappa; lettura etichette / eventuale digitalizzazione</x:v>
      </x:c>
      <x:c r="M159" s="83" t="str">
        <x:v>Medio</x:v>
      </x:c>
      <x:c r="N159" s="83" t="str">
        <x:v>Da verificare in Fase 3</x:v>
      </x:c>
    </x:row>
    <x:row r="160">
      <x:c r="A160" s="83" t="str">
        <x:v>S07-FIG-47-55</x:v>
      </x:c>
      <x:c r="B160" s="83" t="str">
        <x:v>S07</x:v>
      </x:c>
      <x:c r="C160" s="83" t="str">
        <x:v>Prospettive di Sviluppo del Sistema Energetico 2050 - Copertura della domanda elettrica</x:v>
      </x:c>
      <x:c r="D160" s="83" t="str">
        <x:v>Figura</x:v>
      </x:c>
      <x:c r="E160" s="83" t="str">
        <x:v>47</x:v>
      </x:c>
      <x:c r="F160" s="83" t="n">
        <x:v>55</x:v>
      </x:c>
      <x:c r="G160" s="83" t="n">
        <x:v>53</x:v>
      </x:c>
      <x:c r="H160" s="83" t="str">
        <x:v>5. Prospettive 2050</x:v>
      </x:c>
      <x:c r="I160" s="83" t="str">
        <x:v>Figura 47 - Producibilità media oraria mensile di eolico e fotovoltaico in Italia</x:v>
      </x:c>
      <x:c r="J160" s="83" t="str">
        <x:v>Capacità e generazione</x:v>
      </x:c>
      <x:c r="K160" s="83" t="str">
        <x:v>P2 - contesto/validazione</x:v>
      </x:c>
      <x:c r="L160" s="83" t="str">
        <x:v>Figura o mappa; lettura etichette / eventuale digitalizzazione</x:v>
      </x:c>
      <x:c r="M160" s="83" t="str">
        <x:v>Medio</x:v>
      </x:c>
      <x:c r="N160" s="83" t="str">
        <x:v>Da verificare in Fase 3</x:v>
      </x:c>
    </x:row>
    <x:row r="161">
      <x:c r="A161" s="83" t="str">
        <x:v>S07-FIG-48-56</x:v>
      </x:c>
      <x:c r="B161" s="83" t="str">
        <x:v>S07</x:v>
      </x:c>
      <x:c r="C161" s="83" t="str">
        <x:v>Prospettive di Sviluppo del Sistema Energetico 2050 - Copertura della domanda elettrica</x:v>
      </x:c>
      <x:c r="D161" s="83" t="str">
        <x:v>Figura</x:v>
      </x:c>
      <x:c r="E161" s="83" t="str">
        <x:v>48</x:v>
      </x:c>
      <x:c r="F161" s="83" t="n">
        <x:v>56</x:v>
      </x:c>
      <x:c r="G161" s="83" t="n">
        <x:v>54</x:v>
      </x:c>
      <x:c r="H161" s="83" t="str">
        <x:v>5. Prospettive 2050</x:v>
      </x:c>
      <x:c r="I161" s="83" t="str">
        <x:v>Figura 48 - Evoluzione del costo di integrazione della produzione rinnovabile in uno scenario 2050</x:v>
      </x:c>
      <x:c r="J161" s="83" t="str">
        <x:v>Scenario e metodologia</x:v>
      </x:c>
      <x:c r="K161" s="83" t="str">
        <x:v>P2 - contesto/validazione</x:v>
      </x:c>
      <x:c r="L161" s="83" t="str">
        <x:v>Figura o mappa; lettura etichette / eventuale digitalizzazione</x:v>
      </x:c>
      <x:c r="M161" s="83" t="str">
        <x:v>Medio</x:v>
      </x:c>
      <x:c r="N161" s="83" t="str">
        <x:v>Da verificare in Fase 3</x:v>
      </x:c>
    </x:row>
    <x:row r="162">
      <x:c r="A162" s="83" t="str">
        <x:v>S07-TAB-4-58</x:v>
      </x:c>
      <x:c r="B162" s="83" t="str">
        <x:v>S07</x:v>
      </x:c>
      <x:c r="C162" s="83" t="str">
        <x:v>Prospettive di Sviluppo del Sistema Energetico 2050 - Copertura della domanda elettrica</x:v>
      </x:c>
      <x:c r="D162" s="83" t="str">
        <x:v>Tabella</x:v>
      </x:c>
      <x:c r="E162" s="83" t="str">
        <x:v>4</x:v>
      </x:c>
      <x:c r="F162" s="83" t="n">
        <x:v>58</x:v>
      </x:c>
      <x:c r="G162" s="83" t="n">
        <x:v>56</x:v>
      </x:c>
      <x:c r="H162" s="83" t="str">
        <x:v>5. Prospettive 2050</x:v>
      </x:c>
      <x:c r="I162" s="83" t="str">
        <x:v>Tabella 4 - Installato FER e accumuli negli scenari 2050</x:v>
      </x:c>
      <x:c r="J162" s="83" t="str">
        <x:v>Capacità e generazione; Accumuli e flessibilità</x:v>
      </x:c>
      <x:c r="K162" s="83" t="str">
        <x:v>P1 - input diretto/parametro</x:v>
      </x:c>
      <x:c r="L162" s="83" t="str">
        <x:v>Tabella testuale/PDF</x:v>
      </x:c>
      <x:c r="M162" s="83" t="str">
        <x:v>Basso</x:v>
      </x:c>
      <x:c r="N162" s="83" t="str">
        <x:v>Da verificare in Fase 3</x:v>
      </x:c>
    </x:row>
    <x:row r="163">
      <x:c r="A163" s="83" t="str">
        <x:v>S07-FIG-49-58</x:v>
      </x:c>
      <x:c r="B163" s="83" t="str">
        <x:v>S07</x:v>
      </x:c>
      <x:c r="C163" s="83" t="str">
        <x:v>Prospettive di Sviluppo del Sistema Energetico 2050 - Copertura della domanda elettrica</x:v>
      </x:c>
      <x:c r="D163" s="83" t="str">
        <x:v>Figura</x:v>
      </x:c>
      <x:c r="E163" s="83" t="str">
        <x:v>49</x:v>
      </x:c>
      <x:c r="F163" s="83" t="n">
        <x:v>58</x:v>
      </x:c>
      <x:c r="G163" s="83" t="n">
        <x:v>56</x:v>
      </x:c>
      <x:c r="H163" s="83" t="str">
        <x:v>5. Prospettive 2050</x:v>
      </x:c>
      <x:c r="I163" s="83" t="str">
        <x:v>Figura 49 - Beneficio netto di sistema e ovegeneration in funzione del dimensionamento degli accumuli</x:v>
      </x:c>
      <x:c r="J163" s="83" t="str">
        <x:v>Accumuli e flessibilità</x:v>
      </x:c>
      <x:c r="K163" s="83" t="str">
        <x:v>P1 - input diretto/parametro</x:v>
      </x:c>
      <x:c r="L163" s="83" t="str">
        <x:v>Figura o mappa; lettura etichette / eventuale digitalizzazione</x:v>
      </x:c>
      <x:c r="M163" s="83" t="str">
        <x:v>Medio</x:v>
      </x:c>
      <x:c r="N163" s="83" t="str">
        <x:v>Da verificare in Fase 3</x:v>
      </x:c>
    </x:row>
    <x:row r="164">
      <x:c r="A164" s="83" t="str">
        <x:v>S07-TAB-5-59</x:v>
      </x:c>
      <x:c r="B164" s="83" t="str">
        <x:v>S07</x:v>
      </x:c>
      <x:c r="C164" s="83" t="str">
        <x:v>Prospettive di Sviluppo del Sistema Energetico 2050 - Copertura della domanda elettrica</x:v>
      </x:c>
      <x:c r="D164" s="83" t="str">
        <x:v>Tabella</x:v>
      </x:c>
      <x:c r="E164" s="83" t="str">
        <x:v>5</x:v>
      </x:c>
      <x:c r="F164" s="83" t="n">
        <x:v>59</x:v>
      </x:c>
      <x:c r="G164" s="83" t="n">
        <x:v>57</x:v>
      </x:c>
      <x:c r="H164" s="83" t="str">
        <x:v>5. Prospettive 2050</x:v>
      </x:c>
      <x:c r="I164" s="83" t="str">
        <x:v>Tabella 5 - Bilancio elettrico annuale 2050</x:v>
      </x:c>
      <x:c r="J164" s="83" t="str">
        <x:v>Scenario e metodologia</x:v>
      </x:c>
      <x:c r="K164" s="83" t="str">
        <x:v>P1 - input diretto/parametro</x:v>
      </x:c>
      <x:c r="L164" s="83" t="str">
        <x:v>Tabella testuale/PDF</x:v>
      </x:c>
      <x:c r="M164" s="83" t="str">
        <x:v>Basso</x:v>
      </x:c>
      <x:c r="N164" s="83" t="str">
        <x:v>Da verificare in Fase 3</x:v>
      </x:c>
    </x:row>
    <x:row r="165">
      <x:c r="A165" s="83" t="str">
        <x:v>S07-FIG-50-60</x:v>
      </x:c>
      <x:c r="B165" s="83" t="str">
        <x:v>S07</x:v>
      </x:c>
      <x:c r="C165" s="83" t="str">
        <x:v>Prospettive di Sviluppo del Sistema Energetico 2050 - Copertura della domanda elettrica</x:v>
      </x:c>
      <x:c r="D165" s="83" t="str">
        <x:v>Figura</x:v>
      </x:c>
      <x:c r="E165" s="83" t="str">
        <x:v>50</x:v>
      </x:c>
      <x:c r="F165" s="83" t="n">
        <x:v>60</x:v>
      </x:c>
      <x:c r="G165" s="83" t="n">
        <x:v>58</x:v>
      </x:c>
      <x:c r="H165" s="83" t="str">
        <x:v>5. Prospettive 2050</x:v>
      </x:c>
      <x:c r="I165" s="83" t="str">
        <x:v>Figura 50 - Bilancio elettrico mensile 2050</x:v>
      </x:c>
      <x:c r="J165" s="83" t="str">
        <x:v>Scenario e metodologia</x:v>
      </x:c>
      <x:c r="K165" s="83" t="str">
        <x:v>P1 - input diretto/parametro</x:v>
      </x:c>
      <x:c r="L165" s="83" t="str">
        <x:v>Figura o mappa; lettura etichette / eventuale digitalizzazione</x:v>
      </x:c>
      <x:c r="M165" s="83" t="str">
        <x:v>Medio</x:v>
      </x:c>
      <x:c r="N165" s="83" t="str">
        <x:v>Da verificare in Fase 3</x:v>
      </x:c>
    </x:row>
    <x:row r="166">
      <x:c r="A166" s="83" t="str">
        <x:v>S07-FIG-51-61</x:v>
      </x:c>
      <x:c r="B166" s="83" t="str">
        <x:v>S07</x:v>
      </x:c>
      <x:c r="C166" s="83" t="str">
        <x:v>Prospettive di Sviluppo del Sistema Energetico 2050 - Copertura della domanda elettrica</x:v>
      </x:c>
      <x:c r="D166" s="83" t="str">
        <x:v>Figura</x:v>
      </x:c>
      <x:c r="E166" s="83" t="str">
        <x:v>51</x:v>
      </x:c>
      <x:c r="F166" s="83" t="n">
        <x:v>61</x:v>
      </x:c>
      <x:c r="G166" s="83" t="n">
        <x:v>59</x:v>
      </x:c>
      <x:c r="H166" s="83" t="str">
        <x:v>5. Prospettive 2050</x:v>
      </x:c>
      <x:c r="I166" s="83" t="str">
        <x:v>Figura 51 - Compensazione della quota di produzione nucleare in assenza di questa tecnologia</x:v>
      </x:c>
      <x:c r="J166" s="83" t="str">
        <x:v>Capacità e generazione</x:v>
      </x:c>
      <x:c r="K166" s="83" t="str">
        <x:v>P2 - contesto/validazione</x:v>
      </x:c>
      <x:c r="L166" s="83" t="str">
        <x:v>Figura o mappa; lettura etichette / eventuale digitalizzazione</x:v>
      </x:c>
      <x:c r="M166" s="83" t="str">
        <x:v>Medio</x:v>
      </x:c>
      <x:c r="N166" s="83" t="str">
        <x:v>Da verificare in Fase 3</x:v>
      </x:c>
    </x:row>
    <x:row r="167">
      <x:c r="A167" s="83" t="str">
        <x:v>S07-FIG-52-62</x:v>
      </x:c>
      <x:c r="B167" s="83" t="str">
        <x:v>S07</x:v>
      </x:c>
      <x:c r="C167" s="83" t="str">
        <x:v>Prospettive di Sviluppo del Sistema Energetico 2050 - Copertura della domanda elettrica</x:v>
      </x:c>
      <x:c r="D167" s="83" t="str">
        <x:v>Figura</x:v>
      </x:c>
      <x:c r="E167" s="83" t="str">
        <x:v>52</x:v>
      </x:c>
      <x:c r="F167" s="83" t="n">
        <x:v>62</x:v>
      </x:c>
      <x:c r="G167" s="83" t="n">
        <x:v>60</x:v>
      </x:c>
      <x:c r="H167" s="83" t="str">
        <x:v>5. Prospettive 2050</x:v>
      </x:c>
      <x:c r="I167" s="83" t="str">
        <x:v>Figura 52 - Andamento illustrativo dei benefici netti al crescere della capacità di accumulo</x:v>
      </x:c>
      <x:c r="J167" s="83" t="str">
        <x:v>Accumuli e flessibilità</x:v>
      </x:c>
      <x:c r="K167" s="83" t="str">
        <x:v>P1 - input diretto/parametro</x:v>
      </x:c>
      <x:c r="L167" s="83" t="str">
        <x:v>Figura o mappa; lettura etichette / eventuale digitalizzazione</x:v>
      </x:c>
      <x:c r="M167" s="83" t="str">
        <x:v>Medio</x:v>
      </x:c>
      <x:c r="N167" s="83" t="str">
        <x:v>Da verificare in Fase 3</x:v>
      </x:c>
    </x:row>
    <x:row r="168">
      <x:c r="A168" s="83" t="str">
        <x:v>S07-FIG-53-63</x:v>
      </x:c>
      <x:c r="B168" s="83" t="str">
        <x:v>S07</x:v>
      </x:c>
      <x:c r="C168" s="83" t="str">
        <x:v>Prospettive di Sviluppo del Sistema Energetico 2050 - Copertura della domanda elettrica</x:v>
      </x:c>
      <x:c r="D168" s="83" t="str">
        <x:v>Figura</x:v>
      </x:c>
      <x:c r="E168" s="83" t="str">
        <x:v>53</x:v>
      </x:c>
      <x:c r="F168" s="83" t="n">
        <x:v>63</x:v>
      </x:c>
      <x:c r="G168" s="83" t="n">
        <x:v>61</x:v>
      </x:c>
      <x:c r="H168" s="83" t="str">
        <x:v>5. Prospettive 2050</x:v>
      </x:c>
      <x:c r="I168" s="83" t="str">
        <x:v>Figura 53 - Curva di durata del carico residuo al 2050</x:v>
      </x:c>
      <x:c r="J168" s="83" t="str">
        <x:v>Domanda e consumi; Accumuli e flessibilità</x:v>
      </x:c>
      <x:c r="K168" s="83" t="str">
        <x:v>P1 - input diretto/parametro</x:v>
      </x:c>
      <x:c r="L168" s="83" t="str">
        <x:v>Figura o mappa; lettura etichette / eventuale digitalizzazione</x:v>
      </x:c>
      <x:c r="M168" s="83" t="str">
        <x:v>Medio</x:v>
      </x:c>
      <x:c r="N168" s="83" t="str">
        <x:v>Da verificare in Fase 3</x:v>
      </x:c>
    </x:row>
    <x:row r="169">
      <x:c r="A169" s="83" t="str">
        <x:v>S07-FIG-54-64</x:v>
      </x:c>
      <x:c r="B169" s="83" t="str">
        <x:v>S07</x:v>
      </x:c>
      <x:c r="C169" s="83" t="str">
        <x:v>Prospettive di Sviluppo del Sistema Energetico 2050 - Copertura della domanda elettrica</x:v>
      </x:c>
      <x:c r="D169" s="83" t="str">
        <x:v>Figura</x:v>
      </x:c>
      <x:c r="E169" s="83" t="str">
        <x:v>54</x:v>
      </x:c>
      <x:c r="F169" s="83" t="n">
        <x:v>64</x:v>
      </x:c>
      <x:c r="G169" s="83" t="n">
        <x:v>62</x:v>
      </x:c>
      <x:c r="H169" s="83" t="str">
        <x:v>5. Prospettive 2050</x:v>
      </x:c>
      <x:c r="I169" s="83" t="str">
        <x:v>Figura 54 - Evoluzione del parco di generazione installata al 2050</x:v>
      </x:c>
      <x:c r="J169" s="83" t="str">
        <x:v>Capacità e generazione</x:v>
      </x:c>
      <x:c r="K169" s="83" t="str">
        <x:v>P2 - contesto/validazione</x:v>
      </x:c>
      <x:c r="L169" s="83" t="str">
        <x:v>Figura o mappa; lettura etichette / eventuale digitalizzazione</x:v>
      </x:c>
      <x:c r="M169" s="83" t="str">
        <x:v>Medio</x:v>
      </x:c>
      <x:c r="N169" s="83" t="str">
        <x:v>Da verificare in Fase 3</x:v>
      </x:c>
    </x:row>
    <x:row r="170">
      <x:c r="A170" s="83" t="str">
        <x:v>S07-FIG-55-65</x:v>
      </x:c>
      <x:c r="B170" s="83" t="str">
        <x:v>S07</x:v>
      </x:c>
      <x:c r="C170" s="83" t="str">
        <x:v>Prospettive di Sviluppo del Sistema Energetico 2050 - Copertura della domanda elettrica</x:v>
      </x:c>
      <x:c r="D170" s="83" t="str">
        <x:v>Figura</x:v>
      </x:c>
      <x:c r="E170" s="83" t="str">
        <x:v>55</x:v>
      </x:c>
      <x:c r="F170" s="83" t="n">
        <x:v>65</x:v>
      </x:c>
      <x:c r="G170" s="83" t="n">
        <x:v>63</x:v>
      </x:c>
      <x:c r="H170" s="83" t="str">
        <x:v>5. Prospettive 2050</x:v>
      </x:c>
      <x:c r="I170" s="83" t="str">
        <x:v>Figura 55 - Capacità installata vs Capacità Disponibile in Probabilità (CDP) al 2050</x:v>
      </x:c>
      <x:c r="J170" s="83" t="str">
        <x:v>Capacità e generazione</x:v>
      </x:c>
      <x:c r="K170" s="83" t="str">
        <x:v>P1 - input diretto/parametro</x:v>
      </x:c>
      <x:c r="L170" s="83" t="str">
        <x:v>Figura o mappa; lettura etichette / eventuale digitalizzazione</x:v>
      </x:c>
      <x:c r="M170" s="83" t="str">
        <x:v>Medio</x:v>
      </x:c>
      <x:c r="N170" s="83" t="str">
        <x:v>Da verificare in Fase 3</x:v>
      </x:c>
    </x:row>
    <x:row r="171">
      <x:c r="A171" s="83" t="str">
        <x:v>S07-FIG-56-66</x:v>
      </x:c>
      <x:c r="B171" s="83" t="str">
        <x:v>S07</x:v>
      </x:c>
      <x:c r="C171" s="83" t="str">
        <x:v>Prospettive di Sviluppo del Sistema Energetico 2050 - Copertura della domanda elettrica</x:v>
      </x:c>
      <x:c r="D171" s="83" t="str">
        <x:v>Figura</x:v>
      </x:c>
      <x:c r="E171" s="83" t="str">
        <x:v>56</x:v>
      </x:c>
      <x:c r="F171" s="83" t="n">
        <x:v>66</x:v>
      </x:c>
      <x:c r="G171" s="83" t="n">
        <x:v>64</x:v>
      </x:c>
      <x:c r="H171" s="83" t="str">
        <x:v>5. Prospettive 2050</x:v>
      </x:c>
      <x:c r="I171" s="83" t="str">
        <x:v>Figura 56 - Carico residuo vs carico residuo programmabile con accumuli al 2050</x:v>
      </x:c>
      <x:c r="J171" s="83" t="str">
        <x:v>Domanda e consumi; Accumuli e flessibilità</x:v>
      </x:c>
      <x:c r="K171" s="83" t="str">
        <x:v>P1 - input diretto/parametro</x:v>
      </x:c>
      <x:c r="L171" s="83" t="str">
        <x:v>Figura o mappa; lettura etichette / eventuale digitalizzazione</x:v>
      </x:c>
      <x:c r="M171" s="83" t="str">
        <x:v>Medio</x:v>
      </x:c>
      <x:c r="N171" s="83" t="str">
        <x:v>Da verificare in Fase 3</x:v>
      </x:c>
    </x:row>
    <x:row r="172">
      <x:c r="A172" s="83" t="str">
        <x:v>S07-FIG-57-67</x:v>
      </x:c>
      <x:c r="B172" s="83" t="str">
        <x:v>S07</x:v>
      </x:c>
      <x:c r="C172" s="83" t="str">
        <x:v>Prospettive di Sviluppo del Sistema Energetico 2050 - Copertura della domanda elettrica</x:v>
      </x:c>
      <x:c r="D172" s="83" t="str">
        <x:v>Figura</x:v>
      </x:c>
      <x:c r="E172" s="83" t="str">
        <x:v>57</x:v>
      </x:c>
      <x:c r="F172" s="83" t="n">
        <x:v>67</x:v>
      </x:c>
      <x:c r="G172" s="83" t="n">
        <x:v>65</x:v>
      </x:c>
      <x:c r="H172" s="83" t="str">
        <x:v>5. Prospettive 2050</x:v>
      </x:c>
      <x:c r="I172" s="83" t="str">
        <x:v>Figura 57 - Flexibility index su diverse scale temporali al 2023, 2030, 2040 e 2050 valorizzando a</x:v>
      </x:c>
      <x:c r="J172" s="83" t="str">
        <x:v>Accumuli e flessibilità</x:v>
      </x:c>
      <x:c r="K172" s="83" t="str">
        <x:v>P2 - contesto/validazione</x:v>
      </x:c>
      <x:c r="L172" s="83" t="str">
        <x:v>Figura o mappa; lettura etichette / eventuale digitalizzazione</x:v>
      </x:c>
      <x:c r="M172" s="83" t="str">
        <x:v>Medio</x:v>
      </x:c>
      <x:c r="N172" s="83" t="str">
        <x:v>Da verificare in Fase 3</x:v>
      </x:c>
    </x:row>
    <x:row r="173">
      <x:c r="A173" s="83" t="str">
        <x:v>S07-FIG-58-68</x:v>
      </x:c>
      <x:c r="B173" s="83" t="str">
        <x:v>S07</x:v>
      </x:c>
      <x:c r="C173" s="83" t="str">
        <x:v>Prospettive di Sviluppo del Sistema Energetico 2050 - Copertura della domanda elettrica</x:v>
      </x:c>
      <x:c r="D173" s="83" t="str">
        <x:v>Figura</x:v>
      </x:c>
      <x:c r="E173" s="83" t="str">
        <x:v>58</x:v>
      </x:c>
      <x:c r="F173" s="83" t="n">
        <x:v>68</x:v>
      </x:c>
      <x:c r="G173" s="83" t="n">
        <x:v>66</x:v>
      </x:c>
      <x:c r="H173" s="83" t="str">
        <x:v>5. Prospettive 2050</x:v>
      </x:c>
      <x:c r="I173" s="83" t="str">
        <x:v>Figura 58 - Copertura dei Daily Flexibility Needs per tecnologia (2023, 2050)</x:v>
      </x:c>
      <x:c r="J173" s="83" t="str">
        <x:v>Accumuli e flessibilità</x:v>
      </x:c>
      <x:c r="K173" s="83" t="str">
        <x:v>P2 - contesto/validazione</x:v>
      </x:c>
      <x:c r="L173" s="83" t="str">
        <x:v>Figura o mappa; lettura etichette / eventuale digitalizzazione</x:v>
      </x:c>
      <x:c r="M173" s="83" t="str">
        <x:v>Medio</x:v>
      </x:c>
      <x:c r="N173" s="83" t="str">
        <x:v>Da verificare in Fase 3</x:v>
      </x:c>
    </x:row>
    <x:row r="174">
      <x:c r="A174" s="83" t="str">
        <x:v>S07-FIG-59-69</x:v>
      </x:c>
      <x:c r="B174" s="83" t="str">
        <x:v>S07</x:v>
      </x:c>
      <x:c r="C174" s="83" t="str">
        <x:v>Prospettive di Sviluppo del Sistema Energetico 2050 - Copertura della domanda elettrica</x:v>
      </x:c>
      <x:c r="D174" s="83" t="str">
        <x:v>Figura</x:v>
      </x:c>
      <x:c r="E174" s="83" t="str">
        <x:v>59</x:v>
      </x:c>
      <x:c r="F174" s="83" t="n">
        <x:v>69</x:v>
      </x:c>
      <x:c r="G174" s="83" t="n">
        <x:v>67</x:v>
      </x:c>
      <x:c r="H174" s="83" t="str">
        <x:v>5. Prospettive 2050</x:v>
      </x:c>
      <x:c r="I174" s="83" t="str">
        <x:v>Figura 59 - Copertura dei Monthly Flexibility Needs per tecnologia (2023, 2050)</x:v>
      </x:c>
      <x:c r="J174" s="83" t="str">
        <x:v>Accumuli e flessibilità</x:v>
      </x:c>
      <x:c r="K174" s="83" t="str">
        <x:v>P2 - contesto/validazione</x:v>
      </x:c>
      <x:c r="L174" s="83" t="str">
        <x:v>Figura o mappa; lettura etichette / eventuale digitalizzazione</x:v>
      </x:c>
      <x:c r="M174" s="83" t="str">
        <x:v>Medio</x:v>
      </x:c>
      <x:c r="N174" s="83" t="str">
        <x:v>Da verificare in Fase 3</x:v>
      </x:c>
    </x:row>
    <x:row r="175">
      <x:c r="A175" s="83" t="str">
        <x:v>S07-FIG-60-70</x:v>
      </x:c>
      <x:c r="B175" s="83" t="str">
        <x:v>S07</x:v>
      </x:c>
      <x:c r="C175" s="83" t="str">
        <x:v>Prospettive di Sviluppo del Sistema Energetico 2050 - Copertura della domanda elettrica</x:v>
      </x:c>
      <x:c r="D175" s="83" t="str">
        <x:v>Figura</x:v>
      </x:c>
      <x:c r="E175" s="83" t="str">
        <x:v>60</x:v>
      </x:c>
      <x:c r="F175" s="83" t="n">
        <x:v>70</x:v>
      </x:c>
      <x:c r="G175" s="83" t="n">
        <x:v>68</x:v>
      </x:c>
      <x:c r="H175" s="83" t="str">
        <x:v>5. Prospettive 2050</x:v>
      </x:c>
      <x:c r="I175" s="83" t="str">
        <x:v>Figura 60 - Valori del carico residuo al 2050 per una domenica primaverile</x:v>
      </x:c>
      <x:c r="J175" s="83" t="str">
        <x:v>Domanda e consumi; Accumuli e flessibilità</x:v>
      </x:c>
      <x:c r="K175" s="83" t="str">
        <x:v>P1 - input diretto/parametro</x:v>
      </x:c>
      <x:c r="L175" s="83" t="str">
        <x:v>Figura o mappa; lettura etichette / eventuale digitalizzazione</x:v>
      </x:c>
      <x:c r="M175" s="83" t="str">
        <x:v>Medio</x:v>
      </x:c>
      <x:c r="N175" s="83" t="str">
        <x:v>Da verificare in Fase 3</x:v>
      </x:c>
    </x:row>
    <x:row r="176">
      <x:c r="A176" s="83" t="str">
        <x:v>S03-FIG-1-11</x:v>
      </x:c>
      <x:c r="B176" s="83" t="str">
        <x:v>S03</x:v>
      </x:c>
      <x:c r="C176" s="83" t="str">
        <x:v>Benefici di sistema e analisi robustezza rete</x:v>
      </x:c>
      <x:c r="D176" s="83" t="str">
        <x:v>Figura</x:v>
      </x:c>
      <x:c r="E176" s="83" t="str">
        <x:v>1</x:v>
      </x:c>
      <x:c r="F176" s="83" t="n">
        <x:v>11</x:v>
      </x:c>
      <x:c r="G176" s="83" t="n">
        <x:v>9</x:v>
      </x:c>
      <x:c r="H176" s="83" t="str">
        <x:v>1. Impatto degli sviluppi di rete</x:v>
      </x:c>
      <x:c r="I176" s="83" t="str">
        <x:v>Figura 1 Ore di congestione nei diversi scenari con e senza interventi PdS</x:v>
      </x:c>
      <x:c r="J176" s="83" t="str">
        <x:v>Contesto / metodologia</x:v>
      </x:c>
      <x:c r="K176" s="83" t="str">
        <x:v>P2 - contesto/validazione</x:v>
      </x:c>
      <x:c r="L176" s="83" t="str">
        <x:v>Figura o mappa; lettura etichette / eventuale digitalizzazione</x:v>
      </x:c>
      <x:c r="M176" s="83" t="str">
        <x:v>Medio</x:v>
      </x:c>
      <x:c r="N176" s="83" t="str">
        <x:v>Da verificare in Fase 3</x:v>
      </x:c>
    </x:row>
    <x:row r="177">
      <x:c r="A177" s="83" t="str">
        <x:v>S03-FIG-2-16</x:v>
      </x:c>
      <x:c r="B177" s="83" t="str">
        <x:v>S03</x:v>
      </x:c>
      <x:c r="C177" s="83" t="str">
        <x:v>Benefici di sistema e analisi robustezza rete</x:v>
      </x:c>
      <x:c r="D177" s="83" t="str">
        <x:v>Figura</x:v>
      </x:c>
      <x:c r="E177" s="83" t="str">
        <x:v>2</x:v>
      </x:c>
      <x:c r="F177" s="83" t="n">
        <x:v>16</x:v>
      </x:c>
      <x:c r="G177" s="83" t="n">
        <x:v>14</x:v>
      </x:c>
      <x:c r="H177" s="83" t="str">
        <x:v>2. Incremento capacità di trasporto</x:v>
      </x:c>
      <x:c r="I177" s="83" t="str">
        <x:v>Figura 2 Mappa interventi di sviluppo interzonali e interconnessioni con l’estero</x:v>
      </x:c>
      <x:c r="J177" s="83" t="str">
        <x:v>Trasmissione e interconnessioni</x:v>
      </x:c>
      <x:c r="K177" s="83" t="str">
        <x:v>P1 - input diretto/parametro</x:v>
      </x:c>
      <x:c r="L177" s="83" t="str">
        <x:v>Figura o mappa; lettura etichette / eventuale digitalizzazione</x:v>
      </x:c>
      <x:c r="M177" s="83" t="str">
        <x:v>Medio</x:v>
      </x:c>
      <x:c r="N177" s="83" t="str">
        <x:v>Da verificare in Fase 3</x:v>
      </x:c>
    </x:row>
    <x:row r="178">
      <x:c r="A178" s="83" t="str">
        <x:v>S03-TAB-1-17</x:v>
      </x:c>
      <x:c r="B178" s="83" t="str">
        <x:v>S03</x:v>
      </x:c>
      <x:c r="C178" s="83" t="str">
        <x:v>Benefici di sistema e analisi robustezza rete</x:v>
      </x:c>
      <x:c r="D178" s="83" t="str">
        <x:v>Tabella</x:v>
      </x:c>
      <x:c r="E178" s="83" t="str">
        <x:v>1</x:v>
      </x:c>
      <x:c r="F178" s="83" t="n">
        <x:v>17</x:v>
      </x:c>
      <x:c r="G178" s="83" t="n">
        <x:v>15</x:v>
      </x:c>
      <x:c r="H178" s="83" t="str">
        <x:v>2. Incremento capacità di trasporto</x:v>
      </x:c>
      <x:c r="I178" s="83" t="str">
        <x:v>Tabella 1 Interconnessioni previsionali alla frontiera</x:v>
      </x:c>
      <x:c r="J178" s="83" t="str">
        <x:v>Trasmissione e interconnessioni</x:v>
      </x:c>
      <x:c r="K178" s="83" t="str">
        <x:v>P1 - input diretto/parametro</x:v>
      </x:c>
      <x:c r="L178" s="83" t="str">
        <x:v>Tabella testuale/PDF</x:v>
      </x:c>
      <x:c r="M178" s="83" t="str">
        <x:v>Basso</x:v>
      </x:c>
      <x:c r="N178" s="83" t="str">
        <x:v>Estratto e verificato — Fase 3C</x:v>
      </x:c>
    </x:row>
    <x:row r="179">
      <x:c r="A179" s="83" t="str">
        <x:v>S03-TAB-2-18</x:v>
      </x:c>
      <x:c r="B179" s="83" t="str">
        <x:v>S03</x:v>
      </x:c>
      <x:c r="C179" s="83" t="str">
        <x:v>Benefici di sistema e analisi robustezza rete</x:v>
      </x:c>
      <x:c r="D179" s="83" t="str">
        <x:v>Tabella</x:v>
      </x:c>
      <x:c r="E179" s="83" t="str">
        <x:v>2</x:v>
      </x:c>
      <x:c r="F179" s="83" t="n">
        <x:v>18</x:v>
      </x:c>
      <x:c r="G179" s="83" t="n">
        <x:v>16</x:v>
      </x:c>
      <x:c r="H179" s="83" t="str">
        <x:v>2. Incremento capacità di trasporto</x:v>
      </x:c>
      <x:c r="I179" s="83" t="str">
        <x:v>Tabella 2 Interventi di sviluppo interzonali</x:v>
      </x:c>
      <x:c r="J179" s="83" t="str">
        <x:v>Contesto / metodologia</x:v>
      </x:c>
      <x:c r="K179" s="83" t="str">
        <x:v>P2 - contesto/validazione</x:v>
      </x:c>
      <x:c r="L179" s="83" t="str">
        <x:v>Tabella testuale/PDF</x:v>
      </x:c>
      <x:c r="M179" s="83" t="str">
        <x:v>Basso</x:v>
      </x:c>
      <x:c r="N179" s="83" t="str">
        <x:v>Estratto e verificato — Fase 3C</x:v>
      </x:c>
    </x:row>
    <x:row r="180">
      <x:c r="A180" s="83" t="str">
        <x:v>S03-FIG-3-19</x:v>
      </x:c>
      <x:c r="B180" s="83" t="str">
        <x:v>S03</x:v>
      </x:c>
      <x:c r="C180" s="83" t="str">
        <x:v>Benefici di sistema e analisi robustezza rete</x:v>
      </x:c>
      <x:c r="D180" s="83" t="str">
        <x:v>Figura</x:v>
      </x:c>
      <x:c r="E180" s="83" t="str">
        <x:v>3</x:v>
      </x:c>
      <x:c r="F180" s="83" t="n">
        <x:v>19</x:v>
      </x:c>
      <x:c r="G180" s="83" t="n">
        <x:v>17</x:v>
      </x:c>
      <x:c r="H180" s="83" t="str">
        <x:v>3. Adeguatezza</x:v>
      </x:c>
      <x:c r="I180" s="83" t="str">
        <x:v>Figura 3 Limiti di scambio interni previsionali</x:v>
      </x:c>
      <x:c r="J180" s="83" t="str">
        <x:v>Contesto / metodologia</x:v>
      </x:c>
      <x:c r="K180" s="83" t="str">
        <x:v>P2 - contesto/validazione</x:v>
      </x:c>
      <x:c r="L180" s="83" t="str">
        <x:v>Figura o mappa; lettura etichette / eventuale digitalizzazione</x:v>
      </x:c>
      <x:c r="M180" s="83" t="str">
        <x:v>Medio</x:v>
      </x:c>
      <x:c r="N180" s="83" t="str">
        <x:v>Estratto e verificato — Fase 3C</x:v>
      </x:c>
    </x:row>
    <x:row r="181">
      <x:c r="A181" s="83" t="str">
        <x:v>S03-FIG-4-27</x:v>
      </x:c>
      <x:c r="B181" s="83" t="str">
        <x:v>S03</x:v>
      </x:c>
      <x:c r="C181" s="83" t="str">
        <x:v>Benefici di sistema e analisi robustezza rete</x:v>
      </x:c>
      <x:c r="D181" s="83" t="str">
        <x:v>Figura</x:v>
      </x:c>
      <x:c r="E181" s="83" t="str">
        <x:v>4</x:v>
      </x:c>
      <x:c r="F181" s="83" t="n">
        <x:v>27</x:v>
      </x:c>
      <x:c r="G181" s="83" t="n">
        <x:v>25</x:v>
      </x:c>
      <x:c r="H181" s="83" t="str">
        <x:v>4. Integrazione FER e riserva</x:v>
      </x:c>
      <x:c r="I181" s="83" t="str">
        <x:v>Figura 4 Riduzione Overgeneration in MGP a seguito dello sviluppo rete nello scenario DE-IT 2040</x:v>
      </x:c>
      <x:c r="J181" s="83" t="str">
        <x:v>Mercato e prezzi; Emissioni e ambiente; Scenario e metodologia</x:v>
      </x:c>
      <x:c r="K181" s="83" t="str">
        <x:v>P2 - contesto/validazione</x:v>
      </x:c>
      <x:c r="L181" s="83" t="str">
        <x:v>Figura o mappa; lettura etichette / eventuale digitalizzazione</x:v>
      </x:c>
      <x:c r="M181" s="83" t="str">
        <x:v>Medio</x:v>
      </x:c>
      <x:c r="N181" s="83" t="str">
        <x:v>Da verificare in Fase 3</x:v>
      </x:c>
    </x:row>
    <x:row r="182">
      <x:c r="A182" s="83" t="str">
        <x:v>S03-FIG-5-28</x:v>
      </x:c>
      <x:c r="B182" s="83" t="str">
        <x:v>S03</x:v>
      </x:c>
      <x:c r="C182" s="83" t="str">
        <x:v>Benefici di sistema e analisi robustezza rete</x:v>
      </x:c>
      <x:c r="D182" s="83" t="str">
        <x:v>Figura</x:v>
      </x:c>
      <x:c r="E182" s="83" t="str">
        <x:v>5</x:v>
      </x:c>
      <x:c r="F182" s="83" t="n">
        <x:v>28</x:v>
      </x:c>
      <x:c r="G182" s="83" t="n">
        <x:v>26</x:v>
      </x:c>
      <x:c r="H182" s="83" t="str">
        <x:v>4. Integrazione FER e riserva</x:v>
      </x:c>
      <x:c r="I182" s="83" t="str">
        <x:v>Figura 5 Riduzione Overgeneration a valle dell’MSD a seguito dello sviluppo rete nello scenario DE-IT 2040</x:v>
      </x:c>
      <x:c r="J182" s="83" t="str">
        <x:v>Emissioni e ambiente; Scenario e metodologia</x:v>
      </x:c>
      <x:c r="K182" s="83" t="str">
        <x:v>P2 - contesto/validazione</x:v>
      </x:c>
      <x:c r="L182" s="83" t="str">
        <x:v>Figura o mappa; lettura etichette / eventuale digitalizzazione</x:v>
      </x:c>
      <x:c r="M182" s="83" t="str">
        <x:v>Medio</x:v>
      </x:c>
      <x:c r="N182" s="83" t="str">
        <x:v>Da verificare in Fase 3</x:v>
      </x:c>
    </x:row>
    <x:row r="183">
      <x:c r="A183" s="83" t="str">
        <x:v>S03-TAB-3-32</x:v>
      </x:c>
      <x:c r="B183" s="83" t="str">
        <x:v>S03</x:v>
      </x:c>
      <x:c r="C183" s="83" t="str">
        <x:v>Benefici di sistema e analisi robustezza rete</x:v>
      </x:c>
      <x:c r="D183" s="83" t="str">
        <x:v>Tabella</x:v>
      </x:c>
      <x:c r="E183" s="83" t="str">
        <x:v>3</x:v>
      </x:c>
      <x:c r="F183" s="83" t="n">
        <x:v>32</x:v>
      </x:c>
      <x:c r="G183" s="83" t="n">
        <x:v>30</x:v>
      </x:c>
      <x:c r="H183" s="83" t="str">
        <x:v>5. Emissioni e perdite</x:v>
      </x:c>
      <x:c r="I183" s="83" t="str">
        <x:v>Tabella 3 Riduzione emissioni CO2</x:v>
      </x:c>
      <x:c r="J183" s="83" t="str">
        <x:v>Mercato e prezzi; Emissioni e ambiente</x:v>
      </x:c>
      <x:c r="K183" s="83" t="str">
        <x:v>P1 - input diretto/parametro</x:v>
      </x:c>
      <x:c r="L183" s="83" t="str">
        <x:v>Tabella testuale/PDF</x:v>
      </x:c>
      <x:c r="M183" s="83" t="str">
        <x:v>Basso</x:v>
      </x:c>
      <x:c r="N183" s="83" t="str">
        <x:v>Da verificare in Fase 3</x:v>
      </x:c>
    </x:row>
    <x:row r="184">
      <x:c r="A184" s="83" t="str">
        <x:v>S03-FIG-6-42</x:v>
      </x:c>
      <x:c r="B184" s="83" t="str">
        <x:v>S03</x:v>
      </x:c>
      <x:c r="C184" s="83" t="str">
        <x:v>Benefici di sistema e analisi robustezza rete</x:v>
      </x:c>
      <x:c r="D184" s="83" t="str">
        <x:v>Figura</x:v>
      </x:c>
      <x:c r="E184" s="83" t="str">
        <x:v>6</x:v>
      </x:c>
      <x:c r="F184" s="83" t="n">
        <x:v>42</x:v>
      </x:c>
      <x:c r="G184" s="83" t="n">
        <x:v>40</x:v>
      </x:c>
      <x:c r="H184" s="83" t="str">
        <x:v>7. Robustezza di rete</x:v>
      </x:c>
      <x:c r="I184" s="83" t="str">
        <x:v>Figura 6 Differenze tra sistemi di controllo GFL e GFM14</x:v>
      </x:c>
      <x:c r="J184" s="83" t="str">
        <x:v>Capacità e generazione</x:v>
      </x:c>
      <x:c r="K184" s="83" t="str">
        <x:v>P2 - contesto/validazione</x:v>
      </x:c>
      <x:c r="L184" s="83" t="str">
        <x:v>Figura o mappa; lettura etichette / eventuale digitalizzazione</x:v>
      </x:c>
      <x:c r="M184" s="83" t="str">
        <x:v>Medio</x:v>
      </x:c>
      <x:c r="N184" s="83" t="str">
        <x:v>Da verificare in Fase 3</x:v>
      </x:c>
    </x:row>
    <x:row r="185">
      <x:c r="A185" s="83" t="str">
        <x:v>S03-FIG-7-43</x:v>
      </x:c>
      <x:c r="B185" s="83" t="str">
        <x:v>S03</x:v>
      </x:c>
      <x:c r="C185" s="83" t="str">
        <x:v>Benefici di sistema e analisi robustezza rete</x:v>
      </x:c>
      <x:c r="D185" s="83" t="str">
        <x:v>Figura</x:v>
      </x:c>
      <x:c r="E185" s="83" t="str">
        <x:v>7</x:v>
      </x:c>
      <x:c r="F185" s="83" t="n">
        <x:v>43</x:v>
      </x:c>
      <x:c r="G185" s="83" t="n">
        <x:v>41</x:v>
      </x:c>
      <x:c r="H185" s="83" t="str">
        <x:v>7. Robustezza di rete</x:v>
      </x:c>
      <x:c r="I185" s="83" t="str">
        <x:v>Figura 7 Esempio di schema funzionale del VSM</x:v>
      </x:c>
      <x:c r="J185" s="83" t="str">
        <x:v>Contesto / metodologia</x:v>
      </x:c>
      <x:c r="K185" s="83" t="str">
        <x:v>P2 - contesto/validazione</x:v>
      </x:c>
      <x:c r="L185" s="83" t="str">
        <x:v>Figura o mappa; lettura etichette / eventuale digitalizzazione</x:v>
      </x:c>
      <x:c r="M185" s="83" t="str">
        <x:v>Medio</x:v>
      </x:c>
      <x:c r="N185" s="83" t="str">
        <x:v>Da verificare in Fase 3</x:v>
      </x:c>
    </x:row>
    <x:row r="186">
      <x:c r="A186" s="83" t="str">
        <x:v>S03-FIG-8-45</x:v>
      </x:c>
      <x:c r="B186" s="83" t="str">
        <x:v>S03</x:v>
      </x:c>
      <x:c r="C186" s="83" t="str">
        <x:v>Benefici di sistema e analisi robustezza rete</x:v>
      </x:c>
      <x:c r="D186" s="83" t="str">
        <x:v>Figura</x:v>
      </x:c>
      <x:c r="E186" s="83" t="str">
        <x:v>8</x:v>
      </x:c>
      <x:c r="F186" s="83" t="n">
        <x:v>45</x:v>
      </x:c>
      <x:c r="G186" s="83" t="n">
        <x:v>43</x:v>
      </x:c>
      <x:c r="H186" s="83" t="str">
        <x:v>7. Robustezza di rete</x:v>
      </x:c>
      <x:c r="I186" s="83" t="str">
        <x:v>Figura 8 Confronto tra compensatori sincroni, STATCOM, E-STATCOM</x:v>
      </x:c>
      <x:c r="J186" s="83" t="str">
        <x:v>Contesto / metodologia</x:v>
      </x:c>
      <x:c r="K186" s="83" t="str">
        <x:v>P2 - contesto/validazione</x:v>
      </x:c>
      <x:c r="L186" s="83" t="str">
        <x:v>Figura o mappa; lettura etichette / eventuale digitalizzazione</x:v>
      </x:c>
      <x:c r="M186" s="83" t="str">
        <x:v>Medio</x:v>
      </x:c>
      <x:c r="N186" s="83" t="str">
        <x:v>Da verificare in Fase 3</x:v>
      </x:c>
    </x:row>
    <x:row r="187">
      <x:c r="A187" s="83" t="str">
        <x:v>S03-FIG-9-49</x:v>
      </x:c>
      <x:c r="B187" s="83" t="str">
        <x:v>S03</x:v>
      </x:c>
      <x:c r="C187" s="83" t="str">
        <x:v>Benefici di sistema e analisi robustezza rete</x:v>
      </x:c>
      <x:c r="D187" s="83" t="str">
        <x:v>Figura</x:v>
      </x:c>
      <x:c r="E187" s="83" t="str">
        <x:v>9</x:v>
      </x:c>
      <x:c r="F187" s="83" t="n">
        <x:v>49</x:v>
      </x:c>
      <x:c r="G187" s="83" t="n">
        <x:v>47</x:v>
      </x:c>
      <x:c r="H187" s="83" t="str">
        <x:v>7. Robustezza di rete</x:v>
      </x:c>
      <x:c r="I187" s="83" t="str">
        <x:v>Figura 9 Processo per l’analisi di Robustezza</x:v>
      </x:c>
      <x:c r="J187" s="83" t="str">
        <x:v>Adeguatezza e sicurezza</x:v>
      </x:c>
      <x:c r="K187" s="83" t="str">
        <x:v>P2 - contesto/validazione</x:v>
      </x:c>
      <x:c r="L187" s="83" t="str">
        <x:v>Figura o mappa; lettura etichette / eventuale digitalizzazione</x:v>
      </x:c>
      <x:c r="M187" s="83" t="str">
        <x:v>Medio</x:v>
      </x:c>
      <x:c r="N187" s="83" t="str">
        <x:v>Da verificare in Fase 3</x:v>
      </x:c>
    </x:row>
    <x:row r="188">
      <x:c r="A188" s="83" t="str">
        <x:v>S03-FIG-10-50</x:v>
      </x:c>
      <x:c r="B188" s="83" t="str">
        <x:v>S03</x:v>
      </x:c>
      <x:c r="C188" s="83" t="str">
        <x:v>Benefici di sistema e analisi robustezza rete</x:v>
      </x:c>
      <x:c r="D188" s="83" t="str">
        <x:v>Figura</x:v>
      </x:c>
      <x:c r="E188" s="83" t="str">
        <x:v>10</x:v>
      </x:c>
      <x:c r="F188" s="83" t="n">
        <x:v>50</x:v>
      </x:c>
      <x:c r="G188" s="83" t="n">
        <x:v>48</x:v>
      </x:c>
      <x:c r="H188" s="83" t="str">
        <x:v>7. Robustezza di rete</x:v>
      </x:c>
      <x:c r="I188" s="83" t="str">
        <x:v>Figura 10 Mappa rappresentativa del MISCR</x:v>
      </x:c>
      <x:c r="J188" s="83" t="str">
        <x:v>Contesto / metodologia</x:v>
      </x:c>
      <x:c r="K188" s="83" t="str">
        <x:v>P2 - contesto/validazione</x:v>
      </x:c>
      <x:c r="L188" s="83" t="str">
        <x:v>Figura o mappa; lettura etichette / eventuale digitalizzazione</x:v>
      </x:c>
      <x:c r="M188" s="83" t="str">
        <x:v>Medio</x:v>
      </x:c>
      <x:c r="N188" s="83" t="str">
        <x:v>Da verificare in Fase 3</x:v>
      </x:c>
    </x:row>
    <x:row r="189">
      <x:c r="A189" s="83" t="str">
        <x:v>S03-FIG-11-51</x:v>
      </x:c>
      <x:c r="B189" s="83" t="str">
        <x:v>S03</x:v>
      </x:c>
      <x:c r="C189" s="83" t="str">
        <x:v>Benefici di sistema e analisi robustezza rete</x:v>
      </x:c>
      <x:c r="D189" s="83" t="str">
        <x:v>Figura</x:v>
      </x:c>
      <x:c r="E189" s="83" t="str">
        <x:v>11</x:v>
      </x:c>
      <x:c r="F189" s="83" t="n">
        <x:v>51</x:v>
      </x:c>
      <x:c r="G189" s="83" t="n">
        <x:v>49</x:v>
      </x:c>
      <x:c r="H189" s="83" t="str">
        <x:v>7. Robustezza di rete</x:v>
      </x:c>
      <x:c r="I189" s="83" t="str">
        <x:v>Figura 11 Rappresentazione geografica dei modi oscillatori europei</x:v>
      </x:c>
      <x:c r="J189" s="83" t="str">
        <x:v>Contesto / metodologia</x:v>
      </x:c>
      <x:c r="K189" s="83" t="str">
        <x:v>P2 - contesto/validazione</x:v>
      </x:c>
      <x:c r="L189" s="83" t="str">
        <x:v>Figura o mappa; lettura etichette / eventuale digitalizzazione</x:v>
      </x:c>
      <x:c r="M189" s="83" t="str">
        <x:v>Medio</x:v>
      </x:c>
      <x:c r="N189" s="83" t="str">
        <x:v>Estratto e verificato — Fase 3C</x:v>
      </x:c>
    </x:row>
    <x:row r="190">
      <x:c r="A190" s="83" t="str">
        <x:v>S03-FIG-12-52</x:v>
      </x:c>
      <x:c r="B190" s="83" t="str">
        <x:v>S03</x:v>
      </x:c>
      <x:c r="C190" s="83" t="str">
        <x:v>Benefici di sistema e analisi robustezza rete</x:v>
      </x:c>
      <x:c r="D190" s="83" t="str">
        <x:v>Figura</x:v>
      </x:c>
      <x:c r="E190" s="83" t="str">
        <x:v>12</x:v>
      </x:c>
      <x:c r="F190" s="83" t="n">
        <x:v>52</x:v>
      </x:c>
      <x:c r="G190" s="83" t="n">
        <x:v>50</x:v>
      </x:c>
      <x:c r="H190" s="83" t="str">
        <x:v>7. Robustezza di rete</x:v>
      </x:c>
      <x:c r="I190" s="83" t="str">
        <x:v>Figura 12 Equivalente meccanico del sistema elettrico</x:v>
      </x:c>
      <x:c r="J190" s="83" t="str">
        <x:v>Contesto / metodologia</x:v>
      </x:c>
      <x:c r="K190" s="83" t="str">
        <x:v>P2 - contesto/validazione</x:v>
      </x:c>
      <x:c r="L190" s="83" t="str">
        <x:v>Figura o mappa; lettura etichette / eventuale digitalizzazione</x:v>
      </x:c>
      <x:c r="M190" s="83" t="str">
        <x:v>Medio</x:v>
      </x:c>
      <x:c r="N190" s="83" t="str">
        <x:v>Da verificare in Fase 3</x:v>
      </x:c>
    </x:row>
    <x:row r="191">
      <x:c r="A191" s="83" t="str">
        <x:v>S03-FIG-13-53</x:v>
      </x:c>
      <x:c r="B191" s="83" t="str">
        <x:v>S03</x:v>
      </x:c>
      <x:c r="C191" s="83" t="str">
        <x:v>Benefici di sistema e analisi robustezza rete</x:v>
      </x:c>
      <x:c r="D191" s="83" t="str">
        <x:v>Figura</x:v>
      </x:c>
      <x:c r="E191" s="83" t="str">
        <x:v>13</x:v>
      </x:c>
      <x:c r="F191" s="83" t="n">
        <x:v>53</x:v>
      </x:c>
      <x:c r="G191" s="83" t="n">
        <x:v>51</x:v>
      </x:c>
      <x:c r="H191" s="83" t="str">
        <x:v>7. Robustezza di rete</x:v>
      </x:c>
      <x:c r="I191" s="83" t="str">
        <x:v>Figura 13 Frequenze registrate durante l’evento del 1° dicembre 2016</x:v>
      </x:c>
      <x:c r="J191" s="83" t="str">
        <x:v>Contesto / metodologia</x:v>
      </x:c>
      <x:c r="K191" s="83" t="str">
        <x:v>P2 - contesto/validazione</x:v>
      </x:c>
      <x:c r="L191" s="83" t="str">
        <x:v>Figura o mappa; lettura etichette / eventuale digitalizzazione</x:v>
      </x:c>
      <x:c r="M191" s="83" t="str">
        <x:v>Medio</x:v>
      </x:c>
      <x:c r="N191" s="83" t="str">
        <x:v>Da verificare in Fase 3</x:v>
      </x:c>
    </x:row>
    <x:row r="192">
      <x:c r="A192" s="83" t="str">
        <x:v>S03-FIG-14-53</x:v>
      </x:c>
      <x:c r="B192" s="83" t="str">
        <x:v>S03</x:v>
      </x:c>
      <x:c r="C192" s="83" t="str">
        <x:v>Benefici di sistema e analisi robustezza rete</x:v>
      </x:c>
      <x:c r="D192" s="83" t="str">
        <x:v>Figura</x:v>
      </x:c>
      <x:c r="E192" s="83" t="str">
        <x:v>14</x:v>
      </x:c>
      <x:c r="F192" s="83" t="n">
        <x:v>53</x:v>
      </x:c>
      <x:c r="G192" s="83" t="n">
        <x:v>51</x:v>
      </x:c>
      <x:c r="H192" s="83" t="str">
        <x:v>7. Robustezza di rete</x:v>
      </x:c>
      <x:c r="I192" s="83" t="str">
        <x:v>Figura 14 Frequenze registrate durante l’evento del 3 dicembre 2017</x:v>
      </x:c>
      <x:c r="J192" s="83" t="str">
        <x:v>Contesto / metodologia</x:v>
      </x:c>
      <x:c r="K192" s="83" t="str">
        <x:v>P2 - contesto/validazione</x:v>
      </x:c>
      <x:c r="L192" s="83" t="str">
        <x:v>Figura o mappa; lettura etichette / eventuale digitalizzazione</x:v>
      </x:c>
      <x:c r="M192" s="83" t="str">
        <x:v>Medio</x:v>
      </x:c>
      <x:c r="N192" s="83" t="str">
        <x:v>Da verificare in Fase 3</x:v>
      </x:c>
    </x:row>
    <x:row r="193">
      <x:c r="A193" s="83" t="str">
        <x:v>S03-FIG-15-55</x:v>
      </x:c>
      <x:c r="B193" s="83" t="str">
        <x:v>S03</x:v>
      </x:c>
      <x:c r="C193" s="83" t="str">
        <x:v>Benefici di sistema e analisi robustezza rete</x:v>
      </x:c>
      <x:c r="D193" s="83" t="str">
        <x:v>Figura</x:v>
      </x:c>
      <x:c r="E193" s="83" t="str">
        <x:v>15</x:v>
      </x:c>
      <x:c r="F193" s="83" t="n">
        <x:v>55</x:v>
      </x:c>
      <x:c r="G193" s="83" t="n">
        <x:v>53</x:v>
      </x:c>
      <x:c r="H193" s="83" t="str">
        <x:v>7. Robustezza di rete</x:v>
      </x:c>
      <x:c r="I193" s="83" t="str">
        <x:v>Figura 15 Tensioni misurate dalle PMU asservite alla logica di difesa</x:v>
      </x:c>
      <x:c r="J193" s="83" t="str">
        <x:v>Contesto / metodologia</x:v>
      </x:c>
      <x:c r="K193" s="83" t="str">
        <x:v>P2 - contesto/validazione</x:v>
      </x:c>
      <x:c r="L193" s="83" t="str">
        <x:v>Figura o mappa; lettura etichette / eventuale digitalizzazione</x:v>
      </x:c>
      <x:c r="M193" s="83" t="str">
        <x:v>Medio</x:v>
      </x:c>
      <x:c r="N193" s="83" t="str">
        <x:v>Da verificare in Fase 3</x:v>
      </x:c>
    </x:row>
    <x:row r="194">
      <x:c r="A194" s="83" t="str">
        <x:v>S03-FIG-16-55</x:v>
      </x:c>
      <x:c r="B194" s="83" t="str">
        <x:v>S03</x:v>
      </x:c>
      <x:c r="C194" s="83" t="str">
        <x:v>Benefici di sistema e analisi robustezza rete</x:v>
      </x:c>
      <x:c r="D194" s="83" t="str">
        <x:v>Figura</x:v>
      </x:c>
      <x:c r="E194" s="83" t="str">
        <x:v>16</x:v>
      </x:c>
      <x:c r="F194" s="83" t="n">
        <x:v>55</x:v>
      </x:c>
      <x:c r="G194" s="83" t="n">
        <x:v>53</x:v>
      </x:c>
      <x:c r="H194" s="83" t="str">
        <x:v>7. Robustezza di rete</x:v>
      </x:c>
      <x:c r="I194" s="83" t="str">
        <x:v>Figura 16 Frequenza misurata dalle PMU asservite alla logica di difesa</x:v>
      </x:c>
      <x:c r="J194" s="83" t="str">
        <x:v>Contesto / metodologia</x:v>
      </x:c>
      <x:c r="K194" s="83" t="str">
        <x:v>P2 - contesto/validazione</x:v>
      </x:c>
      <x:c r="L194" s="83" t="str">
        <x:v>Figura o mappa; lettura etichette / eventuale digitalizzazione</x:v>
      </x:c>
      <x:c r="M194" s="83" t="str">
        <x:v>Medio</x:v>
      </x:c>
      <x:c r="N194" s="83" t="str">
        <x:v>Da verificare in Fase 3</x:v>
      </x:c>
    </x:row>
    <x:row r="195">
      <x:c r="A195" s="83" t="str">
        <x:v>S03-FIG-17-56</x:v>
      </x:c>
      <x:c r="B195" s="83" t="str">
        <x:v>S03</x:v>
      </x:c>
      <x:c r="C195" s="83" t="str">
        <x:v>Benefici di sistema e analisi robustezza rete</x:v>
      </x:c>
      <x:c r="D195" s="83" t="str">
        <x:v>Figura</x:v>
      </x:c>
      <x:c r="E195" s="83" t="str">
        <x:v>17</x:v>
      </x:c>
      <x:c r="F195" s="83" t="n">
        <x:v>56</x:v>
      </x:c>
      <x:c r="G195" s="83" t="n">
        <x:v>54</x:v>
      </x:c>
      <x:c r="H195" s="83" t="str">
        <x:v>7. Robustezza di rete</x:v>
      </x:c>
      <x:c r="I195" s="83" t="str">
        <x:v>Figura 17 Architettura sistema WADC</x:v>
      </x:c>
      <x:c r="J195" s="83" t="str">
        <x:v>Contesto / metodologia</x:v>
      </x:c>
      <x:c r="K195" s="83" t="str">
        <x:v>P2 - contesto/validazione</x:v>
      </x:c>
      <x:c r="L195" s="83" t="str">
        <x:v>Figura o mappa; lettura etichette / eventuale digitalizzazione</x:v>
      </x:c>
      <x:c r="M195" s="83" t="str">
        <x:v>Medio</x:v>
      </x:c>
      <x:c r="N195" s="83" t="str">
        <x:v>Da verificare in Fase 3</x:v>
      </x:c>
    </x:row>
    <x:row r="196">
      <x:c r="A196" s="83" t="str">
        <x:v>S05-FIG-1-11</x:v>
      </x:c>
      <x:c r="B196" s="83" t="str">
        <x:v>S05</x:v>
      </x:c>
      <x:c r="C196" s="83" t="str">
        <x:v>Esigenze di sviluppo: i nuovi progetti</x:v>
      </x:c>
      <x:c r="D196" s="83" t="str">
        <x:v>Figura</x:v>
      </x:c>
      <x:c r="E196" s="83" t="str">
        <x:v>1</x:v>
      </x:c>
      <x:c r="F196" s="83" t="n">
        <x:v>11</x:v>
      </x:c>
      <x:c r="G196" s="83" t="n">
        <x:v>9</x:v>
      </x:c>
      <x:c r="H196" s="83" t="str">
        <x:v>1. Esigenze del sistema</x:v>
      </x:c>
      <x:c r="I196" s="83" t="str">
        <x:v>Figura 1 Inquadramento del nuovo approccio microzonale</x:v>
      </x:c>
      <x:c r="J196" s="83" t="str">
        <x:v>Geografia e connessioni</x:v>
      </x:c>
      <x:c r="K196" s="83" t="str">
        <x:v>P2 - contesto/validazione</x:v>
      </x:c>
      <x:c r="L196" s="83" t="str">
        <x:v>Figura o mappa; lettura etichette / eventuale digitalizzazione</x:v>
      </x:c>
      <x:c r="M196" s="83" t="str">
        <x:v>Medio</x:v>
      </x:c>
      <x:c r="N196" s="83" t="str">
        <x:v>Da verificare in Fase 3</x:v>
      </x:c>
    </x:row>
    <x:row r="197">
      <x:c r="A197" s="83" t="str">
        <x:v>S05-FIG-2-12</x:v>
      </x:c>
      <x:c r="B197" s="83" t="str">
        <x:v>S05</x:v>
      </x:c>
      <x:c r="C197" s="83" t="str">
        <x:v>Esigenze di sviluppo: i nuovi progetti</x:v>
      </x:c>
      <x:c r="D197" s="83" t="str">
        <x:v>Figura</x:v>
      </x:c>
      <x:c r="E197" s="83" t="str">
        <x:v>2</x:v>
      </x:c>
      <x:c r="F197" s="83" t="n">
        <x:v>12</x:v>
      </x:c>
      <x:c r="G197" s="83" t="n">
        <x:v>10</x:v>
      </x:c>
      <x:c r="H197" s="83" t="str">
        <x:v>1. Esigenze del sistema</x:v>
      </x:c>
      <x:c r="I197" s="83" t="str">
        <x:v>Figura 2 Esempio del processo iterativo di identificazione della capacità obiettivo per una generica</x:v>
      </x:c>
      <x:c r="J197" s="83" t="str">
        <x:v>Contesto / metodologia</x:v>
      </x:c>
      <x:c r="K197" s="83" t="str">
        <x:v>P2 - contesto/validazione</x:v>
      </x:c>
      <x:c r="L197" s="83" t="str">
        <x:v>Figura o mappa; lettura etichette / eventuale digitalizzazione</x:v>
      </x:c>
      <x:c r="M197" s="83" t="str">
        <x:v>Medio</x:v>
      </x:c>
      <x:c r="N197" s="83" t="str">
        <x:v>Da verificare in Fase 3</x:v>
      </x:c>
    </x:row>
    <x:row r="198">
      <x:c r="A198" s="83" t="str">
        <x:v>S05-TAB-1-13</x:v>
      </x:c>
      <x:c r="B198" s="83" t="str">
        <x:v>S05</x:v>
      </x:c>
      <x:c r="C198" s="83" t="str">
        <x:v>Esigenze di sviluppo: i nuovi progetti</x:v>
      </x:c>
      <x:c r="D198" s="83" t="str">
        <x:v>Tabella</x:v>
      </x:c>
      <x:c r="E198" s="83" t="str">
        <x:v>1</x:v>
      </x:c>
      <x:c r="F198" s="83" t="n">
        <x:v>13</x:v>
      </x:c>
      <x:c r="G198" s="83" t="n">
        <x:v>11</x:v>
      </x:c>
      <x:c r="H198" s="83" t="str">
        <x:v>1. Esigenze del sistema</x:v>
      </x:c>
      <x:c r="I198" s="83" t="str">
        <x:v>Tabella 1 Risultati analisi Capacità obiettivo</x:v>
      </x:c>
      <x:c r="J198" s="83" t="str">
        <x:v>Contesto / metodologia</x:v>
      </x:c>
      <x:c r="K198" s="83" t="str">
        <x:v>P2 - contesto/validazione</x:v>
      </x:c>
      <x:c r="L198" s="83" t="str">
        <x:v>Tabella testuale/PDF</x:v>
      </x:c>
      <x:c r="M198" s="83" t="str">
        <x:v>Basso</x:v>
      </x:c>
      <x:c r="N198" s="83" t="str">
        <x:v>Da verificare in Fase 3</x:v>
      </x:c>
    </x:row>
    <x:row r="199">
      <x:c r="A199" s="83" t="str">
        <x:v>S05-FIG-3-15</x:v>
      </x:c>
      <x:c r="B199" s="83" t="str">
        <x:v>S05</x:v>
      </x:c>
      <x:c r="C199" s="83" t="str">
        <x:v>Esigenze di sviluppo: i nuovi progetti</x:v>
      </x:c>
      <x:c r="D199" s="83" t="str">
        <x:v>Figura</x:v>
      </x:c>
      <x:c r="E199" s="83" t="str">
        <x:v>3</x:v>
      </x:c>
      <x:c r="F199" s="83" t="n">
        <x:v>15</x:v>
      </x:c>
      <x:c r="G199" s="83" t="n">
        <x:v>13</x:v>
      </x:c>
      <x:c r="H199" s="83" t="str">
        <x:v>1. Esigenze del sistema</x:v>
      </x:c>
      <x:c r="I199" s="83" t="str">
        <x:v>Figura 3 Ore di congestione nello scenario Policy a rete attuale</x:v>
      </x:c>
      <x:c r="J199" s="83" t="str">
        <x:v>Scenario e metodologia</x:v>
      </x:c>
      <x:c r="K199" s="83" t="str">
        <x:v>P2 - contesto/validazione</x:v>
      </x:c>
      <x:c r="L199" s="83" t="str">
        <x:v>Figura o mappa; lettura etichette / eventuale digitalizzazione</x:v>
      </x:c>
      <x:c r="M199" s="83" t="str">
        <x:v>Medio</x:v>
      </x:c>
      <x:c r="N199" s="83" t="str">
        <x:v>Da verificare in Fase 3</x:v>
      </x:c>
    </x:row>
    <x:row r="200">
      <x:c r="A200" s="83" t="str">
        <x:v>S05-FIG-4-18</x:v>
      </x:c>
      <x:c r="B200" s="83" t="str">
        <x:v>S05</x:v>
      </x:c>
      <x:c r="C200" s="83" t="str">
        <x:v>Esigenze di sviluppo: i nuovi progetti</x:v>
      </x:c>
      <x:c r="D200" s="83" t="str">
        <x:v>Figura</x:v>
      </x:c>
      <x:c r="E200" s="83" t="str">
        <x:v>4</x:v>
      </x:c>
      <x:c r="F200" s="83" t="n">
        <x:v>18</x:v>
      </x:c>
      <x:c r="G200" s="83" t="n">
        <x:v>16</x:v>
      </x:c>
      <x:c r="H200" s="83" t="str">
        <x:v>2. Piano investimenti</x:v>
      </x:c>
      <x:c r="I200" s="83" t="str">
        <x:v>Figura 4 Evoluzione del sistema</x:v>
      </x:c>
      <x:c r="J200" s="83" t="str">
        <x:v>Contesto / metodologia</x:v>
      </x:c>
      <x:c r="K200" s="83" t="str">
        <x:v>P2 - contesto/validazione</x:v>
      </x:c>
      <x:c r="L200" s="83" t="str">
        <x:v>Figura o mappa; lettura etichette / eventuale digitalizzazione</x:v>
      </x:c>
      <x:c r="M200" s="83" t="str">
        <x:v>Medio</x:v>
      </x:c>
      <x:c r="N200" s="83" t="str">
        <x:v>Da verificare in Fase 3</x:v>
      </x:c>
    </x:row>
    <x:row r="201">
      <x:c r="A201" s="83" t="str">
        <x:v>S05-FIG-5-23</x:v>
      </x:c>
      <x:c r="B201" s="83" t="str">
        <x:v>S05</x:v>
      </x:c>
      <x:c r="C201" s="83" t="str">
        <x:v>Esigenze di sviluppo: i nuovi progetti</x:v>
      </x:c>
      <x:c r="D201" s="83" t="str">
        <x:v>Figura</x:v>
      </x:c>
      <x:c r="E201" s="83" t="str">
        <x:v>5</x:v>
      </x:c>
      <x:c r="F201" s="83" t="n">
        <x:v>23</x:v>
      </x:c>
      <x:c r="G201" s="83" t="n">
        <x:v>21</x:v>
      </x:c>
      <x:c r="H201" s="83" t="str">
        <x:v>2. Piano investimenti</x:v>
      </x:c>
      <x:c r="I201" s="83" t="str">
        <x:v>Figura 5 Categorie di intervento del Piano di Sviluppo</x:v>
      </x:c>
      <x:c r="J201" s="83" t="str">
        <x:v>Contesto / metodologia</x:v>
      </x:c>
      <x:c r="K201" s="83" t="str">
        <x:v>P2 - contesto/validazione</x:v>
      </x:c>
      <x:c r="L201" s="83" t="str">
        <x:v>Figura o mappa; lettura etichette / eventuale digitalizzazione</x:v>
      </x:c>
      <x:c r="M201" s="83" t="str">
        <x:v>Medio</x:v>
      </x:c>
      <x:c r="N201" s="83" t="str">
        <x:v>Da verificare in Fase 3</x:v>
      </x:c>
    </x:row>
    <x:row r="202">
      <x:c r="A202" s="83" t="str">
        <x:v>S05-FIG-6-31</x:v>
      </x:c>
      <x:c r="B202" s="83" t="str">
        <x:v>S05</x:v>
      </x:c>
      <x:c r="C202" s="83" t="str">
        <x:v>Esigenze di sviluppo: i nuovi progetti</x:v>
      </x:c>
      <x:c r="D202" s="83" t="str">
        <x:v>Figura</x:v>
      </x:c>
      <x:c r="E202" s="83" t="str">
        <x:v>6</x:v>
      </x:c>
      <x:c r="F202" s="83" t="n">
        <x:v>31</x:v>
      </x:c>
      <x:c r="G202" s="83" t="n">
        <x:v>29</x:v>
      </x:c>
      <x:c r="H202" s="83" t="str">
        <x:v>3. Rete infrastrutturale</x:v>
      </x:c>
      <x:c r="I202" s="83" t="str">
        <x:v>Figura 6 Sostegno “5 Fasi”</x:v>
      </x:c>
      <x:c r="J202" s="83" t="str">
        <x:v>Contesto / metodologia</x:v>
      </x:c>
      <x:c r="K202" s="83" t="str">
        <x:v>P2 - contesto/validazione</x:v>
      </x:c>
      <x:c r="L202" s="83" t="str">
        <x:v>Figura o mappa; lettura etichette / eventuale digitalizzazione</x:v>
      </x:c>
      <x:c r="M202" s="83" t="str">
        <x:v>Medio</x:v>
      </x:c>
      <x:c r="N202" s="83" t="str">
        <x:v>Da verificare in Fase 3</x:v>
      </x:c>
    </x:row>
    <x:row r="203">
      <x:c r="A203" s="83" t="str">
        <x:v>S05-FIG-7-31</x:v>
      </x:c>
      <x:c r="B203" s="83" t="str">
        <x:v>S05</x:v>
      </x:c>
      <x:c r="C203" s="83" t="str">
        <x:v>Esigenze di sviluppo: i nuovi progetti</x:v>
      </x:c>
      <x:c r="D203" s="83" t="str">
        <x:v>Figura</x:v>
      </x:c>
      <x:c r="E203" s="83" t="str">
        <x:v>7</x:v>
      </x:c>
      <x:c r="F203" s="83" t="n">
        <x:v>31</x:v>
      </x:c>
      <x:c r="G203" s="83" t="n">
        <x:v>29</x:v>
      </x:c>
      <x:c r="H203" s="83" t="str">
        <x:v>3. Rete infrastrutturale</x:v>
      </x:c>
      <x:c r="I203" s="83" t="str">
        <x:v>Figura 7 Sostegno “5 Fasi” monostelo</x:v>
      </x:c>
      <x:c r="J203" s="83" t="str">
        <x:v>Contesto / metodologia</x:v>
      </x:c>
      <x:c r="K203" s="83" t="str">
        <x:v>P2 - contesto/validazione</x:v>
      </x:c>
      <x:c r="L203" s="83" t="str">
        <x:v>Figura o mappa; lettura etichette / eventuale digitalizzazione</x:v>
      </x:c>
      <x:c r="M203" s="83" t="str">
        <x:v>Medio</x:v>
      </x:c>
      <x:c r="N203" s="83" t="str">
        <x:v>Da verificare in Fase 3</x:v>
      </x:c>
    </x:row>
    <x:row r="204">
      <x:c r="A204" s="83" t="str">
        <x:v>S05-FIG-8-32</x:v>
      </x:c>
      <x:c r="B204" s="83" t="str">
        <x:v>S05</x:v>
      </x:c>
      <x:c r="C204" s="83" t="str">
        <x:v>Esigenze di sviluppo: i nuovi progetti</x:v>
      </x:c>
      <x:c r="D204" s="83" t="str">
        <x:v>Figura</x:v>
      </x:c>
      <x:c r="E204" s="83" t="str">
        <x:v>8</x:v>
      </x:c>
      <x:c r="F204" s="83" t="n">
        <x:v>32</x:v>
      </x:c>
      <x:c r="G204" s="83" t="n">
        <x:v>30</x:v>
      </x:c>
      <x:c r="H204" s="83" t="str">
        <x:v>3. Rete infrastrutturale</x:v>
      </x:c>
      <x:c r="I204" s="83" t="str">
        <x:v>Figura 8 Sostegno HVDC fino a ±525 kV</x:v>
      </x:c>
      <x:c r="J204" s="83" t="str">
        <x:v>Trasmissione e interconnessioni</x:v>
      </x:c>
      <x:c r="K204" s="83" t="str">
        <x:v>P2 - contesto/validazione</x:v>
      </x:c>
      <x:c r="L204" s="83" t="str">
        <x:v>Figura o mappa; lettura etichette / eventuale digitalizzazione</x:v>
      </x:c>
      <x:c r="M204" s="83" t="str">
        <x:v>Medio</x:v>
      </x:c>
      <x:c r="N204" s="83" t="str">
        <x:v>Da verificare in Fase 3</x:v>
      </x:c>
    </x:row>
    <x:row r="205">
      <x:c r="A205" s="83" t="str">
        <x:v>S05-FIG-9-33</x:v>
      </x:c>
      <x:c r="B205" s="83" t="str">
        <x:v>S05</x:v>
      </x:c>
      <x:c r="C205" s="83" t="str">
        <x:v>Esigenze di sviluppo: i nuovi progetti</x:v>
      </x:c>
      <x:c r="D205" s="83" t="str">
        <x:v>Figura</x:v>
      </x:c>
      <x:c r="E205" s="83" t="str">
        <x:v>9</x:v>
      </x:c>
      <x:c r="F205" s="83" t="n">
        <x:v>33</x:v>
      </x:c>
      <x:c r="G205" s="83" t="n">
        <x:v>31</x:v>
      </x:c>
      <x:c r="H205" s="83" t="str">
        <x:v>3. Rete infrastrutturale</x:v>
      </x:c>
      <x:c r="I205" s="83" t="str">
        <x:v>Figura 9 Principali interventi di rete previsti nell’orizzonte decennale 2025-2034 e post 2034</x:v>
      </x:c>
      <x:c r="J205" s="83" t="str">
        <x:v>Contesto / metodologia</x:v>
      </x:c>
      <x:c r="K205" s="83" t="str">
        <x:v>P2 - contesto/validazione</x:v>
      </x:c>
      <x:c r="L205" s="83" t="str">
        <x:v>Figura o mappa; lettura etichette / eventuale digitalizzazione</x:v>
      </x:c>
      <x:c r="M205" s="83" t="str">
        <x:v>Medio</x:v>
      </x:c>
      <x:c r="N205" s="83" t="str">
        <x:v>Da verificare in Fase 3</x:v>
      </x:c>
    </x:row>
    <x:row r="206">
      <x:c r="A206" s="83" t="str">
        <x:v>S05-FIG-10-41</x:v>
      </x:c>
      <x:c r="B206" s="83" t="str">
        <x:v>S05</x:v>
      </x:c>
      <x:c r="C206" s="83" t="str">
        <x:v>Esigenze di sviluppo: i nuovi progetti</x:v>
      </x:c>
      <x:c r="D206" s="83" t="str">
        <x:v>Figura</x:v>
      </x:c>
      <x:c r="E206" s="83" t="str">
        <x:v>10</x:v>
      </x:c>
      <x:c r="F206" s="83" t="n">
        <x:v>41</x:v>
      </x:c>
      <x:c r="G206" s="83" t="n">
        <x:v>39</x:v>
      </x:c>
      <x:c r="H206" s="83" t="str">
        <x:v>4. Massimizzazione asset</x:v>
      </x:c>
      <x:c r="I206" s="83" t="str">
        <x:v>Figura 10 Rappresentazione schematica dell’OMP e delle sue principali componenti</x:v>
      </x:c>
      <x:c r="J206" s="83" t="str">
        <x:v>Contesto / metodologia</x:v>
      </x:c>
      <x:c r="K206" s="83" t="str">
        <x:v>P2 - contesto/validazione</x:v>
      </x:c>
      <x:c r="L206" s="83" t="str">
        <x:v>Figura o mappa; lettura etichette / eventuale digitalizzazione</x:v>
      </x:c>
      <x:c r="M206" s="83" t="str">
        <x:v>Medio</x:v>
      </x:c>
      <x:c r="N206" s="83" t="str">
        <x:v>Da verificare in Fase 3</x:v>
      </x:c>
    </x:row>
    <x:row r="207">
      <x:c r="A207" s="83" t="str">
        <x:v>S05-FIG-11-42</x:v>
      </x:c>
      <x:c r="B207" s="83" t="str">
        <x:v>S05</x:v>
      </x:c>
      <x:c r="C207" s="83" t="str">
        <x:v>Esigenze di sviluppo: i nuovi progetti</x:v>
      </x:c>
      <x:c r="D207" s="83" t="str">
        <x:v>Figura</x:v>
      </x:c>
      <x:c r="E207" s="83" t="str">
        <x:v>11</x:v>
      </x:c>
      <x:c r="F207" s="83" t="n">
        <x:v>42</x:v>
      </x:c>
      <x:c r="G207" s="83" t="n">
        <x:v>40</x:v>
      </x:c>
      <x:c r="H207" s="83" t="str">
        <x:v>4. Massimizzazione asset</x:v>
      </x:c>
      <x:c r="I207" s="83" t="str">
        <x:v>Figura 11 Installazione OMP tramite sostituzione di due sostegni</x:v>
      </x:c>
      <x:c r="J207" s="83" t="str">
        <x:v>Contesto / metodologia</x:v>
      </x:c>
      <x:c r="K207" s="83" t="str">
        <x:v>P2 - contesto/validazione</x:v>
      </x:c>
      <x:c r="L207" s="83" t="str">
        <x:v>Figura o mappa; lettura etichette / eventuale digitalizzazione</x:v>
      </x:c>
      <x:c r="M207" s="83" t="str">
        <x:v>Medio</x:v>
      </x:c>
      <x:c r="N207" s="83" t="str">
        <x:v>Estratto e verificato — Fase 3C</x:v>
      </x:c>
    </x:row>
    <x:row r="208">
      <x:c r="A208" s="83" t="str">
        <x:v>S05-FIG-12-42</x:v>
      </x:c>
      <x:c r="B208" s="83" t="str">
        <x:v>S05</x:v>
      </x:c>
      <x:c r="C208" s="83" t="str">
        <x:v>Esigenze di sviluppo: i nuovi progetti</x:v>
      </x:c>
      <x:c r="D208" s="83" t="str">
        <x:v>Figura</x:v>
      </x:c>
      <x:c r="E208" s="83" t="str">
        <x:v>12</x:v>
      </x:c>
      <x:c r="F208" s="83" t="n">
        <x:v>42</x:v>
      </x:c>
      <x:c r="G208" s="83" t="n">
        <x:v>40</x:v>
      </x:c>
      <x:c r="H208" s="83" t="str">
        <x:v>4. Massimizzazione asset</x:v>
      </x:c>
      <x:c r="I208" s="83" t="str">
        <x:v>Figura 12 Installazione OMP tramite la sostituzione di tre sostegni</x:v>
      </x:c>
      <x:c r="J208" s="83" t="str">
        <x:v>Contesto / metodologia</x:v>
      </x:c>
      <x:c r="K208" s="83" t="str">
        <x:v>P2 - contesto/validazione</x:v>
      </x:c>
      <x:c r="L208" s="83" t="str">
        <x:v>Figura o mappa; lettura etichette / eventuale digitalizzazione</x:v>
      </x:c>
      <x:c r="M208" s="83" t="str">
        <x:v>Medio</x:v>
      </x:c>
      <x:c r="N208" s="83" t="str">
        <x:v>Da verificare in Fase 3</x:v>
      </x:c>
    </x:row>
    <x:row r="209">
      <x:c r="A209" s="83" t="str">
        <x:v>S05-FIG-13-44</x:v>
      </x:c>
      <x:c r="B209" s="83" t="str">
        <x:v>S05</x:v>
      </x:c>
      <x:c r="C209" s="83" t="str">
        <x:v>Esigenze di sviluppo: i nuovi progetti</x:v>
      </x:c>
      <x:c r="D209" s="83" t="str">
        <x:v>Figura</x:v>
      </x:c>
      <x:c r="E209" s="83" t="str">
        <x:v>13</x:v>
      </x:c>
      <x:c r="F209" s="83" t="n">
        <x:v>44</x:v>
      </x:c>
      <x:c r="G209" s="83" t="n">
        <x:v>42</x:v>
      </x:c>
      <x:c r="H209" s="83" t="str">
        <x:v>4. Massimizzazione asset</x:v>
      </x:c>
      <x:c r="I209" s="83" t="str">
        <x:v>Figura 13 Sensoristica DTR utilizzata per il monitoraggio in tempo reale della linea</x:v>
      </x:c>
      <x:c r="J209" s="83" t="str">
        <x:v>Contesto / metodologia</x:v>
      </x:c>
      <x:c r="K209" s="83" t="str">
        <x:v>P2 - contesto/validazione</x:v>
      </x:c>
      <x:c r="L209" s="83" t="str">
        <x:v>Figura o mappa; lettura etichette / eventuale digitalizzazione</x:v>
      </x:c>
      <x:c r="M209" s="83" t="str">
        <x:v>Medio</x:v>
      </x:c>
      <x:c r="N209" s="83" t="str">
        <x:v>Da verificare in Fase 3</x:v>
      </x:c>
    </x:row>
    <x:row r="210">
      <x:c r="A210" s="83" t="str">
        <x:v>S05-FIG-14-45</x:v>
      </x:c>
      <x:c r="B210" s="83" t="str">
        <x:v>S05</x:v>
      </x:c>
      <x:c r="C210" s="83" t="str">
        <x:v>Esigenze di sviluppo: i nuovi progetti</x:v>
      </x:c>
      <x:c r="D210" s="83" t="str">
        <x:v>Figura</x:v>
      </x:c>
      <x:c r="E210" s="83" t="str">
        <x:v>14</x:v>
      </x:c>
      <x:c r="F210" s="83" t="n">
        <x:v>45</x:v>
      </x:c>
      <x:c r="G210" s="83" t="n">
        <x:v>43</x:v>
      </x:c>
      <x:c r="H210" s="83" t="str">
        <x:v>4. Massimizzazione asset</x:v>
      </x:c>
      <x:c r="I210" s="83" t="str">
        <x:v>Figura 14 Schema unifilare standard di un collegamento tra due impianti</x:v>
      </x:c>
      <x:c r="J210" s="83" t="str">
        <x:v>Contesto / metodologia</x:v>
      </x:c>
      <x:c r="K210" s="83" t="str">
        <x:v>P2 - contesto/validazione</x:v>
      </x:c>
      <x:c r="L210" s="83" t="str">
        <x:v>Figura o mappa; lettura etichette / eventuale digitalizzazione</x:v>
      </x:c>
      <x:c r="M210" s="83" t="str">
        <x:v>Medio</x:v>
      </x:c>
      <x:c r="N210" s="83" t="str">
        <x:v>Da verificare in Fase 3</x:v>
      </x:c>
    </x:row>
    <x:row r="211">
      <x:c r="A211" s="83" t="str">
        <x:v>S05-FIG-15-49</x:v>
      </x:c>
      <x:c r="B211" s="83" t="str">
        <x:v>S05</x:v>
      </x:c>
      <x:c r="C211" s="83" t="str">
        <x:v>Esigenze di sviluppo: i nuovi progetti</x:v>
      </x:c>
      <x:c r="D211" s="83" t="str">
        <x:v>Figura</x:v>
      </x:c>
      <x:c r="E211" s="83" t="str">
        <x:v>15</x:v>
      </x:c>
      <x:c r="F211" s="83" t="n">
        <x:v>49</x:v>
      </x:c>
      <x:c r="G211" s="83" t="n">
        <x:v>47</x:v>
      </x:c>
      <x:c r="H211" s="83" t="str">
        <x:v>4. Massimizzazione asset</x:v>
      </x:c>
      <x:c r="I211" s="83" t="str">
        <x:v>Figura 15 MPE Sardegna (Ogliastra)</x:v>
      </x:c>
      <x:c r="J211" s="83" t="str">
        <x:v>Contesto / metodologia</x:v>
      </x:c>
      <x:c r="K211" s="83" t="str">
        <x:v>P2 - contesto/validazione</x:v>
      </x:c>
      <x:c r="L211" s="83" t="str">
        <x:v>Figura o mappa; lettura etichette / eventuale digitalizzazione</x:v>
      </x:c>
      <x:c r="M211" s="83" t="str">
        <x:v>Medio</x:v>
      </x:c>
      <x:c r="N211" s="83" t="str">
        <x:v>Da verificare in Fase 3</x:v>
      </x:c>
    </x:row>
    <x:row r="212">
      <x:c r="A212" s="83" t="str">
        <x:v>S05-FIG-16-50</x:v>
      </x:c>
      <x:c r="B212" s="83" t="str">
        <x:v>S05</x:v>
      </x:c>
      <x:c r="C212" s="83" t="str">
        <x:v>Esigenze di sviluppo: i nuovi progetti</x:v>
      </x:c>
      <x:c r="D212" s="83" t="str">
        <x:v>Figura</x:v>
      </x:c>
      <x:c r="E212" s="83" t="str">
        <x:v>16</x:v>
      </x:c>
      <x:c r="F212" s="83" t="n">
        <x:v>50</x:v>
      </x:c>
      <x:c r="G212" s="83" t="n">
        <x:v>48</x:v>
      </x:c>
      <x:c r="H212" s="83" t="str">
        <x:v>5. Interconnessioni estere</x:v>
      </x:c>
      <x:c r="I212" s="83" t="str">
        <x:v>Figura 16 MPE Beneventano</x:v>
      </x:c>
      <x:c r="J212" s="83" t="str">
        <x:v>Contesto / metodologia</x:v>
      </x:c>
      <x:c r="K212" s="83" t="str">
        <x:v>P2 - contesto/validazione</x:v>
      </x:c>
      <x:c r="L212" s="83" t="str">
        <x:v>Figura o mappa; lettura etichette / eventuale digitalizzazione</x:v>
      </x:c>
      <x:c r="M212" s="83" t="str">
        <x:v>Medio</x:v>
      </x:c>
      <x:c r="N212" s="83" t="str">
        <x:v>Da verificare in Fase 3</x:v>
      </x:c>
    </x:row>
    <x:row r="213">
      <x:c r="A213" s="83" t="str">
        <x:v>S05-FIG-17-51</x:v>
      </x:c>
      <x:c r="B213" s="83" t="str">
        <x:v>S05</x:v>
      </x:c>
      <x:c r="C213" s="83" t="str">
        <x:v>Esigenze di sviluppo: i nuovi progetti</x:v>
      </x:c>
      <x:c r="D213" s="83" t="str">
        <x:v>Figura</x:v>
      </x:c>
      <x:c r="E213" s="83" t="str">
        <x:v>17</x:v>
      </x:c>
      <x:c r="F213" s="83" t="n">
        <x:v>51</x:v>
      </x:c>
      <x:c r="G213" s="83" t="n">
        <x:v>49</x:v>
      </x:c>
      <x:c r="H213" s="83" t="str">
        <x:v>5. Interconnessioni estere</x:v>
      </x:c>
      <x:c r="I213" s="83" t="str">
        <x:v>Figura 17 Interventi per congestioni in area Nord</x:v>
      </x:c>
      <x:c r="J213" s="83" t="str">
        <x:v>Contesto / metodologia</x:v>
      </x:c>
      <x:c r="K213" s="83" t="str">
        <x:v>P2 - contesto/validazione</x:v>
      </x:c>
      <x:c r="L213" s="83" t="str">
        <x:v>Figura o mappa; lettura etichette / eventuale digitalizzazione</x:v>
      </x:c>
      <x:c r="M213" s="83" t="str">
        <x:v>Medio</x:v>
      </x:c>
      <x:c r="N213" s="83" t="str">
        <x:v>Da verificare in Fase 3</x:v>
      </x:c>
    </x:row>
    <x:row r="214">
      <x:c r="A214" s="83" t="str">
        <x:v>S05-FIG-18-55</x:v>
      </x:c>
      <x:c r="B214" s="83" t="str">
        <x:v>S05</x:v>
      </x:c>
      <x:c r="C214" s="83" t="str">
        <x:v>Esigenze di sviluppo: i nuovi progetti</x:v>
      </x:c>
      <x:c r="D214" s="83" t="str">
        <x:v>Figura</x:v>
      </x:c>
      <x:c r="E214" s="83" t="str">
        <x:v>18</x:v>
      </x:c>
      <x:c r="F214" s="83" t="n">
        <x:v>55</x:v>
      </x:c>
      <x:c r="G214" s="83" t="n">
        <x:v>53</x:v>
      </x:c>
      <x:c r="H214" s="83" t="str">
        <x:v>5. Interconnessioni estere</x:v>
      </x:c>
      <x:c r="I214" s="83" t="str">
        <x:v>Figura 18 Principali progetti di interconnessione</x:v>
      </x:c>
      <x:c r="J214" s="83" t="str">
        <x:v>Trasmissione e interconnessioni</x:v>
      </x:c>
      <x:c r="K214" s="83" t="str">
        <x:v>P2 - contesto/validazione</x:v>
      </x:c>
      <x:c r="L214" s="83" t="str">
        <x:v>Figura o mappa; lettura etichette / eventuale digitalizzazione</x:v>
      </x:c>
      <x:c r="M214" s="83" t="str">
        <x:v>Medio</x:v>
      </x:c>
      <x:c r="N214" s="83" t="str">
        <x:v>Da verificare in Fase 3</x:v>
      </x:c>
    </x:row>
    <x:row r="215">
      <x:c r="A215" s="83" t="str">
        <x:v>S05-FIG-19-56</x:v>
      </x:c>
      <x:c r="B215" s="83" t="str">
        <x:v>S05</x:v>
      </x:c>
      <x:c r="C215" s="83" t="str">
        <x:v>Esigenze di sviluppo: i nuovi progetti</x:v>
      </x:c>
      <x:c r="D215" s="83" t="str">
        <x:v>Figura</x:v>
      </x:c>
      <x:c r="E215" s="83" t="str">
        <x:v>19</x:v>
      </x:c>
      <x:c r="F215" s="83" t="n">
        <x:v>56</x:v>
      </x:c>
      <x:c r="G215" s="83" t="n">
        <x:v>54</x:v>
      </x:c>
      <x:c r="H215" s="83" t="str">
        <x:v>5. Interconnessioni estere</x:v>
      </x:c>
      <x:c r="I215" s="83" t="str">
        <x:v>Figura 19 Progetti di interconnessione allo studio</x:v>
      </x:c>
      <x:c r="J215" s="83" t="str">
        <x:v>Trasmissione e interconnessioni</x:v>
      </x:c>
      <x:c r="K215" s="83" t="str">
        <x:v>P2 - contesto/validazione</x:v>
      </x:c>
      <x:c r="L215" s="83" t="str">
        <x:v>Figura o mappa; lettura etichette / eventuale digitalizzazione</x:v>
      </x:c>
      <x:c r="M215" s="83" t="str">
        <x:v>Medio</x:v>
      </x:c>
      <x:c r="N215" s="83" t="str">
        <x:v>Da verificare in Fase 3</x:v>
      </x:c>
    </x:row>
    <x:row r="216">
      <x:c r="A216" s="83" t="str">
        <x:v>S05-FIG-20-57</x:v>
      </x:c>
      <x:c r="B216" s="83" t="str">
        <x:v>S05</x:v>
      </x:c>
      <x:c r="C216" s="83" t="str">
        <x:v>Esigenze di sviluppo: i nuovi progetti</x:v>
      </x:c>
      <x:c r="D216" s="83" t="str">
        <x:v>Figura</x:v>
      </x:c>
      <x:c r="E216" s="83" t="str">
        <x:v>20</x:v>
      </x:c>
      <x:c r="F216" s="83" t="n">
        <x:v>57</x:v>
      </x:c>
      <x:c r="G216" s="83" t="n">
        <x:v>55</x:v>
      </x:c>
      <x:c r="H216" s="83" t="str">
        <x:v>5. Interconnessioni estere</x:v>
      </x:c>
      <x:c r="I216" s="83" t="str">
        <x:v>Figura 20 Progetti di interconnessione con l’estero ai sensi della Legge n.99/2009</x:v>
      </x:c>
      <x:c r="J216" s="83" t="str">
        <x:v>Trasmissione e interconnessioni</x:v>
      </x:c>
      <x:c r="K216" s="83" t="str">
        <x:v>P2 - contesto/validazione</x:v>
      </x:c>
      <x:c r="L216" s="83" t="str">
        <x:v>Figura o mappa; lettura etichette / eventuale digitalizzazione</x:v>
      </x:c>
      <x:c r="M216" s="83" t="str">
        <x:v>Medio</x:v>
      </x:c>
      <x:c r="N216" s="83" t="str">
        <x:v>Da verificare in Fase 3</x:v>
      </x:c>
    </x:row>
    <x:row r="217">
      <x:c r="A217" s="83" t="str">
        <x:v>S05-FIG-21-58</x:v>
      </x:c>
      <x:c r="B217" s="83" t="str">
        <x:v>S05</x:v>
      </x:c>
      <x:c r="C217" s="83" t="str">
        <x:v>Esigenze di sviluppo: i nuovi progetti</x:v>
      </x:c>
      <x:c r="D217" s="83" t="str">
        <x:v>Figura</x:v>
      </x:c>
      <x:c r="E217" s="83" t="str">
        <x:v>21</x:v>
      </x:c>
      <x:c r="F217" s="83" t="n">
        <x:v>58</x:v>
      </x:c>
      <x:c r="G217" s="83" t="n">
        <x:v>56</x:v>
      </x:c>
      <x:c r="H217" s="83" t="str">
        <x:v>5. Interconnessioni estere</x:v>
      </x:c>
      <x:c r="I217" s="83" t="str">
        <x:v>Figura 21 Progetti Merchant Lines e/o di altri promotori che alla data di avvio della consultazione pubblica</x:v>
      </x:c>
      <x:c r="J217" s="83" t="str">
        <x:v>Contesto / metodologia</x:v>
      </x:c>
      <x:c r="K217" s="83" t="str">
        <x:v>P2 - contesto/validazione</x:v>
      </x:c>
      <x:c r="L217" s="83" t="str">
        <x:v>Figura o mappa; lettura etichette / eventuale digitalizzazione</x:v>
      </x:c>
      <x:c r="M217" s="83" t="str">
        <x:v>Medio</x:v>
      </x:c>
      <x:c r="N217" s="83" t="str">
        <x:v>Da verificare in Fase 3</x:v>
      </x:c>
    </x:row>
    <x:row r="218">
      <x:c r="A218" s="83" t="str">
        <x:v>S05-TAB-2-59</x:v>
      </x:c>
      <x:c r="B218" s="83" t="str">
        <x:v>S05</x:v>
      </x:c>
      <x:c r="C218" s="83" t="str">
        <x:v>Esigenze di sviluppo: i nuovi progetti</x:v>
      </x:c>
      <x:c r="D218" s="83" t="str">
        <x:v>Tabella</x:v>
      </x:c>
      <x:c r="E218" s="83" t="str">
        <x:v>2</x:v>
      </x:c>
      <x:c r="F218" s="83" t="n">
        <x:v>59</x:v>
      </x:c>
      <x:c r="G218" s="83" t="n">
        <x:v>57</x:v>
      </x:c>
      <x:c r="H218" s="83" t="str">
        <x:v>5. Interconnessioni estere</x:v>
      </x:c>
      <x:c r="I218" s="83" t="str">
        <x:v>Tabella 2 KPI utilizzati per definire il collocamento di ciascuna iniziativa Merchant Lines e/o di altri promotori</x:v>
      </x:c>
      <x:c r="J218" s="83" t="str">
        <x:v>Contesto / metodologia</x:v>
      </x:c>
      <x:c r="K218" s="83" t="str">
        <x:v>P2 - contesto/validazione</x:v>
      </x:c>
      <x:c r="L218" s="83" t="str">
        <x:v>Tabella testuale/PDF</x:v>
      </x:c>
      <x:c r="M218" s="83" t="str">
        <x:v>Basso</x:v>
      </x:c>
      <x:c r="N218" s="83" t="str">
        <x:v>Da verificare in Fase 3</x:v>
      </x:c>
    </x:row>
    <x:row r="219">
      <x:c r="A219" s="83" t="str">
        <x:v>S05-TAB-3-60</x:v>
      </x:c>
      <x:c r="B219" s="83" t="str">
        <x:v>S05</x:v>
      </x:c>
      <x:c r="C219" s="83" t="str">
        <x:v>Esigenze di sviluppo: i nuovi progetti</x:v>
      </x:c>
      <x:c r="D219" s="83" t="str">
        <x:v>Tabella</x:v>
      </x:c>
      <x:c r="E219" s="83" t="str">
        <x:v>3</x:v>
      </x:c>
      <x:c r="F219" s="83" t="n">
        <x:v>60</x:v>
      </x:c>
      <x:c r="G219" s="83" t="n">
        <x:v>58</x:v>
      </x:c>
      <x:c r="H219" s="83" t="str">
        <x:v>5. Interconnessioni estere</x:v>
      </x:c>
      <x:c r="I219" s="83" t="str">
        <x:v>Tabella 3 Iniziative Merchant Lines per le quali è disponibile una richiesta di connessione alla RTN in fase</x:v>
      </x:c>
      <x:c r="J219" s="83" t="str">
        <x:v>Trasmissione e interconnessioni</x:v>
      </x:c>
      <x:c r="K219" s="83" t="str">
        <x:v>P2 - contesto/validazione</x:v>
      </x:c>
      <x:c r="L219" s="83" t="str">
        <x:v>Tabella testuale/PDF</x:v>
      </x:c>
      <x:c r="M219" s="83" t="str">
        <x:v>Basso</x:v>
      </x:c>
      <x:c r="N219" s="83" t="str">
        <x:v>Da verificare in Fase 3</x:v>
      </x:c>
    </x:row>
    <x:row r="220">
      <x:c r="A220" s="83" t="str">
        <x:v>S05-TAB-4-60</x:v>
      </x:c>
      <x:c r="B220" s="83" t="str">
        <x:v>S05</x:v>
      </x:c>
      <x:c r="C220" s="83" t="str">
        <x:v>Esigenze di sviluppo: i nuovi progetti</x:v>
      </x:c>
      <x:c r="D220" s="83" t="str">
        <x:v>Tabella</x:v>
      </x:c>
      <x:c r="E220" s="83" t="str">
        <x:v>4</x:v>
      </x:c>
      <x:c r="F220" s="83" t="n">
        <x:v>60</x:v>
      </x:c>
      <x:c r="G220" s="83" t="n">
        <x:v>58</x:v>
      </x:c>
      <x:c r="H220" s="83" t="str">
        <x:v>5. Interconnessioni estere</x:v>
      </x:c>
      <x:c r="I220" s="83" t="str">
        <x:v>Tabella 4 Scheda riepilogativa ML Medlink 1 (Italy-Algeria Link)</x:v>
      </x:c>
      <x:c r="J220" s="83" t="str">
        <x:v>Contesto / metodologia</x:v>
      </x:c>
      <x:c r="K220" s="83" t="str">
        <x:v>P2 - contesto/validazione</x:v>
      </x:c>
      <x:c r="L220" s="83" t="str">
        <x:v>Tabella testuale/PDF</x:v>
      </x:c>
      <x:c r="M220" s="83" t="str">
        <x:v>Basso</x:v>
      </x:c>
      <x:c r="N220" s="83" t="str">
        <x:v>Da verificare in Fase 3</x:v>
      </x:c>
    </x:row>
    <x:row r="221">
      <x:c r="A221" s="83" t="str">
        <x:v>S05-TAB-5-61</x:v>
      </x:c>
      <x:c r="B221" s="83" t="str">
        <x:v>S05</x:v>
      </x:c>
      <x:c r="C221" s="83" t="str">
        <x:v>Esigenze di sviluppo: i nuovi progetti</x:v>
      </x:c>
      <x:c r="D221" s="83" t="str">
        <x:v>Tabella</x:v>
      </x:c>
      <x:c r="E221" s="83" t="str">
        <x:v>5</x:v>
      </x:c>
      <x:c r="F221" s="83" t="n">
        <x:v>61</x:v>
      </x:c>
      <x:c r="G221" s="83" t="n">
        <x:v>59</x:v>
      </x:c>
      <x:c r="H221" s="83" t="str">
        <x:v>5. Interconnessioni estere</x:v>
      </x:c>
      <x:c r="I221" s="83" t="str">
        <x:v>Tabella 5 Scheda riepilogativa ML Somplago-Würmalch</x:v>
      </x:c>
      <x:c r="J221" s="83" t="str">
        <x:v>Contesto / metodologia</x:v>
      </x:c>
      <x:c r="K221" s="83" t="str">
        <x:v>P2 - contesto/validazione</x:v>
      </x:c>
      <x:c r="L221" s="83" t="str">
        <x:v>Tabella testuale/PDF</x:v>
      </x:c>
      <x:c r="M221" s="83" t="str">
        <x:v>Basso</x:v>
      </x:c>
      <x:c r="N221" s="83" t="str">
        <x:v>Da verificare in Fase 3</x:v>
      </x:c>
    </x:row>
    <x:row r="222">
      <x:c r="A222" s="83" t="str">
        <x:v>S05-TAB-6-62</x:v>
      </x:c>
      <x:c r="B222" s="83" t="str">
        <x:v>S05</x:v>
      </x:c>
      <x:c r="C222" s="83" t="str">
        <x:v>Esigenze di sviluppo: i nuovi progetti</x:v>
      </x:c>
      <x:c r="D222" s="83" t="str">
        <x:v>Tabella</x:v>
      </x:c>
      <x:c r="E222" s="83" t="str">
        <x:v>6</x:v>
      </x:c>
      <x:c r="F222" s="83" t="n">
        <x:v>62</x:v>
      </x:c>
      <x:c r="G222" s="83" t="n">
        <x:v>60</x:v>
      </x:c>
      <x:c r="H222" s="83" t="str">
        <x:v>5. Interconnessioni estere</x:v>
      </x:c>
      <x:c r="I222" s="83" t="str">
        <x:v>Tabella 6 Scheda riepilogativa ML Italia-Egitto</x:v>
      </x:c>
      <x:c r="J222" s="83" t="str">
        <x:v>Contesto / metodologia</x:v>
      </x:c>
      <x:c r="K222" s="83" t="str">
        <x:v>P2 - contesto/validazione</x:v>
      </x:c>
      <x:c r="L222" s="83" t="str">
        <x:v>Tabella testuale/PDF</x:v>
      </x:c>
      <x:c r="M222" s="83" t="str">
        <x:v>Basso</x:v>
      </x:c>
      <x:c r="N222" s="83" t="str">
        <x:v>Da verificare in Fase 3</x:v>
      </x:c>
    </x:row>
    <x:row r="223">
      <x:c r="A223" s="83" t="str">
        <x:v>S05-TAB-7-63</x:v>
      </x:c>
      <x:c r="B223" s="83" t="str">
        <x:v>S05</x:v>
      </x:c>
      <x:c r="C223" s="83" t="str">
        <x:v>Esigenze di sviluppo: i nuovi progetti</x:v>
      </x:c>
      <x:c r="D223" s="83" t="str">
        <x:v>Tabella</x:v>
      </x:c>
      <x:c r="E223" s="83" t="str">
        <x:v>7</x:v>
      </x:c>
      <x:c r="F223" s="83" t="n">
        <x:v>63</x:v>
      </x:c>
      <x:c r="G223" s="83" t="n">
        <x:v>61</x:v>
      </x:c>
      <x:c r="H223" s="83" t="str">
        <x:v>5. Interconnessioni estere</x:v>
      </x:c>
      <x:c r="I223" s="83" t="str">
        <x:v>Tabella 7 Scheda riepilogativa ML Cesana-Briançon</x:v>
      </x:c>
      <x:c r="J223" s="83" t="str">
        <x:v>Contesto / metodologia</x:v>
      </x:c>
      <x:c r="K223" s="83" t="str">
        <x:v>P2 - contesto/validazione</x:v>
      </x:c>
      <x:c r="L223" s="83" t="str">
        <x:v>Tabella testuale/PDF</x:v>
      </x:c>
      <x:c r="M223" s="83" t="str">
        <x:v>Basso</x:v>
      </x:c>
      <x:c r="N223" s="83" t="str">
        <x:v>Da verificare in Fase 3</x:v>
      </x:c>
    </x:row>
    <x:row r="224">
      <x:c r="A224" s="83" t="str">
        <x:v>S05-TAB-8-64</x:v>
      </x:c>
      <x:c r="B224" s="83" t="str">
        <x:v>S05</x:v>
      </x:c>
      <x:c r="C224" s="83" t="str">
        <x:v>Esigenze di sviluppo: i nuovi progetti</x:v>
      </x:c>
      <x:c r="D224" s="83" t="str">
        <x:v>Tabella</x:v>
      </x:c>
      <x:c r="E224" s="83" t="str">
        <x:v>8</x:v>
      </x:c>
      <x:c r="F224" s="83" t="n">
        <x:v>64</x:v>
      </x:c>
      <x:c r="G224" s="83" t="n">
        <x:v>62</x:v>
      </x:c>
      <x:c r="H224" s="83" t="str">
        <x:v>5. Interconnessioni estere</x:v>
      </x:c>
      <x:c r="I224" s="83" t="str">
        <x:v>Tabella 8 Scheda riepilogativa ML Malta-Italy Cable Link No.2</x:v>
      </x:c>
      <x:c r="J224" s="83" t="str">
        <x:v>Contesto / metodologia</x:v>
      </x:c>
      <x:c r="K224" s="83" t="str">
        <x:v>P2 - contesto/validazione</x:v>
      </x:c>
      <x:c r="L224" s="83" t="str">
        <x:v>Tabella testuale/PDF</x:v>
      </x:c>
      <x:c r="M224" s="83" t="str">
        <x:v>Basso</x:v>
      </x:c>
      <x:c r="N224" s="83" t="str">
        <x:v>Da verificare in Fase 3</x:v>
      </x:c>
    </x:row>
    <x:row r="225">
      <x:c r="A225" s="83" t="str">
        <x:v>S05-TAB-9-65</x:v>
      </x:c>
      <x:c r="B225" s="83" t="str">
        <x:v>S05</x:v>
      </x:c>
      <x:c r="C225" s="83" t="str">
        <x:v>Esigenze di sviluppo: i nuovi progetti</x:v>
      </x:c>
      <x:c r="D225" s="83" t="str">
        <x:v>Tabella</x:v>
      </x:c>
      <x:c r="E225" s="83" t="str">
        <x:v>9</x:v>
      </x:c>
      <x:c r="F225" s="83" t="n">
        <x:v>65</x:v>
      </x:c>
      <x:c r="G225" s="83" t="n">
        <x:v>63</x:v>
      </x:c>
      <x:c r="H225" s="83" t="str">
        <x:v>5. Interconnessioni estere</x:v>
      </x:c>
      <x:c r="I225" s="83" t="str">
        <x:v>Tabella 9 Scheda riepilogativa ML Redipuglia-Vrtojba</x:v>
      </x:c>
      <x:c r="J225" s="83" t="str">
        <x:v>Contesto / metodologia</x:v>
      </x:c>
      <x:c r="K225" s="83" t="str">
        <x:v>P2 - contesto/validazione</x:v>
      </x:c>
      <x:c r="L225" s="83" t="str">
        <x:v>Tabella testuale/PDF</x:v>
      </x:c>
      <x:c r="M225" s="83" t="str">
        <x:v>Basso</x:v>
      </x:c>
      <x:c r="N225" s="83" t="str">
        <x:v>Da verificare in Fase 3</x:v>
      </x:c>
    </x:row>
    <x:row r="226">
      <x:c r="A226" s="83" t="str">
        <x:v>S05-TAB-10-66</x:v>
      </x:c>
      <x:c r="B226" s="83" t="str">
        <x:v>S05</x:v>
      </x:c>
      <x:c r="C226" s="83" t="str">
        <x:v>Esigenze di sviluppo: i nuovi progetti</x:v>
      </x:c>
      <x:c r="D226" s="83" t="str">
        <x:v>Tabella</x:v>
      </x:c>
      <x:c r="E226" s="83" t="str">
        <x:v>10</x:v>
      </x:c>
      <x:c r="F226" s="83" t="n">
        <x:v>66</x:v>
      </x:c>
      <x:c r="G226" s="83" t="n">
        <x:v>64</x:v>
      </x:c>
      <x:c r="H226" s="83" t="str">
        <x:v>5. Interconnessioni estere</x:v>
      </x:c>
      <x:c r="I226" s="83" t="str">
        <x:v>Tabella 10 Scheda riepilogativa ML Dekani-Zaule</x:v>
      </x:c>
      <x:c r="J226" s="83" t="str">
        <x:v>Contesto / metodologia</x:v>
      </x:c>
      <x:c r="K226" s="83" t="str">
        <x:v>P2 - contesto/validazione</x:v>
      </x:c>
      <x:c r="L226" s="83" t="str">
        <x:v>Tabella testuale/PDF</x:v>
      </x:c>
      <x:c r="M226" s="83" t="str">
        <x:v>Basso</x:v>
      </x:c>
      <x:c r="N226" s="83" t="str">
        <x:v>Da verificare in Fase 3</x:v>
      </x:c>
    </x:row>
    <x:row r="227">
      <x:c r="A227" s="83" t="str">
        <x:v>S05-TAB-11-67</x:v>
      </x:c>
      <x:c r="B227" s="83" t="str">
        <x:v>S05</x:v>
      </x:c>
      <x:c r="C227" s="83" t="str">
        <x:v>Esigenze di sviluppo: i nuovi progetti</x:v>
      </x:c>
      <x:c r="D227" s="83" t="str">
        <x:v>Tabella</x:v>
      </x:c>
      <x:c r="E227" s="83" t="str">
        <x:v>11</x:v>
      </x:c>
      <x:c r="F227" s="83" t="n">
        <x:v>67</x:v>
      </x:c>
      <x:c r="G227" s="83" t="n">
        <x:v>65</x:v>
      </x:c>
      <x:c r="H227" s="83" t="str">
        <x:v>5. Interconnessioni estere</x:v>
      </x:c>
      <x:c r="I227" s="83" t="str">
        <x:v>Tabella 11 Scheda riepilogativa ML APOLLO-LINK</x:v>
      </x:c>
      <x:c r="J227" s="83" t="str">
        <x:v>Contesto / metodologia</x:v>
      </x:c>
      <x:c r="K227" s="83" t="str">
        <x:v>P2 - contesto/validazione</x:v>
      </x:c>
      <x:c r="L227" s="83" t="str">
        <x:v>Tabella testuale/PDF</x:v>
      </x:c>
      <x:c r="M227" s="83" t="str">
        <x:v>Basso</x:v>
      </x:c>
      <x:c r="N227" s="83" t="str">
        <x:v>Da verificare in Fase 3</x:v>
      </x:c>
    </x:row>
    <x:row r="228">
      <x:c r="A228" s="83" t="str">
        <x:v>S05-TAB-12-68</x:v>
      </x:c>
      <x:c r="B228" s="83" t="str">
        <x:v>S05</x:v>
      </x:c>
      <x:c r="C228" s="83" t="str">
        <x:v>Esigenze di sviluppo: i nuovi progetti</x:v>
      </x:c>
      <x:c r="D228" s="83" t="str">
        <x:v>Tabella</x:v>
      </x:c>
      <x:c r="E228" s="83" t="str">
        <x:v>12</x:v>
      </x:c>
      <x:c r="F228" s="83" t="n">
        <x:v>68</x:v>
      </x:c>
      <x:c r="G228" s="83" t="n">
        <x:v>66</x:v>
      </x:c>
      <x:c r="H228" s="83" t="str">
        <x:v>5. Interconnessioni estere</x:v>
      </x:c>
      <x:c r="I228" s="83" t="str">
        <x:v>Tabella 12 Scheda riepilogativa ML Mese-Castasegna</x:v>
      </x:c>
      <x:c r="J228" s="83"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r">
        <x:v>Basso</x:v>
      </x:c>
      <x:c r="N228" s="83" t="str">
        <x:v>Da verificare in Fase 3</x:v>
      </x:c>
    </x:row>
    <x:row r="229">
      <x:c r="A229" s="83" t="str">
        <x:v>S05-TAB-13-69</x:v>
      </x:c>
      <x:c r="B229" s="83" t="str">
        <x:v>S05</x:v>
      </x:c>
      <x:c r="C229" s="83" t="str">
        <x:v>Esigenze di sviluppo: i nuovi progetti</x:v>
      </x:c>
      <x:c r="D229" s="83" t="str">
        <x:v>Tabella</x:v>
      </x:c>
      <x:c r="E229" s="83" t="str">
        <x:v>13</x:v>
      </x:c>
      <x:c r="F229" s="83" t="n">
        <x:v>69</x:v>
      </x:c>
      <x:c r="G229" s="83" t="n">
        <x:v>67</x:v>
      </x:c>
      <x:c r="H229" s="83" t="str">
        <x:v>5. Interconnessioni estere</x:v>
      </x:c>
      <x:c r="I229" s="83" t="str">
        <x:v>Tabella 13 Scheda riepilogativa ML Medlink 2 (Italy-Tunisia Link)</x:v>
      </x:c>
      <x:c r="J229" s="83" t="str">
        <x:v>Contesto / metodologia</x:v>
      </x:c>
      <x:c r="K229" s="83" t="str">
        <x:v>P2 - contesto/validazione</x:v>
      </x:c>
      <x:c r="L229" s="83" t="str">
        <x:v>Tabella testuale/PDF</x:v>
      </x:c>
      <x:c r="M229" s="83" t="str">
        <x:v>Basso</x:v>
      </x:c>
      <x:c r="N229" s="83" t="str">
        <x:v>Da verificare in Fase 3</x:v>
      </x:c>
    </x:row>
    <x:row r="230">
      <x:c r="A230" s="83" t="str">
        <x:v>S05-TAB-14-69</x:v>
      </x:c>
      <x:c r="B230" s="83" t="str">
        <x:v>S05</x:v>
      </x:c>
      <x:c r="C230" s="83" t="str">
        <x:v>Esigenze di sviluppo: i nuovi progetti</x:v>
      </x:c>
      <x:c r="D230" s="83" t="str">
        <x:v>Tabella</x:v>
      </x:c>
      <x:c r="E230" s="83" t="str">
        <x:v>14</x:v>
      </x:c>
      <x:c r="F230" s="83" t="n">
        <x:v>69</x:v>
      </x:c>
      <x:c r="G230" s="83" t="n">
        <x:v>67</x:v>
      </x:c>
      <x:c r="H230" s="83" t="str">
        <x:v>5. Interconnessioni estere</x:v>
      </x:c>
      <x:c r="I230" s="83" t="str">
        <x:v>Tabella 14 Ulteriori iniziative Merchant Lines</x:v>
      </x:c>
      <x:c r="J230" s="83" t="str">
        <x:v>Contesto / metodologia</x:v>
      </x:c>
      <x:c r="K230" s="83" t="str">
        <x:v>P2 - contesto/validazione</x:v>
      </x:c>
      <x:c r="L230" s="83" t="str">
        <x:v>Tabella testuale/PDF</x:v>
      </x:c>
      <x:c r="M230" s="83" t="str">
        <x:v>Basso</x:v>
      </x:c>
      <x:c r="N230" s="83" t="str">
        <x:v>Da verificare in Fase 3</x:v>
      </x:c>
    </x:row>
    <x:row r="231">
      <x:c r="A231" s="83" t="str">
        <x:v>S05-FIG-23-71</x:v>
      </x:c>
      <x:c r="B231" s="83" t="str">
        <x:v>S05</x:v>
      </x:c>
      <x:c r="C231" s="83" t="str">
        <x:v>Esigenze di sviluppo: i nuovi progetti</x:v>
      </x:c>
      <x:c r="D231" s="83" t="str">
        <x:v>Figura</x:v>
      </x:c>
      <x:c r="E231" s="83" t="str">
        <x:v>23</x:v>
      </x:c>
      <x:c r="F231" s="83" t="n">
        <x:v>71</x:v>
      </x:c>
      <x:c r="G231" s="83" t="n">
        <x:v>69</x:v>
      </x:c>
      <x:c r="H231" s="83" t="str">
        <x:v>6. Nuovi interventi</x:v>
      </x:c>
      <x:c r="I231" s="83" t="str">
        <x:v>Figura 23 Distribuzione percentuale dell’installato per fonte al 2023, 2030 e 2040 per i Paesi in analisi</x:v>
      </x:c>
      <x:c r="J231" s="83" t="str">
        <x:v>Contesto / metodologia</x:v>
      </x:c>
      <x:c r="K231" s="83" t="str">
        <x:v>P2 - contesto/validazione</x:v>
      </x:c>
      <x:c r="L231" s="83" t="str">
        <x:v>Figura o mappa; lettura etichette / eventuale digitalizzazione</x:v>
      </x:c>
      <x:c r="M231" s="83" t="str">
        <x:v>Medio</x:v>
      </x:c>
      <x:c r="N231" s="83" t="str">
        <x:v>Da verificare in Fase 3</x:v>
      </x:c>
    </x:row>
    <x:row r="232">
      <x:c r="A232" s="83" t="str">
        <x:v>S05-FIG-22-71</x:v>
      </x:c>
      <x:c r="B232" s="83" t="str">
        <x:v>S05</x:v>
      </x:c>
      <x:c r="C232" s="83" t="str">
        <x:v>Esigenze di sviluppo: i nuovi progetti</x:v>
      </x:c>
      <x:c r="D232" s="83" t="str">
        <x:v>Figura</x:v>
      </x:c>
      <x:c r="E232" s="83" t="str">
        <x:v>22</x:v>
      </x:c>
      <x:c r="F232" s="83" t="n">
        <x:v>71</x:v>
      </x:c>
      <x:c r="G232" s="83" t="n">
        <x:v>69</x:v>
      </x:c>
      <x:c r="H232" s="83" t="str">
        <x:v>6. Nuovi interventi</x:v>
      </x:c>
      <x:c r="I232" s="83" t="str">
        <x:v>Figura 22 Panoramica dei Paesi inclusi nel perimetro dell’assessment</x:v>
      </x:c>
      <x:c r="J232" s="83" t="str">
        <x:v>Contesto / metodologia</x:v>
      </x:c>
      <x:c r="K232" s="83" t="str">
        <x:v>P2 - contesto/validazione</x:v>
      </x:c>
      <x:c r="L232" s="83" t="str">
        <x:v>Figura o mappa; lettura etichette / eventuale digitalizzazione</x:v>
      </x:c>
      <x:c r="M232" s="83" t="str">
        <x:v>Medio</x:v>
      </x:c>
      <x:c r="N232" s="83" t="str">
        <x:v>Da verificare in Fase 3</x:v>
      </x:c>
    </x:row>
    <x:row r="233">
      <x:c r="A233" s="83" t="str">
        <x:v>S05-TAB-15-92</x:v>
      </x:c>
      <x:c r="B233" s="83" t="str">
        <x:v>S05</x:v>
      </x:c>
      <x:c r="C233" s="83" t="str">
        <x:v>Esigenze di sviluppo: i nuovi progetti</x:v>
      </x:c>
      <x:c r="D233" s="83" t="str">
        <x:v>Tabella</x:v>
      </x:c>
      <x:c r="E233" s="83" t="str">
        <x:v>15</x:v>
      </x:c>
      <x:c r="F233" s="83" t="n">
        <x:v>92</x:v>
      </x:c>
      <x:c r="G233" s="83" t="n">
        <x:v>90</x:v>
      </x:c>
      <x:c r="H233" s="83" t="str">
        <x:v>7. Piano minimo realizzazioni</x:v>
      </x:c>
      <x:c r="I233" s="83" t="str">
        <x:v>Tabella 15 Opere di sviluppo incluse nei piani minimi di realizzazioni precedenti, completate dal 2021 al 2024</x:v>
      </x:c>
      <x:c r="J233" s="83" t="str">
        <x:v>Contesto / metodologia</x:v>
      </x:c>
      <x:c r="K233" s="83" t="str">
        <x:v>P2 - contesto/validazione</x:v>
      </x:c>
      <x:c r="L233" s="83" t="str">
        <x:v>Tabella testuale/PDF</x:v>
      </x:c>
      <x:c r="M233" s="83" t="str">
        <x:v>Basso</x:v>
      </x:c>
      <x:c r="N233" s="83" t="str">
        <x:v>Da verificare in Fase 3</x:v>
      </x:c>
    </x:row>
    <x:row r="234">
      <x:c r="A234" s="83" t="str">
        <x:v>S05-TAB-16-96</x:v>
      </x:c>
      <x:c r="B234" s="83" t="str">
        <x:v>S05</x:v>
      </x:c>
      <x:c r="C234" s="83" t="str">
        <x:v>Esigenze di sviluppo: i nuovi progetti</x:v>
      </x:c>
      <x:c r="D234" s="83" t="str">
        <x:v>Tabella</x:v>
      </x:c>
      <x:c r="E234" s="83" t="str">
        <x:v>16</x:v>
      </x:c>
      <x:c r="F234" s="83" t="n">
        <x:v>96</x:v>
      </x:c>
      <x:c r="G234" s="83" t="n">
        <x:v>94</x:v>
      </x:c>
      <x:c r="H234" s="83" t="str">
        <x:v>7. Piano minimo realizzazioni</x:v>
      </x:c>
      <x:c r="I234" s="83" t="str">
        <x:v>Tabella 16 Progetti rilevanti con entrata in esercizio 2025-2027</x:v>
      </x:c>
      <x:c r="J234" s="83" t="str">
        <x:v>Contesto / metodologia</x:v>
      </x:c>
      <x:c r="K234" s="83" t="str">
        <x:v>P2 - contesto/validazione</x:v>
      </x:c>
      <x:c r="L234" s="83" t="str">
        <x:v>Tabella testuale/PDF</x:v>
      </x:c>
      <x:c r="M234" s="83" t="str">
        <x:v>Basso</x:v>
      </x:c>
      <x:c r="N234" s="83" t="str">
        <x:v>Da verificare in Fase 3</x:v>
      </x:c>
    </x:row>
    <x:row r="235">
      <x:c r="A235" s="83" t="str">
        <x:v>S02-FIG-1-6</x:v>
      </x:c>
      <x:c r="B235" s="83" t="str">
        <x:v>S02</x:v>
      </x:c>
      <x:c r="C235" s="83" t="str">
        <x:v>Piano di Sviluppo 2025 - Overview</x:v>
      </x:c>
      <x:c r="D235" s="83" t="str">
        <x:v>Figura</x:v>
      </x:c>
      <x:c r="E235" s="83" t="str">
        <x:v>1</x:v>
      </x:c>
      <x:c r="F235" s="83" t="n">
        <x:v>6</x:v>
      </x:c>
      <x:c r="G235" s="83" t="n">
        <x:v>4</x:v>
      </x:c>
      <x:c r="H235" s="83" t="str">
        <x:v>Front matter</x:v>
      </x:c>
      <x:c r="I235" s="83" t="str">
        <x:v>Figura 1 Evoluzione architettura di rete</x:v>
      </x:c>
      <x:c r="J235" s="83" t="str">
        <x:v>Trasmissione e interconnessioni</x:v>
      </x:c>
      <x:c r="K235" s="83" t="str">
        <x:v>P2 - contesto/validazione</x:v>
      </x:c>
      <x:c r="L235" s="83" t="str">
        <x:v>Figura o mappa; lettura etichette / eventuale digitalizzazione</x:v>
      </x:c>
      <x:c r="M235" s="83" t="str">
        <x:v>Medio</x:v>
      </x:c>
      <x:c r="N235" s="83" t="str">
        <x:v>Da verificare in Fase 3</x:v>
      </x:c>
    </x:row>
    <x:row r="236">
      <x:c r="A236" s="83" t="str">
        <x:v>S02-FIG-2-15</x:v>
      </x:c>
      <x:c r="B236" s="83" t="str">
        <x:v>S02</x:v>
      </x:c>
      <x:c r="C236" s="83" t="str">
        <x:v>Piano di Sviluppo 2025 - Overview</x:v>
      </x:c>
      <x:c r="D236" s="83" t="str">
        <x:v>Figura</x:v>
      </x:c>
      <x:c r="E236" s="83" t="str">
        <x:v>2</x:v>
      </x:c>
      <x:c r="F236" s="83" t="n">
        <x:v>15</x:v>
      </x:c>
      <x:c r="G236" s="83" t="n">
        <x:v>13</x:v>
      </x:c>
      <x:c r="H236" s="83" t="str">
        <x:v>1. Contesto e scenari energetici</x:v>
      </x:c>
      <x:c r="I236" s="83" t="str">
        <x:v>Figura 2 Scenari energetici</x:v>
      </x:c>
      <x:c r="J236" s="83" t="str">
        <x:v>Contesto / metodologia</x:v>
      </x:c>
      <x:c r="K236" s="83" t="str">
        <x:v>P2 - contesto/validazione</x:v>
      </x:c>
      <x:c r="L236" s="83" t="str">
        <x:v>Figura o mappa; lettura etichette / eventuale digitalizzazione</x:v>
      </x:c>
      <x:c r="M236" s="83" t="str">
        <x:v>Medio</x:v>
      </x:c>
      <x:c r="N236" s="83" t="str">
        <x:v>Da verificare in Fase 3</x:v>
      </x:c>
    </x:row>
    <x:row r="237">
      <x:c r="A237" s="83" t="str">
        <x:v>S02-FIG-3-16</x:v>
      </x:c>
      <x:c r="B237" s="83" t="str">
        <x:v>S02</x:v>
      </x:c>
      <x:c r="C237" s="83" t="str">
        <x:v>Piano di Sviluppo 2025 - Overview</x:v>
      </x:c>
      <x:c r="D237" s="83" t="str">
        <x:v>Figura</x:v>
      </x:c>
      <x:c r="E237" s="83" t="str">
        <x:v>3</x:v>
      </x:c>
      <x:c r="F237" s="83" t="n">
        <x:v>16</x:v>
      </x:c>
      <x:c r="G237" s="83" t="n">
        <x:v>14</x:v>
      </x:c>
      <x:c r="H237" s="83" t="str">
        <x:v>1. Contesto e scenari energetici</x:v>
      </x:c>
      <x:c r="I237" s="83" t="str">
        <x:v>Figura 3 Distribuzione geografica FER (Valori in GW)</x:v>
      </x:c>
      <x:c r="J237" s="83" t="str">
        <x:v>Capacità e generazione; Geografia e connessioni</x:v>
      </x:c>
      <x:c r="K237" s="83" t="str">
        <x:v>P2 - contesto/validazione</x:v>
      </x:c>
      <x:c r="L237" s="83" t="str">
        <x:v>Figura o mappa; lettura etichette / eventuale digitalizzazione</x:v>
      </x:c>
      <x:c r="M237" s="83" t="str">
        <x:v>Medio</x:v>
      </x:c>
      <x:c r="N237" s="83" t="str">
        <x:v>Da verificare in Fase 3</x:v>
      </x:c>
    </x:row>
    <x:row r="238">
      <x:c r="A238" s="83" t="str">
        <x:v>S02-FIG-4-17</x:v>
      </x:c>
      <x:c r="B238" s="83" t="str">
        <x:v>S02</x:v>
      </x:c>
      <x:c r="C238" s="83" t="str">
        <x:v>Piano di Sviluppo 2025 - Overview</x:v>
      </x:c>
      <x:c r="D238" s="83" t="str">
        <x:v>Figura</x:v>
      </x:c>
      <x:c r="E238" s="83" t="str">
        <x:v>4</x:v>
      </x:c>
      <x:c r="F238" s="83" t="n">
        <x:v>17</x:v>
      </x:c>
      <x:c r="G238" s="83" t="n">
        <x:v>15</x:v>
      </x:c>
      <x:c r="H238" s="83" t="str">
        <x:v>1. Contesto e scenari energetici</x:v>
      </x:c>
      <x:c r="I238" s="83" t="str">
        <x:v>Figura 4 Localizzazione accumuli (al netto dei pompaggi esistenti) [GWh]</x:v>
      </x:c>
      <x:c r="J238" s="83" t="str">
        <x:v>Accumuli e flessibilità</x:v>
      </x:c>
      <x:c r="K238" s="83" t="str">
        <x:v>P1 - input diretto/parametro</x:v>
      </x:c>
      <x:c r="L238" s="83" t="str">
        <x:v>Figura o mappa; lettura etichette / eventuale digitalizzazione</x:v>
      </x:c>
      <x:c r="M238" s="83" t="str">
        <x:v>Medio</x:v>
      </x:c>
      <x:c r="N238" s="83" t="str">
        <x:v>Da verificare in Fase 3</x:v>
      </x:c>
    </x:row>
    <x:row r="239">
      <x:c r="A239" s="83" t="str">
        <x:v>S02-FIG-5-18</x:v>
      </x:c>
      <x:c r="B239" s="83" t="str">
        <x:v>S02</x:v>
      </x:c>
      <x:c r="C239" s="83" t="str">
        <x:v>Piano di Sviluppo 2025 - Overview</x:v>
      </x:c>
      <x:c r="D239" s="83" t="str">
        <x:v>Figura</x:v>
      </x:c>
      <x:c r="E239" s="83" t="str">
        <x:v>5</x:v>
      </x:c>
      <x:c r="F239" s="83" t="n">
        <x:v>18</x:v>
      </x:c>
      <x:c r="G239" s="83" t="n">
        <x:v>16</x:v>
      </x:c>
      <x:c r="H239" s="83" t="str">
        <x:v>1. Contesto e scenari energetici</x:v>
      </x:c>
      <x:c r="I239" s="83" t="str">
        <x:v>Figura 5 Andamento prezzo storico del gas TTF (€/MWh)</x:v>
      </x:c>
      <x:c r="J239" s="83" t="str">
        <x:v>Mercato e prezzi</x:v>
      </x:c>
      <x:c r="K239" s="83" t="str">
        <x:v>P2 - contesto/validazione</x:v>
      </x:c>
      <x:c r="L239" s="83" t="str">
        <x:v>Figura o mappa; lettura etichette / eventuale digitalizzazione</x:v>
      </x:c>
      <x:c r="M239" s="83" t="str">
        <x:v>Medio</x:v>
      </x:c>
      <x:c r="N239" s="83" t="str">
        <x:v>Da verificare in Fase 3</x:v>
      </x:c>
    </x:row>
    <x:row r="240">
      <x:c r="A240" s="83" t="str">
        <x:v>S02-FIG-6-18</x:v>
      </x:c>
      <x:c r="B240" s="83" t="str">
        <x:v>S02</x:v>
      </x:c>
      <x:c r="C240" s="83" t="str">
        <x:v>Piano di Sviluppo 2025 - Overview</x:v>
      </x:c>
      <x:c r="D240" s="83" t="str">
        <x:v>Figura</x:v>
      </x:c>
      <x:c r="E240" s="83" t="str">
        <x:v>6</x:v>
      </x:c>
      <x:c r="F240" s="83" t="n">
        <x:v>18</x:v>
      </x:c>
      <x:c r="G240" s="83" t="n">
        <x:v>16</x:v>
      </x:c>
      <x:c r="H240" s="83" t="str">
        <x:v>1. Contesto e scenari energetici</x:v>
      </x:c>
      <x:c r="I240" s="83" t="str">
        <x:v>Figura 6 Andamento prezzo storico della CO2 (€/t)</x:v>
      </x:c>
      <x:c r="J240" s="83" t="str">
        <x:v>Mercato e prezzi; Emissioni e ambiente</x:v>
      </x:c>
      <x:c r="K240" s="83" t="str">
        <x:v>P1 - input diretto/parametro</x:v>
      </x:c>
      <x:c r="L240" s="83" t="str">
        <x:v>Figura o mappa; lettura etichette / eventuale digitalizzazione</x:v>
      </x:c>
      <x:c r="M240" s="83" t="str">
        <x:v>Medio</x:v>
      </x:c>
      <x:c r="N240" s="83" t="str">
        <x:v>Da verificare in Fase 3</x:v>
      </x:c>
    </x:row>
    <x:row r="241">
      <x:c r="A241" s="83" t="str">
        <x:v>S02-FIG-7-19</x:v>
      </x:c>
      <x:c r="B241" s="83" t="str">
        <x:v>S02</x:v>
      </x:c>
      <x:c r="C241" s="83" t="str">
        <x:v>Piano di Sviluppo 2025 - Overview</x:v>
      </x:c>
      <x:c r="D241" s="83" t="str">
        <x:v>Figura</x:v>
      </x:c>
      <x:c r="E241" s="83" t="str">
        <x:v>7</x:v>
      </x:c>
      <x:c r="F241" s="83" t="n">
        <x:v>19</x:v>
      </x:c>
      <x:c r="G241" s="83" t="n">
        <x:v>17</x:v>
      </x:c>
      <x:c r="H241" s="83" t="str">
        <x:v>1. Contesto e scenari energetici</x:v>
      </x:c>
      <x:c r="I241" s="83" t="str">
        <x:v>Figura 7 Andamento mensile del PUN (€/MWh)</x:v>
      </x:c>
      <x:c r="J241" s="83" t="str">
        <x:v>Mercato e prezzi</x:v>
      </x:c>
      <x:c r="K241" s="83" t="str">
        <x:v>P1 - input diretto/parametro</x:v>
      </x:c>
      <x:c r="L241" s="83" t="str">
        <x:v>Figura o mappa; lettura etichette / eventuale digitalizzazione</x:v>
      </x:c>
      <x:c r="M241" s="83" t="str">
        <x:v>Medio</x:v>
      </x:c>
      <x:c r="N241" s="83" t="str">
        <x:v>Da verificare in Fase 3</x:v>
      </x:c>
    </x:row>
    <x:row r="242">
      <x:c r="A242" s="83" t="str">
        <x:v>S02-FIG-8-19</x:v>
      </x:c>
      <x:c r="B242" s="83" t="str">
        <x:v>S02</x:v>
      </x:c>
      <x:c r="C242" s="83" t="str">
        <x:v>Piano di Sviluppo 2025 - Overview</x:v>
      </x:c>
      <x:c r="D242" s="83" t="str">
        <x:v>Figura</x:v>
      </x:c>
      <x:c r="E242" s="83" t="str">
        <x:v>8</x:v>
      </x:c>
      <x:c r="F242" s="83" t="n">
        <x:v>19</x:v>
      </x:c>
      <x:c r="G242" s="83" t="n">
        <x:v>17</x:v>
      </x:c>
      <x:c r="H242" s="83" t="str">
        <x:v>1. Contesto e scenari energetici</x:v>
      </x:c>
      <x:c r="I242" s="83" t="str">
        <x:v>Figura 8 Prezzo energia elettrica per consumatore tipo in maggior tutela (€/MWh)</x:v>
      </x:c>
      <x:c r="J242" s="83" t="str">
        <x:v>Mercato e prezzi</x:v>
      </x:c>
      <x:c r="K242" s="83" t="str">
        <x:v>P2 - contesto/validazione</x:v>
      </x:c>
      <x:c r="L242" s="83" t="str">
        <x:v>Figura o mappa; lettura etichette / eventuale digitalizzazione</x:v>
      </x:c>
      <x:c r="M242" s="83" t="str">
        <x:v>Medio</x:v>
      </x:c>
      <x:c r="N242" s="83" t="str">
        <x:v>Da verificare in Fase 3</x:v>
      </x:c>
    </x:row>
    <x:row r="243">
      <x:c r="A243" s="83" t="str">
        <x:v>S02-FIG-9-20</x:v>
      </x:c>
      <x:c r="B243" s="83" t="str">
        <x:v>S02</x:v>
      </x:c>
      <x:c r="C243" s="83" t="str">
        <x:v>Piano di Sviluppo 2025 - Overview</x:v>
      </x:c>
      <x:c r="D243" s="83" t="str">
        <x:v>Figura</x:v>
      </x:c>
      <x:c r="E243" s="83" t="str">
        <x:v>9</x:v>
      </x:c>
      <x:c r="F243" s="83" t="n">
        <x:v>20</x:v>
      </x:c>
      <x:c r="G243" s="83" t="n">
        <x:v>18</x:v>
      </x:c>
      <x:c r="H243" s="83" t="str">
        <x:v>1. Contesto e scenari energetici</x:v>
      </x:c>
      <x:c r="I243" s="83" t="str">
        <x:v>Figura 9 Importazioni di gas naturale (gasdotti e GNL) in Europa11, fonte Bloomberg</x:v>
      </x:c>
      <x:c r="J243" s="83" t="str">
        <x:v>Mercato e prezzi</x:v>
      </x:c>
      <x:c r="K243" s="83" t="str">
        <x:v>P2 - contesto/validazione</x:v>
      </x:c>
      <x:c r="L243" s="83" t="str">
        <x:v>Figura o mappa; lettura etichette / eventuale digitalizzazione</x:v>
      </x:c>
      <x:c r="M243" s="83" t="str">
        <x:v>Medio</x:v>
      </x:c>
      <x:c r="N243" s="83" t="str">
        <x:v>Da verificare in Fase 3</x:v>
      </x:c>
    </x:row>
    <x:row r="244">
      <x:c r="A244" s="83" t="str">
        <x:v>S02-FIG-10-21</x:v>
      </x:c>
      <x:c r="B244" s="83" t="str">
        <x:v>S02</x:v>
      </x:c>
      <x:c r="C244" s="83" t="str">
        <x:v>Piano di Sviluppo 2025 - Overview</x:v>
      </x:c>
      <x:c r="D244" s="83" t="str">
        <x:v>Figura</x:v>
      </x:c>
      <x:c r="E244" s="83" t="str">
        <x:v>10</x:v>
      </x:c>
      <x:c r="F244" s="83" t="n">
        <x:v>21</x:v>
      </x:c>
      <x:c r="G244" s="83" t="n">
        <x:v>19</x:v>
      </x:c>
      <x:c r="H244" s="83" t="str">
        <x:v>1. Contesto e scenari energetici</x:v>
      </x:c>
      <x:c r="I244" s="83" t="str">
        <x:v>Figura 10 Energia disponibile lorda in Italia per fonte, dati 2023 (Mtep15)</x:v>
      </x:c>
      <x:c r="J244" s="83" t="str">
        <x:v>Contesto / metodologia</x:v>
      </x:c>
      <x:c r="K244" s="83" t="str">
        <x:v>P2 - contesto/validazione</x:v>
      </x:c>
      <x:c r="L244" s="83" t="str">
        <x:v>Figura o mappa; lettura etichette / eventuale digitalizzazione</x:v>
      </x:c>
      <x:c r="M244" s="83" t="str">
        <x:v>Medio</x:v>
      </x:c>
      <x:c r="N244" s="83" t="str">
        <x:v>Da verificare in Fase 3</x:v>
      </x:c>
    </x:row>
    <x:row r="245">
      <x:c r="A245" s="83" t="str">
        <x:v>S02-FIG-11-21</x:v>
      </x:c>
      <x:c r="B245" s="83" t="str">
        <x:v>S02</x:v>
      </x:c>
      <x:c r="C245" s="83" t="str">
        <x:v>Piano di Sviluppo 2025 - Overview</x:v>
      </x:c>
      <x:c r="D245" s="83" t="str">
        <x:v>Figura</x:v>
      </x:c>
      <x:c r="E245" s="83" t="str">
        <x:v>11</x:v>
      </x:c>
      <x:c r="F245" s="83" t="n">
        <x:v>21</x:v>
      </x:c>
      <x:c r="G245" s="83" t="n">
        <x:v>19</x:v>
      </x:c>
      <x:c r="H245" s="83" t="str">
        <x:v>1. Contesto e scenari energetici</x:v>
      </x:c>
      <x:c r="I245" s="83" t="str">
        <x:v>Figura 11 Approvvigionamento elettrico per fonte in Italia (%)</x:v>
      </x:c>
      <x:c r="J245" s="83" t="str">
        <x:v>Contesto / metodologia</x:v>
      </x:c>
      <x:c r="K245" s="83" t="str">
        <x:v>P2 - contesto/validazione</x:v>
      </x:c>
      <x:c r="L245" s="83" t="str">
        <x:v>Figura o mappa; lettura etichette / eventuale digitalizzazione</x:v>
      </x:c>
      <x:c r="M245" s="83" t="str">
        <x:v>Medio</x:v>
      </x:c>
      <x:c r="N245" s="83" t="str">
        <x:v>Estratto e verificato — Fase 3C</x:v>
      </x:c>
    </x:row>
    <x:row r="246">
      <x:c r="A246" s="83" t="str">
        <x:v>S02-FIG-12-22</x:v>
      </x:c>
      <x:c r="B246" s="83" t="str">
        <x:v>S02</x:v>
      </x:c>
      <x:c r="C246" s="83" t="str">
        <x:v>Piano di Sviluppo 2025 - Overview</x:v>
      </x:c>
      <x:c r="D246" s="83" t="str">
        <x:v>Figura</x:v>
      </x:c>
      <x:c r="E246" s="83" t="str">
        <x:v>12</x:v>
      </x:c>
      <x:c r="F246" s="83" t="n">
        <x:v>22</x:v>
      </x:c>
      <x:c r="G246" s="83" t="n">
        <x:v>20</x:v>
      </x:c>
      <x:c r="H246" s="83" t="str">
        <x:v>1. Contesto e scenari energetici</x:v>
      </x:c>
      <x:c r="I246" s="83" t="str">
        <x:v>Figura 12 Principali impatti per eventi climatici estremi avvenuti negli ultimi 15 anni sulla RTN</x:v>
      </x:c>
      <x:c r="J246" s="83" t="str">
        <x:v>Trasmissione e interconnessioni</x:v>
      </x:c>
      <x:c r="K246" s="83" t="str">
        <x:v>P2 - contesto/validazione</x:v>
      </x:c>
      <x:c r="L246" s="83" t="str">
        <x:v>Figura o mappa; lettura etichette / eventuale digitalizzazione</x:v>
      </x:c>
      <x:c r="M246" s="83" t="str">
        <x:v>Medio</x:v>
      </x:c>
      <x:c r="N246" s="83" t="str">
        <x:v>Da verificare in Fase 3</x:v>
      </x:c>
    </x:row>
    <x:row r="247">
      <x:c r="A247" s="83" t="str">
        <x:v>S02-FIG-13-24</x:v>
      </x:c>
      <x:c r="B247" s="83" t="str">
        <x:v>S02</x:v>
      </x:c>
      <x:c r="C247" s="83" t="str">
        <x:v>Piano di Sviluppo 2025 - Overview</x:v>
      </x:c>
      <x:c r="D247" s="83" t="str">
        <x:v>Figura</x:v>
      </x:c>
      <x:c r="E247" s="83" t="str">
        <x:v>13</x:v>
      </x:c>
      <x:c r="F247" s="83" t="n">
        <x:v>24</x:v>
      </x:c>
      <x:c r="G247" s="83" t="n">
        <x:v>22</x:v>
      </x:c>
      <x:c r="H247" s="83" t="str">
        <x:v>2. Contesto di mercato e regolatorio</x:v>
      </x:c>
      <x:c r="I247" s="83" t="str">
        <x:v>Figura 13 Margine minimo di adeguatezza (GW) 2013-2023</x:v>
      </x:c>
      <x:c r="J247" s="83" t="str">
        <x:v>Adeguatezza e sicurezza</x:v>
      </x:c>
      <x:c r="K247" s="83" t="str">
        <x:v>P2 - contesto/validazione</x:v>
      </x:c>
      <x:c r="L247" s="83" t="str">
        <x:v>Figura o mappa; lettura etichette / eventuale digitalizzazione</x:v>
      </x:c>
      <x:c r="M247" s="83" t="str">
        <x:v>Medio</x:v>
      </x:c>
      <x:c r="N247" s="83" t="str">
        <x:v>Da verificare in Fase 3</x:v>
      </x:c>
    </x:row>
    <x:row r="248">
      <x:c r="A248" s="83" t="str">
        <x:v>S02-TAB-1-25</x:v>
      </x:c>
      <x:c r="B248" s="83" t="str">
        <x:v>S02</x:v>
      </x:c>
      <x:c r="C248" s="83" t="str">
        <x:v>Piano di Sviluppo 2025 - Overview</x:v>
      </x:c>
      <x:c r="D248" s="83" t="str">
        <x:v>Tabella</x:v>
      </x:c>
      <x:c r="E248" s="83" t="str">
        <x:v>1</x:v>
      </x:c>
      <x:c r="F248" s="83" t="n">
        <x:v>25</x:v>
      </x:c>
      <x:c r="G248" s="83" t="n">
        <x:v>23</x:v>
      </x:c>
      <x:c r="H248" s="83" t="str">
        <x:v>2. Contesto di mercato e regolatorio</x:v>
      </x:c>
      <x:c r="I248" s="83" t="str">
        <x:v>Tabella 1 Dismissioni della capacità a carbone sul Continente</x:v>
      </x:c>
      <x:c r="J248" s="83" t="str">
        <x:v>Contesto / metodologia</x:v>
      </x:c>
      <x:c r="K248" s="83" t="str">
        <x:v>P2 - contesto/validazione</x:v>
      </x:c>
      <x:c r="L248" s="83" t="str">
        <x:v>Tabella testuale/PDF</x:v>
      </x:c>
      <x:c r="M248" s="83" t="str">
        <x:v>Basso</x:v>
      </x:c>
      <x:c r="N248" s="83" t="str">
        <x:v>Da verificare in Fase 3</x:v>
      </x:c>
    </x:row>
    <x:row r="249">
      <x:c r="A249" s="83" t="str">
        <x:v>S02-FIG-14-28</x:v>
      </x:c>
      <x:c r="B249" s="83" t="str">
        <x:v>S02</x:v>
      </x:c>
      <x:c r="C249" s="83" t="str">
        <x:v>Piano di Sviluppo 2025 - Overview</x:v>
      </x:c>
      <x:c r="D249" s="83" t="str">
        <x:v>Figura</x:v>
      </x:c>
      <x:c r="E249" s="83" t="str">
        <x:v>14</x:v>
      </x:c>
      <x:c r="F249" s="83" t="n">
        <x:v>28</x:v>
      </x:c>
      <x:c r="G249" s="83" t="n">
        <x:v>26</x:v>
      </x:c>
      <x:c r="H249" s="83" t="str">
        <x:v>2. Contesto di mercato e regolatorio</x:v>
      </x:c>
      <x:c r="I249" s="83" t="str">
        <x:v>Figura 14 Fattori abilitanti per la transizione energetica</x:v>
      </x:c>
      <x:c r="J249" s="83" t="str">
        <x:v>Contesto / metodologia</x:v>
      </x:c>
      <x:c r="K249" s="83" t="str">
        <x:v>P2 - contesto/validazione</x:v>
      </x:c>
      <x:c r="L249" s="83" t="str">
        <x:v>Figura o mappa; lettura etichette / eventuale digitalizzazione</x:v>
      </x:c>
      <x:c r="M249" s="83" t="str">
        <x:v>Medio</x:v>
      </x:c>
      <x:c r="N249" s="83" t="str">
        <x:v>Da verificare in Fase 3</x:v>
      </x:c>
    </x:row>
    <x:row r="250">
      <x:c r="A250" s="83" t="str">
        <x:v>S02-FIG-15-31</x:v>
      </x:c>
      <x:c r="B250" s="83" t="str">
        <x:v>S02</x:v>
      </x:c>
      <x:c r="C250" s="83" t="str">
        <x:v>Piano di Sviluppo 2025 - Overview</x:v>
      </x:c>
      <x:c r="D250" s="83" t="str">
        <x:v>Figura</x:v>
      </x:c>
      <x:c r="E250" s="83" t="str">
        <x:v>15</x:v>
      </x:c>
      <x:c r="F250" s="83" t="n">
        <x:v>31</x:v>
      </x:c>
      <x:c r="G250" s="83" t="n">
        <x:v>29</x:v>
      </x:c>
      <x:c r="H250" s="83" t="str">
        <x:v>2. Contesto di mercato e regolatorio</x:v>
      </x:c>
      <x:c r="I250" s="83" t="str">
        <x:v>Figura 15 Capacità assegnata nelle aste (GW)</x:v>
      </x:c>
      <x:c r="J250" s="83" t="str">
        <x:v>Contesto / metodologia</x:v>
      </x:c>
      <x:c r="K250" s="83" t="str">
        <x:v>P2 - contesto/validazione</x:v>
      </x:c>
      <x:c r="L250" s="83" t="str">
        <x:v>Figura o mappa; lettura etichette / eventuale digitalizzazione</x:v>
      </x:c>
      <x:c r="M250" s="83" t="str">
        <x:v>Medio</x:v>
      </x:c>
      <x:c r="N250" s="83" t="str">
        <x:v>Da verificare in Fase 3</x:v>
      </x:c>
    </x:row>
    <x:row r="251">
      <x:c r="A251" s="83" t="str">
        <x:v>S02-FIG-16-34</x:v>
      </x:c>
      <x:c r="B251" s="83" t="str">
        <x:v>S02</x:v>
      </x:c>
      <x:c r="C251" s="83" t="str">
        <x:v>Piano di Sviluppo 2025 - Overview</x:v>
      </x:c>
      <x:c r="D251" s="83" t="str">
        <x:v>Figura</x:v>
      </x:c>
      <x:c r="E251" s="83" t="str">
        <x:v>16</x:v>
      </x:c>
      <x:c r="F251" s="83" t="n">
        <x:v>34</x:v>
      </x:c>
      <x:c r="G251" s="83" t="n">
        <x:v>32</x:v>
      </x:c>
      <x:c r="H251" s="83" t="str">
        <x:v>3. Strategia di sviluppo RTN</x:v>
      </x:c>
      <x:c r="I251" s="83" t="str">
        <x:v>Figura 16 Flexibility Needs negli scenari futuri</x:v>
      </x:c>
      <x:c r="J251" s="83" t="str">
        <x:v>Accumuli e flessibilità</x:v>
      </x:c>
      <x:c r="K251" s="83" t="str">
        <x:v>P2 - contesto/validazione</x:v>
      </x:c>
      <x:c r="L251" s="83" t="str">
        <x:v>Figura o mappa; lettura etichette / eventuale digitalizzazione</x:v>
      </x:c>
      <x:c r="M251" s="83" t="str">
        <x:v>Medio</x:v>
      </x:c>
      <x:c r="N251" s="83" t="str">
        <x:v>Da verificare in Fase 3</x:v>
      </x:c>
    </x:row>
    <x:row r="252">
      <x:c r="A252" s="83" t="str">
        <x:v>S02-FIG-17-40</x:v>
      </x:c>
      <x:c r="B252" s="83" t="str">
        <x:v>S02</x:v>
      </x:c>
      <x:c r="C252" s="83" t="str">
        <x:v>Piano di Sviluppo 2025 - Overview</x:v>
      </x:c>
      <x:c r="D252" s="83" t="str">
        <x:v>Figura</x:v>
      </x:c>
      <x:c r="E252" s="83" t="str">
        <x:v>17</x:v>
      </x:c>
      <x:c r="F252" s="83" t="n">
        <x:v>40</x:v>
      </x:c>
      <x:c r="G252" s="83" t="n">
        <x:v>38</x:v>
      </x:c>
      <x:c r="H252" s="83" t="str">
        <x:v>3. Strategia di sviluppo RTN</x:v>
      </x:c>
      <x:c r="I252" s="83" t="str">
        <x:v>Figura 17 Integrazione di nuova capacità rinnovabile e di accumulo</x:v>
      </x:c>
      <x:c r="J252" s="83" t="str">
        <x:v>Accumuli e flessibilità</x:v>
      </x:c>
      <x:c r="K252" s="83" t="str">
        <x:v>P2 - contesto/validazione</x:v>
      </x:c>
      <x:c r="L252" s="83" t="str">
        <x:v>Figura o mappa; lettura etichette / eventuale digitalizzazione</x:v>
      </x:c>
      <x:c r="M252" s="83" t="str">
        <x:v>Medio</x:v>
      </x:c>
      <x:c r="N252" s="83" t="str">
        <x:v>Da verificare in Fase 3</x:v>
      </x:c>
    </x:row>
    <x:row r="253">
      <x:c r="A253" s="83" t="str">
        <x:v>S02-FIG-18-40</x:v>
      </x:c>
      <x:c r="B253" s="83" t="str">
        <x:v>S02</x:v>
      </x:c>
      <x:c r="C253" s="83" t="str">
        <x:v>Piano di Sviluppo 2025 - Overview</x:v>
      </x:c>
      <x:c r="D253" s="83" t="str">
        <x:v>Figura</x:v>
      </x:c>
      <x:c r="E253" s="83" t="str">
        <x:v>18</x:v>
      </x:c>
      <x:c r="F253" s="83" t="n">
        <x:v>40</x:v>
      </x:c>
      <x:c r="G253" s="83" t="n">
        <x:v>38</x:v>
      </x:c>
      <x:c r="H253" s="83" t="str">
        <x:v>3. Strategia di sviluppo RTN</x:v>
      </x:c>
      <x:c r="I253" s="83" t="str">
        <x:v>Figura 18 Connessione di Cabine Primarie e Utenti di Consumo (richieste attive al 31 dicembre 2024)</x:v>
      </x:c>
      <x:c r="J253" s="83" t="str">
        <x:v>Contesto / metodologia</x:v>
      </x:c>
      <x:c r="K253" s="83" t="str">
        <x:v>P2 - contesto/validazione</x:v>
      </x:c>
      <x:c r="L253" s="83" t="str">
        <x:v>Figura o mappa; lettura etichette / eventuale digitalizzazione</x:v>
      </x:c>
      <x:c r="M253" s="83" t="str">
        <x:v>Medio</x:v>
      </x:c>
      <x:c r="N253" s="83" t="str">
        <x:v>Da verificare in Fase 3</x:v>
      </x:c>
    </x:row>
    <x:row r="254">
      <x:c r="A254" s="83" t="str">
        <x:v>S02-FIG-19-41</x:v>
      </x:c>
      <x:c r="B254" s="83" t="str">
        <x:v>S02</x:v>
      </x:c>
      <x:c r="C254" s="83" t="str">
        <x:v>Piano di Sviluppo 2025 - Overview</x:v>
      </x:c>
      <x:c r="D254" s="83" t="str">
        <x:v>Figura</x:v>
      </x:c>
      <x:c r="E254" s="83" t="str">
        <x:v>19</x:v>
      </x:c>
      <x:c r="F254" s="83" t="n">
        <x:v>41</x:v>
      </x:c>
      <x:c r="G254" s="83" t="n">
        <x:v>39</x:v>
      </x:c>
      <x:c r="H254" s="83" t="str">
        <x:v>3. Strategia di sviluppo RTN</x:v>
      </x:c>
      <x:c r="I254" s="83" t="str">
        <x:v>Figura 19 Principali interventi previsti nell’orizzonte decennale di Piano e post 2034</x:v>
      </x:c>
      <x:c r="J254" s="83" t="str">
        <x:v>Contesto / metodologia</x:v>
      </x:c>
      <x:c r="K254" s="83" t="str">
        <x:v>P2 - contesto/validazione</x:v>
      </x:c>
      <x:c r="L254" s="83" t="str">
        <x:v>Figura o mappa; lettura etichette / eventuale digitalizzazione</x:v>
      </x:c>
      <x:c r="M254" s="83" t="str">
        <x:v>Medio</x:v>
      </x:c>
      <x:c r="N254" s="83" t="str">
        <x:v>Da verificare in Fase 3</x:v>
      </x:c>
    </x:row>
    <x:row r="255">
      <x:c r="A255" s="83" t="str">
        <x:v>S02-TAB-2-44</x:v>
      </x:c>
      <x:c r="B255" s="83" t="str">
        <x:v>S02</x:v>
      </x:c>
      <x:c r="C255" s="83" t="str">
        <x:v>Piano di Sviluppo 2025 - Overview</x:v>
      </x:c>
      <x:c r="D255" s="83" t="str">
        <x:v>Tabella</x:v>
      </x:c>
      <x:c r="E255" s="83" t="str">
        <x:v>2</x:v>
      </x:c>
      <x:c r="F255" s="83" t="n">
        <x:v>44</x:v>
      </x:c>
      <x:c r="G255" s="83" t="n">
        <x:v>42</x:v>
      </x:c>
      <x:c r="H255" s="83" t="str">
        <x:v>3. Strategia di sviluppo RTN</x:v>
      </x:c>
      <x:c r="I255" s="83" t="str">
        <x:v>Tabella 2 Aree di intervento per la massimizzazione degli asset</x:v>
      </x:c>
      <x:c r="J255" s="83" t="str">
        <x:v>Contesto / metodologia</x:v>
      </x:c>
      <x:c r="K255" s="83" t="str">
        <x:v>P2 - contesto/validazione</x:v>
      </x:c>
      <x:c r="L255" s="83" t="str">
        <x:v>Tabella testuale/PDF</x:v>
      </x:c>
      <x:c r="M255" s="83" t="str">
        <x:v>Basso</x:v>
      </x:c>
      <x:c r="N255" s="83" t="str">
        <x:v>Da verificare in Fase 3</x:v>
      </x:c>
    </x:row>
    <x:row r="256">
      <x:c r="A256" s="83" t="str">
        <x:v>S02-FIG-20-46</x:v>
      </x:c>
      <x:c r="B256" s="83" t="str">
        <x:v>S02</x:v>
      </x:c>
      <x:c r="C256" s="83" t="str">
        <x:v>Piano di Sviluppo 2025 - Overview</x:v>
      </x:c>
      <x:c r="D256" s="83" t="str">
        <x:v>Figura</x:v>
      </x:c>
      <x:c r="E256" s="83" t="str">
        <x:v>20</x:v>
      </x:c>
      <x:c r="F256" s="83" t="n">
        <x:v>46</x:v>
      </x:c>
      <x:c r="G256" s="83" t="n">
        <x:v>44</x:v>
      </x:c>
      <x:c r="H256" s="83" t="str">
        <x:v>3. Strategia di sviluppo RTN</x:v>
      </x:c>
      <x:c r="I256" s="83" t="str">
        <x:v>Figura 20 Progetti di interconnessione pianificati da Terna e allo studio</x:v>
      </x:c>
      <x:c r="J256" s="83" t="str">
        <x:v>Trasmissione e interconnessioni</x:v>
      </x:c>
      <x:c r="K256" s="83" t="str">
        <x:v>P2 - contesto/validazione</x:v>
      </x:c>
      <x:c r="L256" s="83" t="str">
        <x:v>Figura o mappa; lettura etichette / eventuale digitalizzazione</x:v>
      </x:c>
      <x:c r="M256" s="83" t="str">
        <x:v>Medio</x:v>
      </x:c>
      <x:c r="N256" s="83" t="str">
        <x:v>Da verificare in Fase 3</x:v>
      </x:c>
    </x:row>
    <x:row r="257">
      <x:c r="A257" s="83" t="str">
        <x:v>S02-FIG-21-47</x:v>
      </x:c>
      <x:c r="B257" s="83" t="str">
        <x:v>S02</x:v>
      </x:c>
      <x:c r="C257" s="83" t="str">
        <x:v>Piano di Sviluppo 2025 - Overview</x:v>
      </x:c>
      <x:c r="D257" s="83" t="str">
        <x:v>Figura</x:v>
      </x:c>
      <x:c r="E257" s="83" t="str">
        <x:v>21</x:v>
      </x:c>
      <x:c r="F257" s="83" t="n">
        <x:v>47</x:v>
      </x:c>
      <x:c r="G257" s="83" t="n">
        <x:v>45</x:v>
      </x:c>
      <x:c r="H257" s="83" t="str">
        <x:v>3. Strategia di sviluppo RTN</x:v>
      </x:c>
      <x:c r="I257" s="83" t="str">
        <x:v>Figura 21 Progetti Merchant Lines e/o di altri promotori che alla data di avvio della consultazione pubblica</x:v>
      </x:c>
      <x:c r="J257" s="83" t="str">
        <x:v>Contesto / metodologia</x:v>
      </x:c>
      <x:c r="K257" s="83" t="str">
        <x:v>P2 - contesto/validazione</x:v>
      </x:c>
      <x:c r="L257" s="83" t="str">
        <x:v>Figura o mappa; lettura etichette / eventuale digitalizzazione</x:v>
      </x:c>
      <x:c r="M257" s="83" t="str">
        <x:v>Medio</x:v>
      </x:c>
      <x:c r="N257" s="83" t="str">
        <x:v>Da verificare in Fase 3</x:v>
      </x:c>
    </x:row>
    <x:row r="258">
      <x:c r="A258" s="83" t="str">
        <x:v>S02-TAB-3-47</x:v>
      </x:c>
      <x:c r="B258" s="83" t="str">
        <x:v>S02</x:v>
      </x:c>
      <x:c r="C258" s="83" t="str">
        <x:v>Piano di Sviluppo 2025 - Overview</x:v>
      </x:c>
      <x:c r="D258" s="83" t="str">
        <x:v>Tabella</x:v>
      </x:c>
      <x:c r="E258" s="83" t="str">
        <x:v>3</x:v>
      </x:c>
      <x:c r="F258" s="83" t="n">
        <x:v>47</x:v>
      </x:c>
      <x:c r="G258" s="83" t="n">
        <x:v>45</x:v>
      </x:c>
      <x:c r="H258" s="83" t="str">
        <x:v>3. Strategia di sviluppo RTN</x:v>
      </x:c>
      <x:c r="I258" s="83" t="str">
        <x:v>Tabella 3 Iniziative Merchant Line per le quali è disponibile una richiesta di connessione alla RTN in fase</x:v>
      </x:c>
      <x:c r="J258" s="83" t="str">
        <x:v>Trasmissione e interconnessioni</x:v>
      </x:c>
      <x:c r="K258" s="83" t="str">
        <x:v>P2 - contesto/validazione</x:v>
      </x:c>
      <x:c r="L258" s="83" t="str">
        <x:v>Tabella testuale/PDF</x:v>
      </x:c>
      <x:c r="M258" s="83" t="str">
        <x:v>Basso</x:v>
      </x:c>
      <x:c r="N258" s="83" t="str">
        <x:v>Da verificare in Fase 3</x:v>
      </x:c>
    </x:row>
    <x:row r="259">
      <x:c r="A259" s="83" t="str">
        <x:v>S02-TAB-4-48</x:v>
      </x:c>
      <x:c r="B259" s="83" t="str">
        <x:v>S02</x:v>
      </x:c>
      <x:c r="C259" s="83" t="str">
        <x:v>Piano di Sviluppo 2025 - Overview</x:v>
      </x:c>
      <x:c r="D259" s="83" t="str">
        <x:v>Tabella</x:v>
      </x:c>
      <x:c r="E259" s="83" t="str">
        <x:v>4</x:v>
      </x:c>
      <x:c r="F259" s="83" t="n">
        <x:v>48</x:v>
      </x:c>
      <x:c r="G259" s="83" t="n">
        <x:v>46</x:v>
      </x:c>
      <x:c r="H259" s="83" t="str">
        <x:v>4. Programmazione Territoriale Efficiente</x:v>
      </x:c>
      <x:c r="I259" s="83" t="str">
        <x:v>Tabella 4 KPI utilizzati per definire il collocamento di ciascuna iniziativa Merchant Line e/o di altri promotori</x:v>
      </x:c>
      <x:c r="J259" s="83" t="str">
        <x:v>Contesto / metodologia</x:v>
      </x:c>
      <x:c r="K259" s="83" t="str">
        <x:v>P2 - contesto/validazione</x:v>
      </x:c>
      <x:c r="L259" s="83" t="str">
        <x:v>Tabella testuale/PDF</x:v>
      </x:c>
      <x:c r="M259" s="83" t="str">
        <x:v>Basso</x:v>
      </x:c>
      <x:c r="N259" s="83" t="str">
        <x:v>Da verificare in Fase 3</x:v>
      </x:c>
    </x:row>
    <x:row r="260">
      <x:c r="A260" s="83" t="str">
        <x:v>S02-FIG-22-48</x:v>
      </x:c>
      <x:c r="B260" s="83" t="str">
        <x:v>S02</x:v>
      </x:c>
      <x:c r="C260" s="83" t="str">
        <x:v>Piano di Sviluppo 2025 - Overview</x:v>
      </x:c>
      <x:c r="D260" s="83" t="str">
        <x:v>Figura</x:v>
      </x:c>
      <x:c r="E260" s="83" t="str">
        <x:v>22</x:v>
      </x:c>
      <x:c r="F260" s="83" t="n">
        <x:v>48</x:v>
      </x:c>
      <x:c r="G260" s="83" t="n">
        <x:v>46</x:v>
      </x:c>
      <x:c r="H260" s="83" t="str">
        <x:v>4. Programmazione Territoriale Efficiente</x:v>
      </x:c>
      <x:c r="I260" s="83" t="str">
        <x:v>Figura 22 Analisi delle iniziative Merchant Lines e/o di altri promotori</x:v>
      </x:c>
      <x:c r="J260" s="83" t="str">
        <x:v>Contesto / metodologia</x:v>
      </x:c>
      <x:c r="K260" s="83" t="str">
        <x:v>P2 - contesto/validazione</x:v>
      </x:c>
      <x:c r="L260" s="83" t="str">
        <x:v>Figura o mappa; lettura etichette / eventuale digitalizzazione</x:v>
      </x:c>
      <x:c r="M260" s="83" t="str">
        <x:v>Medio</x:v>
      </x:c>
      <x:c r="N260" s="83" t="str">
        <x:v>Da verificare in Fase 3</x:v>
      </x:c>
    </x:row>
    <x:row r="261">
      <x:c r="A261" s="83" t="str">
        <x:v>S06-FIG-14-52</x:v>
      </x:c>
      <x:c r="B261" s="83" t="str">
        <x:v>S06</x:v>
      </x:c>
      <x:c r="C261" s="83" t="str">
        <x:v>Pianificazione della rete elettrica</x:v>
      </x:c>
      <x:c r="D261" s="83" t="str">
        <x:v>Figura</x:v>
      </x:c>
      <x:c r="E261" s="83" t="str">
        <x:v>14</x:v>
      </x:c>
      <x:c r="F261" s="83" t="n">
        <x:v>52</x:v>
      </x:c>
      <x:c r="G261" s="83" t="n">
        <x:v>50</x:v>
      </x:c>
      <x:c r="H261" s="83" t="str">
        <x:v>5. Interoperabilità e reti infrastrutturali</x:v>
      </x:c>
      <x:c r="I261" s="83" t="str">
        <x:v>Figura 14 come le batterie a ioni di litio siano quelle con rendimenti superiori, intorno all’80-90%.</x:v>
      </x:c>
      <x:c r="J261" s="83" t="str">
        <x:v>Accumuli e flessibilità</x:v>
      </x:c>
      <x:c r="K261" s="83" t="str">
        <x:v>P1 - input diretto/parametro</x:v>
      </x:c>
      <x:c r="L261" s="83" t="str">
        <x:v>Figura o mappa; lettura etichette / eventuale digitalizzazione</x:v>
      </x:c>
      <x:c r="M261" s="83" t="str">
        <x:v>Medio</x:v>
      </x:c>
      <x:c r="N261" s="83" t="str">
        <x:v>Da verificare in Fase 3</x:v>
      </x:c>
    </x:row>
    <x:row r="262">
      <x:c r="A262" s="83" t="str">
        <x:v>S06-FIG-15-53</x:v>
      </x:c>
      <x:c r="B262" s="83" t="str">
        <x:v>S06</x:v>
      </x:c>
      <x:c r="C262" s="83" t="str">
        <x:v>Pianificazione della rete elettrica</x:v>
      </x:c>
      <x:c r="D262" s="83" t="str">
        <x:v>Figura</x:v>
      </x:c>
      <x:c r="E262" s="83" t="str">
        <x:v>15</x:v>
      </x:c>
      <x:c r="F262" s="83" t="n">
        <x:v>53</x:v>
      </x:c>
      <x:c r="G262" s="83" t="n">
        <x:v>51</x:v>
      </x:c>
      <x:c r="H262" s="83" t="str">
        <x:v>5. Interoperabilità e reti infrastrutturali</x:v>
      </x:c>
      <x:c r="I262" s="83" t="str">
        <x:v>Figura 15 Configurazione sistema di Cold Ironing</x:v>
      </x:c>
      <x:c r="J262" s="83" t="str">
        <x:v>Domanda e consumi</x:v>
      </x:c>
      <x:c r="K262" s="83" t="str">
        <x:v>P2 - contesto/validazione</x:v>
      </x:c>
      <x:c r="L262" s="83" t="str">
        <x:v>Figura o mappa; lettura etichette / eventuale digitalizzazione</x:v>
      </x:c>
      <x:c r="M262" s="83" t="str">
        <x:v>Medio</x:v>
      </x:c>
      <x:c r="N262" s="83" t="str">
        <x:v>Da verificare in Fase 3</x:v>
      </x:c>
    </x:row>
    <x:row r="263">
      <x:c r="A263" s="83" t="str">
        <x:v>S04-TAB-1-4</x:v>
      </x:c>
      <x:c r="B263" s="83" t="str">
        <x:v>S04</x:v>
      </x:c>
      <x:c r="C263" s="83" t="str">
        <x:v>Programmazione territoriale efficiente e interventi di connessione</x:v>
      </x:c>
      <x:c r="D263" s="83" t="str">
        <x:v>Tabella</x:v>
      </x:c>
      <x:c r="E263" s="83" t="str">
        <x:v>1</x:v>
      </x:c>
      <x:c r="F263" s="83" t="n">
        <x:v>4</x:v>
      </x:c>
      <x:c r="G263" s="83" t="n">
        <x:v>2</x:v>
      </x:c>
      <x:c r="H263" s="83" t="str">
        <x:v>Front matter</x:v>
      </x:c>
      <x:c r="I263" s="83" t="str">
        <x:v>Tabella 1 Sintesi delle richieste di connessione alla rete elettrica</x:v>
      </x:c>
      <x:c r="J263" s="83" t="str">
        <x:v>Geografia e connessioni</x:v>
      </x:c>
      <x:c r="K263" s="83" t="str">
        <x:v>P2 - contesto/validazione</x:v>
      </x:c>
      <x:c r="L263" s="83" t="str">
        <x:v>Tabella testuale/PDF</x:v>
      </x:c>
      <x:c r="M263" s="83" t="str">
        <x:v>Basso</x:v>
      </x:c>
      <x:c r="N263" s="83" t="str">
        <x:v>Da verificare in Fase 3</x:v>
      </x:c>
    </x:row>
    <x:row r="264">
      <x:c r="A264" s="83" t="str">
        <x:v>S04-FIG-1-5</x:v>
      </x:c>
      <x:c r="B264" s="83" t="str">
        <x:v>S04</x:v>
      </x:c>
      <x:c r="C264" s="83" t="str">
        <x:v>Programmazione territoriale efficiente e interventi di connessione</x:v>
      </x:c>
      <x:c r="D264" s="83" t="str">
        <x:v>Figura</x:v>
      </x:c>
      <x:c r="E264" s="83" t="str">
        <x:v>1</x:v>
      </x:c>
      <x:c r="F264" s="83" t="n">
        <x:v>5</x:v>
      </x:c>
      <x:c r="G264" s="83" t="n">
        <x:v>3</x:v>
      </x:c>
      <x:c r="H264" s="83" t="str">
        <x:v>Front matter</x:v>
      </x:c>
      <x:c r="I264" s="83" t="str">
        <x:v>Figura 1 Richieste di connessione su rete AAT/AT per impianti rinnovabili (solare, eolico on-shore,</x:v>
      </x:c>
      <x:c r="J264" s="83" t="str">
        <x:v>Capacità e generazione; Geografia e connessioni</x:v>
      </x:c>
      <x:c r="K264" s="83" t="str">
        <x:v>P2 - contesto/validazione</x:v>
      </x:c>
      <x:c r="L264" s="83" t="str">
        <x:v>Figura o mappa; lettura etichette / eventuale digitalizzazione</x:v>
      </x:c>
      <x:c r="M264" s="83" t="str">
        <x:v>Medio</x:v>
      </x:c>
      <x:c r="N264" s="83" t="str">
        <x:v>Da verificare in Fase 3</x:v>
      </x:c>
    </x:row>
    <x:row r="265">
      <x:c r="A265" s="83" t="str">
        <x:v>S04-FIG-2-5</x:v>
      </x:c>
      <x:c r="B265" s="83" t="str">
        <x:v>S04</x:v>
      </x:c>
      <x:c r="C265" s="83" t="str">
        <x:v>Programmazione territoriale efficiente e interventi di connessione</x:v>
      </x:c>
      <x:c r="D265" s="83" t="str">
        <x:v>Figura</x:v>
      </x:c>
      <x:c r="E265" s="83" t="str">
        <x:v>2</x:v>
      </x:c>
      <x:c r="F265" s="83" t="n">
        <x:v>5</x:v>
      </x:c>
      <x:c r="G265" s="83" t="n">
        <x:v>3</x:v>
      </x:c>
      <x:c r="H265" s="83" t="str">
        <x:v>Front matter</x:v>
      </x:c>
      <x:c r="I265" s="83" t="str">
        <x:v>Figura 2 Capacità di stoccaggio relativa alla totalità delle richieste di connessione su rete AAT/AT</x:v>
      </x:c>
      <x:c r="J265" s="83" t="str">
        <x:v>Geografia e connessioni</x:v>
      </x:c>
      <x:c r="K265" s="83" t="str">
        <x:v>P2 - contesto/validazione</x:v>
      </x:c>
      <x:c r="L265" s="83" t="str">
        <x:v>Figura o mappa; lettura etichette / eventuale digitalizzazione</x:v>
      </x:c>
      <x:c r="M265" s="83" t="str">
        <x:v>Medio</x:v>
      </x:c>
      <x:c r="N265" s="83" t="str">
        <x:v>Da verificare in Fase 3</x:v>
      </x:c>
    </x:row>
    <x:row r="266">
      <x:c r="A266" s="83" t="str">
        <x:v>S04-FIG-3-13</x:v>
      </x:c>
      <x:c r="B266" s="83" t="str">
        <x:v>S04</x:v>
      </x:c>
      <x:c r="C266" s="83" t="str">
        <x:v>Programmazione territoriale efficiente e interventi di connessione</x:v>
      </x:c>
      <x:c r="D266" s="83" t="str">
        <x:v>Figura</x:v>
      </x:c>
      <x:c r="E266" s="83" t="str">
        <x:v>3</x:v>
      </x:c>
      <x:c r="F266" s="83" t="n">
        <x:v>13</x:v>
      </x:c>
      <x:c r="G266" s="83" t="n">
        <x:v>11</x:v>
      </x:c>
      <x:c r="H266" s="83" t="str">
        <x:v>1. Richieste di connessione</x:v>
      </x:c>
      <x:c r="I266" s="83" t="str">
        <x:v>Figura 3 Richieste di connessione FER attive a Dicembre 2024, suddivise per Zona di Mercato [GW]</x:v>
      </x:c>
      <x:c r="J266" s="83" t="str">
        <x:v>Capacità e generazione; Mercato e prezzi; Geografia e connessioni</x:v>
      </x:c>
      <x:c r="K266" s="83" t="str">
        <x:v>P2 - contesto/validazione</x:v>
      </x:c>
      <x:c r="L266" s="83" t="str">
        <x:v>Figura o mappa; lettura etichette / eventuale digitalizzazione</x:v>
      </x:c>
      <x:c r="M266" s="83" t="str">
        <x:v>Medio</x:v>
      </x:c>
      <x:c r="N266" s="83" t="str">
        <x:v>Da verificare in Fase 3</x:v>
      </x:c>
    </x:row>
    <x:row r="267">
      <x:c r="A267" s="83" t="str">
        <x:v>S04-FIG-4-14</x:v>
      </x:c>
      <x:c r="B267" s="83" t="str">
        <x:v>S04</x:v>
      </x:c>
      <x:c r="C267" s="83" t="str">
        <x:v>Programmazione territoriale efficiente e interventi di connessione</x:v>
      </x:c>
      <x:c r="D267" s="83" t="str">
        <x:v>Figura</x:v>
      </x:c>
      <x:c r="E267" s="83" t="str">
        <x:v>4</x:v>
      </x:c>
      <x:c r="F267" s="83" t="n">
        <x:v>14</x:v>
      </x:c>
      <x:c r="G267" s="83" t="n">
        <x:v>12</x:v>
      </x:c>
      <x:c r="H267" s="83" t="str">
        <x:v>1. Richieste di connessione</x:v>
      </x:c>
      <x:c r="I267" s="83" t="str">
        <x:v>Figura 4 Trend storico dell’ammontare delle richieste di connessione FER attive alla RTN [GW]</x:v>
      </x:c>
      <x:c r="J267" s="83" t="str">
        <x:v>Capacità e generazione; Trasmissione e interconnessioni; Geografia e connessioni</x:v>
      </x:c>
      <x:c r="K267" s="83" t="str">
        <x:v>P2 - contesto/validazione</x:v>
      </x:c>
      <x:c r="L267" s="83" t="str">
        <x:v>Figura o mappa; lettura etichette / eventuale digitalizzazione</x:v>
      </x:c>
      <x:c r="M267" s="83" t="str">
        <x:v>Medio</x:v>
      </x:c>
      <x:c r="N267" s="83" t="str">
        <x:v>Da verificare in Fase 3</x:v>
      </x:c>
    </x:row>
    <x:row r="268">
      <x:c r="A268" s="83" t="str">
        <x:v>S04-TAB-2-15</x:v>
      </x:c>
      <x:c r="B268" s="83" t="str">
        <x:v>S04</x:v>
      </x:c>
      <x:c r="C268" s="83" t="str">
        <x:v>Programmazione territoriale efficiente e interventi di connessione</x:v>
      </x:c>
      <x:c r="D268" s="83" t="str">
        <x:v>Tabella</x:v>
      </x:c>
      <x:c r="E268" s="83" t="str">
        <x:v>2</x:v>
      </x:c>
      <x:c r="F268" s="83" t="n">
        <x:v>15</x:v>
      </x:c>
      <x:c r="G268" s="83" t="n">
        <x:v>13</x:v>
      </x:c>
      <x:c r="H268" s="83" t="str">
        <x:v>1. Richieste di connessione</x:v>
      </x:c>
      <x:c r="I268" s="83" t="str">
        <x:v>Tabella 2 Distribuzione delle richieste di connessione FER suddivise per stato di avanzamento dell’iter</x:v>
      </x:c>
      <x:c r="J268" s="83" t="str">
        <x:v>Capacità e generazione; Geografia e connessioni</x:v>
      </x:c>
      <x:c r="K268" s="83" t="str">
        <x:v>P2 - contesto/validazione</x:v>
      </x:c>
      <x:c r="L268" s="83" t="str">
        <x:v>Tabella testuale/PDF</x:v>
      </x:c>
      <x:c r="M268" s="83" t="str">
        <x:v>Basso</x:v>
      </x:c>
      <x:c r="N268" s="83" t="str">
        <x:v>Da verificare in Fase 3</x:v>
      </x:c>
    </x:row>
    <x:row r="269">
      <x:c r="A269" s="83" t="str">
        <x:v>S04-TAB-3-16</x:v>
      </x:c>
      <x:c r="B269" s="83" t="str">
        <x:v>S04</x:v>
      </x:c>
      <x:c r="C269" s="83" t="str">
        <x:v>Programmazione territoriale efficiente e interventi di connessione</x:v>
      </x:c>
      <x:c r="D269" s="83" t="str">
        <x:v>Tabella</x:v>
      </x:c>
      <x:c r="E269" s="83" t="str">
        <x:v>3</x:v>
      </x:c>
      <x:c r="F269" s="83" t="n">
        <x:v>16</x:v>
      </x:c>
      <x:c r="G269" s="83" t="n">
        <x:v>14</x:v>
      </x:c>
      <x:c r="H269" s="83" t="str">
        <x:v>1. Richieste di connessione</x:v>
      </x:c>
      <x:c r="I269" s="83" t="str">
        <x:v>Tabella 3 Distribuzione delle richieste di connessione FER suddivise per ZdM</x:v>
      </x:c>
      <x:c r="J269" s="83" t="str">
        <x:v>Capacità e generazione; Geografia e connessioni</x:v>
      </x:c>
      <x:c r="K269" s="83" t="str">
        <x:v>P2 - contesto/validazione</x:v>
      </x:c>
      <x:c r="L269" s="83" t="str">
        <x:v>Tabella testuale/PDF</x:v>
      </x:c>
      <x:c r="M269" s="83" t="str">
        <x:v>Basso</x:v>
      </x:c>
      <x:c r="N269" s="83" t="str">
        <x:v>Da verificare in Fase 3</x:v>
      </x:c>
    </x:row>
    <x:row r="270">
      <x:c r="A270" s="83" t="str">
        <x:v>S04-FIG-5-16</x:v>
      </x:c>
      <x:c r="B270" s="83" t="str">
        <x:v>S04</x:v>
      </x:c>
      <x:c r="C270" s="83" t="str">
        <x:v>Programmazione territoriale efficiente e interventi di connessione</x:v>
      </x:c>
      <x:c r="D270" s="83" t="str">
        <x:v>Figura</x:v>
      </x:c>
      <x:c r="E270" s="83" t="str">
        <x:v>5</x:v>
      </x:c>
      <x:c r="F270" s="83" t="n">
        <x:v>16</x:v>
      </x:c>
      <x:c r="G270" s="83" t="n">
        <x:v>14</x:v>
      </x:c>
      <x:c r="H270" s="83" t="str">
        <x:v>1. Richieste di connessione</x:v>
      </x:c>
      <x:c r="I270" s="83" t="str">
        <x:v>Figura 5 Richieste di connessione FER attive a Dicembre 2024, suddivise per Regione</x:v>
      </x:c>
      <x:c r="J270" s="83" t="str">
        <x:v>Capacità e generazione; Geografia e connessioni</x:v>
      </x:c>
      <x:c r="K270" s="83" t="str">
        <x:v>P2 - contesto/validazione</x:v>
      </x:c>
      <x:c r="L270" s="83" t="str">
        <x:v>Figura o mappa; lettura etichette / eventuale digitalizzazione</x:v>
      </x:c>
      <x:c r="M270" s="83" t="str">
        <x:v>Medio</x:v>
      </x:c>
      <x:c r="N270" s="83" t="str">
        <x:v>Da verificare in Fase 3</x:v>
      </x:c>
    </x:row>
    <x:row r="271">
      <x:c r="A271" s="83" t="str">
        <x:v>S04-FIG-6-17</x:v>
      </x:c>
      <x:c r="B271" s="83" t="str">
        <x:v>S04</x:v>
      </x:c>
      <x:c r="C271" s="83" t="str">
        <x:v>Programmazione territoriale efficiente e interventi di connessione</x:v>
      </x:c>
      <x:c r="D271" s="83" t="str">
        <x:v>Figura</x:v>
      </x:c>
      <x:c r="E271" s="83" t="str">
        <x:v>6</x:v>
      </x:c>
      <x:c r="F271" s="83" t="n">
        <x:v>17</x:v>
      </x:c>
      <x:c r="G271" s="83" t="n">
        <x:v>15</x:v>
      </x:c>
      <x:c r="H271" s="83" t="str">
        <x:v>1. Richieste di connessione</x:v>
      </x:c>
      <x:c r="I271" s="83" t="str">
        <x:v>Figura 6 Richieste di connessione per impianti eolici off-shore a partire da dicembre 2020</x:v>
      </x:c>
      <x:c r="J271" s="83" t="str">
        <x:v>Capacità e generazione; Geografia e connessioni</x:v>
      </x:c>
      <x:c r="K271" s="83" t="str">
        <x:v>P2 - contesto/validazione</x:v>
      </x:c>
      <x:c r="L271" s="83" t="str">
        <x:v>Figura o mappa; lettura etichette / eventuale digitalizzazione</x:v>
      </x:c>
      <x:c r="M271" s="83" t="str">
        <x:v>Medio</x:v>
      </x:c>
      <x:c r="N271" s="83" t="str">
        <x:v>Da verificare in Fase 3</x:v>
      </x:c>
    </x:row>
    <x:row r="272">
      <x:c r="A272" s="83" t="str">
        <x:v>S04-TAB-4-18</x:v>
      </x:c>
      <x:c r="B272" s="83" t="str">
        <x:v>S04</x:v>
      </x:c>
      <x:c r="C272" s="83" t="str">
        <x:v>Programmazione territoriale efficiente e interventi di connessione</x:v>
      </x:c>
      <x:c r="D272" s="83" t="str">
        <x:v>Tabella</x:v>
      </x:c>
      <x:c r="E272" s="83" t="str">
        <x:v>4</x:v>
      </x:c>
      <x:c r="F272" s="83" t="n">
        <x:v>18</x:v>
      </x:c>
      <x:c r="G272" s="83" t="n">
        <x:v>16</x:v>
      </x:c>
      <x:c r="H272" s="83" t="str">
        <x:v>1. Richieste di connessione</x:v>
      </x:c>
      <x:c r="I272" s="83" t="str">
        <x:v>Tabella 4 Distribuzione delle richieste di connessione eolico off-shore suddivise per ZdM</x:v>
      </x:c>
      <x:c r="J272" s="83" t="str">
        <x:v>Capacità e generazione; Geografia e connessioni</x:v>
      </x:c>
      <x:c r="K272" s="83" t="str">
        <x:v>P2 - contesto/validazione</x:v>
      </x:c>
      <x:c r="L272" s="83" t="str">
        <x:v>Tabella testuale/PDF</x:v>
      </x:c>
      <x:c r="M272" s="83" t="str">
        <x:v>Basso</x:v>
      </x:c>
      <x:c r="N272" s="83" t="str">
        <x:v>Da verificare in Fase 3</x:v>
      </x:c>
    </x:row>
    <x:row r="273">
      <x:c r="A273" s="83" t="str">
        <x:v>S04-FIG-7-19</x:v>
      </x:c>
      <x:c r="B273" s="83" t="str">
        <x:v>S04</x:v>
      </x:c>
      <x:c r="C273" s="83" t="str">
        <x:v>Programmazione territoriale efficiente e interventi di connessione</x:v>
      </x:c>
      <x:c r="D273" s="83" t="str">
        <x:v>Figura</x:v>
      </x:c>
      <x:c r="E273" s="83" t="str">
        <x:v>7</x:v>
      </x:c>
      <x:c r="F273" s="83" t="n">
        <x:v>19</x:v>
      </x:c>
      <x:c r="G273" s="83" t="n">
        <x:v>17</x:v>
      </x:c>
      <x:c r="H273" s="83" t="str">
        <x:v>1. Richieste di connessione</x:v>
      </x:c>
      <x:c r="I273" s="83" t="str">
        <x:v>Figura 7 Distribuzione delle iniziative di impianti eolici off-shore al 31 dicembre 2024 (GW)</x:v>
      </x:c>
      <x:c r="J273" s="83" t="str">
        <x:v>Capacità e generazione</x:v>
      </x:c>
      <x:c r="K273" s="83" t="str">
        <x:v>P2 - contesto/validazione</x:v>
      </x:c>
      <x:c r="L273" s="83" t="str">
        <x:v>Figura o mappa; lettura etichette / eventuale digitalizzazione</x:v>
      </x:c>
      <x:c r="M273" s="83" t="str">
        <x:v>Medio</x:v>
      </x:c>
      <x:c r="N273" s="83" t="str">
        <x:v>Da verificare in Fase 3</x:v>
      </x:c>
    </x:row>
    <x:row r="274">
      <x:c r="A274" s="83" t="str">
        <x:v>S04-FIG-8-19</x:v>
      </x:c>
      <x:c r="B274" s="83" t="str">
        <x:v>S04</x:v>
      </x:c>
      <x:c r="C274" s="83" t="str">
        <x:v>Programmazione territoriale efficiente e interventi di connessione</x:v>
      </x:c>
      <x:c r="D274" s="83" t="str">
        <x:v>Figura</x:v>
      </x:c>
      <x:c r="E274" s="83" t="str">
        <x:v>8</x:v>
      </x:c>
      <x:c r="F274" s="83" t="n">
        <x:v>19</x:v>
      </x:c>
      <x:c r="G274" s="83" t="n">
        <x:v>17</x:v>
      </x:c>
      <x:c r="H274" s="83" t="str">
        <x:v>1. Richieste di connessione</x:v>
      </x:c>
      <x:c r="I274" s="83" t="str">
        <x:v>Figura 8 Stato e distribuzione regionale delle iniziative di impianti eolici off-shore al 31 Dicembre 2024</x:v>
      </x:c>
      <x:c r="J274" s="83" t="str">
        <x:v>Capacità e generazione</x:v>
      </x:c>
      <x:c r="K274" s="83" t="str">
        <x:v>P2 - contesto/validazione</x:v>
      </x:c>
      <x:c r="L274" s="83" t="str">
        <x:v>Figura o mappa; lettura etichette / eventuale digitalizzazione</x:v>
      </x:c>
      <x:c r="M274" s="83" t="str">
        <x:v>Medio</x:v>
      </x:c>
      <x:c r="N274" s="83" t="str">
        <x:v>Da verificare in Fase 3</x:v>
      </x:c>
    </x:row>
    <x:row r="275">
      <x:c r="A275" s="83" t="str">
        <x:v>S04-FIG-9-20</x:v>
      </x:c>
      <x:c r="B275" s="83" t="str">
        <x:v>S04</x:v>
      </x:c>
      <x:c r="C275" s="83" t="str">
        <x:v>Programmazione territoriale efficiente e interventi di connessione</x:v>
      </x:c>
      <x:c r="D275" s="83" t="str">
        <x:v>Figura</x:v>
      </x:c>
      <x:c r="E275" s="83" t="str">
        <x:v>9</x:v>
      </x:c>
      <x:c r="F275" s="83" t="n">
        <x:v>20</x:v>
      </x:c>
      <x:c r="G275" s="83" t="n">
        <x:v>18</x:v>
      </x:c>
      <x:c r="H275" s="83" t="str">
        <x:v>1. Richieste di connessione</x:v>
      </x:c>
      <x:c r="I275" s="83" t="str">
        <x:v>Figura 9 Clusterizzazione delle richieste di connessione per gli impianti eolici off-shore in funzione della</x:v>
      </x:c>
      <x:c r="J275" s="83" t="str">
        <x:v>Capacità e generazione; Geografia e connessioni</x:v>
      </x:c>
      <x:c r="K275" s="83" t="str">
        <x:v>P2 - contesto/validazione</x:v>
      </x:c>
      <x:c r="L275" s="83" t="str">
        <x:v>Figura o mappa; lettura etichette / eventuale digitalizzazione</x:v>
      </x:c>
      <x:c r="M275" s="83" t="str">
        <x:v>Medio</x:v>
      </x:c>
      <x:c r="N275" s="83" t="str">
        <x:v>Da verificare in Fase 3</x:v>
      </x:c>
    </x:row>
    <x:row r="276">
      <x:c r="A276" s="83" t="str">
        <x:v>S04-FIG-10-20</x:v>
      </x:c>
      <x:c r="B276" s="83" t="str">
        <x:v>S04</x:v>
      </x:c>
      <x:c r="C276" s="83" t="str">
        <x:v>Programmazione territoriale efficiente e interventi di connessione</x:v>
      </x:c>
      <x:c r="D276" s="83" t="str">
        <x:v>Figura</x:v>
      </x:c>
      <x:c r="E276" s="83" t="str">
        <x:v>10</x:v>
      </x:c>
      <x:c r="F276" s="83" t="n">
        <x:v>20</x:v>
      </x:c>
      <x:c r="G276" s="83" t="n">
        <x:v>18</x:v>
      </x:c>
      <x:c r="H276" s="83" t="str">
        <x:v>1. Richieste di connessione</x:v>
      </x:c>
      <x:c r="I276" s="83" t="str">
        <x:v>Figura 10 Distribuzione delle richieste secondo la taglia delle iniziative, la distanza dalla costa e la</x:v>
      </x:c>
      <x:c r="J276" s="83" t="str">
        <x:v>Contesto / metodologia</x:v>
      </x:c>
      <x:c r="K276" s="83" t="str">
        <x:v>P2 - contesto/validazione</x:v>
      </x:c>
      <x:c r="L276" s="83" t="str">
        <x:v>Figura o mappa; lettura etichette / eventuale digitalizzazione</x:v>
      </x:c>
      <x:c r="M276" s="83" t="str">
        <x:v>Medio</x:v>
      </x:c>
      <x:c r="N276" s="83" t="str">
        <x:v>Da verificare in Fase 3</x:v>
      </x:c>
    </x:row>
    <x:row r="277">
      <x:c r="A277" s="83" t="str">
        <x:v>S04-FIG-11-21</x:v>
      </x:c>
      <x:c r="B277" s="83" t="str">
        <x:v>S04</x:v>
      </x:c>
      <x:c r="C277" s="83" t="str">
        <x:v>Programmazione territoriale efficiente e interventi di connessione</x:v>
      </x:c>
      <x:c r="D277" s="83" t="str">
        <x:v>Figura</x:v>
      </x:c>
      <x:c r="E277" s="83" t="str">
        <x:v>11</x:v>
      </x:c>
      <x:c r="F277" s="83" t="n">
        <x:v>21</x:v>
      </x:c>
      <x:c r="G277" s="83" t="n">
        <x:v>19</x:v>
      </x:c>
      <x:c r="H277" s="83" t="str">
        <x:v>1. Richieste di connessione</x:v>
      </x:c>
      <x:c r="I277" s="83" t="str">
        <x:v>Figura 11 Evidenze delle survey tecnologiche condotte</x:v>
      </x:c>
      <x:c r="J277" s="83" t="str">
        <x:v>Contesto / metodologia</x:v>
      </x:c>
      <x:c r="K277" s="83" t="str">
        <x:v>P2 - contesto/validazione</x:v>
      </x:c>
      <x:c r="L277" s="83" t="str">
        <x:v>Figura o mappa; lettura etichette / eventuale digitalizzazione</x:v>
      </x:c>
      <x:c r="M277" s="83" t="str">
        <x:v>Medio</x:v>
      </x:c>
      <x:c r="N277" s="83" t="str">
        <x:v>Estratto e verificato — Fase 3C</x:v>
      </x:c>
    </x:row>
    <x:row r="278">
      <x:c r="A278" s="83" t="str">
        <x:v>S04-FIG-12-22</x:v>
      </x:c>
      <x:c r="B278" s="83" t="str">
        <x:v>S04</x:v>
      </x:c>
      <x:c r="C278" s="83" t="str">
        <x:v>Programmazione territoriale efficiente e interventi di connessione</x:v>
      </x:c>
      <x:c r="D278" s="83" t="str">
        <x:v>Figura</x:v>
      </x:c>
      <x:c r="E278" s="83" t="str">
        <x:v>12</x:v>
      </x:c>
      <x:c r="F278" s="83" t="n">
        <x:v>22</x:v>
      </x:c>
      <x:c r="G278" s="83" t="n">
        <x:v>20</x:v>
      </x:c>
      <x:c r="H278" s="83" t="str">
        <x:v>1. Richieste di connessione</x:v>
      </x:c>
      <x:c r="I278" s="83" t="str">
        <x:v>Figura 12 Schemi generali di connessione ipotizzabili: a) Schema di connessione con collegamento</x:v>
      </x:c>
      <x:c r="J278" s="83" t="str">
        <x:v>Contesto / metodologia</x:v>
      </x:c>
      <x:c r="K278" s="83" t="str">
        <x:v>P2 - contesto/validazione</x:v>
      </x:c>
      <x:c r="L278" s="83" t="str">
        <x:v>Figura o mappa; lettura etichette / eventuale digitalizzazione</x:v>
      </x:c>
      <x:c r="M278" s="83" t="str">
        <x:v>Medio</x:v>
      </x:c>
      <x:c r="N278" s="83" t="str">
        <x:v>Da verificare in Fase 3</x:v>
      </x:c>
    </x:row>
    <x:row r="279">
      <x:c r="A279" s="83" t="str">
        <x:v>S04-FIG-13-24</x:v>
      </x:c>
      <x:c r="B279" s="83" t="str">
        <x:v>S04</x:v>
      </x:c>
      <x:c r="C279" s="83" t="str">
        <x:v>Programmazione territoriale efficiente e interventi di connessione</x:v>
      </x:c>
      <x:c r="D279" s="83" t="str">
        <x:v>Figura</x:v>
      </x:c>
      <x:c r="E279" s="83" t="str">
        <x:v>13</x:v>
      </x:c>
      <x:c r="F279" s="83" t="n">
        <x:v>24</x:v>
      </x:c>
      <x:c r="G279" s="83" t="n">
        <x:v>22</x:v>
      </x:c>
      <x:c r="H279" s="83" t="str">
        <x:v>1. Richieste di connessione</x:v>
      </x:c>
      <x:c r="I279" s="83" t="str">
        <x:v>Figura 13 Distribuzione regionale delle richieste di connessione MT/BT di impianti fotovoltaici ed eolici al</x:v>
      </x:c>
      <x:c r="J279" s="83" t="str">
        <x:v>Capacità e generazione; Geografia e connessioni</x:v>
      </x:c>
      <x:c r="K279" s="83" t="str">
        <x:v>P2 - contesto/validazione</x:v>
      </x:c>
      <x:c r="L279" s="83" t="str">
        <x:v>Figura o mappa; lettura etichette / eventuale digitalizzazione</x:v>
      </x:c>
      <x:c r="M279" s="83" t="str">
        <x:v>Medio</x:v>
      </x:c>
      <x:c r="N279" s="83" t="str">
        <x:v>Da verificare in Fase 3</x:v>
      </x:c>
    </x:row>
    <x:row r="280">
      <x:c r="A280" s="83" t="str">
        <x:v>S04-FIG-14-25</x:v>
      </x:c>
      <x:c r="B280" s="83" t="str">
        <x:v>S04</x:v>
      </x:c>
      <x:c r="C280" s="83" t="str">
        <x:v>Programmazione territoriale efficiente e interventi di connessione</x:v>
      </x:c>
      <x:c r="D280" s="83" t="str">
        <x:v>Figura</x:v>
      </x:c>
      <x:c r="E280" s="83" t="str">
        <x:v>14</x:v>
      </x:c>
      <x:c r="F280" s="83" t="n">
        <x:v>25</x:v>
      </x:c>
      <x:c r="G280" s="83" t="n">
        <x:v>23</x:v>
      </x:c>
      <x:c r="H280" s="83" t="str">
        <x:v>1. Richieste di connessione</x:v>
      </x:c>
      <x:c r="I280" s="83" t="str">
        <x:v>Figura 14 Stato delle richieste di connessione MT/BT al 30.11.2024; l’elaborazione è sui dati forniti dalle</x:v>
      </x:c>
      <x:c r="J280" s="83" t="str">
        <x:v>Geografia e connessioni</x:v>
      </x:c>
      <x:c r="K280" s="83" t="str">
        <x:v>P2 - contesto/validazione</x:v>
      </x:c>
      <x:c r="L280" s="83" t="str">
        <x:v>Figura o mappa; lettura etichette / eventuale digitalizzazione</x:v>
      </x:c>
      <x:c r="M280" s="83" t="str">
        <x:v>Medio</x:v>
      </x:c>
      <x:c r="N280" s="83" t="str">
        <x:v>Da verificare in Fase 3</x:v>
      </x:c>
    </x:row>
    <x:row r="281">
      <x:c r="A281" s="83" t="str">
        <x:v>S04-FIG-15-26</x:v>
      </x:c>
      <x:c r="B281" s="83" t="str">
        <x:v>S04</x:v>
      </x:c>
      <x:c r="C281" s="83" t="str">
        <x:v>Programmazione territoriale efficiente e interventi di connessione</x:v>
      </x:c>
      <x:c r="D281" s="83" t="str">
        <x:v>Figura</x:v>
      </x:c>
      <x:c r="E281" s="83" t="str">
        <x:v>15</x:v>
      </x:c>
      <x:c r="F281" s="83" t="n">
        <x:v>26</x:v>
      </x:c>
      <x:c r="G281" s="83" t="n">
        <x:v>24</x:v>
      </x:c>
      <x:c r="H281" s="83" t="str">
        <x:v>1. Richieste di connessione</x:v>
      </x:c>
      <x:c r="I281" s="83" t="str">
        <x:v>Figura 15 Confronto tra l’incremento della capacità FER da installare al 2030 per traguardare gli obiettivi</x:v>
      </x:c>
      <x:c r="J281" s="83" t="str">
        <x:v>Capacità e generazione; Scenario e metodologia</x:v>
      </x:c>
      <x:c r="K281" s="83" t="str">
        <x:v>P2 - contesto/validazione</x:v>
      </x:c>
      <x:c r="L281" s="83" t="str">
        <x:v>Figura o mappa; lettura etichette / eventuale digitalizzazione</x:v>
      </x:c>
      <x:c r="M281" s="83" t="str">
        <x:v>Medio</x:v>
      </x:c>
      <x:c r="N281" s="83" t="str">
        <x:v>Da verificare in Fase 3</x:v>
      </x:c>
    </x:row>
    <x:row r="282">
      <x:c r="A282" s="83" t="str">
        <x:v>S04-FIG-16-27</x:v>
      </x:c>
      <x:c r="B282" s="83" t="str">
        <x:v>S04</x:v>
      </x:c>
      <x:c r="C282" s="83" t="str">
        <x:v>Programmazione territoriale efficiente e interventi di connessione</x:v>
      </x:c>
      <x:c r="D282" s="83" t="str">
        <x:v>Figura</x:v>
      </x:c>
      <x:c r="E282" s="83" t="str">
        <x:v>16</x:v>
      </x:c>
      <x:c r="F282" s="83" t="n">
        <x:v>27</x:v>
      </x:c>
      <x:c r="G282" s="83" t="n">
        <x:v>25</x:v>
      </x:c>
      <x:c r="H282" s="83" t="str">
        <x:v>1. Richieste di connessione</x:v>
      </x:c>
      <x:c r="I282" s="83" t="str">
        <x:v>Figura 16 Potenza installata al 2024 sulla RTN e su rete di competenza dei distributori locali e obiettivo di</x:v>
      </x:c>
      <x:c r="J282" s="83" t="str">
        <x:v>Capacità e generazione; Trasmissione e interconnessioni</x:v>
      </x:c>
      <x:c r="K282" s="83" t="str">
        <x:v>P1 - input diretto/parametro</x:v>
      </x:c>
      <x:c r="L282" s="83" t="str">
        <x:v>Figura o mappa; lettura etichette / eventuale digitalizzazione</x:v>
      </x:c>
      <x:c r="M282" s="83" t="str">
        <x:v>Medio</x:v>
      </x:c>
      <x:c r="N282" s="83" t="str">
        <x:v>Da verificare in Fase 3</x:v>
      </x:c>
    </x:row>
    <x:row r="283">
      <x:c r="A283" s="83" t="str">
        <x:v>S04-TAB-5-28</x:v>
      </x:c>
      <x:c r="B283" s="83" t="str">
        <x:v>S04</x:v>
      </x:c>
      <x:c r="C283" s="83" t="str">
        <x:v>Programmazione territoriale efficiente e interventi di connessione</x:v>
      </x:c>
      <x:c r="D283" s="83" t="str">
        <x:v>Tabella</x:v>
      </x:c>
      <x:c r="E283" s="83" t="str">
        <x:v>5</x:v>
      </x:c>
      <x:c r="F283" s="83" t="n">
        <x:v>28</x:v>
      </x:c>
      <x:c r="G283" s="83" t="n">
        <x:v>26</x:v>
      </x:c>
      <x:c r="H283" s="83" t="str">
        <x:v>1. Richieste di connessione</x:v>
      </x:c>
      <x:c r="I283" s="83" t="str">
        <x:v>Tabella 5 Distribuzione delle richieste di connessione suddivise per stato di avanzamento dell’iter di</x:v>
      </x:c>
      <x:c r="J283" s="83" t="str">
        <x:v>Geografia e connessioni</x:v>
      </x:c>
      <x:c r="K283" s="83" t="str">
        <x:v>P2 - contesto/validazione</x:v>
      </x:c>
      <x:c r="L283" s="83" t="str">
        <x:v>Tabella testuale/PDF</x:v>
      </x:c>
      <x:c r="M283" s="83" t="str">
        <x:v>Basso</x:v>
      </x:c>
      <x:c r="N283" s="83" t="str">
        <x:v>Da verificare in Fase 3</x:v>
      </x:c>
    </x:row>
    <x:row r="284">
      <x:c r="A284" s="83" t="str">
        <x:v>S04-FIG-17-29</x:v>
      </x:c>
      <x:c r="B284" s="83" t="str">
        <x:v>S04</x:v>
      </x:c>
      <x:c r="C284" s="83" t="str">
        <x:v>Programmazione territoriale efficiente e interventi di connessione</x:v>
      </x:c>
      <x:c r="D284" s="83" t="str">
        <x:v>Figura</x:v>
      </x:c>
      <x:c r="E284" s="83" t="str">
        <x:v>17</x:v>
      </x:c>
      <x:c r="F284" s="83" t="n">
        <x:v>29</x:v>
      </x:c>
      <x:c r="G284" s="83" t="n">
        <x:v>27</x:v>
      </x:c>
      <x:c r="H284" s="83" t="str">
        <x:v>1. Richieste di connessione</x:v>
      </x:c>
      <x:c r="I284" s="83" t="str">
        <x:v>Figura 17:</x:v>
      </x:c>
      <x:c r="J284" s="83" t="str">
        <x:v>Contesto / metodologia</x:v>
      </x:c>
      <x:c r="K284" s="83" t="str">
        <x:v>P2 - contesto/validazione</x:v>
      </x:c>
      <x:c r="L284" s="83" t="str">
        <x:v>Figura o mappa; lettura etichette / eventuale digitalizzazione</x:v>
      </x:c>
      <x:c r="M284" s="83" t="str">
        <x:v>Medio</x:v>
      </x:c>
      <x:c r="N284" s="83" t="str">
        <x:v>Da verificare in Fase 3</x:v>
      </x:c>
    </x:row>
    <x:row r="285">
      <x:c r="A285" s="83" t="str">
        <x:v>S04-TAB-6-29</x:v>
      </x:c>
      <x:c r="B285" s="83" t="str">
        <x:v>S04</x:v>
      </x:c>
      <x:c r="C285" s="83" t="str">
        <x:v>Programmazione territoriale efficiente e interventi di connessione</x:v>
      </x:c>
      <x:c r="D285" s="83" t="str">
        <x:v>Tabella</x:v>
      </x:c>
      <x:c r="E285" s="83" t="str">
        <x:v>6</x:v>
      </x:c>
      <x:c r="F285" s="83" t="n">
        <x:v>29</x:v>
      </x:c>
      <x:c r="G285" s="83" t="n">
        <x:v>27</x:v>
      </x:c>
      <x:c r="H285" s="83" t="str">
        <x:v>1. Richieste di connessione</x:v>
      </x:c>
      <x:c r="I285" s="83" t="str">
        <x:v>Tabella 6 Distribuzione geografica delle richieste di connessione suddivise per zona di mercato (GW)</x:v>
      </x:c>
      <x:c r="J285" s="83" t="str">
        <x:v>Mercato e prezzi; Geografia e connessioni</x:v>
      </x:c>
      <x:c r="K285" s="83" t="str">
        <x:v>P2 - contesto/validazione</x:v>
      </x:c>
      <x:c r="L285" s="83" t="str">
        <x:v>Tabella testuale/PDF</x:v>
      </x:c>
      <x:c r="M285" s="83" t="str">
        <x:v>Basso</x:v>
      </x:c>
      <x:c r="N285" s="83" t="str">
        <x:v>Da verificare in Fase 3</x:v>
      </x:c>
    </x:row>
    <x:row r="286">
      <x:c r="A286" s="83" t="str">
        <x:v>S04-FIG-17-29</x:v>
      </x:c>
      <x:c r="B286" s="83" t="str">
        <x:v>S04</x:v>
      </x:c>
      <x:c r="C286" s="83" t="str">
        <x:v>Programmazione territoriale efficiente e interventi di connessione</x:v>
      </x:c>
      <x:c r="D286" s="83" t="str">
        <x:v>Figura</x:v>
      </x:c>
      <x:c r="E286" s="83" t="str">
        <x:v>17</x:v>
      </x:c>
      <x:c r="F286" s="83" t="n">
        <x:v>29</x:v>
      </x:c>
      <x:c r="G286" s="83" t="n">
        <x:v>27</x:v>
      </x:c>
      <x:c r="H286" s="83" t="str">
        <x:v>1. Richieste di connessione</x:v>
      </x:c>
      <x:c r="I286" s="83" t="str">
        <x:v>Figura 17 Distribuzione zonale delle richieste di connessione di accumuli. La potenza è espressa in GW</x:v>
      </x:c>
      <x:c r="J286" s="83" t="str">
        <x:v>Accumuli e flessibilità; Geografia e connessioni</x:v>
      </x:c>
      <x:c r="K286" s="83" t="str">
        <x:v>P1 - input diretto/parametro</x:v>
      </x:c>
      <x:c r="L286" s="83" t="str">
        <x:v>Figura o mappa; lettura etichette / eventuale digitalizzazione</x:v>
      </x:c>
      <x:c r="M286" s="83" t="str">
        <x:v>Medio</x:v>
      </x:c>
      <x:c r="N286" s="83" t="str">
        <x:v>Da verificare in Fase 3</x:v>
      </x:c>
    </x:row>
    <x:row r="287">
      <x:c r="A287" s="83" t="str">
        <x:v>S04-FIG-18-30</x:v>
      </x:c>
      <x:c r="B287" s="83" t="str">
        <x:v>S04</x:v>
      </x:c>
      <x:c r="C287" s="83" t="str">
        <x:v>Programmazione territoriale efficiente e interventi di connessione</x:v>
      </x:c>
      <x:c r="D287" s="83" t="str">
        <x:v>Figura</x:v>
      </x:c>
      <x:c r="E287" s="83" t="str">
        <x:v>18</x:v>
      </x:c>
      <x:c r="F287" s="83" t="n">
        <x:v>30</x:v>
      </x:c>
      <x:c r="G287" s="83" t="n">
        <x:v>28</x:v>
      </x:c>
      <x:c r="H287" s="83" t="str">
        <x:v>1. Richieste di connessione</x:v>
      </x:c>
      <x:c r="I287" s="83" t="str">
        <x:v>Figura 18 Trend storico delle richieste di connessione di storage stand-alone in termini di potenza</x:v>
      </x:c>
      <x:c r="J287" s="83" t="str">
        <x:v>Accumuli e flessibilità; Geografia e connessioni</x:v>
      </x:c>
      <x:c r="K287" s="83" t="str">
        <x:v>P2 - contesto/validazione</x:v>
      </x:c>
      <x:c r="L287" s="83" t="str">
        <x:v>Figura o mappa; lettura etichette / eventuale digitalizzazione</x:v>
      </x:c>
      <x:c r="M287" s="83" t="str">
        <x:v>Medio</x:v>
      </x:c>
      <x:c r="N287" s="83" t="str">
        <x:v>Da verificare in Fase 3</x:v>
      </x:c>
    </x:row>
    <x:row r="288">
      <x:c r="A288" s="83" t="str">
        <x:v>S04-TAB-7-30</x:v>
      </x:c>
      <x:c r="B288" s="83" t="str">
        <x:v>S04</x:v>
      </x:c>
      <x:c r="C288" s="83" t="str">
        <x:v>Programmazione territoriale efficiente e interventi di connessione</x:v>
      </x:c>
      <x:c r="D288" s="83" t="str">
        <x:v>Tabella</x:v>
      </x:c>
      <x:c r="E288" s="83" t="str">
        <x:v>7</x:v>
      </x:c>
      <x:c r="F288" s="83" t="n">
        <x:v>30</x:v>
      </x:c>
      <x:c r="G288" s="83" t="n">
        <x:v>28</x:v>
      </x:c>
      <x:c r="H288" s="83" t="str">
        <x:v>1. Richieste di connessione</x:v>
      </x:c>
      <x:c r="I288" s="83" t="str">
        <x:v>Tabella 7 Distribuzione delle richieste di connessione di impianti di pompaggio suddivise per stato di</x:v>
      </x:c>
      <x:c r="J288" s="83" t="str">
        <x:v>Accumuli e flessibilità; Geografia e connessioni</x:v>
      </x:c>
      <x:c r="K288" s="83" t="str">
        <x:v>P1 - input diretto/parametro</x:v>
      </x:c>
      <x:c r="L288" s="83" t="str">
        <x:v>Tabella testuale/PDF</x:v>
      </x:c>
      <x:c r="M288" s="83" t="str">
        <x:v>Basso</x:v>
      </x:c>
      <x:c r="N288" s="83" t="str">
        <x:v>Da verificare in Fase 3</x:v>
      </x:c>
    </x:row>
    <x:row r="289">
      <x:c r="A289" s="83" t="str">
        <x:v>S04-TAB-8-30</x:v>
      </x:c>
      <x:c r="B289" s="83" t="str">
        <x:v>S04</x:v>
      </x:c>
      <x:c r="C289" s="83" t="str">
        <x:v>Programmazione territoriale efficiente e interventi di connessione</x:v>
      </x:c>
      <x:c r="D289" s="83" t="str">
        <x:v>Tabella</x:v>
      </x:c>
      <x:c r="E289" s="83" t="str">
        <x:v>8</x:v>
      </x:c>
      <x:c r="F289" s="83" t="n">
        <x:v>30</x:v>
      </x:c>
      <x:c r="G289" s="83" t="n">
        <x:v>28</x:v>
      </x:c>
      <x:c r="H289" s="83" t="str">
        <x:v>1. Richieste di connessione</x:v>
      </x:c>
      <x:c r="I289" s="83" t="str">
        <x:v>Tabella 8 Distribuzione geografica delle richieste di connessione di impianti di pompaggio suddivise per</x:v>
      </x:c>
      <x:c r="J289" s="83" t="str">
        <x:v>Accumuli e flessibilità; Geografia e connessioni</x:v>
      </x:c>
      <x:c r="K289" s="83" t="str">
        <x:v>P1 - input diretto/parametro</x:v>
      </x:c>
      <x:c r="L289" s="83" t="str">
        <x:v>Tabella testuale/PDF</x:v>
      </x:c>
      <x:c r="M289" s="83" t="str">
        <x:v>Basso</x:v>
      </x:c>
      <x:c r="N289" s="83" t="str">
        <x:v>Da verificare in Fase 3</x:v>
      </x:c>
    </x:row>
    <x:row r="290">
      <x:c r="A290" s="83" t="str">
        <x:v>S04-FIG-19-31</x:v>
      </x:c>
      <x:c r="B290" s="83" t="str">
        <x:v>S04</x:v>
      </x:c>
      <x:c r="C290" s="83" t="str">
        <x:v>Programmazione territoriale efficiente e interventi di connessione</x:v>
      </x:c>
      <x:c r="D290" s="83" t="str">
        <x:v>Figura</x:v>
      </x:c>
      <x:c r="E290" s="83" t="str">
        <x:v>19</x:v>
      </x:c>
      <x:c r="F290" s="83" t="n">
        <x:v>31</x:v>
      </x:c>
      <x:c r="G290" s="83" t="n">
        <x:v>29</x:v>
      </x:c>
      <x:c r="H290" s="83" t="str">
        <x:v>1. Richieste di connessione</x:v>
      </x:c>
      <x:c r="I290" s="83" t="str">
        <x:v>Figura 19 Distribuzione per Zona di Mercato delle richieste di connessione relative a impianti di pompaggio</x:v>
      </x:c>
      <x:c r="J290" s="83" t="str">
        <x:v>Accumuli e flessibilità; Mercato e prezzi; Geografia e connessioni</x:v>
      </x:c>
      <x:c r="K290" s="83" t="str">
        <x:v>P1 - input diretto/parametro</x:v>
      </x:c>
      <x:c r="L290" s="83" t="str">
        <x:v>Figura o mappa; lettura etichette / eventuale digitalizzazione</x:v>
      </x:c>
      <x:c r="M290" s="83" t="str">
        <x:v>Medio</x:v>
      </x:c>
      <x:c r="N290" s="83" t="str">
        <x:v>Da verificare in Fase 3</x:v>
      </x:c>
    </x:row>
    <x:row r="291">
      <x:c r="A291" s="83" t="str">
        <x:v>S04-FIG-20-31</x:v>
      </x:c>
      <x:c r="B291" s="83" t="str">
        <x:v>S04</x:v>
      </x:c>
      <x:c r="C291" s="83" t="str">
        <x:v>Programmazione territoriale efficiente e interventi di connessione</x:v>
      </x:c>
      <x:c r="D291" s="83" t="str">
        <x:v>Figura</x:v>
      </x:c>
      <x:c r="E291" s="83" t="str">
        <x:v>20</x:v>
      </x:c>
      <x:c r="F291" s="83" t="n">
        <x:v>31</x:v>
      </x:c>
      <x:c r="G291" s="83" t="n">
        <x:v>29</x:v>
      </x:c>
      <x:c r="H291" s="83" t="str">
        <x:v>1. Richieste di connessione</x:v>
      </x:c>
      <x:c r="I291" s="83" t="str">
        <x:v>Figura 20 Trend delle richieste di connessione di pompaggi in termini di potenza</x:v>
      </x:c>
      <x:c r="J291" s="83" t="str">
        <x:v>Accumuli e flessibilità; Geografia e connessioni</x:v>
      </x:c>
      <x:c r="K291" s="83" t="str">
        <x:v>P1 - input diretto/parametro</x:v>
      </x:c>
      <x:c r="L291" s="83" t="str">
        <x:v>Figura o mappa; lettura etichette / eventuale digitalizzazione</x:v>
      </x:c>
      <x:c r="M291" s="83" t="str">
        <x:v>Medio</x:v>
      </x:c>
      <x:c r="N291" s="83" t="str">
        <x:v>Da verificare in Fase 3</x:v>
      </x:c>
    </x:row>
    <x:row r="292">
      <x:c r="A292" s="83" t="str">
        <x:v>S04-FIG-21-32</x:v>
      </x:c>
      <x:c r="B292" s="83" t="str">
        <x:v>S04</x:v>
      </x:c>
      <x:c r="C292" s="83" t="str">
        <x:v>Programmazione territoriale efficiente e interventi di connessione</x:v>
      </x:c>
      <x:c r="D292" s="83" t="str">
        <x:v>Figura</x:v>
      </x:c>
      <x:c r="E292" s="83" t="str">
        <x:v>21</x:v>
      </x:c>
      <x:c r="F292" s="83" t="n">
        <x:v>32</x:v>
      </x:c>
      <x:c r="G292" s="83" t="n">
        <x:v>30</x:v>
      </x:c>
      <x:c r="H292" s="83" t="str">
        <x:v>1. Richieste di connessione</x:v>
      </x:c>
      <x:c r="I292" s="83" t="str">
        <x:v>Figura 21 Capacità energetica degli accumuli per</x:v>
      </x:c>
      <x:c r="J292" s="83" t="str">
        <x:v>Accumuli e flessibilità</x:v>
      </x:c>
      <x:c r="K292" s="83" t="str">
        <x:v>P1 - input diretto/parametro</x:v>
      </x:c>
      <x:c r="L292" s="83" t="str">
        <x:v>Figura o mappa; lettura etichette / eventuale digitalizzazione</x:v>
      </x:c>
      <x:c r="M292" s="83" t="str">
        <x:v>Medio</x:v>
      </x:c>
      <x:c r="N292" s="83" t="str">
        <x:v>Da verificare in Fase 3</x:v>
      </x:c>
    </x:row>
    <x:row r="293">
      <x:c r="A293" s="83" t="str">
        <x:v>S04-FIG-22-34</x:v>
      </x:c>
      <x:c r="B293" s="83" t="str">
        <x:v>S04</x:v>
      </x:c>
      <x:c r="C293" s="83" t="str">
        <x:v>Programmazione territoriale efficiente e interventi di connessione</x:v>
      </x:c>
      <x:c r="D293" s="83" t="str">
        <x:v>Figura</x:v>
      </x:c>
      <x:c r="E293" s="83" t="str">
        <x:v>22</x:v>
      </x:c>
      <x:c r="F293" s="83" t="n">
        <x:v>34</x:v>
      </x:c>
      <x:c r="G293" s="83" t="n">
        <x:v>32</x:v>
      </x:c>
      <x:c r="H293" s="83" t="str">
        <x:v>1. Richieste di connessione</x:v>
      </x:c>
      <x:c r="I293" s="83" t="str">
        <x:v>Figura 22 Capacità energetica accumuli utility scale al 2030</x:v>
      </x:c>
      <x:c r="J293" s="83" t="str">
        <x:v>Accumuli e flessibilità</x:v>
      </x:c>
      <x:c r="K293" s="83" t="str">
        <x:v>P1 - input diretto/parametro</x:v>
      </x:c>
      <x:c r="L293" s="83" t="str">
        <x:v>Figura o mappa; lettura etichette / eventuale digitalizzazione</x:v>
      </x:c>
      <x:c r="M293" s="83" t="str">
        <x:v>Medio</x:v>
      </x:c>
      <x:c r="N293" s="83" t="str">
        <x:v>Da verificare in Fase 3</x:v>
      </x:c>
    </x:row>
    <x:row r="294">
      <x:c r="A294" s="83" t="str">
        <x:v>S04-FIG-23-35</x:v>
      </x:c>
      <x:c r="B294" s="83" t="str">
        <x:v>S04</x:v>
      </x:c>
      <x:c r="C294" s="83" t="str">
        <x:v>Programmazione territoriale efficiente e interventi di connessione</x:v>
      </x:c>
      <x:c r="D294" s="83" t="str">
        <x:v>Figura</x:v>
      </x:c>
      <x:c r="E294" s="83" t="str">
        <x:v>23</x:v>
      </x:c>
      <x:c r="F294" s="83" t="n">
        <x:v>35</x:v>
      </x:c>
      <x:c r="G294" s="83" t="n">
        <x:v>33</x:v>
      </x:c>
      <x:c r="H294" s="83" t="str">
        <x:v>1. Richieste di connessione</x:v>
      </x:c>
      <x:c r="I294" s="83" t="str">
        <x:v>Figura 23 Trend storico dell’ammontare delle richieste di connessione attive alla RTN per utenti in prelievo [GW]</x:v>
      </x:c>
      <x:c r="J294" s="83" t="str">
        <x:v>Trasmissione e interconnessioni; Geografia e connessioni</x:v>
      </x:c>
      <x:c r="K294" s="83" t="str">
        <x:v>P2 - contesto/validazione</x:v>
      </x:c>
      <x:c r="L294" s="83" t="str">
        <x:v>Figura o mappa; lettura etichette / eventuale digitalizzazione</x:v>
      </x:c>
      <x:c r="M294" s="83" t="str">
        <x:v>Medio</x:v>
      </x:c>
      <x:c r="N294" s="83" t="str">
        <x:v>Da verificare in Fase 3</x:v>
      </x:c>
    </x:row>
    <x:row r="295">
      <x:c r="A295" s="83" t="str">
        <x:v>S04-FIG-24-36</x:v>
      </x:c>
      <x:c r="B295" s="83" t="str">
        <x:v>S04</x:v>
      </x:c>
      <x:c r="C295" s="83" t="str">
        <x:v>Programmazione territoriale efficiente e interventi di connessione</x:v>
      </x:c>
      <x:c r="D295" s="83" t="str">
        <x:v>Figura</x:v>
      </x:c>
      <x:c r="E295" s="83" t="str">
        <x:v>24</x:v>
      </x:c>
      <x:c r="F295" s="83" t="n">
        <x:v>36</x:v>
      </x:c>
      <x:c r="G295" s="83" t="n">
        <x:v>34</x:v>
      </x:c>
      <x:c r="H295" s="83" t="str">
        <x:v>1. Richieste di connessione</x:v>
      </x:c>
      <x:c r="I295" s="83" t="str">
        <x:v>Figura 24 Trend delle richieste di connessione per impianti Data Center a partire da dicembre 2021</x:v>
      </x:c>
      <x:c r="J295" s="83" t="str">
        <x:v>Domanda e consumi; Geografia e connessioni</x:v>
      </x:c>
      <x:c r="K295" s="83" t="str">
        <x:v>P2 - contesto/validazione</x:v>
      </x:c>
      <x:c r="L295" s="83" t="str">
        <x:v>Figura o mappa; lettura etichette / eventuale digitalizzazione</x:v>
      </x:c>
      <x:c r="M295" s="83" t="str">
        <x:v>Medio</x:v>
      </x:c>
      <x:c r="N295" s="83" t="str">
        <x:v>Da verificare in Fase 3</x:v>
      </x:c>
    </x:row>
    <x:row r="296">
      <x:c r="A296" s="83" t="str">
        <x:v>S04-TAB-9-37</x:v>
      </x:c>
      <x:c r="B296" s="83" t="str">
        <x:v>S04</x:v>
      </x:c>
      <x:c r="C296" s="83" t="str">
        <x:v>Programmazione territoriale efficiente e interventi di connessione</x:v>
      </x:c>
      <x:c r="D296" s="83" t="str">
        <x:v>Tabella</x:v>
      </x:c>
      <x:c r="E296" s="83" t="str">
        <x:v>9</x:v>
      </x:c>
      <x:c r="F296" s="83" t="n">
        <x:v>37</x:v>
      </x:c>
      <x:c r="G296" s="83" t="n">
        <x:v>35</x:v>
      </x:c>
      <x:c r="H296" s="83" t="str">
        <x:v>1. Richieste di connessione</x:v>
      </x:c>
      <x:c r="I296" s="83" t="str">
        <x:v>Tabella 9 Richieste di connessione impianti Data Center suddivise per zona di mercato</x:v>
      </x:c>
      <x:c r="J296" s="83" t="str">
        <x:v>Domanda e consumi; Mercato e prezzi; Geografia e connessioni</x:v>
      </x:c>
      <x:c r="K296" s="83" t="str">
        <x:v>P2 - contesto/validazione</x:v>
      </x:c>
      <x:c r="L296" s="83" t="str">
        <x:v>Tabella testuale/PDF</x:v>
      </x:c>
      <x:c r="M296" s="83" t="str">
        <x:v>Basso</x:v>
      </x:c>
      <x:c r="N296" s="83" t="str">
        <x:v>Da verificare in Fase 3</x:v>
      </x:c>
    </x:row>
    <x:row r="297">
      <x:c r="A297" s="83" t="str">
        <x:v>S04-FIG-25-37</x:v>
      </x:c>
      <x:c r="B297" s="83" t="str">
        <x:v>S04</x:v>
      </x:c>
      <x:c r="C297" s="83" t="str">
        <x:v>Programmazione territoriale efficiente e interventi di connessione</x:v>
      </x:c>
      <x:c r="D297" s="83" t="str">
        <x:v>Figura</x:v>
      </x:c>
      <x:c r="E297" s="83" t="str">
        <x:v>25</x:v>
      </x:c>
      <x:c r="F297" s="83" t="n">
        <x:v>37</x:v>
      </x:c>
      <x:c r="G297" s="83" t="n">
        <x:v>35</x:v>
      </x:c>
      <x:c r="H297" s="83" t="str">
        <x:v>1. Richieste di connessione</x:v>
      </x:c>
      <x:c r="I297" s="83" t="str">
        <x:v>Figura 25 Clusterizzazione delle richieste di connessione per gli impianti Data Center in funzione della</x:v>
      </x:c>
      <x:c r="J297" s="83" t="str">
        <x:v>Domanda e consumi; Geografia e connessioni</x:v>
      </x:c>
      <x:c r="K297" s="83" t="str">
        <x:v>P2 - contesto/validazione</x:v>
      </x:c>
      <x:c r="L297" s="83" t="str">
        <x:v>Figura o mappa; lettura etichette / eventuale digitalizzazione</x:v>
      </x:c>
      <x:c r="M297" s="83" t="str">
        <x:v>Medio</x:v>
      </x:c>
      <x:c r="N297" s="83" t="str">
        <x:v>Da verificare in Fase 3</x:v>
      </x:c>
    </x:row>
    <x:row r="298">
      <x:c r="A298" s="83" t="str">
        <x:v>S04-FIG-26-38</x:v>
      </x:c>
      <x:c r="B298" s="83" t="str">
        <x:v>S04</x:v>
      </x:c>
      <x:c r="C298" s="83" t="str">
        <x:v>Programmazione territoriale efficiente e interventi di connessione</x:v>
      </x:c>
      <x:c r="D298" s="83" t="str">
        <x:v>Figura</x:v>
      </x:c>
      <x:c r="E298" s="83" t="str">
        <x:v>26</x:v>
      </x:c>
      <x:c r="F298" s="83" t="n">
        <x:v>38</x:v>
      </x:c>
      <x:c r="G298" s="83" t="n">
        <x:v>36</x:v>
      </x:c>
      <x:c r="H298" s="83" t="str">
        <x:v>1. Richieste di connessione</x:v>
      </x:c>
      <x:c r="I298" s="83" t="str">
        <x:v>Figura 26 Distribuzione delle iniziative di impianti Data Center al 31.12.2024 (GW)</x:v>
      </x:c>
      <x:c r="J298" s="83" t="str">
        <x:v>Domanda e consumi</x:v>
      </x:c>
      <x:c r="K298" s="83" t="str">
        <x:v>P2 - contesto/validazione</x:v>
      </x:c>
      <x:c r="L298" s="83" t="str">
        <x:v>Figura o mappa; lettura etichette / eventuale digitalizzazione</x:v>
      </x:c>
      <x:c r="M298" s="83" t="str">
        <x:v>Medio</x:v>
      </x:c>
      <x:c r="N298" s="83" t="str">
        <x:v>Da verificare in Fase 3</x:v>
      </x:c>
    </x:row>
    <x:row r="299">
      <x:c r="A299" s="83" t="str">
        <x:v>S04-FIG-27-38</x:v>
      </x:c>
      <x:c r="B299" s="83" t="str">
        <x:v>S04</x:v>
      </x:c>
      <x:c r="C299" s="83" t="str">
        <x:v>Programmazione territoriale efficiente e interventi di connessione</x:v>
      </x:c>
      <x:c r="D299" s="83" t="str">
        <x:v>Figura</x:v>
      </x:c>
      <x:c r="E299" s="83" t="str">
        <x:v>27</x:v>
      </x:c>
      <x:c r="F299" s="83" t="n">
        <x:v>38</x:v>
      </x:c>
      <x:c r="G299" s="83" t="n">
        <x:v>36</x:v>
      </x:c>
      <x:c r="H299" s="83" t="str">
        <x:v>1. Richieste di connessione</x:v>
      </x:c>
      <x:c r="I299" s="83" t="str">
        <x:v>Figura 27 Distribuzione delle iniziative di impianti Data Center al 31.12.2024 (GW)</x:v>
      </x:c>
      <x:c r="J299" s="83" t="str">
        <x:v>Domanda e consumi</x:v>
      </x:c>
      <x:c r="K299" s="83" t="str">
        <x:v>P2 - contesto/validazione</x:v>
      </x:c>
      <x:c r="L299" s="83" t="str">
        <x:v>Figura o mappa; lettura etichette / eventuale digitalizzazione</x:v>
      </x:c>
      <x:c r="M299" s="83" t="str">
        <x:v>Medio</x:v>
      </x:c>
      <x:c r="N299" s="83" t="str">
        <x:v>Da verificare in Fase 3</x:v>
      </x:c>
    </x:row>
    <x:row r="300">
      <x:c r="A300" s="83" t="str">
        <x:v>S04-FIG-28-39</x:v>
      </x:c>
      <x:c r="B300" s="83" t="str">
        <x:v>S04</x:v>
      </x:c>
      <x:c r="C300" s="83" t="str">
        <x:v>Programmazione territoriale efficiente e interventi di connessione</x:v>
      </x:c>
      <x:c r="D300" s="83" t="str">
        <x:v>Figura</x:v>
      </x:c>
      <x:c r="E300" s="83" t="str">
        <x:v>28</x:v>
      </x:c>
      <x:c r="F300" s="83" t="n">
        <x:v>39</x:v>
      </x:c>
      <x:c r="G300" s="83" t="n">
        <x:v>37</x:v>
      </x:c>
      <x:c r="H300" s="83" t="str">
        <x:v>1. Richieste di connessione</x:v>
      </x:c>
      <x:c r="I300" s="83" t="str">
        <x:v>Figura 28 Andamento cumulato annuale delle richieste di connessione per trazione ferroviaria. La potenza è</x:v>
      </x:c>
      <x:c r="J300" s="83" t="str">
        <x:v>Capacità e generazione; Geografia e connessioni</x:v>
      </x:c>
      <x:c r="K300" s="83" t="str">
        <x:v>P2 - contesto/validazione</x:v>
      </x:c>
      <x:c r="L300" s="83" t="str">
        <x:v>Figura o mappa; lettura etichette / eventuale digitalizzazione</x:v>
      </x:c>
      <x:c r="M300" s="83" t="str">
        <x:v>Medio</x:v>
      </x:c>
      <x:c r="N300" s="83" t="str">
        <x:v>Da verificare in Fase 3</x:v>
      </x:c>
    </x:row>
    <x:row r="301">
      <x:c r="A301" s="83" t="str">
        <x:v>S04-FIG-29-40</x:v>
      </x:c>
      <x:c r="B301" s="83" t="str">
        <x:v>S04</x:v>
      </x:c>
      <x:c r="C301" s="83" t="str">
        <x:v>Programmazione territoriale efficiente e interventi di connessione</x:v>
      </x:c>
      <x:c r="D301" s="83" t="str">
        <x:v>Figura</x:v>
      </x:c>
      <x:c r="E301" s="83" t="str">
        <x:v>29</x:v>
      </x:c>
      <x:c r="F301" s="83" t="n">
        <x:v>40</x:v>
      </x:c>
      <x:c r="G301" s="83" t="n">
        <x:v>38</x:v>
      </x:c>
      <x:c r="H301" s="83" t="str">
        <x:v>1. Richieste di connessione</x:v>
      </x:c>
      <x:c r="I301" s="83" t="str">
        <x:v>Figura 29 Distribuzione delle potenze in prelievo per trazione ferroviaria, suddivise per zona di mercato.</x:v>
      </x:c>
      <x:c r="J301" s="83" t="str">
        <x:v>Capacità e generazione; Mercato e prezzi</x:v>
      </x:c>
      <x:c r="K301" s="83" t="str">
        <x:v>P2 - contesto/validazione</x:v>
      </x:c>
      <x:c r="L301" s="83" t="str">
        <x:v>Figura o mappa; lettura etichette / eventuale digitalizzazione</x:v>
      </x:c>
      <x:c r="M301" s="83" t="str">
        <x:v>Medio</x:v>
      </x:c>
      <x:c r="N301" s="83" t="str">
        <x:v>Da verificare in Fase 3</x:v>
      </x:c>
    </x:row>
    <x:row r="302">
      <x:c r="A302" s="83" t="str">
        <x:v>S04-FIG-30-41</x:v>
      </x:c>
      <x:c r="B302" s="83" t="str">
        <x:v>S04</x:v>
      </x:c>
      <x:c r="C302" s="83" t="str">
        <x:v>Programmazione territoriale efficiente e interventi di connessione</x:v>
      </x:c>
      <x:c r="D302" s="83" t="str">
        <x:v>Figura</x:v>
      </x:c>
      <x:c r="E302" s="83" t="str">
        <x:v>30</x:v>
      </x:c>
      <x:c r="F302" s="83" t="n">
        <x:v>41</x:v>
      </x:c>
      <x:c r="G302" s="83" t="n">
        <x:v>39</x:v>
      </x:c>
      <x:c r="H302" s="83" t="str">
        <x:v>1. Richieste di connessione</x:v>
      </x:c>
      <x:c r="I302" s="83" t="str">
        <x:v>Figura 30 Distribuzione geografica delle richieste di connessione relative al Cold Ironing</x:v>
      </x:c>
      <x:c r="J302" s="83" t="str">
        <x:v>Domanda e consumi; Geografia e connessioni</x:v>
      </x:c>
      <x:c r="K302" s="83" t="str">
        <x:v>P2 - contesto/validazione</x:v>
      </x:c>
      <x:c r="L302" s="83" t="str">
        <x:v>Figura o mappa; lettura etichette / eventuale digitalizzazione</x:v>
      </x:c>
      <x:c r="M302" s="83" t="str">
        <x:v>Medio</x:v>
      </x:c>
      <x:c r="N302" s="83" t="str">
        <x:v>Da verificare in Fase 3</x:v>
      </x:c>
    </x:row>
    <x:row r="303">
      <x:c r="A303" s="83" t="str">
        <x:v>S04-FIG-31-42</x:v>
      </x:c>
      <x:c r="B303" s="83" t="str">
        <x:v>S04</x:v>
      </x:c>
      <x:c r="C303" s="83" t="str">
        <x:v>Programmazione territoriale efficiente e interventi di connessione</x:v>
      </x:c>
      <x:c r="D303" s="83" t="str">
        <x:v>Figura</x:v>
      </x:c>
      <x:c r="E303" s="83" t="str">
        <x:v>31</x:v>
      </x:c>
      <x:c r="F303" s="83" t="n">
        <x:v>42</x:v>
      </x:c>
      <x:c r="G303" s="83" t="n">
        <x:v>40</x:v>
      </x:c>
      <x:c r="H303" s="83" t="str">
        <x:v>1. Richieste di connessione</x:v>
      </x:c>
      <x:c r="I303" s="83" t="str">
        <x:v>Figura 31 Andamento cumulato annuale delle richieste di connessione per cabine primarie. La potenza è</x:v>
      </x:c>
      <x:c r="J303" s="83" t="str">
        <x:v>Geografia e connessioni</x:v>
      </x:c>
      <x:c r="K303" s="83" t="str">
        <x:v>P2 - contesto/validazione</x:v>
      </x:c>
      <x:c r="L303" s="83" t="str">
        <x:v>Figura o mappa; lettura etichette / eventuale digitalizzazione</x:v>
      </x:c>
      <x:c r="M303" s="83" t="str">
        <x:v>Medio</x:v>
      </x:c>
      <x:c r="N303" s="83" t="str">
        <x:v>Da verificare in Fase 3</x:v>
      </x:c>
    </x:row>
    <x:row r="304">
      <x:c r="A304" s="83" t="str">
        <x:v>S04-FIG-32-44</x:v>
      </x:c>
      <x:c r="B304" s="83" t="str">
        <x:v>S04</x:v>
      </x:c>
      <x:c r="C304" s="83" t="str">
        <x:v>Programmazione territoriale efficiente e interventi di connessione</x:v>
      </x:c>
      <x:c r="D304" s="83" t="str">
        <x:v>Figura</x:v>
      </x:c>
      <x:c r="E304" s="83" t="str">
        <x:v>32</x:v>
      </x:c>
      <x:c r="F304" s="83" t="n">
        <x:v>44</x:v>
      </x:c>
      <x:c r="G304" s="83" t="n">
        <x:v>42</x:v>
      </x:c>
      <x:c r="H304" s="83" t="str">
        <x:v>1. Richieste di connessione</x:v>
      </x:c>
      <x:c r="I304" s="83" t="str">
        <x:v>Figura 32 Distribuzione delle potenze in immissione/prelievo delle cabine primarie candidate a PNRR,</x:v>
      </x:c>
      <x:c r="J304" s="83" t="str">
        <x:v>Contesto / metodologia</x:v>
      </x:c>
      <x:c r="K304" s="83" t="str">
        <x:v>P2 - contesto/validazione</x:v>
      </x:c>
      <x:c r="L304" s="83" t="str">
        <x:v>Figura o mappa; lettura etichette / eventuale digitalizzazione</x:v>
      </x:c>
      <x:c r="M304" s="83" t="str">
        <x:v>Medio</x:v>
      </x:c>
      <x:c r="N304" s="83" t="str">
        <x:v>Da verificare in Fase 3</x:v>
      </x:c>
    </x:row>
    <x:row r="305">
      <x:c r="A305" s="83" t="str">
        <x:v>S04-TAB-10-45</x:v>
      </x:c>
      <x:c r="B305" s="83" t="str">
        <x:v>S04</x:v>
      </x:c>
      <x:c r="C305" s="83" t="str">
        <x:v>Programmazione territoriale efficiente e interventi di connessione</x:v>
      </x:c>
      <x:c r="D305" s="83" t="str">
        <x:v>Tabella</x:v>
      </x:c>
      <x:c r="E305" s="83" t="str">
        <x:v>10</x:v>
      </x:c>
      <x:c r="F305" s="83" t="n">
        <x:v>45</x:v>
      </x:c>
      <x:c r="G305" s="83" t="n">
        <x:v>43</x:v>
      </x:c>
      <x:c r="H305" s="83" t="str">
        <x:v>2. Gestione richieste e programmazione territoriale</x:v>
      </x:c>
      <x:c r="I305" s="83" t="str">
        <x:v>Tabella 10 Distribuzione geografica delle richieste di connessione suddivise per zona di mercato (GW)</x:v>
      </x:c>
      <x:c r="J305" s="83" t="str">
        <x:v>Mercato e prezzi; Geografia e connessioni</x:v>
      </x:c>
      <x:c r="K305" s="83" t="str">
        <x:v>P2 - contesto/validazione</x:v>
      </x:c>
      <x:c r="L305" s="83" t="str">
        <x:v>Tabella testuale/PDF</x:v>
      </x:c>
      <x:c r="M305" s="83" t="str">
        <x:v>Basso</x:v>
      </x:c>
      <x:c r="N305" s="83" t="str">
        <x:v>Da verificare in Fase 3</x:v>
      </x:c>
    </x:row>
    <x:row r="306">
      <x:c r="A306" s="83" t="str">
        <x:v>S04-FIG-33-48</x:v>
      </x:c>
      <x:c r="B306" s="83" t="str">
        <x:v>S04</x:v>
      </x:c>
      <x:c r="C306" s="83" t="str">
        <x:v>Programmazione territoriale efficiente e interventi di connessione</x:v>
      </x:c>
      <x:c r="D306" s="83" t="str">
        <x:v>Figura</x:v>
      </x:c>
      <x:c r="E306" s="83" t="str">
        <x:v>33</x:v>
      </x:c>
      <x:c r="F306" s="83" t="n">
        <x:v>48</x:v>
      </x:c>
      <x:c r="G306" s="83" t="n">
        <x:v>46</x:v>
      </x:c>
      <x:c r="H306" s="83" t="str">
        <x:v>2. Gestione richieste e programmazione territoriale</x:v>
      </x:c>
      <x:c r="I306" s="83" t="str">
        <x:v>Figura 33 Impatto delle richieste di connessione sulla gestione e programmazione del SEN</x:v>
      </x:c>
      <x:c r="J306" s="83" t="str">
        <x:v>Geografia e connessioni</x:v>
      </x:c>
      <x:c r="K306" s="83" t="str">
        <x:v>P2 - contesto/validazione</x:v>
      </x:c>
      <x:c r="L306" s="83" t="str">
        <x:v>Figura o mappa; lettura etichette / eventuale digitalizzazione</x:v>
      </x:c>
      <x:c r="M306" s="83" t="str">
        <x:v>Medio</x:v>
      </x:c>
      <x:c r="N306" s="83" t="str">
        <x:v>Da verificare in Fase 3</x:v>
      </x:c>
    </x:row>
    <x:row r="307">
      <x:c r="A307" s="83" t="str">
        <x:v>S04-FIG-34-53</x:v>
      </x:c>
      <x:c r="B307" s="83" t="str">
        <x:v>S04</x:v>
      </x:c>
      <x:c r="C307" s="83" t="str">
        <x:v>Programmazione territoriale efficiente e interventi di connessione</x:v>
      </x:c>
      <x:c r="D307" s="83" t="str">
        <x:v>Figura</x:v>
      </x:c>
      <x:c r="E307" s="83" t="str">
        <x:v>34</x:v>
      </x:c>
      <x:c r="F307" s="83" t="n">
        <x:v>53</x:v>
      </x:c>
      <x:c r="G307" s="83" t="n">
        <x:v>51</x:v>
      </x:c>
      <x:c r="H307" s="83" t="str">
        <x:v>2. Gestione richieste e programmazione territoriale</x:v>
      </x:c>
      <x:c r="I307" s="83" t="str">
        <x:v>Figura 34 Vista «Esplora i dati» del Portale TE.R.R.A.</x:v>
      </x:c>
      <x:c r="J307" s="83" t="str">
        <x:v>Contesto / metodologia</x:v>
      </x:c>
      <x:c r="K307" s="83" t="str">
        <x:v>P2 - contesto/validazione</x:v>
      </x:c>
      <x:c r="L307" s="83" t="str">
        <x:v>Figura o mappa; lettura etichette / eventuale digitalizzazione</x:v>
      </x:c>
      <x:c r="M307" s="83" t="str">
        <x:v>Medio</x:v>
      </x:c>
      <x:c r="N307" s="83" t="str">
        <x:v>Da verificare in Fase 3</x:v>
      </x:c>
    </x:row>
    <x:row r="308">
      <x:c r="A308" s="83" t="str">
        <x:v>S04-FIG-35-53</x:v>
      </x:c>
      <x:c r="B308" s="83" t="str">
        <x:v>S04</x:v>
      </x:c>
      <x:c r="C308" s="83" t="str">
        <x:v>Programmazione territoriale efficiente e interventi di connessione</x:v>
      </x:c>
      <x:c r="D308" s="83" t="str">
        <x:v>Figura</x:v>
      </x:c>
      <x:c r="E308" s="83" t="str">
        <x:v>35</x:v>
      </x:c>
      <x:c r="F308" s="83" t="n">
        <x:v>53</x:v>
      </x:c>
      <x:c r="G308" s="83" t="n">
        <x:v>51</x:v>
      </x:c>
      <x:c r="H308" s="83" t="str">
        <x:v>2. Gestione richieste e programmazione territoriale</x:v>
      </x:c>
      <x:c r="I308" s="83" t="str">
        <x:v>Figura 35 Vista «Naviga la Rete» del Portale TE.R.R.A.</x:v>
      </x:c>
      <x:c r="J308" s="83" t="str">
        <x:v>Contesto / metodologia</x:v>
      </x:c>
      <x:c r="K308" s="83" t="str">
        <x:v>P2 - contesto/validazione</x:v>
      </x:c>
      <x:c r="L308" s="83" t="str">
        <x:v>Figura o mappa; lettura etichette / eventuale digitalizzazione</x:v>
      </x:c>
      <x:c r="M308" s="83" t="str">
        <x:v>Medio</x:v>
      </x:c>
      <x:c r="N308" s="83" t="str">
        <x:v>Da verificare in Fase 3</x:v>
      </x:c>
    </x:row>
    <x:row r="309">
      <x:c r="A309" s="83" t="str">
        <x:v>S04-FIG-36-54</x:v>
      </x:c>
      <x:c r="B309" s="83" t="str">
        <x:v>S04</x:v>
      </x:c>
      <x:c r="C309" s="83" t="str">
        <x:v>Programmazione territoriale efficiente e interventi di connessione</x:v>
      </x:c>
      <x:c r="D309" s="83" t="str">
        <x:v>Figura</x:v>
      </x:c>
      <x:c r="E309" s="83" t="str">
        <x:v>36</x:v>
      </x:c>
      <x:c r="F309" s="83" t="n">
        <x:v>54</x:v>
      </x:c>
      <x:c r="G309" s="83" t="n">
        <x:v>52</x:v>
      </x:c>
      <x:c r="H309" s="83" t="str">
        <x:v>2. Gestione richieste e programmazione territoriale</x:v>
      </x:c>
      <x:c r="I309" s="83" t="str">
        <x:v>Figura 36 Numero di microzone identificate per Regione</x:v>
      </x:c>
      <x:c r="J309" s="83" t="str">
        <x:v>Geografia e connessioni</x:v>
      </x:c>
      <x:c r="K309" s="83" t="str">
        <x:v>P2 - contesto/validazione</x:v>
      </x:c>
      <x:c r="L309" s="83" t="str">
        <x:v>Figura o mappa; lettura etichette / eventuale digitalizzazione</x:v>
      </x:c>
      <x:c r="M309" s="83" t="str">
        <x:v>Medio</x:v>
      </x:c>
      <x:c r="N309" s="83" t="str">
        <x:v>Da verificare in Fase 3</x:v>
      </x:c>
    </x:row>
    <x:row r="310">
      <x:c r="A310" s="83" t="str">
        <x:v>S04-FIG-37-55</x:v>
      </x:c>
      <x:c r="B310" s="83" t="str">
        <x:v>S04</x:v>
      </x:c>
      <x:c r="C310" s="83" t="str">
        <x:v>Programmazione territoriale efficiente e interventi di connessione</x:v>
      </x:c>
      <x:c r="D310" s="83" t="str">
        <x:v>Figura</x:v>
      </x:c>
      <x:c r="E310" s="83" t="str">
        <x:v>37</x:v>
      </x:c>
      <x:c r="F310" s="83" t="n">
        <x:v>55</x:v>
      </x:c>
      <x:c r="G310" s="83" t="n">
        <x:v>53</x:v>
      </x:c>
      <x:c r="H310" s="83" t="str">
        <x:v>2. Gestione richieste e programmazione territoriale</x:v>
      </x:c>
      <x:c r="I310" s="83" t="str">
        <x:v>Figura 37 Approccio gerarchico di analisi microzonale</x:v>
      </x:c>
      <x:c r="J310" s="83" t="str">
        <x:v>Geografia e connessioni</x:v>
      </x:c>
      <x:c r="K310" s="83" t="str">
        <x:v>P2 - contesto/validazione</x:v>
      </x:c>
      <x:c r="L310" s="83" t="str">
        <x:v>Figura o mappa; lettura etichette / eventuale digitalizzazione</x:v>
      </x:c>
      <x:c r="M310" s="83" t="str">
        <x:v>Medio</x:v>
      </x:c>
      <x:c r="N310" s="83" t="str">
        <x:v>Da verificare in Fase 3</x:v>
      </x:c>
    </x:row>
    <x:row r="311">
      <x:c r="A311" s="83" t="str">
        <x:v>S04-FIG-38-56</x:v>
      </x:c>
      <x:c r="B311" s="83" t="str">
        <x:v>S04</x:v>
      </x:c>
      <x:c r="C311" s="83" t="str">
        <x:v>Programmazione territoriale efficiente e interventi di connessione</x:v>
      </x:c>
      <x:c r="D311" s="83" t="str">
        <x:v>Figura</x:v>
      </x:c>
      <x:c r="E311" s="83" t="str">
        <x:v>38</x:v>
      </x:c>
      <x:c r="F311" s="83" t="n">
        <x:v>56</x:v>
      </x:c>
      <x:c r="G311" s="83" t="n">
        <x:v>54</x:v>
      </x:c>
      <x:c r="H311" s="83" t="str">
        <x:v>2. Gestione richieste e programmazione territoriale</x:v>
      </x:c>
      <x:c r="I311" s="83" t="str">
        <x:v>Figura 38 Esemplificativo del perimetro informativo disponibile</x:v>
      </x:c>
      <x:c r="J311" s="83" t="str">
        <x:v>Contesto / metodologia</x:v>
      </x:c>
      <x:c r="K311" s="83" t="str">
        <x:v>P2 - contesto/validazione</x:v>
      </x:c>
      <x:c r="L311" s="83" t="str">
        <x:v>Figura o mappa; lettura etichette / eventuale digitalizzazione</x:v>
      </x:c>
      <x:c r="M311" s="83" t="str">
        <x:v>Medio</x:v>
      </x:c>
      <x:c r="N311" s="83" t="str">
        <x:v>Da verificare in Fase 3</x:v>
      </x:c>
    </x:row>
    <x:row r="312">
      <x:c r="A312" s="83" t="str">
        <x:v>S04-FIG-39-63</x:v>
      </x:c>
      <x:c r="B312" s="83" t="str">
        <x:v>S04</x:v>
      </x:c>
      <x:c r="C312" s="83" t="str">
        <x:v>Programmazione territoriale efficiente e interventi di connessione</x:v>
      </x:c>
      <x:c r="D312" s="83" t="str">
        <x:v>Figura</x:v>
      </x:c>
      <x:c r="E312" s="83" t="str">
        <x:v>39</x:v>
      </x:c>
      <x:c r="F312" s="83" t="n">
        <x:v>63</x:v>
      </x:c>
      <x:c r="G312" s="83" t="n">
        <x:v>61</x:v>
      </x:c>
      <x:c r="H312" s="83" t="str">
        <x:v>Appendice 1 - Accesso alla RTN</x:v>
      </x:c>
      <x:c r="I312" s="83" t="str">
        <x:v>Figura 39 Processo di connessione alla rete di trasmissione elettrica</x:v>
      </x:c>
      <x:c r="J312" s="83" t="str">
        <x:v>Contesto / metodologia</x:v>
      </x:c>
      <x:c r="K312" s="83" t="str">
        <x:v>P2 - contesto/validazione</x:v>
      </x:c>
      <x:c r="L312" s="83" t="str">
        <x:v>Figura o mappa; lettura etichette / eventuale digitalizzazione</x:v>
      </x:c>
      <x:c r="M312" s="83" t="str">
        <x:v>Medio</x:v>
      </x:c>
      <x:c r="N312" s="83" t="str">
        <x:v>Da verificare in Fase 3</x:v>
      </x:c>
    </x:row>
    <x:row r="313">
      <x:c r="A313" s="83" t="str">
        <x:v>S04-FIG-40-65</x:v>
      </x:c>
      <x:c r="B313" s="83" t="str">
        <x:v>S04</x:v>
      </x:c>
      <x:c r="C313" s="83" t="str">
        <x:v>Programmazione territoriale efficiente e interventi di connessione</x:v>
      </x:c>
      <x:c r="D313" s="83" t="str">
        <x:v>Figura</x:v>
      </x:c>
      <x:c r="E313" s="83" t="str">
        <x:v>40</x:v>
      </x:c>
      <x:c r="F313" s="83" t="n">
        <x:v>65</x:v>
      </x:c>
      <x:c r="G313" s="83" t="n">
        <x:v>63</x:v>
      </x:c>
      <x:c r="H313" s="83" t="str">
        <x:v>Appendice 2 - Interventi di connessione</x:v>
      </x:c>
      <x:c r="I313" s="83" t="str">
        <x:v>Figura 40 Processo di attivazione impianti</x:v>
      </x:c>
      <x:c r="J313" s="83" t="str">
        <x:v>Contesto / metodologia</x:v>
      </x:c>
      <x:c r="K313" s="83" t="str">
        <x:v>P2 - contesto/validazione</x:v>
      </x:c>
      <x:c r="L313" s="83" t="str">
        <x:v>Figura o mappa; lettura etichette / eventuale digitalizzazione</x:v>
      </x:c>
      <x:c r="M313" s="83" t="str">
        <x:v>Medio</x:v>
      </x:c>
      <x:c r="N313" s="83" t="str">
        <x:v>Da verificare in Fase 3</x:v>
      </x:c>
    </x:row>
    <x:row r="314">
      <x:c r="A314" s="83" t="str">
        <x:v>S04-TAB-1-68</x:v>
      </x:c>
      <x:c r="B314" s="83" t="str">
        <x:v>S04</x:v>
      </x:c>
      <x:c r="C314" s="83" t="str">
        <x:v>Programmazione territoriale efficiente e interventi di connessione</x:v>
      </x:c>
      <x:c r="D314" s="83" t="str">
        <x:v>Tabella</x:v>
      </x:c>
      <x:c r="E314" s="83" t="str">
        <x:v>1</x:v>
      </x:c>
      <x:c r="F314" s="83" t="n">
        <x:v>68</x:v>
      </x:c>
      <x:c r="G314" s="83" t="n">
        <x:v>66</x:v>
      </x:c>
      <x:c r="H314" s="83" t="str">
        <x:v>Appendice 2 - Interventi di connessione</x:v>
      </x:c>
      <x:c r="I314" s="83" t="str">
        <x:v>Tabella 1 Connessioni di Centrali Elettriche</x:v>
      </x:c>
      <x:c r="J314" s="83" t="str">
        <x:v>Contesto / metodologia</x:v>
      </x:c>
      <x:c r="K314" s="83" t="str">
        <x:v>P2 - contesto/validazione</x:v>
      </x:c>
      <x:c r="L314" s="83" t="str">
        <x:v>Tabella testuale/PDF</x:v>
      </x:c>
      <x:c r="M314" s="83" t="str">
        <x:v>Basso</x:v>
      </x:c>
      <x:c r="N314" s="83" t="str">
        <x:v>Da verificare in Fase 3</x:v>
      </x:c>
    </x:row>
    <x:row r="315">
      <x:c r="A315" s="83" t="str">
        <x:v>S04-TAB-2-74</x:v>
      </x:c>
      <x:c r="B315" s="83" t="str">
        <x:v>S04</x:v>
      </x:c>
      <x:c r="C315" s="83" t="str">
        <x:v>Programmazione territoriale efficiente e interventi di connessione</x:v>
      </x:c>
      <x:c r="D315" s="83" t="str">
        <x:v>Tabella</x:v>
      </x:c>
      <x:c r="E315" s="83" t="str">
        <x:v>2</x:v>
      </x:c>
      <x:c r="F315" s="83" t="n">
        <x:v>74</x:v>
      </x:c>
      <x:c r="G315" s="83" t="n">
        <x:v>72</x:v>
      </x:c>
      <x:c r="H315" s="83" t="str">
        <x:v>Appendice 2 - Interventi di connessione</x:v>
      </x:c>
      <x:c r="I315" s="83" t="str">
        <x:v>Tabella 2 Connessioni di Centrali Elettriche su altro Gestore che prevedono interventi su RTN</x:v>
      </x:c>
      <x:c r="J315" s="83" t="str">
        <x:v>Trasmissione e interconnessioni</x:v>
      </x:c>
      <x:c r="K315" s="83" t="str">
        <x:v>P2 - contesto/validazione</x:v>
      </x:c>
      <x:c r="L315" s="83" t="str">
        <x:v>Tabella testuale/PDF</x:v>
      </x:c>
      <x:c r="M315" s="83" t="str">
        <x:v>Basso</x:v>
      </x:c>
      <x:c r="N315" s="83" t="str">
        <x:v>Da verificare in Fase 3</x:v>
      </x:c>
    </x:row>
    <x:row r="316">
      <x:c r="A316" s="83" t="str">
        <x:v>S04-TAB-3-74</x:v>
      </x:c>
      <x:c r="B316" s="83" t="str">
        <x:v>S04</x:v>
      </x:c>
      <x:c r="C316" s="83" t="str">
        <x:v>Programmazione territoriale efficiente e interventi di connessione</x:v>
      </x:c>
      <x:c r="D316" s="83" t="str">
        <x:v>Tabella</x:v>
      </x:c>
      <x:c r="E316" s="83" t="str">
        <x:v>3</x:v>
      </x:c>
      <x:c r="F316" s="83" t="n">
        <x:v>74</x:v>
      </x:c>
      <x:c r="G316" s="83" t="n">
        <x:v>72</x:v>
      </x:c>
      <x:c r="H316" s="83" t="str">
        <x:v>Appendice 2 - Interventi di connessione</x:v>
      </x:c>
      <x:c r="I316" s="83" t="str">
        <x:v>Tabella 3 Connessioni di nuove Cabine Primarie (CP) miste di distribuzione</x:v>
      </x:c>
      <x:c r="J316" s="83" t="str">
        <x:v>Contesto / metodologia</x:v>
      </x:c>
      <x:c r="K316" s="83" t="str">
        <x:v>P2 - contesto/validazione</x:v>
      </x:c>
      <x:c r="L316" s="83" t="str">
        <x:v>Tabella testuale/PDF</x:v>
      </x:c>
      <x:c r="M316" s="83" t="str">
        <x:v>Basso</x:v>
      </x:c>
      <x:c r="N316" s="83" t="str">
        <x:v>Da verificare in Fase 3</x:v>
      </x:c>
    </x:row>
    <x:row r="317">
      <x:c r="A317" s="83" t="str">
        <x:v>S04-TAB-4-74</x:v>
      </x:c>
      <x:c r="B317" s="83" t="str">
        <x:v>S04</x:v>
      </x:c>
      <x:c r="C317" s="83" t="str">
        <x:v>Programmazione territoriale efficiente e interventi di connessione</x:v>
      </x:c>
      <x:c r="D317" s="83" t="str">
        <x:v>Tabella</x:v>
      </x:c>
      <x:c r="E317" s="83" t="str">
        <x:v>4</x:v>
      </x:c>
      <x:c r="F317" s="83" t="n">
        <x:v>74</x:v>
      </x:c>
      <x:c r="G317" s="83" t="n">
        <x:v>72</x:v>
      </x:c>
      <x:c r="H317" s="83" t="str">
        <x:v>Appendice 2 - Interventi di connessione</x:v>
      </x:c>
      <x:c r="I317" s="83" t="str">
        <x:v>Tabella 4 Connessioni di Cabine Primarie (CP) di distribuzione</x:v>
      </x:c>
      <x:c r="J317" s="83" t="str">
        <x:v>Contesto / metodologia</x:v>
      </x:c>
      <x:c r="K317" s="83" t="str">
        <x:v>P2 - contesto/validazione</x:v>
      </x:c>
      <x:c r="L317" s="83" t="str">
        <x:v>Tabella testuale/PDF</x:v>
      </x:c>
      <x:c r="M317" s="83" t="str">
        <x:v>Basso</x:v>
      </x:c>
      <x:c r="N317" s="83" t="str">
        <x:v>Da verificare in Fase 3</x:v>
      </x:c>
    </x:row>
    <x:row r="318">
      <x:c r="A318" s="83" t="str">
        <x:v>S04-TAB-5-93</x:v>
      </x:c>
      <x:c r="B318" s="83" t="str">
        <x:v>S04</x:v>
      </x:c>
      <x:c r="C318" s="83" t="str">
        <x:v>Programmazione territoriale efficiente e interventi di connessione</x:v>
      </x:c>
      <x:c r="D318" s="83" t="str">
        <x:v>Tabella</x:v>
      </x:c>
      <x:c r="E318" s="83" t="str">
        <x:v>5</x:v>
      </x:c>
      <x:c r="F318" s="83" t="n">
        <x:v>93</x:v>
      </x:c>
      <x:c r="G318" s="83" t="n">
        <x:v>91</x:v>
      </x:c>
      <x:c r="H318" s="83" t="str">
        <x:v>Appendice 2 - Interventi di connessione</x:v>
      </x:c>
      <x:c r="I318" s="83" t="str">
        <x:v>Tabella 5 Connessioni di Utenti di consumo</x:v>
      </x:c>
      <x:c r="J318" s="83" t="str">
        <x:v>Contesto / metodologia</x:v>
      </x:c>
      <x:c r="K318" s="83" t="str">
        <x:v>P2 - contesto/validazione</x:v>
      </x:c>
      <x:c r="L318" s="83" t="str">
        <x:v>Tabella testuale/PDF</x:v>
      </x:c>
      <x:c r="M318" s="83" t="str">
        <x:v>Basso</x:v>
      </x:c>
      <x:c r="N318" s="83" t="str">
        <x:v>Da verificare in Fase 3</x:v>
      </x:c>
    </x:row>
    <x:row r="319">
      <x:c r="A319" s="83" t="str">
        <x:v>S04-TAB-6-103</x:v>
      </x:c>
      <x:c r="B319" s="83" t="str">
        <x:v>S04</x:v>
      </x:c>
      <x:c r="C319" s="83" t="str">
        <x:v>Programmazione territoriale efficiente e interventi di connessione</x:v>
      </x:c>
      <x:c r="D319" s="83" t="str">
        <x:v>Tabella</x:v>
      </x:c>
      <x:c r="E319" s="83" t="str">
        <x:v>6</x:v>
      </x:c>
      <x:c r="F319" s="83" t="n">
        <x:v>103</x:v>
      </x:c>
      <x:c r="G319" s="83" t="n">
        <x:v>101</x:v>
      </x:c>
      <x:c r="H319" s="83" t="str">
        <x:v>Appendice 2 - Interventi di connessione</x:v>
      </x:c>
      <x:c r="I319" s="83" t="str">
        <x:v>Tabella 6 Principali opere di sviluppo ultimate per le connessioni di impianti di produzione nel biennio 2023-2024</x:v>
      </x:c>
      <x:c r="J319" s="83" t="str">
        <x:v>Contesto / metodologia</x:v>
      </x:c>
      <x:c r="K319" s="83" t="str">
        <x:v>P2 - contesto/validazione</x:v>
      </x:c>
      <x:c r="L319" s="83" t="str">
        <x:v>Tabella testuale/PDF</x:v>
      </x:c>
      <x:c r="M319" s="83" t="str">
        <x:v>Basso</x:v>
      </x:c>
      <x:c r="N319" s="83" t="str">
        <x:v>Da verificare in Fase 3</x:v>
      </x:c>
    </x:row>
    <x:row r="320">
      <x:c r="A320" s="83" t="str">
        <x:v>S04-TAB-7-105</x:v>
      </x:c>
      <x:c r="B320" s="83" t="str">
        <x:v>S04</x:v>
      </x:c>
      <x:c r="C320" s="83" t="str">
        <x:v>Programmazione territoriale efficiente e interventi di connessione</x:v>
      </x:c>
      <x:c r="D320" s="83" t="str">
        <x:v>Tabella</x:v>
      </x:c>
      <x:c r="E320" s="83" t="str">
        <x:v>7</x:v>
      </x:c>
      <x:c r="F320" s="83" t="n">
        <x:v>105</x:v>
      </x:c>
      <x:c r="G320" s="83" t="n">
        <x:v>103</x:v>
      </x:c>
      <x:c r="H320" s="83" t="str">
        <x:v>Appendice 2 - Interventi di connessione</x:v>
      </x:c>
      <x:c r="I320" s="83" t="str">
        <x:v>Tabella 7 Principali opere di sviluppo ultimate per le connessioni di impianti di distribuzione (CP) e unità di</x:v>
      </x:c>
      <x:c r="J320" s="83" t="str">
        <x:v>Contesto / metodologia</x:v>
      </x:c>
      <x:c r="K320" s="83" t="str">
        <x:v>P2 - contesto/validazione</x:v>
      </x:c>
      <x:c r="L320" s="83" t="str">
        <x:v>Tabella testuale/PDF</x:v>
      </x:c>
      <x:c r="M320" s="83" t="str">
        <x:v>Basso</x:v>
      </x:c>
      <x:c r="N320" s="83" t="str">
        <x:v>Da verificare in Fase 3</x:v>
      </x:c>
    </x:row>
    <x:row r="321">
      <x:c r="A321" s="83" t="str">
        <x:v>S01-FIG-1-14</x:v>
      </x:c>
      <x:c r="B321" s="83" t="str">
        <x:v>S01</x:v>
      </x:c>
      <x:c r="C321" s="83" t="str">
        <x:v>Stato del sistema elettrico e scenari energetici</x:v>
      </x:c>
      <x:c r="D321" s="83" t="str">
        <x:v>Figura</x:v>
      </x:c>
      <x:c r="E321" s="83" t="str">
        <x:v>1</x:v>
      </x:c>
      <x:c r="F321" s="83" t="n">
        <x:v>14</x:v>
      </x:c>
      <x:c r="G321" s="83" t="n">
        <x:v>12</x:v>
      </x:c>
      <x:c r="H321" s="83" t="str">
        <x:v>1. La Rete di Trasmissione Nazionale</x:v>
      </x:c>
      <x:c r="I321" s="83" t="str">
        <x:v>Figura 1 Le infrastrutture di Terna</x:v>
      </x:c>
      <x:c r="J321" s="83" t="str">
        <x:v>Contesto / metodologia</x:v>
      </x:c>
      <x:c r="K321" s="83" t="str">
        <x:v>P2 - contesto/validazione</x:v>
      </x:c>
      <x:c r="L321" s="83" t="str">
        <x:v>Figura o mappa; lettura etichette / eventuale digitalizzazione</x:v>
      </x:c>
      <x:c r="M321" s="83" t="str">
        <x:v>Medio</x:v>
      </x:c>
      <x:c r="N321" s="83" t="str">
        <x:v>Da verificare in Fase 3</x:v>
      </x:c>
    </x:row>
    <x:row r="322">
      <x:c r="A322" s="83" t="str">
        <x:v>S01-TAB-1-15</x:v>
      </x:c>
      <x:c r="B322" s="83" t="str">
        <x:v>S01</x:v>
      </x:c>
      <x:c r="C322" s="83" t="str">
        <x:v>Stato del sistema elettrico e scenari energetici</x:v>
      </x:c>
      <x:c r="D322" s="83" t="str">
        <x:v>Tabella</x:v>
      </x:c>
      <x:c r="E322" s="83" t="str">
        <x:v>1</x:v>
      </x:c>
      <x:c r="F322" s="83" t="n">
        <x:v>15</x:v>
      </x:c>
      <x:c r="G322" s="83" t="n">
        <x:v>13</x:v>
      </x:c>
      <x:c r="H322" s="83" t="str">
        <x:v>1. La Rete di Trasmissione Nazionale</x:v>
      </x:c>
      <x:c r="I322" s="83" t="str">
        <x:v>Tabella 1 Dettaglio Linee</x:v>
      </x:c>
      <x:c r="J322" s="83" t="str">
        <x:v>Contesto / metodologia</x:v>
      </x:c>
      <x:c r="K322" s="83" t="str">
        <x:v>P2 - contesto/validazione</x:v>
      </x:c>
      <x:c r="L322" s="83" t="str">
        <x:v>Tabella testuale/PDF</x:v>
      </x:c>
      <x:c r="M322" s="83" t="str">
        <x:v>Basso</x:v>
      </x:c>
      <x:c r="N322" s="83" t="str">
        <x:v>Da verificare in Fase 3</x:v>
      </x:c>
    </x:row>
    <x:row r="323">
      <x:c r="A323" s="83" t="str">
        <x:v>S01-TAB-2-15</x:v>
      </x:c>
      <x:c r="B323" s="83" t="str">
        <x:v>S01</x:v>
      </x:c>
      <x:c r="C323" s="83" t="str">
        <x:v>Stato del sistema elettrico e scenari energetici</x:v>
      </x:c>
      <x:c r="D323" s="83" t="str">
        <x:v>Tabella</x:v>
      </x:c>
      <x:c r="E323" s="83" t="str">
        <x:v>2</x:v>
      </x:c>
      <x:c r="F323" s="83" t="n">
        <x:v>15</x:v>
      </x:c>
      <x:c r="G323" s="83" t="n">
        <x:v>13</x:v>
      </x:c>
      <x:c r="H323" s="83" t="str">
        <x:v>1. La Rete di Trasmissione Nazionale</x:v>
      </x:c>
      <x:c r="I323" s="83" t="str">
        <x:v>Tabella 2 Dettaglio Stazioni</x:v>
      </x:c>
      <x:c r="J323" s="83" t="str">
        <x:v>Contesto / metodologia</x:v>
      </x:c>
      <x:c r="K323" s="83" t="str">
        <x:v>P2 - contesto/validazione</x:v>
      </x:c>
      <x:c r="L323" s="83" t="str">
        <x:v>Tabella testuale/PDF</x:v>
      </x:c>
      <x:c r="M323" s="83" t="str">
        <x:v>Basso</x:v>
      </x:c>
      <x:c r="N323" s="83" t="str">
        <x:v>Da verificare in Fase 3</x:v>
      </x:c>
    </x:row>
    <x:row r="324">
      <x:c r="A324" s="83" t="str">
        <x:v>S01-TAB-3-16</x:v>
      </x:c>
      <x:c r="B324" s="83" t="str">
        <x:v>S01</x:v>
      </x:c>
      <x:c r="C324" s="83" t="str">
        <x:v>Stato del sistema elettrico e scenari energetici</x:v>
      </x:c>
      <x:c r="D324" s="83" t="str">
        <x:v>Tabella</x:v>
      </x:c>
      <x:c r="E324" s="83" t="str">
        <x:v>3</x:v>
      </x:c>
      <x:c r="F324" s="83" t="n">
        <x:v>16</x:v>
      </x:c>
      <x:c r="G324" s="83" t="n">
        <x:v>14</x:v>
      </x:c>
      <x:c r="H324" s="83" t="str">
        <x:v>1. La Rete di Trasmissione Nazionale</x:v>
      </x:c>
      <x:c r="I324" s="83" t="str">
        <x:v>Tabella 3 Proposte di ampliamento dell’ambito RTN</x:v>
      </x:c>
      <x:c r="J324" s="83" t="str">
        <x:v>Trasmissione e interconnessioni</x:v>
      </x:c>
      <x:c r="K324" s="83" t="str">
        <x:v>P2 - contesto/validazione</x:v>
      </x:c>
      <x:c r="L324" s="83" t="str">
        <x:v>Tabella testuale/PDF</x:v>
      </x:c>
      <x:c r="M324" s="83" t="str">
        <x:v>Basso</x:v>
      </x:c>
      <x:c r="N324" s="83" t="str">
        <x:v>Da verificare in Fase 3</x:v>
      </x:c>
    </x:row>
    <x:row r="325">
      <x:c r="A325" s="83" t="str">
        <x:v>S01-TAB-4-17</x:v>
      </x:c>
      <x:c r="B325" s="83" t="str">
        <x:v>S01</x:v>
      </x:c>
      <x:c r="C325" s="83" t="str">
        <x:v>Stato del sistema elettrico e scenari energetici</x:v>
      </x:c>
      <x:c r="D325" s="83" t="str">
        <x:v>Tabella</x:v>
      </x:c>
      <x:c r="E325" s="83" t="str">
        <x:v>4</x:v>
      </x:c>
      <x:c r="F325" s="83" t="n">
        <x:v>17</x:v>
      </x:c>
      <x:c r="G325" s="83" t="n">
        <x:v>15</x:v>
      </x:c>
      <x:c r="H325" s="83" t="str">
        <x:v>1. La Rete di Trasmissione Nazionale</x:v>
      </x:c>
      <x:c r="I325" s="83" t="str">
        <x:v>Tabella 4 Proposte di dismissione dall’ambito RTN</x:v>
      </x:c>
      <x:c r="J325" s="83" t="str">
        <x:v>Trasmissione e interconnessioni</x:v>
      </x:c>
      <x:c r="K325" s="83" t="str">
        <x:v>P2 - contesto/validazione</x:v>
      </x:c>
      <x:c r="L325" s="83" t="str">
        <x:v>Tabella testuale/PDF</x:v>
      </x:c>
      <x:c r="M325" s="83" t="str">
        <x:v>Basso</x:v>
      </x:c>
      <x:c r="N325" s="83" t="str">
        <x:v>Da verificare in Fase 3</x:v>
      </x:c>
    </x:row>
    <x:row r="326">
      <x:c r="A326" s="83" t="str">
        <x:v>S01-FIG-2-18</x:v>
      </x:c>
      <x:c r="B326" s="83" t="str">
        <x:v>S01</x:v>
      </x:c>
      <x:c r="C326" s="83" t="str">
        <x:v>Stato del sistema elettrico e scenari energetici</x:v>
      </x:c>
      <x:c r="D326" s="83" t="str">
        <x:v>Figura</x:v>
      </x:c>
      <x:c r="E326" s="83" t="str">
        <x:v>2</x:v>
      </x:c>
      <x:c r="F326" s="83" t="n">
        <x:v>18</x:v>
      </x:c>
      <x:c r="G326" s="83" t="n">
        <x:v>16</x:v>
      </x:c>
      <x:c r="H326" s="83" t="str">
        <x:v>1. La Rete di Trasmissione Nazionale</x:v>
      </x:c>
      <x:c r="I326" s="83" t="str">
        <x:v>Figura 2 Collegamento elettrico in cavo sottomarino Elba-Continente</x:v>
      </x:c>
      <x:c r="J326" s="83" t="str">
        <x:v>Contesto / metodologia</x:v>
      </x:c>
      <x:c r="K326" s="83" t="str">
        <x:v>P2 - contesto/validazione</x:v>
      </x:c>
      <x:c r="L326" s="83" t="str">
        <x:v>Figura o mappa; lettura etichette / eventuale digitalizzazione</x:v>
      </x:c>
      <x:c r="M326" s="83" t="str">
        <x:v>Medio</x:v>
      </x:c>
      <x:c r="N326" s="83" t="str">
        <x:v>Da verificare in Fase 3</x:v>
      </x:c>
    </x:row>
    <x:row r="327">
      <x:c r="A327" s="83" t="str">
        <x:v>S01-FIG-3-19</x:v>
      </x:c>
      <x:c r="B327" s="83" t="str">
        <x:v>S01</x:v>
      </x:c>
      <x:c r="C327" s="83" t="str">
        <x:v>Stato del sistema elettrico e scenari energetici</x:v>
      </x:c>
      <x:c r="D327" s="83" t="str">
        <x:v>Figura</x:v>
      </x:c>
      <x:c r="E327" s="83" t="str">
        <x:v>3</x:v>
      </x:c>
      <x:c r="F327" s="83" t="n">
        <x:v>19</x:v>
      </x:c>
      <x:c r="G327" s="83" t="n">
        <x:v>17</x:v>
      </x:c>
      <x:c r="H327" s="83" t="str">
        <x:v>2. Il sistema elettrico</x:v>
      </x:c>
      <x:c r="I327" s="83" t="str">
        <x:v>Figura 3 Elettrodotto 220 kV Italia Austria</x:v>
      </x:c>
      <x:c r="J327" s="83" t="str">
        <x:v>Contesto / metodologia</x:v>
      </x:c>
      <x:c r="K327" s="83" t="str">
        <x:v>P2 - contesto/validazione</x:v>
      </x:c>
      <x:c r="L327" s="83" t="str">
        <x:v>Figura o mappa; lettura etichette / eventuale digitalizzazione</x:v>
      </x:c>
      <x:c r="M327" s="83" t="str">
        <x:v>Medio</x:v>
      </x:c>
      <x:c r="N327" s="83" t="str">
        <x:v>Da verificare in Fase 3</x:v>
      </x:c>
    </x:row>
    <x:row r="328">
      <x:c r="A328" s="83" t="str">
        <x:v>S01-FIG-4-22</x:v>
      </x:c>
      <x:c r="B328" s="83" t="str">
        <x:v>S01</x:v>
      </x:c>
      <x:c r="C328" s="83" t="str">
        <x:v>Stato del sistema elettrico e scenari energetici</x:v>
      </x:c>
      <x:c r="D328" s="83" t="str">
        <x:v>Figura</x:v>
      </x:c>
      <x:c r="E328" s="83" t="str">
        <x:v>4</x:v>
      </x:c>
      <x:c r="F328" s="83" t="n">
        <x:v>22</x:v>
      </x:c>
      <x:c r="G328" s="83" t="n">
        <x:v>20</x:v>
      </x:c>
      <x:c r="H328" s="83" t="str">
        <x:v>2. Il sistema elettrico</x:v>
      </x:c>
      <x:c r="I328" s="83" t="str">
        <x:v>Figura 4 La filiera del sistema elettrico</x:v>
      </x:c>
      <x:c r="J328" s="83" t="str">
        <x:v>Contesto / metodologia</x:v>
      </x:c>
      <x:c r="K328" s="83" t="str">
        <x:v>P2 - contesto/validazione</x:v>
      </x:c>
      <x:c r="L328" s="83" t="str">
        <x:v>Figura o mappa; lettura etichette / eventuale digitalizzazione</x:v>
      </x:c>
      <x:c r="M328" s="83" t="str">
        <x:v>Medio</x:v>
      </x:c>
      <x:c r="N328" s="83" t="str">
        <x:v>Da verificare in Fase 3</x:v>
      </x:c>
    </x:row>
    <x:row r="329">
      <x:c r="A329" s="83" t="str">
        <x:v>S01-FIG-5-23</x:v>
      </x:c>
      <x:c r="B329" s="83" t="str">
        <x:v>S01</x:v>
      </x:c>
      <x:c r="C329" s="83" t="str">
        <x:v>Stato del sistema elettrico e scenari energetici</x:v>
      </x:c>
      <x:c r="D329" s="83" t="str">
        <x:v>Figura</x:v>
      </x:c>
      <x:c r="E329" s="83" t="str">
        <x:v>5</x:v>
      </x:c>
      <x:c r="F329" s="83" t="n">
        <x:v>23</x:v>
      </x:c>
      <x:c r="G329" s="83" t="n">
        <x:v>21</x:v>
      </x:c>
      <x:c r="H329" s="83" t="str">
        <x:v>2. Il sistema elettrico</x:v>
      </x:c>
      <x:c r="I329" s="83" t="str">
        <x:v>Figura 5 Bilancio Energia Italia 2023 - 2024</x:v>
      </x:c>
      <x:c r="J329" s="83" t="str">
        <x:v>Contesto / metodologia</x:v>
      </x:c>
      <x:c r="K329" s="83" t="str">
        <x:v>P2 - contesto/validazione</x:v>
      </x:c>
      <x:c r="L329" s="83" t="str">
        <x:v>Figura o mappa; lettura etichette / eventuale digitalizzazione</x:v>
      </x:c>
      <x:c r="M329" s="83" t="str">
        <x:v>Medio</x:v>
      </x:c>
      <x:c r="N329" s="83" t="str">
        <x:v>Da verificare in Fase 3</x:v>
      </x:c>
    </x:row>
    <x:row r="330">
      <x:c r="A330" s="83" t="str">
        <x:v>S01-FIG-6-24</x:v>
      </x:c>
      <x:c r="B330" s="83" t="str">
        <x:v>S01</x:v>
      </x:c>
      <x:c r="C330" s="83" t="str">
        <x:v>Stato del sistema elettrico e scenari energetici</x:v>
      </x:c>
      <x:c r="D330" s="83" t="str">
        <x:v>Figura</x:v>
      </x:c>
      <x:c r="E330" s="83" t="str">
        <x:v>6</x:v>
      </x:c>
      <x:c r="F330" s="83" t="n">
        <x:v>24</x:v>
      </x:c>
      <x:c r="G330" s="83" t="n">
        <x:v>22</x:v>
      </x:c>
      <x:c r="H330" s="83" t="str">
        <x:v>2. Il sistema elettrico</x:v>
      </x:c>
      <x:c r="I330" s="83" t="str">
        <x:v>Figura 6 Prezzo medio annuo 2024 dell’energia elettrica [€/MWh] e capacità di interconnessione 2024 [GW]</x:v>
      </x:c>
      <x:c r="J330" s="83" t="str">
        <x:v>Trasmissione e interconnessioni; Mercato e prezzi</x:v>
      </x:c>
      <x:c r="K330" s="83" t="str">
        <x:v>P2 - contesto/validazione</x:v>
      </x:c>
      <x:c r="L330" s="83" t="str">
        <x:v>Figura o mappa; lettura etichette / eventuale digitalizzazione</x:v>
      </x:c>
      <x:c r="M330" s="83" t="str">
        <x:v>Medio</x:v>
      </x:c>
      <x:c r="N330" s="83" t="str">
        <x:v>Da verificare in Fase 3</x:v>
      </x:c>
    </x:row>
    <x:row r="331">
      <x:c r="A331" s="83" t="str">
        <x:v>S01-FIG-7-25</x:v>
      </x:c>
      <x:c r="B331" s="83" t="str">
        <x:v>S01</x:v>
      </x:c>
      <x:c r="C331" s="83" t="str">
        <x:v>Stato del sistema elettrico e scenari energetici</x:v>
      </x:c>
      <x:c r="D331" s="83" t="str">
        <x:v>Figura</x:v>
      </x:c>
      <x:c r="E331" s="83" t="str">
        <x:v>7</x:v>
      </x:c>
      <x:c r="F331" s="83" t="n">
        <x:v>25</x:v>
      </x:c>
      <x:c r="G331" s="83" t="n">
        <x:v>23</x:v>
      </x:c>
      <x:c r="H331" s="83" t="str">
        <x:v>2. Il sistema elettrico</x:v>
      </x:c>
      <x:c r="I331" s="83" t="str">
        <x:v>Figura 7 Evoluzione della Domanda Storica (TWh)</x:v>
      </x:c>
      <x:c r="J331" s="83" t="str">
        <x:v>Domanda e consumi</x:v>
      </x:c>
      <x:c r="K331" s="83" t="str">
        <x:v>P2 - contesto/validazione</x:v>
      </x:c>
      <x:c r="L331" s="83" t="str">
        <x:v>Figura o mappa; lettura etichette / eventuale digitalizzazione</x:v>
      </x:c>
      <x:c r="M331" s="83" t="str">
        <x:v>Medio</x:v>
      </x:c>
      <x:c r="N331" s="83" t="str">
        <x:v>Da verificare in Fase 3</x:v>
      </x:c>
    </x:row>
    <x:row r="332">
      <x:c r="A332" s="83" t="str">
        <x:v>S01-FIG-8-26</x:v>
      </x:c>
      <x:c r="B332" s="83" t="str">
        <x:v>S01</x:v>
      </x:c>
      <x:c r="C332" s="83" t="str">
        <x:v>Stato del sistema elettrico e scenari energetici</x:v>
      </x:c>
      <x:c r="D332" s="83" t="str">
        <x:v>Figura</x:v>
      </x:c>
      <x:c r="E332" s="83" t="str">
        <x:v>8</x:v>
      </x:c>
      <x:c r="F332" s="83" t="n">
        <x:v>26</x:v>
      </x:c>
      <x:c r="G332" s="83" t="n">
        <x:v>24</x:v>
      </x:c>
      <x:c r="H332" s="83" t="str">
        <x:v>2. Il sistema elettrico</x:v>
      </x:c>
      <x:c r="I332" s="83" t="str">
        <x:v>Figura 8 Evoluzione produzione netta nazionale per fonte (TWh)</x:v>
      </x:c>
      <x:c r="J332" s="83" t="str">
        <x:v>Contesto / metodologia</x:v>
      </x:c>
      <x:c r="K332" s="83" t="str">
        <x:v>P2 - contesto/validazione</x:v>
      </x:c>
      <x:c r="L332" s="83" t="str">
        <x:v>Figura o mappa; lettura etichette / eventuale digitalizzazione</x:v>
      </x:c>
      <x:c r="M332" s="83" t="str">
        <x:v>Medio</x:v>
      </x:c>
      <x:c r="N332" s="83" t="str">
        <x:v>Da verificare in Fase 3</x:v>
      </x:c>
    </x:row>
    <x:row r="333">
      <x:c r="A333" s="83" t="str">
        <x:v>S01-FIG-9-27</x:v>
      </x:c>
      <x:c r="B333" s="83" t="str">
        <x:v>S01</x:v>
      </x:c>
      <x:c r="C333" s="83" t="str">
        <x:v>Stato del sistema elettrico e scenari energetici</x:v>
      </x:c>
      <x:c r="D333" s="83" t="str">
        <x:v>Figura</x:v>
      </x:c>
      <x:c r="E333" s="83" t="str">
        <x:v>9</x:v>
      </x:c>
      <x:c r="F333" s="83" t="n">
        <x:v>27</x:v>
      </x:c>
      <x:c r="G333" s="83" t="n">
        <x:v>25</x:v>
      </x:c>
      <x:c r="H333" s="83" t="str">
        <x:v>2. Il sistema elettrico</x:v>
      </x:c>
      <x:c r="I333" s="83" t="str">
        <x:v>Figura 9 Evoluzione installato da fonti rinnovabili (GW)</x:v>
      </x:c>
      <x:c r="J333" s="83" t="str">
        <x:v>Contesto / metodologia</x:v>
      </x:c>
      <x:c r="K333" s="83" t="str">
        <x:v>P2 - contesto/validazione</x:v>
      </x:c>
      <x:c r="L333" s="83" t="str">
        <x:v>Figura o mappa; lettura etichette / eventuale digitalizzazione</x:v>
      </x:c>
      <x:c r="M333" s="83" t="str">
        <x:v>Medio</x:v>
      </x:c>
      <x:c r="N333" s="83" t="str">
        <x:v>Da verificare in Fase 3</x:v>
      </x:c>
    </x:row>
    <x:row r="334">
      <x:c r="A334" s="83" t="str">
        <x:v>S01-FIG-10-27</x:v>
      </x:c>
      <x:c r="B334" s="83" t="str">
        <x:v>S01</x:v>
      </x:c>
      <x:c r="C334" s="83" t="str">
        <x:v>Stato del sistema elettrico e scenari energetici</x:v>
      </x:c>
      <x:c r="D334" s="83" t="str">
        <x:v>Figura</x:v>
      </x:c>
      <x:c r="E334" s="83" t="str">
        <x:v>10</x:v>
      </x:c>
      <x:c r="F334" s="83" t="n">
        <x:v>27</x:v>
      </x:c>
      <x:c r="G334" s="83" t="n">
        <x:v>25</x:v>
      </x:c>
      <x:c r="H334" s="83" t="str">
        <x:v>2. Il sistema elettrico</x:v>
      </x:c>
      <x:c r="I334" s="83" t="str">
        <x:v>Figura 10 Andamento Potenza Solare e Eolico nel 2023 (MW)</x:v>
      </x:c>
      <x:c r="J334" s="83" t="str">
        <x:v>Capacità e generazione</x:v>
      </x:c>
      <x:c r="K334" s="83" t="str">
        <x:v>P2 - contesto/validazione</x:v>
      </x:c>
      <x:c r="L334" s="83" t="str">
        <x:v>Figura o mappa; lettura etichette / eventuale digitalizzazione</x:v>
      </x:c>
      <x:c r="M334" s="83" t="str">
        <x:v>Medio</x:v>
      </x:c>
      <x:c r="N334" s="83" t="str">
        <x:v>Da verificare in Fase 3</x:v>
      </x:c>
    </x:row>
    <x:row r="335">
      <x:c r="A335" s="83" t="str">
        <x:v>S01-FIG-11-27</x:v>
      </x:c>
      <x:c r="B335" s="83" t="str">
        <x:v>S01</x:v>
      </x:c>
      <x:c r="C335" s="83" t="str">
        <x:v>Stato del sistema elettrico e scenari energetici</x:v>
      </x:c>
      <x:c r="D335" s="83" t="str">
        <x:v>Figura</x:v>
      </x:c>
      <x:c r="E335" s="83" t="str">
        <x:v>11</x:v>
      </x:c>
      <x:c r="F335" s="83" t="n">
        <x:v>27</x:v>
      </x:c>
      <x:c r="G335" s="83" t="n">
        <x:v>25</x:v>
      </x:c>
      <x:c r="H335" s="83" t="str">
        <x:v>2. Il sistema elettrico</x:v>
      </x:c>
      <x:c r="I335" s="83" t="str">
        <x:v>Figura 11 Andamento Potenza Solare e Eolico nel 2024 (MW)</x:v>
      </x:c>
      <x:c r="J335" s="83" t="str">
        <x:v>Capacità e generazione</x:v>
      </x:c>
      <x:c r="K335" s="83" t="str">
        <x:v>P2 - contesto/validazione</x:v>
      </x:c>
      <x:c r="L335" s="83" t="str">
        <x:v>Figura o mappa; lettura etichette / eventuale digitalizzazione</x:v>
      </x:c>
      <x:c r="M335" s="83" t="str">
        <x:v>Medio</x:v>
      </x:c>
      <x:c r="N335" s="83" t="str">
        <x:v>Estratto e verificato — Fase 3C</x:v>
      </x:c>
    </x:row>
    <x:row r="336">
      <x:c r="A336" s="83" t="str">
        <x:v>S01-FIG-12-28</x:v>
      </x:c>
      <x:c r="B336" s="83" t="str">
        <x:v>S01</x:v>
      </x:c>
      <x:c r="C336" s="83" t="str">
        <x:v>Stato del sistema elettrico e scenari energetici</x:v>
      </x:c>
      <x:c r="D336" s="83" t="str">
        <x:v>Figura</x:v>
      </x:c>
      <x:c r="E336" s="83" t="str">
        <x:v>12</x:v>
      </x:c>
      <x:c r="F336" s="83" t="n">
        <x:v>28</x:v>
      </x:c>
      <x:c r="G336" s="83" t="n">
        <x:v>26</x:v>
      </x:c>
      <x:c r="H336" s="83" t="str">
        <x:v>2. Il sistema elettrico</x:v>
      </x:c>
      <x:c r="I336" s="83" t="str">
        <x:v>Figura 12 Andamento Capacità di Accumulo nel 2023 (MWh)</x:v>
      </x:c>
      <x:c r="J336" s="83" t="str">
        <x:v>Accumuli e flessibilità</x:v>
      </x:c>
      <x:c r="K336" s="83" t="str">
        <x:v>P1 - input diretto/parametro</x:v>
      </x:c>
      <x:c r="L336" s="83" t="str">
        <x:v>Figura o mappa; lettura etichette / eventuale digitalizzazione</x:v>
      </x:c>
      <x:c r="M336" s="83" t="str">
        <x:v>Medio</x:v>
      </x:c>
      <x:c r="N336" s="83" t="str">
        <x:v>Da verificare in Fase 3</x:v>
      </x:c>
    </x:row>
    <x:row r="337">
      <x:c r="A337" s="83" t="str">
        <x:v>S01-FIG-13-28</x:v>
      </x:c>
      <x:c r="B337" s="83" t="str">
        <x:v>S01</x:v>
      </x:c>
      <x:c r="C337" s="83" t="str">
        <x:v>Stato del sistema elettrico e scenari energetici</x:v>
      </x:c>
      <x:c r="D337" s="83" t="str">
        <x:v>Figura</x:v>
      </x:c>
      <x:c r="E337" s="83" t="str">
        <x:v>13</x:v>
      </x:c>
      <x:c r="F337" s="83" t="n">
        <x:v>28</x:v>
      </x:c>
      <x:c r="G337" s="83" t="n">
        <x:v>26</x:v>
      </x:c>
      <x:c r="H337" s="83" t="str">
        <x:v>2. Il sistema elettrico</x:v>
      </x:c>
      <x:c r="I337" s="83" t="str">
        <x:v>Figura 13 Andamento Potenza Accumuli nel 2023 (MW)</x:v>
      </x:c>
      <x:c r="J337" s="83" t="str">
        <x:v>Accumuli e flessibilità</x:v>
      </x:c>
      <x:c r="K337" s="83" t="str">
        <x:v>P1 - input diretto/parametro</x:v>
      </x:c>
      <x:c r="L337" s="83" t="str">
        <x:v>Figura o mappa; lettura etichette / eventuale digitalizzazione</x:v>
      </x:c>
      <x:c r="M337" s="83" t="str">
        <x:v>Medio</x:v>
      </x:c>
      <x:c r="N337" s="83" t="str">
        <x:v>Da verificare in Fase 3</x:v>
      </x:c>
    </x:row>
    <x:row r="338">
      <x:c r="A338" s="83" t="str">
        <x:v>S01-FIG-14-28</x:v>
      </x:c>
      <x:c r="B338" s="83" t="str">
        <x:v>S01</x:v>
      </x:c>
      <x:c r="C338" s="83" t="str">
        <x:v>Stato del sistema elettrico e scenari energetici</x:v>
      </x:c>
      <x:c r="D338" s="83" t="str">
        <x:v>Figura</x:v>
      </x:c>
      <x:c r="E338" s="83" t="str">
        <x:v>14</x:v>
      </x:c>
      <x:c r="F338" s="83" t="n">
        <x:v>28</x:v>
      </x:c>
      <x:c r="G338" s="83" t="n">
        <x:v>26</x:v>
      </x:c>
      <x:c r="H338" s="83" t="str">
        <x:v>2. Il sistema elettrico</x:v>
      </x:c>
      <x:c r="I338" s="83" t="str">
        <x:v>Figura 14 Andamento potenza accumuli nel 2023 e nel 2024 - Nuove attivazioni</x:v>
      </x:c>
      <x:c r="J338" s="83" t="str">
        <x:v>Accumuli e flessibilità</x:v>
      </x:c>
      <x:c r="K338" s="83" t="str">
        <x:v>P1 - input diretto/parametro</x:v>
      </x:c>
      <x:c r="L338" s="83" t="str">
        <x:v>Figura o mappa; lettura etichette / eventuale digitalizzazione</x:v>
      </x:c>
      <x:c r="M338" s="83" t="str">
        <x:v>Medio</x:v>
      </x:c>
      <x:c r="N338" s="83" t="str">
        <x:v>Da verificare in Fase 3</x:v>
      </x:c>
    </x:row>
    <x:row r="339">
      <x:c r="A339" s="83" t="str">
        <x:v>S01-FIG-15-29</x:v>
      </x:c>
      <x:c r="B339" s="83" t="str">
        <x:v>S01</x:v>
      </x:c>
      <x:c r="C339" s="83" t="str">
        <x:v>Stato del sistema elettrico e scenari energetici</x:v>
      </x:c>
      <x:c r="D339" s="83" t="str">
        <x:v>Figura</x:v>
      </x:c>
      <x:c r="E339" s="83" t="str">
        <x:v>15</x:v>
      </x:c>
      <x:c r="F339" s="83" t="n">
        <x:v>29</x:v>
      </x:c>
      <x:c r="G339" s="83" t="n">
        <x:v>27</x:v>
      </x:c>
      <x:c r="H339" s="83" t="str">
        <x:v>2. Il sistema elettrico</x:v>
      </x:c>
      <x:c r="I339" s="83" t="str">
        <x:v>Figura 15 Produzione nuove rinnovabili, fonti eolica e solare (TWh)</x:v>
      </x:c>
      <x:c r="J339" s="83" t="str">
        <x:v>Capacità e generazione</x:v>
      </x:c>
      <x:c r="K339" s="83" t="str">
        <x:v>P2 - contesto/validazione</x:v>
      </x:c>
      <x:c r="L339" s="83" t="str">
        <x:v>Figura o mappa; lettura etichette / eventuale digitalizzazione</x:v>
      </x:c>
      <x:c r="M339" s="83" t="str">
        <x:v>Medio</x:v>
      </x:c>
      <x:c r="N339" s="83" t="str">
        <x:v>Da verificare in Fase 3</x:v>
      </x:c>
    </x:row>
    <x:row r="340">
      <x:c r="A340" s="83" t="str">
        <x:v>S01-FIG-16-29</x:v>
      </x:c>
      <x:c r="B340" s="83" t="str">
        <x:v>S01</x:v>
      </x:c>
      <x:c r="C340" s="83" t="str">
        <x:v>Stato del sistema elettrico e scenari energetici</x:v>
      </x:c>
      <x:c r="D340" s="83" t="str">
        <x:v>Figura</x:v>
      </x:c>
      <x:c r="E340" s="83" t="str">
        <x:v>16</x:v>
      </x:c>
      <x:c r="F340" s="83" t="n">
        <x:v>29</x:v>
      </x:c>
      <x:c r="G340" s="83" t="n">
        <x:v>27</x:v>
      </x:c>
      <x:c r="H340" s="83" t="str">
        <x:v>2. Il sistema elettrico</x:v>
      </x:c>
      <x:c r="I340" s="83" t="str">
        <x:v>Figura 16 Produzione idrica rinnovabile (TWh)</x:v>
      </x:c>
      <x:c r="J340" s="83" t="str">
        <x:v>Contesto / metodologia</x:v>
      </x:c>
      <x:c r="K340" s="83" t="str">
        <x:v>P2 - contesto/validazione</x:v>
      </x:c>
      <x:c r="L340" s="83" t="str">
        <x:v>Figura o mappa; lettura etichette / eventuale digitalizzazione</x:v>
      </x:c>
      <x:c r="M340" s="83" t="str">
        <x:v>Medio</x:v>
      </x:c>
      <x:c r="N340" s="83" t="str">
        <x:v>Da verificare in Fase 3</x:v>
      </x:c>
    </x:row>
    <x:row r="341">
      <x:c r="A341" s="83" t="str">
        <x:v>S01-FIG-17-29</x:v>
      </x:c>
      <x:c r="B341" s="83" t="str">
        <x:v>S01</x:v>
      </x:c>
      <x:c r="C341" s="83" t="str">
        <x:v>Stato del sistema elettrico e scenari energetici</x:v>
      </x:c>
      <x:c r="D341" s="83" t="str">
        <x:v>Figura</x:v>
      </x:c>
      <x:c r="E341" s="83" t="str">
        <x:v>17</x:v>
      </x:c>
      <x:c r="F341" s="83" t="n">
        <x:v>29</x:v>
      </x:c>
      <x:c r="G341" s="83" t="n">
        <x:v>27</x:v>
      </x:c>
      <x:c r="H341" s="83" t="str">
        <x:v>2. Il sistema elettrico</x:v>
      </x:c>
      <x:c r="I341" s="83" t="str">
        <x:v>Figura 17 Copertura del fabbisogno da tutte le fonti rinnovabili e da sole fonti solare e eolica</x:v>
      </x:c>
      <x:c r="J341" s="83" t="str">
        <x:v>Domanda e consumi; Capacità e generazione</x:v>
      </x:c>
      <x:c r="K341" s="83" t="str">
        <x:v>P1 - input diretto/parametro</x:v>
      </x:c>
      <x:c r="L341" s="83" t="str">
        <x:v>Figura o mappa; lettura etichette / eventuale digitalizzazione</x:v>
      </x:c>
      <x:c r="M341" s="83" t="str">
        <x:v>Medio</x:v>
      </x:c>
      <x:c r="N341" s="83" t="str">
        <x:v>Da verificare in Fase 3</x:v>
      </x:c>
    </x:row>
    <x:row r="342">
      <x:c r="A342" s="83" t="str">
        <x:v>S01-FIG-18-30</x:v>
      </x:c>
      <x:c r="B342" s="83" t="str">
        <x:v>S01</x:v>
      </x:c>
      <x:c r="C342" s="83" t="str">
        <x:v>Stato del sistema elettrico e scenari energetici</x:v>
      </x:c>
      <x:c r="D342" s="83" t="str">
        <x:v>Figura</x:v>
      </x:c>
      <x:c r="E342" s="83" t="str">
        <x:v>18</x:v>
      </x:c>
      <x:c r="F342" s="83" t="n">
        <x:v>30</x:v>
      </x:c>
      <x:c r="G342" s="83" t="n">
        <x:v>28</x:v>
      </x:c>
      <x:c r="H342" s="83" t="str">
        <x:v>2. Il sistema elettrico</x:v>
      </x:c>
      <x:c r="I342" s="83" t="str">
        <x:v>Figura 18 Inversione dei flussi su sezioni AT/MT</x:v>
      </x:c>
      <x:c r="J342" s="83" t="str">
        <x:v>Contesto / metodologia</x:v>
      </x:c>
      <x:c r="K342" s="83" t="str">
        <x:v>P2 - contesto/validazione</x:v>
      </x:c>
      <x:c r="L342" s="83" t="str">
        <x:v>Figura o mappa; lettura etichette / eventuale digitalizzazione</x:v>
      </x:c>
      <x:c r="M342" s="83" t="str">
        <x:v>Medio</x:v>
      </x:c>
      <x:c r="N342" s="83" t="str">
        <x:v>Da verificare in Fase 3</x:v>
      </x:c>
    </x:row>
    <x:row r="343">
      <x:c r="A343" s="83" t="str">
        <x:v>S01-FIG-19-31</x:v>
      </x:c>
      <x:c r="B343" s="83" t="str">
        <x:v>S01</x:v>
      </x:c>
      <x:c r="C343" s="83" t="str">
        <x:v>Stato del sistema elettrico e scenari energetici</x:v>
      </x:c>
      <x:c r="D343" s="83" t="str">
        <x:v>Figura</x:v>
      </x:c>
      <x:c r="E343" s="83" t="str">
        <x:v>19</x:v>
      </x:c>
      <x:c r="F343" s="83" t="n">
        <x:v>31</x:v>
      </x:c>
      <x:c r="G343" s="83" t="n">
        <x:v>29</x:v>
      </x:c>
      <x:c r="H343" s="83" t="str">
        <x:v>2. Il sistema elettrico</x:v>
      </x:c>
      <x:c r="I343" s="83" t="str">
        <x:v>Figura 19 Energia e potenza massima in risalita da CP (2021-2023)</x:v>
      </x:c>
      <x:c r="J343" s="83" t="str">
        <x:v>Contesto / metodologia</x:v>
      </x:c>
      <x:c r="K343" s="83" t="str">
        <x:v>P2 - contesto/validazione</x:v>
      </x:c>
      <x:c r="L343" s="83" t="str">
        <x:v>Figura o mappa; lettura etichette / eventuale digitalizzazione</x:v>
      </x:c>
      <x:c r="M343" s="83" t="str">
        <x:v>Medio</x:v>
      </x:c>
      <x:c r="N343" s="83" t="str">
        <x:v>Da verificare in Fase 3</x:v>
      </x:c>
    </x:row>
    <x:row r="344">
      <x:c r="A344" s="83" t="str">
        <x:v>S01-FIG-20-31</x:v>
      </x:c>
      <x:c r="B344" s="83" t="str">
        <x:v>S01</x:v>
      </x:c>
      <x:c r="C344" s="83" t="str">
        <x:v>Stato del sistema elettrico e scenari energetici</x:v>
      </x:c>
      <x:c r="D344" s="83" t="str">
        <x:v>Figura</x:v>
      </x:c>
      <x:c r="E344" s="83" t="str">
        <x:v>20</x:v>
      </x:c>
      <x:c r="F344" s="83" t="n">
        <x:v>31</x:v>
      </x:c>
      <x:c r="G344" s="83" t="n">
        <x:v>29</x:v>
      </x:c>
      <x:c r="H344" s="83" t="str">
        <x:v>2. Il sistema elettrico</x:v>
      </x:c>
      <x:c r="I344" s="83" t="str">
        <x:v>Figura 20 Energia in risalita, distribuzione per regione (2021-2023)</x:v>
      </x:c>
      <x:c r="J344" s="83" t="str">
        <x:v>Geografia e connessioni</x:v>
      </x:c>
      <x:c r="K344" s="83" t="str">
        <x:v>P2 - contesto/validazione</x:v>
      </x:c>
      <x:c r="L344" s="83" t="str">
        <x:v>Figura o mappa; lettura etichette / eventuale digitalizzazione</x:v>
      </x:c>
      <x:c r="M344" s="83" t="str">
        <x:v>Medio</x:v>
      </x:c>
      <x:c r="N344" s="83" t="str">
        <x:v>Da verificare in Fase 3</x:v>
      </x:c>
    </x:row>
    <x:row r="345">
      <x:c r="A345" s="83" t="str">
        <x:v>S01-FIG-21-33</x:v>
      </x:c>
      <x:c r="B345" s="83" t="str">
        <x:v>S01</x:v>
      </x:c>
      <x:c r="C345" s="83" t="str">
        <x:v>Stato del sistema elettrico e scenari energetici</x:v>
      </x:c>
      <x:c r="D345" s="83" t="str">
        <x:v>Figura</x:v>
      </x:c>
      <x:c r="E345" s="83" t="str">
        <x:v>21</x:v>
      </x:c>
      <x:c r="F345" s="83" t="n">
        <x:v>33</x:v>
      </x:c>
      <x:c r="G345" s="83" t="n">
        <x:v>31</x:v>
      </x:c>
      <x:c r="H345" s="83" t="str">
        <x:v>3. Analisi del mercato elettrico</x:v>
      </x:c>
      <x:c r="I345" s="83" t="str">
        <x:v>Figura 21 Curve del fabbisogno giornaliero, della produzione rinnovabile e del carico residuo (GW)</x:v>
      </x:c>
      <x:c r="J345" s="83" t="str">
        <x:v>Domanda e consumi; Accumuli e flessibilità</x:v>
      </x:c>
      <x:c r="K345" s="83" t="str">
        <x:v>P1 - input diretto/parametro</x:v>
      </x:c>
      <x:c r="L345" s="83" t="str">
        <x:v>Figura o mappa; lettura etichette / eventuale digitalizzazione</x:v>
      </x:c>
      <x:c r="M345" s="83" t="str">
        <x:v>Medio</x:v>
      </x:c>
      <x:c r="N345" s="83" t="str">
        <x:v>Da verificare in Fase 3</x:v>
      </x:c>
    </x:row>
    <x:row r="346">
      <x:c r="A346" s="83" t="str">
        <x:v>S01-FIG-22-38</x:v>
      </x:c>
      <x:c r="B346" s="83" t="str">
        <x:v>S01</x:v>
      </x:c>
      <x:c r="C346" s="83" t="str">
        <x:v>Stato del sistema elettrico e scenari energetici</x:v>
      </x:c>
      <x:c r="D346" s="83" t="str">
        <x:v>Figura</x:v>
      </x:c>
      <x:c r="E346" s="83" t="str">
        <x:v>22</x:v>
      </x:c>
      <x:c r="F346" s="83" t="n">
        <x:v>38</x:v>
      </x:c>
      <x:c r="G346" s="83" t="n">
        <x:v>36</x:v>
      </x:c>
      <x:c r="H346" s="83" t="str">
        <x:v>3. Analisi del mercato elettrico</x:v>
      </x:c>
      <x:c r="I346" s="83" t="str">
        <x:v>Figura 22 Le zone di mercato in Italia</x:v>
      </x:c>
      <x:c r="J346" s="83" t="str">
        <x:v>Mercato e prezzi; Geografia e connessioni</x:v>
      </x:c>
      <x:c r="K346" s="83" t="str">
        <x:v>P1 - input diretto/parametro</x:v>
      </x:c>
      <x:c r="L346" s="83" t="str">
        <x:v>Figura o mappa; lettura etichette / eventuale digitalizzazione</x:v>
      </x:c>
      <x:c r="M346" s="83" t="str">
        <x:v>Medio</x:v>
      </x:c>
      <x:c r="N346" s="83" t="str">
        <x:v>Da verificare in Fase 3</x:v>
      </x:c>
    </x:row>
    <x:row r="347">
      <x:c r="A347" s="83" t="str">
        <x:v>S01-FIG-23-40</x:v>
      </x:c>
      <x:c r="B347" s="83" t="str">
        <x:v>S01</x:v>
      </x:c>
      <x:c r="C347" s="83" t="str">
        <x:v>Stato del sistema elettrico e scenari energetici</x:v>
      </x:c>
      <x:c r="D347" s="83" t="str">
        <x:v>Figura</x:v>
      </x:c>
      <x:c r="E347" s="83" t="str">
        <x:v>23</x:v>
      </x:c>
      <x:c r="F347" s="83" t="n">
        <x:v>40</x:v>
      </x:c>
      <x:c r="G347" s="83" t="n">
        <x:v>38</x:v>
      </x:c>
      <x:c r="H347" s="83" t="str">
        <x:v>3. Analisi del mercato elettrico</x:v>
      </x:c>
      <x:c r="I347" s="83" t="str">
        <x:v>Figura 23 Limiti di transito zonali 2024 - caso invernale</x:v>
      </x:c>
      <x:c r="J347" s="83" t="str">
        <x:v>Trasmissione e interconnessioni</x:v>
      </x:c>
      <x:c r="K347" s="83" t="str">
        <x:v>P1 - input diretto/parametro</x:v>
      </x:c>
      <x:c r="L347" s="83" t="str">
        <x:v>Figura o mappa; lettura etichette / eventuale digitalizzazione</x:v>
      </x:c>
      <x:c r="M347" s="83" t="str">
        <x:v>Medio</x:v>
      </x:c>
      <x:c r="N347" s="83" t="str">
        <x:v>Estratto e verificato — Fase 3C</x:v>
      </x:c>
    </x:row>
    <x:row r="348">
      <x:c r="A348" s="83" t="str">
        <x:v>S01-FIG-24-41</x:v>
      </x:c>
      <x:c r="B348" s="83" t="str">
        <x:v>S01</x:v>
      </x:c>
      <x:c r="C348" s="83" t="str">
        <x:v>Stato del sistema elettrico e scenari energetici</x:v>
      </x:c>
      <x:c r="D348" s="83" t="str">
        <x:v>Figura</x:v>
      </x:c>
      <x:c r="E348" s="83" t="str">
        <x:v>24</x:v>
      </x:c>
      <x:c r="F348" s="83" t="n">
        <x:v>41</x:v>
      </x:c>
      <x:c r="G348" s="83" t="n">
        <x:v>39</x:v>
      </x:c>
      <x:c r="H348" s="83" t="str">
        <x:v>3. Analisi del mercato elettrico</x:v>
      </x:c>
      <x:c r="I348" s="83" t="str">
        <x:v>Figura 24 Limiti di transito zonali 2024 - caso estivo</x:v>
      </x:c>
      <x:c r="J348" s="83" t="str">
        <x:v>Trasmissione e interconnessioni</x:v>
      </x:c>
      <x:c r="K348" s="83" t="str">
        <x:v>P1 - input diretto/parametro</x:v>
      </x:c>
      <x:c r="L348" s="83" t="str">
        <x:v>Figura o mappa; lettura etichette / eventuale digitalizzazione</x:v>
      </x:c>
      <x:c r="M348" s="83" t="str">
        <x:v>Medio</x:v>
      </x:c>
      <x:c r="N348" s="83" t="str">
        <x:v>Estratto e verificato — Fase 3C</x:v>
      </x:c>
    </x:row>
    <x:row r="349">
      <x:c r="A349" s="83" t="str">
        <x:v>S01-FIG-25-42</x:v>
      </x:c>
      <x:c r="B349" s="83" t="str">
        <x:v>S01</x:v>
      </x:c>
      <x:c r="C349" s="83" t="str">
        <x:v>Stato del sistema elettrico e scenari energetici</x:v>
      </x:c>
      <x:c r="D349" s="83" t="str">
        <x:v>Figura</x:v>
      </x:c>
      <x:c r="E349" s="83" t="str">
        <x:v>25</x:v>
      </x:c>
      <x:c r="F349" s="83" t="n">
        <x:v>42</x:v>
      </x:c>
      <x:c r="G349" s="83" t="n">
        <x:v>40</x:v>
      </x:c>
      <x:c r="H349" s="83" t="str">
        <x:v>3. Analisi del mercato elettrico</x:v>
      </x:c>
      <x:c r="I349" s="83" t="str">
        <x:v>Figura 25 Andamento del Prezzo Unico Nazionale (€/MWh)</x:v>
      </x:c>
      <x:c r="J349" s="83" t="str">
        <x:v>Mercato e prezzi</x:v>
      </x:c>
      <x:c r="K349" s="83" t="str">
        <x:v>P1 - input diretto/parametro</x:v>
      </x:c>
      <x:c r="L349" s="83" t="str">
        <x:v>Figura o mappa; lettura etichette / eventuale digitalizzazione</x:v>
      </x:c>
      <x:c r="M349" s="83" t="str">
        <x:v>Medio</x:v>
      </x:c>
      <x:c r="N349" s="83" t="str">
        <x:v>Da verificare in Fase 3</x:v>
      </x:c>
    </x:row>
    <x:row r="350">
      <x:c r="A350" s="83" t="str">
        <x:v>S01-FIG-26-42</x:v>
      </x:c>
      <x:c r="B350" s="83" t="str">
        <x:v>S01</x:v>
      </x:c>
      <x:c r="C350" s="83" t="str">
        <x:v>Stato del sistema elettrico e scenari energetici</x:v>
      </x:c>
      <x:c r="D350" s="83" t="str">
        <x:v>Figura</x:v>
      </x:c>
      <x:c r="E350" s="83" t="str">
        <x:v>26</x:v>
      </x:c>
      <x:c r="F350" s="83" t="n">
        <x:v>42</x:v>
      </x:c>
      <x:c r="G350" s="83" t="n">
        <x:v>40</x:v>
      </x:c>
      <x:c r="H350" s="83" t="str">
        <x:v>3. Analisi del mercato elettrico</x:v>
      </x:c>
      <x:c r="I350" s="83" t="str">
        <x:v>Figura 26 Andamento mensile del Prezzo Unico Nazionale (€/MWh)</x:v>
      </x:c>
      <x:c r="J350" s="83" t="str">
        <x:v>Mercato e prezzi</x:v>
      </x:c>
      <x:c r="K350" s="83" t="str">
        <x:v>P1 - input diretto/parametro</x:v>
      </x:c>
      <x:c r="L350" s="83" t="str">
        <x:v>Figura o mappa; lettura etichette / eventuale digitalizzazione</x:v>
      </x:c>
      <x:c r="M350" s="83" t="str">
        <x:v>Medio</x:v>
      </x:c>
      <x:c r="N350" s="83" t="str">
        <x:v>Da verificare in Fase 3</x:v>
      </x:c>
    </x:row>
    <x:row r="351">
      <x:c r="A351" s="83" t="str">
        <x:v>S01-FIG-27-43</x:v>
      </x:c>
      <x:c r="B351" s="83" t="str">
        <x:v>S01</x:v>
      </x:c>
      <x:c r="C351" s="83" t="str">
        <x:v>Stato del sistema elettrico e scenari energetici</x:v>
      </x:c>
      <x:c r="D351" s="83" t="str">
        <x:v>Figura</x:v>
      </x:c>
      <x:c r="E351" s="83" t="str">
        <x:v>27</x:v>
      </x:c>
      <x:c r="F351" s="83" t="n">
        <x:v>43</x:v>
      </x:c>
      <x:c r="G351" s="83" t="n">
        <x:v>41</x:v>
      </x:c>
      <x:c r="H351" s="83" t="str">
        <x:v>3. Analisi del mercato elettrico</x:v>
      </x:c>
      <x:c r="I351" s="83" t="str">
        <x:v>Figura 27 Prezzo delle commodities 2023-2024*</x:v>
      </x:c>
      <x:c r="J351" s="83" t="str">
        <x:v>Mercato e prezzi</x:v>
      </x:c>
      <x:c r="K351" s="83" t="str">
        <x:v>P2 - contesto/validazione</x:v>
      </x:c>
      <x:c r="L351" s="83" t="str">
        <x:v>Figura o mappa; lettura etichette / eventuale digitalizzazione</x:v>
      </x:c>
      <x:c r="M351" s="83" t="str">
        <x:v>Medio</x:v>
      </x:c>
      <x:c r="N351" s="83" t="str">
        <x:v>Da verificare in Fase 3</x:v>
      </x:c>
    </x:row>
    <x:row r="352">
      <x:c r="A352" s="83" t="str">
        <x:v>S01-FIG-28-44</x:v>
      </x:c>
      <x:c r="B352" s="83" t="str">
        <x:v>S01</x:v>
      </x:c>
      <x:c r="C352" s="83" t="str">
        <x:v>Stato del sistema elettrico e scenari energetici</x:v>
      </x:c>
      <x:c r="D352" s="83" t="str">
        <x:v>Figura</x:v>
      </x:c>
      <x:c r="E352" s="83" t="str">
        <x:v>28</x:v>
      </x:c>
      <x:c r="F352" s="83" t="n">
        <x:v>44</x:v>
      </x:c>
      <x:c r="G352" s="83" t="n">
        <x:v>42</x:v>
      </x:c>
      <x:c r="H352" s="83" t="str">
        <x:v>3. Analisi del mercato elettrico</x:v>
      </x:c>
      <x:c r="I352" s="83" t="str">
        <x:v>Figura 28 Prezzi zonali</x:v>
      </x:c>
      <x:c r="J352" s="83" t="str">
        <x:v>Contesto / metodologia</x:v>
      </x:c>
      <x:c r="K352" s="83" t="str">
        <x:v>P2 - contesto/validazione</x:v>
      </x:c>
      <x:c r="L352" s="83" t="str">
        <x:v>Figura o mappa; lettura etichette / eventuale digitalizzazione</x:v>
      </x:c>
      <x:c r="M352" s="83" t="str">
        <x:v>Medio</x:v>
      </x:c>
      <x:c r="N352" s="83" t="str">
        <x:v>Da verificare in Fase 3</x:v>
      </x:c>
    </x:row>
    <x:row r="353">
      <x:c r="A353" s="83" t="str">
        <x:v>S01-FIG-29-44</x:v>
      </x:c>
      <x:c r="B353" s="83" t="str">
        <x:v>S01</x:v>
      </x:c>
      <x:c r="C353" s="83" t="str">
        <x:v>Stato del sistema elettrico e scenari energetici</x:v>
      </x:c>
      <x:c r="D353" s="83" t="str">
        <x:v>Figura</x:v>
      </x:c>
      <x:c r="E353" s="83" t="str">
        <x:v>29</x:v>
      </x:c>
      <x:c r="F353" s="83" t="n">
        <x:v>44</x:v>
      </x:c>
      <x:c r="G353" s="83" t="n">
        <x:v>42</x:v>
      </x:c>
      <x:c r="H353" s="83" t="str">
        <x:v>3. Analisi del mercato elettrico</x:v>
      </x:c>
      <x:c r="I353" s="83" t="str">
        <x:v>Figura 29 Differenziali zonali rispetto al PUN</x:v>
      </x:c>
      <x:c r="J353" s="83" t="str">
        <x:v>Capacità e generazione; Mercato e prezzi</x:v>
      </x:c>
      <x:c r="K353" s="83" t="str">
        <x:v>P1 - input diretto/parametro</x:v>
      </x:c>
      <x:c r="L353" s="83" t="str">
        <x:v>Figura o mappa; lettura etichette / eventuale digitalizzazione</x:v>
      </x:c>
      <x:c r="M353" s="83" t="str">
        <x:v>Medio</x:v>
      </x:c>
      <x:c r="N353" s="83" t="str">
        <x:v>Da verificare in Fase 3</x:v>
      </x:c>
    </x:row>
    <x:row r="354">
      <x:c r="A354" s="83" t="str">
        <x:v>S01-FIG-30-45</x:v>
      </x:c>
      <x:c r="B354" s="83" t="str">
        <x:v>S01</x:v>
      </x:c>
      <x:c r="C354" s="83" t="str">
        <x:v>Stato del sistema elettrico e scenari energetici</x:v>
      </x:c>
      <x:c r="D354" s="83" t="str">
        <x:v>Figura</x:v>
      </x:c>
      <x:c r="E354" s="83" t="str">
        <x:v>30</x:v>
      </x:c>
      <x:c r="F354" s="83" t="n">
        <x:v>45</x:v>
      </x:c>
      <x:c r="G354" s="83" t="n">
        <x:v>43</x:v>
      </x:c>
      <x:c r="H354" s="83" t="str">
        <x:v>3. Analisi del mercato elettrico</x:v>
      </x:c>
      <x:c r="I354" s="83" t="str">
        <x:v>Figura 30 Volumi selezionati per macro-servizio MBR</x:v>
      </x:c>
      <x:c r="J354" s="83" t="str">
        <x:v>Contesto / metodologia</x:v>
      </x:c>
      <x:c r="K354" s="83" t="str">
        <x:v>P2 - contesto/validazione</x:v>
      </x:c>
      <x:c r="L354" s="83" t="str">
        <x:v>Figura o mappa; lettura etichette / eventuale digitalizzazione</x:v>
      </x:c>
      <x:c r="M354" s="83" t="str">
        <x:v>Medio</x:v>
      </x:c>
      <x:c r="N354" s="83" t="str">
        <x:v>Da verificare in Fase 3</x:v>
      </x:c>
    </x:row>
    <x:row r="355">
      <x:c r="A355" s="83" t="str">
        <x:v>S01-FIG-31-46</x:v>
      </x:c>
      <x:c r="B355" s="83" t="str">
        <x:v>S01</x:v>
      </x:c>
      <x:c r="C355" s="83" t="str">
        <x:v>Stato del sistema elettrico e scenari energetici</x:v>
      </x:c>
      <x:c r="D355" s="83" t="str">
        <x:v>Figura</x:v>
      </x:c>
      <x:c r="E355" s="83" t="str">
        <x:v>31</x:v>
      </x:c>
      <x:c r="F355" s="83" t="n">
        <x:v>46</x:v>
      </x:c>
      <x:c r="G355" s="83" t="n">
        <x:v>44</x:v>
      </x:c>
      <x:c r="H355" s="83" t="str">
        <x:v>3. Analisi del mercato elettrico</x:v>
      </x:c>
      <x:c r="I355" s="83" t="str">
        <x:v>Figura 31 Volumi selezionati MBR totali</x:v>
      </x:c>
      <x:c r="J355" s="83" t="str">
        <x:v>Contesto / metodologia</x:v>
      </x:c>
      <x:c r="K355" s="83" t="str">
        <x:v>P2 - contesto/validazione</x:v>
      </x:c>
      <x:c r="L355" s="83" t="str">
        <x:v>Figura o mappa; lettura etichette / eventuale digitalizzazione</x:v>
      </x:c>
      <x:c r="M355" s="83" t="str">
        <x:v>Medio</x:v>
      </x:c>
      <x:c r="N355" s="83" t="str">
        <x:v>Da verificare in Fase 3</x:v>
      </x:c>
    </x:row>
    <x:row r="356">
      <x:c r="A356" s="83" t="str">
        <x:v>S01-FIG-32-46</x:v>
      </x:c>
      <x:c r="B356" s="83" t="str">
        <x:v>S01</x:v>
      </x:c>
      <x:c r="C356" s="83" t="str">
        <x:v>Stato del sistema elettrico e scenari energetici</x:v>
      </x:c>
      <x:c r="D356" s="83" t="str">
        <x:v>Figura</x:v>
      </x:c>
      <x:c r="E356" s="83" t="str">
        <x:v>32</x:v>
      </x:c>
      <x:c r="F356" s="83" t="n">
        <x:v>46</x:v>
      </x:c>
      <x:c r="G356" s="83" t="n">
        <x:v>44</x:v>
      </x:c>
      <x:c r="H356" s="83" t="str">
        <x:v>3. Analisi del mercato elettrico</x:v>
      </x:c>
      <x:c r="I356" s="83" t="str">
        <x:v>Figura 32 Prezzi annuali MBR e PUN (€/MWh)</x:v>
      </x:c>
      <x:c r="J356" s="83" t="str">
        <x:v>Mercato e prezzi</x:v>
      </x:c>
      <x:c r="K356" s="83" t="str">
        <x:v>P1 - input diretto/parametro</x:v>
      </x:c>
      <x:c r="L356" s="83" t="str">
        <x:v>Figura o mappa; lettura etichette / eventuale digitalizzazione</x:v>
      </x:c>
      <x:c r="M356" s="83" t="str">
        <x:v>Medio</x:v>
      </x:c>
      <x:c r="N356" s="83" t="str">
        <x:v>Da verificare in Fase 3</x:v>
      </x:c>
    </x:row>
    <x:row r="357">
      <x:c r="A357" s="83" t="str">
        <x:v>S01-FIG-33-47</x:v>
      </x:c>
      <x:c r="B357" s="83" t="str">
        <x:v>S01</x:v>
      </x:c>
      <x:c r="C357" s="83" t="str">
        <x:v>Stato del sistema elettrico e scenari energetici</x:v>
      </x:c>
      <x:c r="D357" s="83" t="str">
        <x:v>Figura</x:v>
      </x:c>
      <x:c r="E357" s="83" t="str">
        <x:v>33</x:v>
      </x:c>
      <x:c r="F357" s="83" t="n">
        <x:v>47</x:v>
      </x:c>
      <x:c r="G357" s="83" t="n">
        <x:v>45</x:v>
      </x:c>
      <x:c r="H357" s="83" t="str">
        <x:v>3. Analisi del mercato elettrico</x:v>
      </x:c>
      <x:c r="I357" s="83" t="str">
        <x:v>Figura 33 Prezzi mensili 2024* MBR (€/MWh)</x:v>
      </x:c>
      <x:c r="J357" s="83" t="str">
        <x:v>Contesto / metodologia</x:v>
      </x:c>
      <x:c r="K357" s="83" t="str">
        <x:v>P2 - contesto/validazione</x:v>
      </x:c>
      <x:c r="L357" s="83" t="str">
        <x:v>Figura o mappa; lettura etichette / eventuale digitalizzazione</x:v>
      </x:c>
      <x:c r="M357" s="83" t="str">
        <x:v>Medio</x:v>
      </x:c>
      <x:c r="N357" s="83" t="str">
        <x:v>Da verificare in Fase 3</x:v>
      </x:c>
    </x:row>
    <x:row r="358">
      <x:c r="A358" s="83" t="str">
        <x:v>S01-FIG-34-47</x:v>
      </x:c>
      <x:c r="B358" s="83" t="str">
        <x:v>S01</x:v>
      </x:c>
      <x:c r="C358" s="83" t="str">
        <x:v>Stato del sistema elettrico e scenari energetici</x:v>
      </x:c>
      <x:c r="D358" s="83" t="str">
        <x:v>Figura</x:v>
      </x:c>
      <x:c r="E358" s="83" t="str">
        <x:v>34</x:v>
      </x:c>
      <x:c r="F358" s="83" t="n">
        <x:v>47</x:v>
      </x:c>
      <x:c r="G358" s="83" t="n">
        <x:v>45</x:v>
      </x:c>
      <x:c r="H358" s="83" t="str">
        <x:v>3. Analisi del mercato elettrico</x:v>
      </x:c>
      <x:c r="I358" s="83" t="str">
        <x:v>Figura 34 Costi totali MBR (Mln €)3</x:v>
      </x:c>
      <x:c r="J358" s="83" t="str">
        <x:v>Contesto / metodologia</x:v>
      </x:c>
      <x:c r="K358" s="83" t="str">
        <x:v>P2 - contesto/validazione</x:v>
      </x:c>
      <x:c r="L358" s="83" t="str">
        <x:v>Figura o mappa; lettura etichette / eventuale digitalizzazione</x:v>
      </x:c>
      <x:c r="M358" s="83" t="str">
        <x:v>Medio</x:v>
      </x:c>
      <x:c r="N358" s="83" t="str">
        <x:v>Da verificare in Fase 3</x:v>
      </x:c>
    </x:row>
    <x:row r="359">
      <x:c r="A359" s="83" t="str">
        <x:v>S01-FIG-35-52</x:v>
      </x:c>
      <x:c r="B359" s="83" t="str">
        <x:v>S01</x:v>
      </x:c>
      <x:c r="C359" s="83" t="str">
        <x:v>Stato del sistema elettrico e scenari energetici</x:v>
      </x:c>
      <x:c r="D359" s="83" t="str">
        <x:v>Figura</x:v>
      </x:c>
      <x:c r="E359" s="83" t="str">
        <x:v>35</x:v>
      </x:c>
      <x:c r="F359" s="83" t="n">
        <x:v>52</x:v>
      </x:c>
      <x:c r="G359" s="83" t="n">
        <x:v>50</x:v>
      </x:c>
      <x:c r="H359" s="83" t="str">
        <x:v>3. Analisi del mercato elettrico</x:v>
      </x:c>
      <x:c r="I359" s="83" t="str">
        <x:v>Figura 35 Rappresentazione della capacità delle differenti risorse di rete di fornire dall’alto in basso, servizi</x:v>
      </x:c>
      <x:c r="J359" s="83" t="str">
        <x:v>Capacità e generazione</x:v>
      </x:c>
      <x:c r="K359" s="83" t="str">
        <x:v>P2 - contesto/validazione</x:v>
      </x:c>
      <x:c r="L359" s="83" t="str">
        <x:v>Figura o mappa; lettura etichette / eventuale digitalizzazione</x:v>
      </x:c>
      <x:c r="M359" s="83" t="str">
        <x:v>Medio</x:v>
      </x:c>
      <x:c r="N359" s="83" t="str">
        <x:v>Da verificare in Fase 3</x:v>
      </x:c>
    </x:row>
    <x:row r="360">
      <x:c r="A360" s="83" t="str">
        <x:v>S01-TAB-5-55</x:v>
      </x:c>
      <x:c r="B360" s="83" t="str">
        <x:v>S01</x:v>
      </x:c>
      <x:c r="C360" s="83" t="str">
        <x:v>Stato del sistema elettrico e scenari energetici</x:v>
      </x:c>
      <x:c r="D360" s="83" t="str">
        <x:v>Tabella</x:v>
      </x:c>
      <x:c r="E360" s="83" t="str">
        <x:v>5</x:v>
      </x:c>
      <x:c r="F360" s="83" t="n">
        <x:v>55</x:v>
      </x:c>
      <x:c r="G360" s="83" t="n">
        <x:v>53</x:v>
      </x:c>
      <x:c r="H360" s="83" t="str">
        <x:v>3. Analisi del mercato elettrico</x:v>
      </x:c>
      <x:c r="I360" s="83" t="str">
        <x:v>Tabella 5 Impianti Essenziali per la sicurezza del sistema elettrico (Anno 2025)</x:v>
      </x:c>
      <x:c r="J360" s="83" t="str">
        <x:v>Contesto / metodologia</x:v>
      </x:c>
      <x:c r="K360" s="83" t="str">
        <x:v>P2 - contesto/validazione</x:v>
      </x:c>
      <x:c r="L360" s="83" t="str">
        <x:v>Tabella testuale/PDF</x:v>
      </x:c>
      <x:c r="M360" s="83" t="str">
        <x:v>Basso</x:v>
      </x:c>
      <x:c r="N360" s="83" t="str">
        <x:v>Da verificare in Fase 3</x:v>
      </x:c>
    </x:row>
    <x:row r="361">
      <x:c r="A361" s="83" t="str">
        <x:v>S01-FIG-36-57</x:v>
      </x:c>
      <x:c r="B361" s="83" t="str">
        <x:v>S01</x:v>
      </x:c>
      <x:c r="C361" s="83" t="str">
        <x:v>Stato del sistema elettrico e scenari energetici</x:v>
      </x:c>
      <x:c r="D361" s="83" t="str">
        <x:v>Figura</x:v>
      </x:c>
      <x:c r="E361" s="83" t="str">
        <x:v>36</x:v>
      </x:c>
      <x:c r="F361" s="83" t="n">
        <x:v>57</x:v>
      </x:c>
      <x:c r="G361" s="83" t="n">
        <x:v>55</x:v>
      </x:c>
      <x:c r="H361" s="83" t="str">
        <x:v>3. Analisi del mercato elettrico</x:v>
      </x:c>
      <x:c r="I361" s="83" t="str">
        <x:v>Figura 36 Installazione Impianti di pompaggio</x:v>
      </x:c>
      <x:c r="J361" s="83" t="str">
        <x:v>Accumuli e flessibilità</x:v>
      </x:c>
      <x:c r="K361" s="83" t="str">
        <x:v>P1 - input diretto/parametro</x:v>
      </x:c>
      <x:c r="L361" s="83" t="str">
        <x:v>Figura o mappa; lettura etichette / eventuale digitalizzazione</x:v>
      </x:c>
      <x:c r="M361" s="83" t="str">
        <x:v>Medio</x:v>
      </x:c>
      <x:c r="N361" s="83" t="str">
        <x:v>Da verificare in Fase 3</x:v>
      </x:c>
    </x:row>
    <x:row r="362">
      <x:c r="A362" s="83" t="str">
        <x:v>S01-FIG-37-63</x:v>
      </x:c>
      <x:c r="B362" s="83" t="str">
        <x:v>S01</x:v>
      </x:c>
      <x:c r="C362" s="83" t="str">
        <x:v>Stato del sistema elettrico e scenari energetici</x:v>
      </x:c>
      <x:c r="D362" s="83" t="str">
        <x:v>Figura</x:v>
      </x:c>
      <x:c r="E362" s="83" t="str">
        <x:v>37</x:v>
      </x:c>
      <x:c r="F362" s="83" t="n">
        <x:v>63</x:v>
      </x:c>
      <x:c r="G362" s="83" t="n">
        <x:v>61</x:v>
      </x:c>
      <x:c r="H362" s="83" t="str">
        <x:v>4. Impatti sul sistema elettrico</x:v>
      </x:c>
      <x:c r="I362" s="83" t="str">
        <x:v>Figura 37 Impatti rinnovabili sul sistema elettrico</x:v>
      </x:c>
      <x:c r="J362" s="83" t="str">
        <x:v>Contesto / metodologia</x:v>
      </x:c>
      <x:c r="K362" s="83" t="str">
        <x:v>P2 - contesto/validazione</x:v>
      </x:c>
      <x:c r="L362" s="83" t="str">
        <x:v>Figura o mappa; lettura etichette / eventuale digitalizzazione</x:v>
      </x:c>
      <x:c r="M362" s="83" t="str">
        <x:v>Medio</x:v>
      </x:c>
      <x:c r="N362" s="83" t="str">
        <x:v>Da verificare in Fase 3</x:v>
      </x:c>
    </x:row>
    <x:row r="363">
      <x:c r="A363" s="83" t="str">
        <x:v>S01-FIG-38-64</x:v>
      </x:c>
      <x:c r="B363" s="83" t="str">
        <x:v>S01</x:v>
      </x:c>
      <x:c r="C363" s="83" t="str">
        <x:v>Stato del sistema elettrico e scenari energetici</x:v>
      </x:c>
      <x:c r="D363" s="83" t="str">
        <x:v>Figura</x:v>
      </x:c>
      <x:c r="E363" s="83" t="str">
        <x:v>38</x:v>
      </x:c>
      <x:c r="F363" s="83" t="n">
        <x:v>64</x:v>
      </x:c>
      <x:c r="G363" s="83" t="n">
        <x:v>62</x:v>
      </x:c>
      <x:c r="H363" s="83" t="str">
        <x:v>4. Impatti sul sistema elettrico</x:v>
      </x:c>
      <x:c r="I363" s="83" t="str">
        <x:v>Figura 38 Evoluzione MPE (GWh)</x:v>
      </x:c>
      <x:c r="J363" s="83" t="str">
        <x:v>Contesto / metodologia</x:v>
      </x:c>
      <x:c r="K363" s="83" t="str">
        <x:v>P2 - contesto/validazione</x:v>
      </x:c>
      <x:c r="L363" s="83" t="str">
        <x:v>Figura o mappa; lettura etichette / eventuale digitalizzazione</x:v>
      </x:c>
      <x:c r="M363" s="83" t="str">
        <x:v>Medio</x:v>
      </x:c>
      <x:c r="N363" s="83" t="str">
        <x:v>Da verificare in Fase 3</x:v>
      </x:c>
    </x:row>
    <x:row r="364">
      <x:c r="A364" s="83" t="str">
        <x:v>S01-FIG-39-65</x:v>
      </x:c>
      <x:c r="B364" s="83" t="str">
        <x:v>S01</x:v>
      </x:c>
      <x:c r="C364" s="83" t="str">
        <x:v>Stato del sistema elettrico e scenari energetici</x:v>
      </x:c>
      <x:c r="D364" s="83" t="str">
        <x:v>Figura</x:v>
      </x:c>
      <x:c r="E364" s="83" t="str">
        <x:v>39</x:v>
      </x:c>
      <x:c r="F364" s="83" t="n">
        <x:v>65</x:v>
      </x:c>
      <x:c r="G364" s="83" t="n">
        <x:v>63</x:v>
      </x:c>
      <x:c r="H364" s="83" t="str">
        <x:v>4. Impatti sul sistema elettrico</x:v>
      </x:c>
      <x:c r="I364" s="83" t="str">
        <x:v>Figura 39 Confronto dati MPE 2023 vs 2024</x:v>
      </x:c>
      <x:c r="J364" s="83" t="str">
        <x:v>Contesto / metodologia</x:v>
      </x:c>
      <x:c r="K364" s="83" t="str">
        <x:v>P2 - contesto/validazione</x:v>
      </x:c>
      <x:c r="L364" s="83" t="str">
        <x:v>Figura o mappa; lettura etichette / eventuale digitalizzazione</x:v>
      </x:c>
      <x:c r="M364" s="83" t="str">
        <x:v>Medio</x:v>
      </x:c>
      <x:c r="N364" s="83" t="str">
        <x:v>Da verificare in Fase 3</x:v>
      </x:c>
    </x:row>
    <x:row r="365">
      <x:c r="A365" s="83" t="str">
        <x:v>S01-FIG-40-66</x:v>
      </x:c>
      <x:c r="B365" s="83" t="str">
        <x:v>S01</x:v>
      </x:c>
      <x:c r="C365" s="83" t="str">
        <x:v>Stato del sistema elettrico e scenari energetici</x:v>
      </x:c>
      <x:c r="D365" s="83" t="str">
        <x:v>Figura</x:v>
      </x:c>
      <x:c r="E365" s="83" t="str">
        <x:v>40</x:v>
      </x:c>
      <x:c r="F365" s="83" t="n">
        <x:v>66</x:v>
      </x:c>
      <x:c r="G365" s="83" t="n">
        <x:v>64</x:v>
      </x:c>
      <x:c r="H365" s="83" t="str">
        <x:v>4. Impatti sul sistema elettrico</x:v>
      </x:c>
      <x:c r="I365" s="83" t="str">
        <x:v>Figura 40 Continuità del servizio di alimentazione – Disalimentazioni su reti AAT/AT</x:v>
      </x:c>
      <x:c r="J365" s="83" t="str">
        <x:v>Contesto / metodologia</x:v>
      </x:c>
      <x:c r="K365" s="83" t="str">
        <x:v>P2 - contesto/validazione</x:v>
      </x:c>
      <x:c r="L365" s="83" t="str">
        <x:v>Figura o mappa; lettura etichette / eventuale digitalizzazione</x:v>
      </x:c>
      <x:c r="M365" s="83" t="str">
        <x:v>Medio</x:v>
      </x:c>
      <x:c r="N365" s="83" t="str">
        <x:v>Da verificare in Fase 3</x:v>
      </x:c>
    </x:row>
    <x:row r="366">
      <x:c r="A366" s="83" t="str">
        <x:v>S01-FIG-41-67</x:v>
      </x:c>
      <x:c r="B366" s="83" t="str">
        <x:v>S01</x:v>
      </x:c>
      <x:c r="C366" s="83" t="str">
        <x:v>Stato del sistema elettrico e scenari energetici</x:v>
      </x:c>
      <x:c r="D366" s="83" t="str">
        <x:v>Figura</x:v>
      </x:c>
      <x:c r="E366" s="83" t="str">
        <x:v>41</x:v>
      </x:c>
      <x:c r="F366" s="83" t="n">
        <x:v>67</x:v>
      </x:c>
      <x:c r="G366" s="83" t="n">
        <x:v>65</x:v>
      </x:c>
      <x:c r="H366" s="83" t="str">
        <x:v>4. Impatti sul sistema elettrico</x:v>
      </x:c>
      <x:c r="I366" s="83" t="str">
        <x:v>Figura 41 Range di variazione del livello di tensione</x:v>
      </x:c>
      <x:c r="J366" s="83" t="str">
        <x:v>Contesto / metodologia</x:v>
      </x:c>
      <x:c r="K366" s="83" t="str">
        <x:v>P2 - contesto/validazione</x:v>
      </x:c>
      <x:c r="L366" s="83" t="str">
        <x:v>Figura o mappa; lettura etichette / eventuale digitalizzazione</x:v>
      </x:c>
      <x:c r="M366" s="83" t="str">
        <x:v>Medio</x:v>
      </x:c>
      <x:c r="N366" s="83" t="str">
        <x:v>Da verificare in Fase 3</x:v>
      </x:c>
    </x:row>
    <x:row r="367">
      <x:c r="A367" s="83" t="str">
        <x:v>S01-FIG-44-68</x:v>
      </x:c>
      <x:c r="B367" s="83" t="str">
        <x:v>S01</x:v>
      </x:c>
      <x:c r="C367" s="83" t="str">
        <x:v>Stato del sistema elettrico e scenari energetici</x:v>
      </x:c>
      <x:c r="D367" s="83" t="str">
        <x:v>Figura</x:v>
      </x:c>
      <x:c r="E367" s="83" t="str">
        <x:v>44</x:v>
      </x:c>
      <x:c r="F367" s="83" t="n">
        <x:v>68</x:v>
      </x:c>
      <x:c r="G367" s="83" t="n">
        <x:v>66</x:v>
      </x:c>
      <x:c r="H367" s="83" t="str">
        <x:v>4. Impatti sul sistema elettrico</x:v>
      </x:c>
      <x:c r="I367" s="83" t="str">
        <x:v>Figura 44 Andamento della tensione ai nodi critici – sovratensioni (Luglio 2023 – Giugno 2024)</x:v>
      </x:c>
      <x:c r="J367" s="83" t="str">
        <x:v>Contesto / metodologia</x:v>
      </x:c>
      <x:c r="K367" s="83" t="str">
        <x:v>P2 - contesto/validazione</x:v>
      </x:c>
      <x:c r="L367" s="83" t="str">
        <x:v>Figura o mappa; lettura etichette / eventuale digitalizzazione</x:v>
      </x:c>
      <x:c r="M367" s="83" t="str">
        <x:v>Medio</x:v>
      </x:c>
      <x:c r="N367" s="83" t="str">
        <x:v>Da verificare in Fase 3</x:v>
      </x:c>
    </x:row>
    <x:row r="368">
      <x:c r="A368" s="83" t="str">
        <x:v>S01-FIG-45-68</x:v>
      </x:c>
      <x:c r="B368" s="83" t="str">
        <x:v>S01</x:v>
      </x:c>
      <x:c r="C368" s="83" t="str">
        <x:v>Stato del sistema elettrico e scenari energetici</x:v>
      </x:c>
      <x:c r="D368" s="83" t="str">
        <x:v>Figura</x:v>
      </x:c>
      <x:c r="E368" s="83" t="str">
        <x:v>45</x:v>
      </x:c>
      <x:c r="F368" s="83" t="n">
        <x:v>68</x:v>
      </x:c>
      <x:c r="G368" s="83" t="n">
        <x:v>66</x:v>
      </x:c>
      <x:c r="H368" s="83" t="str">
        <x:v>4. Impatti sul sistema elettrico</x:v>
      </x:c>
      <x:c r="I368" s="83" t="str">
        <x:v>Figura 45 Andamento della tensione ai nodi critici – sottotensioni (Luglio 2023 – Giugno 2024)</x:v>
      </x:c>
      <x:c r="J368" s="83" t="str">
        <x:v>Contesto / metodologia</x:v>
      </x:c>
      <x:c r="K368" s="83" t="str">
        <x:v>P2 - contesto/validazione</x:v>
      </x:c>
      <x:c r="L368" s="83" t="str">
        <x:v>Figura o mappa; lettura etichette / eventuale digitalizzazione</x:v>
      </x:c>
      <x:c r="M368" s="83" t="str">
        <x:v>Medio</x:v>
      </x:c>
      <x:c r="N368" s="83" t="str">
        <x:v>Da verificare in Fase 3</x:v>
      </x:c>
    </x:row>
    <x:row r="369">
      <x:c r="A369" s="83" t="str">
        <x:v>S01-FIG-42-68</x:v>
      </x:c>
      <x:c r="B369" s="83" t="str">
        <x:v>S01</x:v>
      </x:c>
      <x:c r="C369" s="83" t="str">
        <x:v>Stato del sistema elettrico e scenari energetici</x:v>
      </x:c>
      <x:c r="D369" s="83" t="str">
        <x:v>Figura</x:v>
      </x:c>
      <x:c r="E369" s="83" t="str">
        <x:v>42</x:v>
      </x:c>
      <x:c r="F369" s="83" t="n">
        <x:v>68</x:v>
      </x:c>
      <x:c r="G369" s="83" t="n">
        <x:v>66</x:v>
      </x:c>
      <x:c r="H369" s="83" t="str">
        <x:v>4. Impatti sul sistema elettrico</x:v>
      </x:c>
      <x:c r="I369" s="83" t="str">
        <x:v>Figura 42 Distribuzione territoriale delle tensioni 400 kV</x:v>
      </x:c>
      <x:c r="J369" s="83" t="str">
        <x:v>Contesto / metodologia</x:v>
      </x:c>
      <x:c r="K369" s="83" t="str">
        <x:v>P2 - contesto/validazione</x:v>
      </x:c>
      <x:c r="L369" s="83" t="str">
        <x:v>Figura o mappa; lettura etichette / eventuale digitalizzazione</x:v>
      </x:c>
      <x:c r="M369" s="83" t="str">
        <x:v>Medio</x:v>
      </x:c>
      <x:c r="N369" s="83" t="str">
        <x:v>Da verificare in Fase 3</x:v>
      </x:c>
    </x:row>
    <x:row r="370">
      <x:c r="A370" s="83" t="str">
        <x:v>S01-FIG-43-68</x:v>
      </x:c>
      <x:c r="B370" s="83" t="str">
        <x:v>S01</x:v>
      </x:c>
      <x:c r="C370" s="83" t="str">
        <x:v>Stato del sistema elettrico e scenari energetici</x:v>
      </x:c>
      <x:c r="D370" s="83" t="str">
        <x:v>Figura</x:v>
      </x:c>
      <x:c r="E370" s="83" t="str">
        <x:v>43</x:v>
      </x:c>
      <x:c r="F370" s="83" t="n">
        <x:v>68</x:v>
      </x:c>
      <x:c r="G370" s="83" t="n">
        <x:v>66</x:v>
      </x:c>
      <x:c r="H370" s="83" t="str">
        <x:v>4. Impatti sul sistema elettrico</x:v>
      </x:c>
      <x:c r="I370" s="83" t="str">
        <x:v>Figura 43 Distribuzione delle tensioni sui nodi</x:v>
      </x:c>
      <x:c r="J370" s="83" t="str">
        <x:v>Contesto / metodologia</x:v>
      </x:c>
      <x:c r="K370" s="83" t="str">
        <x:v>P2 - contesto/validazione</x:v>
      </x:c>
      <x:c r="L370" s="83" t="str">
        <x:v>Figura o mappa; lettura etichette / eventuale digitalizzazione</x:v>
      </x:c>
      <x:c r="M370" s="83" t="str">
        <x:v>Medio</x:v>
      </x:c>
      <x:c r="N370" s="83" t="str">
        <x:v>Da verificare in Fase 3</x:v>
      </x:c>
    </x:row>
    <x:row r="371">
      <x:c r="A371" s="83" t="str">
        <x:v>S01-FIG-46-70</x:v>
      </x:c>
      <x:c r="B371" s="83" t="str">
        <x:v>S01</x:v>
      </x:c>
      <x:c r="C371" s="83" t="str">
        <x:v>Stato del sistema elettrico e scenari energetici</x:v>
      </x:c>
      <x:c r="D371" s="83" t="str">
        <x:v>Figura</x:v>
      </x:c>
      <x:c r="E371" s="83" t="str">
        <x:v>46</x:v>
      </x:c>
      <x:c r="F371" s="83" t="n">
        <x:v>70</x:v>
      </x:c>
      <x:c r="G371" s="83" t="n">
        <x:v>68</x:v>
      </x:c>
      <x:c r="H371" s="83" t="str">
        <x:v>4. Impatti sul sistema elettrico</x:v>
      </x:c>
      <x:c r="I371" s="83" t="str">
        <x:v>Figura 46 Piano Installazioni Piano Sicurezza</x:v>
      </x:c>
      <x:c r="J371" s="83" t="str">
        <x:v>Contesto / metodologia</x:v>
      </x:c>
      <x:c r="K371" s="83" t="str">
        <x:v>P2 - contesto/validazione</x:v>
      </x:c>
      <x:c r="L371" s="83" t="str">
        <x:v>Figura o mappa; lettura etichette / eventuale digitalizzazione</x:v>
      </x:c>
      <x:c r="M371" s="83" t="str">
        <x:v>Medio</x:v>
      </x:c>
      <x:c r="N371" s="83" t="str">
        <x:v>Da verificare in Fase 3</x:v>
      </x:c>
    </x:row>
    <x:row r="372">
      <x:c r="A372" s="83" t="str">
        <x:v>S01-TAB-6-71</x:v>
      </x:c>
      <x:c r="B372" s="83" t="str">
        <x:v>S01</x:v>
      </x:c>
      <x:c r="C372" s="83" t="str">
        <x:v>Stato del sistema elettrico e scenari energetici</x:v>
      </x:c>
      <x:c r="D372" s="83" t="str">
        <x:v>Tabella</x:v>
      </x:c>
      <x:c r="E372" s="83" t="str">
        <x:v>6</x:v>
      </x:c>
      <x:c r="F372" s="83" t="n">
        <x:v>71</x:v>
      </x:c>
      <x:c r="G372" s="83" t="n">
        <x:v>69</x:v>
      </x:c>
      <x:c r="H372" s="83" t="str">
        <x:v>4. Impatti sul sistema elettrico</x:v>
      </x:c>
      <x:c r="I372" s="83" t="str">
        <x:v>Tabella 6 Interventi Piano Sicurezza 2024</x:v>
      </x:c>
      <x:c r="J372" s="83" t="str">
        <x:v>Contesto / metodologia</x:v>
      </x:c>
      <x:c r="K372" s="83" t="str">
        <x:v>P2 - contesto/validazione</x:v>
      </x:c>
      <x:c r="L372" s="83" t="str">
        <x:v>Tabella testuale/PDF</x:v>
      </x:c>
      <x:c r="M372" s="83" t="str">
        <x:v>Basso</x:v>
      </x:c>
      <x:c r="N372" s="83" t="str">
        <x:v>Da verificare in Fase 3</x:v>
      </x:c>
    </x:row>
    <x:row r="373">
      <x:c r="A373" s="83" t="str">
        <x:v>S01-FIG-47-73</x:v>
      </x:c>
      <x:c r="B373" s="83" t="str">
        <x:v>S01</x:v>
      </x:c>
      <x:c r="C373" s="83" t="str">
        <x:v>Stato del sistema elettrico e scenari energetici</x:v>
      </x:c>
      <x:c r="D373" s="83" t="str">
        <x:v>Figura</x:v>
      </x:c>
      <x:c r="E373" s="83" t="str">
        <x:v>47</x:v>
      </x:c>
      <x:c r="F373" s="83" t="n">
        <x:v>73</x:v>
      </x:c>
      <x:c r="G373" s="83" t="n">
        <x:v>71</x:v>
      </x:c>
      <x:c r="H373" s="83" t="str">
        <x:v>4. Impatti sul sistema elettrico</x:v>
      </x:c>
      <x:c r="I373" s="83" t="str">
        <x:v>Figura 47 Metodologia Resilienza</x:v>
      </x:c>
      <x:c r="J373" s="83" t="str">
        <x:v>Contesto / metodologia</x:v>
      </x:c>
      <x:c r="K373" s="83" t="str">
        <x:v>P2 - contesto/validazione</x:v>
      </x:c>
      <x:c r="L373" s="83" t="str">
        <x:v>Figura o mappa; lettura etichette / eventuale digitalizzazione</x:v>
      </x:c>
      <x:c r="M373" s="83" t="str">
        <x:v>Medio</x:v>
      </x:c>
      <x:c r="N373" s="83" t="str">
        <x:v>Da verificare in Fase 3</x:v>
      </x:c>
    </x:row>
    <x:row r="374">
      <x:c r="A374" s="83" t="str">
        <x:v>S01-TAB-7-81</x:v>
      </x:c>
      <x:c r="B374" s="83" t="str">
        <x:v>S01</x:v>
      </x:c>
      <x:c r="C374" s="83" t="str">
        <x:v>Stato del sistema elettrico e scenari energetici</x:v>
      </x:c>
      <x:c r="D374" s="83" t="str">
        <x:v>Tabella</x:v>
      </x:c>
      <x:c r="E374" s="83" t="str">
        <x:v>7</x:v>
      </x:c>
      <x:c r="F374" s="83" t="n">
        <x:v>81</x:v>
      </x:c>
      <x:c r="G374" s="83" t="n">
        <x:v>79</x:v>
      </x:c>
      <x:c r="H374" s="83" t="str">
        <x:v>4. Impatti sul sistema elettrico</x:v>
      </x:c>
      <x:c r="I374" s="83" t="str">
        <x:v>Tabella 7 Dispositivi Organi di manovra su palo (OMP)</x:v>
      </x:c>
      <x:c r="J374" s="83" t="str">
        <x:v>Contesto / metodologia</x:v>
      </x:c>
      <x:c r="K374" s="83" t="str">
        <x:v>P2 - contesto/validazione</x:v>
      </x:c>
      <x:c r="L374" s="83" t="str">
        <x:v>Tabella testuale/PDF</x:v>
      </x:c>
      <x:c r="M374" s="83" t="str">
        <x:v>Basso</x:v>
      </x:c>
      <x:c r="N374" s="83" t="str">
        <x:v>Da verificare in Fase 3</x:v>
      </x:c>
    </x:row>
    <x:row r="375">
      <x:c r="A375" s="83" t="str">
        <x:v>S01-TAB-8-81</x:v>
      </x:c>
      <x:c r="B375" s="83" t="str">
        <x:v>S01</x:v>
      </x:c>
      <x:c r="C375" s="83" t="str">
        <x:v>Stato del sistema elettrico e scenari energetici</x:v>
      </x:c>
      <x:c r="D375" s="83" t="str">
        <x:v>Tabella</x:v>
      </x:c>
      <x:c r="E375" s="83" t="str">
        <x:v>8</x:v>
      </x:c>
      <x:c r="F375" s="83" t="n">
        <x:v>81</x:v>
      </x:c>
      <x:c r="G375" s="83" t="n">
        <x:v>79</x:v>
      </x:c>
      <x:c r="H375" s="83" t="str">
        <x:v>4. Impatti sul sistema elettrico</x:v>
      </x:c>
      <x:c r="I375" s="83" t="str">
        <x:v>Tabella 8 Sezionatori telecondotti</x:v>
      </x:c>
      <x:c r="J375" s="83" t="str">
        <x:v>Contesto / metodologia</x:v>
      </x:c>
      <x:c r="K375" s="83" t="str">
        <x:v>P2 - contesto/validazione</x:v>
      </x:c>
      <x:c r="L375" s="83" t="str">
        <x:v>Tabella testuale/PDF</x:v>
      </x:c>
      <x:c r="M375" s="83" t="str">
        <x:v>Basso</x:v>
      </x:c>
      <x:c r="N375" s="83" t="str">
        <x:v>Da verificare in Fase 3</x:v>
      </x:c>
    </x:row>
    <x:row r="376">
      <x:c r="A376" s="83" t="str">
        <x:v>S01-TAB-9-82</x:v>
      </x:c>
      <x:c r="B376" s="83" t="str">
        <x:v>S01</x:v>
      </x:c>
      <x:c r="C376" s="83" t="str">
        <x:v>Stato del sistema elettrico e scenari energetici</x:v>
      </x:c>
      <x:c r="D376" s="83" t="str">
        <x:v>Tabella</x:v>
      </x:c>
      <x:c r="E376" s="83" t="str">
        <x:v>9</x:v>
      </x:c>
      <x:c r="F376" s="83" t="n">
        <x:v>82</x:v>
      </x:c>
      <x:c r="G376" s="83" t="n">
        <x:v>80</x:v>
      </x:c>
      <x:c r="H376" s="83" t="str">
        <x:v>4. Impatti sul sistema elettrico</x:v>
      </x:c>
      <x:c r="I376" s="83" t="str">
        <x:v>Tabella 9 Installazione batterie di condensatori</x:v>
      </x:c>
      <x:c r="J376" s="83" t="str">
        <x:v>Accumuli e flessibilità</x:v>
      </x:c>
      <x:c r="K376" s="83" t="str">
        <x:v>P1 - input diretto/parametro</x:v>
      </x:c>
      <x:c r="L376" s="83" t="str">
        <x:v>Tabella testuale/PDF</x:v>
      </x:c>
      <x:c r="M376" s="83" t="str">
        <x:v>Basso</x:v>
      </x:c>
      <x:c r="N376" s="83" t="str">
        <x:v>Da verificare in Fase 3</x:v>
      </x:c>
    </x:row>
    <x:row r="377">
      <x:c r="A377" s="83" t="str">
        <x:v>S01-TAB-10-82</x:v>
      </x:c>
      <x:c r="B377" s="83" t="str">
        <x:v>S01</x:v>
      </x:c>
      <x:c r="C377" s="83" t="str">
        <x:v>Stato del sistema elettrico e scenari energetici</x:v>
      </x:c>
      <x:c r="D377" s="83" t="str">
        <x:v>Tabella</x:v>
      </x:c>
      <x:c r="E377" s="83" t="str">
        <x:v>10</x:v>
      </x:c>
      <x:c r="F377" s="83" t="n">
        <x:v>82</x:v>
      </x:c>
      <x:c r="G377" s="83" t="n">
        <x:v>80</x:v>
      </x:c>
      <x:c r="H377" s="83" t="str">
        <x:v>4. Impatti sul sistema elettrico</x:v>
      </x:c>
      <x:c r="I377" s="83" t="str">
        <x:v>Tabella 10 Installazione di reattori</x:v>
      </x:c>
      <x:c r="J377" s="83" t="str">
        <x:v>Contesto / metodologia</x:v>
      </x:c>
      <x:c r="K377" s="83" t="str">
        <x:v>P2 - contesto/validazione</x:v>
      </x:c>
      <x:c r="L377" s="83" t="str">
        <x:v>Tabella testuale/PDF</x:v>
      </x:c>
      <x:c r="M377" s="83" t="str">
        <x:v>Basso</x:v>
      </x:c>
      <x:c r="N377" s="83" t="str">
        <x:v>Da verificare in Fase 3</x:v>
      </x:c>
    </x:row>
    <x:row r="378">
      <x:c r="A378" s="83" t="str">
        <x:v>S01-TAB-11-83</x:v>
      </x:c>
      <x:c r="B378" s="83" t="str">
        <x:v>S01</x:v>
      </x:c>
      <x:c r="C378" s="83" t="str">
        <x:v>Stato del sistema elettrico e scenari energetici</x:v>
      </x:c>
      <x:c r="D378" s="83" t="str">
        <x:v>Tabella</x:v>
      </x:c>
      <x:c r="E378" s="83" t="str">
        <x:v>11</x:v>
      </x:c>
      <x:c r="F378" s="83" t="n">
        <x:v>83</x:v>
      </x:c>
      <x:c r="G378" s="83" t="n">
        <x:v>81</x:v>
      </x:c>
      <x:c r="H378" s="83" t="str">
        <x:v>5. Gli scenari energetici</x:v>
      </x:c>
      <x:c r="I378" s="83" t="str">
        <x:v>Tabella 11 Interventi Piano Sicurezza*</x:v>
      </x:c>
      <x:c r="J378" s="83" t="str">
        <x:v>Contesto / metodologia</x:v>
      </x:c>
      <x:c r="K378" s="83" t="str">
        <x:v>P2 - contesto/validazione</x:v>
      </x:c>
      <x:c r="L378" s="83" t="str">
        <x:v>Tabella testuale/PDF</x:v>
      </x:c>
      <x:c r="M378" s="83" t="str">
        <x:v>Basso</x:v>
      </x:c>
      <x:c r="N378" s="83" t="str">
        <x:v>Da verificare in Fase 3</x:v>
      </x:c>
    </x:row>
    <x:row r="379">
      <x:c r="A379" s="83" t="str">
        <x:v>S01-FIG-48-87</x:v>
      </x:c>
      <x:c r="B379" s="83" t="str">
        <x:v>S01</x:v>
      </x:c>
      <x:c r="C379" s="83" t="str">
        <x:v>Stato del sistema elettrico e scenari energetici</x:v>
      </x:c>
      <x:c r="D379" s="83" t="str">
        <x:v>Figura</x:v>
      </x:c>
      <x:c r="E379" s="83" t="str">
        <x:v>48</x:v>
      </x:c>
      <x:c r="F379" s="83" t="n">
        <x:v>87</x:v>
      </x:c>
      <x:c r="G379" s="83" t="n">
        <x:v>85</x:v>
      </x:c>
      <x:c r="H379" s="83" t="str">
        <x:v>5. Gli scenari energetici</x:v>
      </x:c>
      <x:c r="I379" s="83" t="str">
        <x:v>Figura 48 Catena modellistica del processo di costruzione degli scenari</x:v>
      </x:c>
      <x:c r="J379" s="83" t="str">
        <x:v>Scenario e metodologia</x:v>
      </x:c>
      <x:c r="K379" s="83" t="str">
        <x:v>P2 - contesto/validazione</x:v>
      </x:c>
      <x:c r="L379" s="83" t="str">
        <x:v>Figura o mappa; lettura etichette / eventuale digitalizzazione</x:v>
      </x:c>
      <x:c r="M379" s="83" t="str">
        <x:v>Medio</x:v>
      </x:c>
      <x:c r="N379" s="83" t="str">
        <x:v>Da verificare in Fase 3</x:v>
      </x:c>
    </x:row>
    <x:row r="380">
      <x:c r="A380" s="83" t="str">
        <x:v>S01-TAB-12-88</x:v>
      </x:c>
      <x:c r="B380" s="83" t="str">
        <x:v>S01</x:v>
      </x:c>
      <x:c r="C380" s="83" t="str">
        <x:v>Stato del sistema elettrico e scenari energetici</x:v>
      </x:c>
      <x:c r="D380" s="83" t="str">
        <x:v>Tabella</x:v>
      </x:c>
      <x:c r="E380" s="83" t="str">
        <x:v>12</x:v>
      </x:c>
      <x:c r="F380" s="83" t="n">
        <x:v>88</x:v>
      </x:c>
      <x:c r="G380" s="83" t="n">
        <x:v>86</x:v>
      </x:c>
      <x:c r="H380" s="83" t="str">
        <x:v>5. Gli scenari energetici</x:v>
      </x:c>
      <x:c r="I380" s="83" t="str">
        <x:v>Tabella 12 Ipotesi macroeconomiche e demografiche</x:v>
      </x:c>
      <x:c r="J380" s="83" t="str">
        <x:v>Contesto / metodologia</x:v>
      </x:c>
      <x:c r="K380" s="83" t="str">
        <x:v>P2 - contesto/validazione</x:v>
      </x:c>
      <x:c r="L380" s="83" t="str">
        <x:v>Tabella testuale/PDF</x:v>
      </x:c>
      <x:c r="M380" s="83" t="str">
        <x:v>Basso</x:v>
      </x:c>
      <x:c r="N380" s="83" t="str">
        <x:v>Da verificare in Fase 3</x:v>
      </x:c>
    </x:row>
    <x:row r="381">
      <x:c r="A381" s="83" t="str">
        <x:v>S01-TAB-13-88</x:v>
      </x:c>
      <x:c r="B381" s="83" t="str">
        <x:v>S01</x:v>
      </x:c>
      <x:c r="C381" s="83" t="str">
        <x:v>Stato del sistema elettrico e scenari energetici</x:v>
      </x:c>
      <x:c r="D381" s="83" t="str">
        <x:v>Tabella</x:v>
      </x:c>
      <x:c r="E381" s="83" t="str">
        <x:v>13</x:v>
      </x:c>
      <x:c r="F381" s="83" t="n">
        <x:v>88</x:v>
      </x:c>
      <x:c r="G381" s="83" t="n">
        <x:v>86</x:v>
      </x:c>
      <x:c r="H381" s="83" t="str">
        <x:v>5. Gli scenari energetici</x:v>
      </x:c>
      <x:c r="I381" s="83" t="str">
        <x:v>Tabella 13 Tasso medio di crescita del PIL</x:v>
      </x:c>
      <x:c r="J381" s="83" t="str">
        <x:v>Contesto / metodologia</x:v>
      </x:c>
      <x:c r="K381" s="83" t="str">
        <x:v>P2 - contesto/validazione</x:v>
      </x:c>
      <x:c r="L381" s="83" t="str">
        <x:v>Tabella testuale/PDF</x:v>
      </x:c>
      <x:c r="M381" s="83" t="str">
        <x:v>Basso</x:v>
      </x:c>
      <x:c r="N381" s="83" t="str">
        <x:v>Da verificare in Fase 3</x:v>
      </x:c>
    </x:row>
    <x:row r="382">
      <x:c r="A382" s="83" t="str">
        <x:v>S01-TAB-14-88</x:v>
      </x:c>
      <x:c r="B382" s="83" t="str">
        <x:v>S01</x:v>
      </x:c>
      <x:c r="C382" s="83" t="str">
        <x:v>Stato del sistema elettrico e scenari energetici</x:v>
      </x:c>
      <x:c r="D382" s="83" t="str">
        <x:v>Tabella</x:v>
      </x:c>
      <x:c r="E382" s="83" t="str">
        <x:v>14</x:v>
      </x:c>
      <x:c r="F382" s="83" t="n">
        <x:v>88</x:v>
      </x:c>
      <x:c r="G382" s="83" t="n">
        <x:v>86</x:v>
      </x:c>
      <x:c r="H382" s="83" t="str">
        <x:v>5. Gli scenari energetici</x:v>
      </x:c>
      <x:c r="I382" s="83" t="str">
        <x:v>Tabella 14 Prezzi delle commodity</x:v>
      </x:c>
      <x:c r="J382" s="83" t="str">
        <x:v>Mercato e prezzi</x:v>
      </x:c>
      <x:c r="K382" s="83" t="str">
        <x:v>P1 - input diretto/parametro</x:v>
      </x:c>
      <x:c r="L382" s="83" t="str">
        <x:v>Tabella testuale/PDF</x:v>
      </x:c>
      <x:c r="M382" s="83" t="str">
        <x:v>Basso</x:v>
      </x:c>
      <x:c r="N382" s="83" t="str">
        <x:v>Da verificare in Fase 3</x:v>
      </x:c>
    </x:row>
    <x:row r="383">
      <x:c r="A383" s="83" t="str">
        <x:v>S01-FIG-49-89</x:v>
      </x:c>
      <x:c r="B383" s="83" t="str">
        <x:v>S01</x:v>
      </x:c>
      <x:c r="C383" s="83" t="str">
        <x:v>Stato del sistema elettrico e scenari energetici</x:v>
      </x:c>
      <x:c r="D383" s="83" t="str">
        <x:v>Figura</x:v>
      </x:c>
      <x:c r="E383" s="83" t="str">
        <x:v>49</x:v>
      </x:c>
      <x:c r="F383" s="83" t="n">
        <x:v>89</x:v>
      </x:c>
      <x:c r="G383" s="83" t="n">
        <x:v>87</x:v>
      </x:c>
      <x:c r="H383" s="83" t="str">
        <x:v>5. Gli scenari energetici</x:v>
      </x:c>
      <x:c r="I383" s="83" t="str">
        <x:v>Figura 49 Scenari ENTSOs</x:v>
      </x:c>
      <x:c r="J383" s="83" t="str">
        <x:v>Contesto / metodologia</x:v>
      </x:c>
      <x:c r="K383" s="83" t="str">
        <x:v>P2 - contesto/validazione</x:v>
      </x:c>
      <x:c r="L383" s="83" t="str">
        <x:v>Figura o mappa; lettura etichette / eventuale digitalizzazione</x:v>
      </x:c>
      <x:c r="M383" s="83" t="str">
        <x:v>Medio</x:v>
      </x:c>
      <x:c r="N383" s="83" t="str">
        <x:v>Da verificare in Fase 3</x:v>
      </x:c>
    </x:row>
    <x:row r="384">
      <x:c r="A384" s="83" t="str">
        <x:v>S01-FIG-50-90</x:v>
      </x:c>
      <x:c r="B384" s="83" t="str">
        <x:v>S01</x:v>
      </x:c>
      <x:c r="C384" s="83" t="str">
        <x:v>Stato del sistema elettrico e scenari energetici</x:v>
      </x:c>
      <x:c r="D384" s="83" t="str">
        <x:v>Figura</x:v>
      </x:c>
      <x:c r="E384" s="83" t="str">
        <x:v>50</x:v>
      </x:c>
      <x:c r="F384" s="83" t="n">
        <x:v>90</x:v>
      </x:c>
      <x:c r="G384" s="83" t="n">
        <x:v>88</x:v>
      </x:c>
      <x:c r="H384" s="83" t="str">
        <x:v>5. Gli scenari energetici</x:v>
      </x:c>
      <x:c r="I384" s="83" t="str">
        <x:v>Figura 50 Scenari DDS 2024</x:v>
      </x:c>
      <x:c r="J384" s="83" t="str">
        <x:v>Scenario e metodologia</x:v>
      </x:c>
      <x:c r="K384" s="83" t="str">
        <x:v>P2 - contesto/validazione</x:v>
      </x:c>
      <x:c r="L384" s="83" t="str">
        <x:v>Figura o mappa; lettura etichette / eventuale digitalizzazione</x:v>
      </x:c>
      <x:c r="M384" s="83" t="str">
        <x:v>Medio</x:v>
      </x:c>
      <x:c r="N384" s="83" t="str">
        <x:v>Da verificare in Fase 3</x:v>
      </x:c>
    </x:row>
    <x:row r="385">
      <x:c r="A385" s="83" t="str">
        <x:v>S01-FIG-51-91</x:v>
      </x:c>
      <x:c r="B385" s="83" t="str">
        <x:v>S01</x:v>
      </x:c>
      <x:c r="C385" s="83" t="str">
        <x:v>Stato del sistema elettrico e scenari energetici</x:v>
      </x:c>
      <x:c r="D385" s="83" t="str">
        <x:v>Figura</x:v>
      </x:c>
      <x:c r="E385" s="83" t="str">
        <x:v>51</x:v>
      </x:c>
      <x:c r="F385" s="83" t="n">
        <x:v>91</x:v>
      </x:c>
      <x:c r="G385" s="83" t="n">
        <x:v>89</x:v>
      </x:c>
      <x:c r="H385" s="83" t="str">
        <x:v>5. Gli scenari energetici</x:v>
      </x:c>
      <x:c r="I385" s="83" t="str">
        <x:v>Figura 51 Evoluzione storica e prospettica del fabbisogno elettrico italiano (TWh)</x:v>
      </x:c>
      <x:c r="J385" s="83" t="str">
        <x:v>Domanda e consumi</x:v>
      </x:c>
      <x:c r="K385" s="83" t="str">
        <x:v>P1 - input diretto/parametro</x:v>
      </x:c>
      <x:c r="L385" s="83" t="str">
        <x:v>Figura o mappa; lettura etichette / eventuale digitalizzazione</x:v>
      </x:c>
      <x:c r="M385" s="83" t="str">
        <x:v>Medio</x:v>
      </x:c>
      <x:c r="N385" s="83" t="str">
        <x:v>Da verificare in Fase 3</x:v>
      </x:c>
    </x:row>
    <x:row r="386">
      <x:c r="A386" s="83" t="str">
        <x:v>S01-TAB-15-92</x:v>
      </x:c>
      <x:c r="B386" s="83" t="str">
        <x:v>S01</x:v>
      </x:c>
      <x:c r="C386" s="83" t="str">
        <x:v>Stato del sistema elettrico e scenari energetici</x:v>
      </x:c>
      <x:c r="D386" s="83" t="str">
        <x:v>Tabella</x:v>
      </x:c>
      <x:c r="E386" s="83" t="str">
        <x:v>15</x:v>
      </x:c>
      <x:c r="F386" s="83" t="n">
        <x:v>92</x:v>
      </x:c>
      <x:c r="G386" s="83" t="n">
        <x:v>90</x:v>
      </x:c>
      <x:c r="H386" s="83" t="str">
        <x:v>5. Gli scenari energetici</x:v>
      </x:c>
      <x:c r="I386" s="83" t="str">
        <x:v>Tabella 15 Evoluzione del fabbisogno elettrico per gli scenari PNIEC Policy, PNIEC Slow e DE-IT (TWh)</x:v>
      </x:c>
      <x:c r="J386" s="83" t="str">
        <x:v>Domanda e consumi; Scenario e metodologia</x:v>
      </x:c>
      <x:c r="K386" s="83" t="str">
        <x:v>P1 - input diretto/parametro</x:v>
      </x:c>
      <x:c r="L386" s="83" t="str">
        <x:v>Tabella testuale/PDF</x:v>
      </x:c>
      <x:c r="M386" s="83" t="str">
        <x:v>Basso</x:v>
      </x:c>
      <x:c r="N386" s="83" t="str">
        <x:v>Da verificare in Fase 3</x:v>
      </x:c>
    </x:row>
    <x:row r="387">
      <x:c r="A387" s="83" t="str">
        <x:v>S01-FIG-52-93</x:v>
      </x:c>
      <x:c r="B387" s="83" t="str">
        <x:v>S01</x:v>
      </x:c>
      <x:c r="C387" s="83" t="str">
        <x:v>Stato del sistema elettrico e scenari energetici</x:v>
      </x:c>
      <x:c r="D387" s="83" t="str">
        <x:v>Figura</x:v>
      </x:c>
      <x:c r="E387" s="83" t="str">
        <x:v>52</x:v>
      </x:c>
      <x:c r="F387" s="83" t="n">
        <x:v>93</x:v>
      </x:c>
      <x:c r="G387" s="83" t="n">
        <x:v>91</x:v>
      </x:c>
      <x:c r="H387" s="83" t="str">
        <x:v>5. Gli scenari energetici</x:v>
      </x:c>
      <x:c r="I387" s="83" t="str">
        <x:v>Figura 52 Evoluzione della capacità eolica e solare [GW]</x:v>
      </x:c>
      <x:c r="J387" s="83" t="str">
        <x:v>Capacità e generazione</x:v>
      </x:c>
      <x:c r="K387" s="83" t="str">
        <x:v>P2 - contesto/validazione</x:v>
      </x:c>
      <x:c r="L387" s="83" t="str">
        <x:v>Figura o mappa; lettura etichette / eventuale digitalizzazione</x:v>
      </x:c>
      <x:c r="M387" s="83" t="str">
        <x:v>Medio</x:v>
      </x:c>
      <x:c r="N387" s="83" t="str">
        <x:v>Da verificare in Fase 3</x:v>
      </x:c>
    </x:row>
    <x:row r="388">
      <x:c r="A388" s="83" t="str">
        <x:v>S01-FIG-53-93</x:v>
      </x:c>
      <x:c r="B388" s="83" t="str">
        <x:v>S01</x:v>
      </x:c>
      <x:c r="C388" s="83" t="str">
        <x:v>Stato del sistema elettrico e scenari energetici</x:v>
      </x:c>
      <x:c r="D388" s="83" t="str">
        <x:v>Figura</x:v>
      </x:c>
      <x:c r="E388" s="83" t="str">
        <x:v>53</x:v>
      </x:c>
      <x:c r="F388" s="83" t="n">
        <x:v>93</x:v>
      </x:c>
      <x:c r="G388" s="83" t="n">
        <x:v>91</x:v>
      </x:c>
      <x:c r="H388" s="83" t="str">
        <x:v>5. Gli scenari energetici</x:v>
      </x:c>
      <x:c r="I388" s="83" t="str">
        <x:v>Figura 53 Evoluzione della capacità energetica degli accumuli al netto dei pompaggi esistenti (GWh)</x:v>
      </x:c>
      <x:c r="J388" s="83" t="str">
        <x:v>Accumuli e flessibilità</x:v>
      </x:c>
      <x:c r="K388" s="83" t="str">
        <x:v>P1 - input diretto/parametro</x:v>
      </x:c>
      <x:c r="L388" s="83" t="str">
        <x:v>Figura o mappa; lettura etichette / eventuale digitalizzazione</x:v>
      </x:c>
      <x:c r="M388" s="83" t="str">
        <x:v>Medio</x:v>
      </x:c>
      <x:c r="N388" s="83" t="str">
        <x:v>Da verificare in Fase 3</x:v>
      </x:c>
    </x:row>
    <x:row r="389">
      <x:c r="A389" s="83" t="str">
        <x:v>S01-FIG-54-95</x:v>
      </x:c>
      <x:c r="B389" s="83" t="str">
        <x:v>S01</x:v>
      </x:c>
      <x:c r="C389" s="83" t="str">
        <x:v>Stato del sistema elettrico e scenari energetici</x:v>
      </x:c>
      <x:c r="D389" s="83" t="str">
        <x:v>Figura</x:v>
      </x:c>
      <x:c r="E389" s="83" t="str">
        <x:v>54</x:v>
      </x:c>
      <x:c r="F389" s="83" t="n">
        <x:v>95</x:v>
      </x:c>
      <x:c r="G389" s="83" t="n">
        <x:v>93</x:v>
      </x:c>
      <x:c r="H389" s="83" t="str">
        <x:v>5. Gli scenari energetici</x:v>
      </x:c>
      <x:c r="I389" s="83" t="str">
        <x:v>Figura 54 Dettaglio evoluzione capacità eolica e solare (GW) e capacità accumuli al netto dei pompaggi</x:v>
      </x:c>
      <x:c r="J389" s="83" t="str">
        <x:v>Capacità e generazione; Accumuli e flessibilità</x:v>
      </x:c>
      <x:c r="K389" s="83" t="str">
        <x:v>P1 - input diretto/parametro</x:v>
      </x:c>
      <x:c r="L389" s="83" t="str">
        <x:v>Figura o mappa; lettura etichette / eventuale digitalizzazione</x:v>
      </x:c>
      <x:c r="M389" s="83" t="str">
        <x:v>Medio</x:v>
      </x:c>
      <x:c r="N389" s="83" t="str">
        <x:v>Da verificare in Fase 3</x:v>
      </x:c>
    </x:row>
    <x:row r="390">
      <x:c r="A390" s="83" t="str">
        <x:v>S01-FIG-55-96</x:v>
      </x:c>
      <x:c r="B390" s="83" t="str">
        <x:v>S01</x:v>
      </x:c>
      <x:c r="C390" s="83" t="str">
        <x:v>Stato del sistema elettrico e scenari energetici</x:v>
      </x:c>
      <x:c r="D390" s="83" t="str">
        <x:v>Figura</x:v>
      </x:c>
      <x:c r="E390" s="83" t="str">
        <x:v>55</x:v>
      </x:c>
      <x:c r="F390" s="83" t="n">
        <x:v>96</x:v>
      </x:c>
      <x:c r="G390" s="83" t="n">
        <x:v>94</x:v>
      </x:c>
      <x:c r="H390" s="83" t="str">
        <x:v>5. Gli scenari energetici</x:v>
      </x:c>
      <x:c r="I390" s="83" t="str">
        <x:v>Figura 55 Evoluzione della capacità degli elettrolizzatori negli scenari (GW_el)</x:v>
      </x:c>
      <x:c r="J390" s="83" t="str">
        <x:v>Contesto / metodologia</x:v>
      </x:c>
      <x:c r="K390" s="83" t="str">
        <x:v>P2 - contesto/validazione</x:v>
      </x:c>
      <x:c r="L390" s="83" t="str">
        <x:v>Figura o mappa; lettura etichette / eventuale digitalizzazione</x:v>
      </x:c>
      <x:c r="M390" s="83" t="str">
        <x:v>Medio</x:v>
      </x:c>
      <x:c r="N390" s="83" t="str">
        <x:v>Da verificare in Fase 3</x:v>
      </x:c>
    </x:row>
    <x:row r="391">
      <x:c r="A391" s="83" t="str">
        <x:v>S01-TAB-16-97</x:v>
      </x:c>
      <x:c r="B391" s="83" t="str">
        <x:v>S01</x:v>
      </x:c>
      <x:c r="C391" s="83" t="str">
        <x:v>Stato del sistema elettrico e scenari energetici</x:v>
      </x:c>
      <x:c r="D391" s="83" t="str">
        <x:v>Tabella</x:v>
      </x:c>
      <x:c r="E391" s="83" t="str">
        <x:v>16</x:v>
      </x:c>
      <x:c r="F391" s="83" t="n">
        <x:v>97</x:v>
      </x:c>
      <x:c r="G391" s="83" t="n">
        <x:v>95</x:v>
      </x:c>
      <x:c r="H391" s="83" t="str">
        <x:v>5. Gli scenari energetici</x:v>
      </x:c>
      <x:c r="I391" s="83" t="str">
        <x:v>Tabella 16 Dettaglio del bilancio elettrico (PNIEC Policy, PNIEC Slow, DE-IT)</x:v>
      </x:c>
      <x:c r="J391" s="83" t="str">
        <x:v>Scenario e metodologia</x:v>
      </x:c>
      <x:c r="K391" s="83" t="str">
        <x:v>P1 - input diretto/parametro</x:v>
      </x:c>
      <x:c r="L391" s="83" t="str">
        <x:v>Tabella testuale/PDF</x:v>
      </x:c>
      <x:c r="M391" s="83" t="str">
        <x:v>Basso</x:v>
      </x:c>
      <x:c r="N391" s="83" t="str">
        <x:v>Da verificare in Fase 3</x:v>
      </x:c>
    </x:row>
    <x:row r="392">
      <x:c r="A392" s="83" t="str">
        <x:v>S01-FIG-56-98</x:v>
      </x:c>
      <x:c r="B392" s="83" t="str">
        <x:v>S01</x:v>
      </x:c>
      <x:c r="C392" s="83" t="str">
        <x:v>Stato del sistema elettrico e scenari energetici</x:v>
      </x:c>
      <x:c r="D392" s="83" t="str">
        <x:v>Figura</x:v>
      </x:c>
      <x:c r="E392" s="83" t="str">
        <x:v>56</x:v>
      </x:c>
      <x:c r="F392" s="83" t="n">
        <x:v>98</x:v>
      </x:c>
      <x:c r="G392" s="83" t="n">
        <x:v>96</x:v>
      </x:c>
      <x:c r="H392" s="83" t="str">
        <x:v>5. Gli scenari energetici</x:v>
      </x:c>
      <x:c r="I392" s="83" t="str">
        <x:v>Figura 56 Carico residuo medio (MWh) e movimentazioni accumuli medie (%) per il 2030 e il 2040</x:v>
      </x:c>
      <x:c r="J392" s="83" t="str">
        <x:v>Domanda e consumi; Accumuli e flessibilità</x:v>
      </x:c>
      <x:c r="K392" s="83" t="str">
        <x:v>P1 - input diretto/parametro</x:v>
      </x:c>
      <x:c r="L392" s="83" t="str">
        <x:v>Figura o mappa; lettura etichette / eventuale digitalizzazione</x:v>
      </x:c>
      <x:c r="M392" s="83" t="str">
        <x:v>Medio</x:v>
      </x:c>
      <x:c r="N392" s="83" t="str">
        <x:v>Da verificare in Fase 3</x:v>
      </x:c>
    </x:row>
  </x:sheetData>
  <x:mergeCells>
    <x:mergeCell ref="A1:N1"/>
    <x:mergeCell ref="A2:N2"/>
  </x:mergeCells>
  <x:conditionalFormatting sqref="K5:K392">
    <x:cfRule type="expression" dxfId="5" priority="1">
      <x:formula>LEFT(K5,2)="P1"</x:formula>
    </x:cfRule>
    <x:cfRule type="expression" dxfId="6" priority="2">
      <x:formula>LEFT(K5,2)="P2"</x:formula>
    </x:cfRule>
  </x:conditionalFormatting>
  <x:conditionalFormatting sqref="M5:M392">
    <x:cfRule type="expression" dxfId="7" priority="3">
      <x:formula>M5="Medio"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0834407a7844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34" hidden="0" customWidth="1"/>
    <x:col min="7" max="7" width="52" hidden="0" customWidth="1"/>
    <x:col min="8" max="8" width="12" hidden="0" customWidth="1"/>
    <x:col min="9" max="9" width="28" hidden="0" customWidth="1"/>
  </x:cols>
  <x:sheetData>
    <x:row r="1" ht="34" customHeight="1">
      <x:c r="A1" s="5" t="str">
        <x:v>Registro dei riferimenti esterni citati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45 fonti, portali, atti e dataset rilevanti per il modello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82" t="str">
        <x:v>Ref ID</x:v>
      </x:c>
      <x:c r="B4" s="82" t="str">
        <x:v>Riferimento</x:v>
      </x:c>
      <x:c r="C4" s="82" t="str">
        <x:v>Editore</x:v>
      </x:c>
      <x:c r="D4" s="82" t="str">
        <x:v>Anno</x:v>
      </x:c>
      <x:c r="E4" s="82" t="str">
        <x:v>Tipo</x:v>
      </x:c>
      <x:c r="F4" s="82" t="str">
        <x:v>Citato in</x:v>
      </x:c>
      <x:c r="G4" s="82" t="str">
        <x:v>Uso previsto</x:v>
      </x:c>
      <x:c r="H4" s="82" t="str">
        <x:v>Priorità</x:v>
      </x:c>
      <x:c r="I4" s="82" t="str">
        <x:v>Stato</x:v>
      </x:c>
    </x:row>
    <x:row r="5">
      <x:c r="A5" s="83" t="str">
        <x:v>R01</x:v>
      </x:c>
      <x:c r="B5" s="83" t="str">
        <x:v>Documento di Descrizione degli Scenari 2024 (DDS 2024)</x:v>
      </x:c>
      <x:c r="C5" s="83" t="str">
        <x:v>Terna e Snam</x:v>
      </x:c>
      <x:c r="D5" s="83" t="str">
        <x:v>2024</x:v>
      </x:c>
      <x:c r="E5" s="83" t="str">
        <x:v>Scenario tecnico</x:v>
      </x:c>
      <x:c r="F5" s="83" t="str">
        <x:v>S01 pp.84-96; S02 pp.13-15; S03; S04; S07 pp.28-32</x:v>
      </x:c>
      <x:c r="G5" s="83" t="str">
        <x:v>Fonte primaria da acquisire per scenari 2030-2040, ipotesi macro/commodity, DE-IT/GA-IT e disaggregazioni.</x:v>
      </x:c>
      <x:c r="H5" s="83" t="str">
        <x:v>Critica</x:v>
      </x:c>
      <x:c r="I5" s="131" t="str">
        <x:v>Acquisito / presente come S09</x:v>
      </x:c>
    </x:row>
    <x:row r="6">
      <x:c r="A6" s="83" t="str">
        <x:v>R02</x:v>
      </x:c>
      <x:c r="B6" s="83" t="str">
        <x:v>Piano Nazionale Integrato per l'Energia e il Clima (PNIEC)</x:v>
      </x:c>
      <x:c r="C6" s="83" t="str">
        <x:v>MASE</x:v>
      </x:c>
      <x:c r="D6" s="83" t="str">
        <x:v>2024</x:v>
      </x:c>
      <x:c r="E6" s="83" t="str">
        <x:v>Policy/scenario</x:v>
      </x:c>
      <x:c r="F6" s="83" t="str">
        <x:v>Tutti i fascicoli Terna; presente come S08</x:v>
      </x:c>
      <x:c r="G6" s="83" t="str">
        <x:v>Target 2030, traiettorie, domanda e base analitica; cross-check 2040/2050.</x:v>
      </x:c>
      <x:c r="H6" s="83" t="str">
        <x:v>Critica</x:v>
      </x:c>
      <x:c r="I6" s="83" t="str">
        <x:v>Già nel corpus (S08)</x:v>
      </x:c>
    </x:row>
    <x:row r="7">
      <x:c r="A7" s="83" t="str">
        <x:v>R03</x:v>
      </x:c>
      <x:c r="B7" s="83" t="str">
        <x:v>TYNDP e scenari congiunti ENTSO-E/ENTSOG</x:v>
      </x:c>
      <x:c r="C7" s="83" t="str">
        <x:v>ENTSO-E / ENTSOG</x:v>
      </x:c>
      <x:c r="D7" s="83" t="str">
        <x:v>2024 e versioni citate</x:v>
      </x:c>
      <x:c r="E7" s="83" t="str">
        <x:v>Scenario europeo e rete</x:v>
      </x:c>
      <x:c r="F7" s="83" t="str">
        <x:v>S01 pp.87-91; S05 pp.59-63; S06 pp.27-36; S08 pp.413-414</x:v>
      </x:c>
      <x:c r="G7" s="83" t="str">
        <x:v>Contesto estero, scenari europei DE/GA, interconnessioni e coerenza transfrontaliera.</x:v>
      </x:c>
      <x:c r="H7" s="83" t="str">
        <x:v>Alta</x:v>
      </x:c>
      <x:c r="I7" s="83" t="str">
        <x:v>Da acquisire</x:v>
      </x:c>
    </x:row>
    <x:row r="8">
      <x:c r="A8" s="83" t="str">
        <x:v>R04</x:v>
      </x:c>
      <x:c r="B8" s="83" t="str">
        <x:v>Regolamento (UE) 2022/869 TEN-E e liste PCI/PMI</x:v>
      </x:c>
      <x:c r="C8" s="83" t="str">
        <x:v>Unione europea</x:v>
      </x:c>
      <x:c r="D8" s="83" t="str">
        <x:v>2022 e aggiornamenti</x:v>
      </x:c>
      <x:c r="E8" s="83" t="str">
        <x:v>Normativa infrastrutture</x:v>
      </x:c>
      <x:c r="F8" s="83" t="str">
        <x:v>S06 cap.3; S05 cap.5; S08 cap.3.4</x:v>
      </x:c>
      <x:c r="G8" s="83" t="str">
        <x:v>Status e perimetro dei progetti transfrontalieri.</x:v>
      </x:c>
      <x:c r="H8" s="83" t="str">
        <x:v>Media</x:v>
      </x:c>
      <x:c r="I8" s="83" t="str">
        <x:v>Da registrare; acquisizione selettiva</x:v>
      </x:c>
    </x:row>
    <x:row r="9">
      <x:c r="A9" s="83" t="str">
        <x:v>R05</x:v>
      </x:c>
      <x:c r="B9" s="83" t="str">
        <x:v>Delibera ARERA 392/2024</x:v>
      </x:c>
      <x:c r="C9" s="83" t="str">
        <x:v>ARERA</x:v>
      </x:c>
      <x:c r="D9" s="83" t="str">
        <x:v>2024</x:v>
      </x:c>
      <x:c r="E9" s="83" t="str">
        <x:v>Atto regolatorio</x:v>
      </x:c>
      <x:c r="F9" s="83" t="str">
        <x:v>S07 pp.2, 6</x:v>
      </x:c>
      <x:c r="G9" s="83" t="str">
        <x:v>Base giuridica e perimetro delle note 2050.</x:v>
      </x:c>
      <x:c r="H9" s="83" t="str">
        <x:v>Media</x:v>
      </x:c>
      <x:c r="I9" s="83" t="str">
        <x:v>Da acquisire</x:v>
      </x:c>
    </x:row>
    <x:row r="10">
      <x:c r="A10" s="83" t="str">
        <x:v>R06</x:v>
      </x:c>
      <x:c r="B10" s="83" t="str">
        <x:v>Delibere ARERA 654/2017/R/eel e 689/2017/R/gas</x:v>
      </x:c>
      <x:c r="C10" s="83" t="str">
        <x:v>ARERA</x:v>
      </x:c>
      <x:c r="D10" s="83" t="str">
        <x:v>2017</x:v>
      </x:c>
      <x:c r="E10" s="83" t="str">
        <x:v>Atto regolatorio</x:v>
      </x:c>
      <x:c r="F10" s="83" t="str">
        <x:v>S07 cap.3.1; DDS 2024 richiamato</x:v>
      </x:c>
      <x:c r="G10" s="83" t="str">
        <x:v>Mandato metodologico degli scenari congiunti Terna-Snam.</x:v>
      </x:c>
      <x:c r="H10" s="83" t="str">
        <x:v>Media</x:v>
      </x:c>
      <x:c r="I10" s="83" t="str">
        <x:v>Da acquisire</x:v>
      </x:c>
    </x:row>
    <x:row r="11">
      <x:c r="A11" s="83" t="str">
        <x:v>R07</x:v>
      </x:c>
      <x:c r="B11" s="83" t="str">
        <x:v>DM 21 giugno 2024 - disciplina delle aree idonee</x:v>
      </x:c>
      <x:c r="C11" s="83" t="str">
        <x:v>MASE</x:v>
      </x:c>
      <x:c r="D11" s="83" t="str">
        <x:v>2024</x:v>
      </x:c>
      <x:c r="E11" s="83" t="str">
        <x:v>Policy territoriale</x:v>
      </x:c>
      <x:c r="F11" s="83" t="str">
        <x:v>S02 p.5; S03; S04; S01 p.94</x:v>
      </x:c>
      <x:c r="G11" s="83" t="str">
        <x:v>Ripartizione territoriale dei target FER; potenziale proxy regione-zona.</x:v>
      </x:c>
      <x:c r="H11" s="83" t="str">
        <x:v>Alta</x:v>
      </x:c>
      <x:c r="I11" s="83" t="str">
        <x:v>Da acquisire e verificare stato giuridico</x:v>
      </x:c>
    </x:row>
    <x:row r="12">
      <x:c r="A12" s="83" t="str">
        <x:v>R08</x:v>
      </x:c>
      <x:c r="B12" s="83" t="str">
        <x:v>Strategia Nazionale Idrogeno</x:v>
      </x:c>
      <x:c r="C12" s="83" t="str">
        <x:v>MASE</x:v>
      </x:c>
      <x:c r="D12" s="83" t="str">
        <x:v>2024</x:v>
      </x:c>
      <x:c r="E12" s="83" t="str">
        <x:v>Strategia settoriale</x:v>
      </x:c>
      <x:c r="F12" s="83" t="str">
        <x:v>S07 pp.6, 53; S08 p.32</x:v>
      </x:c>
      <x:c r="G12" s="83" t="str">
        <x:v>Domanda elettrica degli elettrolizzatori e traiettorie H2.</x:v>
      </x:c>
      <x:c r="H12" s="83" t="str">
        <x:v>Alta</x:v>
      </x:c>
      <x:c r="I12" s="83" t="str">
        <x:v>Da acquisire</x:v>
      </x:c>
    </x:row>
    <x:row r="13">
      <x:c r="A13" s="83" t="str">
        <x:v>R09</x:v>
      </x:c>
      <x:c r="B13" s="83" t="str">
        <x:v>Strategia Italiana di Lungo Termine</x:v>
      </x:c>
      <x:c r="C13" s="83" t="str">
        <x:v>Governo italiano / MASE</x:v>
      </x:c>
      <x:c r="D13" s="83" t="str">
        <x:v>2021</x:v>
      </x:c>
      <x:c r="E13" s="83" t="str">
        <x:v>Scenario 2050</x:v>
      </x:c>
      <x:c r="F13" s="83" t="str">
        <x:v>S07 p.6; S08 pp.88, 91, 190</x:v>
      </x:c>
      <x:c r="G13" s="83" t="str">
        <x:v>Cross-check neutralità climatica e scenari 2050.</x:v>
      </x:c>
      <x:c r="H13" s="83" t="str">
        <x:v>Alta</x:v>
      </x:c>
      <x:c r="I13" s="83" t="str">
        <x:v>Da acquisire; verificare aggiornamento</x:v>
      </x:c>
    </x:row>
    <x:row r="14">
      <x:c r="A14" s="83" t="str">
        <x:v>R10</x:v>
      </x:c>
      <x:c r="B14" s="83" t="str">
        <x:v>Piattaforma Nazionale per un Nucleare Sostenibile e relativi dati</x:v>
      </x:c>
      <x:c r="C14" s="83" t="str">
        <x:v>MASE</x:v>
      </x:c>
      <x:c r="D14" s="83" t="str">
        <x:v>2023-2024</x:v>
      </x:c>
      <x:c r="E14" s="83" t="str">
        <x:v>Scenario tecnologico</x:v>
      </x:c>
      <x:c r="F14" s="83" t="str">
        <x:v>S08 pp.8, 91-95</x:v>
      </x:c>
      <x:c r="G14" s="83" t="str">
        <x:v>Ipotesi di capacità e generazione nucleare 2035-2050.</x:v>
      </x:c>
      <x:c r="H14" s="83" t="str">
        <x:v>Alta</x:v>
      </x:c>
      <x:c r="I14" s="83" t="str">
        <x:v>Da individuare/acquisire</x:v>
      </x:c>
    </x:row>
    <x:row r="15">
      <x:c r="A15" s="83" t="str">
        <x:v>R11</x:v>
      </x:c>
      <x:c r="B15" s="83" t="str">
        <x:v>Annuario Statistico Terna</x:v>
      </x:c>
      <x:c r="C15" s="83" t="str">
        <x:v>Terna</x:v>
      </x:c>
      <x:c r="D15" s="83" t="str">
        <x:v>anni vari, ultimo disponibile</x:v>
      </x:c>
      <x:c r="E15" s="83" t="str">
        <x:v>Dataset storico</x:v>
      </x:c>
      <x:c r="F15" s="83" t="str">
        <x:v>S07 p.19; S01 cap.2</x:v>
      </x:c>
      <x:c r="G15" s="83" t="str">
        <x:v>Capacità e produzione storica per tecnologia; baseline e calibrazione.</x:v>
      </x:c>
      <x:c r="H15" s="83" t="str">
        <x:v>Critica</x:v>
      </x:c>
      <x:c r="I15" s="83" t="str">
        <x:v>Da acquisire in formato elaborabile</x:v>
      </x:c>
    </x:row>
    <x:row r="16">
      <x:c r="A16" s="83" t="str">
        <x:v>R12</x:v>
      </x:c>
      <x:c r="B16" s="83" t="str">
        <x:v>Portale Dati Terna</x:v>
      </x:c>
      <x:c r="C16" s="83" t="str">
        <x:v>Terna</x:v>
      </x:c>
      <x:c r="D16" s="83" t="str">
        <x:v>continuo</x:v>
      </x:c>
      <x:c r="E16" s="83" t="str">
        <x:v>Portale dati</x:v>
      </x:c>
      <x:c r="F16" s="83" t="str">
        <x:v>S01 pp.27-28</x:v>
      </x:c>
      <x:c r="G16" s="83" t="str">
        <x:v>Serie storiche di capacità, produzione, domanda, scambi e mercato.</x:v>
      </x:c>
      <x:c r="H16" s="83" t="str">
        <x:v>Critica</x:v>
      </x:c>
      <x:c r="I16" s="83" t="str">
        <x:v>Accesso/dataset da testare</x:v>
      </x:c>
    </x:row>
    <x:row r="17">
      <x:c r="A17" s="83" t="str">
        <x:v>R13</x:v>
      </x:c>
      <x:c r="B17" s="83" t="str">
        <x:v>Gaudì - Gestione Anagrafica Unica degli Impianti</x:v>
      </x:c>
      <x:c r="C17" s="83" t="str">
        <x:v>Terna</x:v>
      </x:c>
      <x:c r="D17" s="83" t="str">
        <x:v>continuo</x:v>
      </x:c>
      <x:c r="E17" s="83" t="str">
        <x:v>Registro impianti</x:v>
      </x:c>
      <x:c r="F17" s="83" t="str">
        <x:v>S08 p.471 e fonti Terna</x:v>
      </x:c>
      <x:c r="G17" s="83" t="str">
        <x:v>Capacità per impianto/tecnologia e possibile geolocalizzazione.</x:v>
      </x:c>
      <x:c r="H17" s="83" t="str">
        <x:v>Alta</x:v>
      </x:c>
      <x:c r="I17" s="83" t="str">
        <x:v>Accessibilità da verificare</x:v>
      </x:c>
    </x:row>
    <x:row r="18">
      <x:c r="A18" s="83" t="str">
        <x:v>R14</x:v>
      </x:c>
      <x:c r="B18" s="83" t="str">
        <x:v>Econnextion</x:v>
      </x:c>
      <x:c r="C18" s="83" t="str">
        <x:v>Terna</x:v>
      </x:c>
      <x:c r="D18" s="83" t="str">
        <x:v>dal 2023</x:v>
      </x:c>
      <x:c r="E18" s="83" t="str">
        <x:v>Dashboard connessioni</x:v>
      </x:c>
      <x:c r="F18" s="83" t="str">
        <x:v>S04 pp.6, 12, 52; S02 p.52</x:v>
      </x:c>
      <x:c r="G18" s="83" t="str">
        <x:v>Pipeline FER per regione/comune e tecnologia.</x:v>
      </x:c>
      <x:c r="H18" s="83" t="str">
        <x:v>Alta</x:v>
      </x:c>
      <x:c r="I18" s="83" t="str">
        <x:v>Accesso da testare; non capacità certa</x:v>
      </x:c>
    </x:row>
    <x:row r="19">
      <x:c r="A19" s="83" t="str">
        <x:v>R15</x:v>
      </x:c>
      <x:c r="B19" s="83" t="str">
        <x:v>Portale TE.R.R.A.</x:v>
      </x:c>
      <x:c r="C19" s="83" t="str">
        <x:v>Terna / MASE / ARERA</x:v>
      </x:c>
      <x:c r="D19" s="83" t="str">
        <x:v>dal 2024-2025</x:v>
      </x:c>
      <x:c r="E19" s="83" t="str">
        <x:v>Portale territoriale</x:v>
      </x:c>
      <x:c r="F19" s="83" t="str">
        <x:v>S04 pp.7, 50-53; S02 pp.54-55; S08 pp.217, 329</x:v>
      </x:c>
      <x:c r="G19" s="83" t="str">
        <x:v>Microzone, richieste e sviluppi RTN; possibile fonte futura per granularità sub-zonale.</x:v>
      </x:c>
      <x:c r="H19" s="83" t="str">
        <x:v>Alta</x:v>
      </x:c>
      <x:c r="I19" s="83" t="str">
        <x:v>Accesso e livello pubblico da verificare</x:v>
      </x:c>
    </x:row>
    <x:row r="20">
      <x:c r="A20" s="83" t="str">
        <x:v>R16</x:v>
      </x:c>
      <x:c r="B20" s="83" t="str">
        <x:v>Dati e rapporti GME sul mercato elettrico</x:v>
      </x:c>
      <x:c r="C20" s="83" t="str">
        <x:v>GME</x:v>
      </x:c>
      <x:c r="D20" s="83" t="str">
        <x:v>storico e corrente</x:v>
      </x:c>
      <x:c r="E20" s="83" t="str">
        <x:v>Dati mercato</x:v>
      </x:c>
      <x:c r="F20" s="83" t="str">
        <x:v>S01 cap.3; S07 pp.22-23; S08 pp.419-425</x:v>
      </x:c>
      <x:c r="G20" s="83" t="str">
        <x:v>Prezzi MGP/PUN, volumi e validazione del meccanismo marginale.</x:v>
      </x:c>
      <x:c r="H20" s="83" t="str">
        <x:v>Critica</x:v>
      </x:c>
      <x:c r="I20" s="83" t="str">
        <x:v>Da acquisire</x:v>
      </x:c>
    </x:row>
    <x:row r="21">
      <x:c r="A21" s="83" t="str">
        <x:v>R17</x:v>
      </x:c>
      <x:c r="B21" s="83" t="str">
        <x:v>Statistiche e database Eurostat</x:v>
      </x:c>
      <x:c r="C21" s="83" t="str">
        <x:v>Eurostat</x:v>
      </x:c>
      <x:c r="D21" s="83" t="str">
        <x:v>storico</x:v>
      </x:c>
      <x:c r="E21" s="83" t="str">
        <x:v>Dataset energetico/macroeconomico</x:v>
      </x:c>
      <x:c r="F21" s="83" t="str">
        <x:v>S02 pp.20-21; S07 p.7; S08 numerose sezioni</x:v>
      </x:c>
      <x:c r="G21" s="83" t="str">
        <x:v>Bilanci, importazioni, consumi, prezzi e indicatori macro.</x:v>
      </x:c>
      <x:c r="H21" s="83" t="str">
        <x:v>Alta</x:v>
      </x:c>
      <x:c r="I21" s="83" t="str">
        <x:v>Da acquisire selettivamente</x:v>
      </x:c>
    </x:row>
    <x:row r="22">
      <x:c r="A22" s="83" t="str">
        <x:v>R18</x:v>
      </x:c>
      <x:c r="B22" s="83" t="str">
        <x:v>Dati e rapporti GSE</x:v>
      </x:c>
      <x:c r="C22" s="83" t="str">
        <x:v>GSE</x:v>
      </x:c>
      <x:c r="D22" s="83" t="str">
        <x:v>storico/scenario</x:v>
      </x:c>
      <x:c r="E22" s="83" t="str">
        <x:v>FER e incentivi</x:v>
      </x:c>
      <x:c r="F22" s="83" t="str">
        <x:v>S08 pp.97-115, 375-380, 468-469</x:v>
      </x:c>
      <x:c r="G22" s="83" t="str">
        <x:v>Capacità/produzione FER, target e traiettorie; validazione PNIEC.</x:v>
      </x:c>
      <x:c r="H22" s="83" t="str">
        <x:v>Alta</x:v>
      </x:c>
      <x:c r="I22" s="83" t="str">
        <x:v>Da acquisire</x:v>
      </x:c>
    </x:row>
    <x:row r="23">
      <x:c r="A23" s="83" t="str">
        <x:v>R19</x:v>
      </x:c>
      <x:c r="B23" s="83" t="str">
        <x:v>Elaborazioni e modelli RSE a supporto del PNIEC</x:v>
      </x:c>
      <x:c r="C23" s="83" t="str">
        <x:v>RSE</x:v>
      </x:c>
      <x:c r="D23" s="83" t="str">
        <x:v>2024</x:v>
      </x:c>
      <x:c r="E23" s="83" t="str">
        <x:v>Modello energetico</x:v>
      </x:c>
      <x:c r="F23" s="83" t="str">
        <x:v>S08 numerose tabelle e figure, incl. pp.375-380, 457-479</x:v>
      </x:c>
      <x:c r="G23" s="83" t="str">
        <x:v>Proiezioni WEM/PNIEC 2040, consumi, capacità e investimenti.</x:v>
      </x:c>
      <x:c r="H23" s="83" t="str">
        <x:v>Critica</x:v>
      </x:c>
      <x:c r="I23" s="83" t="str">
        <x:v>Allegati/dataset da individuare</x:v>
      </x:c>
    </x:row>
    <x:row r="24">
      <x:c r="A24" s="83" t="str">
        <x:v>R20</x:v>
      </x:c>
      <x:c r="B24" s="83" t="str">
        <x:v>Inventario e rapporti emissioni ISPRA</x:v>
      </x:c>
      <x:c r="C24" s="83" t="str">
        <x:v>ISPRA</x:v>
      </x:c>
      <x:c r="D24" s="83" t="str">
        <x:v>2024 e storici</x:v>
      </x:c>
      <x:c r="E24" s="83" t="str">
        <x:v>Emissioni</x:v>
      </x:c>
      <x:c r="F24" s="83" t="str">
        <x:v>S08 pp.75-90, 199-209, 368-374, 463-464</x:v>
      </x:c>
      <x:c r="G24" s="83" t="str">
        <x:v>Fattori emissivi, traiettorie CO2 e validazione.</x:v>
      </x:c>
      <x:c r="H24" s="83" t="str">
        <x:v>Alta</x:v>
      </x:c>
      <x:c r="I24" s="83" t="str">
        <x:v>Da acquisire</x:v>
      </x:c>
    </x:row>
    <x:row r="25">
      <x:c r="A25" s="83" t="str">
        <x:v>R21</x:v>
      </x:c>
      <x:c r="B25" s="83" t="str">
        <x:v>Relazione annuale e indagini ARERA</x:v>
      </x:c>
      <x:c r="C25" s="83" t="str">
        <x:v>ARERA</x:v>
      </x:c>
      <x:c r="D25" s="83" t="str">
        <x:v>anni vari</x:v>
      </x:c>
      <x:c r="E25" s="83" t="str">
        <x:v>Mercato e regolazione</x:v>
      </x:c>
      <x:c r="F25" s="83" t="str">
        <x:v>S08 pp.348, 411, 425-429; S01/S02</x:v>
      </x:c>
      <x:c r="G25" s="83" t="str">
        <x:v>Struttura mercato, prezzi retail/wholesale e contesto regolatorio.</x:v>
      </x:c>
      <x:c r="H25" s="83" t="str">
        <x:v>Media</x:v>
      </x:c>
      <x:c r="I25" s="83" t="str">
        <x:v>Da acquisire selettivamente</x:v>
      </x:c>
    </x:row>
    <x:row r="26">
      <x:c r="A26" s="83" t="str">
        <x:v>R22</x:v>
      </x:c>
      <x:c r="B26" s="83" t="str">
        <x:v>Statistiche ISTAT e basi territoriali</x:v>
      </x:c>
      <x:c r="C26" s="83" t="str">
        <x:v>ISTAT</x:v>
      </x:c>
      <x:c r="D26" s="83" t="str">
        <x:v>anni vari</x:v>
      </x:c>
      <x:c r="E26" s="83" t="str">
        <x:v>Demografia/economia/territorio</x:v>
      </x:c>
      <x:c r="F26" s="83" t="str">
        <x:v>S08 sezioni domanda ed efficienza</x:v>
      </x:c>
      <x:c r="G26" s="83" t="str">
        <x:v>Proxy di disaggregazione regionale della domanda.</x:v>
      </x:c>
      <x:c r="H26" s="83" t="str">
        <x:v>Alta</x:v>
      </x:c>
      <x:c r="I26" s="83" t="str">
        <x:v>Da acquisire in Fase 4</x:v>
      </x:c>
    </x:row>
    <x:row r="27">
      <x:c r="A27" s="83" t="str">
        <x:v>R23</x:v>
      </x:c>
      <x:c r="B27" s="83" t="str">
        <x:v>Dati e rapporti ENEA su efficienza, edifici e SIAPE</x:v>
      </x:c>
      <x:c r="C27" s="83" t="str">
        <x:v>ENEA</x:v>
      </x:c>
      <x:c r="D27" s="83" t="str">
        <x:v>anni vari</x:v>
      </x:c>
      <x:c r="E27" s="83" t="str">
        <x:v>Domanda settoriale</x:v>
      </x:c>
      <x:c r="F27" s="83" t="str">
        <x:v>S08 pp.118-136, 384-396</x:v>
      </x:c>
      <x:c r="G27" s="83" t="str">
        <x:v>Domanda civile, pompe di calore ed efficienza; proxy regionali.</x:v>
      </x:c>
      <x:c r="H27" s="83" t="str">
        <x:v>Alta</x:v>
      </x:c>
      <x:c r="I27" s="83" t="str">
        <x:v>Da acquisire selettivamente</x:v>
      </x:c>
    </x:row>
    <x:row r="28">
      <x:c r="A28" s="83" t="str">
        <x:v>R24</x:v>
      </x:c>
      <x:c r="B28" s="83" t="str">
        <x:v>IRENA - Renewable Capacity Statistics / Renewable Power Generation Costs</x:v>
      </x:c>
      <x:c r="C28" s="83" t="str">
        <x:v>IRENA</x:v>
      </x:c>
      <x:c r="D28" s="83" t="str">
        <x:v>ultimo disponibile</x:v>
      </x:c>
      <x:c r="E28" s="83" t="str">
        <x:v>Costi e capacità tecnologiche</x:v>
      </x:c>
      <x:c r="F28" s="83" t="str">
        <x:v>S07 pp.12, 36-39; S08</x:v>
      </x:c>
      <x:c r="G28" s="83" t="str">
        <x:v>CAPEX, CF e LCOE di solare/eolico; cross-check costi.</x:v>
      </x:c>
      <x:c r="H28" s="83" t="str">
        <x:v>Alta</x:v>
      </x:c>
      <x:c r="I28" s="83" t="str">
        <x:v>Da acquisire</x:v>
      </x:c>
    </x:row>
    <x:row r="29">
      <x:c r="A29" s="83" t="str">
        <x:v>R25</x:v>
      </x:c>
      <x:c r="B29" s="83" t="str">
        <x:v>ACER Market Monitoring / dati generazione UE</x:v>
      </x:c>
      <x:c r="C29" s="83" t="str">
        <x:v>ACER</x:v>
      </x:c>
      <x:c r="D29" s="83" t="str">
        <x:v>2024-2025</x:v>
      </x:c>
      <x:c r="E29" s="83" t="str">
        <x:v>Mercato europeo</x:v>
      </x:c>
      <x:c r="F29" s="83" t="str">
        <x:v>S07 p.13; S08</x:v>
      </x:c>
      <x:c r="G29" s="83" t="str">
        <x:v>Validazione trend UE e integrazione mercati.</x:v>
      </x:c>
      <x:c r="H29" s="83" t="str">
        <x:v>Media</x:v>
      </x:c>
      <x:c r="I29" s="83" t="str">
        <x:v>Da acquisire selettivamente</x:v>
      </x:c>
    </x:row>
    <x:row r="30">
      <x:c r="A30" s="83" t="str">
        <x:v>R26</x:v>
      </x:c>
      <x:c r="B30" s="83" t="str">
        <x:v>SolarPower Europe - European Market Outlook for Battery Storage</x:v>
      </x:c>
      <x:c r="C30" s="83" t="str">
        <x:v>SolarPower Europe</x:v>
      </x:c>
      <x:c r="D30" s="83" t="str">
        <x:v>2024/2025</x:v>
      </x:c>
      <x:c r="E30" s="83" t="str">
        <x:v>Storage europeo</x:v>
      </x:c>
      <x:c r="F30" s="83" t="str">
        <x:v>S07 p.13</x:v>
      </x:c>
      <x:c r="G30" s="83" t="str">
        <x:v>Benchmark BESS europeo; contesto, non input primario italiano.</x:v>
      </x:c>
      <x:c r="H30" s="83" t="str">
        <x:v>Media</x:v>
      </x:c>
      <x:c r="I30" s="83" t="str">
        <x:v>Da acquisire se utile</x:v>
      </x:c>
    </x:row>
    <x:row r="31">
      <x:c r="A31" s="83" t="str">
        <x:v>R27</x:v>
      </x:c>
      <x:c r="B31" s="83" t="str">
        <x:v>IEA World Energy Outlook (WEO)</x:v>
      </x:c>
      <x:c r="C31" s="83" t="str">
        <x:v>IEA</x:v>
      </x:c>
      <x:c r="D31" s="83" t="str">
        <x:v>versione citata</x:v>
      </x:c>
      <x:c r="E31" s="83" t="str">
        <x:v>Costi/scenari globali</x:v>
      </x:c>
      <x:c r="F31" s="83" t="str">
        <x:v>S07 p.48; S08 p.418</x:v>
      </x:c>
      <x:c r="G31" s="83" t="str">
        <x:v>Tecnologie emergenti e costi di sistema; cross-check.</x:v>
      </x:c>
      <x:c r="H31" s="83" t="str">
        <x:v>Media</x:v>
      </x:c>
      <x:c r="I31" s="83" t="str">
        <x:v>Da acquisire selettivamente</x:v>
      </x:c>
    </x:row>
    <x:row r="32">
      <x:c r="A32" s="83" t="str">
        <x:v>R28</x:v>
      </x:c>
      <x:c r="B32" s="83" t="str">
        <x:v>Energy-Charts</x:v>
      </x:c>
      <x:c r="C32" s="83" t="str">
        <x:v>Fraunhofer ISE</x:v>
      </x:c>
      <x:c r="D32" s="83" t="str">
        <x:v>serie corrente</x:v>
      </x:c>
      <x:c r="E32" s="83" t="str">
        <x:v>Dati prezzi/generazione</x:v>
      </x:c>
      <x:c r="F32" s="83" t="str">
        <x:v>S07 pp.22-23</x:v>
      </x:c>
      <x:c r="G32" s="83" t="str">
        <x:v>Esempio prezzi negativi e confronto europeo.</x:v>
      </x:c>
      <x:c r="H32" s="83" t="str">
        <x:v>Bassa</x:v>
      </x:c>
      <x:c r="I32" s="83" t="str">
        <x:v>Contesto/validazione</x:v>
      </x:c>
    </x:row>
    <x:row r="33">
      <x:c r="A33" s="83" t="str">
        <x:v>R29</x:v>
      </x:c>
      <x:c r="B33" s="83" t="str">
        <x:v>Enerdata</x:v>
      </x:c>
      <x:c r="C33" s="83" t="str">
        <x:v>Enerdata</x:v>
      </x:c>
      <x:c r="D33" s="83" t="str">
        <x:v>serie corrente</x:v>
      </x:c>
      <x:c r="E33" s="83" t="str">
        <x:v>Dati mercato</x:v>
      </x:c>
      <x:c r="F33" s="83" t="str">
        <x:v>S07 p.22</x:v>
      </x:c>
      <x:c r="G33" s="83" t="str">
        <x:v>Confronto ore a prezzi bassi/negativi.</x:v>
      </x:c>
      <x:c r="H33" s="83" t="str">
        <x:v>Bassa</x:v>
      </x:c>
      <x:c r="I33" s="83" t="str">
        <x:v>Contesto/validazione</x:v>
      </x:c>
    </x:row>
    <x:row r="34">
      <x:c r="A34" s="83" t="str">
        <x:v>R30</x:v>
      </x:c>
      <x:c r="B34" s="83" t="str">
        <x:v>Elemens - analisi repowering eolico</x:v>
      </x:c>
      <x:c r="C34" s="83" t="str">
        <x:v>Elemens</x:v>
      </x:c>
      <x:c r="D34" s="83" t="str">
        <x:v>versione citata</x:v>
      </x:c>
      <x:c r="E34" s="83" t="str">
        <x:v>Studio tecnico</x:v>
      </x:c>
      <x:c r="F34" s="83" t="str">
        <x:v>S07 pp.17-18</x:v>
      </x:c>
      <x:c r="G34" s="83" t="str">
        <x:v>Potenziale repowering; proxy non primario.</x:v>
      </x:c>
      <x:c r="H34" s="83" t="str">
        <x:v>Media</x:v>
      </x:c>
      <x:c r="I34" s="83" t="str">
        <x:v>Da individuare</x:v>
      </x:c>
    </x:row>
    <x:row r="35">
      <x:c r="A35" s="83" t="str">
        <x:v>R31</x:v>
      </x:c>
      <x:c r="B35" s="83" t="str">
        <x:v>Florence School of Regulation - Capacity Mechanism</x:v>
      </x:c>
      <x:c r="C35" s="83" t="str">
        <x:v>FSR</x:v>
      </x:c>
      <x:c r="D35" s="83" t="str">
        <x:v>2024</x:v>
      </x:c>
      <x:c r="E35" s="83" t="str">
        <x:v>Analisi di mercato</x:v>
      </x:c>
      <x:c r="F35" s="83" t="str">
        <x:v>S02 p.25</x:v>
      </x:c>
      <x:c r="G35" s="83" t="str">
        <x:v>Contesto Capacity Market, non input diretto.</x:v>
      </x:c>
      <x:c r="H35" s="83" t="str">
        <x:v>Bassa</x:v>
      </x:c>
      <x:c r="I35" s="83" t="str">
        <x:v>Contesto</x:v>
      </x:c>
    </x:row>
    <x:row r="36">
      <x:c r="A36" s="83" t="str">
        <x:v>R32</x:v>
      </x:c>
      <x:c r="B36" s="83" t="str">
        <x:v>Smart Mobility Report 2024</x:v>
      </x:c>
      <x:c r="C36" s="83" t="str">
        <x:v>Politecnico di Milano</x:v>
      </x:c>
      <x:c r="D36" s="83" t="str">
        <x:v>2024</x:v>
      </x:c>
      <x:c r="E36" s="83" t="str">
        <x:v>Mobilità elettrica</x:v>
      </x:c>
      <x:c r="F36" s="83" t="str">
        <x:v>S06 p.56</x:v>
      </x:c>
      <x:c r="G36" s="83" t="str">
        <x:v>E-mobility e domanda trasporti; possibile cross-check.</x:v>
      </x:c>
      <x:c r="H36" s="83" t="str">
        <x:v>Media</x:v>
      </x:c>
      <x:c r="I36" s="83" t="str">
        <x:v>Da acquisire se necessario</x:v>
      </x:c>
    </x:row>
    <x:row r="37">
      <x:c r="A37" s="83" t="str">
        <x:v>R33</x:v>
      </x:c>
      <x:c r="B37" s="83" t="str">
        <x:v>Regolamento (UE) 2019/943 sul mercato interno dell'energia elettrica</x:v>
      </x:c>
      <x:c r="C37" s="83" t="str">
        <x:v>Unione europea</x:v>
      </x:c>
      <x:c r="D37" s="83" t="str">
        <x:v>2019</x:v>
      </x:c>
      <x:c r="E37" s="83" t="str">
        <x:v>Normativa mercato</x:v>
      </x:c>
      <x:c r="F37" s="83" t="str">
        <x:v>S08 e fascicoli di mercato</x:v>
      </x:c>
      <x:c r="G37" s="83" t="str">
        <x:v>Contesto market design, capacity mechanisms e interconnessioni.</x:v>
      </x:c>
      <x:c r="H37" s="83" t="str">
        <x:v>Media</x:v>
      </x:c>
      <x:c r="I37" s="83" t="str">
        <x:v>Da registrare</x:v>
      </x:c>
    </x:row>
    <x:row r="38">
      <x:c r="A38" s="83" t="str">
        <x:v>R34</x:v>
      </x:c>
      <x:c r="B38" s="83" t="str">
        <x:v>Direttiva (UE) 2023/2413 - RED III</x:v>
      </x:c>
      <x:c r="C38" s="83" t="str">
        <x:v>Unione europea</x:v>
      </x:c>
      <x:c r="D38" s="83" t="str">
        <x:v>2023</x:v>
      </x:c>
      <x:c r="E38" s="83" t="str">
        <x:v>Normativa FER</x:v>
      </x:c>
      <x:c r="F38" s="83" t="str">
        <x:v>S08 cap.2.1.2 e 3.1.2</x:v>
      </x:c>
      <x:c r="G38" s="83" t="str">
        <x:v>Definizioni FER e traiettorie settoriali.</x:v>
      </x:c>
      <x:c r="H38" s="83" t="str">
        <x:v>Media</x:v>
      </x:c>
      <x:c r="I38" s="83" t="str">
        <x:v>Da registrare</x:v>
      </x:c>
    </x:row>
    <x:row r="39">
      <x:c r="A39" s="83" t="str">
        <x:v>R35</x:v>
      </x:c>
      <x:c r="B39" s="83" t="str">
        <x:v>Direttiva (UE) 2023/1791 - EED III</x:v>
      </x:c>
      <x:c r="C39" s="83" t="str">
        <x:v>Unione europea</x:v>
      </x:c>
      <x:c r="D39" s="83" t="str">
        <x:v>2023</x:v>
      </x:c>
      <x:c r="E39" s="83" t="str">
        <x:v>Normativa efficienza</x:v>
      </x:c>
      <x:c r="F39" s="83" t="str">
        <x:v>S08 cap.2.2 e 3.2</x:v>
      </x:c>
      <x:c r="G39" s="83" t="str">
        <x:v>Target efficienza e domanda finale.</x:v>
      </x:c>
      <x:c r="H39" s="83" t="str">
        <x:v>Media</x:v>
      </x:c>
      <x:c r="I39" s="83" t="str">
        <x:v>Da registrare</x:v>
      </x:c>
    </x:row>
    <x:row r="40">
      <x:c r="A40" s="83" t="str">
        <x:v>R36</x:v>
      </x:c>
      <x:c r="B40" s="83" t="str">
        <x:v>REPowerEU e capitolo REPowerEU del PNRR</x:v>
      </x:c>
      <x:c r="C40" s="83" t="str">
        <x:v>Commissione europea / Governo italiano</x:v>
      </x:c>
      <x:c r="D40" s="83" t="str">
        <x:v>2022-2024</x:v>
      </x:c>
      <x:c r="E40" s="83" t="str">
        <x:v>Policy/investimenti</x:v>
      </x:c>
      <x:c r="F40" s="83" t="str">
        <x:v>S08; S06 cap.7</x:v>
      </x:c>
      <x:c r="G40" s="83" t="str">
        <x:v>Tempistiche e policy per FER, reti, storage e gas.</x:v>
      </x:c>
      <x:c r="H40" s="83" t="str">
        <x:v>Media</x:v>
      </x:c>
      <x:c r="I40" s="83" t="str">
        <x:v>Da registrare</x:v>
      </x:c>
    </x:row>
    <x:row r="41">
      <x:c r="A41" s="83" t="str">
        <x:v>R37</x:v>
      </x:c>
      <x:c r="B41" s="83" t="str">
        <x:v>Fit for 55 / European Green Deal</x:v>
      </x:c>
      <x:c r="C41" s="83" t="str">
        <x:v>Unione europea</x:v>
      </x:c>
      <x:c r="D41" s="83" t="str">
        <x:v>2021-2024</x:v>
      </x:c>
      <x:c r="E41" s="83" t="str">
        <x:v>Policy clima</x:v>
      </x:c>
      <x:c r="F41" s="83" t="str">
        <x:v>S08 cap.1-3</x:v>
      </x:c>
      <x:c r="G41" s="83" t="str">
        <x:v>Contesto target; non input diretto.</x:v>
      </x:c>
      <x:c r="H41" s="83" t="str">
        <x:v>Bassa</x:v>
      </x:c>
      <x:c r="I41" s="83" t="str">
        <x:v>Contesto</x:v>
      </x:c>
    </x:row>
    <x:row r="42">
      <x:c r="A42" s="83" t="str">
        <x:v>R38</x:v>
      </x:c>
      <x:c r="B42" s="83" t="str">
        <x:v>Meccanismo di Approvvigionamento di Capacità di Stoccaggio Elettrico (MACSE) - documenti attuativi</x:v>
      </x:c>
      <x:c r="C42" s="83" t="str">
        <x:v>Terna / ARERA / MASE</x:v>
      </x:c>
      <x:c r="D42" s="83" t="str">
        <x:v>2023-2025</x:v>
      </x:c>
      <x:c r="E42" s="83" t="str">
        <x:v>Storage/mercato</x:v>
      </x:c>
      <x:c r="F42" s="83" t="str">
        <x:v>S01, S02, S03, S04, S06, S07, S08</x:v>
      </x:c>
      <x:c r="G42" s="83" t="str">
        <x:v>Capacità storage target, durata e timing di entrata in esercizio.</x:v>
      </x:c>
      <x:c r="H42" s="83" t="str">
        <x:v>Critica</x:v>
      </x:c>
      <x:c r="I42" s="83" t="str">
        <x:v>Da acquisire integralmente</x:v>
      </x:c>
    </x:row>
    <x:row r="43">
      <x:c r="A43" s="83" t="str">
        <x:v>R39</x:v>
      </x:c>
      <x:c r="B43" s="83" t="str">
        <x:v>Capacity Market italiano - decreti, aste e risultati</x:v>
      </x:c>
      <x:c r="C43" s="83" t="str">
        <x:v>MASE / Terna / ARERA</x:v>
      </x:c>
      <x:c r="D43" s="83" t="str">
        <x:v>2019-2025</x:v>
      </x:c>
      <x:c r="E43" s="83" t="str">
        <x:v>Adeguatezza/mercato</x:v>
      </x:c>
      <x:c r="F43" s="83" t="str">
        <x:v>S01, S02, S03, S04, S07, S08</x:v>
      </x:c>
      <x:c r="G43" s="83" t="str">
        <x:v>Nuova capacità termica/storage, dismissioni e adeguatezza.</x:v>
      </x:c>
      <x:c r="H43" s="83" t="str">
        <x:v>Alta</x:v>
      </x:c>
      <x:c r="I43" s="83" t="str">
        <x:v>Da acquisire selettivamente</x:v>
      </x:c>
    </x:row>
    <x:row r="44">
      <x:c r="A44" s="83" t="str">
        <x:v>R40</x:v>
      </x:c>
      <x:c r="B44" s="83" t="str">
        <x:v>Med-TSO Master Plan / studi mediterranei</x:v>
      </x:c>
      <x:c r="C44" s="83" t="str">
        <x:v>Med-TSO</x:v>
      </x:c>
      <x:c r="D44" s="83" t="str">
        <x:v>versioni citate</x:v>
      </x:c>
      <x:c r="E44" s="83" t="str">
        <x:v>Rete mediterranea</x:v>
      </x:c>
      <x:c r="F44" s="83" t="str">
        <x:v>S06 cap.4; S05 cap.5</x:v>
      </x:c>
      <x:c r="G44" s="83" t="str">
        <x:v>Interconnessioni Nord Africa e ipotesi estere.</x:v>
      </x:c>
      <x:c r="H44" s="83" t="str">
        <x:v>Media</x:v>
      </x:c>
      <x:c r="I44" s="83" t="str">
        <x:v>Da acquisire se scenario estero endogeno</x:v>
      </x:c>
    </x:row>
    <x:row r="45">
      <x:c r="A45" s="83" t="str">
        <x:v>R41</x:v>
      </x:c>
      <x:c r="B45" s="83" t="str">
        <x:v>Connecting Europe Facility (CEF) e progetti finanziati</x:v>
      </x:c>
      <x:c r="C45" s="83" t="str">
        <x:v>Commissione europea</x:v>
      </x:c>
      <x:c r="D45" s="83" t="str">
        <x:v>2021-2027</x:v>
      </x:c>
      <x:c r="E45" s="83" t="str">
        <x:v>Finanziamento rete</x:v>
      </x:c>
      <x:c r="F45" s="83" t="str">
        <x:v>S06 cap.7</x:v>
      </x:c>
      <x:c r="G45" s="83" t="str">
        <x:v>Status e maturità dei progetti; non input diretto.</x:v>
      </x:c>
      <x:c r="H45" s="83" t="str">
        <x:v>Bassa</x:v>
      </x:c>
      <x:c r="I45" s="83" t="str">
        <x:v>Contesto</x:v>
      </x:c>
    </x:row>
    <x:row r="46">
      <x:c r="A46" s="83" t="str">
        <x:v>R42</x:v>
      </x:c>
      <x:c r="B46" s="83" t="str">
        <x:v>Horizon Europe / progetti di ricerca Terna</x:v>
      </x:c>
      <x:c r="C46" s="83" t="str">
        <x:v>Commissione europea / consorzi</x:v>
      </x:c>
      <x:c r="D46" s="83" t="str">
        <x:v>2021-2027</x:v>
      </x:c>
      <x:c r="E46" s="83" t="str">
        <x:v>Ricerca</x:v>
      </x:c>
      <x:c r="F46" s="83" t="str">
        <x:v>S06 cap.7</x:v>
      </x:c>
      <x:c r="G46" s="83" t="str">
        <x:v>Non necessario al dispatch; registro di contesto.</x:v>
      </x:c>
      <x:c r="H46" s="83" t="str">
        <x:v>Bassa</x:v>
      </x:c>
      <x:c r="I46" s="83" t="str">
        <x:v>Escludere dall'estrazione quantitativa</x:v>
      </x:c>
    </x:row>
    <x:row r="47">
      <x:c r="A47" s="83" t="str">
        <x:v>R43</x:v>
      </x:c>
      <x:c r="B47" s="83" t="str">
        <x:v>Misure Terna e dati operativi orari</x:v>
      </x:c>
      <x:c r="C47" s="83" t="str">
        <x:v>Terna</x:v>
      </x:c>
      <x:c r="D47" s="83" t="str">
        <x:v>2025 e storici</x:v>
      </x:c>
      <x:c r="E47" s="83" t="str">
        <x:v>Serie orarie</x:v>
      </x:c>
      <x:c r="F47" s="83" t="str">
        <x:v>S07 pp.20-21</x:v>
      </x:c>
      <x:c r="G47" s="83" t="str">
        <x:v>Profili orari, calibrazione domanda/generazione e validazione prezzi.</x:v>
      </x:c>
      <x:c r="H47" s="83" t="str">
        <x:v>Critica</x:v>
      </x:c>
      <x:c r="I47" s="83" t="str">
        <x:v>Accesso/dataset da individuare</x:v>
      </x:c>
    </x:row>
    <x:row r="48">
      <x:c r="A48" s="83" t="str">
        <x:v>R44</x:v>
      </x:c>
      <x:c r="B48" s="83" t="str">
        <x:v>Dati NTC/limiti di transito e documenti sulle zone di mercato</x:v>
      </x:c>
      <x:c r="C48" s="83" t="str">
        <x:v>Terna</x:v>
      </x:c>
      <x:c r="D48" s="83" t="str">
        <x:v>2024-2025</x:v>
      </x:c>
      <x:c r="E48" s="83" t="str">
        <x:v>Trasmissione/mercato</x:v>
      </x:c>
      <x:c r="F48" s="83" t="str">
        <x:v>S08 pp.403-410; S01 cap.3</x:v>
      </x:c>
      <x:c r="G48" s="83" t="str">
        <x:v>Capacità interzonali e transfrontaliere del modello.</x:v>
      </x:c>
      <x:c r="H48" s="83" t="str">
        <x:v>Critica</x:v>
      </x:c>
      <x:c r="I48" s="83" t="str">
        <x:v>Da acquisire in formato elaborabile</x:v>
      </x:c>
    </x:row>
    <x:row r="49">
      <x:c r="A49" s="83" t="str">
        <x:v>R45</x:v>
      </x:c>
      <x:c r="B49" s="83" t="str">
        <x:v>Rapporto Adeguatezza Italia e documentazione LOLE/EENS</x:v>
      </x:c>
      <x:c r="C49" s="83" t="str">
        <x:v>Terna / MASE</x:v>
      </x:c>
      <x:c r="D49" s="83" t="str">
        <x:v>versione più recente citata</x:v>
      </x:c>
      <x:c r="E49" s="83" t="str">
        <x:v>Adeguatezza</x:v>
      </x:c>
      <x:c r="F49" s="83" t="str">
        <x:v>S01 pp.97-99; S03 cap.3; S08 p.320</x:v>
      </x:c>
      <x:c r="G49" s="83" t="str">
        <x:v>Validazione del parco disponibile e load shedding.</x:v>
      </x:c>
      <x:c r="H49" s="83" t="str">
        <x:v>Alta</x:v>
      </x:c>
      <x:c r="I49" s="83" t="str">
        <x:v>Titolo/versione da verificare</x:v>
      </x:c>
    </x:row>
  </x:sheetData>
  <x:mergeCells>
    <x:mergeCell ref="A1:I1"/>
    <x:mergeCell ref="A2:I2"/>
  </x:mergeCells>
  <x:conditionalFormatting sqref="H5:H49">
    <x:cfRule type="expression" dxfId="8" priority="1">
      <x:formula>H5="Critica"</x:formula>
    </x:cfRule>
    <x:cfRule type="expression" dxfId="9" priority="2">
      <x:formula>H5="Alta"</x:formula>
    </x:cfRule>
    <x:cfRule type="expression" dxfId="10" priority="3">
      <x:formula>H5="Media"</x:formula>
    </x:cfRule>
    <x:cfRule type="expression" dxfId="11" priority="4">
      <x:formula>H5="Bassa"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07366ed85846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93" t="str">
        <x:v>Mandatory</x:v>
      </x:c>
      <x:c r="B1" s="93" t="str">
        <x:v>Model critical</x:v>
      </x:c>
      <x:c r="C1" s="93" t="str">
        <x:v>Requirement status</x:v>
      </x:c>
      <x:c r="D1" s="93" t="str">
        <x:v>Quality</x:v>
      </x:c>
      <x:c r="E1" s="93" t="str">
        <x:v>Decision status</x:v>
      </x:c>
      <x:c r="F1" s="93" t="str">
        <x:v>Blocking now</x:v>
      </x:c>
    </x:row>
    <x:row r="2">
      <x:c r="A2" s="94" t="str">
        <x:v>Sì</x:v>
      </x:c>
      <x:c r="B2" s="94" t="str">
        <x:v>Sì</x:v>
      </x:c>
      <x:c r="C2" s="94" t="str">
        <x:v>Coperto concettualmente</x:v>
      </x:c>
      <x:c r="D2" s="94" t="str">
        <x:v>A</x:v>
      </x:c>
      <x:c r="E2" s="94" t="str">
        <x:v>Proposta da approvare</x:v>
      </x:c>
      <x:c r="F2" s="94" t="str">
        <x:v>Sì</x:v>
      </x:c>
    </x:row>
    <x:row r="3">
      <x:c r="A3" s="94" t="str">
        <x:v>No</x:v>
      </x:c>
      <x:c r="B3" s="94" t="str">
        <x:v>No</x:v>
      </x:c>
      <x:c r="C3" s="94" t="str">
        <x:v>Coperto; da popolare</x:v>
      </x:c>
      <x:c r="D3" s="94" t="str">
        <x:v>A/B</x:v>
      </x:c>
      <x:c r="E3" s="94" t="str">
        <x:v>Aperta</x:v>
      </x:c>
      <x:c r="F3" s="94" t="str">
        <x:v>No</x:v>
      </x:c>
    </x:row>
    <x:row r="4">
      <x:c r="A4" s="94" t="str">
        <x:v>Desiderabile</x:v>
      </x:c>
      <x:c r="B4" s="94" t="str"/>
      <x:c r="C4" s="94" t="str">
        <x:v>Da estrarre</x:v>
      </x:c>
      <x:c r="D4" s="94" t="str">
        <x:v>A-C</x:v>
      </x:c>
      <x:c r="E4" s="94" t="str">
        <x:v>Proposta</x:v>
      </x:c>
      <x:c r="F4" s="94" t="str"/>
    </x:row>
    <x:row r="5">
      <x:c r="A5" s="94" t="str">
        <x:v>Opzionale</x:v>
      </x:c>
      <x:c r="B5" s="94" t="str"/>
      <x:c r="C5" s="94" t="str">
        <x:v>Parziale</x:v>
      </x:c>
      <x:c r="D5" s="94" t="str">
        <x:v>A-D</x:v>
      </x:c>
      <x:c r="E5" s="94" t="str">
        <x:v>Decisione proposta</x:v>
      </x:c>
      <x:c r="F5" s="94" t="str"/>
    </x:row>
    <x:row r="6">
      <x:c r="A6" s="94" t="str">
        <x:v>Sì se incluso</x:v>
      </x:c>
      <x:c r="B6" s="94" t="str"/>
      <x:c r="C6" s="94" t="str">
        <x:v>Gap</x:v>
      </x:c>
      <x:c r="D6" s="94" t="str">
        <x:v>B</x:v>
      </x:c>
      <x:c r="E6" s="94" t="str">
        <x:v>Definita</x:v>
      </x:c>
      <x:c r="F6" s="94" t="str"/>
    </x:row>
    <x:row r="7">
      <x:c r="A7" s="94" t="str">
        <x:v>Solo UC</x:v>
      </x:c>
      <x:c r="B7" s="94" t="str"/>
      <x:c r="C7" s="94" t="str">
        <x:v>Decisione aperta</x:v>
      </x:c>
      <x:c r="D7" s="94" t="str">
        <x:v>B-D</x:v>
      </x:c>
      <x:c r="E7" s="94" t="str">
        <x:v>Definita nel piano</x:v>
      </x:c>
      <x:c r="F7" s="94" t="str"/>
    </x:row>
    <x:row r="8">
      <x:c r="A8" s="94" t="str">
        <x:v>Sì se esogeno</x:v>
      </x:c>
      <x:c r="B8" s="94" t="str"/>
      <x:c r="C8" s="94" t="str">
        <x:v>Derivato</x:v>
      </x:c>
      <x:c r="D8" s="94" t="str">
        <x:v>C-D</x:v>
      </x:c>
      <x:c r="E8" s="94" t="str">
        <x:v>Da coordinare con altro progetto</x:v>
      </x:c>
      <x:c r="F8" s="94" t="str"/>
    </x:row>
    <x:row r="9">
      <x:c r="A9" s="94" t="str">
        <x:v>Sì se endogeno</x:v>
      </x:c>
      <x:c r="B9" s="94" t="str"/>
      <x:c r="C9" s="94" t="str">
        <x:v>Fuori base</x:v>
      </x:c>
      <x:c r="D9" s="94" t="str">
        <x:v>C-E</x:v>
      </x:c>
      <x:c r="E9" s="94" t="str"/>
      <x:c r="F9" s="94" t="str"/>
    </x:row>
    <x:row r="10">
      <x:c r="A10" s="94" t="str">
        <x:v>Fortemente raccomandato</x:v>
      </x:c>
      <x:c r="B10" s="94" t="str"/>
      <x:c r="C10" s="94" t="str">
        <x:v>Gap esterno</x:v>
      </x:c>
      <x:c r="D10" s="94" t="str">
        <x:v>D-E</x:v>
      </x:c>
      <x:c r="E10" s="94" t="str"/>
      <x:c r="F10" s="94" t="str"/>
    </x:row>
    <x:row r="11">
      <x:c r="A11" s="94" t="str">
        <x:v>Solo se richiesto</x:v>
      </x:c>
      <x:c r="B11" s="94" t="str"/>
      <x:c r="C11" s="94" t="str">
        <x:v>Da valutare</x:v>
      </x:c>
      <x:c r="D11" s="94" t="str">
        <x:v>E</x:v>
      </x:c>
      <x:c r="E11" s="94" t="str"/>
      <x:c r="F11" s="94" t="str"/>
    </x:row>
    <x:row r="12">
      <x:c r="A12" s="94" t="str">
        <x:v>Solo se applicato</x:v>
      </x:c>
      <x:c r="B12" s="94" t="str"/>
      <x:c r="C12" s="94" t="str">
        <x:v>Definito</x:v>
      </x:c>
      <x:c r="D12" s="94" t="str"/>
      <x:c r="E12" s="94" t="str"/>
      <x:c r="F12" s="9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97" t="str">
        <x:v>Fase 2 — Requisiti del modello e crosswalk PyPSA-Eur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 ht="30" customHeight="1">
      <x:c r="A2" s="101" t="str">
        <x:v>Specifiche complete per il modello dispatch-only 2040/2050; nessuna estrazione numerica completa</x:v>
      </x:c>
      <x:c r="B2" s="101"/>
      <x:c r="C2" s="101"/>
      <x:c r="D2" s="101"/>
      <x:c r="E2" s="101"/>
      <x:c r="F2" s="101"/>
      <x:c r="G2" s="101"/>
      <x:c r="H2" s="101"/>
      <x:c r="I2" s="101"/>
      <x:c r="J2" s="101"/>
    </x:row>
    <x:row r="4">
      <x:c r="A4" s="103" t="str">
        <x:v>Indicatore</x:v>
      </x:c>
      <x:c r="B4" s="103" t="str">
        <x:v>Valore</x:v>
      </x:c>
      <x:c r="D4" s="103" t="str">
        <x:v>Impostazione provvisoria per la Fase 3A</x:v>
      </x:c>
      <x:c r="E4" s="103"/>
      <x:c r="F4" s="103"/>
      <x:c r="G4" s="103"/>
      <x:c r="H4" s="103"/>
      <x:c r="I4" s="103"/>
      <x:c r="J4" s="103"/>
    </x:row>
    <x:row r="5">
      <x:c r="A5" s="105" t="str">
        <x:v>Requisiti totali</x:v>
      </x:c>
      <x:c r="B5" s="27" t="n">
        <x:v>134</x:v>
      </x:c>
      <x:c r="D5" s="108" t="str">
        <x:v>Modello zonale di trasporto; capacità fisse e non estendibili; anno completo orario; prezzi zonali come output primario; batterie Store+Links; unit commitment escluso dal base e riservato a sensitivity. Nessuna decisione è bloccante immediatamente per la Fase 3A.</x:v>
      </x:c>
      <x:c r="E5" s="108"/>
      <x:c r="F5" s="108"/>
      <x:c r="G5" s="108"/>
      <x:c r="H5" s="108"/>
      <x:c r="I5" s="108"/>
      <x:c r="J5" s="108"/>
    </x:row>
    <x:row r="6">
      <x:c r="A6" s="105" t="str">
        <x:v>Model-critical</x:v>
      </x:c>
      <x:c r="B6" s="27" t="n">
        <x:v>111</x:v>
      </x:c>
      <x:c r="D6" s="108"/>
      <x:c r="E6" s="108"/>
      <x:c r="F6" s="108"/>
      <x:c r="G6" s="108"/>
      <x:c r="H6" s="108"/>
      <x:c r="I6" s="108"/>
      <x:c r="J6" s="108"/>
    </x:row>
    <x:row r="7">
      <x:c r="A7" s="105" t="str">
        <x:v>Obbligatori</x:v>
      </x:c>
      <x:c r="B7" s="27" t="n">
        <x:v>89</x:v>
      </x:c>
      <x:c r="D7" s="108"/>
      <x:c r="E7" s="108"/>
      <x:c r="F7" s="108"/>
      <x:c r="G7" s="108"/>
      <x:c r="H7" s="108"/>
      <x:c r="I7" s="108"/>
      <x:c r="J7" s="108"/>
    </x:row>
    <x:row r="8">
      <x:c r="A8" s="105" t="str">
        <x:v>Mapping PyPSA</x:v>
      </x:c>
      <x:c r="B8" s="27" t="n">
        <x:v>35</x:v>
      </x:c>
      <x:c r="D8" s="108"/>
      <x:c r="E8" s="108"/>
      <x:c r="F8" s="108"/>
      <x:c r="G8" s="108"/>
      <x:c r="H8" s="108"/>
      <x:c r="I8" s="108"/>
      <x:c r="J8" s="108"/>
    </x:row>
    <x:row r="9">
      <x:c r="A9" s="105" t="str">
        <x:v>Decisioni registrate</x:v>
      </x:c>
      <x:c r="B9" s="27" t="n">
        <x:v>36</x:v>
      </x:c>
      <x:c r="D9" s="108"/>
      <x:c r="E9" s="108"/>
      <x:c r="F9" s="108"/>
      <x:c r="G9" s="108"/>
      <x:c r="H9" s="108"/>
      <x:c r="I9" s="108"/>
      <x:c r="J9" s="108"/>
    </x:row>
    <x:row r="12">
      <x:c r="A12" s="92" t="str">
        <x:v>Categoria</x:v>
      </x:c>
      <x:c r="B12" s="92" t="str">
        <x:v>N. requisiti</x:v>
      </x:c>
    </x:row>
    <x:row r="13">
      <x:c r="A13" s="109" t="str">
        <x:v>Accumuli</x:v>
      </x:c>
      <x:c r="B13" s="111" t="n">
        <x:v>12</x:v>
      </x:c>
    </x:row>
    <x:row r="14">
      <x:c r="A14" s="109" t="str">
        <x:v>Costi di contesto</x:v>
      </x:c>
      <x:c r="B14" s="111" t="n">
        <x:v>5</x:v>
      </x:c>
    </x:row>
    <x:row r="15">
      <x:c r="A15" s="109" t="str">
        <x:v>Domanda</x:v>
      </x:c>
      <x:c r="B15" s="111" t="n">
        <x:v>22</x:v>
      </x:c>
    </x:row>
    <x:row r="16">
      <x:c r="A16" s="109" t="str">
        <x:v>Generazione</x:v>
      </x:c>
      <x:c r="B16" s="111" t="n">
        <x:v>28</x:v>
      </x:c>
    </x:row>
    <x:row r="17">
      <x:c r="A17" s="109" t="str">
        <x:v>Geografia e topologia</x:v>
      </x:c>
      <x:c r="B17" s="111" t="n">
        <x:v>9</x:v>
      </x:c>
    </x:row>
    <x:row r="18">
      <x:c r="A18" s="109" t="str">
        <x:v>Idroelettrico</x:v>
      </x:c>
      <x:c r="B18" s="111" t="n">
        <x:v>12</x:v>
      </x:c>
    </x:row>
    <x:row r="19">
      <x:c r="A19" s="109" t="str">
        <x:v>Mercato e output</x:v>
      </x:c>
      <x:c r="B19" s="111" t="n">
        <x:v>16</x:v>
      </x:c>
    </x:row>
    <x:row r="20">
      <x:c r="A20" s="109" t="str">
        <x:v>Scenario e controllo</x:v>
      </x:c>
      <x:c r="B20" s="111" t="n">
        <x:v>14</x:v>
      </x:c>
    </x:row>
    <x:row r="21">
      <x:c r="A21" s="109" t="str">
        <x:v>Sistemi esteri</x:v>
      </x:c>
      <x:c r="B21" s="111" t="n">
        <x:v>5</x:v>
      </x:c>
    </x:row>
    <x:row r="22">
      <x:c r="A22" s="109" t="str">
        <x:v>Trasmissione</x:v>
      </x:c>
      <x:c r="B22" s="111" t="n">
        <x:v>11</x:v>
      </x:c>
    </x:row>
    <x:row r="34">
      <x:c r="A34" s="92" t="str">
        <x:v>Gap model-critical da risolvere nelle fasi successive</x:v>
      </x:c>
      <x:c r="B34" s="92"/>
      <x:c r="C34" s="92"/>
      <x:c r="D34" s="92"/>
      <x:c r="E34" s="92"/>
      <x:c r="F34" s="92"/>
      <x:c r="G34" s="92"/>
      <x:c r="H34" s="92"/>
      <x:c r="I34" s="92"/>
      <x:c r="J34" s="92"/>
    </x:row>
    <x:row r="35">
      <x:c r="A35" s="103" t="str">
        <x:v>Gap</x:v>
      </x:c>
      <x:c r="B35" s="103" t="str">
        <x:v>Impatto</x:v>
      </x:c>
      <x:c r="C35" s="103" t="str">
        <x:v>Risoluzione prevista</x:v>
      </x:c>
    </x:row>
    <x:row r="36">
      <x:c r="A36" s="112" t="str">
        <x:v>DDS 2024 completo</x:v>
      </x:c>
      <x:c r="B36" s="112" t="str">
        <x:v>Scenario 2040, commodity, DE-IT/GA-IT</x:v>
      </x:c>
      <x:c r="C36" s="112" t="str">
        <x:v>Fase 3A/3D</x:v>
      </x:c>
    </x:row>
    <x:row r="37">
      <x:c r="A37" s="112" t="str">
        <x:v>Profili orari zonali</x:v>
      </x:c>
      <x:c r="B37" s="112" t="str">
        <x:v>Domanda, VRE, idrologia, nuovi carichi</x:v>
      </x:c>
      <x:c r="C37" s="112" t="str">
        <x:v>Fase 3A/3B/4</x:v>
      </x:c>
    </x:row>
    <x:row r="38">
      <x:c r="A38" s="112" t="str">
        <x:v>Disaggregazione zonale 2050</x:v>
      </x:c>
      <x:c r="B38" s="112" t="str">
        <x:v>Capacità e domanda prevalentemente nazionali</x:v>
      </x:c>
      <x:c r="C38" s="112" t="str">
        <x:v>Fase 4</x:v>
      </x:c>
    </x:row>
    <x:row r="39">
      <x:c r="A39" s="112" t="str">
        <x:v>Capacità di mercato rete</x:v>
      </x:c>
      <x:c r="B39" s="112" t="str">
        <x:v>NTC vs target capacity vs rating progetto</x:v>
      </x:c>
      <x:c r="C39" s="112" t="str">
        <x:v>Fase 3C/4</x:v>
      </x:c>
    </x:row>
    <x:row r="40">
      <x:c r="A40" s="112" t="str">
        <x:v>Parametri tecnici omogenei</x:v>
      </x:c>
      <x:c r="B40" s="112" t="str">
        <x:v>Efficienze, VOM, outage, ramping, startup</x:v>
      </x:c>
      <x:c r="C40" s="112" t="str">
        <x:v>Fase 3D</x:v>
      </x:c>
    </x:row>
    <x:row r="41">
      <x:c r="A41" s="112" t="str">
        <x:v>Perimetro estero</x:v>
      </x:c>
      <x:c r="B41" s="112" t="str">
        <x:v>Endogeno PyPSA-Eur o prezzi/import esogeni</x:v>
      </x:c>
      <x:c r="C41" s="112" t="str">
        <x:v>Fase 3C/4</x:v>
      </x:c>
    </x:row>
    <x:row r="42">
      <x:c r="A42" s="112" t="str">
        <x:v>Idroelettrico</x:v>
      </x:c>
      <x:c r="B42" s="112" t="str">
        <x:v>Energia serbatoi, inflow, SOC terminale</x:v>
      </x:c>
      <x:c r="C42" s="112" t="str">
        <x:v>Fase 3B/4</x:v>
      </x:c>
    </x:row>
    <x:row r="43">
      <x:c r="A43" s="112" t="str">
        <x:v>VOLL e price rules</x:v>
      </x:c>
      <x:c r="B43" s="112" t="str">
        <x:v>Load shedding, cap/floor e PUN proxy</x:v>
      </x:c>
      <x:c r="C43" s="112" t="str">
        <x:v>Fase 3D/4</x:v>
      </x:c>
    </x:row>
  </x:sheetData>
  <x:mergeCells>
    <x:mergeCell ref="A1:J1"/>
    <x:mergeCell ref="A2:J2"/>
    <x:mergeCell ref="D4:J4"/>
    <x:mergeCell ref="D5:J9"/>
    <x:mergeCell ref="A34:J34"/>
  </x:mergeCells>
  <x:conditionalFormatting sqref="A36:C43">
    <x:cfRule type="expression" dxfId="12" priority="1">
      <x:formula>$A36&lt;&gt;""</x:formula>
    </x:cfRule>
  </x:conditionalFormatting>
  <x:pageMargins left="0.7" right="0.7" top="0.75" bottom="0.75" header="0.3" footer="0.3"/>
  <x:drawing xmlns:r="http://schemas.openxmlformats.org/officeDocument/2006/relationships" r:id="Ra1f013a7c2da48d9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0" hidden="0" customWidth="1"/>
    <x:col min="5" max="5" width="55" hidden="0" customWidth="1"/>
    <x:col min="6" max="6" width="16" hidden="0" customWidth="1"/>
    <x:col min="7" max="7" width="14" hidden="0" customWidth="1"/>
    <x:col min="8" max="8" width="20" hidden="0" customWidth="1"/>
    <x:col min="9" max="9" width="20" hidden="0" customWidth="1"/>
    <x:col min="10" max="10" width="22" hidden="0" customWidth="1"/>
    <x:col min="11" max="11" width="28" hidden="0" customWidth="1"/>
    <x:col min="12" max="12" width="22" hidden="0" customWidth="1"/>
    <x:col min="13" max="13" width="40" hidden="0" customWidth="1"/>
    <x:col min="14" max="14" width="26" hidden="0" customWidth="1"/>
    <x:col min="15" max="15" width="18" hidden="0" customWidth="1"/>
    <x:col min="16" max="16" width="16" hidden="0" customWidth="1"/>
    <x:col min="17" max="17" width="36" hidden="0" customWidth="1"/>
    <x:col min="18" max="18" width="32" hidden="0" customWidth="1"/>
    <x:col min="19" max="19" width="48" hidden="0" customWidth="1"/>
    <x:col min="20" max="20" width="24" hidden="0" customWidth="1"/>
    <x:col min="21" max="21" width="14" hidden="0" customWidth="1"/>
    <x:col min="22" max="22" width="12" hidden="0" customWidth="1"/>
    <x:col min="23" max="23" width="22" hidden="0" customWidth="1"/>
    <x:col min="24" max="24" width="36" hidden="0" customWidth="1"/>
  </x:cols>
  <x:sheetData>
    <x:row r="1" ht="34" customHeight="1">
      <x:c r="A1" s="97" t="str">
        <x:v>Matrice completa dei requisiti del modello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</x:row>
    <x:row r="2" ht="30" customHeight="1">
      <x:c r="A2" s="101" t="str">
        <x:v>134 requisiti; 111 model-critical; valori numerici da estrarre nelle Fasi 3–4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</x:row>
    <x:row r="4" ht="38" customHeight="1">
      <x:c r="A4" s="119" t="str">
        <x:v>Requirement ID</x:v>
      </x:c>
      <x:c r="B4" s="119" t="str">
        <x:v>Categoria</x:v>
      </x:c>
      <x:c r="C4" s="119" t="str">
        <x:v>Sottocategoria</x:v>
      </x:c>
      <x:c r="D4" s="119" t="str">
        <x:v>Variabile</x:v>
      </x:c>
      <x:c r="E4" s="119" t="str">
        <x:v>Descrizione</x:v>
      </x:c>
      <x:c r="F4" s="119" t="str">
        <x:v>Unità</x:v>
      </x:c>
      <x:c r="G4" s="119" t="str">
        <x:v>Anni</x:v>
      </x:c>
      <x:c r="H4" s="119" t="str">
        <x:v>Scenari</x:v>
      </x:c>
      <x:c r="I4" s="119" t="str">
        <x:v>Granularità temporale</x:v>
      </x:c>
      <x:c r="J4" s="119" t="str">
        <x:v>Granularità geografica</x:v>
      </x:c>
      <x:c r="K4" s="119" t="str">
        <x:v>Tecnologie</x:v>
      </x:c>
      <x:c r="L4" s="119" t="str">
        <x:v>Componente PyPSA</x:v>
      </x:c>
      <x:c r="M4" s="119" t="str">
        <x:v>Campo/i PyPSA</x:v>
      </x:c>
      <x:c r="N4" s="119" t="str">
        <x:v>Formato input atteso</x:v>
      </x:c>
      <x:c r="O4" s="119" t="str">
        <x:v>Obbligatorio</x:v>
      </x:c>
      <x:c r="P4" s="119" t="str">
        <x:v>Model-critical</x:v>
      </x:c>
      <x:c r="Q4" s="119" t="str">
        <x:v>Fonte primaria</x:v>
      </x:c>
      <x:c r="R4" s="119" t="str">
        <x:v>Fonte secondaria</x:v>
      </x:c>
      <x:c r="S4" s="119" t="str">
        <x:v>Metodo di derivazione</x:v>
      </x:c>
      <x:c r="T4" s="119" t="str">
        <x:v>Stato</x:v>
      </x:c>
      <x:c r="U4" s="119" t="str">
        <x:v>Target qualità</x:v>
      </x:c>
      <x:c r="V4" s="119" t="str">
        <x:v>Decision ID</x:v>
      </x:c>
      <x:c r="W4" s="119" t="str">
        <x:v>Richiesto entro</x:v>
      </x:c>
      <x:c r="X4" s="119" t="str">
        <x:v>Note</x:v>
      </x:c>
    </x:row>
    <x:row r="5">
      <x:c r="A5" s="83" t="str">
        <x:v>REQ-001</x:v>
      </x:c>
      <x:c r="B5" s="83" t="str">
        <x:v>Scenario e controllo</x:v>
      </x:c>
      <x:c r="C5" s="83" t="str">
        <x:v>Identificazione</x:v>
      </x:c>
      <x:c r="D5" s="83" t="str">
        <x:v>scenario_year</x:v>
      </x:c>
      <x:c r="E5" s="83" t="str">
        <x:v>Anno di simulazione e riferimento del dataset.</x:v>
      </x:c>
      <x:c r="F5" s="83" t="str">
        <x:v>year</x:v>
      </x:c>
      <x:c r="G5" s="83" t="str">
        <x:v>2040; 2050</x:v>
      </x:c>
      <x:c r="H5" s="83" t="str">
        <x:v>Tutti</x:v>
      </x:c>
      <x:c r="I5" s="83" t="str">
        <x:v>Statico per run</x:v>
      </x:c>
      <x:c r="J5" s="83" t="str">
        <x:v>Sistema</x:v>
      </x:c>
      <x:c r="K5" s="83" t="str">
        <x:v>Tutte</x:v>
      </x:c>
      <x:c r="L5" s="83" t="str">
        <x:v>Network / config</x:v>
      </x:c>
      <x:c r="M5" s="83" t="str">
        <x:v>snapshots; investment_periods (solo se usati)</x:v>
      </x:c>
      <x:c r="N5" s="83" t="str">
        <x:v>Intero/config YAML</x:v>
      </x:c>
      <x:c r="O5" s="83" t="str">
        <x:v>Sì</x:v>
      </x:c>
      <x:c r="P5" s="83" t="str">
        <x:v>Sì</x:v>
      </x:c>
      <x:c r="Q5" s="83" t="str">
        <x:v>Piano operativo; S01; S07; S08</x:v>
      </x:c>
      <x:c r="R5" s="83" t="str">
        <x:v>DDS 2024</x:v>
      </x:c>
      <x:c r="S5" s="83" t="str">
        <x:v>Assegnazione esplicita per run.</x:v>
      </x:c>
      <x:c r="T5" s="83" t="str">
        <x:v>Coperto concettualmente</x:v>
      </x:c>
      <x:c r="U5" s="83" t="str">
        <x:v>A</x:v>
      </x:c>
      <x:c r="V5" s="83" t="str">
        <x:v>D01</x:v>
      </x:c>
      <x:c r="W5" s="83" t="str">
        <x:v>Prima della Fase 4</x:v>
      </x:c>
      <x:c r="X5" s="83" t="str">
        <x:v>Un run separato per 2040 e 2050 è il default.</x:v>
      </x:c>
    </x:row>
    <x:row r="6">
      <x:c r="A6" s="83" t="str">
        <x:v>REQ-002</x:v>
      </x:c>
      <x:c r="B6" s="83" t="str">
        <x:v>Scenario e controllo</x:v>
      </x:c>
      <x:c r="C6" s="83" t="str">
        <x:v>Identificazione</x:v>
      </x:c>
      <x:c r="D6" s="83" t="str">
        <x:v>scenario_id</x:v>
      </x:c>
      <x:c r="E6" s="83" t="str">
        <x:v>Nome univoco del caso, comprensivo di anno, rete, meteo e sensitività.</x:v>
      </x:c>
      <x:c r="F6" s="83" t="str">
        <x:v>text</x:v>
      </x:c>
      <x:c r="G6" s="83" t="str">
        <x:v>2040; 2050</x:v>
      </x:c>
      <x:c r="H6" s="83" t="str">
        <x:v>Base e sensitività</x:v>
      </x:c>
      <x:c r="I6" s="83" t="str">
        <x:v>Statico per run</x:v>
      </x:c>
      <x:c r="J6" s="83" t="str">
        <x:v>Sistema</x:v>
      </x:c>
      <x:c r="K6" s="83" t="str">
        <x:v>Tutte</x:v>
      </x:c>
      <x:c r="L6" s="83" t="str">
        <x:v>Config / metadata</x:v>
      </x:c>
      <x:c r="M6" s="83" t="str">
        <x:v>run.name; scenario key</x:v>
      </x:c>
      <x:c r="N6" s="83" t="str">
        <x:v>Stringa normalizzata</x:v>
      </x:c>
      <x:c r="O6" s="83" t="str">
        <x:v>Sì</x:v>
      </x:c>
      <x:c r="P6" s="83" t="str">
        <x:v>No</x:v>
      </x:c>
      <x:c r="Q6" s="83" t="str">
        <x:v>Piano operativo</x:v>
      </x:c>
      <x:c r="R6" s="83" t="str">
        <x:v>PyPSA-Eur config/scenario YAML</x:v>
      </x:c>
      <x:c r="S6" s="83" t="str">
        <x:v>Convenzione di naming.</x:v>
      </x:c>
      <x:c r="T6" s="83" t="str">
        <x:v>Da definire</x:v>
      </x:c>
      <x:c r="U6" s="83" t="str">
        <x:v>A</x:v>
      </x:c>
      <x:c r="V6" s="83" t="str">
        <x:v>D01</x:v>
      </x:c>
      <x:c r="W6" s="83" t="str">
        <x:v>Prima della Fase 4</x:v>
      </x:c>
      <x:c r="X6" s="83" t="str"/>
    </x:row>
    <x:row r="7">
      <x:c r="A7" s="83" t="str">
        <x:v>REQ-003</x:v>
      </x:c>
      <x:c r="B7" s="83" t="str">
        <x:v>Scenario e controllo</x:v>
      </x:c>
      <x:c r="C7" s="83" t="str">
        <x:v>Provenienza</x:v>
      </x:c>
      <x:c r="D7" s="83" t="str">
        <x:v>scenario_source_version</x:v>
      </x:c>
      <x:c r="E7" s="83" t="str">
        <x:v>Versione delle fonti e data di estrazione utilizzate dal caso.</x:v>
      </x:c>
      <x:c r="F7" s="83" t="str">
        <x:v>text/date</x:v>
      </x:c>
      <x:c r="G7" s="83" t="str">
        <x:v>2040; 2050</x:v>
      </x:c>
      <x:c r="H7" s="83" t="str">
        <x:v>Tutti</x:v>
      </x:c>
      <x:c r="I7" s="83" t="str">
        <x:v>Statico</x:v>
      </x:c>
      <x:c r="J7" s="83" t="str">
        <x:v>Sistema</x:v>
      </x:c>
      <x:c r="K7" s="83" t="str">
        <x:v>Tutte</x:v>
      </x:c>
      <x:c r="L7" s="83" t="str">
        <x:v>Metadata esterno</x:v>
      </x:c>
      <x:c r="M7" s="83" t="str">
        <x:v>custom metadata / sidecar</x:v>
      </x:c>
      <x:c r="N7" s="83" t="str">
        <x:v>Registro sorgenti</x:v>
      </x:c>
      <x:c r="O7" s="83" t="str">
        <x:v>Sì</x:v>
      </x:c>
      <x:c r="P7" s="83" t="str">
        <x:v>No</x:v>
      </x:c>
      <x:c r="Q7" s="83" t="str">
        <x:v>00_Source_Register; DDS 2024; fonti future</x:v>
      </x:c>
      <x:c r="R7" s="83" t="str">
        <x:v>Changelog</x:v>
      </x:c>
      <x:c r="S7" s="83" t="str">
        <x:v>Compilazione dall'audit trail.</x:v>
      </x:c>
      <x:c r="T7" s="83" t="str">
        <x:v>Coperto; da popolare</x:v>
      </x:c>
      <x:c r="U7" s="83" t="str">
        <x:v>A</x:v>
      </x:c>
      <x:c r="V7" s="83" t="str">
        <x:v>D34</x:v>
      </x:c>
      <x:c r="W7" s="83" t="str">
        <x:v>Continuo</x:v>
      </x:c>
      <x:c r="X7" s="83" t="str"/>
    </x:row>
    <x:row r="8">
      <x:c r="A8" s="83" t="str">
        <x:v>REQ-004</x:v>
      </x:c>
      <x:c r="B8" s="83" t="str">
        <x:v>Scenario e controllo</x:v>
      </x:c>
      <x:c r="C8" s="83" t="str">
        <x:v>Modalità</x:v>
      </x:c>
      <x:c r="D8" s="83" t="str">
        <x:v>optimization_mode</x:v>
      </x:c>
      <x:c r="E8" s="83" t="str">
        <x:v>Modalità solo dispacciamento con capacità esogene e fisse.</x:v>
      </x:c>
      <x:c r="F8" s="83" t="str">
        <x:v>boolean/text</x:v>
      </x:c>
      <x:c r="G8" s="83" t="str">
        <x:v>2040; 2050</x:v>
      </x:c>
      <x:c r="H8" s="83" t="str">
        <x:v>Base</x:v>
      </x:c>
      <x:c r="I8" s="83" t="str">
        <x:v>Statico</x:v>
      </x:c>
      <x:c r="J8" s="83" t="str">
        <x:v>Sistema</x:v>
      </x:c>
      <x:c r="K8" s="83" t="str">
        <x:v>Tutte</x:v>
      </x:c>
      <x:c r="L8" s="83" t="str">
        <x:v>Generator; Link; Store; StorageUnit</x:v>
      </x:c>
      <x:c r="M8" s="83" t="str">
        <x:v>p_nom_extendable; e_nom_extendable</x:v>
      </x:c>
      <x:c r="N8" s="83" t="str">
        <x:v>Flag componenti</x:v>
      </x:c>
      <x:c r="O8" s="83" t="str">
        <x:v>Sì</x:v>
      </x:c>
      <x:c r="P8" s="83" t="str">
        <x:v>Sì</x:v>
      </x:c>
      <x:c r="Q8" s="83" t="str">
        <x:v>Consegna progetto</x:v>
      </x:c>
      <x:c r="R8" s="83" t="str">
        <x:v>PyPSA official docs</x:v>
      </x:c>
      <x:c r="S8" s="83" t="str">
        <x:v>Impostare capacità non estendibili.</x:v>
      </x:c>
      <x:c r="T8" s="83" t="str">
        <x:v>Definito</x:v>
      </x:c>
      <x:c r="U8" s="83" t="str">
        <x:v>A</x:v>
      </x:c>
      <x:c r="V8" s="83" t="str">
        <x:v>D01</x:v>
      </x:c>
      <x:c r="W8" s="83" t="str">
        <x:v>Prima dell'implementazione</x:v>
      </x:c>
      <x:c r="X8" s="83" t="str">
        <x:v>CAPEX/FOM non devono guidare l'ottimizzazione base.</x:v>
      </x:c>
    </x:row>
    <x:row r="9">
      <x:c r="A9" s="83" t="str">
        <x:v>REQ-005</x:v>
      </x:c>
      <x:c r="B9" s="83" t="str">
        <x:v>Scenario e controllo</x:v>
      </x:c>
      <x:c r="C9" s="83" t="str">
        <x:v>Modalità</x:v>
      </x:c>
      <x:c r="D9" s="83" t="str">
        <x:v>capacity_fixing</x:v>
      </x:c>
      <x:c r="E9" s="83" t="str">
        <x:v>Blocco delle capacità installate ai valori di scenario.</x:v>
      </x:c>
      <x:c r="F9" s="83" t="str">
        <x:v>boolean/MW/MWh</x:v>
      </x:c>
      <x:c r="G9" s="83" t="str">
        <x:v>2040; 2050</x:v>
      </x:c>
      <x:c r="H9" s="83" t="str">
        <x:v>Tutti</x:v>
      </x:c>
      <x:c r="I9" s="83" t="str">
        <x:v>Statico</x:v>
      </x:c>
      <x:c r="J9" s="83" t="str">
        <x:v>Zona/nodo</x:v>
      </x:c>
      <x:c r="K9" s="83" t="str">
        <x:v>Generazione; storage; trasmissione</x:v>
      </x:c>
      <x:c r="L9" s="83" t="str">
        <x:v>Generator; Link; Store; StorageUnit</x:v>
      </x:c>
      <x:c r="M9" s="83" t="str">
        <x:v>p_nom; e_nom; p_nom_extendable=False; e_nom_extendable=False</x:v>
      </x:c>
      <x:c r="N9" s="83" t="str">
        <x:v>Tabelle statiche</x:v>
      </x:c>
      <x:c r="O9" s="83" t="str">
        <x:v>Sì</x:v>
      </x:c>
      <x:c r="P9" s="83" t="str">
        <x:v>Sì</x:v>
      </x:c>
      <x:c r="Q9" s="83" t="str">
        <x:v>S01; S03; S05; S07; S08</x:v>
      </x:c>
      <x:c r="R9" s="83" t="str">
        <x:v>DDS 2024; MACSE; Capacity Market</x:v>
      </x:c>
      <x:c r="S9" s="83" t="str">
        <x:v>Caricamento valori armonizzati.</x:v>
      </x:c>
      <x:c r="T9" s="83" t="str">
        <x:v>Da estrarre</x:v>
      </x:c>
      <x:c r="U9" s="83" t="str">
        <x:v>A/B</x:v>
      </x:c>
      <x:c r="V9" s="83" t="str">
        <x:v>D01</x:v>
      </x:c>
      <x:c r="W9" s="83" t="str">
        <x:v>Fase 4</x:v>
      </x:c>
      <x:c r="X9" s="83" t="str"/>
    </x:row>
    <x:row r="10">
      <x:c r="A10" s="83" t="str">
        <x:v>REQ-006</x:v>
      </x:c>
      <x:c r="B10" s="83" t="str">
        <x:v>Scenario e controllo</x:v>
      </x:c>
      <x:c r="C10" s="83" t="str">
        <x:v>Tempo</x:v>
      </x:c>
      <x:c r="D10" s="83" t="str">
        <x:v>simulation_horizon</x:v>
      </x:c>
      <x:c r="E10" s="83" t="str">
        <x:v>Copertura temporale del run.</x:v>
      </x:c>
      <x:c r="F10" s="83" t="str">
        <x:v>hours/year</x:v>
      </x:c>
      <x:c r="G10" s="83" t="str">
        <x:v>2040; 2050</x:v>
      </x:c>
      <x:c r="H10" s="83" t="str">
        <x:v>Base</x:v>
      </x:c>
      <x:c r="I10" s="83" t="str">
        <x:v>Annuale</x:v>
      </x:c>
      <x:c r="J10" s="83" t="str">
        <x:v>Sistema</x:v>
      </x:c>
      <x:c r="K10" s="83" t="str">
        <x:v>Tutte</x:v>
      </x:c>
      <x:c r="L10" s="83" t="str">
        <x:v>Network</x:v>
      </x:c>
      <x:c r="M10" s="83" t="str">
        <x:v>snapshots</x:v>
      </x:c>
      <x:c r="N10" s="83" t="str">
        <x:v>Indice temporale</x:v>
      </x:c>
      <x:c r="O10" s="83" t="str">
        <x:v>Sì</x:v>
      </x:c>
      <x:c r="P10" s="83" t="str">
        <x:v>Sì</x:v>
      </x:c>
      <x:c r="Q10" s="83" t="str">
        <x:v>Consegna progetto</x:v>
      </x:c>
      <x:c r="R10" s="83" t="str">
        <x:v>PyPSA/PyPSA-Eur</x:v>
      </x:c>
      <x:c r="S10" s="83" t="str">
        <x:v>Anno completo come default.</x:v>
      </x:c>
      <x:c r="T10" s="83" t="str">
        <x:v>Decisione proposta</x:v>
      </x:c>
      <x:c r="U10" s="83" t="str">
        <x:v>A</x:v>
      </x:c>
      <x:c r="V10" s="83" t="str">
        <x:v>D04</x:v>
      </x:c>
      <x:c r="W10" s="83" t="str">
        <x:v>Prima dell'implementazione</x:v>
      </x:c>
      <x:c r="X10" s="83" t="str">
        <x:v>Evitare representative days nel caso base dei prezzi.</x:v>
      </x:c>
    </x:row>
    <x:row r="11">
      <x:c r="A11" s="83" t="str">
        <x:v>REQ-007</x:v>
      </x:c>
      <x:c r="B11" s="83" t="str">
        <x:v>Scenario e controllo</x:v>
      </x:c>
      <x:c r="C11" s="83" t="str">
        <x:v>Tempo</x:v>
      </x:c>
      <x:c r="D11" s="83" t="str">
        <x:v>temporal_resolution</x:v>
      </x:c>
      <x:c r="E11" s="83" t="str">
        <x:v>Passo temporale della simulazione.</x:v>
      </x:c>
      <x:c r="F11" s="83" t="str">
        <x:v>hours/snapshot</x:v>
      </x:c>
      <x:c r="G11" s="83" t="str">
        <x:v>2040; 2050</x:v>
      </x:c>
      <x:c r="H11" s="83" t="str">
        <x:v>Base e sensitività</x:v>
      </x:c>
      <x:c r="I11" s="83" t="str">
        <x:v>Orario</x:v>
      </x:c>
      <x:c r="J11" s="83" t="str">
        <x:v>Sistema</x:v>
      </x:c>
      <x:c r="K11" s="83" t="str">
        <x:v>Tutte</x:v>
      </x:c>
      <x:c r="L11" s="83" t="str">
        <x:v>Network</x:v>
      </x:c>
      <x:c r="M11" s="83" t="str">
        <x:v>snapshots; snapshot_weightings</x:v>
      </x:c>
      <x:c r="N11" s="83" t="str">
        <x:v>Indice e pesi</x:v>
      </x:c>
      <x:c r="O11" s="83" t="str">
        <x:v>Sì</x:v>
      </x:c>
      <x:c r="P11" s="83" t="str">
        <x:v>Sì</x:v>
      </x:c>
      <x:c r="Q11" s="83" t="str">
        <x:v>Consegna progetto</x:v>
      </x:c>
      <x:c r="R11" s="83" t="str">
        <x:v>PyPSA/PyPSA-Eur</x:v>
      </x:c>
      <x:c r="S11" s="83" t="str">
        <x:v>1 ora per snapshot.</x:v>
      </x:c>
      <x:c r="T11" s="83" t="str">
        <x:v>Decisione proposta</x:v>
      </x:c>
      <x:c r="U11" s="83" t="str">
        <x:v>A</x:v>
      </x:c>
      <x:c r="V11" s="83" t="str">
        <x:v>D04</x:v>
      </x:c>
      <x:c r="W11" s="83" t="str">
        <x:v>Prima dell'implementazione</x:v>
      </x:c>
      <x:c r="X11" s="83" t="str"/>
    </x:row>
    <x:row r="12">
      <x:c r="A12" s="83" t="str">
        <x:v>REQ-008</x:v>
      </x:c>
      <x:c r="B12" s="83" t="str">
        <x:v>Scenario e controllo</x:v>
      </x:c>
      <x:c r="C12" s="83" t="str">
        <x:v>Tempo</x:v>
      </x:c>
      <x:c r="D12" s="83" t="str">
        <x:v>calendar_timezone</x:v>
      </x:c>
      <x:c r="E12" s="83" t="str">
        <x:v>Calendario, timezone, ora legale e gestione anno bisestile.</x:v>
      </x:c>
      <x:c r="F12" s="83" t="str">
        <x:v>text</x:v>
      </x:c>
      <x:c r="G12" s="83" t="str">
        <x:v>2040; 2050</x:v>
      </x:c>
      <x:c r="H12" s="83" t="str">
        <x:v>Tutti</x:v>
      </x:c>
      <x:c r="I12" s="83" t="str">
        <x:v>Orario</x:v>
      </x:c>
      <x:c r="J12" s="83" t="str">
        <x:v>Sistema</x:v>
      </x:c>
      <x:c r="K12" s="83" t="str">
        <x:v>Tutte</x:v>
      </x:c>
      <x:c r="L12" s="83" t="str">
        <x:v>Network / preprocessing</x:v>
      </x:c>
      <x:c r="M12" s="83" t="str">
        <x:v>snapshots</x:v>
      </x:c>
      <x:c r="N12" s="83" t="str">
        <x:v>Indice datetime coerente</x:v>
      </x:c>
      <x:c r="O12" s="83" t="str">
        <x:v>Sì</x:v>
      </x:c>
      <x:c r="P12" s="83" t="str">
        <x:v>Sì</x:v>
      </x:c>
      <x:c r="Q12" s="83" t="str">
        <x:v>Portale Dati Terna; PyPSA-Eur</x:v>
      </x:c>
      <x:c r="R12" s="83" t="str">
        <x:v>ENTSO-E</x:v>
      </x:c>
      <x:c r="S12" s="83" t="str">
        <x:v>Normalizzare in timezone scelta senza duplicati o buchi.</x:v>
      </x:c>
      <x:c r="T12" s="83" t="str">
        <x:v>Gap metodologico</x:v>
      </x:c>
      <x:c r="U12" s="83" t="str">
        <x:v>A</x:v>
      </x:c>
      <x:c r="V12" s="83" t="str">
        <x:v>D04</x:v>
      </x:c>
      <x:c r="W12" s="83" t="str">
        <x:v>Prima dell'implementazione</x:v>
      </x:c>
      <x:c r="X12" s="83" t="str"/>
    </x:row>
    <x:row r="13">
      <x:c r="A13" s="83" t="str">
        <x:v>REQ-009</x:v>
      </x:c>
      <x:c r="B13" s="83" t="str">
        <x:v>Scenario e controllo</x:v>
      </x:c>
      <x:c r="C13" s="83" t="str">
        <x:v>Tempo</x:v>
      </x:c>
      <x:c r="D13" s="83" t="str">
        <x:v>snapshot_weightings</x:v>
      </x:c>
      <x:c r="E13" s="83" t="str">
        <x:v>Peso di ciascuno snapshot nell'obiettivo e nei bilanci.</x:v>
      </x:c>
      <x:c r="F13" s="83" t="str">
        <x:v>hours</x:v>
      </x:c>
      <x:c r="G13" s="83" t="str">
        <x:v>2040; 2050</x:v>
      </x:c>
      <x:c r="H13" s="83" t="str">
        <x:v>Tutti</x:v>
      </x:c>
      <x:c r="I13" s="83" t="str">
        <x:v>Orario</x:v>
      </x:c>
      <x:c r="J13" s="83" t="str">
        <x:v>Sistema</x:v>
      </x:c>
      <x:c r="K13" s="83" t="str">
        <x:v>Tutte</x:v>
      </x:c>
      <x:c r="L13" s="83" t="str">
        <x:v>Network</x:v>
      </x:c>
      <x:c r="M13" s="83" t="str">
        <x:v>snapshot_weightings</x:v>
      </x:c>
      <x:c r="N13" s="83" t="str">
        <x:v>Serie temporale</x:v>
      </x:c>
      <x:c r="O13" s="83" t="str">
        <x:v>Sì</x:v>
      </x:c>
      <x:c r="P13" s="83" t="str">
        <x:v>Sì</x:v>
      </x:c>
      <x:c r="Q13" s="83" t="str">
        <x:v>PyPSA official docs</x:v>
      </x:c>
      <x:c r="R13" s="83" t="str">
        <x:v>PyPSA-Eur config</x:v>
      </x:c>
      <x:c r="S13" s="83" t="str">
        <x:v>Peso 1 per run orario completo.</x:v>
      </x:c>
      <x:c r="T13" s="83" t="str">
        <x:v>Decisione proposta</x:v>
      </x:c>
      <x:c r="U13" s="83" t="str">
        <x:v>A</x:v>
      </x:c>
      <x:c r="V13" s="83" t="str">
        <x:v>D04</x:v>
      </x:c>
      <x:c r="W13" s="83" t="str">
        <x:v>Prima dell'implementazione</x:v>
      </x:c>
      <x:c r="X13" s="83" t="str"/>
    </x:row>
    <x:row r="14">
      <x:c r="A14" s="83" t="str">
        <x:v>REQ-010</x:v>
      </x:c>
      <x:c r="B14" s="83" t="str">
        <x:v>Scenario e controllo</x:v>
      </x:c>
      <x:c r="C14" s="83" t="str">
        <x:v>Meteo</x:v>
      </x:c>
      <x:c r="D14" s="83" t="str">
        <x:v>weather_year</x:v>
      </x:c>
      <x:c r="E14" s="83" t="str">
        <x:v>Anno meteorologico usato per profili FER, idrologia e domanda climatica.</x:v>
      </x:c>
      <x:c r="F14" s="83" t="str">
        <x:v>year</x:v>
      </x:c>
      <x:c r="G14" s="83" t="str">
        <x:v>2040; 2050</x:v>
      </x:c>
      <x:c r="H14" s="83" t="str">
        <x:v>Base</x:v>
      </x:c>
      <x:c r="I14" s="83" t="str">
        <x:v>Orario</x:v>
      </x:c>
      <x:c r="J14" s="83" t="str">
        <x:v>Sistema/zone</x:v>
      </x:c>
      <x:c r="K14" s="83" t="str">
        <x:v>FER; idroelettrico; domanda</x:v>
      </x:c>
      <x:c r="L14" s="83" t="str">
        <x:v>Preprocessing / Generator / StorageUnit</x:v>
      </x:c>
      <x:c r="M14" s="83" t="str">
        <x:v>p_max_pu; inflow; Load.p_set</x:v>
      </x:c>
      <x:c r="N14" s="83" t="str">
        <x:v>Serie temporali</x:v>
      </x:c>
      <x:c r="O14" s="83" t="str">
        <x:v>Sì</x:v>
      </x:c>
      <x:c r="P14" s="83" t="str">
        <x:v>Sì</x:v>
      </x:c>
      <x:c r="Q14" s="83" t="str">
        <x:v>PyPSA-Eur/atlite; Terna</x:v>
      </x:c>
      <x:c r="R14" s="83" t="str">
        <x:v>ERA5/SARAH/ENTSO-E</x:v>
      </x:c>
      <x:c r="S14" s="83" t="str">
        <x:v>Selezione esplicita e registrata.</x:v>
      </x:c>
      <x:c r="T14" s="83" t="str">
        <x:v>Gap; da coordinare col progetto CLI</x:v>
      </x:c>
      <x:c r="U14" s="83" t="str">
        <x:v>A/B</x:v>
      </x:c>
      <x:c r="V14" s="83" t="str">
        <x:v>D05</x:v>
      </x:c>
      <x:c r="W14" s="83" t="str">
        <x:v>Prima della Fase 4</x:v>
      </x:c>
      <x:c r="X14" s="83" t="str"/>
    </x:row>
    <x:row r="15">
      <x:c r="A15" s="83" t="str">
        <x:v>REQ-011</x:v>
      </x:c>
      <x:c r="B15" s="83" t="str">
        <x:v>Scenario e controllo</x:v>
      </x:c>
      <x:c r="C15" s="83" t="str">
        <x:v>Meteo</x:v>
      </x:c>
      <x:c r="D15" s="83" t="str">
        <x:v>weather_year_sensitivities</x:v>
      </x:c>
      <x:c r="E15" s="83" t="str">
        <x:v>Set di anni meteorologici per robustezza dei prezzi.</x:v>
      </x:c>
      <x:c r="F15" s="83" t="str">
        <x:v>list[year]</x:v>
      </x:c>
      <x:c r="G15" s="83" t="str">
        <x:v>2040; 2050</x:v>
      </x:c>
      <x:c r="H15" s="83" t="str">
        <x:v>Sensitività</x:v>
      </x:c>
      <x:c r="I15" s="83" t="str">
        <x:v>Orario</x:v>
      </x:c>
      <x:c r="J15" s="83" t="str">
        <x:v>Sistema/zone</x:v>
      </x:c>
      <x:c r="K15" s="83" t="str">
        <x:v>FER; idroelettrico; domanda</x:v>
      </x:c>
      <x:c r="L15" s="83" t="str">
        <x:v>Preprocessing</x:v>
      </x:c>
      <x:c r="M15" s="83" t="str">
        <x:v>scenario dimensions</x:v>
      </x:c>
      <x:c r="N15" s="83" t="str">
        <x:v>Elenco anni</x:v>
      </x:c>
      <x:c r="O15" s="83" t="str">
        <x:v>Desiderabile</x:v>
      </x:c>
      <x:c r="P15" s="83" t="str">
        <x:v>Sì</x:v>
      </x:c>
      <x:c r="Q15" s="83" t="str">
        <x:v>PyPSA-Eur/atlite</x:v>
      </x:c>
      <x:c r="R15" s="83" t="str">
        <x:v>Terna/ENTSO-E</x:v>
      </x:c>
      <x:c r="S15" s="83" t="str">
        <x:v>Eseguire più run senza modificare capacità.</x:v>
      </x:c>
      <x:c r="T15" s="83" t="str">
        <x:v>Da definire</x:v>
      </x:c>
      <x:c r="U15" s="83" t="str">
        <x:v>B</x:v>
      </x:c>
      <x:c r="V15" s="83" t="str">
        <x:v>D05</x:v>
      </x:c>
      <x:c r="W15" s="83" t="str">
        <x:v>Fase 4/7</x:v>
      </x:c>
      <x:c r="X15" s="83" t="str"/>
    </x:row>
    <x:row r="16">
      <x:c r="A16" s="83" t="str">
        <x:v>REQ-012</x:v>
      </x:c>
      <x:c r="B16" s="83" t="str">
        <x:v>Scenario e controllo</x:v>
      </x:c>
      <x:c r="C16" s="83" t="str">
        <x:v>Valuta</x:v>
      </x:c>
      <x:c r="D16" s="83" t="str">
        <x:v>monetary_base_year</x:v>
      </x:c>
      <x:c r="E16" s="83" t="str">
        <x:v>Anno monetario e valuta reale dei costi.</x:v>
      </x:c>
      <x:c r="F16" s="83" t="str">
        <x:v>EUR real year</x:v>
      </x:c>
      <x:c r="G16" s="83" t="str">
        <x:v>2040; 2050</x:v>
      </x:c>
      <x:c r="H16" s="83" t="str">
        <x:v>Tutti</x:v>
      </x:c>
      <x:c r="I16" s="83" t="str">
        <x:v>Statico</x:v>
      </x:c>
      <x:c r="J16" s="83" t="str">
        <x:v>Sistema</x:v>
      </x:c>
      <x:c r="K16" s="83" t="str">
        <x:v>Tutte</x:v>
      </x:c>
      <x:c r="L16" s="83" t="str">
        <x:v>Preprocessing / cost database</x:v>
      </x:c>
      <x:c r="M16" s="83" t="str">
        <x:v>marginal_cost; capital_cost (solo contesto)</x:v>
      </x:c>
      <x:c r="N16" s="83" t="str">
        <x:v>Metadato e valori normalizzati</x:v>
      </x:c>
      <x:c r="O16" s="83" t="str">
        <x:v>Sì</x:v>
      </x:c>
      <x:c r="P16" s="83" t="str">
        <x:v>Sì</x:v>
      </x:c>
      <x:c r="Q16" s="83" t="str">
        <x:v>S07; S08</x:v>
      </x:c>
      <x:c r="R16" s="83" t="str">
        <x:v>PyPSA technology-data; Eurostat</x:v>
      </x:c>
      <x:c r="S16" s="83" t="str">
        <x:v>Deflazione e conversione documentate.</x:v>
      </x:c>
      <x:c r="T16" s="83" t="str">
        <x:v>Gap; da definire</x:v>
      </x:c>
      <x:c r="U16" s="83" t="str">
        <x:v>A/B</x:v>
      </x:c>
      <x:c r="V16" s="83" t="str">
        <x:v>D35</x:v>
      </x:c>
      <x:c r="W16" s="83" t="str">
        <x:v>Fase 3D</x:v>
      </x:c>
      <x:c r="X16" s="83" t="str"/>
    </x:row>
    <x:row r="17">
      <x:c r="A17" s="83" t="str">
        <x:v>REQ-013</x:v>
      </x:c>
      <x:c r="B17" s="83" t="str">
        <x:v>Scenario e controllo</x:v>
      </x:c>
      <x:c r="C17" s="83" t="str">
        <x:v>Audit</x:v>
      </x:c>
      <x:c r="D17" s="83" t="str">
        <x:v>source_traceability</x:v>
      </x:c>
      <x:c r="E17" s="83" t="str">
        <x:v>Tracciabilità da ogni input a documento, pagina, tabella/figura e trasformazione.</x:v>
      </x:c>
      <x:c r="F17" s="83" t="str">
        <x:v>text</x:v>
      </x:c>
      <x:c r="G17" s="83" t="str">
        <x:v>Tutti</x:v>
      </x:c>
      <x:c r="H17" s="83" t="str">
        <x:v>Tutti</x:v>
      </x:c>
      <x:c r="I17" s="83" t="str">
        <x:v>Statico</x:v>
      </x:c>
      <x:c r="J17" s="83" t="str">
        <x:v>Ogni riga input</x:v>
      </x:c>
      <x:c r="K17" s="83" t="str">
        <x:v>Tutte</x:v>
      </x:c>
      <x:c r="L17" s="83" t="str">
        <x:v>Sidecar/workbook</x:v>
      </x:c>
      <x:c r="M17" s="83" t="str">
        <x:v>source_id; page; method; confidence</x:v>
      </x:c>
      <x:c r="N17" s="83" t="str">
        <x:v>Colonne audit</x:v>
      </x:c>
      <x:c r="O17" s="83" t="str">
        <x:v>Sì</x:v>
      </x:c>
      <x:c r="P17" s="83" t="str">
        <x:v>No</x:v>
      </x:c>
      <x:c r="Q17" s="83" t="str">
        <x:v>Piano operativo; output Fase 1</x:v>
      </x:c>
      <x:c r="R17" s="83" t="str">
        <x:v>Tutte le fonti</x:v>
      </x:c>
      <x:c r="S17" s="83" t="str">
        <x:v>Campi obbligatori nel workbook.</x:v>
      </x:c>
      <x:c r="T17" s="83" t="str">
        <x:v>Definito</x:v>
      </x:c>
      <x:c r="U17" s="83" t="str">
        <x:v>A</x:v>
      </x:c>
      <x:c r="V17" s="83" t="str">
        <x:v>D34</x:v>
      </x:c>
      <x:c r="W17" s="83" t="str">
        <x:v>Continuo</x:v>
      </x:c>
      <x:c r="X17" s="83" t="str"/>
    </x:row>
    <x:row r="18">
      <x:c r="A18" s="83" t="str">
        <x:v>REQ-014</x:v>
      </x:c>
      <x:c r="B18" s="83" t="str">
        <x:v>Scenario e controllo</x:v>
      </x:c>
      <x:c r="C18" s="83" t="str">
        <x:v>Audit</x:v>
      </x:c>
      <x:c r="D18" s="83" t="str">
        <x:v>evidence_confidence</x:v>
      </x:c>
      <x:c r="E18" s="83" t="str">
        <x:v>Classe di qualità Direct/Derived/Digitised/Inferred/Assumption.</x:v>
      </x:c>
      <x:c r="F18" s="83" t="str">
        <x:v>class</x:v>
      </x:c>
      <x:c r="G18" s="83" t="str">
        <x:v>Tutti</x:v>
      </x:c>
      <x:c r="H18" s="83" t="str">
        <x:v>Tutti</x:v>
      </x:c>
      <x:c r="I18" s="83" t="str">
        <x:v>Statico</x:v>
      </x:c>
      <x:c r="J18" s="83" t="str">
        <x:v>Ogni riga input</x:v>
      </x:c>
      <x:c r="K18" s="83" t="str">
        <x:v>Tutte</x:v>
      </x:c>
      <x:c r="L18" s="83" t="str">
        <x:v>Sidecar/workbook</x:v>
      </x:c>
      <x:c r="M18" s="83" t="str">
        <x:v>confidence</x:v>
      </x:c>
      <x:c r="N18" s="83" t="str">
        <x:v>Categoria</x:v>
      </x:c>
      <x:c r="O18" s="83" t="str">
        <x:v>Sì</x:v>
      </x:c>
      <x:c r="P18" s="83" t="str">
        <x:v>No</x:v>
      </x:c>
      <x:c r="Q18" s="83" t="str">
        <x:v>Piano operativo</x:v>
      </x:c>
      <x:c r="R18" s="83" t="str">
        <x:v>QA register</x:v>
      </x:c>
      <x:c r="S18" s="83" t="str">
        <x:v>Assegnazione secondo metodo di estrazione.</x:v>
      </x:c>
      <x:c r="T18" s="83" t="str">
        <x:v>Definito</x:v>
      </x:c>
      <x:c r="U18" s="83" t="str">
        <x:v>A-E</x:v>
      </x:c>
      <x:c r="V18" s="83" t="str">
        <x:v>D34</x:v>
      </x:c>
      <x:c r="W18" s="83" t="str">
        <x:v>Continuo</x:v>
      </x:c>
      <x:c r="X18" s="83" t="str"/>
    </x:row>
    <x:row r="19">
      <x:c r="A19" s="83" t="str">
        <x:v>REQ-015</x:v>
      </x:c>
      <x:c r="B19" s="83" t="str">
        <x:v>Geografia e topologia</x:v>
      </x:c>
      <x:c r="C19" s="83" t="str">
        <x:v>Zone</x:v>
      </x:c>
      <x:c r="D19" s="83" t="str">
        <x:v>italian_bidding_zones</x:v>
      </x:c>
      <x:c r="E19" s="83" t="str">
        <x:v>Elenco delle zone di mercato italiane rappresentate come bus di mercato.</x:v>
      </x:c>
      <x:c r="F19" s="83" t="str">
        <x:v>list[text]</x:v>
      </x:c>
      <x:c r="G19" s="83" t="str">
        <x:v>2040; 2050</x:v>
      </x:c>
      <x:c r="H19" s="83" t="str">
        <x:v>Tutti</x:v>
      </x:c>
      <x:c r="I19" s="83" t="str">
        <x:v>Statico</x:v>
      </x:c>
      <x:c r="J19" s="83" t="str">
        <x:v>Zona di mercato</x:v>
      </x:c>
      <x:c r="K19" s="83" t="str">
        <x:v>Tutte</x:v>
      </x:c>
      <x:c r="L19" s="83" t="str">
        <x:v>Bus</x:v>
      </x:c>
      <x:c r="M19" s="83" t="str">
        <x:v>name; carrier; country</x:v>
      </x:c>
      <x:c r="N19" s="83" t="str">
        <x:v>Tabella bus</x:v>
      </x:c>
      <x:c r="O19" s="83" t="str">
        <x:v>Sì</x:v>
      </x:c>
      <x:c r="P19" s="83" t="str">
        <x:v>Sì</x:v>
      </x:c>
      <x:c r="Q19" s="83" t="str">
        <x:v>S01 cap.3; documenti Terna zone</x:v>
      </x:c>
      <x:c r="R19" s="83" t="str">
        <x:v>GME; NTC Terna</x:v>
      </x:c>
      <x:c r="S19" s="83" t="str">
        <x:v>Usare configurazione zonale vigente salvo evidenza di riforma futura.</x:v>
      </x:c>
      <x:c r="T19" s="83" t="str">
        <x:v>Da verificare</x:v>
      </x:c>
      <x:c r="U19" s="83" t="str">
        <x:v>A</x:v>
      </x:c>
      <x:c r="V19" s="83" t="str">
        <x:v>D02</x:v>
      </x:c>
      <x:c r="W19" s="83" t="str">
        <x:v>Fase 3C</x:v>
      </x:c>
      <x:c r="X19" s="83" t="str"/>
    </x:row>
    <x:row r="20">
      <x:c r="A20" s="83" t="str">
        <x:v>REQ-016</x:v>
      </x:c>
      <x:c r="B20" s="83" t="str">
        <x:v>Geografia e topologia</x:v>
      </x:c>
      <x:c r="C20" s="83" t="str">
        <x:v>Zone</x:v>
      </x:c>
      <x:c r="D20" s="83" t="str">
        <x:v>future_zone_boundaries</x:v>
      </x:c>
      <x:c r="E20" s="83" t="str">
        <x:v>Eventuali modifiche ufficiali alla configurazione zonale entro 2040/2050.</x:v>
      </x:c>
      <x:c r="F20" s="83" t="str">
        <x:v>text/geometry</x:v>
      </x:c>
      <x:c r="G20" s="83" t="str">
        <x:v>2040; 2050</x:v>
      </x:c>
      <x:c r="H20" s="83" t="str">
        <x:v>Base e sensitività</x:v>
      </x:c>
      <x:c r="I20" s="83" t="str">
        <x:v>Statico</x:v>
      </x:c>
      <x:c r="J20" s="83" t="str">
        <x:v>Italia</x:v>
      </x:c>
      <x:c r="K20" s="83" t="str">
        <x:v>Tutte</x:v>
      </x:c>
      <x:c r="L20" s="83" t="str">
        <x:v>Bus / preprocessing</x:v>
      </x:c>
      <x:c r="M20" s="83" t="str">
        <x:v>bus mapping</x:v>
      </x:c>
      <x:c r="N20" s="83" t="str">
        <x:v>Crosswalk/versione</x:v>
      </x:c>
      <x:c r="O20" s="83" t="str">
        <x:v>Sì</x:v>
      </x:c>
      <x:c r="P20" s="83" t="str">
        <x:v>Sì</x:v>
      </x:c>
      <x:c r="Q20" s="83" t="str">
        <x:v>S01 cap.3; Terna; ACER bidding zone review</x:v>
      </x:c>
      <x:c r="R20" s="83" t="str">
        <x:v>GME</x:v>
      </x:c>
      <x:c r="S20" s="83" t="str">
        <x:v>Applicare solo cambiamenti ufficiali o scenari separati.</x:v>
      </x:c>
      <x:c r="T20" s="83" t="str">
        <x:v>Gap/watchlist</x:v>
      </x:c>
      <x:c r="U20" s="83" t="str">
        <x:v>B</x:v>
      </x:c>
      <x:c r="V20" s="83" t="str">
        <x:v>D02</x:v>
      </x:c>
      <x:c r="W20" s="83" t="str">
        <x:v>Fase 3C/4</x:v>
      </x:c>
      <x:c r="X20" s="83" t="str"/>
    </x:row>
    <x:row r="21">
      <x:c r="A21" s="83" t="str">
        <x:v>REQ-017</x:v>
      </x:c>
      <x:c r="B21" s="83" t="str">
        <x:v>Geografia e topologia</x:v>
      </x:c>
      <x:c r="C21" s="83" t="str">
        <x:v>Crosswalk</x:v>
      </x:c>
      <x:c r="D21" s="83" t="str">
        <x:v>region_zone_crosswalk</x:v>
      </x:c>
      <x:c r="E21" s="83" t="str">
        <x:v>Mappatura regione/provincia/comune verso zona di mercato.</x:v>
      </x:c>
      <x:c r="F21" s="83" t="str">
        <x:v>mapping</x:v>
      </x:c>
      <x:c r="G21" s="83" t="str">
        <x:v>2040; 2050</x:v>
      </x:c>
      <x:c r="H21" s="83" t="str">
        <x:v>Tutti</x:v>
      </x:c>
      <x:c r="I21" s="83" t="str">
        <x:v>Statico</x:v>
      </x:c>
      <x:c r="J21" s="83" t="str">
        <x:v>Regione/provincia/comune → zona</x:v>
      </x:c>
      <x:c r="K21" s="83" t="str">
        <x:v>Tutte</x:v>
      </x:c>
      <x:c r="L21" s="83" t="str">
        <x:v>Preprocessing / Bus</x:v>
      </x:c>
      <x:c r="M21" s="83" t="str">
        <x:v>bus assignment</x:v>
      </x:c>
      <x:c r="N21" s="83" t="str">
        <x:v>Tabella many-to-one</x:v>
      </x:c>
      <x:c r="O21" s="83" t="str">
        <x:v>Sì</x:v>
      </x:c>
      <x:c r="P21" s="83" t="str">
        <x:v>Sì</x:v>
      </x:c>
      <x:c r="Q21" s="83" t="str">
        <x:v>S04; S01; S05</x:v>
      </x:c>
      <x:c r="R21" s="83" t="str">
        <x:v>ISTAT geometries; Terna</x:v>
      </x:c>
      <x:c r="S21" s="83" t="str">
        <x:v>Regole esplicite per eccezioni territoriali.</x:v>
      </x:c>
      <x:c r="T21" s="83" t="str">
        <x:v>Parziale; da costruire</x:v>
      </x:c>
      <x:c r="U21" s="83" t="str">
        <x:v>A/B</x:v>
      </x:c>
      <x:c r="V21" s="83" t="str">
        <x:v>D02</x:v>
      </x:c>
      <x:c r="W21" s="83" t="str">
        <x:v>Fase 3A/3C</x:v>
      </x:c>
      <x:c r="X21" s="83" t="str"/>
    </x:row>
    <x:row r="22">
      <x:c r="A22" s="83" t="str">
        <x:v>REQ-018</x:v>
      </x:c>
      <x:c r="B22" s="83" t="str">
        <x:v>Geografia e topologia</x:v>
      </x:c>
      <x:c r="C22" s="83" t="str">
        <x:v>Topologia</x:v>
      </x:c>
      <x:c r="D22" s="83" t="str">
        <x:v>zone_adjacency</x:v>
      </x:c>
      <x:c r="E22" s="83" t="str">
        <x:v>Matrice di adiacenza delle zone e corridoi di scambio.</x:v>
      </x:c>
      <x:c r="F22" s="83" t="str">
        <x:v>mapping</x:v>
      </x:c>
      <x:c r="G22" s="83" t="str">
        <x:v>2040; 2050</x:v>
      </x:c>
      <x:c r="H22" s="83" t="str">
        <x:v>Tutti</x:v>
      </x:c>
      <x:c r="I22" s="83" t="str">
        <x:v>Statico</x:v>
      </x:c>
      <x:c r="J22" s="83" t="str">
        <x:v>Coppia di zone</x:v>
      </x:c>
      <x:c r="K22" s="83" t="str">
        <x:v>Trasmissione</x:v>
      </x:c>
      <x:c r="L22" s="83" t="str">
        <x:v>Link</x:v>
      </x:c>
      <x:c r="M22" s="83" t="str">
        <x:v>bus0; bus1</x:v>
      </x:c>
      <x:c r="N22" s="83" t="str">
        <x:v>Edge list</x:v>
      </x:c>
      <x:c r="O22" s="83" t="str">
        <x:v>Sì</x:v>
      </x:c>
      <x:c r="P22" s="83" t="str">
        <x:v>Sì</x:v>
      </x:c>
      <x:c r="Q22" s="83" t="str">
        <x:v>S01; S03; S05</x:v>
      </x:c>
      <x:c r="R22" s="83" t="str">
        <x:v>Terna NTC</x:v>
      </x:c>
      <x:c r="S22" s="83" t="str">
        <x:v>Costruzione dai corridoi ufficiali.</x:v>
      </x:c>
      <x:c r="T22" s="83" t="str">
        <x:v>Da estrarre</x:v>
      </x:c>
      <x:c r="U22" s="83" t="str">
        <x:v>A</x:v>
      </x:c>
      <x:c r="V22" s="83" t="str">
        <x:v>D20</x:v>
      </x:c>
      <x:c r="W22" s="83" t="str">
        <x:v>Fase 3C</x:v>
      </x:c>
      <x:c r="X22" s="83" t="str"/>
    </x:row>
    <x:row r="23">
      <x:c r="A23" s="83" t="str">
        <x:v>REQ-019</x:v>
      </x:c>
      <x:c r="B23" s="83" t="str">
        <x:v>Geografia e topologia</x:v>
      </x:c>
      <x:c r="C23" s="83" t="str">
        <x:v>Topologia</x:v>
      </x:c>
      <x:c r="D23" s="83" t="str">
        <x:v>foreign_market_nodes</x:v>
      </x:c>
      <x:c r="E23" s="83" t="str">
        <x:v>Nodi o zone estere connessi all'Italia.</x:v>
      </x:c>
      <x:c r="F23" s="83" t="str">
        <x:v>list[text]</x:v>
      </x:c>
      <x:c r="G23" s="83" t="str">
        <x:v>2040; 2050</x:v>
      </x:c>
      <x:c r="H23" s="83" t="str">
        <x:v>Tutti</x:v>
      </x:c>
      <x:c r="I23" s="83" t="str">
        <x:v>Statico</x:v>
      </x:c>
      <x:c r="J23" s="83" t="str">
        <x:v>Frontiere estere</x:v>
      </x:c>
      <x:c r="K23" s="83" t="str">
        <x:v>Sistemi esteri</x:v>
      </x:c>
      <x:c r="L23" s="83" t="str">
        <x:v>Bus</x:v>
      </x:c>
      <x:c r="M23" s="83" t="str">
        <x:v>name; country; carrier</x:v>
      </x:c>
      <x:c r="N23" s="83" t="str">
        <x:v>Tabella bus esteri</x:v>
      </x:c>
      <x:c r="O23" s="83" t="str">
        <x:v>Sì</x:v>
      </x:c>
      <x:c r="P23" s="83" t="str">
        <x:v>Sì</x:v>
      </x:c>
      <x:c r="Q23" s="83" t="str">
        <x:v>S01; S03; S05; S08</x:v>
      </x:c>
      <x:c r="R23" s="83" t="str">
        <x:v>PyPSA-Eur/TYNDP</x:v>
      </x:c>
      <x:c r="S23" s="83" t="str">
        <x:v>Definizione coerente con modalità endogena o esogena.</x:v>
      </x:c>
      <x:c r="T23" s="83" t="str">
        <x:v>Decisione aperta</x:v>
      </x:c>
      <x:c r="U23" s="83" t="str">
        <x:v>A/B</x:v>
      </x:c>
      <x:c r="V23" s="83" t="str">
        <x:v>D03</x:v>
      </x:c>
      <x:c r="W23" s="83" t="str">
        <x:v>Fase 3C</x:v>
      </x:c>
      <x:c r="X23" s="83" t="str"/>
    </x:row>
    <x:row r="24">
      <x:c r="A24" s="83" t="str">
        <x:v>REQ-020</x:v>
      </x:c>
      <x:c r="B24" s="83" t="str">
        <x:v>Geografia e topologia</x:v>
      </x:c>
      <x:c r="C24" s="83" t="str">
        <x:v>Topologia</x:v>
      </x:c>
      <x:c r="D24" s="83" t="str">
        <x:v>special_limited_zones</x:v>
      </x:c>
      <x:c r="E24" s="83" t="str">
        <x:v>Trattamento di poli di produzione limitata o nodi speciali rilevanti.</x:v>
      </x:c>
      <x:c r="F24" s="83" t="str">
        <x:v>text/list</x:v>
      </x:c>
      <x:c r="G24" s="83" t="str">
        <x:v>2040; 2050</x:v>
      </x:c>
      <x:c r="H24" s="83" t="str">
        <x:v>Sensitività/solo se rilevante</x:v>
      </x:c>
      <x:c r="I24" s="83" t="str">
        <x:v>Statico</x:v>
      </x:c>
      <x:c r="J24" s="83" t="str">
        <x:v>Italia</x:v>
      </x:c>
      <x:c r="K24" s="83" t="str">
        <x:v>Generazione/rete</x:v>
      </x:c>
      <x:c r="L24" s="83" t="str">
        <x:v>Bus / Link</x:v>
      </x:c>
      <x:c r="M24" s="83" t="str">
        <x:v>custom topology</x:v>
      </x:c>
      <x:c r="N24" s="83" t="str">
        <x:v>Elenco e mapping</x:v>
      </x:c>
      <x:c r="O24" s="83" t="str">
        <x:v>Desiderabile</x:v>
      </x:c>
      <x:c r="P24" s="83" t="str">
        <x:v>Sì</x:v>
      </x:c>
      <x:c r="Q24" s="83" t="str">
        <x:v>Terna zone/limiti di transito</x:v>
      </x:c>
      <x:c r="R24" s="83" t="str">
        <x:v>GME</x:v>
      </x:c>
      <x:c r="S24" s="83" t="str">
        <x:v>Includere solo se materialmente rilevanti per prezzi zonali.</x:v>
      </x:c>
      <x:c r="T24" s="83" t="str">
        <x:v>Da valutare</x:v>
      </x:c>
      <x:c r="U24" s="83" t="str">
        <x:v>B</x:v>
      </x:c>
      <x:c r="V24" s="83" t="str">
        <x:v>D02</x:v>
      </x:c>
      <x:c r="W24" s="83" t="str">
        <x:v>Fase 3C</x:v>
      </x:c>
      <x:c r="X24" s="83" t="str"/>
    </x:row>
    <x:row r="25">
      <x:c r="A25" s="83" t="str">
        <x:v>REQ-021</x:v>
      </x:c>
      <x:c r="B25" s="83" t="str">
        <x:v>Geografia e topologia</x:v>
      </x:c>
      <x:c r="C25" s="83" t="str">
        <x:v>Geometrie</x:v>
      </x:c>
      <x:c r="D25" s="83" t="str">
        <x:v>bus_coordinates_shapes</x:v>
      </x:c>
      <x:c r="E25" s="83" t="str">
        <x:v>Coordinate e geometrie per mapping, QA e visualizzazione.</x:v>
      </x:c>
      <x:c r="F25" s="83" t="str">
        <x:v>degrees/geometry</x:v>
      </x:c>
      <x:c r="G25" s="83" t="str">
        <x:v>2040; 2050</x:v>
      </x:c>
      <x:c r="H25" s="83" t="str">
        <x:v>Tutti</x:v>
      </x:c>
      <x:c r="I25" s="83" t="str">
        <x:v>Statico</x:v>
      </x:c>
      <x:c r="J25" s="83" t="str">
        <x:v>Zone/nodi</x:v>
      </x:c>
      <x:c r="K25" s="83" t="str">
        <x:v>Tutte</x:v>
      </x:c>
      <x:c r="L25" s="83" t="str">
        <x:v>Bus / Shapes</x:v>
      </x:c>
      <x:c r="M25" s="83" t="str">
        <x:v>x; y; geometry</x:v>
      </x:c>
      <x:c r="N25" s="83" t="str">
        <x:v>GeoJSON/tabella</x:v>
      </x:c>
      <x:c r="O25" s="83" t="str">
        <x:v>Desiderabile</x:v>
      </x:c>
      <x:c r="P25" s="83" t="str">
        <x:v>No</x:v>
      </x:c>
      <x:c r="Q25" s="83" t="str">
        <x:v>PyPSA-Eur; ISTAT; Terna maps</x:v>
      </x:c>
      <x:c r="R25" s="83" t="str">
        <x:v>Eurostat GISCO</x:v>
      </x:c>
      <x:c r="S25" s="83" t="str">
        <x:v>Centroidi o shapes coerenti.</x:v>
      </x:c>
      <x:c r="T25" s="83" t="str">
        <x:v>Disponibile esternamente</x:v>
      </x:c>
      <x:c r="U25" s="83" t="str">
        <x:v>B</x:v>
      </x:c>
      <x:c r="V25" s="83" t="str">
        <x:v>D36</x:v>
      </x:c>
      <x:c r="W25" s="83" t="str">
        <x:v>Fase 5/7</x:v>
      </x:c>
      <x:c r="X25" s="83" t="str"/>
    </x:row>
    <x:row r="26">
      <x:c r="A26" s="83" t="str">
        <x:v>REQ-022</x:v>
      </x:c>
      <x:c r="B26" s="83" t="str">
        <x:v>Geografia e topologia</x:v>
      </x:c>
      <x:c r="C26" s="83" t="str">
        <x:v>Aggregazione</x:v>
      </x:c>
      <x:c r="D26" s="83" t="str">
        <x:v>plant_spatial_assignment</x:v>
      </x:c>
      <x:c r="E26" s="83" t="str">
        <x:v>Regola per assegnare impianti e capacità a zone.</x:v>
      </x:c>
      <x:c r="F26" s="83" t="str">
        <x:v>mapping rule</x:v>
      </x:c>
      <x:c r="G26" s="83" t="str">
        <x:v>2040; 2050</x:v>
      </x:c>
      <x:c r="H26" s="83" t="str">
        <x:v>Tutti</x:v>
      </x:c>
      <x:c r="I26" s="83" t="str">
        <x:v>Statico</x:v>
      </x:c>
      <x:c r="J26" s="83" t="str">
        <x:v>Impianto/regione → zona</x:v>
      </x:c>
      <x:c r="K26" s="83" t="str">
        <x:v>Generazione/storage</x:v>
      </x:c>
      <x:c r="L26" s="83" t="str">
        <x:v>Generator; StorageUnit; Store</x:v>
      </x:c>
      <x:c r="M26" s="83" t="str">
        <x:v>bus</x:v>
      </x:c>
      <x:c r="N26" s="83" t="str">
        <x:v>Crosswalk</x:v>
      </x:c>
      <x:c r="O26" s="83" t="str">
        <x:v>Sì</x:v>
      </x:c>
      <x:c r="P26" s="83" t="str">
        <x:v>Sì</x:v>
      </x:c>
      <x:c r="Q26" s="83" t="str">
        <x:v>S01; S04; Gaudì</x:v>
      </x:c>
      <x:c r="R26" s="83" t="str">
        <x:v>powerplantmatching</x:v>
      </x:c>
      <x:c r="S26" s="83" t="str">
        <x:v>Priorità a coordinate/impianto, poi regione, poi proxy.</x:v>
      </x:c>
      <x:c r="T26" s="83" t="str">
        <x:v>Parziale</x:v>
      </x:c>
      <x:c r="U26" s="83" t="str">
        <x:v>A/B</x:v>
      </x:c>
      <x:c r="V26" s="83" t="str">
        <x:v>D09</x:v>
      </x:c>
      <x:c r="W26" s="83" t="str">
        <x:v>Fase 3A/4</x:v>
      </x:c>
      <x:c r="X26" s="83" t="str"/>
    </x:row>
    <x:row r="27">
      <x:c r="A27" s="83" t="str">
        <x:v>REQ-023</x:v>
      </x:c>
      <x:c r="B27" s="83" t="str">
        <x:v>Geografia e topologia</x:v>
      </x:c>
      <x:c r="C27" s="83" t="str">
        <x:v>Aggregazione</x:v>
      </x:c>
      <x:c r="D27" s="83" t="str">
        <x:v>network_aggregation_level</x:v>
      </x:c>
      <x:c r="E27" s="83" t="str">
        <x:v>Livello di aggregazione tra nodale PyPSA-Eur e zone di mercato.</x:v>
      </x:c>
      <x:c r="F27" s="83" t="str">
        <x:v>text</x:v>
      </x:c>
      <x:c r="G27" s="83" t="str">
        <x:v>2040; 2050</x:v>
      </x:c>
      <x:c r="H27" s="83" t="str">
        <x:v>Base e sensitività</x:v>
      </x:c>
      <x:c r="I27" s="83" t="str">
        <x:v>Statico</x:v>
      </x:c>
      <x:c r="J27" s="83" t="str">
        <x:v>Italia/Europa</x:v>
      </x:c>
      <x:c r="K27" s="83" t="str">
        <x:v>Tutte</x:v>
      </x:c>
      <x:c r="L27" s="83" t="str">
        <x:v>Network clustering / Bus / Link</x:v>
      </x:c>
      <x:c r="M27" s="83" t="str">
        <x:v>clustered network</x:v>
      </x:c>
      <x:c r="N27" s="83" t="str">
        <x:v>Config/scenario</x:v>
      </x:c>
      <x:c r="O27" s="83" t="str">
        <x:v>Sì</x:v>
      </x:c>
      <x:c r="P27" s="83" t="str">
        <x:v>Sì</x:v>
      </x:c>
      <x:c r="Q27" s="83" t="str">
        <x:v>Obiettivo progetto; S01 cap.3</x:v>
      </x:c>
      <x:c r="R27" s="83" t="str">
        <x:v>PyPSA-Eur clustering docs</x:v>
      </x:c>
      <x:c r="S27" s="83" t="str">
        <x:v>Default: modello zonale di trasporto per prezzi MGP.</x:v>
      </x:c>
      <x:c r="T27" s="83" t="str">
        <x:v>Decisione proposta</x:v>
      </x:c>
      <x:c r="U27" s="83" t="str">
        <x:v>A</x:v>
      </x:c>
      <x:c r="V27" s="83" t="str">
        <x:v>D01</x:v>
      </x:c>
      <x:c r="W27" s="83" t="str">
        <x:v>Prima della Fase 3C</x:v>
      </x:c>
      <x:c r="X27" s="83" t="str"/>
    </x:row>
    <x:row r="28">
      <x:c r="A28" s="83" t="str">
        <x:v>REQ-024</x:v>
      </x:c>
      <x:c r="B28" s="83" t="str">
        <x:v>Domanda</x:v>
      </x:c>
      <x:c r="C28" s="83" t="str">
        <x:v>Totale</x:v>
      </x:c>
      <x:c r="D28" s="83" t="str">
        <x:v>annual_electricity_demand</x:v>
      </x:c>
      <x:c r="E28" s="83" t="str">
        <x:v>Fabbisogno/domanda elettrica annuale nazionale coerente col perimetro di rete.</x:v>
      </x:c>
      <x:c r="F28" s="83" t="str">
        <x:v>TWh/year</x:v>
      </x:c>
      <x:c r="G28" s="83" t="str">
        <x:v>2040; 2050</x:v>
      </x:c>
      <x:c r="H28" s="83" t="str">
        <x:v>Tutti</x:v>
      </x:c>
      <x:c r="I28" s="83" t="str">
        <x:v>Annuale</x:v>
      </x:c>
      <x:c r="J28" s="83" t="str">
        <x:v>Nazionale</x:v>
      </x:c>
      <x:c r="K28" s="83" t="str">
        <x:v>Domanda</x:v>
      </x:c>
      <x:c r="L28" s="83" t="str">
        <x:v>Load / preprocessing</x:v>
      </x:c>
      <x:c r="M28" s="83" t="str">
        <x:v>p_set (scalato)</x:v>
      </x:c>
      <x:c r="N28" s="83" t="str">
        <x:v>Valore annuale</x:v>
      </x:c>
      <x:c r="O28" s="83" t="str">
        <x:v>Sì</x:v>
      </x:c>
      <x:c r="P28" s="83" t="str">
        <x:v>Sì</x:v>
      </x:c>
      <x:c r="Q28" s="83" t="str">
        <x:v>S01; S07; S08</x:v>
      </x:c>
      <x:c r="R28" s="83" t="str">
        <x:v>DDS 2024; Terna statistics</x:v>
      </x:c>
      <x:c r="S28" s="83" t="str">
        <x:v>Selezione e riconciliazione delle definizioni.</x:v>
      </x:c>
      <x:c r="T28" s="83" t="str">
        <x:v>Da estrarre</x:v>
      </x:c>
      <x:c r="U28" s="83" t="str">
        <x:v>A/B</x:v>
      </x:c>
      <x:c r="V28" s="83" t="str">
        <x:v>D06</x:v>
      </x:c>
      <x:c r="W28" s="83" t="str">
        <x:v>Fase 3A</x:v>
      </x:c>
      <x:c r="X28" s="83" t="str"/>
    </x:row>
    <x:row r="29">
      <x:c r="A29" s="83" t="str">
        <x:v>REQ-025</x:v>
      </x:c>
      <x:c r="B29" s="83" t="str">
        <x:v>Domanda</x:v>
      </x:c>
      <x:c r="C29" s="83" t="str">
        <x:v>Totale</x:v>
      </x:c>
      <x:c r="D29" s="83" t="str">
        <x:v>annual_zonal_demand</x:v>
      </x:c>
      <x:c r="E29" s="83" t="str">
        <x:v>Domanda annua per zona di mercato.</x:v>
      </x:c>
      <x:c r="F29" s="83" t="str">
        <x:v>MWh/year</x:v>
      </x:c>
      <x:c r="G29" s="83" t="str">
        <x:v>2040; 2050</x:v>
      </x:c>
      <x:c r="H29" s="83" t="str">
        <x:v>Tutti</x:v>
      </x:c>
      <x:c r="I29" s="83" t="str">
        <x:v>Annuale</x:v>
      </x:c>
      <x:c r="J29" s="83" t="str">
        <x:v>Zona</x:v>
      </x:c>
      <x:c r="K29" s="83" t="str">
        <x:v>Domanda</x:v>
      </x:c>
      <x:c r="L29" s="83" t="str">
        <x:v>Load</x:v>
      </x:c>
      <x:c r="M29" s="83" t="str">
        <x:v>p_set (somma annuale)</x:v>
      </x:c>
      <x:c r="N29" s="83" t="str">
        <x:v>Tabella zona-anno</x:v>
      </x:c>
      <x:c r="O29" s="83" t="str">
        <x:v>Sì</x:v>
      </x:c>
      <x:c r="P29" s="83" t="str">
        <x:v>Sì</x:v>
      </x:c>
      <x:c r="Q29" s="83" t="str">
        <x:v>S01; Portale Dati Terna</x:v>
      </x:c>
      <x:c r="R29" s="83" t="str">
        <x:v>S04; domanda regionale</x:v>
      </x:c>
      <x:c r="S29" s="83" t="str">
        <x:v>Dato diretto o disaggregazione con proxy documentato.</x:v>
      </x:c>
      <x:c r="T29" s="83" t="str">
        <x:v>Parziale/gap 2050</x:v>
      </x:c>
      <x:c r="U29" s="83" t="str">
        <x:v>A-D</x:v>
      </x:c>
      <x:c r="V29" s="83" t="str">
        <x:v>D06</x:v>
      </x:c>
      <x:c r="W29" s="83" t="str">
        <x:v>Fase 3A/4</x:v>
      </x:c>
      <x:c r="X29" s="83" t="str"/>
    </x:row>
    <x:row r="30">
      <x:c r="A30" s="83" t="str">
        <x:v>REQ-026</x:v>
      </x:c>
      <x:c r="B30" s="83" t="str">
        <x:v>Domanda</x:v>
      </x:c>
      <x:c r="C30" s="83" t="str">
        <x:v>Profili</x:v>
      </x:c>
      <x:c r="D30" s="83" t="str">
        <x:v>hourly_national_load_profile</x:v>
      </x:c>
      <x:c r="E30" s="83" t="str">
        <x:v>Profilo orario nazionale usato come controllo.</x:v>
      </x:c>
      <x:c r="F30" s="83" t="str">
        <x:v>MW</x:v>
      </x:c>
      <x:c r="G30" s="83" t="str">
        <x:v>2040; 2050</x:v>
      </x:c>
      <x:c r="H30" s="83" t="str">
        <x:v>Tutti</x:v>
      </x:c>
      <x:c r="I30" s="83" t="str">
        <x:v>Orario</x:v>
      </x:c>
      <x:c r="J30" s="83" t="str">
        <x:v>Nazionale</x:v>
      </x:c>
      <x:c r="K30" s="83" t="str">
        <x:v>Domanda</x:v>
      </x:c>
      <x:c r="L30" s="83" t="str">
        <x:v>Load</x:v>
      </x:c>
      <x:c r="M30" s="83" t="str">
        <x:v>p_set</x:v>
      </x:c>
      <x:c r="N30" s="83" t="str">
        <x:v>Serie temporale</x:v>
      </x:c>
      <x:c r="O30" s="83" t="str">
        <x:v>Sì</x:v>
      </x:c>
      <x:c r="P30" s="83" t="str">
        <x:v>Sì</x:v>
      </x:c>
      <x:c r="Q30" s="83" t="str">
        <x:v>Portale Dati Terna; PyPSA-Eur</x:v>
      </x:c>
      <x:c r="R30" s="83" t="str">
        <x:v>ENTSO-E</x:v>
      </x:c>
      <x:c r="S30" s="83" t="str">
        <x:v>Profilo storico/meteo scalato al totale futuro.</x:v>
      </x:c>
      <x:c r="T30" s="83" t="str">
        <x:v>Gap esterno</x:v>
      </x:c>
      <x:c r="U30" s="83" t="str">
        <x:v>A/B</x:v>
      </x:c>
      <x:c r="V30" s="83" t="str">
        <x:v>D06</x:v>
      </x:c>
      <x:c r="W30" s="83" t="str">
        <x:v>Fase 3A/4</x:v>
      </x:c>
      <x:c r="X30" s="83" t="str"/>
    </x:row>
    <x:row r="31">
      <x:c r="A31" s="83" t="str">
        <x:v>REQ-027</x:v>
      </x:c>
      <x:c r="B31" s="83" t="str">
        <x:v>Domanda</x:v>
      </x:c>
      <x:c r="C31" s="83" t="str">
        <x:v>Profili</x:v>
      </x:c>
      <x:c r="D31" s="83" t="str">
        <x:v>hourly_zonal_load_profiles</x:v>
      </x:c>
      <x:c r="E31" s="83" t="str">
        <x:v>Profili orari per zona, con somma coerente al profilo nazionale.</x:v>
      </x:c>
      <x:c r="F31" s="83" t="str">
        <x:v>MW</x:v>
      </x:c>
      <x:c r="G31" s="83" t="str">
        <x:v>2040; 2050</x:v>
      </x:c>
      <x:c r="H31" s="83" t="str">
        <x:v>Tutti</x:v>
      </x:c>
      <x:c r="I31" s="83" t="str">
        <x:v>Orario</x:v>
      </x:c>
      <x:c r="J31" s="83" t="str">
        <x:v>Zona</x:v>
      </x:c>
      <x:c r="K31" s="83" t="str">
        <x:v>Domanda</x:v>
      </x:c>
      <x:c r="L31" s="83" t="str">
        <x:v>Load</x:v>
      </x:c>
      <x:c r="M31" s="83" t="str">
        <x:v>p_set</x:v>
      </x:c>
      <x:c r="N31" s="83" t="str">
        <x:v>Matrice time × zone</x:v>
      </x:c>
      <x:c r="O31" s="83" t="str">
        <x:v>Sì</x:v>
      </x:c>
      <x:c r="P31" s="83" t="str">
        <x:v>Sì</x:v>
      </x:c>
      <x:c r="Q31" s="83" t="str">
        <x:v>Terna dati zonali se disponibili</x:v>
      </x:c>
      <x:c r="R31" s="83" t="str">
        <x:v>PyPSA-Eur; proxy regionali</x:v>
      </x:c>
      <x:c r="S31" s="83" t="str">
        <x:v>Scalatura/allocazione e riconciliazione.</x:v>
      </x:c>
      <x:c r="T31" s="83" t="str">
        <x:v>Gap critico</x:v>
      </x:c>
      <x:c r="U31" s="83" t="str">
        <x:v>A-D</x:v>
      </x:c>
      <x:c r="V31" s="83" t="str">
        <x:v>D06</x:v>
      </x:c>
      <x:c r="W31" s="83" t="str">
        <x:v>Fase 3A/4</x:v>
      </x:c>
      <x:c r="X31" s="83" t="str"/>
    </x:row>
    <x:row r="32">
      <x:c r="A32" s="83" t="str">
        <x:v>REQ-028</x:v>
      </x:c>
      <x:c r="B32" s="83" t="str">
        <x:v>Domanda</x:v>
      </x:c>
      <x:c r="C32" s="83" t="str">
        <x:v>Settori</x:v>
      </x:c>
      <x:c r="D32" s="83" t="str">
        <x:v>annual_sectoral_demand</x:v>
      </x:c>
      <x:c r="E32" s="83" t="str">
        <x:v>Consumi elettrici annui per settore coerenti con il totale.</x:v>
      </x:c>
      <x:c r="F32" s="83" t="str">
        <x:v>TWh/year</x:v>
      </x:c>
      <x:c r="G32" s="83" t="str">
        <x:v>2040; 2050</x:v>
      </x:c>
      <x:c r="H32" s="83" t="str">
        <x:v>Tutti</x:v>
      </x:c>
      <x:c r="I32" s="83" t="str">
        <x:v>Annuale</x:v>
      </x:c>
      <x:c r="J32" s="83" t="str">
        <x:v>Nazionale/regionale</x:v>
      </x:c>
      <x:c r="K32" s="83" t="str">
        <x:v>Civile; industria; trasporti; altri</x:v>
      </x:c>
      <x:c r="L32" s="83" t="str">
        <x:v>Load / metadata</x:v>
      </x:c>
      <x:c r="M32" s="83" t="str">
        <x:v>p_set aggregated by carrier</x:v>
      </x:c>
      <x:c r="N32" s="83" t="str">
        <x:v>Tabella settore-anno-geografia</x:v>
      </x:c>
      <x:c r="O32" s="83" t="str">
        <x:v>Desiderabile</x:v>
      </x:c>
      <x:c r="P32" s="83" t="str">
        <x:v>Sì</x:v>
      </x:c>
      <x:c r="Q32" s="83" t="str">
        <x:v>S07; S08</x:v>
      </x:c>
      <x:c r="R32" s="83" t="str">
        <x:v>ENEA; ISTAT; DDS 2024</x:v>
      </x:c>
      <x:c r="S32" s="83" t="str">
        <x:v>Conservare perimetro e evitare doppio conteggio.</x:v>
      </x:c>
      <x:c r="T32" s="83" t="str">
        <x:v>Parziale</x:v>
      </x:c>
      <x:c r="U32" s="83" t="str">
        <x:v>A-C</x:v>
      </x:c>
      <x:c r="V32" s="83" t="str">
        <x:v>D07</x:v>
      </x:c>
      <x:c r="W32" s="83" t="str">
        <x:v>Fase 3A</x:v>
      </x:c>
      <x:c r="X32" s="83" t="str"/>
    </x:row>
    <x:row r="33">
      <x:c r="A33" s="83" t="str">
        <x:v>REQ-029</x:v>
      </x:c>
      <x:c r="B33" s="83" t="str">
        <x:v>Domanda</x:v>
      </x:c>
      <x:c r="C33" s="83" t="str">
        <x:v>Settori</x:v>
      </x:c>
      <x:c r="D33" s="83" t="str">
        <x:v>sectoral_hourly_profiles</x:v>
      </x:c>
      <x:c r="E33" s="83" t="str">
        <x:v>Profili orari distinti per settore e nuovi carichi.</x:v>
      </x:c>
      <x:c r="F33" s="83" t="str">
        <x:v>p.u. or MW</x:v>
      </x:c>
      <x:c r="G33" s="83" t="str">
        <x:v>2040; 2050</x:v>
      </x:c>
      <x:c r="H33" s="83" t="str">
        <x:v>Tutti</x:v>
      </x:c>
      <x:c r="I33" s="83" t="str">
        <x:v>Orario</x:v>
      </x:c>
      <x:c r="J33" s="83" t="str">
        <x:v>Zona/settore</x:v>
      </x:c>
      <x:c r="K33" s="83" t="str">
        <x:v>Civile; industria; EV; HP; H2; data center</x:v>
      </x:c>
      <x:c r="L33" s="83" t="str">
        <x:v>Multiple Load components</x:v>
      </x:c>
      <x:c r="M33" s="83" t="str">
        <x:v>p_set</x:v>
      </x:c>
      <x:c r="N33" s="83" t="str">
        <x:v>Matrice time × zone × sector</x:v>
      </x:c>
      <x:c r="O33" s="83" t="str">
        <x:v>Desiderabile</x:v>
      </x:c>
      <x:c r="P33" s="83" t="str">
        <x:v>Sì</x:v>
      </x:c>
      <x:c r="Q33" s="83" t="str">
        <x:v>PyPSA-Eur sector profiles; Terna/Snam notes</x:v>
      </x:c>
      <x:c r="R33" s="83" t="str">
        <x:v>ENTSO-E; ENEA</x:v>
      </x:c>
      <x:c r="S33" s="83" t="str">
        <x:v>Scalare ogni profilo al volume settoriale.</x:v>
      </x:c>
      <x:c r="T33" s="83" t="str">
        <x:v>Gap esterno</x:v>
      </x:c>
      <x:c r="U33" s="83" t="str">
        <x:v>B-D</x:v>
      </x:c>
      <x:c r="V33" s="83" t="str">
        <x:v>D07</x:v>
      </x:c>
      <x:c r="W33" s="83" t="str">
        <x:v>Fase 4</x:v>
      </x:c>
      <x:c r="X33" s="83" t="str"/>
    </x:row>
    <x:row r="34">
      <x:c r="A34" s="83" t="str">
        <x:v>REQ-030</x:v>
      </x:c>
      <x:c r="B34" s="83" t="str">
        <x:v>Domanda</x:v>
      </x:c>
      <x:c r="C34" s="83" t="str">
        <x:v>Perimetro</x:v>
      </x:c>
      <x:c r="D34" s="83" t="str">
        <x:v>grid_demand_definition</x:v>
      </x:c>
      <x:c r="E34" s="83" t="str">
        <x:v>Definizione tra fabbisogno, consumi finali, domanda di rete, perdite e autoconsumi.</x:v>
      </x:c>
      <x:c r="F34" s="83" t="str">
        <x:v>text</x:v>
      </x:c>
      <x:c r="G34" s="83" t="str">
        <x:v>2040; 2050</x:v>
      </x:c>
      <x:c r="H34" s="83" t="str">
        <x:v>Tutti</x:v>
      </x:c>
      <x:c r="I34" s="83" t="str">
        <x:v>Statico</x:v>
      </x:c>
      <x:c r="J34" s="83" t="str">
        <x:v>Sistema</x:v>
      </x:c>
      <x:c r="K34" s="83" t="str">
        <x:v>Domanda</x:v>
      </x:c>
      <x:c r="L34" s="83" t="str">
        <x:v>Preprocessing</x:v>
      </x:c>
      <x:c r="M34" s="83" t="str">
        <x:v>p_set perimeter</x:v>
      </x:c>
      <x:c r="N34" s="83" t="str">
        <x:v>Regola contabile</x:v>
      </x:c>
      <x:c r="O34" s="83" t="str">
        <x:v>Sì</x:v>
      </x:c>
      <x:c r="P34" s="83" t="str">
        <x:v>Sì</x:v>
      </x:c>
      <x:c r="Q34" s="83" t="str">
        <x:v>S01; S07; S08</x:v>
      </x:c>
      <x:c r="R34" s="83" t="str">
        <x:v>Terna statistics</x:v>
      </x:c>
      <x:c r="S34" s="83" t="str">
        <x:v>Scegliere un perimetro e riconciliare le altre voci.</x:v>
      </x:c>
      <x:c r="T34" s="83" t="str">
        <x:v>Decisione aperta</x:v>
      </x:c>
      <x:c r="U34" s="83" t="str">
        <x:v>A</x:v>
      </x:c>
      <x:c r="V34" s="83" t="str">
        <x:v>D08</x:v>
      </x:c>
      <x:c r="W34" s="83" t="str">
        <x:v>Fase 3A</x:v>
      </x:c>
      <x:c r="X34" s="83" t="str"/>
    </x:row>
    <x:row r="35">
      <x:c r="A35" s="83" t="str">
        <x:v>REQ-031</x:v>
      </x:c>
      <x:c r="B35" s="83" t="str">
        <x:v>Domanda</x:v>
      </x:c>
      <x:c r="C35" s="83" t="str">
        <x:v>Perimetro</x:v>
      </x:c>
      <x:c r="D35" s="83" t="str">
        <x:v>network_losses_in_demand</x:v>
      </x:c>
      <x:c r="E35" s="83" t="str">
        <x:v>Trattamento delle perdite già incluse o modellate endogenamente.</x:v>
      </x:c>
      <x:c r="F35" s="83" t="str">
        <x:v>MWh/%</x:v>
      </x:c>
      <x:c r="G35" s="83" t="str">
        <x:v>2040; 2050</x:v>
      </x:c>
      <x:c r="H35" s="83" t="str">
        <x:v>Tutti</x:v>
      </x:c>
      <x:c r="I35" s="83" t="str">
        <x:v>Annuale/orario</x:v>
      </x:c>
      <x:c r="J35" s="83" t="str">
        <x:v>Sistema/zone</x:v>
      </x:c>
      <x:c r="K35" s="83" t="str">
        <x:v>Domanda/rete</x:v>
      </x:c>
      <x:c r="L35" s="83" t="str">
        <x:v>Load or Link/Line</x:v>
      </x:c>
      <x:c r="M35" s="83" t="str">
        <x:v>p_set or efficiency</x:v>
      </x:c>
      <x:c r="N35" s="83" t="str">
        <x:v>Regola e serie/percentuale</x:v>
      </x:c>
      <x:c r="O35" s="83" t="str">
        <x:v>Sì</x:v>
      </x:c>
      <x:c r="P35" s="83" t="str">
        <x:v>Sì</x:v>
      </x:c>
      <x:c r="Q35" s="83" t="str">
        <x:v>S01; S03; S08</x:v>
      </x:c>
      <x:c r="R35" s="83" t="str">
        <x:v>Terna statistics</x:v>
      </x:c>
      <x:c r="S35" s="83" t="str">
        <x:v>Evitare doppio conteggio tra domanda e perdite di link.</x:v>
      </x:c>
      <x:c r="T35" s="83" t="str">
        <x:v>Da definire</x:v>
      </x:c>
      <x:c r="U35" s="83" t="str">
        <x:v>B</x:v>
      </x:c>
      <x:c r="V35" s="83" t="str">
        <x:v>D23</x:v>
      </x:c>
      <x:c r="W35" s="83" t="str">
        <x:v>Fase 3C/4</x:v>
      </x:c>
      <x:c r="X35" s="83" t="str"/>
    </x:row>
    <x:row r="36">
      <x:c r="A36" s="83" t="str">
        <x:v>REQ-032</x:v>
      </x:c>
      <x:c r="B36" s="83" t="str">
        <x:v>Domanda</x:v>
      </x:c>
      <x:c r="C36" s="83" t="str">
        <x:v>Perimetro</x:v>
      </x:c>
      <x:c r="D36" s="83" t="str">
        <x:v>behind_meter_self_consumption</x:v>
      </x:c>
      <x:c r="E36" s="83" t="str">
        <x:v>Autoconsumo e generazione distribuita dietro il contatore.</x:v>
      </x:c>
      <x:c r="F36" s="83" t="str">
        <x:v>TWh/year</x:v>
      </x:c>
      <x:c r="G36" s="83" t="str">
        <x:v>2040; 2050</x:v>
      </x:c>
      <x:c r="H36" s="83" t="str">
        <x:v>Tutti</x:v>
      </x:c>
      <x:c r="I36" s="83" t="str">
        <x:v>Annuale/orario</x:v>
      </x:c>
      <x:c r="J36" s="83" t="str">
        <x:v>Zona/settore</x:v>
      </x:c>
      <x:c r="K36" s="83" t="str">
        <x:v>PV distribuito; prosumer</x:v>
      </x:c>
      <x:c r="L36" s="83" t="str">
        <x:v>Load and/or Generator</x:v>
      </x:c>
      <x:c r="M36" s="83" t="str">
        <x:v>p_set; p_max_pu</x:v>
      </x:c>
      <x:c r="N36" s="83" t="str">
        <x:v>Regola contabile</x:v>
      </x:c>
      <x:c r="O36" s="83" t="str">
        <x:v>Sì</x:v>
      </x:c>
      <x:c r="P36" s="83" t="str">
        <x:v>Sì</x:v>
      </x:c>
      <x:c r="Q36" s="83" t="str">
        <x:v>S01; S08; GSE</x:v>
      </x:c>
      <x:c r="R36" s="83" t="str">
        <x:v>DDS 2024</x:v>
      </x:c>
      <x:c r="S36" s="83" t="str">
        <x:v>Separare domanda netta e generazione esplicita.</x:v>
      </x:c>
      <x:c r="T36" s="83" t="str">
        <x:v>Gap/decisione</x:v>
      </x:c>
      <x:c r="U36" s="83" t="str">
        <x:v>B-D</x:v>
      </x:c>
      <x:c r="V36" s="83" t="str">
        <x:v>D08</x:v>
      </x:c>
      <x:c r="W36" s="83" t="str">
        <x:v>Fase 3A/4</x:v>
      </x:c>
      <x:c r="X36" s="83" t="str"/>
    </x:row>
    <x:row r="37">
      <x:c r="A37" s="83" t="str">
        <x:v>REQ-033</x:v>
      </x:c>
      <x:c r="B37" s="83" t="str">
        <x:v>Domanda</x:v>
      </x:c>
      <x:c r="C37" s="83" t="str">
        <x:v>Nuovi carichi</x:v>
      </x:c>
      <x:c r="D37" s="83" t="str">
        <x:v>electric_vehicles_demand</x:v>
      </x:c>
      <x:c r="E37" s="83" t="str">
        <x:v>Volume e profilo della ricarica elettrica.</x:v>
      </x:c>
      <x:c r="F37" s="83" t="str">
        <x:v>TWh/year; MW</x:v>
      </x:c>
      <x:c r="G37" s="83" t="str">
        <x:v>2040; 2050</x:v>
      </x:c>
      <x:c r="H37" s="83" t="str">
        <x:v>Tutti</x:v>
      </x:c>
      <x:c r="I37" s="83" t="str">
        <x:v>Orario</x:v>
      </x:c>
      <x:c r="J37" s="83" t="str">
        <x:v>Zona/settore</x:v>
      </x:c>
      <x:c r="K37" s="83" t="str">
        <x:v>Trasporti</x:v>
      </x:c>
      <x:c r="L37" s="83" t="str">
        <x:v>Load / flexible load</x:v>
      </x:c>
      <x:c r="M37" s="83" t="str">
        <x:v>p_set; custom constraints</x:v>
      </x:c>
      <x:c r="N37" s="83" t="str">
        <x:v>Volume + profilo</x:v>
      </x:c>
      <x:c r="O37" s="83" t="str">
        <x:v>Desiderabile</x:v>
      </x:c>
      <x:c r="P37" s="83" t="str">
        <x:v>Sì</x:v>
      </x:c>
      <x:c r="Q37" s="83" t="str">
        <x:v>S07; S08</x:v>
      </x:c>
      <x:c r="R37" s="83" t="str">
        <x:v>PyPSA-Eur transport</x:v>
      </x:c>
      <x:c r="S37" s="83" t="str">
        <x:v>Allocazione territoriale e profilo di ricarica.</x:v>
      </x:c>
      <x:c r="T37" s="83" t="str">
        <x:v>Parziale/gap</x:v>
      </x:c>
      <x:c r="U37" s="83" t="str">
        <x:v>B-D</x:v>
      </x:c>
      <x:c r="V37" s="83" t="str">
        <x:v>D07</x:v>
      </x:c>
      <x:c r="W37" s="83" t="str">
        <x:v>Fase 3A/4</x:v>
      </x:c>
      <x:c r="X37" s="83" t="str"/>
    </x:row>
    <x:row r="38">
      <x:c r="A38" s="83" t="str">
        <x:v>REQ-034</x:v>
      </x:c>
      <x:c r="B38" s="83" t="str">
        <x:v>Domanda</x:v>
      </x:c>
      <x:c r="C38" s="83" t="str">
        <x:v>Nuovi carichi</x:v>
      </x:c>
      <x:c r="D38" s="83" t="str">
        <x:v>heat_pump_demand</x:v>
      </x:c>
      <x:c r="E38" s="83" t="str">
        <x:v>Domanda elettrica di pompe di calore e dipendenza meteo.</x:v>
      </x:c>
      <x:c r="F38" s="83" t="str">
        <x:v>TWh/year; MW</x:v>
      </x:c>
      <x:c r="G38" s="83" t="str">
        <x:v>2040; 2050</x:v>
      </x:c>
      <x:c r="H38" s="83" t="str">
        <x:v>Tutti</x:v>
      </x:c>
      <x:c r="I38" s="83" t="str">
        <x:v>Orario</x:v>
      </x:c>
      <x:c r="J38" s="83" t="str">
        <x:v>Zona/settore</x:v>
      </x:c>
      <x:c r="K38" s="83" t="str">
        <x:v>Civile</x:v>
      </x:c>
      <x:c r="L38" s="83" t="str">
        <x:v>Load / sector-coupled Link if enabled</x:v>
      </x:c>
      <x:c r="M38" s="83" t="str">
        <x:v>p_set or link p</x:v>
      </x:c>
      <x:c r="N38" s="83" t="str">
        <x:v>Volume + profilo</x:v>
      </x:c>
      <x:c r="O38" s="83" t="str">
        <x:v>Desiderabile</x:v>
      </x:c>
      <x:c r="P38" s="83" t="str">
        <x:v>Sì</x:v>
      </x:c>
      <x:c r="Q38" s="83" t="str">
        <x:v>S07; S08</x:v>
      </x:c>
      <x:c r="R38" s="83" t="str">
        <x:v>PyPSA-Eur heat</x:v>
      </x:c>
      <x:c r="S38" s="83" t="str">
        <x:v>Profilo temperature-sensitive.</x:v>
      </x:c>
      <x:c r="T38" s="83" t="str">
        <x:v>Parziale/gap</x:v>
      </x:c>
      <x:c r="U38" s="83" t="str">
        <x:v>B-D</x:v>
      </x:c>
      <x:c r="V38" s="83" t="str">
        <x:v>D07</x:v>
      </x:c>
      <x:c r="W38" s="83" t="str">
        <x:v>Fase 3A/4</x:v>
      </x:c>
      <x:c r="X38" s="83" t="str"/>
    </x:row>
    <x:row r="39">
      <x:c r="A39" s="83" t="str">
        <x:v>REQ-035</x:v>
      </x:c>
      <x:c r="B39" s="83" t="str">
        <x:v>Domanda</x:v>
      </x:c>
      <x:c r="C39" s="83" t="str">
        <x:v>Nuovi carichi</x:v>
      </x:c>
      <x:c r="D39" s="83" t="str">
        <x:v>industrial_electrification</x:v>
      </x:c>
      <x:c r="E39" s="83" t="str">
        <x:v>Incremento di domanda industriale elettrica e profilo.</x:v>
      </x:c>
      <x:c r="F39" s="83" t="str">
        <x:v>TWh/year; MW</x:v>
      </x:c>
      <x:c r="G39" s="83" t="str">
        <x:v>2040; 2050</x:v>
      </x:c>
      <x:c r="H39" s="83" t="str">
        <x:v>Tutti</x:v>
      </x:c>
      <x:c r="I39" s="83" t="str">
        <x:v>Orario/annuale</x:v>
      </x:c>
      <x:c r="J39" s="83" t="str">
        <x:v>Zona/settore</x:v>
      </x:c>
      <x:c r="K39" s="83" t="str">
        <x:v>Industria</x:v>
      </x:c>
      <x:c r="L39" s="83" t="str">
        <x:v>Load</x:v>
      </x:c>
      <x:c r="M39" s="83" t="str">
        <x:v>p_set</x:v>
      </x:c>
      <x:c r="N39" s="83" t="str">
        <x:v>Volume + profilo</x:v>
      </x:c>
      <x:c r="O39" s="83" t="str">
        <x:v>Desiderabile</x:v>
      </x:c>
      <x:c r="P39" s="83" t="str">
        <x:v>Sì</x:v>
      </x:c>
      <x:c r="Q39" s="83" t="str">
        <x:v>S07; S08</x:v>
      </x:c>
      <x:c r="R39" s="83" t="str">
        <x:v>ISTAT/ENEA; PyPSA-Eur industry</x:v>
      </x:c>
      <x:c r="S39" s="83" t="str">
        <x:v>Allocazione su struttura industriale regionale.</x:v>
      </x:c>
      <x:c r="T39" s="83" t="str">
        <x:v>Parziale/gap</x:v>
      </x:c>
      <x:c r="U39" s="83" t="str">
        <x:v>B-D</x:v>
      </x:c>
      <x:c r="V39" s="83" t="str">
        <x:v>D07</x:v>
      </x:c>
      <x:c r="W39" s="83" t="str">
        <x:v>Fase 3A/4</x:v>
      </x:c>
      <x:c r="X39" s="83" t="str"/>
    </x:row>
    <x:row r="40">
      <x:c r="A40" s="83" t="str">
        <x:v>REQ-036</x:v>
      </x:c>
      <x:c r="B40" s="83" t="str">
        <x:v>Domanda</x:v>
      </x:c>
      <x:c r="C40" s="83" t="str">
        <x:v>Nuovi carichi</x:v>
      </x:c>
      <x:c r="D40" s="83" t="str">
        <x:v>data_center_demand</x:v>
      </x:c>
      <x:c r="E40" s="83" t="str">
        <x:v>Domanda dei data center, localizzazione, fattore di carico e timing.</x:v>
      </x:c>
      <x:c r="F40" s="83" t="str">
        <x:v>MW; TWh/year</x:v>
      </x:c>
      <x:c r="G40" s="83" t="str">
        <x:v>2040; 2050</x:v>
      </x:c>
      <x:c r="H40" s="83" t="str">
        <x:v>Tutti</x:v>
      </x:c>
      <x:c r="I40" s="83" t="str">
        <x:v>Orario</x:v>
      </x:c>
      <x:c r="J40" s="83" t="str">
        <x:v>Zona/sito</x:v>
      </x:c>
      <x:c r="K40" s="83" t="str">
        <x:v>Data center</x:v>
      </x:c>
      <x:c r="L40" s="83" t="str">
        <x:v>Load</x:v>
      </x:c>
      <x:c r="M40" s="83" t="str">
        <x:v>p_set</x:v>
      </x:c>
      <x:c r="N40" s="83" t="str">
        <x:v>Capacità richiesta + scenario realizzato</x:v>
      </x:c>
      <x:c r="O40" s="83" t="str">
        <x:v>Desiderabile</x:v>
      </x:c>
      <x:c r="P40" s="83" t="str">
        <x:v>Sì</x:v>
      </x:c>
      <x:c r="Q40" s="83" t="str">
        <x:v>S04; S06</x:v>
      </x:c>
      <x:c r="R40" s="83" t="str">
        <x:v>Connessioni Terna/TE.R.R.A.</x:v>
      </x:c>
      <x:c r="S40" s="83" t="str">
        <x:v>Filtrare pipeline e applicare load factor.</x:v>
      </x:c>
      <x:c r="T40" s="83" t="str">
        <x:v>Pipeline; da costruire</x:v>
      </x:c>
      <x:c r="U40" s="83" t="str">
        <x:v>C-E</x:v>
      </x:c>
      <x:c r="V40" s="83" t="str">
        <x:v>D07</x:v>
      </x:c>
      <x:c r="W40" s="83" t="str">
        <x:v>Fase 3A/4</x:v>
      </x:c>
      <x:c r="X40" s="83" t="str"/>
    </x:row>
    <x:row r="41">
      <x:c r="A41" s="83" t="str">
        <x:v>REQ-037</x:v>
      </x:c>
      <x:c r="B41" s="83" t="str">
        <x:v>Domanda</x:v>
      </x:c>
      <x:c r="C41" s="83" t="str">
        <x:v>Nuovi carichi</x:v>
      </x:c>
      <x:c r="D41" s="83" t="str">
        <x:v>rail_rfi_demand</x:v>
      </x:c>
      <x:c r="E41" s="83" t="str">
        <x:v>Domanda elettrica addizionale RFI e localizzazione.</x:v>
      </x:c>
      <x:c r="F41" s="83" t="str">
        <x:v>MW; TWh/year</x:v>
      </x:c>
      <x:c r="G41" s="83" t="str">
        <x:v>2040; 2050</x:v>
      </x:c>
      <x:c r="H41" s="83" t="str">
        <x:v>Tutti</x:v>
      </x:c>
      <x:c r="I41" s="83" t="str">
        <x:v>Orario/annuale</x:v>
      </x:c>
      <x:c r="J41" s="83" t="str">
        <x:v>Zona/sito</x:v>
      </x:c>
      <x:c r="K41" s="83" t="str">
        <x:v>RFI</x:v>
      </x:c>
      <x:c r="L41" s="83" t="str">
        <x:v>Load</x:v>
      </x:c>
      <x:c r="M41" s="83" t="str">
        <x:v>p_set</x:v>
      </x:c>
      <x:c r="N41" s="83" t="str">
        <x:v>Volume + profilo</x:v>
      </x:c>
      <x:c r="O41" s="83" t="str">
        <x:v>Desiderabile</x:v>
      </x:c>
      <x:c r="P41" s="83" t="str">
        <x:v>No</x:v>
      </x:c>
      <x:c r="Q41" s="83" t="str">
        <x:v>S04</x:v>
      </x:c>
      <x:c r="R41" s="83" t="str">
        <x:v>RFI/Terna</x:v>
      </x:c>
      <x:c r="S41" s="83" t="str">
        <x:v>Filtrare richieste e stimare fattore di utilizzo.</x:v>
      </x:c>
      <x:c r="T41" s="83" t="str">
        <x:v>Pipeline</x:v>
      </x:c>
      <x:c r="U41" s="83" t="str">
        <x:v>C-E</x:v>
      </x:c>
      <x:c r="V41" s="83" t="str">
        <x:v>D07</x:v>
      </x:c>
      <x:c r="W41" s="83" t="str">
        <x:v>Fase 3A/4</x:v>
      </x:c>
      <x:c r="X41" s="83" t="str"/>
    </x:row>
    <x:row r="42">
      <x:c r="A42" s="83" t="str">
        <x:v>REQ-038</x:v>
      </x:c>
      <x:c r="B42" s="83" t="str">
        <x:v>Domanda</x:v>
      </x:c>
      <x:c r="C42" s="83" t="str">
        <x:v>Nuovi carichi</x:v>
      </x:c>
      <x:c r="D42" s="83" t="str">
        <x:v>cold_ironing_demand</x:v>
      </x:c>
      <x:c r="E42" s="83" t="str">
        <x:v>Domanda elettrica portuale da cold ironing.</x:v>
      </x:c>
      <x:c r="F42" s="83" t="str">
        <x:v>MW; TWh/year</x:v>
      </x:c>
      <x:c r="G42" s="83" t="str">
        <x:v>2040; 2050</x:v>
      </x:c>
      <x:c r="H42" s="83" t="str">
        <x:v>Tutti</x:v>
      </x:c>
      <x:c r="I42" s="83" t="str">
        <x:v>Orario/annuale</x:v>
      </x:c>
      <x:c r="J42" s="83" t="str">
        <x:v>Porto/zona</x:v>
      </x:c>
      <x:c r="K42" s="83" t="str">
        <x:v>Cold ironing</x:v>
      </x:c>
      <x:c r="L42" s="83" t="str">
        <x:v>Load</x:v>
      </x:c>
      <x:c r="M42" s="83" t="str">
        <x:v>p_set</x:v>
      </x:c>
      <x:c r="N42" s="83" t="str">
        <x:v>Volume + profilo</x:v>
      </x:c>
      <x:c r="O42" s="83" t="str">
        <x:v>Desiderabile</x:v>
      </x:c>
      <x:c r="P42" s="83" t="str">
        <x:v>No</x:v>
      </x:c>
      <x:c r="Q42" s="83" t="str">
        <x:v>S04; S06</x:v>
      </x:c>
      <x:c r="R42" s="83" t="str">
        <x:v>Port authorities/Terna</x:v>
      </x:c>
      <x:c r="S42" s="83" t="str">
        <x:v>Assegnazione ai porti e profilo operativo.</x:v>
      </x:c>
      <x:c r="T42" s="83" t="str">
        <x:v>Pipeline</x:v>
      </x:c>
      <x:c r="U42" s="83" t="str">
        <x:v>C-E</x:v>
      </x:c>
      <x:c r="V42" s="83" t="str">
        <x:v>D07</x:v>
      </x:c>
      <x:c r="W42" s="83" t="str">
        <x:v>Fase 3A/4</x:v>
      </x:c>
      <x:c r="X42" s="83" t="str"/>
    </x:row>
    <x:row r="43">
      <x:c r="A43" s="83" t="str">
        <x:v>REQ-039</x:v>
      </x:c>
      <x:c r="B43" s="83" t="str">
        <x:v>Domanda</x:v>
      </x:c>
      <x:c r="C43" s="83" t="str">
        <x:v>Power-to-X</x:v>
      </x:c>
      <x:c r="D43" s="83" t="str">
        <x:v>electrolyser_electricity_demand</x:v>
      </x:c>
      <x:c r="E43" s="83" t="str">
        <x:v>Consumo elettrico degli elettrolizzatori; esogeno o flessibile.</x:v>
      </x:c>
      <x:c r="F43" s="83" t="str">
        <x:v>MW; TWh/year</x:v>
      </x:c>
      <x:c r="G43" s="83" t="str">
        <x:v>2040; 2050</x:v>
      </x:c>
      <x:c r="H43" s="83" t="str">
        <x:v>Tutti</x:v>
      </x:c>
      <x:c r="I43" s="83" t="str">
        <x:v>Orario</x:v>
      </x:c>
      <x:c r="J43" s="83" t="str">
        <x:v>Zona</x:v>
      </x:c>
      <x:c r="K43" s="83" t="str">
        <x:v>Idrogeno</x:v>
      </x:c>
      <x:c r="L43" s="83" t="str">
        <x:v>Load or Link</x:v>
      </x:c>
      <x:c r="M43" s="83" t="str">
        <x:v>p_set or p_nom/efficiency</x:v>
      </x:c>
      <x:c r="N43" s="83" t="str">
        <x:v>Profilo esogeno o asset flessibile</x:v>
      </x:c>
      <x:c r="O43" s="83" t="str">
        <x:v>Sì se incluso</x:v>
      </x:c>
      <x:c r="P43" s="83" t="str">
        <x:v>Sì</x:v>
      </x:c>
      <x:c r="Q43" s="83" t="str">
        <x:v>S01; S07; S08</x:v>
      </x:c>
      <x:c r="R43" s="83" t="str">
        <x:v>Strategia Idrogeno; PyPSA-Eur</x:v>
      </x:c>
      <x:c r="S43" s="83" t="str">
        <x:v>Dipende dal perimetro electricity-only.</x:v>
      </x:c>
      <x:c r="T43" s="83" t="str">
        <x:v>Decisione aperta</x:v>
      </x:c>
      <x:c r="U43" s="83" t="str">
        <x:v>B-D</x:v>
      </x:c>
      <x:c r="V43" s="83" t="str">
        <x:v>D26</x:v>
      </x:c>
      <x:c r="W43" s="83" t="str">
        <x:v>Fase 3A/4</x:v>
      </x:c>
      <x:c r="X43" s="83" t="str"/>
    </x:row>
    <x:row r="44">
      <x:c r="A44" s="83" t="str">
        <x:v>REQ-040</x:v>
      </x:c>
      <x:c r="B44" s="83" t="str">
        <x:v>Domanda</x:v>
      </x:c>
      <x:c r="C44" s="83" t="str">
        <x:v>Flessibilità</x:v>
      </x:c>
      <x:c r="D44" s="83" t="str">
        <x:v>flexible_demand_volume</x:v>
      </x:c>
      <x:c r="E44" s="83" t="str">
        <x:v>Quota di domanda tecnicamente spostabile per settore.</x:v>
      </x:c>
      <x:c r="F44" s="83" t="str">
        <x:v>MW; MWh; %</x:v>
      </x:c>
      <x:c r="G44" s="83" t="str">
        <x:v>2040; 2050</x:v>
      </x:c>
      <x:c r="H44" s="83" t="str">
        <x:v>Sensitività</x:v>
      </x:c>
      <x:c r="I44" s="83" t="str">
        <x:v>Orario</x:v>
      </x:c>
      <x:c r="J44" s="83" t="str">
        <x:v>Zona/settore</x:v>
      </x:c>
      <x:c r="K44" s="83" t="str">
        <x:v>EV; HP; industria; H2</x:v>
      </x:c>
      <x:c r="L44" s="83" t="str">
        <x:v>Load / Store / custom constraint</x:v>
      </x:c>
      <x:c r="M44" s="83" t="str">
        <x:v>p_set; custom</x:v>
      </x:c>
      <x:c r="N44" s="83" t="str">
        <x:v>Limiti di potenza ed energia</x:v>
      </x:c>
      <x:c r="O44" s="83" t="str">
        <x:v>Desiderabile</x:v>
      </x:c>
      <x:c r="P44" s="83" t="str">
        <x:v>Sì</x:v>
      </x:c>
      <x:c r="Q44" s="83" t="str">
        <x:v>S07; S08</x:v>
      </x:c>
      <x:c r="R44" s="83" t="str">
        <x:v>PyPSA-Eur</x:v>
      </x:c>
      <x:c r="S44" s="83" t="str">
        <x:v>Definire finestre, energia conservata e disponibilità.</x:v>
      </x:c>
      <x:c r="T44" s="83" t="str">
        <x:v>Gap</x:v>
      </x:c>
      <x:c r="U44" s="83" t="str">
        <x:v>C-E</x:v>
      </x:c>
      <x:c r="V44" s="83" t="str">
        <x:v>D27</x:v>
      </x:c>
      <x:c r="W44" s="83" t="str">
        <x:v>Fase 4/7</x:v>
      </x:c>
      <x:c r="X44" s="83" t="str"/>
    </x:row>
    <x:row r="45">
      <x:c r="A45" s="83" t="str">
        <x:v>REQ-041</x:v>
      </x:c>
      <x:c r="B45" s="83" t="str">
        <x:v>Domanda</x:v>
      </x:c>
      <x:c r="C45" s="83" t="str">
        <x:v>Flessibilità</x:v>
      </x:c>
      <x:c r="D45" s="83" t="str">
        <x:v>demand_response_constraints</x:v>
      </x:c>
      <x:c r="E45" s="83" t="str">
        <x:v>Vincoli temporali e costo di attivazione della demand response.</x:v>
      </x:c>
      <x:c r="F45" s="83" t="str">
        <x:v>MW; EUR/MWh; hours</x:v>
      </x:c>
      <x:c r="G45" s="83" t="str">
        <x:v>2040; 2050</x:v>
      </x:c>
      <x:c r="H45" s="83" t="str">
        <x:v>Sensitività</x:v>
      </x:c>
      <x:c r="I45" s="83" t="str">
        <x:v>Orario</x:v>
      </x:c>
      <x:c r="J45" s="83" t="str">
        <x:v>Zona/settore</x:v>
      </x:c>
      <x:c r="K45" s="83" t="str">
        <x:v>Demand response</x:v>
      </x:c>
      <x:c r="L45" s="83" t="str">
        <x:v>Generator/Load/Store/custom</x:v>
      </x:c>
      <x:c r="M45" s="83" t="str">
        <x:v>p_nom; marginal_cost; custom</x:v>
      </x:c>
      <x:c r="N45" s="83" t="str">
        <x:v>Parametri operativi</x:v>
      </x:c>
      <x:c r="O45" s="83" t="str">
        <x:v>Opzionale</x:v>
      </x:c>
      <x:c r="P45" s="83" t="str">
        <x:v>Sì</x:v>
      </x:c>
      <x:c r="Q45" s="83" t="str">
        <x:v>S07; S08</x:v>
      </x:c>
      <x:c r="R45" s="83" t="str">
        <x:v>ARERA/Terna/PyPSA examples</x:v>
      </x:c>
      <x:c r="S45" s="83" t="str">
        <x:v>Modello separato dalla domanda fissa.</x:v>
      </x:c>
      <x:c r="T45" s="83" t="str">
        <x:v>Gap/decisione</x:v>
      </x:c>
      <x:c r="U45" s="83" t="str">
        <x:v>C-E</x:v>
      </x:c>
      <x:c r="V45" s="83" t="str">
        <x:v>D27</x:v>
      </x:c>
      <x:c r="W45" s="83" t="str">
        <x:v>Fase 4/7</x:v>
      </x:c>
      <x:c r="X45" s="83" t="str"/>
    </x:row>
    <x:row r="46">
      <x:c r="A46" s="83" t="str">
        <x:v>REQ-042</x:v>
      </x:c>
      <x:c r="B46" s="83" t="str">
        <x:v>Domanda</x:v>
      </x:c>
      <x:c r="C46" s="83" t="str">
        <x:v>Picco</x:v>
      </x:c>
      <x:c r="D46" s="83" t="str">
        <x:v>peak_demand</x:v>
      </x:c>
      <x:c r="E46" s="83" t="str">
        <x:v>Picco nazionale e zonale per QA e adeguatezza.</x:v>
      </x:c>
      <x:c r="F46" s="83" t="str">
        <x:v>MW</x:v>
      </x:c>
      <x:c r="G46" s="83" t="str">
        <x:v>2040; 2050</x:v>
      </x:c>
      <x:c r="H46" s="83" t="str">
        <x:v>Tutti</x:v>
      </x:c>
      <x:c r="I46" s="83" t="str">
        <x:v>Annuale + timestamp</x:v>
      </x:c>
      <x:c r="J46" s="83" t="str">
        <x:v>Sistema/zona</x:v>
      </x:c>
      <x:c r="K46" s="83" t="str">
        <x:v>Domanda</x:v>
      </x:c>
      <x:c r="L46" s="83" t="str">
        <x:v>Load output / QA</x:v>
      </x:c>
      <x:c r="M46" s="83" t="str">
        <x:v>max(p_set)</x:v>
      </x:c>
      <x:c r="N46" s="83" t="str">
        <x:v>Valore e timestamp</x:v>
      </x:c>
      <x:c r="O46" s="83" t="str">
        <x:v>Sì</x:v>
      </x:c>
      <x:c r="P46" s="83" t="str">
        <x:v>Sì</x:v>
      </x:c>
      <x:c r="Q46" s="83" t="str">
        <x:v>S01; S07</x:v>
      </x:c>
      <x:c r="R46" s="83" t="str">
        <x:v>Terna adequacy</x:v>
      </x:c>
      <x:c r="S46" s="83" t="str">
        <x:v>Confronto col profilo costruito.</x:v>
      </x:c>
      <x:c r="T46" s="83" t="str">
        <x:v>Da estrarre/derivare</x:v>
      </x:c>
      <x:c r="U46" s="83" t="str">
        <x:v>A-B</x:v>
      </x:c>
      <x:c r="V46" s="83" t="str">
        <x:v>D06</x:v>
      </x:c>
      <x:c r="W46" s="83" t="str">
        <x:v>Fase 3A/4</x:v>
      </x:c>
      <x:c r="X46" s="83" t="str"/>
    </x:row>
    <x:row r="47">
      <x:c r="A47" s="83" t="str">
        <x:v>REQ-043</x:v>
      </x:c>
      <x:c r="B47" s="83" t="str">
        <x:v>Domanda</x:v>
      </x:c>
      <x:c r="C47" s="83" t="str">
        <x:v>Mancato servizio</x:v>
      </x:c>
      <x:c r="D47" s="83" t="str">
        <x:v>voll_load_shedding_cost</x:v>
      </x:c>
      <x:c r="E47" s="83" t="str">
        <x:v>Costo di mancata fornitura usato per load shedding.</x:v>
      </x:c>
      <x:c r="F47" s="83" t="str">
        <x:v>EUR/MWh</x:v>
      </x:c>
      <x:c r="G47" s="83" t="str">
        <x:v>2040; 2050</x:v>
      </x:c>
      <x:c r="H47" s="83" t="str">
        <x:v>Tutti</x:v>
      </x:c>
      <x:c r="I47" s="83" t="str">
        <x:v>Statico</x:v>
      </x:c>
      <x:c r="J47" s="83" t="str">
        <x:v>Zona</x:v>
      </x:c>
      <x:c r="K47" s="83" t="str">
        <x:v>Load shedding</x:v>
      </x:c>
      <x:c r="L47" s="83" t="str">
        <x:v>Generator virtuale</x:v>
      </x:c>
      <x:c r="M47" s="83" t="str">
        <x:v>marginal_cost</x:v>
      </x:c>
      <x:c r="N47" s="83" t="str">
        <x:v>Valore scenario</x:v>
      </x:c>
      <x:c r="O47" s="83" t="str">
        <x:v>Sì</x:v>
      </x:c>
      <x:c r="P47" s="83" t="str">
        <x:v>Sì</x:v>
      </x:c>
      <x:c r="Q47" s="83" t="str">
        <x:v>Terna adeguatezza; ARERA se disponibile</x:v>
      </x:c>
      <x:c r="R47" s="83" t="str">
        <x:v>PyPSA examples/literature</x:v>
      </x:c>
      <x:c r="S47" s="83" t="str">
        <x:v>Valore elevato ma finito e documentato.</x:v>
      </x:c>
      <x:c r="T47" s="83" t="str">
        <x:v>Gap/decisione</x:v>
      </x:c>
      <x:c r="U47" s="83" t="str">
        <x:v>B-D</x:v>
      </x:c>
      <x:c r="V47" s="83" t="str">
        <x:v>D28</x:v>
      </x:c>
      <x:c r="W47" s="83" t="str">
        <x:v>Fase 3D/4</x:v>
      </x:c>
      <x:c r="X47" s="83" t="str"/>
    </x:row>
    <x:row r="48">
      <x:c r="A48" s="83" t="str">
        <x:v>REQ-044</x:v>
      </x:c>
      <x:c r="B48" s="83" t="str">
        <x:v>Domanda</x:v>
      </x:c>
      <x:c r="C48" s="83" t="str">
        <x:v>Mancato servizio</x:v>
      </x:c>
      <x:c r="D48" s="83" t="str">
        <x:v>load_shedding_capacity</x:v>
      </x:c>
      <x:c r="E48" s="83" t="str">
        <x:v>Capacità massima del generatore virtuale di mancato servizio.</x:v>
      </x:c>
      <x:c r="F48" s="83" t="str">
        <x:v>MW</x:v>
      </x:c>
      <x:c r="G48" s="83" t="str">
        <x:v>2040; 2050</x:v>
      </x:c>
      <x:c r="H48" s="83" t="str">
        <x:v>Tutti</x:v>
      </x:c>
      <x:c r="I48" s="83" t="str">
        <x:v>Statico</x:v>
      </x:c>
      <x:c r="J48" s="83" t="str">
        <x:v>Zona</x:v>
      </x:c>
      <x:c r="K48" s="83" t="str">
        <x:v>Load shedding</x:v>
      </x:c>
      <x:c r="L48" s="83" t="str">
        <x:v>Generator</x:v>
      </x:c>
      <x:c r="M48" s="83" t="str">
        <x:v>p_nom; p_nom_extendable=False</x:v>
      </x:c>
      <x:c r="N48" s="83" t="str">
        <x:v>Valore ≥ picco zonale</x:v>
      </x:c>
      <x:c r="O48" s="83" t="str">
        <x:v>Sì</x:v>
      </x:c>
      <x:c r="P48" s="83" t="str">
        <x:v>Sì</x:v>
      </x:c>
      <x:c r="Q48" s="83" t="str">
        <x:v>Profilo domanda</x:v>
      </x:c>
      <x:c r="R48" s="83" t="str">
        <x:v>PyPSA examples</x:v>
      </x:c>
      <x:c r="S48" s="83" t="str">
        <x:v>Dimensionare per evitare infeasibilità artificiale.</x:v>
      </x:c>
      <x:c r="T48" s="83" t="str">
        <x:v>Derivato</x:v>
      </x:c>
      <x:c r="U48" s="83" t="str">
        <x:v>B</x:v>
      </x:c>
      <x:c r="V48" s="83" t="str">
        <x:v>D28</x:v>
      </x:c>
      <x:c r="W48" s="83" t="str">
        <x:v>Fase 4/7</x:v>
      </x:c>
      <x:c r="X48" s="83" t="str"/>
    </x:row>
    <x:row r="49">
      <x:c r="A49" s="83" t="str">
        <x:v>REQ-045</x:v>
      </x:c>
      <x:c r="B49" s="83" t="str">
        <x:v>Domanda</x:v>
      </x:c>
      <x:c r="C49" s="83" t="str">
        <x:v>Elasticità</x:v>
      </x:c>
      <x:c r="D49" s="83" t="str">
        <x:v>price_sensitive_demand</x:v>
      </x:c>
      <x:c r="E49" s="83" t="str">
        <x:v>Eventuale domanda elastica con utilità marginale.</x:v>
      </x:c>
      <x:c r="F49" s="83" t="str">
        <x:v>MW; EUR/MWh</x:v>
      </x:c>
      <x:c r="G49" s="83" t="str">
        <x:v>2040; 2050</x:v>
      </x:c>
      <x:c r="H49" s="83" t="str">
        <x:v>Sensitività</x:v>
      </x:c>
      <x:c r="I49" s="83" t="str">
        <x:v>Orario</x:v>
      </x:c>
      <x:c r="J49" s="83" t="str">
        <x:v>Zona/settore</x:v>
      </x:c>
      <x:c r="K49" s="83" t="str">
        <x:v>Industria/flex</x:v>
      </x:c>
      <x:c r="L49" s="83" t="str">
        <x:v>Generator virtuale / custom</x:v>
      </x:c>
      <x:c r="M49" s="83" t="str">
        <x:v>marginal_cost or quadratic</x:v>
      </x:c>
      <x:c r="N49" s="83" t="str">
        <x:v>Curve domanda</x:v>
      </x:c>
      <x:c r="O49" s="83" t="str">
        <x:v>Opzionale</x:v>
      </x:c>
      <x:c r="P49" s="83" t="str">
        <x:v>Sì</x:v>
      </x:c>
      <x:c r="Q49" s="83" t="str">
        <x:v>Nessuna fonte primaria nel corpus</x:v>
      </x:c>
      <x:c r="R49" s="83" t="str">
        <x:v>PyPSA demand elasticity example</x:v>
      </x:c>
      <x:c r="S49" s="83" t="str">
        <x:v>Escludere dal caso base salvo evidenza.</x:v>
      </x:c>
      <x:c r="T49" s="83" t="str">
        <x:v>Fuori base</x:v>
      </x:c>
      <x:c r="U49" s="83" t="str">
        <x:v>D-E</x:v>
      </x:c>
      <x:c r="V49" s="83" t="str">
        <x:v>D27</x:v>
      </x:c>
      <x:c r="W49" s="83" t="str">
        <x:v>Fase 7</x:v>
      </x:c>
      <x:c r="X49" s="83" t="str"/>
    </x:row>
    <x:row r="50">
      <x:c r="A50" s="83" t="str">
        <x:v>REQ-046</x:v>
      </x:c>
      <x:c r="B50" s="83" t="str">
        <x:v>Generazione</x:v>
      </x:c>
      <x:c r="C50" s="83" t="str">
        <x:v>Capacità</x:v>
      </x:c>
      <x:c r="D50" s="83" t="str">
        <x:v>installed_capacity_by_technology_zone</x:v>
      </x:c>
      <x:c r="E50" s="83" t="str">
        <x:v>Capacità installata esogena per tecnologia e zona.</x:v>
      </x:c>
      <x:c r="F50" s="83" t="str">
        <x:v>MW</x:v>
      </x:c>
      <x:c r="G50" s="83" t="str">
        <x:v>2040; 2050</x:v>
      </x:c>
      <x:c r="H50" s="83" t="str">
        <x:v>Tutti</x:v>
      </x:c>
      <x:c r="I50" s="83" t="str">
        <x:v>Statico</x:v>
      </x:c>
      <x:c r="J50" s="83" t="str">
        <x:v>Zona</x:v>
      </x:c>
      <x:c r="K50" s="83" t="str">
        <x:v>Tutte le tecnologie</x:v>
      </x:c>
      <x:c r="L50" s="83" t="str">
        <x:v>Generator / Link</x:v>
      </x:c>
      <x:c r="M50" s="83" t="str">
        <x:v>p_nom</x:v>
      </x:c>
      <x:c r="N50" s="83" t="str">
        <x:v>Tabella zona-tech</x:v>
      </x:c>
      <x:c r="O50" s="83" t="str">
        <x:v>Sì</x:v>
      </x:c>
      <x:c r="P50" s="83" t="str">
        <x:v>Sì</x:v>
      </x:c>
      <x:c r="Q50" s="83" t="str">
        <x:v>S01; S07; S08</x:v>
      </x:c>
      <x:c r="R50" s="83" t="str">
        <x:v>DDS 2024; S04 filtrato; Gaudì</x:v>
      </x:c>
      <x:c r="S50" s="83" t="str">
        <x:v>Dato diretto o disaggregazione documentata.</x:v>
      </x:c>
      <x:c r="T50" s="83" t="str">
        <x:v>Da estrarre</x:v>
      </x:c>
      <x:c r="U50" s="83" t="str">
        <x:v>A-D</x:v>
      </x:c>
      <x:c r="V50" s="83" t="str">
        <x:v>D09</x:v>
      </x:c>
      <x:c r="W50" s="83" t="str">
        <x:v>Fase 3A/4</x:v>
      </x:c>
      <x:c r="X50" s="83" t="str"/>
    </x:row>
    <x:row r="51">
      <x:c r="A51" s="83" t="str">
        <x:v>REQ-047</x:v>
      </x:c>
      <x:c r="B51" s="83" t="str">
        <x:v>Generazione</x:v>
      </x:c>
      <x:c r="C51" s="83" t="str">
        <x:v>Capacità</x:v>
      </x:c>
      <x:c r="D51" s="83" t="str">
        <x:v>available_capacity_derating</x:v>
      </x:c>
      <x:c r="E51" s="83" t="str">
        <x:v>Quota di capacità disponibile per indisponibilità forzata/programmata e derating.</x:v>
      </x:c>
      <x:c r="F51" s="83" t="str">
        <x:v>p.u./MW</x:v>
      </x:c>
      <x:c r="G51" s="83" t="str">
        <x:v>2040; 2050</x:v>
      </x:c>
      <x:c r="H51" s="83" t="str">
        <x:v>Tutti</x:v>
      </x:c>
      <x:c r="I51" s="83" t="str">
        <x:v>Statico o orario</x:v>
      </x:c>
      <x:c r="J51" s="83" t="str">
        <x:v>Zona/tecnologia</x:v>
      </x:c>
      <x:c r="K51" s="83" t="str">
        <x:v>Termoelettrico; nucleare; hydro</x:v>
      </x:c>
      <x:c r="L51" s="83" t="str">
        <x:v>Generator</x:v>
      </x:c>
      <x:c r="M51" s="83" t="str">
        <x:v>p_max_pu</x:v>
      </x:c>
      <x:c r="N51" s="83" t="str">
        <x:v>Fattore statico/serie</x:v>
      </x:c>
      <x:c r="O51" s="83" t="str">
        <x:v>Sì</x:v>
      </x:c>
      <x:c r="P51" s="83" t="str">
        <x:v>Sì</x:v>
      </x:c>
      <x:c r="Q51" s="83" t="str">
        <x:v>S01; S03; S07</x:v>
      </x:c>
      <x:c r="R51" s="83" t="str">
        <x:v>Terna adequacy; ENTSO-E outages</x:v>
      </x:c>
      <x:c r="S51" s="83" t="str">
        <x:v>Applicare a p_nom senza doppio conteggio.</x:v>
      </x:c>
      <x:c r="T51" s="83" t="str">
        <x:v>Gap parziale</x:v>
      </x:c>
      <x:c r="U51" s="83" t="str">
        <x:v>B-D</x:v>
      </x:c>
      <x:c r="V51" s="83" t="str">
        <x:v>D11</x:v>
      </x:c>
      <x:c r="W51" s="83" t="str">
        <x:v>Fase 3A/3D/4</x:v>
      </x:c>
      <x:c r="X51" s="83" t="str"/>
    </x:row>
    <x:row r="52">
      <x:c r="A52" s="83" t="str">
        <x:v>REQ-048</x:v>
      </x:c>
      <x:c r="B52" s="83" t="str">
        <x:v>Generazione</x:v>
      </x:c>
      <x:c r="C52" s="83" t="str">
        <x:v>Capacità</x:v>
      </x:c>
      <x:c r="D52" s="83" t="str">
        <x:v>retirements_commissioning</x:v>
      </x:c>
      <x:c r="E52" s="83" t="str">
        <x:v>Dismissioni, nuove entrate e status certo/target/pipeline.</x:v>
      </x:c>
      <x:c r="F52" s="83" t="str">
        <x:v>year/status</x:v>
      </x:c>
      <x:c r="G52" s="83" t="str">
        <x:v>2040; 2050</x:v>
      </x:c>
      <x:c r="H52" s="83" t="str">
        <x:v>Tutti</x:v>
      </x:c>
      <x:c r="I52" s="83" t="str">
        <x:v>Statico</x:v>
      </x:c>
      <x:c r="J52" s="83" t="str">
        <x:v>Impianto/zona</x:v>
      </x:c>
      <x:c r="K52" s="83" t="str">
        <x:v>Termico; storage; nucleare; FER</x:v>
      </x:c>
      <x:c r="L52" s="83" t="str">
        <x:v>Generator/Link/Store</x:v>
      </x:c>
      <x:c r="M52" s="83" t="str">
        <x:v>active; build_year; lifetime</x:v>
      </x:c>
      <x:c r="N52" s="83" t="str">
        <x:v>Registro asset</x:v>
      </x:c>
      <x:c r="O52" s="83" t="str">
        <x:v>Sì</x:v>
      </x:c>
      <x:c r="P52" s="83" t="str">
        <x:v>Sì</x:v>
      </x:c>
      <x:c r="Q52" s="83" t="str">
        <x:v>S01; S04; S05; S07; S08</x:v>
      </x:c>
      <x:c r="R52" s="83" t="str">
        <x:v>Capacity Market; MACSE; Gaudì</x:v>
      </x:c>
      <x:c r="S52" s="83" t="str">
        <x:v>Filtro di maturità e anno scenario.</x:v>
      </x:c>
      <x:c r="T52" s="83" t="str">
        <x:v>Da estrarre</x:v>
      </x:c>
      <x:c r="U52" s="83" t="str">
        <x:v>A-D</x:v>
      </x:c>
      <x:c r="V52" s="83" t="str">
        <x:v>D09</x:v>
      </x:c>
      <x:c r="W52" s="83" t="str">
        <x:v>Fase 3A/4</x:v>
      </x:c>
      <x:c r="X52" s="83" t="str"/>
    </x:row>
    <x:row r="53">
      <x:c r="A53" s="83" t="str">
        <x:v>REQ-049</x:v>
      </x:c>
      <x:c r="B53" s="83" t="str">
        <x:v>Generazione</x:v>
      </x:c>
      <x:c r="C53" s="83" t="str">
        <x:v>Aggregazione</x:v>
      </x:c>
      <x:c r="D53" s="83" t="str">
        <x:v>thermal_cohort_definition</x:v>
      </x:c>
      <x:c r="E53" s="83" t="str">
        <x:v>Cluster termici per tecnologia, combustibile, efficienza, età e zona.</x:v>
      </x:c>
      <x:c r="F53" s="83" t="str">
        <x:v>mapping</x:v>
      </x:c>
      <x:c r="G53" s="83" t="str">
        <x:v>2040; 2050</x:v>
      </x:c>
      <x:c r="H53" s="83" t="str">
        <x:v>Tutti</x:v>
      </x:c>
      <x:c r="I53" s="83" t="str">
        <x:v>Statico</x:v>
      </x:c>
      <x:c r="J53" s="83" t="str">
        <x:v>Impianto → coorte zonale</x:v>
      </x:c>
      <x:c r="K53" s="83" t="str">
        <x:v>CCGT; OCGT; altri gas; carbone/olio</x:v>
      </x:c>
      <x:c r="L53" s="83" t="str">
        <x:v>Generator</x:v>
      </x:c>
      <x:c r="M53" s="83" t="str">
        <x:v>name; carrier; bus</x:v>
      </x:c>
      <x:c r="N53" s="83" t="str">
        <x:v>Tabella coorti</x:v>
      </x:c>
      <x:c r="O53" s="83" t="str">
        <x:v>Sì</x:v>
      </x:c>
      <x:c r="P53" s="83" t="str">
        <x:v>Sì</x:v>
      </x:c>
      <x:c r="Q53" s="83" t="str">
        <x:v>Gaudì/powerplantmatching; S01</x:v>
      </x:c>
      <x:c r="R53" s="83" t="str">
        <x:v>EIA-like plant data not applicable; Terna</x:v>
      </x:c>
      <x:c r="S53" s="83" t="str">
        <x:v>Aggregare senza perdere merit order.</x:v>
      </x:c>
      <x:c r="T53" s="83" t="str">
        <x:v>Decisione/metodo</x:v>
      </x:c>
      <x:c r="U53" s="83" t="str">
        <x:v>B-D</x:v>
      </x:c>
      <x:c r="V53" s="83" t="str">
        <x:v>D09</x:v>
      </x:c>
      <x:c r="W53" s="83" t="str">
        <x:v>Fase 3A/4</x:v>
      </x:c>
      <x:c r="X53" s="83" t="str"/>
    </x:row>
    <x:row r="54">
      <x:c r="A54" s="83" t="str">
        <x:v>REQ-050</x:v>
      </x:c>
      <x:c r="B54" s="83" t="str">
        <x:v>Generazione</x:v>
      </x:c>
      <x:c r="C54" s="83" t="str">
        <x:v>Tassonomia</x:v>
      </x:c>
      <x:c r="D54" s="83" t="str">
        <x:v>carrier_mapping</x:v>
      </x:c>
      <x:c r="E54" s="83" t="str">
        <x:v>Dizionario tra tecnologie fonte e carrier PyPSA.</x:v>
      </x:c>
      <x:c r="F54" s="83" t="str">
        <x:v>mapping</x:v>
      </x:c>
      <x:c r="G54" s="83" t="str">
        <x:v>2040; 2050</x:v>
      </x:c>
      <x:c r="H54" s="83" t="str">
        <x:v>Tutti</x:v>
      </x:c>
      <x:c r="I54" s="83" t="str">
        <x:v>Statico</x:v>
      </x:c>
      <x:c r="J54" s="83" t="str">
        <x:v>Sistema</x:v>
      </x:c>
      <x:c r="K54" s="83" t="str">
        <x:v>Tutte</x:v>
      </x:c>
      <x:c r="L54" s="83" t="str">
        <x:v>Carrier/Generator/Link</x:v>
      </x:c>
      <x:c r="M54" s="83" t="str">
        <x:v>carrier</x:v>
      </x:c>
      <x:c r="N54" s="83" t="str">
        <x:v>Dizionario</x:v>
      </x:c>
      <x:c r="O54" s="83" t="str">
        <x:v>Sì</x:v>
      </x:c>
      <x:c r="P54" s="83" t="str">
        <x:v>Sì</x:v>
      </x:c>
      <x:c r="Q54" s="83" t="str">
        <x:v>S01; S07; S08</x:v>
      </x:c>
      <x:c r="R54" s="83" t="str">
        <x:v>PyPSA-Eur technology taxonomy</x:v>
      </x:c>
      <x:c r="S54" s="83" t="str">
        <x:v>Mantenere tecnologie con costi/vincoli diversi separate.</x:v>
      </x:c>
      <x:c r="T54" s="83" t="str">
        <x:v>Da costruire</x:v>
      </x:c>
      <x:c r="U54" s="83" t="str">
        <x:v>A/B</x:v>
      </x:c>
      <x:c r="V54" s="83" t="str">
        <x:v>D36</x:v>
      </x:c>
      <x:c r="W54" s="83" t="str">
        <x:v>Fase 2/3A</x:v>
      </x:c>
      <x:c r="X54" s="83" t="str"/>
    </x:row>
    <x:row r="55">
      <x:c r="A55" s="83" t="str">
        <x:v>REQ-051</x:v>
      </x:c>
      <x:c r="B55" s="83" t="str">
        <x:v>Generazione</x:v>
      </x:c>
      <x:c r="C55" s="83" t="str">
        <x:v>Disponibilità FER</x:v>
      </x:c>
      <x:c r="D55" s="83" t="str">
        <x:v>vre_capacity_factor_profiles</x:v>
      </x:c>
      <x:c r="E55" s="83" t="str">
        <x:v>Profili orari di disponibilità per solare, eolico onshore/offshore.</x:v>
      </x:c>
      <x:c r="F55" s="83" t="str">
        <x:v>p.u.</x:v>
      </x:c>
      <x:c r="G55" s="83" t="str">
        <x:v>2040; 2050</x:v>
      </x:c>
      <x:c r="H55" s="83" t="str">
        <x:v>Tutti</x:v>
      </x:c>
      <x:c r="I55" s="83" t="str">
        <x:v>Orario</x:v>
      </x:c>
      <x:c r="J55" s="83" t="str">
        <x:v>Zona</x:v>
      </x:c>
      <x:c r="K55" s="83" t="str">
        <x:v>Solare; onwind; offwind</x:v>
      </x:c>
      <x:c r="L55" s="83" t="str">
        <x:v>Generator</x:v>
      </x:c>
      <x:c r="M55" s="83" t="str">
        <x:v>p_max_pu</x:v>
      </x:c>
      <x:c r="N55" s="83" t="str">
        <x:v>Matrice time × generator</x:v>
      </x:c>
      <x:c r="O55" s="83" t="str">
        <x:v>Sì</x:v>
      </x:c>
      <x:c r="P55" s="83" t="str">
        <x:v>Sì</x:v>
      </x:c>
      <x:c r="Q55" s="83" t="str">
        <x:v>PyPSA-Eur/atlite</x:v>
      </x:c>
      <x:c r="R55" s="83" t="str">
        <x:v>Terna historical; ERA5/SARAH</x:v>
      </x:c>
      <x:c r="S55" s="83" t="str">
        <x:v>Profilo meteo zonale normalizzato.</x:v>
      </x:c>
      <x:c r="T55" s="83" t="str">
        <x:v>Gap esterno</x:v>
      </x:c>
      <x:c r="U55" s="83" t="str">
        <x:v>A-C</x:v>
      </x:c>
      <x:c r="V55" s="83" t="str">
        <x:v>D05</x:v>
      </x:c>
      <x:c r="W55" s="83" t="str">
        <x:v>Fase 4</x:v>
      </x:c>
      <x:c r="X55" s="83" t="str"/>
    </x:row>
    <x:row r="56">
      <x:c r="A56" s="83" t="str">
        <x:v>REQ-052</x:v>
      </x:c>
      <x:c r="B56" s="83" t="str">
        <x:v>Generazione</x:v>
      </x:c>
      <x:c r="C56" s="83" t="str">
        <x:v>Disponibilità convenzionale</x:v>
      </x:c>
      <x:c r="D56" s="83" t="str">
        <x:v>conventional_p_max_pu</x:v>
      </x:c>
      <x:c r="E56" s="83" t="str">
        <x:v>Disponibilità massima oraria o statica dei generatori programmabili.</x:v>
      </x:c>
      <x:c r="F56" s="83" t="str">
        <x:v>p.u.</x:v>
      </x:c>
      <x:c r="G56" s="83" t="str">
        <x:v>2040; 2050</x:v>
      </x:c>
      <x:c r="H56" s="83" t="str">
        <x:v>Tutti</x:v>
      </x:c>
      <x:c r="I56" s="83" t="str">
        <x:v>Orario/statico</x:v>
      </x:c>
      <x:c r="J56" s="83" t="str">
        <x:v>Zona/coorte</x:v>
      </x:c>
      <x:c r="K56" s="83" t="str">
        <x:v>Termico; nucleare; biomass; geothermal</x:v>
      </x:c>
      <x:c r="L56" s="83" t="str">
        <x:v>Generator</x:v>
      </x:c>
      <x:c r="M56" s="83" t="str">
        <x:v>p_max_pu</x:v>
      </x:c>
      <x:c r="N56" s="83" t="str">
        <x:v>Fattore/serie</x:v>
      </x:c>
      <x:c r="O56" s="83" t="str">
        <x:v>Sì</x:v>
      </x:c>
      <x:c r="P56" s="83" t="str">
        <x:v>Sì</x:v>
      </x:c>
      <x:c r="Q56" s="83" t="str">
        <x:v>S01; S03; S07</x:v>
      </x:c>
      <x:c r="R56" s="83" t="str">
        <x:v>Terna adequacy; outage data</x:v>
      </x:c>
      <x:c r="S56" s="83" t="str">
        <x:v>Derating e manutenzioni.</x:v>
      </x:c>
      <x:c r="T56" s="83" t="str">
        <x:v>Gap parziale</x:v>
      </x:c>
      <x:c r="U56" s="83" t="str">
        <x:v>B-D</x:v>
      </x:c>
      <x:c r="V56" s="83" t="str">
        <x:v>D11</x:v>
      </x:c>
      <x:c r="W56" s="83" t="str">
        <x:v>Fase 3D/4</x:v>
      </x:c>
      <x:c r="X56" s="83" t="str"/>
    </x:row>
    <x:row r="57">
      <x:c r="A57" s="83" t="str">
        <x:v>REQ-053</x:v>
      </x:c>
      <x:c r="B57" s="83" t="str">
        <x:v>Generazione</x:v>
      </x:c>
      <x:c r="C57" s="83" t="str">
        <x:v>Minimo tecnico</x:v>
      </x:c>
      <x:c r="D57" s="83" t="str">
        <x:v>minimum_stable_generation</x:v>
      </x:c>
      <x:c r="E57" s="83" t="str">
        <x:v>Output minimo/must-run per unità o coorte.</x:v>
      </x:c>
      <x:c r="F57" s="83" t="str">
        <x:v>p.u.</x:v>
      </x:c>
      <x:c r="G57" s="83" t="str">
        <x:v>2040; 2050</x:v>
      </x:c>
      <x:c r="H57" s="83" t="str">
        <x:v>Base o UC sensitivity</x:v>
      </x:c>
      <x:c r="I57" s="83" t="str">
        <x:v>Orario/statico</x:v>
      </x:c>
      <x:c r="J57" s="83" t="str">
        <x:v>Zona/coorte</x:v>
      </x:c>
      <x:c r="K57" s="83" t="str">
        <x:v>Termico; CHP; geothermal; biomass</x:v>
      </x:c>
      <x:c r="L57" s="83" t="str">
        <x:v>Generator</x:v>
      </x:c>
      <x:c r="M57" s="83" t="str">
        <x:v>p_min_pu</x:v>
      </x:c>
      <x:c r="N57" s="83" t="str">
        <x:v>Fattore/serie</x:v>
      </x:c>
      <x:c r="O57" s="83" t="str">
        <x:v>Sì se applicato</x:v>
      </x:c>
      <x:c r="P57" s="83" t="str">
        <x:v>Sì</x:v>
      </x:c>
      <x:c r="Q57" s="83" t="str">
        <x:v>S01/altre fonti tecniche</x:v>
      </x:c>
      <x:c r="R57" s="83" t="str">
        <x:v>PyPSA docs; plant data</x:v>
      </x:c>
      <x:c r="S57" s="83" t="str">
        <x:v>p_min_pu&gt;0 senza UC implica must-run.</x:v>
      </x:c>
      <x:c r="T57" s="83" t="str">
        <x:v>Gap/decisione</x:v>
      </x:c>
      <x:c r="U57" s="83" t="str">
        <x:v>C-E</x:v>
      </x:c>
      <x:c r="V57" s="83" t="str">
        <x:v>D10</x:v>
      </x:c>
      <x:c r="W57" s="83" t="str">
        <x:v>Fase 3D/4</x:v>
      </x:c>
      <x:c r="X57" s="83" t="str"/>
    </x:row>
    <x:row r="58">
      <x:c r="A58" s="83" t="str">
        <x:v>REQ-054</x:v>
      </x:c>
      <x:c r="B58" s="83" t="str">
        <x:v>Generazione</x:v>
      </x:c>
      <x:c r="C58" s="83" t="str">
        <x:v>Energia annua</x:v>
      </x:c>
      <x:c r="D58" s="83" t="str">
        <x:v>annual_energy_min_max</x:v>
      </x:c>
      <x:c r="E58" s="83" t="str">
        <x:v>Vincoli annui di produzione minima/massima se necessari.</x:v>
      </x:c>
      <x:c r="F58" s="83" t="str">
        <x:v>MWh/year</x:v>
      </x:c>
      <x:c r="G58" s="83" t="str">
        <x:v>2040; 2050</x:v>
      </x:c>
      <x:c r="H58" s="83" t="str">
        <x:v>Tutti</x:v>
      </x:c>
      <x:c r="I58" s="83" t="str">
        <x:v>Annuale</x:v>
      </x:c>
      <x:c r="J58" s="83" t="str">
        <x:v>Zona/tecnologia</x:v>
      </x:c>
      <x:c r="K58" s="83" t="str">
        <x:v>Hydro; biomass; waste; CHP; imports</x:v>
      </x:c>
      <x:c r="L58" s="83" t="str">
        <x:v>Generator</x:v>
      </x:c>
      <x:c r="M58" s="83" t="str">
        <x:v>e_sum_min; e_sum_max</x:v>
      </x:c>
      <x:c r="N58" s="83" t="str">
        <x:v>Valori annuali</x:v>
      </x:c>
      <x:c r="O58" s="83" t="str">
        <x:v>Opzionale</x:v>
      </x:c>
      <x:c r="P58" s="83" t="str">
        <x:v>Sì</x:v>
      </x:c>
      <x:c r="Q58" s="83" t="str">
        <x:v>S01; S07; S08</x:v>
      </x:c>
      <x:c r="R58" s="83" t="str">
        <x:v>GSE/Terna</x:v>
      </x:c>
      <x:c r="S58" s="83" t="str">
        <x:v>Applicare solo con fondamento fisico/contrattuale.</x:v>
      </x:c>
      <x:c r="T58" s="83" t="str">
        <x:v>Da valutare</x:v>
      </x:c>
      <x:c r="U58" s="83" t="str">
        <x:v>B-D</x:v>
      </x:c>
      <x:c r="V58" s="83" t="str">
        <x:v>D15</x:v>
      </x:c>
      <x:c r="W58" s="83" t="str">
        <x:v>Fase 3A/3B/4</x:v>
      </x:c>
      <x:c r="X58" s="83" t="str"/>
    </x:row>
    <x:row r="59">
      <x:c r="A59" s="83" t="str">
        <x:v>REQ-055</x:v>
      </x:c>
      <x:c r="B59" s="83" t="str">
        <x:v>Generazione</x:v>
      </x:c>
      <x:c r="C59" s="83" t="str">
        <x:v>Combustibile</x:v>
      </x:c>
      <x:c r="D59" s="83" t="str">
        <x:v>fuel_type</x:v>
      </x:c>
      <x:c r="E59" s="83" t="str">
        <x:v>Combustibile associato a ogni coorte.</x:v>
      </x:c>
      <x:c r="F59" s="83" t="str">
        <x:v>text</x:v>
      </x:c>
      <x:c r="G59" s="83" t="str">
        <x:v>2040; 2050</x:v>
      </x:c>
      <x:c r="H59" s="83" t="str">
        <x:v>Tutti</x:v>
      </x:c>
      <x:c r="I59" s="83" t="str">
        <x:v>Statico</x:v>
      </x:c>
      <x:c r="J59" s="83" t="str">
        <x:v>Zona/coorte</x:v>
      </x:c>
      <x:c r="K59" s="83" t="str">
        <x:v>Termico; biomass; H2</x:v>
      </x:c>
      <x:c r="L59" s="83" t="str">
        <x:v>Carrier/Generator</x:v>
      </x:c>
      <x:c r="M59" s="83" t="str">
        <x:v>carrier</x:v>
      </x:c>
      <x:c r="N59" s="83" t="str">
        <x:v>Categoria</x:v>
      </x:c>
      <x:c r="O59" s="83" t="str">
        <x:v>Sì</x:v>
      </x:c>
      <x:c r="P59" s="83" t="str">
        <x:v>Sì</x:v>
      </x:c>
      <x:c r="Q59" s="83" t="str">
        <x:v>S01; S07; S08; Gaudì</x:v>
      </x:c>
      <x:c r="R59" s="83" t="str">
        <x:v>powerplantmatching</x:v>
      </x:c>
      <x:c r="S59" s="83" t="str">
        <x:v>Mapping univoco.</x:v>
      </x:c>
      <x:c r="T59" s="83" t="str">
        <x:v>Da estrarre</x:v>
      </x:c>
      <x:c r="U59" s="83" t="str">
        <x:v>A/B</x:v>
      </x:c>
      <x:c r="V59" s="83" t="str">
        <x:v>D12</x:v>
      </x:c>
      <x:c r="W59" s="83" t="str">
        <x:v>Fase 3A/3D</x:v>
      </x:c>
      <x:c r="X59" s="83" t="str"/>
    </x:row>
    <x:row r="60">
      <x:c r="A60" s="83" t="str">
        <x:v>REQ-056</x:v>
      </x:c>
      <x:c r="B60" s="83" t="str">
        <x:v>Generazione</x:v>
      </x:c>
      <x:c r="C60" s="83" t="str">
        <x:v>Efficienza</x:v>
      </x:c>
      <x:c r="D60" s="83" t="str">
        <x:v>electrical_efficiency</x:v>
      </x:c>
      <x:c r="E60" s="83" t="str">
        <x:v>Rapporto output elettrico/input energetico.</x:v>
      </x:c>
      <x:c r="F60" s="83" t="str">
        <x:v>p.u.</x:v>
      </x:c>
      <x:c r="G60" s="83" t="str">
        <x:v>2040; 2050</x:v>
      </x:c>
      <x:c r="H60" s="83" t="str">
        <x:v>Tutti</x:v>
      </x:c>
      <x:c r="I60" s="83" t="str">
        <x:v>Statico o per coorte</x:v>
      </x:c>
      <x:c r="J60" s="83" t="str">
        <x:v>Zona/coorte</x:v>
      </x:c>
      <x:c r="K60" s="83" t="str">
        <x:v>Termico; nucleare; CCS; H2</x:v>
      </x:c>
      <x:c r="L60" s="83" t="str">
        <x:v>Generator/Link</x:v>
      </x:c>
      <x:c r="M60" s="83" t="str">
        <x:v>efficiency</x:v>
      </x:c>
      <x:c r="N60" s="83" t="str">
        <x:v>Valore o serie</x:v>
      </x:c>
      <x:c r="O60" s="83" t="str">
        <x:v>Sì</x:v>
      </x:c>
      <x:c r="P60" s="83" t="str">
        <x:v>Sì</x:v>
      </x:c>
      <x:c r="Q60" s="83" t="str">
        <x:v>S01; S07; S08</x:v>
      </x:c>
      <x:c r="R60" s="83" t="str">
        <x:v>PyPSA technology-data; JRC/DEA</x:v>
      </x:c>
      <x:c r="S60" s="83" t="str">
        <x:v>Per coorte o tecnologia; coerente con fuel cost.</x:v>
      </x:c>
      <x:c r="T60" s="83" t="str">
        <x:v>Partial — internal calibration plus external candidates; pin/model mapping required</x:v>
      </x:c>
      <x:c r="U60" s="83" t="str">
        <x:v>A-D</x:v>
      </x:c>
      <x:c r="V60" s="83" t="str">
        <x:v>D12</x:v>
      </x:c>
      <x:c r="W60" s="83" t="str">
        <x:v>Fase 3D</x:v>
      </x:c>
      <x:c r="X60" s="83" t="str">
        <x:v>Phase 3D evidence incorporated</x:v>
      </x:c>
    </x:row>
    <x:row r="61">
      <x:c r="A61" s="83" t="str">
        <x:v>REQ-057</x:v>
      </x:c>
      <x:c r="B61" s="83" t="str">
        <x:v>Generazione</x:v>
      </x:c>
      <x:c r="C61" s="83" t="str">
        <x:v>Costi variabili</x:v>
      </x:c>
      <x:c r="D61" s="83" t="str">
        <x:v>variable_om</x:v>
      </x:c>
      <x:c r="E61" s="83" t="str">
        <x:v>OPEX variabile non combustibile.</x:v>
      </x:c>
      <x:c r="F61" s="83" t="str">
        <x:v>EUR/MWh_el</x:v>
      </x:c>
      <x:c r="G61" s="83" t="str">
        <x:v>2040; 2050</x:v>
      </x:c>
      <x:c r="H61" s="83" t="str">
        <x:v>Tutti</x:v>
      </x:c>
      <x:c r="I61" s="83" t="str">
        <x:v>Statico</x:v>
      </x:c>
      <x:c r="J61" s="83" t="str">
        <x:v>Tecnologia/coorte</x:v>
      </x:c>
      <x:c r="K61" s="83" t="str">
        <x:v>Tutte</x:v>
      </x:c>
      <x:c r="L61" s="83" t="str">
        <x:v>Generator/Link</x:v>
      </x:c>
      <x:c r="M61" s="83" t="str">
        <x:v>marginal_cost component</x:v>
      </x:c>
      <x:c r="N61" s="83" t="str">
        <x:v>Valore</x:v>
      </x:c>
      <x:c r="O61" s="83" t="str">
        <x:v>Sì</x:v>
      </x:c>
      <x:c r="P61" s="83" t="str">
        <x:v>Sì</x:v>
      </x:c>
      <x:c r="Q61" s="83" t="str">
        <x:v>S07; S08 se disponibili</x:v>
      </x:c>
      <x:c r="R61" s="83" t="str">
        <x:v>PyPSA technology-data; JRC/DEA</x:v>
      </x:c>
      <x:c r="S61" s="83" t="str">
        <x:v>Componente della formula marginale.</x:v>
      </x:c>
      <x:c r="T61" s="83" t="str">
        <x:v>Gap</x:v>
      </x:c>
      <x:c r="U61" s="83" t="str">
        <x:v>B-D</x:v>
      </x:c>
      <x:c r="V61" s="83" t="str">
        <x:v>D12</x:v>
      </x:c>
      <x:c r="W61" s="83" t="str">
        <x:v>Fase 3D</x:v>
      </x:c>
      <x:c r="X61" s="83" t="str"/>
    </x:row>
    <x:row r="62">
      <x:c r="A62" s="83" t="str">
        <x:v>REQ-058</x:v>
      </x:c>
      <x:c r="B62" s="83" t="str">
        <x:v>Generazione</x:v>
      </x:c>
      <x:c r="C62" s="83" t="str">
        <x:v>Costi variabili</x:v>
      </x:c>
      <x:c r="D62" s="83" t="str">
        <x:v>fuel_price</x:v>
      </x:c>
      <x:c r="E62" s="83" t="str">
        <x:v>Prezzo del combustibile coerente con scenario e anno.</x:v>
      </x:c>
      <x:c r="F62" s="83" t="str">
        <x:v>EUR/MWh_th</x:v>
      </x:c>
      <x:c r="G62" s="83" t="str">
        <x:v>2040; 2050</x:v>
      </x:c>
      <x:c r="H62" s="83" t="str">
        <x:v>Tutti</x:v>
      </x:c>
      <x:c r="I62" s="83" t="str">
        <x:v>Annuale o mensile</x:v>
      </x:c>
      <x:c r="J62" s="83" t="str">
        <x:v>Sistema/combustibile</x:v>
      </x:c>
      <x:c r="K62" s="83" t="str">
        <x:v>Gas; coal/oil residual; biomass; H2</x:v>
      </x:c>
      <x:c r="L62" s="83" t="str">
        <x:v>Preprocessing/Generator</x:v>
      </x:c>
      <x:c r="M62" s="83" t="str">
        <x:v>marginal_cost</x:v>
      </x:c>
      <x:c r="N62" s="83" t="str">
        <x:v>Serie o valore scenario</x:v>
      </x:c>
      <x:c r="O62" s="83" t="str">
        <x:v>Sì</x:v>
      </x:c>
      <x:c r="P62" s="83" t="str">
        <x:v>Sì</x:v>
      </x:c>
      <x:c r="Q62" s="83" t="str">
        <x:v>S01; S07; S08; DDS 2024</x:v>
      </x:c>
      <x:c r="R62" s="83" t="str">
        <x:v>IEA/WEO; Commissione europea</x:v>
      </x:c>
      <x:c r="S62" s="83" t="str">
        <x:v>Normalizzazione valuta/anno.</x:v>
      </x:c>
      <x:c r="T62" s="83" t="str">
        <x:v>Parziale/gap DDS</x:v>
      </x:c>
      <x:c r="U62" s="83" t="str">
        <x:v>A-C</x:v>
      </x:c>
      <x:c r="V62" s="83" t="str">
        <x:v>D13</x:v>
      </x:c>
      <x:c r="W62" s="83" t="str">
        <x:v>Fase 3D</x:v>
      </x:c>
      <x:c r="X62" s="83" t="str"/>
    </x:row>
    <x:row r="63">
      <x:c r="A63" s="83" t="str">
        <x:v>REQ-059</x:v>
      </x:c>
      <x:c r="B63" s="83" t="str">
        <x:v>Generazione</x:v>
      </x:c>
      <x:c r="C63" s="83" t="str">
        <x:v>Emissioni</x:v>
      </x:c>
      <x:c r="D63" s="83" t="str">
        <x:v>fuel_emission_factor</x:v>
      </x:c>
      <x:c r="E63" s="83" t="str">
        <x:v>Fattore emissivo del combustibile sul contenuto energetico.</x:v>
      </x:c>
      <x:c r="F63" s="83" t="str">
        <x:v>tCO2/MWh_th</x:v>
      </x:c>
      <x:c r="G63" s="83" t="str">
        <x:v>2040; 2050</x:v>
      </x:c>
      <x:c r="H63" s="83" t="str">
        <x:v>Tutti</x:v>
      </x:c>
      <x:c r="I63" s="83" t="str">
        <x:v>Statico</x:v>
      </x:c>
      <x:c r="J63" s="83" t="str">
        <x:v>Combustibile</x:v>
      </x:c>
      <x:c r="K63" s="83" t="str">
        <x:v>Fossili; biomass accounting; H2</x:v>
      </x:c>
      <x:c r="L63" s="83" t="str">
        <x:v>Carrier</x:v>
      </x:c>
      <x:c r="M63" s="83" t="str">
        <x:v>co2_emissions</x:v>
      </x:c>
      <x:c r="N63" s="83" t="str">
        <x:v>Valore</x:v>
      </x:c>
      <x:c r="O63" s="83" t="str">
        <x:v>Sì</x:v>
      </x:c>
      <x:c r="P63" s="83" t="str">
        <x:v>Sì</x:v>
      </x:c>
      <x:c r="Q63" s="83" t="str">
        <x:v>S01; S07; S08</x:v>
      </x:c>
      <x:c r="R63" s="83" t="str">
        <x:v>ISPRA; PyPSA technology-data</x:v>
      </x:c>
      <x:c r="S63" s="83" t="str">
        <x:v>Coerente con efficienza e carbon price.</x:v>
      </x:c>
      <x:c r="T63" s="83" t="str">
        <x:v>Parziale</x:v>
      </x:c>
      <x:c r="U63" s="83" t="str">
        <x:v>A-C</x:v>
      </x:c>
      <x:c r="V63" s="83" t="str">
        <x:v>D12</x:v>
      </x:c>
      <x:c r="W63" s="83" t="str">
        <x:v>Fase 3D</x:v>
      </x:c>
      <x:c r="X63" s="83" t="str"/>
    </x:row>
    <x:row r="64">
      <x:c r="A64" s="83" t="str">
        <x:v>REQ-060</x:v>
      </x:c>
      <x:c r="B64" s="83" t="str">
        <x:v>Generazione</x:v>
      </x:c>
      <x:c r="C64" s="83" t="str">
        <x:v>Emissioni</x:v>
      </x:c>
      <x:c r="D64" s="83" t="str">
        <x:v>co2_price</x:v>
      </x:c>
      <x:c r="E64" s="83" t="str">
        <x:v>Prezzo ETS/CO₂ usato nei costi variabili.</x:v>
      </x:c>
      <x:c r="F64" s="83" t="str">
        <x:v>EUR/tCO2</x:v>
      </x:c>
      <x:c r="G64" s="83" t="str">
        <x:v>2040; 2050</x:v>
      </x:c>
      <x:c r="H64" s="83" t="str">
        <x:v>Tutti</x:v>
      </x:c>
      <x:c r="I64" s="83" t="str">
        <x:v>Annuale o serie</x:v>
      </x:c>
      <x:c r="J64" s="83" t="str">
        <x:v>Sistema</x:v>
      </x:c>
      <x:c r="K64" s="83" t="str">
        <x:v>Emettitori ETS</x:v>
      </x:c>
      <x:c r="L64" s="83" t="str">
        <x:v>Preprocessing/Generator</x:v>
      </x:c>
      <x:c r="M64" s="83" t="str">
        <x:v>marginal_cost</x:v>
      </x:c>
      <x:c r="N64" s="83" t="str">
        <x:v>Valore scenario</x:v>
      </x:c>
      <x:c r="O64" s="83" t="str">
        <x:v>Sì</x:v>
      </x:c>
      <x:c r="P64" s="83" t="str">
        <x:v>Sì</x:v>
      </x:c>
      <x:c r="Q64" s="83" t="str">
        <x:v>S01; S07; S08; DDS 2024</x:v>
      </x:c>
      <x:c r="R64" s="83" t="str">
        <x:v>Commissione europea/ETS</x:v>
      </x:c>
      <x:c r="S64" s="83" t="str">
        <x:v>Applicare una sola volta.</x:v>
      </x:c>
      <x:c r="T64" s="83" t="str">
        <x:v>Parziale/gap DDS</x:v>
      </x:c>
      <x:c r="U64" s="83" t="str">
        <x:v>A-C</x:v>
      </x:c>
      <x:c r="V64" s="83" t="str">
        <x:v>D12</x:v>
      </x:c>
      <x:c r="W64" s="83" t="str">
        <x:v>Fase 3D</x:v>
      </x:c>
      <x:c r="X64" s="83" t="str"/>
    </x:row>
    <x:row r="65">
      <x:c r="A65" s="83" t="str">
        <x:v>REQ-061</x:v>
      </x:c>
      <x:c r="B65" s="83" t="str">
        <x:v>Generazione</x:v>
      </x:c>
      <x:c r="C65" s="83" t="str">
        <x:v>Costi variabili</x:v>
      </x:c>
      <x:c r="D65" s="83" t="str">
        <x:v>marginal_cost</x:v>
      </x:c>
      <x:c r="E65" s="83" t="str">
        <x:v>Costo marginale totale usato nel merit order.</x:v>
      </x:c>
      <x:c r="F65" s="83" t="str">
        <x:v>EUR/MWh_el</x:v>
      </x:c>
      <x:c r="G65" s="83" t="str">
        <x:v>2040; 2050</x:v>
      </x:c>
      <x:c r="H65" s="83" t="str">
        <x:v>Tutti</x:v>
      </x:c>
      <x:c r="I65" s="83" t="str">
        <x:v>Statico o serie</x:v>
      </x:c>
      <x:c r="J65" s="83" t="str">
        <x:v>Zona/coorte</x:v>
      </x:c>
      <x:c r="K65" s="83" t="str">
        <x:v>Tutte le tecnologie</x:v>
      </x:c>
      <x:c r="L65" s="83" t="str">
        <x:v>Generator/Link</x:v>
      </x:c>
      <x:c r="M65" s="83" t="str">
        <x:v>marginal_cost</x:v>
      </x:c>
      <x:c r="N65" s="83" t="str">
        <x:v>Valore/serie calcolata</x:v>
      </x:c>
      <x:c r="O65" s="83" t="str">
        <x:v>Sì</x:v>
      </x:c>
      <x:c r="P65" s="83" t="str">
        <x:v>Sì</x:v>
      </x:c>
      <x:c r="Q65" s="83" t="str">
        <x:v>Derivato da fuel, CO2, efficienza, VOM</x:v>
      </x:c>
      <x:c r="R65" s="83" t="str">
        <x:v>S01/S07 per cross-check prezzi</x:v>
      </x:c>
      <x:c r="S65" s="83" t="str">
        <x:v>fuel/efficiency + CO2*EF/efficiency + VOM + altri costi.</x:v>
      </x:c>
      <x:c r="T65" s="83" t="str">
        <x:v>Derivato</x:v>
      </x:c>
      <x:c r="U65" s="83" t="str">
        <x:v>A-D</x:v>
      </x:c>
      <x:c r="V65" s="83" t="str">
        <x:v>D12</x:v>
      </x:c>
      <x:c r="W65" s="83" t="str">
        <x:v>Fase 3D/4</x:v>
      </x:c>
      <x:c r="X65" s="83" t="str"/>
    </x:row>
    <x:row r="66">
      <x:c r="A66" s="83" t="str">
        <x:v>REQ-062</x:v>
      </x:c>
      <x:c r="B66" s="83" t="str">
        <x:v>Generazione</x:v>
      </x:c>
      <x:c r="C66" s="83" t="str">
        <x:v>Costi variabili</x:v>
      </x:c>
      <x:c r="D66" s="83" t="str">
        <x:v>time_varying_marginal_cost</x:v>
      </x:c>
      <x:c r="E66" s="83" t="str">
        <x:v>Eventuale variazione temporale di fuel/CO₂ o offerte.</x:v>
      </x:c>
      <x:c r="F66" s="83" t="str">
        <x:v>EUR/MWh_el</x:v>
      </x:c>
      <x:c r="G66" s="83" t="str">
        <x:v>2040; 2050</x:v>
      </x:c>
      <x:c r="H66" s="83" t="str">
        <x:v>Sensitività</x:v>
      </x:c>
      <x:c r="I66" s="83" t="str">
        <x:v>Mensile/giornaliero/orario</x:v>
      </x:c>
      <x:c r="J66" s="83" t="str">
        <x:v>Sistema/tecnologia</x:v>
      </x:c>
      <x:c r="K66" s="83" t="str">
        <x:v>Termico; imports</x:v>
      </x:c>
      <x:c r="L66" s="83" t="str">
        <x:v>Generator/Link</x:v>
      </x:c>
      <x:c r="M66" s="83" t="str">
        <x:v>marginal_cost time series</x:v>
      </x:c>
      <x:c r="N66" s="83" t="str">
        <x:v>Serie temporale</x:v>
      </x:c>
      <x:c r="O66" s="83" t="str">
        <x:v>Opzionale</x:v>
      </x:c>
      <x:c r="P66" s="83" t="str">
        <x:v>Sì</x:v>
      </x:c>
      <x:c r="Q66" s="83" t="str">
        <x:v>Scenario commodity</x:v>
      </x:c>
      <x:c r="R66" s="83" t="str">
        <x:v>Market forward assumptions</x:v>
      </x:c>
      <x:c r="S66" s="83" t="str">
        <x:v>Base annuale; sensitività temporale se giustificata.</x:v>
      </x:c>
      <x:c r="T66" s="83" t="str">
        <x:v>Decisione aperta</x:v>
      </x:c>
      <x:c r="U66" s="83" t="str">
        <x:v>B-D</x:v>
      </x:c>
      <x:c r="V66" s="83" t="str">
        <x:v>D13</x:v>
      </x:c>
      <x:c r="W66" s="83" t="str">
        <x:v>Fase 3D/4</x:v>
      </x:c>
      <x:c r="X66" s="83" t="str"/>
    </x:row>
    <x:row r="67">
      <x:c r="A67" s="83" t="str">
        <x:v>REQ-063</x:v>
      </x:c>
      <x:c r="B67" s="83" t="str">
        <x:v>Generazione</x:v>
      </x:c>
      <x:c r="C67" s="83" t="str">
        <x:v>Unit commitment</x:v>
      </x:c>
      <x:c r="D67" s="83" t="str">
        <x:v>committable_flag</x:v>
      </x:c>
      <x:c r="E67" s="83" t="str">
        <x:v>Attivazione dei vincoli di unit commitment.</x:v>
      </x:c>
      <x:c r="F67" s="83" t="str">
        <x:v>boolean</x:v>
      </x:c>
      <x:c r="G67" s="83" t="str">
        <x:v>2040; 2050</x:v>
      </x:c>
      <x:c r="H67" s="83" t="str">
        <x:v>Sensitività UC</x:v>
      </x:c>
      <x:c r="I67" s="83" t="str">
        <x:v>Orario</x:v>
      </x:c>
      <x:c r="J67" s="83" t="str">
        <x:v>Coorte/unità</x:v>
      </x:c>
      <x:c r="K67" s="83" t="str">
        <x:v>Termico; nucleare</x:v>
      </x:c>
      <x:c r="L67" s="83" t="str">
        <x:v>Generator</x:v>
      </x:c>
      <x:c r="M67" s="83" t="str">
        <x:v>committable</x:v>
      </x:c>
      <x:c r="N67" s="83" t="str">
        <x:v>Flag</x:v>
      </x:c>
      <x:c r="O67" s="83" t="str">
        <x:v>Opzionale</x:v>
      </x:c>
      <x:c r="P67" s="83" t="str">
        <x:v>Sì</x:v>
      </x:c>
      <x:c r="Q67" s="83" t="str">
        <x:v>Dati tecnici impianti</x:v>
      </x:c>
      <x:c r="R67" s="83" t="str">
        <x:v>PyPSA official docs</x:v>
      </x:c>
      <x:c r="S67" s="83" t="str">
        <x:v>Default lineare senza UC; sensitivity MILP.</x:v>
      </x:c>
      <x:c r="T67" s="83" t="str">
        <x:v>Decisione proposta</x:v>
      </x:c>
      <x:c r="U67" s="83" t="str">
        <x:v>C-E</x:v>
      </x:c>
      <x:c r="V67" s="83" t="str">
        <x:v>D10</x:v>
      </x:c>
      <x:c r="W67" s="83" t="str">
        <x:v>Fase 4/7</x:v>
      </x:c>
      <x:c r="X67" s="83" t="str"/>
    </x:row>
    <x:row r="68">
      <x:c r="A68" s="83" t="str">
        <x:v>REQ-064</x:v>
      </x:c>
      <x:c r="B68" s="83" t="str">
        <x:v>Generazione</x:v>
      </x:c>
      <x:c r="C68" s="83" t="str">
        <x:v>Unit commitment</x:v>
      </x:c>
      <x:c r="D68" s="83" t="str">
        <x:v>start_shutdown_standby_costs</x:v>
      </x:c>
      <x:c r="E68" s="83" t="str">
        <x:v>Costi di avviamento, spegnimento e stand-by.</x:v>
      </x:c>
      <x:c r="F68" s="83" t="str">
        <x:v>EUR/start; EUR/h</x:v>
      </x:c>
      <x:c r="G68" s="83" t="str">
        <x:v>2040; 2050</x:v>
      </x:c>
      <x:c r="H68" s="83" t="str">
        <x:v>Sensitività UC</x:v>
      </x:c>
      <x:c r="I68" s="83" t="str">
        <x:v>Orario</x:v>
      </x:c>
      <x:c r="J68" s="83" t="str">
        <x:v>Coorte/unità</x:v>
      </x:c>
      <x:c r="K68" s="83" t="str">
        <x:v>Termico; nucleare</x:v>
      </x:c>
      <x:c r="L68" s="83" t="str">
        <x:v>Generator</x:v>
      </x:c>
      <x:c r="M68" s="83" t="str">
        <x:v>start_up_cost; shut_down_cost; stand_by_cost</x:v>
      </x:c>
      <x:c r="N68" s="83" t="str">
        <x:v>Parametri</x:v>
      </x:c>
      <x:c r="O68" s="83" t="str">
        <x:v>Solo UC</x:v>
      </x:c>
      <x:c r="P68" s="83" t="str">
        <x:v>Sì</x:v>
      </x:c>
      <x:c r="Q68" s="83" t="str">
        <x:v>Fonti tecniche non nel corpus</x:v>
      </x:c>
      <x:c r="R68" s="83" t="str">
        <x:v>PyPSA technology-data/literature</x:v>
      </x:c>
      <x:c r="S68" s="83" t="str">
        <x:v>Richiesti solo se committable=True.</x:v>
      </x:c>
      <x:c r="T68" s="83" t="str">
        <x:v>Gap</x:v>
      </x:c>
      <x:c r="U68" s="83" t="str">
        <x:v>D-E</x:v>
      </x:c>
      <x:c r="V68" s="83" t="str">
        <x:v>D10</x:v>
      </x:c>
      <x:c r="W68" s="83" t="str">
        <x:v>Fase 3D/7</x:v>
      </x:c>
      <x:c r="X68" s="83" t="str"/>
    </x:row>
    <x:row r="69">
      <x:c r="A69" s="83" t="str">
        <x:v>REQ-065</x:v>
      </x:c>
      <x:c r="B69" s="83" t="str">
        <x:v>Generazione</x:v>
      </x:c>
      <x:c r="C69" s="83" t="str">
        <x:v>Unit commitment</x:v>
      </x:c>
      <x:c r="D69" s="83" t="str">
        <x:v>min_up_down_times</x:v>
      </x:c>
      <x:c r="E69" s="83" t="str">
        <x:v>Tempi minimi di accensione e spegnimento.</x:v>
      </x:c>
      <x:c r="F69" s="83" t="str">
        <x:v>snapshots/hours</x:v>
      </x:c>
      <x:c r="G69" s="83" t="str">
        <x:v>2040; 2050</x:v>
      </x:c>
      <x:c r="H69" s="83" t="str">
        <x:v>Sensitività UC</x:v>
      </x:c>
      <x:c r="I69" s="83" t="str">
        <x:v>Orario</x:v>
      </x:c>
      <x:c r="J69" s="83" t="str">
        <x:v>Coorte/unità</x:v>
      </x:c>
      <x:c r="K69" s="83" t="str">
        <x:v>Termico; nucleare</x:v>
      </x:c>
      <x:c r="L69" s="83" t="str">
        <x:v>Generator</x:v>
      </x:c>
      <x:c r="M69" s="83" t="str">
        <x:v>min_up_time; min_down_time</x:v>
      </x:c>
      <x:c r="N69" s="83" t="str">
        <x:v>Parametri</x:v>
      </x:c>
      <x:c r="O69" s="83" t="str">
        <x:v>Solo UC</x:v>
      </x:c>
      <x:c r="P69" s="83" t="str">
        <x:v>Sì</x:v>
      </x:c>
      <x:c r="Q69" s="83" t="str">
        <x:v>Fonti tecniche non nel corpus</x:v>
      </x:c>
      <x:c r="R69" s="83" t="str">
        <x:v>PyPSA docs/literature</x:v>
      </x:c>
      <x:c r="S69" s="83" t="str">
        <x:v>Coerenti con risoluzione oraria.</x:v>
      </x:c>
      <x:c r="T69" s="83" t="str">
        <x:v>Gap</x:v>
      </x:c>
      <x:c r="U69" s="83" t="str">
        <x:v>D-E</x:v>
      </x:c>
      <x:c r="V69" s="83" t="str">
        <x:v>D10</x:v>
      </x:c>
      <x:c r="W69" s="83" t="str">
        <x:v>Fase 3D/7</x:v>
      </x:c>
      <x:c r="X69" s="83" t="str"/>
    </x:row>
    <x:row r="70">
      <x:c r="A70" s="83" t="str">
        <x:v>REQ-066</x:v>
      </x:c>
      <x:c r="B70" s="83" t="str">
        <x:v>Generazione</x:v>
      </x:c>
      <x:c r="C70" s="83" t="str">
        <x:v>Dinamica</x:v>
      </x:c>
      <x:c r="D70" s="83" t="str">
        <x:v>ramp_limits</x:v>
      </x:c>
      <x:c r="E70" s="83" t="str">
        <x:v>Limiti di rampa up/down e start/shutdown.</x:v>
      </x:c>
      <x:c r="F70" s="83" t="str">
        <x:v>p.u./snapshot</x:v>
      </x:c>
      <x:c r="G70" s="83" t="str">
        <x:v>2040; 2050</x:v>
      </x:c>
      <x:c r="H70" s="83" t="str">
        <x:v>Base se disponibili; UC sensitivity</x:v>
      </x:c>
      <x:c r="I70" s="83" t="str">
        <x:v>Orario</x:v>
      </x:c>
      <x:c r="J70" s="83" t="str">
        <x:v>Coorte/unità</x:v>
      </x:c>
      <x:c r="K70" s="83" t="str">
        <x:v>Termico; nucleare; hydro</x:v>
      </x:c>
      <x:c r="L70" s="83" t="str">
        <x:v>Generator/Link</x:v>
      </x:c>
      <x:c r="M70" s="83" t="str">
        <x:v>ramp_limit_up; ramp_limit_down; ramp_limit_start_up; ramp_limit_shut_down</x:v>
      </x:c>
      <x:c r="N70" s="83" t="str">
        <x:v>Parametri</x:v>
      </x:c>
      <x:c r="O70" s="83" t="str">
        <x:v>Desiderabile</x:v>
      </x:c>
      <x:c r="P70" s="83" t="str">
        <x:v>Sì</x:v>
      </x:c>
      <x:c r="Q70" s="83" t="str">
        <x:v>S01 contesto; fonti tecniche</x:v>
      </x:c>
      <x:c r="R70" s="83" t="str">
        <x:v>PyPSA docs/literature</x:v>
      </x:c>
      <x:c r="S70" s="83" t="str">
        <x:v>Non usare valori generici senza sensitivity.</x:v>
      </x:c>
      <x:c r="T70" s="83" t="str">
        <x:v>External gap — Phase 4 / UC sensitivity</x:v>
      </x:c>
      <x:c r="U70" s="83" t="str">
        <x:v>C-E</x:v>
      </x:c>
      <x:c r="V70" s="83" t="str">
        <x:v>D10</x:v>
      </x:c>
      <x:c r="W70" s="83" t="str">
        <x:v>Fase 3D/7</x:v>
      </x:c>
      <x:c r="X70" s="83" t="str">
        <x:v>Phase 3D evidence incorporated</x:v>
      </x:c>
    </x:row>
    <x:row r="71">
      <x:c r="A71" s="83" t="str">
        <x:v>REQ-067</x:v>
      </x:c>
      <x:c r="B71" s="83" t="str">
        <x:v>Generazione</x:v>
      </x:c>
      <x:c r="C71" s="83" t="str">
        <x:v>Indisponibilità</x:v>
      </x:c>
      <x:c r="D71" s="83" t="str">
        <x:v>planned_forced_outages</x:v>
      </x:c>
      <x:c r="E71" s="83" t="str">
        <x:v>Profilo o fattore di indisponibilità programmata e forzata.</x:v>
      </x:c>
      <x:c r="F71" s="83" t="str">
        <x:v>p.u.</x:v>
      </x:c>
      <x:c r="G71" s="83" t="str">
        <x:v>2040; 2050</x:v>
      </x:c>
      <x:c r="H71" s="83" t="str">
        <x:v>Tutti</x:v>
      </x:c>
      <x:c r="I71" s="83" t="str">
        <x:v>Orario/stagionale</x:v>
      </x:c>
      <x:c r="J71" s="83" t="str">
        <x:v>Zona/coorte</x:v>
      </x:c>
      <x:c r="K71" s="83" t="str">
        <x:v>Termico; nucleare; hydro</x:v>
      </x:c>
      <x:c r="L71" s="83" t="str">
        <x:v>Generator</x:v>
      </x:c>
      <x:c r="M71" s="83" t="str">
        <x:v>p_max_pu</x:v>
      </x:c>
      <x:c r="N71" s="83" t="str">
        <x:v>Serie/fattore</x:v>
      </x:c>
      <x:c r="O71" s="83" t="str">
        <x:v>Sì</x:v>
      </x:c>
      <x:c r="P71" s="83" t="str">
        <x:v>Sì</x:v>
      </x:c>
      <x:c r="Q71" s="83" t="str">
        <x:v>Terna adequacy; ENTSO-E</x:v>
      </x:c>
      <x:c r="R71" s="83" t="str">
        <x:v>Historical outage statistics</x:v>
      </x:c>
      <x:c r="S71" s="83" t="str">
        <x:v>Scenario probabilistico o profilo deterministico.</x:v>
      </x:c>
      <x:c r="T71" s="83" t="str">
        <x:v>Gap</x:v>
      </x:c>
      <x:c r="U71" s="83" t="str">
        <x:v>C-D</x:v>
      </x:c>
      <x:c r="V71" s="83" t="str">
        <x:v>D11</x:v>
      </x:c>
      <x:c r="W71" s="83" t="str">
        <x:v>Fase 3D/4</x:v>
      </x:c>
      <x:c r="X71" s="83" t="str"/>
    </x:row>
    <x:row r="72">
      <x:c r="A72" s="83" t="str">
        <x:v>REQ-068</x:v>
      </x:c>
      <x:c r="B72" s="83" t="str">
        <x:v>Generazione</x:v>
      </x:c>
      <x:c r="C72" s="83" t="str">
        <x:v>Must-run</x:v>
      </x:c>
      <x:c r="D72" s="83" t="str">
        <x:v>chp_must_run</x:v>
      </x:c>
      <x:c r="E72" s="83" t="str">
        <x:v>Produzione minima/esogena per cogenerazione e vincoli termici.</x:v>
      </x:c>
      <x:c r="F72" s="83" t="str">
        <x:v>MW or p.u.</x:v>
      </x:c>
      <x:c r="G72" s="83" t="str">
        <x:v>2040; 2050</x:v>
      </x:c>
      <x:c r="H72" s="83" t="str">
        <x:v>Tutti</x:v>
      </x:c>
      <x:c r="I72" s="83" t="str">
        <x:v>Orario/stagionale</x:v>
      </x:c>
      <x:c r="J72" s="83" t="str">
        <x:v>Zona/coorte</x:v>
      </x:c>
      <x:c r="K72" s="83" t="str">
        <x:v>CHP</x:v>
      </x:c>
      <x:c r="L72" s="83" t="str">
        <x:v>Generator</x:v>
      </x:c>
      <x:c r="M72" s="83" t="str">
        <x:v>p_min_pu or p_set</x:v>
      </x:c>
      <x:c r="N72" s="83" t="str">
        <x:v>Serie/fattore</x:v>
      </x:c>
      <x:c r="O72" s="83" t="str">
        <x:v>Desiderabile</x:v>
      </x:c>
      <x:c r="P72" s="83" t="str">
        <x:v>Sì</x:v>
      </x:c>
      <x:c r="Q72" s="83" t="str">
        <x:v>PNIEC/S01 se disponibili</x:v>
      </x:c>
      <x:c r="R72" s="83" t="str">
        <x:v>Industry/heat demand data</x:v>
      </x:c>
      <x:c r="S72" s="83" t="str">
        <x:v>Rappresentare solo quota elettrica rilevante.</x:v>
      </x:c>
      <x:c r="T72" s="83" t="str">
        <x:v>Gap</x:v>
      </x:c>
      <x:c r="U72" s="83" t="str">
        <x:v>C-E</x:v>
      </x:c>
      <x:c r="V72" s="83" t="str">
        <x:v>D10</x:v>
      </x:c>
      <x:c r="W72" s="83" t="str">
        <x:v>Fase 3D/4</x:v>
      </x:c>
      <x:c r="X72" s="83" t="str"/>
    </x:row>
    <x:row r="73">
      <x:c r="A73" s="83" t="str">
        <x:v>REQ-069</x:v>
      </x:c>
      <x:c r="B73" s="83" t="str">
        <x:v>Generazione</x:v>
      </x:c>
      <x:c r="C73" s="83" t="str">
        <x:v>FER programmabili</x:v>
      </x:c>
      <x:c r="D73" s="83" t="str">
        <x:v>biomass_geothermal_operation</x:v>
      </x:c>
      <x:c r="E73" s="83" t="str">
        <x:v>Disponibilità, energia annua e must-run di biomasse/geotermia.</x:v>
      </x:c>
      <x:c r="F73" s="83" t="str">
        <x:v>MW; MWh; p.u.</x:v>
      </x:c>
      <x:c r="G73" s="83" t="str">
        <x:v>2040; 2050</x:v>
      </x:c>
      <x:c r="H73" s="83" t="str">
        <x:v>Tutti</x:v>
      </x:c>
      <x:c r="I73" s="83" t="str">
        <x:v>Orario/annuale</x:v>
      </x:c>
      <x:c r="J73" s="83" t="str">
        <x:v>Zona</x:v>
      </x:c>
      <x:c r="K73" s="83" t="str">
        <x:v>Biomass; geothermal; waste</x:v>
      </x:c>
      <x:c r="L73" s="83" t="str">
        <x:v>Generator</x:v>
      </x:c>
      <x:c r="M73" s="83" t="str">
        <x:v>p_nom; p_max_pu; e_sum_max/min; marginal_cost</x:v>
      </x:c>
      <x:c r="N73" s="83" t="str">
        <x:v>Capacità + vincoli</x:v>
      </x:c>
      <x:c r="O73" s="83" t="str">
        <x:v>Sì</x:v>
      </x:c>
      <x:c r="P73" s="83" t="str">
        <x:v>Sì</x:v>
      </x:c>
      <x:c r="Q73" s="83" t="str">
        <x:v>S01; S07; S08; GSE</x:v>
      </x:c>
      <x:c r="R73" s="83" t="str">
        <x:v>Terna statistics</x:v>
      </x:c>
      <x:c r="S73" s="83" t="str">
        <x:v>Separare tecnologie e disponibilità di combustibile.</x:v>
      </x:c>
      <x:c r="T73" s="83" t="str">
        <x:v>Parziale</x:v>
      </x:c>
      <x:c r="U73" s="83" t="str">
        <x:v>B-D</x:v>
      </x:c>
      <x:c r="V73" s="83" t="str">
        <x:v>D12</x:v>
      </x:c>
      <x:c r="W73" s="83" t="str">
        <x:v>Fase 3A/3D</x:v>
      </x:c>
      <x:c r="X73" s="83" t="str"/>
    </x:row>
    <x:row r="74">
      <x:c r="A74" s="83" t="str">
        <x:v>REQ-070</x:v>
      </x:c>
      <x:c r="B74" s="83" t="str">
        <x:v>Generazione</x:v>
      </x:c>
      <x:c r="C74" s="83" t="str">
        <x:v>Tecnologie 2050</x:v>
      </x:c>
      <x:c r="D74" s="83" t="str">
        <x:v>nuclear_capacity_and_operation</x:v>
      </x:c>
      <x:c r="E74" s="83" t="str">
        <x:v>Capacità, disponibilità, efficienza/costi e minimo tecnico del nucleare.</x:v>
      </x:c>
      <x:c r="F74" s="83" t="str">
        <x:v>MW; p.u.; EUR/MWh</x:v>
      </x:c>
      <x:c r="G74" s="83" t="str">
        <x:v>2050</x:v>
      </x:c>
      <x:c r="H74" s="83" t="str">
        <x:v>Con nucleare / senza nucleare</x:v>
      </x:c>
      <x:c r="I74" s="83" t="str">
        <x:v>Orario</x:v>
      </x:c>
      <x:c r="J74" s="83" t="str">
        <x:v>Zona da definire</x:v>
      </x:c>
      <x:c r="K74" s="83" t="str">
        <x:v>Nucleare</x:v>
      </x:c>
      <x:c r="L74" s="83" t="str">
        <x:v>Generator</x:v>
      </x:c>
      <x:c r="M74" s="83" t="str">
        <x:v>p_nom; p_max_pu; p_min_pu; marginal_cost; committable optional</x:v>
      </x:c>
      <x:c r="N74" s="83" t="str">
        <x:v>Asset scenario</x:v>
      </x:c>
      <x:c r="O74" s="83" t="str">
        <x:v>Sì nel ramo nucleare</x:v>
      </x:c>
      <x:c r="P74" s="83" t="str">
        <x:v>Sì</x:v>
      </x:c>
      <x:c r="Q74" s="83" t="str">
        <x:v>S07; S08</x:v>
      </x:c>
      <x:c r="R74" s="83" t="str">
        <x:v>Fonti tecniche esterne</x:v>
      </x:c>
      <x:c r="S74" s="83" t="str">
        <x:v>Mantenere scenario separato, non mediare.</x:v>
      </x:c>
      <x:c r="T74" s="83" t="str">
        <x:v>Parziale/decisione</x:v>
      </x:c>
      <x:c r="U74" s="83" t="str">
        <x:v>B-E</x:v>
      </x:c>
      <x:c r="V74" s="83" t="str">
        <x:v>D24</x:v>
      </x:c>
      <x:c r="W74" s="83" t="str">
        <x:v>Fase 3A/3D/4</x:v>
      </x:c>
      <x:c r="X74" s="83" t="str"/>
    </x:row>
    <x:row r="75">
      <x:c r="A75" s="83" t="str">
        <x:v>REQ-071</x:v>
      </x:c>
      <x:c r="B75" s="83" t="str">
        <x:v>Generazione</x:v>
      </x:c>
      <x:c r="C75" s="83" t="str">
        <x:v>Tecnologie 2050</x:v>
      </x:c>
      <x:c r="D75" s="83" t="str">
        <x:v>ccs_generation</x:v>
      </x:c>
      <x:c r="E75" s="83" t="str">
        <x:v>Capacità CCS, capture rate, penalty di efficienza e emissioni residue.</x:v>
      </x:c>
      <x:c r="F75" s="83" t="str">
        <x:v>MW; p.u.; tCO2/MWh</x:v>
      </x:c>
      <x:c r="G75" s="83" t="str">
        <x:v>2050</x:v>
      </x:c>
      <x:c r="H75" s="83" t="str">
        <x:v>Ramo CCS se selezionato</x:v>
      </x:c>
      <x:c r="I75" s="83" t="str">
        <x:v>Orario</x:v>
      </x:c>
      <x:c r="J75" s="83" t="str">
        <x:v>Zona</x:v>
      </x:c>
      <x:c r="K75" s="83" t="str">
        <x:v>CCGT/altro con CCS</x:v>
      </x:c>
      <x:c r="L75" s="83" t="str">
        <x:v>Generator or Link/Process</x:v>
      </x:c>
      <x:c r="M75" s="83" t="str">
        <x:v>p_nom; efficiency; marginal_cost; carrier emissions</x:v>
      </x:c>
      <x:c r="N75" s="83" t="str">
        <x:v>Asset scenario</x:v>
      </x:c>
      <x:c r="O75" s="83" t="str">
        <x:v>Solo se incluso</x:v>
      </x:c>
      <x:c r="P75" s="83" t="str">
        <x:v>Sì</x:v>
      </x:c>
      <x:c r="Q75" s="83" t="str">
        <x:v>S07; S08</x:v>
      </x:c>
      <x:c r="R75" s="83" t="str">
        <x:v>JRC/IEA/PyPSA-Eur</x:v>
      </x:c>
      <x:c r="S75" s="83" t="str">
        <x:v>Preferire componente coerente con perimetro CO2.</x:v>
      </x:c>
      <x:c r="T75" s="83" t="str">
        <x:v>Parziale/decisione</x:v>
      </x:c>
      <x:c r="U75" s="83" t="str">
        <x:v>C-E</x:v>
      </x:c>
      <x:c r="V75" s="83" t="str">
        <x:v>D25</x:v>
      </x:c>
      <x:c r="W75" s="83" t="str">
        <x:v>Fase 3D/4</x:v>
      </x:c>
      <x:c r="X75" s="83" t="str"/>
    </x:row>
    <x:row r="76">
      <x:c r="A76" s="83" t="str">
        <x:v>REQ-072</x:v>
      </x:c>
      <x:c r="B76" s="83" t="str">
        <x:v>Generazione</x:v>
      </x:c>
      <x:c r="C76" s="83" t="str">
        <x:v>Tecnologie 2050</x:v>
      </x:c>
      <x:c r="D76" s="83" t="str">
        <x:v>hydrogen_synthetic_fuel_generation</x:v>
      </x:c>
      <x:c r="E76" s="83" t="str">
        <x:v>Generazione da H₂ o combustibili sintetici e prezzo del vettore.</x:v>
      </x:c>
      <x:c r="F76" s="83" t="str">
        <x:v>MW; EUR/MWh_fuel</x:v>
      </x:c>
      <x:c r="G76" s="83" t="str">
        <x:v>2050</x:v>
      </x:c>
      <x:c r="H76" s="83" t="str">
        <x:v>Sensitività/ramo</x:v>
      </x:c>
      <x:c r="I76" s="83" t="str">
        <x:v>Orario</x:v>
      </x:c>
      <x:c r="J76" s="83" t="str">
        <x:v>Zona</x:v>
      </x:c>
      <x:c r="K76" s="83" t="str">
        <x:v>H2 turbine/fuel cell</x:v>
      </x:c>
      <x:c r="L76" s="83" t="str">
        <x:v>Generator or Link</x:v>
      </x:c>
      <x:c r="M76" s="83" t="str">
        <x:v>p_nom; efficiency; marginal_cost</x:v>
      </x:c>
      <x:c r="N76" s="83" t="str">
        <x:v>Asset scenario</x:v>
      </x:c>
      <x:c r="O76" s="83" t="str">
        <x:v>Solo se incluso</x:v>
      </x:c>
      <x:c r="P76" s="83" t="str">
        <x:v>Sì</x:v>
      </x:c>
      <x:c r="Q76" s="83" t="str">
        <x:v>S07; S08</x:v>
      </x:c>
      <x:c r="R76" s="83" t="str">
        <x:v>Strategia H2; PyPSA-Eur</x:v>
      </x:c>
      <x:c r="S76" s="83" t="str">
        <x:v>Evitare doppio conteggio con elettrolizzatori.</x:v>
      </x:c>
      <x:c r="T76" s="83" t="str">
        <x:v>Gap/decisione</x:v>
      </x:c>
      <x:c r="U76" s="83" t="str">
        <x:v>C-E</x:v>
      </x:c>
      <x:c r="V76" s="83" t="str">
        <x:v>D26</x:v>
      </x:c>
      <x:c r="W76" s="83" t="str">
        <x:v>Fase 3D/4</x:v>
      </x:c>
      <x:c r="X76" s="83" t="str"/>
    </x:row>
    <x:row r="77">
      <x:c r="A77" s="83" t="str">
        <x:v>REQ-073</x:v>
      </x:c>
      <x:c r="B77" s="83" t="str">
        <x:v>Generazione</x:v>
      </x:c>
      <x:c r="C77" s="83" t="str">
        <x:v>Offerte</x:v>
      </x:c>
      <x:c r="D77" s="83" t="str">
        <x:v>renewable_bid_costs</x:v>
      </x:c>
      <x:c r="E77" s="83" t="str">
        <x:v>Costo marginale/offerta di FER, inclusi eventuali incentivi o offerte negative.</x:v>
      </x:c>
      <x:c r="F77" s="83" t="str">
        <x:v>EUR/MWh</x:v>
      </x:c>
      <x:c r="G77" s="83" t="str">
        <x:v>2040; 2050</x:v>
      </x:c>
      <x:c r="H77" s="83" t="str">
        <x:v>Base e sensitivity</x:v>
      </x:c>
      <x:c r="I77" s="83" t="str">
        <x:v>Statico/serie</x:v>
      </x:c>
      <x:c r="J77" s="83" t="str">
        <x:v>Zona/tecnologia</x:v>
      </x:c>
      <x:c r="K77" s="83" t="str">
        <x:v>VRE; hydro; biomass</x:v>
      </x:c>
      <x:c r="L77" s="83" t="str">
        <x:v>Generator</x:v>
      </x:c>
      <x:c r="M77" s="83" t="str">
        <x:v>marginal_cost</x:v>
      </x:c>
      <x:c r="N77" s="83" t="str">
        <x:v>Valore/serie</x:v>
      </x:c>
      <x:c r="O77" s="83" t="str">
        <x:v>Sì</x:v>
      </x:c>
      <x:c r="P77" s="83" t="str">
        <x:v>Sì</x:v>
      </x:c>
      <x:c r="Q77" s="83" t="str">
        <x:v>S01/S07 contesto</x:v>
      </x:c>
      <x:c r="R77" s="83" t="str">
        <x:v>Regole di mercato/incentivi</x:v>
      </x:c>
      <x:c r="S77" s="83" t="str">
        <x:v>Default costo tecnico ~0; negative bids solo in sensitivity.</x:v>
      </x:c>
      <x:c r="T77" s="83" t="str">
        <x:v>Decisione proposta</x:v>
      </x:c>
      <x:c r="U77" s="83" t="str">
        <x:v>B-D</x:v>
      </x:c>
      <x:c r="V77" s="83" t="str">
        <x:v>D14</x:v>
      </x:c>
      <x:c r="W77" s="83" t="str">
        <x:v>Fase 3D/4</x:v>
      </x:c>
      <x:c r="X77" s="83" t="str"/>
    </x:row>
    <x:row r="78">
      <x:c r="A78" s="83" t="str">
        <x:v>REQ-074</x:v>
      </x:c>
      <x:c r="B78" s="83" t="str">
        <x:v>Idroelettrico</x:v>
      </x:c>
      <x:c r="C78" s="83" t="str">
        <x:v>Run-of-river</x:v>
      </x:c>
      <x:c r="D78" s="83" t="str">
        <x:v>ror_capacity</x:v>
      </x:c>
      <x:c r="E78" s="83" t="str">
        <x:v>Potenza degli impianti ad acqua fluente per zona.</x:v>
      </x:c>
      <x:c r="F78" s="83" t="str">
        <x:v>MW</x:v>
      </x:c>
      <x:c r="G78" s="83" t="str">
        <x:v>2040; 2050</x:v>
      </x:c>
      <x:c r="H78" s="83" t="str">
        <x:v>Tutti</x:v>
      </x:c>
      <x:c r="I78" s="83" t="str">
        <x:v>Statico</x:v>
      </x:c>
      <x:c r="J78" s="83" t="str">
        <x:v>Zona</x:v>
      </x:c>
      <x:c r="K78" s="83" t="str">
        <x:v>Run-of-river</x:v>
      </x:c>
      <x:c r="L78" s="83" t="str">
        <x:v>Generator</x:v>
      </x:c>
      <x:c r="M78" s="83" t="str">
        <x:v>p_nom</x:v>
      </x:c>
      <x:c r="N78" s="83" t="str">
        <x:v>Tabella zona</x:v>
      </x:c>
      <x:c r="O78" s="83" t="str">
        <x:v>Sì</x:v>
      </x:c>
      <x:c r="P78" s="83" t="str">
        <x:v>Sì</x:v>
      </x:c>
      <x:c r="Q78" s="83" t="str">
        <x:v>S01; S07; S08</x:v>
      </x:c>
      <x:c r="R78" s="83" t="str">
        <x:v>Gaudì/GSE</x:v>
      </x:c>
      <x:c r="S78" s="83" t="str">
        <x:v>Separare da serbatoio e pompaggio.</x:v>
      </x:c>
      <x:c r="T78" s="83" t="str">
        <x:v>Da estrarre</x:v>
      </x:c>
      <x:c r="U78" s="83" t="str">
        <x:v>A-C</x:v>
      </x:c>
      <x:c r="V78" s="83" t="str">
        <x:v>D15</x:v>
      </x:c>
      <x:c r="W78" s="83" t="str">
        <x:v>Fase 3B</x:v>
      </x:c>
      <x:c r="X78" s="83" t="str"/>
    </x:row>
    <x:row r="79">
      <x:c r="A79" s="83" t="str">
        <x:v>REQ-075</x:v>
      </x:c>
      <x:c r="B79" s="83" t="str">
        <x:v>Idroelettrico</x:v>
      </x:c>
      <x:c r="C79" s="83" t="str">
        <x:v>Run-of-river</x:v>
      </x:c>
      <x:c r="D79" s="83" t="str">
        <x:v>ror_inflow_profile</x:v>
      </x:c>
      <x:c r="E79" s="83" t="str">
        <x:v>Profilo orario di producibilità/inflow per acqua fluente.</x:v>
      </x:c>
      <x:c r="F79" s="83" t="str">
        <x:v>p.u. or MW</x:v>
      </x:c>
      <x:c r="G79" s="83" t="str">
        <x:v>2040; 2050</x:v>
      </x:c>
      <x:c r="H79" s="83" t="str">
        <x:v>Tutti</x:v>
      </x:c>
      <x:c r="I79" s="83" t="str">
        <x:v>Orario</x:v>
      </x:c>
      <x:c r="J79" s="83" t="str">
        <x:v>Zona</x:v>
      </x:c>
      <x:c r="K79" s="83" t="str">
        <x:v>Run-of-river</x:v>
      </x:c>
      <x:c r="L79" s="83" t="str">
        <x:v>Generator</x:v>
      </x:c>
      <x:c r="M79" s="83" t="str">
        <x:v>p_max_pu</x:v>
      </x:c>
      <x:c r="N79" s="83" t="str">
        <x:v>Serie temporale</x:v>
      </x:c>
      <x:c r="O79" s="83" t="str">
        <x:v>Sì</x:v>
      </x:c>
      <x:c r="P79" s="83" t="str">
        <x:v>Sì</x:v>
      </x:c>
      <x:c r="Q79" s="83" t="str">
        <x:v>PyPSA-Eur hydro; Terna historical</x:v>
      </x:c>
      <x:c r="R79" s="83" t="str">
        <x:v>ENTSO-E</x:v>
      </x:c>
      <x:c r="S79" s="83" t="str">
        <x:v>Profilo meteo-idrologico scalato.</x:v>
      </x:c>
      <x:c r="T79" s="83" t="str">
        <x:v>Gap esterno</x:v>
      </x:c>
      <x:c r="U79" s="83" t="str">
        <x:v>B-D</x:v>
      </x:c>
      <x:c r="V79" s="83" t="str">
        <x:v>D15</x:v>
      </x:c>
      <x:c r="W79" s="83" t="str">
        <x:v>Fase 3B/4</x:v>
      </x:c>
      <x:c r="X79" s="83" t="str"/>
    </x:row>
    <x:row r="80">
      <x:c r="A80" s="83" t="str">
        <x:v>REQ-076</x:v>
      </x:c>
      <x:c r="B80" s="83" t="str">
        <x:v>Idroelettrico</x:v>
      </x:c>
      <x:c r="C80" s="83" t="str">
        <x:v>Serbatoio</x:v>
      </x:c>
      <x:c r="D80" s="83" t="str">
        <x:v>reservoir_turbine_power</x:v>
      </x:c>
      <x:c r="E80" s="83" t="str">
        <x:v>Potenza di turbina degli impianti a serbatoio per zona.</x:v>
      </x:c>
      <x:c r="F80" s="83" t="str">
        <x:v>MW</x:v>
      </x:c>
      <x:c r="G80" s="83" t="str">
        <x:v>2040; 2050</x:v>
      </x:c>
      <x:c r="H80" s="83" t="str">
        <x:v>Tutti</x:v>
      </x:c>
      <x:c r="I80" s="83" t="str">
        <x:v>Statico</x:v>
      </x:c>
      <x:c r="J80" s="83" t="str">
        <x:v>Zona</x:v>
      </x:c>
      <x:c r="K80" s="83" t="str">
        <x:v>Hydro reservoir</x:v>
      </x:c>
      <x:c r="L80" s="83" t="str">
        <x:v>StorageUnit or Link</x:v>
      </x:c>
      <x:c r="M80" s="83" t="str">
        <x:v>p_nom</x:v>
      </x:c>
      <x:c r="N80" s="83" t="str">
        <x:v>Tabella zona</x:v>
      </x:c>
      <x:c r="O80" s="83" t="str">
        <x:v>Sì</x:v>
      </x:c>
      <x:c r="P80" s="83" t="str">
        <x:v>Sì</x:v>
      </x:c>
      <x:c r="Q80" s="83" t="str">
        <x:v>S01; S07; Gaudì</x:v>
      </x:c>
      <x:c r="R80" s="83" t="str">
        <x:v>PyPSA-Eur hydro</x:v>
      </x:c>
      <x:c r="S80" s="83" t="str">
        <x:v>Separare potenza da energia immagazzinabile.</x:v>
      </x:c>
      <x:c r="T80" s="83" t="str">
        <x:v>Parziale</x:v>
      </x:c>
      <x:c r="U80" s="83" t="str">
        <x:v>A-C</x:v>
      </x:c>
      <x:c r="V80" s="83" t="str">
        <x:v>D15</x:v>
      </x:c>
      <x:c r="W80" s="83" t="str">
        <x:v>Fase 3B</x:v>
      </x:c>
      <x:c r="X80" s="83" t="str"/>
    </x:row>
    <x:row r="81">
      <x:c r="A81" s="83" t="str">
        <x:v>REQ-077</x:v>
      </x:c>
      <x:c r="B81" s="83" t="str">
        <x:v>Idroelettrico</x:v>
      </x:c>
      <x:c r="C81" s="83" t="str">
        <x:v>Serbatoio</x:v>
      </x:c>
      <x:c r="D81" s="83" t="str">
        <x:v>reservoir_energy_capacity</x:v>
      </x:c>
      <x:c r="E81" s="83" t="str">
        <x:v>Energia utile del serbatoio o max_hours equivalente.</x:v>
      </x:c>
      <x:c r="F81" s="83" t="str">
        <x:v>MWh</x:v>
      </x:c>
      <x:c r="G81" s="83" t="str">
        <x:v>2040; 2050</x:v>
      </x:c>
      <x:c r="H81" s="83" t="str">
        <x:v>Tutti</x:v>
      </x:c>
      <x:c r="I81" s="83" t="str">
        <x:v>Statico</x:v>
      </x:c>
      <x:c r="J81" s="83" t="str">
        <x:v>Zona/impianto</x:v>
      </x:c>
      <x:c r="K81" s="83" t="str">
        <x:v>Hydro reservoir</x:v>
      </x:c>
      <x:c r="L81" s="83" t="str">
        <x:v>Store or StorageUnit</x:v>
      </x:c>
      <x:c r="M81" s="83" t="str">
        <x:v>e_nom or max_hours</x:v>
      </x:c>
      <x:c r="N81" s="83" t="str">
        <x:v>Valore energia</x:v>
      </x:c>
      <x:c r="O81" s="83" t="str">
        <x:v>Sì</x:v>
      </x:c>
      <x:c r="P81" s="83" t="str">
        <x:v>Sì</x:v>
      </x:c>
      <x:c r="Q81" s="83" t="str">
        <x:v>S07 se disponibile</x:v>
      </x:c>
      <x:c r="R81" s="83" t="str">
        <x:v>JRC/PyPSA-Eur hydro database</x:v>
      </x:c>
      <x:c r="S81" s="83" t="str">
        <x:v>Preferire e_nom se potenza/energia indipendenti.</x:v>
      </x:c>
      <x:c r="T81" s="83" t="str">
        <x:v>Critical gap — external hydro data</x:v>
      </x:c>
      <x:c r="U81" s="83" t="str">
        <x:v>B-D</x:v>
      </x:c>
      <x:c r="V81" s="83" t="str">
        <x:v>D15</x:v>
      </x:c>
      <x:c r="W81" s="83" t="str">
        <x:v>Fase 3B</x:v>
      </x:c>
      <x:c r="X81" s="83" t="str"/>
    </x:row>
    <x:row r="82">
      <x:c r="A82" s="83" t="str">
        <x:v>REQ-078</x:v>
      </x:c>
      <x:c r="B82" s="83" t="str">
        <x:v>Idroelettrico</x:v>
      </x:c>
      <x:c r="C82" s="83" t="str">
        <x:v>Serbatoio</x:v>
      </x:c>
      <x:c r="D82" s="83" t="str">
        <x:v>reservoir_inflow</x:v>
      </x:c>
      <x:c r="E82" s="83" t="str">
        <x:v>Inflow orario o mensile ai serbatoi.</x:v>
      </x:c>
      <x:c r="F82" s="83" t="str">
        <x:v>MW</x:v>
      </x:c>
      <x:c r="G82" s="83" t="str">
        <x:v>2040; 2050</x:v>
      </x:c>
      <x:c r="H82" s="83" t="str">
        <x:v>Tutti</x:v>
      </x:c>
      <x:c r="I82" s="83" t="str">
        <x:v>Orario/mensile</x:v>
      </x:c>
      <x:c r="J82" s="83" t="str">
        <x:v>Zona/impianto</x:v>
      </x:c>
      <x:c r="K82" s="83" t="str">
        <x:v>Hydro reservoir</x:v>
      </x:c>
      <x:c r="L82" s="83" t="str">
        <x:v>StorageUnit or auxiliary Generator/Load</x:v>
      </x:c>
      <x:c r="M82" s="83" t="str">
        <x:v>inflow</x:v>
      </x:c>
      <x:c r="N82" s="83" t="str">
        <x:v>Serie temporale</x:v>
      </x:c>
      <x:c r="O82" s="83" t="str">
        <x:v>Sì</x:v>
      </x:c>
      <x:c r="P82" s="83" t="str">
        <x:v>Sì</x:v>
      </x:c>
      <x:c r="Q82" s="83" t="str">
        <x:v>PyPSA-Eur hydro; Terna historical</x:v>
      </x:c>
      <x:c r="R82" s="83" t="str">
        <x:v>ENTSO-E/JRC</x:v>
      </x:c>
      <x:c r="S82" s="83" t="str">
        <x:v>Conservare energia annua e stagionalità.</x:v>
      </x:c>
      <x:c r="T82" s="83" t="str">
        <x:v>Critical gap — external time series</x:v>
      </x:c>
      <x:c r="U82" s="83" t="str">
        <x:v>B-D</x:v>
      </x:c>
      <x:c r="V82" s="83" t="str">
        <x:v>D15</x:v>
      </x:c>
      <x:c r="W82" s="83" t="str">
        <x:v>Fase 3B/4</x:v>
      </x:c>
      <x:c r="X82" s="83" t="str"/>
    </x:row>
    <x:row r="83">
      <x:c r="A83" s="83" t="str">
        <x:v>REQ-079</x:v>
      </x:c>
      <x:c r="B83" s="83" t="str">
        <x:v>Idroelettrico</x:v>
      </x:c>
      <x:c r="C83" s="83" t="str">
        <x:v>Serbatoio</x:v>
      </x:c>
      <x:c r="D83" s="83" t="str">
        <x:v>reservoir_initial_terminal_soc</x:v>
      </x:c>
      <x:c r="E83" s="83" t="str">
        <x:v>Stato iniziale e condizione finale/ciclica.</x:v>
      </x:c>
      <x:c r="F83" s="83" t="str">
        <x:v>MWh or p.u.</x:v>
      </x:c>
      <x:c r="G83" s="83" t="str">
        <x:v>2040; 2050</x:v>
      </x:c>
      <x:c r="H83" s="83" t="str">
        <x:v>Tutti</x:v>
      </x:c>
      <x:c r="I83" s="83" t="str">
        <x:v>Inizio/fine anno</x:v>
      </x:c>
      <x:c r="J83" s="83" t="str">
        <x:v>Zona/impianto</x:v>
      </x:c>
      <x:c r="K83" s="83" t="str">
        <x:v>Hydro reservoir; pumping</x:v>
      </x:c>
      <x:c r="L83" s="83" t="str">
        <x:v>Store/StorageUnit</x:v>
      </x:c>
      <x:c r="M83" s="83" t="str">
        <x:v>e_initial; e_cyclic; state_of_charge_initial; cyclic_state_of_charge</x:v>
      </x:c>
      <x:c r="N83" s="83" t="str">
        <x:v>Parametri</x:v>
      </x:c>
      <x:c r="O83" s="83" t="str">
        <x:v>Sì</x:v>
      </x:c>
      <x:c r="P83" s="83" t="str">
        <x:v>Sì</x:v>
      </x:c>
      <x:c r="Q83" s="83" t="str">
        <x:v>Terna historical se disponibile</x:v>
      </x:c>
      <x:c r="R83" s="83" t="str">
        <x:v>PyPSA docs</x:v>
      </x:c>
      <x:c r="S83" s="83" t="str">
        <x:v>Evitare uso gratuito dell'acqua iniziale.</x:v>
      </x:c>
      <x:c r="T83" s="83" t="str">
        <x:v>Decision open — cyclic/calibrated target</x:v>
      </x:c>
      <x:c r="U83" s="83" t="str">
        <x:v>B-D</x:v>
      </x:c>
      <x:c r="V83" s="83" t="str">
        <x:v>D16</x:v>
      </x:c>
      <x:c r="W83" s="83" t="str">
        <x:v>Fase 3B/4</x:v>
      </x:c>
      <x:c r="X83" s="83" t="str"/>
    </x:row>
    <x:row r="84">
      <x:c r="A84" s="83" t="str">
        <x:v>REQ-080</x:v>
      </x:c>
      <x:c r="B84" s="83" t="str">
        <x:v>Idroelettrico</x:v>
      </x:c>
      <x:c r="C84" s="83" t="str">
        <x:v>Serbatoio</x:v>
      </x:c>
      <x:c r="D84" s="83" t="str">
        <x:v>hydro_spillage</x:v>
      </x:c>
      <x:c r="E84" s="83" t="str">
        <x:v>Possibilità e output di spillage.</x:v>
      </x:c>
      <x:c r="F84" s="83" t="str">
        <x:v>MW/MWh</x:v>
      </x:c>
      <x:c r="G84" s="83" t="str">
        <x:v>2040; 2050</x:v>
      </x:c>
      <x:c r="H84" s="83" t="str">
        <x:v>Tutti</x:v>
      </x:c>
      <x:c r="I84" s="83" t="str">
        <x:v>Orario</x:v>
      </x:c>
      <x:c r="J84" s="83" t="str">
        <x:v>Zona/impianto</x:v>
      </x:c>
      <x:c r="K84" s="83" t="str">
        <x:v>Hydro reservoir</x:v>
      </x:c>
      <x:c r="L84" s="83" t="str">
        <x:v>StorageUnit</x:v>
      </x:c>
      <x:c r="M84" s="83" t="str">
        <x:v>spill</x:v>
      </x:c>
      <x:c r="N84" s="83" t="str">
        <x:v>Output/constraint</x:v>
      </x:c>
      <x:c r="O84" s="83" t="str">
        <x:v>Sì</x:v>
      </x:c>
      <x:c r="P84" s="83" t="str">
        <x:v>No</x:v>
      </x:c>
      <x:c r="Q84" s="83" t="str">
        <x:v>PyPSA docs</x:v>
      </x:c>
      <x:c r="R84" s="83" t="str">
        <x:v>Terna hydro</x:v>
      </x:c>
      <x:c r="S84" s="83" t="str">
        <x:v>Consentire spillage e validarlo.</x:v>
      </x:c>
      <x:c r="T84" s="83" t="str">
        <x:v>Definito concettualmente</x:v>
      </x:c>
      <x:c r="U84" s="83" t="str">
        <x:v>B</x:v>
      </x:c>
      <x:c r="V84" s="83" t="str">
        <x:v>D15</x:v>
      </x:c>
      <x:c r="W84" s="83" t="str">
        <x:v>Fase 3B/7</x:v>
      </x:c>
      <x:c r="X84" s="83" t="str"/>
    </x:row>
    <x:row r="85">
      <x:c r="A85" s="83" t="str">
        <x:v>REQ-081</x:v>
      </x:c>
      <x:c r="B85" s="83" t="str">
        <x:v>Idroelettrico</x:v>
      </x:c>
      <x:c r="C85" s="83" t="str">
        <x:v>Pompaggio</x:v>
      </x:c>
      <x:c r="D85" s="83" t="str">
        <x:v>pumped_hydro_power</x:v>
      </x:c>
      <x:c r="E85" s="83" t="str">
        <x:v>Potenza di generazione e pompaggio, anche asimmetriche.</x:v>
      </x:c>
      <x:c r="F85" s="83" t="str">
        <x:v>MW</x:v>
      </x:c>
      <x:c r="G85" s="83" t="str">
        <x:v>2040; 2050</x:v>
      </x:c>
      <x:c r="H85" s="83" t="str">
        <x:v>Tutti</x:v>
      </x:c>
      <x:c r="I85" s="83" t="str">
        <x:v>Statico</x:v>
      </x:c>
      <x:c r="J85" s="83" t="str">
        <x:v>Zona/impianto</x:v>
      </x:c>
      <x:c r="K85" s="83" t="str">
        <x:v>Pumped hydro</x:v>
      </x:c>
      <x:c r="L85" s="83" t="str">
        <x:v>StorageUnit or Links</x:v>
      </x:c>
      <x:c r="M85" s="83" t="str">
        <x:v>p_nom or separate p_nom</x:v>
      </x:c>
      <x:c r="N85" s="83" t="str">
        <x:v>Potenza charge/discharge</x:v>
      </x:c>
      <x:c r="O85" s="83" t="str">
        <x:v>Sì</x:v>
      </x:c>
      <x:c r="P85" s="83" t="str">
        <x:v>Sì</x:v>
      </x:c>
      <x:c r="Q85" s="83" t="str">
        <x:v>S01; S04; S07</x:v>
      </x:c>
      <x:c r="R85" s="83" t="str">
        <x:v>Gaudì/PyPSA-Eur</x:v>
      </x:c>
      <x:c r="S85" s="83" t="str">
        <x:v>Separare se rating asimmetrici.</x:v>
      </x:c>
      <x:c r="T85" s="83" t="str">
        <x:v>Extracted aggregate; zonal plant detail open</x:v>
      </x:c>
      <x:c r="U85" s="83" t="str">
        <x:v>A-C</x:v>
      </x:c>
      <x:c r="V85" s="83" t="str">
        <x:v>D15</x:v>
      </x:c>
      <x:c r="W85" s="83" t="str">
        <x:v>Fase 3B</x:v>
      </x:c>
      <x:c r="X85" s="83" t="str"/>
    </x:row>
    <x:row r="86">
      <x:c r="A86" s="83" t="str">
        <x:v>REQ-082</x:v>
      </x:c>
      <x:c r="B86" s="83" t="str">
        <x:v>Idroelettrico</x:v>
      </x:c>
      <x:c r="C86" s="83" t="str">
        <x:v>Pompaggio</x:v>
      </x:c>
      <x:c r="D86" s="83" t="str">
        <x:v>pumped_hydro_energy</x:v>
      </x:c>
      <x:c r="E86" s="83" t="str">
        <x:v>Capacità energetica utile del pompaggio.</x:v>
      </x:c>
      <x:c r="F86" s="83" t="str">
        <x:v>MWh</x:v>
      </x:c>
      <x:c r="G86" s="83" t="str">
        <x:v>2040; 2050</x:v>
      </x:c>
      <x:c r="H86" s="83" t="str">
        <x:v>Tutti</x:v>
      </x:c>
      <x:c r="I86" s="83" t="str">
        <x:v>Statico</x:v>
      </x:c>
      <x:c r="J86" s="83" t="str">
        <x:v>Zona/impianto</x:v>
      </x:c>
      <x:c r="K86" s="83" t="str">
        <x:v>Pumped hydro</x:v>
      </x:c>
      <x:c r="L86" s="83" t="str">
        <x:v>Store or StorageUnit</x:v>
      </x:c>
      <x:c r="M86" s="83" t="str">
        <x:v>e_nom or max_hours</x:v>
      </x:c>
      <x:c r="N86" s="83" t="str">
        <x:v>Energia</x:v>
      </x:c>
      <x:c r="O86" s="83" t="str">
        <x:v>Sì</x:v>
      </x:c>
      <x:c r="P86" s="83" t="str">
        <x:v>Sì</x:v>
      </x:c>
      <x:c r="Q86" s="83" t="str">
        <x:v>S01; S07</x:v>
      </x:c>
      <x:c r="R86" s="83" t="str">
        <x:v>Gaudì/PyPSA-Eur</x:v>
      </x:c>
      <x:c r="S86" s="83" t="str">
        <x:v>Non inferire da potenza senza durata documentata.</x:v>
      </x:c>
      <x:c r="T86" s="83" t="str">
        <x:v>Extracted aggregate; 53 GWh physical / 50 GWh DDS convention</x:v>
      </x:c>
      <x:c r="U86" s="83" t="str">
        <x:v>B-D</x:v>
      </x:c>
      <x:c r="V86" s="83" t="str">
        <x:v>D15</x:v>
      </x:c>
      <x:c r="W86" s="83" t="str">
        <x:v>Fase 3B</x:v>
      </x:c>
      <x:c r="X86" s="83" t="str"/>
    </x:row>
    <x:row r="87">
      <x:c r="A87" s="83" t="str">
        <x:v>REQ-083</x:v>
      </x:c>
      <x:c r="B87" s="83" t="str">
        <x:v>Idroelettrico</x:v>
      </x:c>
      <x:c r="C87" s="83" t="str">
        <x:v>Pompaggio</x:v>
      </x:c>
      <x:c r="D87" s="83" t="str">
        <x:v>pumped_hydro_efficiencies</x:v>
      </x:c>
      <x:c r="E87" s="83" t="str">
        <x:v>Efficienze di pompaggio e generazione.</x:v>
      </x:c>
      <x:c r="F87" s="83" t="str">
        <x:v>p.u.</x:v>
      </x:c>
      <x:c r="G87" s="83" t="str">
        <x:v>2040; 2050</x:v>
      </x:c>
      <x:c r="H87" s="83" t="str">
        <x:v>Tutti</x:v>
      </x:c>
      <x:c r="I87" s="83" t="str">
        <x:v>Statico</x:v>
      </x:c>
      <x:c r="J87" s="83" t="str">
        <x:v>Tecnologia/impianto</x:v>
      </x:c>
      <x:c r="K87" s="83" t="str">
        <x:v>Pumped hydro</x:v>
      </x:c>
      <x:c r="L87" s="83" t="str">
        <x:v>StorageUnit or Links</x:v>
      </x:c>
      <x:c r="M87" s="83" t="str">
        <x:v>efficiency_store; efficiency_dispatch; efficiency</x:v>
      </x:c>
      <x:c r="N87" s="83" t="str">
        <x:v>Parametri</x:v>
      </x:c>
      <x:c r="O87" s="83" t="str">
        <x:v>Sì</x:v>
      </x:c>
      <x:c r="P87" s="83" t="str">
        <x:v>Sì</x:v>
      </x:c>
      <x:c r="Q87" s="83" t="str">
        <x:v>S07/S01 se disponibili</x:v>
      </x:c>
      <x:c r="R87" s="83" t="str">
        <x:v>PyPSA technology-data/JRC</x:v>
      </x:c>
      <x:c r="S87" s="83" t="str">
        <x:v>Coerenza col round-trip.</x:v>
      </x:c>
      <x:c r="T87" s="83" t="str">
        <x:v>Gap — Phase 3D/4</x:v>
      </x:c>
      <x:c r="U87" s="83" t="str">
        <x:v>B-D</x:v>
      </x:c>
      <x:c r="V87" s="83" t="str">
        <x:v>D15</x:v>
      </x:c>
      <x:c r="W87" s="83" t="str">
        <x:v>Fase 3D</x:v>
      </x:c>
      <x:c r="X87" s="83" t="str"/>
    </x:row>
    <x:row r="88">
      <x:c r="A88" s="83" t="str">
        <x:v>REQ-084</x:v>
      </x:c>
      <x:c r="B88" s="83" t="str">
        <x:v>Idroelettrico</x:v>
      </x:c>
      <x:c r="C88" s="83" t="str">
        <x:v>Vincoli</x:v>
      </x:c>
      <x:c r="D88" s="83" t="str">
        <x:v>hydro_minimum_flows</x:v>
      </x:c>
      <x:c r="E88" s="83" t="str">
        <x:v>Vincoli ambientali o produzione minima.</x:v>
      </x:c>
      <x:c r="F88" s="83" t="str">
        <x:v>MW/MWh</x:v>
      </x:c>
      <x:c r="G88" s="83" t="str">
        <x:v>2040; 2050</x:v>
      </x:c>
      <x:c r="H88" s="83" t="str">
        <x:v>Tutti</x:v>
      </x:c>
      <x:c r="I88" s="83" t="str">
        <x:v>Orario/mensile</x:v>
      </x:c>
      <x:c r="J88" s="83" t="str">
        <x:v>Zona/impianto</x:v>
      </x:c>
      <x:c r="K88" s="83" t="str">
        <x:v>Hydro</x:v>
      </x:c>
      <x:c r="L88" s="83" t="str">
        <x:v>Generator/StorageUnit/custom</x:v>
      </x:c>
      <x:c r="M88" s="83" t="str">
        <x:v>p_min_pu or custom</x:v>
      </x:c>
      <x:c r="N88" s="83" t="str">
        <x:v>Serie/vincolo</x:v>
      </x:c>
      <x:c r="O88" s="83" t="str">
        <x:v>Opzionale</x:v>
      </x:c>
      <x:c r="P88" s="83" t="str">
        <x:v>Sì</x:v>
      </x:c>
      <x:c r="Q88" s="83" t="str">
        <x:v>Fonti idrologiche non nel corpus</x:v>
      </x:c>
      <x:c r="R88" s="83" t="str">
        <x:v>PyPSA hydro data</x:v>
      </x:c>
      <x:c r="S88" s="83" t="str">
        <x:v>Inserire solo se materialmente disponibile.</x:v>
      </x:c>
      <x:c r="T88" s="83" t="str">
        <x:v>Gap/fuori base</x:v>
      </x:c>
      <x:c r="U88" s="83" t="str">
        <x:v>D-E</x:v>
      </x:c>
      <x:c r="V88" s="83" t="str">
        <x:v>D15</x:v>
      </x:c>
      <x:c r="W88" s="83" t="str">
        <x:v>Fase 7</x:v>
      </x:c>
      <x:c r="X88" s="83" t="str"/>
    </x:row>
    <x:row r="89">
      <x:c r="A89" s="83" t="str">
        <x:v>REQ-085</x:v>
      </x:c>
      <x:c r="B89" s="83" t="str">
        <x:v>Idroelettrico</x:v>
      </x:c>
      <x:c r="C89" s="83" t="str">
        <x:v>Calibrazione</x:v>
      </x:c>
      <x:c r="D89" s="83" t="str">
        <x:v>annual_hydro_generation</x:v>
      </x:c>
      <x:c r="E89" s="83" t="str">
        <x:v>Produzione annua attesa per calibrare profili e inflow.</x:v>
      </x:c>
      <x:c r="F89" s="83" t="str">
        <x:v>MWh/year</x:v>
      </x:c>
      <x:c r="G89" s="83" t="str">
        <x:v>2040; 2050</x:v>
      </x:c>
      <x:c r="H89" s="83" t="str">
        <x:v>Tutti</x:v>
      </x:c>
      <x:c r="I89" s="83" t="str">
        <x:v>Annuale</x:v>
      </x:c>
      <x:c r="J89" s="83" t="str">
        <x:v>Zona/nazionale</x:v>
      </x:c>
      <x:c r="K89" s="83" t="str">
        <x:v>Hydro</x:v>
      </x:c>
      <x:c r="L89" s="83" t="str">
        <x:v>QA / Generator / Storage</x:v>
      </x:c>
      <x:c r="M89" s="83" t="str">
        <x:v>sum(p); e_sum constraints optional</x:v>
      </x:c>
      <x:c r="N89" s="83" t="str">
        <x:v>Target annuale</x:v>
      </x:c>
      <x:c r="O89" s="83" t="str">
        <x:v>Sì</x:v>
      </x:c>
      <x:c r="P89" s="83" t="str">
        <x:v>Sì</x:v>
      </x:c>
      <x:c r="Q89" s="83" t="str">
        <x:v>S01; S07; S08</x:v>
      </x:c>
      <x:c r="R89" s="83" t="str">
        <x:v>Terna/GSE</x:v>
      </x:c>
      <x:c r="S89" s="83" t="str">
        <x:v>Confronto con output senza forzare se meteo-specifico.</x:v>
      </x:c>
      <x:c r="T89" s="83" t="str">
        <x:v>Extracted historical and DDS scenario QA</x:v>
      </x:c>
      <x:c r="U89" s="83" t="str">
        <x:v>A-C</x:v>
      </x:c>
      <x:c r="V89" s="83" t="str">
        <x:v>D15</x:v>
      </x:c>
      <x:c r="W89" s="83" t="str">
        <x:v>Fase 3B/4</x:v>
      </x:c>
      <x:c r="X89" s="83" t="str"/>
    </x:row>
    <x:row r="90">
      <x:c r="A90" s="83" t="str">
        <x:v>REQ-086</x:v>
      </x:c>
      <x:c r="B90" s="83" t="str">
        <x:v>Accumuli</x:v>
      </x:c>
      <x:c r="C90" s="83" t="str">
        <x:v>Batterie</x:v>
      </x:c>
      <x:c r="D90" s="83" t="str">
        <x:v>battery_power_capacity</x:v>
      </x:c>
      <x:c r="E90" s="83" t="str">
        <x:v>Potenza di carica/scarica installata per zona e classe.</x:v>
      </x:c>
      <x:c r="F90" s="83" t="str">
        <x:v>MW</x:v>
      </x:c>
      <x:c r="G90" s="83" t="str">
        <x:v>2040; 2050</x:v>
      </x:c>
      <x:c r="H90" s="83" t="str">
        <x:v>Tutti</x:v>
      </x:c>
      <x:c r="I90" s="83" t="str">
        <x:v>Statico</x:v>
      </x:c>
      <x:c r="J90" s="83" t="str">
        <x:v>Zona</x:v>
      </x:c>
      <x:c r="K90" s="83" t="str">
        <x:v>BESS</x:v>
      </x:c>
      <x:c r="L90" s="83" t="str">
        <x:v>Links or StorageUnit</x:v>
      </x:c>
      <x:c r="M90" s="83" t="str">
        <x:v>p_nom</x:v>
      </x:c>
      <x:c r="N90" s="83" t="str">
        <x:v>Tabella zona-durata</x:v>
      </x:c>
      <x:c r="O90" s="83" t="str">
        <x:v>Sì</x:v>
      </x:c>
      <x:c r="P90" s="83" t="str">
        <x:v>Sì</x:v>
      </x:c>
      <x:c r="Q90" s="83" t="str">
        <x:v>S01; S04; S07; S08</x:v>
      </x:c>
      <x:c r="R90" s="83" t="str">
        <x:v>MACSE; Capacity Market</x:v>
      </x:c>
      <x:c r="S90" s="83" t="str">
        <x:v>Separare capacità operativa da pipeline.</x:v>
      </x:c>
      <x:c r="T90" s="83" t="str">
        <x:v>Partial — direct for history/2050 nuclear; derived for utility 8h; other classes open</x:v>
      </x:c>
      <x:c r="U90" s="83" t="str">
        <x:v>A-D</x:v>
      </x:c>
      <x:c r="V90" s="83" t="str">
        <x:v>D17</x:v>
      </x:c>
      <x:c r="W90" s="83" t="str">
        <x:v>Fase 3B</x:v>
      </x:c>
      <x:c r="X90" s="83" t="str"/>
    </x:row>
    <x:row r="91">
      <x:c r="A91" s="83" t="str">
        <x:v>REQ-087</x:v>
      </x:c>
      <x:c r="B91" s="83" t="str">
        <x:v>Accumuli</x:v>
      </x:c>
      <x:c r="C91" s="83" t="str">
        <x:v>Batterie</x:v>
      </x:c>
      <x:c r="D91" s="83" t="str">
        <x:v>battery_energy_capacity</x:v>
      </x:c>
      <x:c r="E91" s="83" t="str">
        <x:v>Capacità energetica installata per zona e classe.</x:v>
      </x:c>
      <x:c r="F91" s="83" t="str">
        <x:v>MWh</x:v>
      </x:c>
      <x:c r="G91" s="83" t="str">
        <x:v>2040; 2050</x:v>
      </x:c>
      <x:c r="H91" s="83" t="str">
        <x:v>Tutti</x:v>
      </x:c>
      <x:c r="I91" s="83" t="str">
        <x:v>Statico</x:v>
      </x:c>
      <x:c r="J91" s="83" t="str">
        <x:v>Zona</x:v>
      </x:c>
      <x:c r="K91" s="83" t="str">
        <x:v>BESS</x:v>
      </x:c>
      <x:c r="L91" s="83" t="str">
        <x:v>Store or StorageUnit</x:v>
      </x:c>
      <x:c r="M91" s="83" t="str">
        <x:v>e_nom or max_hours</x:v>
      </x:c>
      <x:c r="N91" s="83" t="str">
        <x:v>Tabella zona-durata</x:v>
      </x:c>
      <x:c r="O91" s="83" t="str">
        <x:v>Sì</x:v>
      </x:c>
      <x:c r="P91" s="83" t="str">
        <x:v>Sì</x:v>
      </x:c>
      <x:c r="Q91" s="83" t="str">
        <x:v>S01; S04; S07; S08</x:v>
      </x:c>
      <x:c r="R91" s="83" t="str">
        <x:v>MACSE</x:v>
      </x:c>
      <x:c r="S91" s="83" t="str">
        <x:v>Preferire dato MWh esplicito.</x:v>
      </x:c>
      <x:c r="T91" s="83" t="str">
        <x:v>Extracted — national and zonal DDS; 2050 national</x:v>
      </x:c>
      <x:c r="U91" s="83" t="str">
        <x:v>A-D</x:v>
      </x:c>
      <x:c r="V91" s="83" t="str">
        <x:v>D17</x:v>
      </x:c>
      <x:c r="W91" s="83" t="str">
        <x:v>Fase 3B</x:v>
      </x:c>
      <x:c r="X91" s="83" t="str"/>
    </x:row>
    <x:row r="92">
      <x:c r="A92" s="83" t="str">
        <x:v>REQ-088</x:v>
      </x:c>
      <x:c r="B92" s="83" t="str">
        <x:v>Accumuli</x:v>
      </x:c>
      <x:c r="C92" s="83" t="str">
        <x:v>Batterie</x:v>
      </x:c>
      <x:c r="D92" s="83" t="str">
        <x:v>battery_duration_classes</x:v>
      </x:c>
      <x:c r="E92" s="83" t="str">
        <x:v>Classi di durata e rapporto energia/potenza.</x:v>
      </x:c>
      <x:c r="F92" s="83" t="str">
        <x:v>hours</x:v>
      </x:c>
      <x:c r="G92" s="83" t="str">
        <x:v>2040; 2050</x:v>
      </x:c>
      <x:c r="H92" s="83" t="str">
        <x:v>Tutti</x:v>
      </x:c>
      <x:c r="I92" s="83" t="str">
        <x:v>Statico</x:v>
      </x:c>
      <x:c r="J92" s="83" t="str">
        <x:v>Zona/tecnologia</x:v>
      </x:c>
      <x:c r="K92" s="83" t="str">
        <x:v>BESS</x:v>
      </x:c>
      <x:c r="L92" s="83" t="str">
        <x:v>StorageUnit or Store+Links</x:v>
      </x:c>
      <x:c r="M92" s="83" t="str">
        <x:v>max_hours or e_nom/p_nom</x:v>
      </x:c>
      <x:c r="N92" s="83" t="str">
        <x:v>Categorie</x:v>
      </x:c>
      <x:c r="O92" s="83" t="str">
        <x:v>Sì</x:v>
      </x:c>
      <x:c r="P92" s="83" t="str">
        <x:v>Sì</x:v>
      </x:c>
      <x:c r="Q92" s="83" t="str">
        <x:v>S04; S07; MACSE</x:v>
      </x:c>
      <x:c r="R92" s="83" t="str">
        <x:v>Technology data</x:v>
      </x:c>
      <x:c r="S92" s="83" t="str">
        <x:v>Non aggregare durate materialmente diverse.</x:v>
      </x:c>
      <x:c r="T92" s="83" t="str">
        <x:v>Extracted — small 2/4h, utility 8h; CM open</x:v>
      </x:c>
      <x:c r="U92" s="83" t="str">
        <x:v>A-D</x:v>
      </x:c>
      <x:c r="V92" s="83" t="str">
        <x:v>D18</x:v>
      </x:c>
      <x:c r="W92" s="83" t="str">
        <x:v>Fase 3B</x:v>
      </x:c>
      <x:c r="X92" s="83" t="str"/>
    </x:row>
    <x:row r="93">
      <x:c r="A93" s="83" t="str">
        <x:v>REQ-089</x:v>
      </x:c>
      <x:c r="B93" s="83" t="str">
        <x:v>Accumuli</x:v>
      </x:c>
      <x:c r="C93" s="83" t="str">
        <x:v>Batterie</x:v>
      </x:c>
      <x:c r="D93" s="83" t="str">
        <x:v>battery_charge_discharge_efficiency</x:v>
      </x:c>
      <x:c r="E93" s="83" t="str">
        <x:v>Efficienza di carica e scarica.</x:v>
      </x:c>
      <x:c r="F93" s="83" t="str">
        <x:v>p.u.</x:v>
      </x:c>
      <x:c r="G93" s="83" t="str">
        <x:v>2040; 2050</x:v>
      </x:c>
      <x:c r="H93" s="83" t="str">
        <x:v>Tutti</x:v>
      </x:c>
      <x:c r="I93" s="83" t="str">
        <x:v>Statico</x:v>
      </x:c>
      <x:c r="J93" s="83" t="str">
        <x:v>Tecnologia/classe</x:v>
      </x:c>
      <x:c r="K93" s="83" t="str">
        <x:v>BESS</x:v>
      </x:c>
      <x:c r="L93" s="83" t="str">
        <x:v>Links or StorageUnit</x:v>
      </x:c>
      <x:c r="M93" s="83" t="str">
        <x:v>efficiency; efficiency_store; efficiency_dispatch</x:v>
      </x:c>
      <x:c r="N93" s="83" t="str">
        <x:v>Parametri</x:v>
      </x:c>
      <x:c r="O93" s="83" t="str">
        <x:v>Sì</x:v>
      </x:c>
      <x:c r="P93" s="83" t="str">
        <x:v>Sì</x:v>
      </x:c>
      <x:c r="Q93" s="83" t="str">
        <x:v>S07 se disponibile</x:v>
      </x:c>
      <x:c r="R93" s="83" t="str">
        <x:v>PyPSA technology-data/DEA</x:v>
      </x:c>
      <x:c r="S93" s="83" t="str">
        <x:v>Coerente con round-trip.</x:v>
      </x:c>
      <x:c r="T93" s="83" t="str">
        <x:v>Partial — internal calibration plus external candidates; pin/model mapping required</x:v>
      </x:c>
      <x:c r="U93" s="83" t="str">
        <x:v>B-D</x:v>
      </x:c>
      <x:c r="V93" s="83" t="str">
        <x:v>D17</x:v>
      </x:c>
      <x:c r="W93" s="83" t="str">
        <x:v>Fase 3D</x:v>
      </x:c>
      <x:c r="X93" s="83" t="str">
        <x:v>Phase 3D evidence incorporated</x:v>
      </x:c>
    </x:row>
    <x:row r="94">
      <x:c r="A94" s="83" t="str">
        <x:v>REQ-090</x:v>
      </x:c>
      <x:c r="B94" s="83" t="str">
        <x:v>Accumuli</x:v>
      </x:c>
      <x:c r="C94" s="83" t="str">
        <x:v>Batterie</x:v>
      </x:c>
      <x:c r="D94" s="83" t="str">
        <x:v>battery_standing_loss</x:v>
      </x:c>
      <x:c r="E94" s="83" t="str">
        <x:v>Perdita oraria dello stato di carica.</x:v>
      </x:c>
      <x:c r="F94" s="83" t="str">
        <x:v>p.u./hour</x:v>
      </x:c>
      <x:c r="G94" s="83" t="str">
        <x:v>2040; 2050</x:v>
      </x:c>
      <x:c r="H94" s="83" t="str">
        <x:v>Tutti</x:v>
      </x:c>
      <x:c r="I94" s="83" t="str">
        <x:v>Statico</x:v>
      </x:c>
      <x:c r="J94" s="83" t="str">
        <x:v>Tecnologia</x:v>
      </x:c>
      <x:c r="K94" s="83" t="str">
        <x:v>BESS</x:v>
      </x:c>
      <x:c r="L94" s="83" t="str">
        <x:v>Store/StorageUnit</x:v>
      </x:c>
      <x:c r="M94" s="83" t="str">
        <x:v>standing_loss</x:v>
      </x:c>
      <x:c r="N94" s="83" t="str">
        <x:v>Parametro</x:v>
      </x:c>
      <x:c r="O94" s="83" t="str">
        <x:v>Desiderabile</x:v>
      </x:c>
      <x:c r="P94" s="83" t="str">
        <x:v>Sì</x:v>
      </x:c>
      <x:c r="Q94" s="83" t="str">
        <x:v>S07 se disponibile</x:v>
      </x:c>
      <x:c r="R94" s="83" t="str">
        <x:v>PyPSA technology-data</x:v>
      </x:c>
      <x:c r="S94" s="83" t="str">
        <x:v>Convertire da self-discharge giornaliero se necessario.</x:v>
      </x:c>
      <x:c r="T94" s="83" t="str">
        <x:v>Gap — Phase 3D technical source</x:v>
      </x:c>
      <x:c r="U94" s="83" t="str">
        <x:v>C-D</x:v>
      </x:c>
      <x:c r="V94" s="83" t="str">
        <x:v>D17</x:v>
      </x:c>
      <x:c r="W94" s="83" t="str">
        <x:v>Fase 3D</x:v>
      </x:c>
      <x:c r="X94" s="83" t="str"/>
    </x:row>
    <x:row r="95">
      <x:c r="A95" s="83" t="str">
        <x:v>REQ-091</x:v>
      </x:c>
      <x:c r="B95" s="83" t="str">
        <x:v>Accumuli</x:v>
      </x:c>
      <x:c r="C95" s="83" t="str">
        <x:v>Stato di carica</x:v>
      </x:c>
      <x:c r="D95" s="83" t="str">
        <x:v>battery_initial_terminal_soc</x:v>
      </x:c>
      <x:c r="E95" s="83" t="str">
        <x:v>SOC iniziale e condizione ciclica/finale.</x:v>
      </x:c>
      <x:c r="F95" s="83" t="str">
        <x:v>MWh or p.u.</x:v>
      </x:c>
      <x:c r="G95" s="83" t="str">
        <x:v>2040; 2050</x:v>
      </x:c>
      <x:c r="H95" s="83" t="str">
        <x:v>Tutti</x:v>
      </x:c>
      <x:c r="I95" s="83" t="str">
        <x:v>Inizio/fine anno</x:v>
      </x:c>
      <x:c r="J95" s="83" t="str">
        <x:v>Zona/classe</x:v>
      </x:c>
      <x:c r="K95" s="83" t="str">
        <x:v>BESS</x:v>
      </x:c>
      <x:c r="L95" s="83" t="str">
        <x:v>Store/StorageUnit</x:v>
      </x:c>
      <x:c r="M95" s="83" t="str">
        <x:v>e_initial/e_cyclic; state_of_charge_initial/cyclic_state_of_charge</x:v>
      </x:c>
      <x:c r="N95" s="83" t="str">
        <x:v>Parametri</x:v>
      </x:c>
      <x:c r="O95" s="83" t="str">
        <x:v>Sì</x:v>
      </x:c>
      <x:c r="P95" s="83" t="str">
        <x:v>Sì</x:v>
      </x:c>
      <x:c r="Q95" s="83" t="str">
        <x:v>PyPSA docs</x:v>
      </x:c>
      <x:c r="R95" s="83" t="str">
        <x:v>Historical operation</x:v>
      </x:c>
      <x:c r="S95" s="83" t="str">
        <x:v>Default ciclico per anno completo.</x:v>
      </x:c>
      <x:c r="T95" s="83" t="str">
        <x:v>Decisione proposta</x:v>
      </x:c>
      <x:c r="U95" s="83" t="str">
        <x:v>B</x:v>
      </x:c>
      <x:c r="V95" s="83" t="str">
        <x:v>D18</x:v>
      </x:c>
      <x:c r="W95" s="83" t="str">
        <x:v>Fase 4</x:v>
      </x:c>
      <x:c r="X95" s="83" t="str"/>
    </x:row>
    <x:row r="96">
      <x:c r="A96" s="83" t="str">
        <x:v>REQ-092</x:v>
      </x:c>
      <x:c r="B96" s="83" t="str">
        <x:v>Accumuli</x:v>
      </x:c>
      <x:c r="C96" s="83" t="str">
        <x:v>Costi operativi</x:v>
      </x:c>
      <x:c r="D96" s="83" t="str">
        <x:v>storage_marginal_cost</x:v>
      </x:c>
      <x:c r="E96" s="83" t="str">
        <x:v>Costo variabile di scarica/ciclo.</x:v>
      </x:c>
      <x:c r="F96" s="83" t="str">
        <x:v>EUR/MWh</x:v>
      </x:c>
      <x:c r="G96" s="83" t="str">
        <x:v>2040; 2050</x:v>
      </x:c>
      <x:c r="H96" s="83" t="str">
        <x:v>Tutti</x:v>
      </x:c>
      <x:c r="I96" s="83" t="str">
        <x:v>Statico</x:v>
      </x:c>
      <x:c r="J96" s="83" t="str">
        <x:v>Tecnologia</x:v>
      </x:c>
      <x:c r="K96" s="83" t="str">
        <x:v>BESS; hydro storage</x:v>
      </x:c>
      <x:c r="L96" s="83" t="str">
        <x:v>Store/StorageUnit/Link</x:v>
      </x:c>
      <x:c r="M96" s="83" t="str">
        <x:v>marginal_cost</x:v>
      </x:c>
      <x:c r="N96" s="83" t="str">
        <x:v>Parametro</x:v>
      </x:c>
      <x:c r="O96" s="83" t="str">
        <x:v>Sì</x:v>
      </x:c>
      <x:c r="P96" s="83" t="str">
        <x:v>Sì</x:v>
      </x:c>
      <x:c r="Q96" s="83" t="str">
        <x:v>S07 se disponibile</x:v>
      </x:c>
      <x:c r="R96" s="83" t="str">
        <x:v>PyPSA technology-data</x:v>
      </x:c>
      <x:c r="S96" s="83" t="str">
        <x:v>Attenzione: Store applica costo a carica e scarica; StorageUnit allo scarico.</x:v>
      </x:c>
      <x:c r="T96" s="83" t="str">
        <x:v>Gap</x:v>
      </x:c>
      <x:c r="U96" s="83" t="str">
        <x:v>B-D</x:v>
      </x:c>
      <x:c r="V96" s="83" t="str">
        <x:v>D17</x:v>
      </x:c>
      <x:c r="W96" s="83" t="str">
        <x:v>Fase 3D</x:v>
      </x:c>
      <x:c r="X96" s="83" t="str"/>
    </x:row>
    <x:row r="97">
      <x:c r="A97" s="83" t="str">
        <x:v>REQ-093</x:v>
      </x:c>
      <x:c r="B97" s="83" t="str">
        <x:v>Accumuli</x:v>
      </x:c>
      <x:c r="C97" s="83" t="str">
        <x:v>Disponibilità</x:v>
      </x:c>
      <x:c r="D97" s="83" t="str">
        <x:v>storage_availability</x:v>
      </x:c>
      <x:c r="E97" s="83" t="str">
        <x:v>Disponibilità operativa e indisponibilità.</x:v>
      </x:c>
      <x:c r="F97" s="83" t="str">
        <x:v>p.u.</x:v>
      </x:c>
      <x:c r="G97" s="83" t="str">
        <x:v>2040; 2050</x:v>
      </x:c>
      <x:c r="H97" s="83" t="str">
        <x:v>Tutti</x:v>
      </x:c>
      <x:c r="I97" s="83" t="str">
        <x:v>Orario/statico</x:v>
      </x:c>
      <x:c r="J97" s="83" t="str">
        <x:v>Zona/classe</x:v>
      </x:c>
      <x:c r="K97" s="83" t="str">
        <x:v>BESS; pumping</x:v>
      </x:c>
      <x:c r="L97" s="83" t="str">
        <x:v>Link/StorageUnit</x:v>
      </x:c>
      <x:c r="M97" s="83" t="str">
        <x:v>p_max_pu; active</x:v>
      </x:c>
      <x:c r="N97" s="83" t="str">
        <x:v>Fattore/serie</x:v>
      </x:c>
      <x:c r="O97" s="83" t="str">
        <x:v>Desiderabile</x:v>
      </x:c>
      <x:c r="P97" s="83" t="str">
        <x:v>Sì</x:v>
      </x:c>
      <x:c r="Q97" s="83" t="str">
        <x:v>MACSE/technical data</x:v>
      </x:c>
      <x:c r="R97" s="83" t="str">
        <x:v>Historical availability</x:v>
      </x:c>
      <x:c r="S97" s="83" t="str">
        <x:v>Applicare derating documentato.</x:v>
      </x:c>
      <x:c r="T97" s="83" t="str">
        <x:v>External gap — Phase 4 / UC sensitivity</x:v>
      </x:c>
      <x:c r="U97" s="83" t="str">
        <x:v>C-D</x:v>
      </x:c>
      <x:c r="V97" s="83" t="str">
        <x:v>D11</x:v>
      </x:c>
      <x:c r="W97" s="83" t="str">
        <x:v>Fase 3D/4</x:v>
      </x:c>
      <x:c r="X97" s="83" t="str">
        <x:v>Phase 3D evidence incorporated</x:v>
      </x:c>
    </x:row>
    <x:row r="98">
      <x:c r="A98" s="83" t="str">
        <x:v>REQ-094</x:v>
      </x:c>
      <x:c r="B98" s="83" t="str">
        <x:v>Accumuli</x:v>
      </x:c>
      <x:c r="C98" s="83" t="str">
        <x:v>Rappresentazione</x:v>
      </x:c>
      <x:c r="D98" s="83" t="str">
        <x:v>battery_component_architecture</x:v>
      </x:c>
      <x:c r="E98" s="83" t="str">
        <x:v>Scelta tra StorageUnit e Store con Link separati.</x:v>
      </x:c>
      <x:c r="F98" s="83" t="str">
        <x:v>text</x:v>
      </x:c>
      <x:c r="G98" s="83" t="str">
        <x:v>2040; 2050</x:v>
      </x:c>
      <x:c r="H98" s="83" t="str">
        <x:v>Tutti</x:v>
      </x:c>
      <x:c r="I98" s="83" t="str">
        <x:v>Statico</x:v>
      </x:c>
      <x:c r="J98" s="83" t="str">
        <x:v>Zona/classe</x:v>
      </x:c>
      <x:c r="K98" s="83" t="str">
        <x:v>BESS</x:v>
      </x:c>
      <x:c r="L98" s="83" t="str">
        <x:v>Store + Links (default)</x:v>
      </x:c>
      <x:c r="M98" s="83" t="str">
        <x:v>e_nom; Link.p_nom; efficiencies</x:v>
      </x:c>
      <x:c r="N98" s="83" t="str">
        <x:v>Design model</x:v>
      </x:c>
      <x:c r="O98" s="83" t="str">
        <x:v>Sì</x:v>
      </x:c>
      <x:c r="P98" s="83" t="str">
        <x:v>Sì</x:v>
      </x:c>
      <x:c r="Q98" s="83" t="str">
        <x:v>Dati MW/MWh delle fonti</x:v>
      </x:c>
      <x:c r="R98" s="83" t="str">
        <x:v>PyPSA official docs</x:v>
      </x:c>
      <x:c r="S98" s="83" t="str">
        <x:v>Default Store+Links per potenza ed energia indipendenti.</x:v>
      </x:c>
      <x:c r="T98" s="83" t="str">
        <x:v>Decisione proposta</x:v>
      </x:c>
      <x:c r="U98" s="83" t="str">
        <x:v>A</x:v>
      </x:c>
      <x:c r="V98" s="83" t="str">
        <x:v>D17</x:v>
      </x:c>
      <x:c r="W98" s="83" t="str">
        <x:v>Prima della Fase 3B</x:v>
      </x:c>
      <x:c r="X98" s="83" t="str"/>
    </x:row>
    <x:row r="99">
      <x:c r="A99" s="83" t="str">
        <x:v>REQ-095</x:v>
      </x:c>
      <x:c r="B99" s="83" t="str">
        <x:v>Accumuli</x:v>
      </x:c>
      <x:c r="C99" s="83" t="str">
        <x:v>Rappresentazione</x:v>
      </x:c>
      <x:c r="D99" s="83" t="str">
        <x:v>storage_technology_classes</x:v>
      </x:c>
      <x:c r="E99" s="83" t="str">
        <x:v>Separazione per tecnologia/durata/contratto.</x:v>
      </x:c>
      <x:c r="F99" s="83" t="str">
        <x:v>mapping</x:v>
      </x:c>
      <x:c r="G99" s="83" t="str">
        <x:v>2040; 2050</x:v>
      </x:c>
      <x:c r="H99" s="83" t="str">
        <x:v>Tutti</x:v>
      </x:c>
      <x:c r="I99" s="83" t="str">
        <x:v>Statico</x:v>
      </x:c>
      <x:c r="J99" s="83" t="str">
        <x:v>Zona</x:v>
      </x:c>
      <x:c r="K99" s="83" t="str">
        <x:v>Li-ion; long-duration; pumping; other</x:v>
      </x:c>
      <x:c r="L99" s="83" t="str">
        <x:v>Store/StorageUnit/Links</x:v>
      </x:c>
      <x:c r="M99" s="83" t="str">
        <x:v>carrier; name</x:v>
      </x:c>
      <x:c r="N99" s="83" t="str">
        <x:v>Tassonomia</x:v>
      </x:c>
      <x:c r="O99" s="83" t="str">
        <x:v>Sì</x:v>
      </x:c>
      <x:c r="P99" s="83" t="str">
        <x:v>Sì</x:v>
      </x:c>
      <x:c r="Q99" s="83" t="str">
        <x:v>S07; MACSE</x:v>
      </x:c>
      <x:c r="R99" s="83" t="str">
        <x:v>Technology data</x:v>
      </x:c>
      <x:c r="S99" s="83" t="str">
        <x:v>Classi con efficienza/durata differente.</x:v>
      </x:c>
      <x:c r="T99" s="83" t="str">
        <x:v>Da costruire</x:v>
      </x:c>
      <x:c r="U99" s="83" t="str">
        <x:v>A-C</x:v>
      </x:c>
      <x:c r="V99" s="83" t="str">
        <x:v>D18</x:v>
      </x:c>
      <x:c r="W99" s="83" t="str">
        <x:v>Fase 3B</x:v>
      </x:c>
      <x:c r="X99" s="83" t="str"/>
    </x:row>
    <x:row r="100">
      <x:c r="A100" s="83" t="str">
        <x:v>REQ-096</x:v>
      </x:c>
      <x:c r="B100" s="83" t="str">
        <x:v>Accumuli</x:v>
      </x:c>
      <x:c r="C100" s="83" t="str">
        <x:v>Status</x:v>
      </x:c>
      <x:c r="D100" s="83" t="str">
        <x:v>macse_capacity_market_treatment</x:v>
      </x:c>
      <x:c r="E100" s="83" t="str">
        <x:v>Trattamento di capacità target, assegnata o solo prevista da MACSE/Capacity Market.</x:v>
      </x:c>
      <x:c r="F100" s="83" t="str">
        <x:v>status/year</x:v>
      </x:c>
      <x:c r="G100" s="83" t="str">
        <x:v>2040; 2050</x:v>
      </x:c>
      <x:c r="H100" s="83" t="str">
        <x:v>Tutti</x:v>
      </x:c>
      <x:c r="I100" s="83" t="str">
        <x:v>Statico</x:v>
      </x:c>
      <x:c r="J100" s="83" t="str">
        <x:v>Zona/asset</x:v>
      </x:c>
      <x:c r="K100" s="83" t="str">
        <x:v>Storage; thermal</x:v>
      </x:c>
      <x:c r="L100" s="83" t="str">
        <x:v>Generator/Store/Link</x:v>
      </x:c>
      <x:c r="M100" s="83" t="str">
        <x:v>active; build_year; p_nom/e_nom</x:v>
      </x:c>
      <x:c r="N100" s="83" t="str">
        <x:v>Registro maturità</x:v>
      </x:c>
      <x:c r="O100" s="83" t="str">
        <x:v>Sì</x:v>
      </x:c>
      <x:c r="P100" s="83" t="str">
        <x:v>Sì</x:v>
      </x:c>
      <x:c r="Q100" s="83" t="str">
        <x:v>MACSE; Capacity Market; S04</x:v>
      </x:c>
      <x:c r="R100" s="83" t="str">
        <x:v>Terna auction results</x:v>
      </x:c>
      <x:c r="S100" s="83" t="str">
        <x:v>Includere solo secondo regola di maturità scenario.</x:v>
      </x:c>
      <x:c r="T100" s="83" t="str">
        <x:v>Gap documenti</x:v>
      </x:c>
      <x:c r="U100" s="83" t="str">
        <x:v>A-D</x:v>
      </x:c>
      <x:c r="V100" s="83" t="str">
        <x:v>D19</x:v>
      </x:c>
      <x:c r="W100" s="83" t="str">
        <x:v>Fase 3B/4</x:v>
      </x:c>
      <x:c r="X100" s="83" t="str"/>
    </x:row>
    <x:row r="101">
      <x:c r="A101" s="83" t="str">
        <x:v>REQ-097</x:v>
      </x:c>
      <x:c r="B101" s="83" t="str">
        <x:v>Accumuli</x:v>
      </x:c>
      <x:c r="C101" s="83" t="str">
        <x:v>Degrado</x:v>
      </x:c>
      <x:c r="D101" s="83" t="str">
        <x:v>cycle_or_degradation_limit</x:v>
      </x:c>
      <x:c r="E101" s="83" t="str">
        <x:v>Limite di cicli o costo di degradazione.</x:v>
      </x:c>
      <x:c r="F101" s="83" t="str">
        <x:v>cycles/year; EUR/MWh</x:v>
      </x:c>
      <x:c r="G101" s="83" t="str">
        <x:v>2040; 2050</x:v>
      </x:c>
      <x:c r="H101" s="83" t="str">
        <x:v>Sensitività</x:v>
      </x:c>
      <x:c r="I101" s="83" t="str">
        <x:v>Orario/annuale</x:v>
      </x:c>
      <x:c r="J101" s="83" t="str">
        <x:v>Zona/classe</x:v>
      </x:c>
      <x:c r="K101" s="83" t="str">
        <x:v>BESS</x:v>
      </x:c>
      <x:c r="L101" s="83" t="str">
        <x:v>Store/Link/custom</x:v>
      </x:c>
      <x:c r="M101" s="83" t="str">
        <x:v>marginal_cost; custom energy throughput</x:v>
      </x:c>
      <x:c r="N101" s="83" t="str">
        <x:v>Parametro/vincolo</x:v>
      </x:c>
      <x:c r="O101" s="83" t="str">
        <x:v>Opzionale</x:v>
      </x:c>
      <x:c r="P101" s="83" t="str">
        <x:v>Sì</x:v>
      </x:c>
      <x:c r="Q101" s="83" t="str">
        <x:v>Fonti tecnologiche esterne</x:v>
      </x:c>
      <x:c r="R101" s="83" t="str">
        <x:v>PyPSA custom constraint</x:v>
      </x:c>
      <x:c r="S101" s="83" t="str">
        <x:v>Escludere dal base se dati non robusti.</x:v>
      </x:c>
      <x:c r="T101" s="83" t="str">
        <x:v>Gap/fuori base</x:v>
      </x:c>
      <x:c r="U101" s="83" t="str">
        <x:v>D-E</x:v>
      </x:c>
      <x:c r="V101" s="83" t="str">
        <x:v>D18</x:v>
      </x:c>
      <x:c r="W101" s="83" t="str">
        <x:v>Fase 7</x:v>
      </x:c>
      <x:c r="X101" s="83" t="str"/>
    </x:row>
    <x:row r="102">
      <x:c r="A102" s="83" t="str">
        <x:v>REQ-098</x:v>
      </x:c>
      <x:c r="B102" s="83" t="str">
        <x:v>Trasmissione</x:v>
      </x:c>
      <x:c r="C102" s="83" t="str">
        <x:v>Interzonale</x:v>
      </x:c>
      <x:c r="D102" s="83" t="str">
        <x:v>interzonal_transfer_capacity</x:v>
      </x:c>
      <x:c r="E102" s="83" t="str">
        <x:v>Capacità di scambio tra zone, distinta per direzione.</x:v>
      </x:c>
      <x:c r="F102" s="83" t="str">
        <x:v>MW</x:v>
      </x:c>
      <x:c r="G102" s="83" t="str">
        <x:v>2040; 2050</x:v>
      </x:c>
      <x:c r="H102" s="83" t="str">
        <x:v>Tutti</x:v>
      </x:c>
      <x:c r="I102" s="83" t="str">
        <x:v>Statico o time series</x:v>
      </x:c>
      <x:c r="J102" s="83" t="str">
        <x:v>Coppia di zone</x:v>
      </x:c>
      <x:c r="K102" s="83" t="str">
        <x:v>Interzonali</x:v>
      </x:c>
      <x:c r="L102" s="83" t="str">
        <x:v>Link</x:v>
      </x:c>
      <x:c r="M102" s="83" t="str">
        <x:v>p_nom; p_min_pu; p_max_pu</x:v>
      </x:c>
      <x:c r="N102" s="83" t="str">
        <x:v>Edge list direzionale</x:v>
      </x:c>
      <x:c r="O102" s="83" t="str">
        <x:v>Sì</x:v>
      </x:c>
      <x:c r="P102" s="83" t="str">
        <x:v>Sì</x:v>
      </x:c>
      <x:c r="Q102" s="83" t="str">
        <x:v>S03; S05; S01</x:v>
      </x:c>
      <x:c r="R102" s="83" t="str">
        <x:v>Terna NTC/limiti di transito</x:v>
      </x:c>
      <x:c r="S102" s="83" t="str">
        <x:v>Usare capacità di mercato, non sola capacità nominale progetto.</x:v>
      </x:c>
      <x:c r="T102" s="83" t="str">
        <x:v>Extracted — directional 2024/2030/2035/2040; PDS 2025 primary</x:v>
      </x:c>
      <x:c r="U102" s="83" t="str">
        <x:v>A-D</x:v>
      </x:c>
      <x:c r="V102" s="83" t="str">
        <x:v>D20</x:v>
      </x:c>
      <x:c r="W102" s="83" t="str">
        <x:v>Fase 3C</x:v>
      </x:c>
      <x:c r="X102" s="83" t="str">
        <x:v>Phase 3C evidence incorporated</x:v>
      </x:c>
    </x:row>
    <x:row r="103">
      <x:c r="A103" s="83" t="str">
        <x:v>REQ-099</x:v>
      </x:c>
      <x:c r="B103" s="83" t="str">
        <x:v>Trasmissione</x:v>
      </x:c>
      <x:c r="C103" s="83" t="str">
        <x:v>Interzonale</x:v>
      </x:c>
      <x:c r="D103" s="83" t="str">
        <x:v>seasonal_timevarying_ntc</x:v>
      </x:c>
      <x:c r="E103" s="83" t="str">
        <x:v>Variazione stagionale/oraria dei limiti di transito.</x:v>
      </x:c>
      <x:c r="F103" s="83" t="str">
        <x:v>MW</x:v>
      </x:c>
      <x:c r="G103" s="83" t="str">
        <x:v>2040; 2050</x:v>
      </x:c>
      <x:c r="H103" s="83" t="str">
        <x:v>Tutti</x:v>
      </x:c>
      <x:c r="I103" s="83" t="str">
        <x:v>Stagionale/orario</x:v>
      </x:c>
      <x:c r="J103" s="83" t="str">
        <x:v>Coppia di zone</x:v>
      </x:c>
      <x:c r="K103" s="83" t="str">
        <x:v>Interzonali</x:v>
      </x:c>
      <x:c r="L103" s="83" t="str">
        <x:v>Link</x:v>
      </x:c>
      <x:c r="M103" s="83" t="str">
        <x:v>p_max_pu; p_min_pu or p_nom_t custom</x:v>
      </x:c>
      <x:c r="N103" s="83" t="str">
        <x:v>Serie limiti</x:v>
      </x:c>
      <x:c r="O103" s="83" t="str">
        <x:v>Sì se disponibile</x:v>
      </x:c>
      <x:c r="P103" s="83" t="str">
        <x:v>Sì</x:v>
      </x:c>
      <x:c r="Q103" s="83" t="str">
        <x:v>S01 limiti 2024; Terna NTC</x:v>
      </x:c>
      <x:c r="R103" s="83" t="str">
        <x:v>S03/S05</x:v>
      </x:c>
      <x:c r="S103" s="83" t="str">
        <x:v>Statico annuale solo se non disponibile una serie.</x:v>
      </x:c>
      <x:c r="T103" s="83" t="str">
        <x:v>Extracted — directional 2024/2030/2035/2040; PDS 2025 primary</x:v>
      </x:c>
      <x:c r="U103" s="83" t="str">
        <x:v>A-C</x:v>
      </x:c>
      <x:c r="V103" s="83" t="str">
        <x:v>D21</x:v>
      </x:c>
      <x:c r="W103" s="83" t="str">
        <x:v>Fase 3C/4</x:v>
      </x:c>
      <x:c r="X103" s="83" t="str">
        <x:v>Phase 3C evidence incorporated</x:v>
      </x:c>
    </x:row>
    <x:row r="104">
      <x:c r="A104" s="83" t="str">
        <x:v>REQ-100</x:v>
      </x:c>
      <x:c r="B104" s="83" t="str">
        <x:v>Trasmissione</x:v>
      </x:c>
      <x:c r="C104" s="83" t="str">
        <x:v>Progetti</x:v>
      </x:c>
      <x:c r="D104" s="83" t="str">
        <x:v>project_commissioning_status</x:v>
      </x:c>
      <x:c r="E104" s="83" t="str">
        <x:v>Anno di entrata in servizio e maturità degli interventi.</x:v>
      </x:c>
      <x:c r="F104" s="83" t="str">
        <x:v>year/status</x:v>
      </x:c>
      <x:c r="G104" s="83" t="str">
        <x:v>2040; 2050</x:v>
      </x:c>
      <x:c r="H104" s="83" t="str">
        <x:v>Base e conservative</x:v>
      </x:c>
      <x:c r="I104" s="83" t="str">
        <x:v>Statico</x:v>
      </x:c>
      <x:c r="J104" s="83" t="str">
        <x:v>Corridoio/progetto</x:v>
      </x:c>
      <x:c r="K104" s="83" t="str">
        <x:v>AC/HVDC</x:v>
      </x:c>
      <x:c r="L104" s="83" t="str">
        <x:v>Link</x:v>
      </x:c>
      <x:c r="M104" s="83" t="str">
        <x:v>active; build_year; p_nom</x:v>
      </x:c>
      <x:c r="N104" s="83" t="str">
        <x:v>Registro progetti</x:v>
      </x:c>
      <x:c r="O104" s="83" t="str">
        <x:v>Sì</x:v>
      </x:c>
      <x:c r="P104" s="83" t="str">
        <x:v>Sì</x:v>
      </x:c>
      <x:c r="Q104" s="83" t="str">
        <x:v>S05; S03; S02</x:v>
      </x:c>
      <x:c r="R104" s="83" t="str">
        <x:v>TYNDP/PCI</x:v>
      </x:c>
      <x:c r="S104" s="83" t="str">
        <x:v>Regole di inclusione per base e sensitivity.</x:v>
      </x:c>
      <x:c r="T104" s="83" t="str">
        <x:v>Da estrarre</x:v>
      </x:c>
      <x:c r="U104" s="83" t="str">
        <x:v>A-D</x:v>
      </x:c>
      <x:c r="V104" s="83" t="str">
        <x:v>D22</x:v>
      </x:c>
      <x:c r="W104" s="83" t="str">
        <x:v>Fase 3C/4</x:v>
      </x:c>
      <x:c r="X104" s="83" t="str"/>
    </x:row>
    <x:row r="105">
      <x:c r="A105" s="83" t="str">
        <x:v>REQ-101</x:v>
      </x:c>
      <x:c r="B105" s="83" t="str">
        <x:v>Trasmissione</x:v>
      </x:c>
      <x:c r="C105" s="83" t="str">
        <x:v>Direzionalità</x:v>
      </x:c>
      <x:c r="D105" s="83" t="str">
        <x:v>bidirectional_asymmetric_links</x:v>
      </x:c>
      <x:c r="E105" s="83" t="str">
        <x:v>Rappresentazione di limiti simmetrici o asimmetrici.</x:v>
      </x:c>
      <x:c r="F105" s="83" t="str">
        <x:v>p.u./MW</x:v>
      </x:c>
      <x:c r="G105" s="83" t="str">
        <x:v>2040; 2050</x:v>
      </x:c>
      <x:c r="H105" s="83" t="str">
        <x:v>Tutti</x:v>
      </x:c>
      <x:c r="I105" s="83" t="str">
        <x:v>Statico/time series</x:v>
      </x:c>
      <x:c r="J105" s="83" t="str">
        <x:v>Coppia di zone</x:v>
      </x:c>
      <x:c r="K105" s="83" t="str">
        <x:v>Interzonali; HVDC</x:v>
      </x:c>
      <x:c r="L105" s="83" t="str">
        <x:v>Link</x:v>
      </x:c>
      <x:c r="M105" s="83" t="str">
        <x:v>p_min_pu; p_max_pu; separate Links</x:v>
      </x:c>
      <x:c r="N105" s="83" t="str">
        <x:v>Design edge</x:v>
      </x:c>
      <x:c r="O105" s="83" t="str">
        <x:v>Sì</x:v>
      </x:c>
      <x:c r="P105" s="83" t="str">
        <x:v>Sì</x:v>
      </x:c>
      <x:c r="Q105" s="83" t="str">
        <x:v>Terna NTC</x:v>
      </x:c>
      <x:c r="R105" s="83" t="str">
        <x:v>PyPSA official docs</x:v>
      </x:c>
      <x:c r="S105" s="83" t="str">
        <x:v>Un Link con p_min_pu&lt;0 se simmetrico; due Link se asimmetrico.</x:v>
      </x:c>
      <x:c r="T105" s="83" t="str">
        <x:v>Decisione proposta</x:v>
      </x:c>
      <x:c r="U105" s="83" t="str">
        <x:v>A</x:v>
      </x:c>
      <x:c r="V105" s="83" t="str">
        <x:v>D21</x:v>
      </x:c>
      <x:c r="W105" s="83" t="str">
        <x:v>Fase 3C</x:v>
      </x:c>
      <x:c r="X105" s="83" t="str"/>
    </x:row>
    <x:row r="106">
      <x:c r="A106" s="83" t="str">
        <x:v>REQ-102</x:v>
      </x:c>
      <x:c r="B106" s="83" t="str">
        <x:v>Trasmissione</x:v>
      </x:c>
      <x:c r="C106" s="83" t="str">
        <x:v>Perdite</x:v>
      </x:c>
      <x:c r="D106" s="83" t="str">
        <x:v>link_transfer_efficiency</x:v>
      </x:c>
      <x:c r="E106" s="83" t="str">
        <x:v>Perdite di trasmissione applicate ai corridoi.</x:v>
      </x:c>
      <x:c r="F106" s="83" t="str">
        <x:v>p.u.</x:v>
      </x:c>
      <x:c r="G106" s="83" t="str">
        <x:v>2040; 2050</x:v>
      </x:c>
      <x:c r="H106" s="83" t="str">
        <x:v>Tutti</x:v>
      </x:c>
      <x:c r="I106" s="83" t="str">
        <x:v>Statico/time series</x:v>
      </x:c>
      <x:c r="J106" s="83" t="str">
        <x:v>Corridoio</x:v>
      </x:c>
      <x:c r="K106" s="83" t="str">
        <x:v>AC aggregate; HVDC</x:v>
      </x:c>
      <x:c r="L106" s="83" t="str">
        <x:v>Link</x:v>
      </x:c>
      <x:c r="M106" s="83" t="str">
        <x:v>efficiency</x:v>
      </x:c>
      <x:c r="N106" s="83" t="str">
        <x:v>Parametro</x:v>
      </x:c>
      <x:c r="O106" s="83" t="str">
        <x:v>Desiderabile</x:v>
      </x:c>
      <x:c r="P106" s="83" t="str">
        <x:v>Sì</x:v>
      </x:c>
      <x:c r="Q106" s="83" t="str">
        <x:v>S03 perdite; S05 caratteristiche</x:v>
      </x:c>
      <x:c r="R106" s="83" t="str">
        <x:v>PyPSA-Eur</x:v>
      </x:c>
      <x:c r="S106" s="83" t="str">
        <x:v>Applicare solo se non già incluse nella domanda.</x:v>
      </x:c>
      <x:c r="T106" s="83" t="str">
        <x:v>Partial — internal calibration plus external candidates; pin/model mapping required</x:v>
      </x:c>
      <x:c r="U106" s="83" t="str">
        <x:v>B-D</x:v>
      </x:c>
      <x:c r="V106" s="83" t="str">
        <x:v>D23</x:v>
      </x:c>
      <x:c r="W106" s="83" t="str">
        <x:v>Fase 3C/4</x:v>
      </x:c>
      <x:c r="X106" s="83" t="str">
        <x:v>Phase 3D evidence incorporated</x:v>
      </x:c>
    </x:row>
    <x:row r="107">
      <x:c r="A107" s="83" t="str">
        <x:v>REQ-103</x:v>
      </x:c>
      <x:c r="B107" s="83" t="str">
        <x:v>Trasmissione</x:v>
      </x:c>
      <x:c r="C107" s="83" t="str">
        <x:v>Disponibilità</x:v>
      </x:c>
      <x:c r="D107" s="83" t="str">
        <x:v>link_availability_outages</x:v>
      </x:c>
      <x:c r="E107" s="83" t="str">
        <x:v>Disponibilità e indisponibilità dei corridoi.</x:v>
      </x:c>
      <x:c r="F107" s="83" t="str">
        <x:v>p.u.</x:v>
      </x:c>
      <x:c r="G107" s="83" t="str">
        <x:v>2040; 2050</x:v>
      </x:c>
      <x:c r="H107" s="83" t="str">
        <x:v>Sensitività</x:v>
      </x:c>
      <x:c r="I107" s="83" t="str">
        <x:v>Orario/statico</x:v>
      </x:c>
      <x:c r="J107" s="83" t="str">
        <x:v>Corridoio</x:v>
      </x:c>
      <x:c r="K107" s="83" t="str">
        <x:v>Interzonali/interconnector</x:v>
      </x:c>
      <x:c r="L107" s="83" t="str">
        <x:v>Link</x:v>
      </x:c>
      <x:c r="M107" s="83" t="str">
        <x:v>p_max_pu; p_min_pu; active</x:v>
      </x:c>
      <x:c r="N107" s="83" t="str">
        <x:v>Serie/fattore</x:v>
      </x:c>
      <x:c r="O107" s="83" t="str">
        <x:v>Opzionale</x:v>
      </x:c>
      <x:c r="P107" s="83" t="str">
        <x:v>Sì</x:v>
      </x:c>
      <x:c r="Q107" s="83" t="str">
        <x:v>Terna outage/NTC</x:v>
      </x:c>
      <x:c r="R107" s="83" t="str">
        <x:v>ENTSO-E</x:v>
      </x:c>
      <x:c r="S107" s="83" t="str">
        <x:v>Base con capacità normale; sensitivity N-1/outage.</x:v>
      </x:c>
      <x:c r="T107" s="83" t="str">
        <x:v>External gap — Phase 4 / UC sensitivity</x:v>
      </x:c>
      <x:c r="U107" s="83" t="str">
        <x:v>C-D</x:v>
      </x:c>
      <x:c r="V107" s="83" t="str">
        <x:v>D22</x:v>
      </x:c>
      <x:c r="W107" s="83" t="str">
        <x:v>Fase 4/7</x:v>
      </x:c>
      <x:c r="X107" s="83" t="str">
        <x:v>Phase 3D evidence incorporated</x:v>
      </x:c>
    </x:row>
    <x:row r="108">
      <x:c r="A108" s="83" t="str">
        <x:v>REQ-104</x:v>
      </x:c>
      <x:c r="B108" s="83" t="str">
        <x:v>Trasmissione</x:v>
      </x:c>
      <x:c r="C108" s="83" t="str">
        <x:v>Frontiere</x:v>
      </x:c>
      <x:c r="D108" s="83" t="str">
        <x:v>foreign_interconnector_capacity</x:v>
      </x:c>
      <x:c r="E108" s="83" t="str">
        <x:v>Capacità di import/export con ogni sistema estero.</x:v>
      </x:c>
      <x:c r="F108" s="83" t="str">
        <x:v>MW</x:v>
      </x:c>
      <x:c r="G108" s="83" t="str">
        <x:v>2040; 2050</x:v>
      </x:c>
      <x:c r="H108" s="83" t="str">
        <x:v>Tutti</x:v>
      </x:c>
      <x:c r="I108" s="83" t="str">
        <x:v>Statico/time series</x:v>
      </x:c>
      <x:c r="J108" s="83" t="str">
        <x:v>Frontiera</x:v>
      </x:c>
      <x:c r="K108" s="83" t="str">
        <x:v>Interconnector</x:v>
      </x:c>
      <x:c r="L108" s="83" t="str">
        <x:v>Link</x:v>
      </x:c>
      <x:c r="M108" s="83" t="str">
        <x:v>p_nom; p_min_pu; p_max_pu</x:v>
      </x:c>
      <x:c r="N108" s="83" t="str">
        <x:v>Edge list</x:v>
      </x:c>
      <x:c r="O108" s="83" t="str">
        <x:v>Sì</x:v>
      </x:c>
      <x:c r="P108" s="83" t="str">
        <x:v>Sì</x:v>
      </x:c>
      <x:c r="Q108" s="83" t="str">
        <x:v>S03; S05; S08; S01</x:v>
      </x:c>
      <x:c r="R108" s="83" t="str">
        <x:v>TYNDP/NTC</x:v>
      </x:c>
      <x:c r="S108" s="83" t="str">
        <x:v>Distinguere progetto nominale e capacità mercato.</x:v>
      </x:c>
      <x:c r="T108" s="83" t="str">
        <x:v>Da estrarre/riconciliare</x:v>
      </x:c>
      <x:c r="U108" s="83" t="str">
        <x:v>A-D</x:v>
      </x:c>
      <x:c r="V108" s="83" t="str">
        <x:v>D20</x:v>
      </x:c>
      <x:c r="W108" s="83" t="str">
        <x:v>Fase 3C</x:v>
      </x:c>
      <x:c r="X108" s="83" t="str"/>
    </x:row>
    <x:row r="109">
      <x:c r="A109" s="83" t="str">
        <x:v>REQ-105</x:v>
      </x:c>
      <x:c r="B109" s="83" t="str">
        <x:v>Trasmissione</x:v>
      </x:c>
      <x:c r="C109" s="83" t="str">
        <x:v>Varianti</x:v>
      </x:c>
      <x:c r="D109" s="83" t="str">
        <x:v>grid_scenario_variant</x:v>
      </x:c>
      <x:c r="E109" s="83" t="str">
        <x:v>Variante Base/Conservative/High Grid.</x:v>
      </x:c>
      <x:c r="F109" s="83" t="str">
        <x:v>category</x:v>
      </x:c>
      <x:c r="G109" s="83" t="str">
        <x:v>2040; 2050</x:v>
      </x:c>
      <x:c r="H109" s="83" t="str">
        <x:v>Sensitività</x:v>
      </x:c>
      <x:c r="I109" s="83" t="str">
        <x:v>Statico</x:v>
      </x:c>
      <x:c r="J109" s="83" t="str">
        <x:v>Sistema</x:v>
      </x:c>
      <x:c r="K109" s="83" t="str">
        <x:v>Rete</x:v>
      </x:c>
      <x:c r="L109" s="83" t="str">
        <x:v>Config / Link</x:v>
      </x:c>
      <x:c r="M109" s="83" t="str">
        <x:v>p_nom; active</x:v>
      </x:c>
      <x:c r="N109" s="83" t="str">
        <x:v>Scenario override</x:v>
      </x:c>
      <x:c r="O109" s="83" t="str">
        <x:v>Sì</x:v>
      </x:c>
      <x:c r="P109" s="83" t="str">
        <x:v>Sì</x:v>
      </x:c>
      <x:c r="Q109" s="83" t="str">
        <x:v>S03; S05</x:v>
      </x:c>
      <x:c r="R109" s="83" t="str">
        <x:v>TYNDP</x:v>
      </x:c>
      <x:c r="S109" s="83" t="str">
        <x:v>Applicare differenze solo su progetti/capacità documentate.</x:v>
      </x:c>
      <x:c r="T109" s="83" t="str">
        <x:v>Definito nel piano</x:v>
      </x:c>
      <x:c r="U109" s="83" t="str">
        <x:v>A-C</x:v>
      </x:c>
      <x:c r="V109" s="83" t="str">
        <x:v>D22</x:v>
      </x:c>
      <x:c r="W109" s="83" t="str">
        <x:v>Fase 4</x:v>
      </x:c>
      <x:c r="X109" s="83" t="str"/>
    </x:row>
    <x:row r="110">
      <x:c r="A110" s="83" t="str">
        <x:v>REQ-106</x:v>
      </x:c>
      <x:c r="B110" s="83" t="str">
        <x:v>Trasmissione</x:v>
      </x:c>
      <x:c r="C110" s="83" t="str">
        <x:v>Formulazione</x:v>
      </x:c>
      <x:c r="D110" s="83" t="str">
        <x:v>transport_vs_ac_network</x:v>
      </x:c>
      <x:c r="E110" s="83" t="str">
        <x:v>Scelta tra modello di trasporto zonale e rete AC/DC nodale.</x:v>
      </x:c>
      <x:c r="F110" s="83" t="str">
        <x:v>text</x:v>
      </x:c>
      <x:c r="G110" s="83" t="str">
        <x:v>2040; 2050</x:v>
      </x:c>
      <x:c r="H110" s="83" t="str">
        <x:v>Base e sensitivity</x:v>
      </x:c>
      <x:c r="I110" s="83" t="str">
        <x:v>Statico</x:v>
      </x:c>
      <x:c r="J110" s="83" t="str">
        <x:v>Italia/Europa</x:v>
      </x:c>
      <x:c r="K110" s="83" t="str">
        <x:v>Rete</x:v>
      </x:c>
      <x:c r="L110" s="83" t="str">
        <x:v>Link (base) / Line (sensitivity)</x:v>
      </x:c>
      <x:c r="M110" s="83" t="str">
        <x:v>p_nom or s_nom; x; r</x:v>
      </x:c>
      <x:c r="N110" s="83" t="str">
        <x:v>Design model</x:v>
      </x:c>
      <x:c r="O110" s="83" t="str">
        <x:v>Sì</x:v>
      </x:c>
      <x:c r="P110" s="83" t="str">
        <x:v>Sì</x:v>
      </x:c>
      <x:c r="Q110" s="83" t="str">
        <x:v>Obiettivo prezzi MGP; dati Terna zonali</x:v>
      </x:c>
      <x:c r="R110" s="83" t="str">
        <x:v>PyPSA/PyPSA-Eur</x:v>
      </x:c>
      <x:c r="S110" s="83" t="str">
        <x:v>Default: transport model zonale con Link controllabili.</x:v>
      </x:c>
      <x:c r="T110" s="83" t="str">
        <x:v>Decisione proposta</x:v>
      </x:c>
      <x:c r="U110" s="83" t="str">
        <x:v>A</x:v>
      </x:c>
      <x:c r="V110" s="83" t="str">
        <x:v>D01</x:v>
      </x:c>
      <x:c r="W110" s="83" t="str">
        <x:v>Prima della Fase 3C</x:v>
      </x:c>
      <x:c r="X110" s="83" t="str"/>
    </x:row>
    <x:row r="111">
      <x:c r="A111" s="83" t="str">
        <x:v>REQ-107</x:v>
      </x:c>
      <x:c r="B111" s="83" t="str">
        <x:v>Trasmissione</x:v>
      </x:c>
      <x:c r="C111" s="83" t="str">
        <x:v>Definizioni</x:v>
      </x:c>
      <x:c r="D111" s="83" t="str">
        <x:v>nominal_vs_market_capacity</x:v>
      </x:c>
      <x:c r="E111" s="83" t="str">
        <x:v>Classificazione tra rating fisico, incremento progetto, target capacity e limite di mercato.</x:v>
      </x:c>
      <x:c r="F111" s="83" t="str">
        <x:v>MW/type</x:v>
      </x:c>
      <x:c r="G111" s="83" t="str">
        <x:v>2040; 2050</x:v>
      </x:c>
      <x:c r="H111" s="83" t="str">
        <x:v>Tutti</x:v>
      </x:c>
      <x:c r="I111" s="83" t="str">
        <x:v>Statico</x:v>
      </x:c>
      <x:c r="J111" s="83" t="str">
        <x:v>Corridoio</x:v>
      </x:c>
      <x:c r="K111" s="83" t="str">
        <x:v>Rete</x:v>
      </x:c>
      <x:c r="L111" s="83" t="str">
        <x:v>Preprocessing / Link</x:v>
      </x:c>
      <x:c r="M111" s="83" t="str">
        <x:v>p_nom selection</x:v>
      </x:c>
      <x:c r="N111" s="83" t="str">
        <x:v>Registro riconciliazione</x:v>
      </x:c>
      <x:c r="O111" s="83" t="str">
        <x:v>Sì</x:v>
      </x:c>
      <x:c r="P111" s="83" t="str">
        <x:v>Sì</x:v>
      </x:c>
      <x:c r="Q111" s="83" t="str">
        <x:v>S03; S05; S01</x:v>
      </x:c>
      <x:c r="R111" s="83" t="str">
        <x:v>Terna NTC</x:v>
      </x:c>
      <x:c r="S111" s="83" t="str">
        <x:v>Non sostituire automaticamente l'una all'altra.</x:v>
      </x:c>
      <x:c r="T111" s="83" t="str">
        <x:v>Gap di riconciliazione</x:v>
      </x:c>
      <x:c r="U111" s="83" t="str">
        <x:v>A-D</x:v>
      </x:c>
      <x:c r="V111" s="83" t="str">
        <x:v>D20</x:v>
      </x:c>
      <x:c r="W111" s="83" t="str">
        <x:v>Fase 3C/4</x:v>
      </x:c>
      <x:c r="X111" s="83" t="str"/>
    </x:row>
    <x:row r="112">
      <x:c r="A112" s="83" t="str">
        <x:v>REQ-108</x:v>
      </x:c>
      <x:c r="B112" s="83" t="str">
        <x:v>Trasmissione</x:v>
      </x:c>
      <x:c r="C112" s="83" t="str">
        <x:v>Output</x:v>
      </x:c>
      <x:c r="D112" s="83" t="str">
        <x:v>flows_congestion_rents</x:v>
      </x:c>
      <x:c r="E112" s="83" t="str">
        <x:v>Flussi, saturazione, ore di congestione e rendite.</x:v>
      </x:c>
      <x:c r="F112" s="83" t="str">
        <x:v>MW; MWh; EUR</x:v>
      </x:c>
      <x:c r="G112" s="83" t="str">
        <x:v>2040; 2050</x:v>
      </x:c>
      <x:c r="H112" s="83" t="str">
        <x:v>Tutti</x:v>
      </x:c>
      <x:c r="I112" s="83" t="str">
        <x:v>Orario/annuale</x:v>
      </x:c>
      <x:c r="J112" s="83" t="str">
        <x:v>Corridoio</x:v>
      </x:c>
      <x:c r="K112" s="83" t="str">
        <x:v>Rete</x:v>
      </x:c>
      <x:c r="L112" s="83" t="str">
        <x:v>Link output</x:v>
      </x:c>
      <x:c r="M112" s="83" t="str">
        <x:v>p0; p1; mu_upper/lower</x:v>
      </x:c>
      <x:c r="N112" s="83" t="str">
        <x:v>Output</x:v>
      </x:c>
      <x:c r="O112" s="83" t="str">
        <x:v>Sì</x:v>
      </x:c>
      <x:c r="P112" s="83" t="str">
        <x:v>No</x:v>
      </x:c>
      <x:c r="Q112" s="83" t="str">
        <x:v>PyPSA outputs</x:v>
      </x:c>
      <x:c r="R112" s="83" t="str">
        <x:v>S03 per validazione</x:v>
      </x:c>
      <x:c r="S112" s="83" t="str">
        <x:v>Post-processing.</x:v>
      </x:c>
      <x:c r="T112" s="83" t="str">
        <x:v>Definito concettualmente</x:v>
      </x:c>
      <x:c r="U112" s="83" t="str">
        <x:v>A/B</x:v>
      </x:c>
      <x:c r="V112" s="83" t="str">
        <x:v>D20</x:v>
      </x:c>
      <x:c r="W112" s="83" t="str">
        <x:v>Fase 7</x:v>
      </x:c>
      <x:c r="X112" s="83" t="str"/>
    </x:row>
    <x:row r="113">
      <x:c r="A113" s="83" t="str">
        <x:v>REQ-109</x:v>
      </x:c>
      <x:c r="B113" s="83" t="str">
        <x:v>Sistemi esteri</x:v>
      </x:c>
      <x:c r="C113" s="83" t="str">
        <x:v>Perimetro</x:v>
      </x:c>
      <x:c r="D113" s="83" t="str">
        <x:v>foreign_system_representation</x:v>
      </x:c>
      <x:c r="E113" s="83" t="str">
        <x:v>Rappresentazione endogena dei Paesi vicini o prezzi/import esogeni.</x:v>
      </x:c>
      <x:c r="F113" s="83" t="str">
        <x:v>text</x:v>
      </x:c>
      <x:c r="G113" s="83" t="str">
        <x:v>2040; 2050</x:v>
      </x:c>
      <x:c r="H113" s="83" t="str">
        <x:v>Base e sensitivity</x:v>
      </x:c>
      <x:c r="I113" s="83" t="str">
        <x:v>Orario</x:v>
      </x:c>
      <x:c r="J113" s="83" t="str">
        <x:v>Paese/zona estera</x:v>
      </x:c>
      <x:c r="K113" s="83" t="str">
        <x:v>Generazione, domanda, storage esteri</x:v>
      </x:c>
      <x:c r="L113" s="83" t="str">
        <x:v>Bus/Generator/Load/Link</x:v>
      </x:c>
      <x:c r="M113" s="83" t="str">
        <x:v>multiple</x:v>
      </x:c>
      <x:c r="N113" s="83" t="str">
        <x:v>Design model</x:v>
      </x:c>
      <x:c r="O113" s="83" t="str">
        <x:v>Sì</x:v>
      </x:c>
      <x:c r="P113" s="83" t="str">
        <x:v>Sì</x:v>
      </x:c>
      <x:c r="Q113" s="83" t="str">
        <x:v>PyPSA-Eur; TYNDP; S01/S03/S05</x:v>
      </x:c>
      <x:c r="R113" s="83" t="str">
        <x:v>ENTSO-E</x:v>
      </x:c>
      <x:c r="S113" s="83" t="str">
        <x:v>Default raccomandato: nodi esteri aggregati endogeni se gestibile.</x:v>
      </x:c>
      <x:c r="T113" s="83" t="str">
        <x:v>Decisione aperta</x:v>
      </x:c>
      <x:c r="U113" s="83" t="str">
        <x:v>B</x:v>
      </x:c>
      <x:c r="V113" s="83" t="str">
        <x:v>D03</x:v>
      </x:c>
      <x:c r="W113" s="83" t="str">
        <x:v>Prima della Fase 3C/4</x:v>
      </x:c>
      <x:c r="X113" s="83" t="str"/>
    </x:row>
    <x:row r="114">
      <x:c r="A114" s="83" t="str">
        <x:v>REQ-110</x:v>
      </x:c>
      <x:c r="B114" s="83" t="str">
        <x:v>Sistemi esteri</x:v>
      </x:c>
      <x:c r="C114" s="83" t="str">
        <x:v>Esogeno</x:v>
      </x:c>
      <x:c r="D114" s="83" t="str">
        <x:v>foreign_price_profiles</x:v>
      </x:c>
      <x:c r="E114" s="83" t="str">
        <x:v>Prezzo orario estero se l'estero è modellato esogenamente.</x:v>
      </x:c>
      <x:c r="F114" s="83" t="str">
        <x:v>EUR/MWh</x:v>
      </x:c>
      <x:c r="G114" s="83" t="str">
        <x:v>2040; 2050</x:v>
      </x:c>
      <x:c r="H114" s="83" t="str">
        <x:v>Tutti</x:v>
      </x:c>
      <x:c r="I114" s="83" t="str">
        <x:v>Orario</x:v>
      </x:c>
      <x:c r="J114" s="83" t="str">
        <x:v>Frontiera/Paese</x:v>
      </x:c>
      <x:c r="K114" s="83" t="str">
        <x:v>Import/export</x:v>
      </x:c>
      <x:c r="L114" s="83" t="str">
        <x:v>Generator/Load at foreign bus</x:v>
      </x:c>
      <x:c r="M114" s="83" t="str">
        <x:v>marginal_cost; p_set</x:v>
      </x:c>
      <x:c r="N114" s="83" t="str">
        <x:v>Serie temporale</x:v>
      </x:c>
      <x:c r="O114" s="83" t="str">
        <x:v>Sì se esogeno</x:v>
      </x:c>
      <x:c r="P114" s="83" t="str">
        <x:v>Sì</x:v>
      </x:c>
      <x:c r="Q114" s="83" t="str">
        <x:v>TYNDP/PyPSA-Eur scenario outputs</x:v>
      </x:c>
      <x:c r="R114" s="83" t="str">
        <x:v>Historical ENTSO-E/GME</x:v>
      </x:c>
      <x:c r="S114" s="83" t="str">
        <x:v>Profilo coerente con scenario e meteo.</x:v>
      </x:c>
      <x:c r="T114" s="83" t="str">
        <x:v>Gap</x:v>
      </x:c>
      <x:c r="U114" s="83" t="str">
        <x:v>C-E</x:v>
      </x:c>
      <x:c r="V114" s="83" t="str">
        <x:v>D03</x:v>
      </x:c>
      <x:c r="W114" s="83" t="str">
        <x:v>Fase 4</x:v>
      </x:c>
      <x:c r="X114" s="83" t="str"/>
    </x:row>
    <x:row r="115">
      <x:c r="A115" s="83" t="str">
        <x:v>REQ-111</x:v>
      </x:c>
      <x:c r="B115" s="83" t="str">
        <x:v>Sistemi esteri</x:v>
      </x:c>
      <x:c r="C115" s="83" t="str">
        <x:v>Endogeno</x:v>
      </x:c>
      <x:c r="D115" s="83" t="str">
        <x:v>foreign_generation_capacity_profiles</x:v>
      </x:c>
      <x:c r="E115" s="83" t="str">
        <x:v>Capacità, domanda e profili esteri se endogeni.</x:v>
      </x:c>
      <x:c r="F115" s="83" t="str">
        <x:v>MW; MWh; p.u.</x:v>
      </x:c>
      <x:c r="G115" s="83" t="str">
        <x:v>2040; 2050</x:v>
      </x:c>
      <x:c r="H115" s="83" t="str">
        <x:v>Tutti</x:v>
      </x:c>
      <x:c r="I115" s="83" t="str">
        <x:v>Orario</x:v>
      </x:c>
      <x:c r="J115" s="83" t="str">
        <x:v>Paese/zona estera</x:v>
      </x:c>
      <x:c r="K115" s="83" t="str">
        <x:v>Foreign generation/load/storage</x:v>
      </x:c>
      <x:c r="L115" s="83" t="str">
        <x:v>Generator/Load/Storage/Link</x:v>
      </x:c>
      <x:c r="M115" s="83" t="str">
        <x:v>multiple</x:v>
      </x:c>
      <x:c r="N115" s="83" t="str">
        <x:v>Network subset</x:v>
      </x:c>
      <x:c r="O115" s="83" t="str">
        <x:v>Sì se endogeno</x:v>
      </x:c>
      <x:c r="P115" s="83" t="str">
        <x:v>Sì</x:v>
      </x:c>
      <x:c r="Q115" s="83" t="str">
        <x:v>PyPSA-Eur/TYNDP</x:v>
      </x:c>
      <x:c r="R115" s="83" t="str">
        <x:v>ENTSO-E</x:v>
      </x:c>
      <x:c r="S115" s="83" t="str">
        <x:v>Mantenere consistenza con anno/scenario Italia.</x:v>
      </x:c>
      <x:c r="T115" s="83" t="str">
        <x:v>Disponibile via PyPSA-Eur</x:v>
      </x:c>
      <x:c r="U115" s="83" t="str">
        <x:v>B</x:v>
      </x:c>
      <x:c r="V115" s="83" t="str">
        <x:v>D03</x:v>
      </x:c>
      <x:c r="W115" s="83" t="str">
        <x:v>Fase 4/7</x:v>
      </x:c>
      <x:c r="X115" s="83" t="str"/>
    </x:row>
    <x:row r="116">
      <x:c r="A116" s="83" t="str">
        <x:v>REQ-112</x:v>
      </x:c>
      <x:c r="B116" s="83" t="str">
        <x:v>Sistemi esteri</x:v>
      </x:c>
      <x:c r="C116" s="83" t="str">
        <x:v>Emissioni</x:v>
      </x:c>
      <x:c r="D116" s="83" t="str">
        <x:v>import_carbon_treatment</x:v>
      </x:c>
      <x:c r="E116" s="83" t="str">
        <x:v>Trattamento emissivo degli import per reporting o vincoli.</x:v>
      </x:c>
      <x:c r="F116" s="83" t="str">
        <x:v>tCO2/MWh</x:v>
      </x:c>
      <x:c r="G116" s="83" t="str">
        <x:v>2040; 2050</x:v>
      </x:c>
      <x:c r="H116" s="83" t="str">
        <x:v>Tutti</x:v>
      </x:c>
      <x:c r="I116" s="83" t="str">
        <x:v>Orario/annuale</x:v>
      </x:c>
      <x:c r="J116" s="83" t="str">
        <x:v>Frontiera</x:v>
      </x:c>
      <x:c r="K116" s="83" t="str">
        <x:v>Import</x:v>
      </x:c>
      <x:c r="L116" s="83" t="str">
        <x:v>Carrier/metadata</x:v>
      </x:c>
      <x:c r="M116" s="83" t="str">
        <x:v>co2_emissions or post-processing</x:v>
      </x:c>
      <x:c r="N116" s="83" t="str">
        <x:v>Serie/fattore</x:v>
      </x:c>
      <x:c r="O116" s="83" t="str">
        <x:v>Opzionale</x:v>
      </x:c>
      <x:c r="P116" s="83" t="str">
        <x:v>No</x:v>
      </x:c>
      <x:c r="Q116" s="83" t="str">
        <x:v>TYNDP/PyPSA-Eur</x:v>
      </x:c>
      <x:c r="R116" s="83" t="str">
        <x:v>ENTSO-E mix</x:v>
      </x:c>
      <x:c r="S116" s="83" t="str">
        <x:v>Non necessario alla formazione prezzo se estero endogeno.</x:v>
      </x:c>
      <x:c r="T116" s="83" t="str">
        <x:v>Da definire</x:v>
      </x:c>
      <x:c r="U116" s="83" t="str">
        <x:v>C-D</x:v>
      </x:c>
      <x:c r="V116" s="83" t="str">
        <x:v>D03</x:v>
      </x:c>
      <x:c r="W116" s="83" t="str">
        <x:v>Fase 6/7</x:v>
      </x:c>
      <x:c r="X116" s="83" t="str"/>
    </x:row>
    <x:row r="117">
      <x:c r="A117" s="83" t="str">
        <x:v>REQ-113</x:v>
      </x:c>
      <x:c r="B117" s="83" t="str">
        <x:v>Sistemi esteri</x:v>
      </x:c>
      <x:c r="C117" s="83" t="str">
        <x:v>Vincoli</x:v>
      </x:c>
      <x:c r="D117" s="83" t="str">
        <x:v>net_transfer_constraints</x:v>
      </x:c>
      <x:c r="E117" s="83" t="str">
        <x:v>Limiti netti aggregati o vincoli multi-frontiera.</x:v>
      </x:c>
      <x:c r="F117" s="83" t="str">
        <x:v>MW</x:v>
      </x:c>
      <x:c r="G117" s="83" t="str">
        <x:v>2040; 2050</x:v>
      </x:c>
      <x:c r="H117" s="83" t="str">
        <x:v>Tutti</x:v>
      </x:c>
      <x:c r="I117" s="83" t="str">
        <x:v>Orario/statico</x:v>
      </x:c>
      <x:c r="J117" s="83" t="str">
        <x:v>Frontiera/insieme</x:v>
      </x:c>
      <x:c r="K117" s="83" t="str">
        <x:v>Interconnector</x:v>
      </x:c>
      <x:c r="L117" s="83" t="str">
        <x:v>Link/custom constraint</x:v>
      </x:c>
      <x:c r="M117" s="83" t="str">
        <x:v>p_nom; custom</x:v>
      </x:c>
      <x:c r="N117" s="83" t="str">
        <x:v>Vincolo</x:v>
      </x:c>
      <x:c r="O117" s="83" t="str">
        <x:v>Solo se richiesto</x:v>
      </x:c>
      <x:c r="P117" s="83" t="str">
        <x:v>Sì</x:v>
      </x:c>
      <x:c r="Q117" s="83" t="str">
        <x:v>Terna/ENTSO-E</x:v>
      </x:c>
      <x:c r="R117" s="83" t="str">
        <x:v>PyPSA custom constraints</x:v>
      </x:c>
      <x:c r="S117" s="83" t="str">
        <x:v>Applicare solo se la somma dei Link non basta.</x:v>
      </x:c>
      <x:c r="T117" s="83" t="str">
        <x:v>Da valutare</x:v>
      </x:c>
      <x:c r="U117" s="83" t="str">
        <x:v>C-D</x:v>
      </x:c>
      <x:c r="V117" s="83" t="str">
        <x:v>D20</x:v>
      </x:c>
      <x:c r="W117" s="83" t="str">
        <x:v>Fase 3C/7</x:v>
      </x:c>
      <x:c r="X117" s="83" t="str"/>
    </x:row>
    <x:row r="118">
      <x:c r="A118" s="83" t="str">
        <x:v>REQ-114</x:v>
      </x:c>
      <x:c r="B118" s="83" t="str">
        <x:v>Mercato e output</x:v>
      </x:c>
      <x:c r="C118" s="83" t="str">
        <x:v>Prezzi</x:v>
      </x:c>
      <x:c r="D118" s="83" t="str">
        <x:v>zonal_marginal_prices</x:v>
      </x:c>
      <x:c r="E118" s="83" t="str">
        <x:v>Prezzi marginali orari per zona dal duale del bilancio nodale.</x:v>
      </x:c>
      <x:c r="F118" s="83" t="str">
        <x:v>EUR/MWh</x:v>
      </x:c>
      <x:c r="G118" s="83" t="str">
        <x:v>2040; 2050</x:v>
      </x:c>
      <x:c r="H118" s="83" t="str">
        <x:v>Tutti</x:v>
      </x:c>
      <x:c r="I118" s="83" t="str">
        <x:v>Orario</x:v>
      </x:c>
      <x:c r="J118" s="83" t="str">
        <x:v>Zona</x:v>
      </x:c>
      <x:c r="K118" s="83" t="str">
        <x:v>Mercato</x:v>
      </x:c>
      <x:c r="L118" s="83" t="str">
        <x:v>Bus output</x:v>
      </x:c>
      <x:c r="M118" s="83" t="str">
        <x:v>marginal_price</x:v>
      </x:c>
      <x:c r="N118" s="83" t="str">
        <x:v>Output time series</x:v>
      </x:c>
      <x:c r="O118" s="83" t="str">
        <x:v>Sì</x:v>
      </x:c>
      <x:c r="P118" s="83" t="str">
        <x:v>Sì</x:v>
      </x:c>
      <x:c r="Q118" s="83" t="str">
        <x:v>PyPSA official docs/examples</x:v>
      </x:c>
      <x:c r="R118" s="83" t="str">
        <x:v>GME/Terna per validazione</x:v>
      </x:c>
      <x:c r="S118" s="83" t="str">
        <x:v>Output primario del modello.</x:v>
      </x:c>
      <x:c r="T118" s="83" t="str">
        <x:v>Definito</x:v>
      </x:c>
      <x:c r="U118" s="83" t="str">
        <x:v>A</x:v>
      </x:c>
      <x:c r="V118" s="83" t="str">
        <x:v>D29</x:v>
      </x:c>
      <x:c r="W118" s="83" t="str">
        <x:v>Fase 7</x:v>
      </x:c>
      <x:c r="X118" s="83" t="str"/>
    </x:row>
    <x:row r="119">
      <x:c r="A119" s="83" t="str">
        <x:v>REQ-115</x:v>
      </x:c>
      <x:c r="B119" s="83" t="str">
        <x:v>Mercato e output</x:v>
      </x:c>
      <x:c r="C119" s="83" t="str">
        <x:v>Prezzi</x:v>
      </x:c>
      <x:c r="D119" s="83" t="str">
        <x:v>national_pun_proxy</x:v>
      </x:c>
      <x:c r="E119" s="83" t="str">
        <x:v>Indicatore nazionale post-processato da prezzi zonali e acquisti/domanda.</x:v>
      </x:c>
      <x:c r="F119" s="83" t="str">
        <x:v>EUR/MWh</x:v>
      </x:c>
      <x:c r="G119" s="83" t="str">
        <x:v>2040; 2050</x:v>
      </x:c>
      <x:c r="H119" s="83" t="str">
        <x:v>Tutti</x:v>
      </x:c>
      <x:c r="I119" s="83" t="str">
        <x:v>Orario/annuale</x:v>
      </x:c>
      <x:c r="J119" s="83" t="str">
        <x:v>Italia</x:v>
      </x:c>
      <x:c r="K119" s="83" t="str">
        <x:v>Mercato</x:v>
      </x:c>
      <x:c r="L119" s="83" t="str">
        <x:v>Post-processing</x:v>
      </x:c>
      <x:c r="M119" s="83" t="str">
        <x:v>weighted zonal prices</x:v>
      </x:c>
      <x:c r="N119" s="83" t="str">
        <x:v>Formula post-process</x:v>
      </x:c>
      <x:c r="O119" s="83" t="str">
        <x:v>Sì</x:v>
      </x:c>
      <x:c r="P119" s="83" t="str">
        <x:v>Sì</x:v>
      </x:c>
      <x:c r="Q119" s="83" t="str">
        <x:v>S01/GME metodologia PUN</x:v>
      </x:c>
      <x:c r="R119" s="83" t="str">
        <x:v>Output Load/Bus</x:v>
      </x:c>
      <x:c r="S119" s="83" t="str">
        <x:v>Definire formula coerente col perimetro futuro.</x:v>
      </x:c>
      <x:c r="T119" s="83" t="str">
        <x:v>Decisione aperta</x:v>
      </x:c>
      <x:c r="U119" s="83" t="str">
        <x:v>A-C</x:v>
      </x:c>
      <x:c r="V119" s="83" t="str">
        <x:v>D29</x:v>
      </x:c>
      <x:c r="W119" s="83" t="str">
        <x:v>Fase 4/7</x:v>
      </x:c>
      <x:c r="X119" s="83" t="str"/>
    </x:row>
    <x:row r="120">
      <x:c r="A120" s="83" t="str">
        <x:v>REQ-116</x:v>
      </x:c>
      <x:c r="B120" s="83" t="str">
        <x:v>Mercato e output</x:v>
      </x:c>
      <x:c r="C120" s="83" t="str">
        <x:v>Prezzi</x:v>
      </x:c>
      <x:c r="D120" s="83" t="str">
        <x:v>price_cap_floor</x:v>
      </x:c>
      <x:c r="E120" s="83" t="str">
        <x:v>Trattamento di cap/floor e prezzi negativi.</x:v>
      </x:c>
      <x:c r="F120" s="83" t="str">
        <x:v>EUR/MWh</x:v>
      </x:c>
      <x:c r="G120" s="83" t="str">
        <x:v>2040; 2050</x:v>
      </x:c>
      <x:c r="H120" s="83" t="str">
        <x:v>Base/sensitivity</x:v>
      </x:c>
      <x:c r="I120" s="83" t="str">
        <x:v>Orario</x:v>
      </x:c>
      <x:c r="J120" s="83" t="str">
        <x:v>Sistema/zona</x:v>
      </x:c>
      <x:c r="K120" s="83" t="str">
        <x:v>Mercato</x:v>
      </x:c>
      <x:c r="L120" s="83" t="str">
        <x:v>Generator costs / post-processing</x:v>
      </x:c>
      <x:c r="M120" s="83" t="str">
        <x:v>marginal_cost; VOLL</x:v>
      </x:c>
      <x:c r="N120" s="83" t="str">
        <x:v>Regola scenario</x:v>
      </x:c>
      <x:c r="O120" s="83" t="str">
        <x:v>Sì</x:v>
      </x:c>
      <x:c r="P120" s="83" t="str">
        <x:v>Sì</x:v>
      </x:c>
      <x:c r="Q120" s="83" t="str">
        <x:v>Regole GME/UE</x:v>
      </x:c>
      <x:c r="R120" s="83" t="str">
        <x:v>PyPSA</x:v>
      </x:c>
      <x:c r="S120" s="83" t="str">
        <x:v>Non tagliare ex post salvo reporting; configurare offerte/costi.</x:v>
      </x:c>
      <x:c r="T120" s="83" t="str">
        <x:v>Decisione aperta</x:v>
      </x:c>
      <x:c r="U120" s="83" t="str">
        <x:v>B-D</x:v>
      </x:c>
      <x:c r="V120" s="83" t="str">
        <x:v>D30</x:v>
      </x:c>
      <x:c r="W120" s="83" t="str">
        <x:v>Fase 3D/4</x:v>
      </x:c>
      <x:c r="X120" s="83" t="str"/>
    </x:row>
    <x:row r="121">
      <x:c r="A121" s="83" t="str">
        <x:v>REQ-117</x:v>
      </x:c>
      <x:c r="B121" s="83" t="str">
        <x:v>Mercato e output</x:v>
      </x:c>
      <x:c r="C121" s="83" t="str">
        <x:v>Curtailment</x:v>
      </x:c>
      <x:c r="D121" s="83" t="str">
        <x:v>renewable_curtailment</x:v>
      </x:c>
      <x:c r="E121" s="83" t="str">
        <x:v>Energia disponibile non generata per FER.</x:v>
      </x:c>
      <x:c r="F121" s="83" t="str">
        <x:v>MWh; %</x:v>
      </x:c>
      <x:c r="G121" s="83" t="str">
        <x:v>2040; 2050</x:v>
      </x:c>
      <x:c r="H121" s="83" t="str">
        <x:v>Tutti</x:v>
      </x:c>
      <x:c r="I121" s="83" t="str">
        <x:v>Orario/annuale</x:v>
      </x:c>
      <x:c r="J121" s="83" t="str">
        <x:v>Zona/tecnologia</x:v>
      </x:c>
      <x:c r="K121" s="83" t="str">
        <x:v>VRE; hydro</x:v>
      </x:c>
      <x:c r="L121" s="83" t="str">
        <x:v>Generator output</x:v>
      </x:c>
      <x:c r="M121" s="83" t="str">
        <x:v>p_max_pu*p_nom - p</x:v>
      </x:c>
      <x:c r="N121" s="83" t="str">
        <x:v>Output derivato</x:v>
      </x:c>
      <x:c r="O121" s="83" t="str">
        <x:v>Sì</x:v>
      </x:c>
      <x:c r="P121" s="83" t="str">
        <x:v>No</x:v>
      </x:c>
      <x:c r="Q121" s="83" t="str">
        <x:v>PyPSA outputs</x:v>
      </x:c>
      <x:c r="R121" s="83" t="str">
        <x:v>S03/S07 per validazione</x:v>
      </x:c>
      <x:c r="S121" s="83" t="str">
        <x:v>Calcolo con disponibilità coerente.</x:v>
      </x:c>
      <x:c r="T121" s="83" t="str">
        <x:v>Definito</x:v>
      </x:c>
      <x:c r="U121" s="83" t="str">
        <x:v>A/B</x:v>
      </x:c>
      <x:c r="V121" s="83" t="str">
        <x:v>D14</x:v>
      </x:c>
      <x:c r="W121" s="83" t="str">
        <x:v>Fase 7</x:v>
      </x:c>
      <x:c r="X121" s="83" t="str"/>
    </x:row>
    <x:row r="122">
      <x:c r="A122" s="83" t="str">
        <x:v>REQ-118</x:v>
      </x:c>
      <x:c r="B122" s="83" t="str">
        <x:v>Mercato e output</x:v>
      </x:c>
      <x:c r="C122" s="83" t="str">
        <x:v>Merit order</x:v>
      </x:c>
      <x:c r="D122" s="83" t="str">
        <x:v>marginal_generator_identification</x:v>
      </x:c>
      <x:c r="E122" s="83" t="str">
        <x:v>Tecnologia/asset marginale e ore di price setting.</x:v>
      </x:c>
      <x:c r="F122" s="83" t="str">
        <x:v>text/hours</x:v>
      </x:c>
      <x:c r="G122" s="83" t="str">
        <x:v>2040; 2050</x:v>
      </x:c>
      <x:c r="H122" s="83" t="str">
        <x:v>Tutti</x:v>
      </x:c>
      <x:c r="I122" s="83" t="str">
        <x:v>Orario</x:v>
      </x:c>
      <x:c r="J122" s="83" t="str">
        <x:v>Zona</x:v>
      </x:c>
      <x:c r="K122" s="83" t="str">
        <x:v>Generazione/import/storage</x:v>
      </x:c>
      <x:c r="L122" s="83" t="str">
        <x:v>Post-processing</x:v>
      </x:c>
      <x:c r="M122" s="83" t="str">
        <x:v>dispatch + marginal prices</x:v>
      </x:c>
      <x:c r="N122" s="83" t="str">
        <x:v>Algoritmo</x:v>
      </x:c>
      <x:c r="O122" s="83" t="str">
        <x:v>Desiderabile</x:v>
      </x:c>
      <x:c r="P122" s="83" t="str">
        <x:v>No</x:v>
      </x:c>
      <x:c r="Q122" s="83" t="str">
        <x:v>Output PyPSA</x:v>
      </x:c>
      <x:c r="R122" s="83" t="str">
        <x:v>S07 contesto gas-MGP</x:v>
      </x:c>
      <x:c r="S122" s="83" t="str">
        <x:v>Inferire con tolleranza e binding constraints.</x:v>
      </x:c>
      <x:c r="T122" s="83" t="str">
        <x:v>Da progettare</x:v>
      </x:c>
      <x:c r="U122" s="83" t="str">
        <x:v>B-D</x:v>
      </x:c>
      <x:c r="V122" s="83" t="str">
        <x:v>D29</x:v>
      </x:c>
      <x:c r="W122" s="83" t="str">
        <x:v>Fase 7</x:v>
      </x:c>
      <x:c r="X122" s="83" t="str"/>
    </x:row>
    <x:row r="123">
      <x:c r="A123" s="83" t="str">
        <x:v>REQ-119</x:v>
      </x:c>
      <x:c r="B123" s="83" t="str">
        <x:v>Mercato e output</x:v>
      </x:c>
      <x:c r="C123" s="83" t="str">
        <x:v>Output</x:v>
      </x:c>
      <x:c r="D123" s="83" t="str">
        <x:v>generation_by_technology</x:v>
      </x:c>
      <x:c r="E123" s="83" t="str">
        <x:v>Generazione oraria e annua per tecnologia/zona.</x:v>
      </x:c>
      <x:c r="F123" s="83" t="str">
        <x:v>MW; MWh</x:v>
      </x:c>
      <x:c r="G123" s="83" t="str">
        <x:v>2040; 2050</x:v>
      </x:c>
      <x:c r="H123" s="83" t="str">
        <x:v>Tutti</x:v>
      </x:c>
      <x:c r="I123" s="83" t="str">
        <x:v>Orario/annuale</x:v>
      </x:c>
      <x:c r="J123" s="83" t="str">
        <x:v>Zona/tecnologia</x:v>
      </x:c>
      <x:c r="K123" s="83" t="str">
        <x:v>Tutte</x:v>
      </x:c>
      <x:c r="L123" s="83" t="str">
        <x:v>Generator/Link output</x:v>
      </x:c>
      <x:c r="M123" s="83" t="str">
        <x:v>p; p1</x:v>
      </x:c>
      <x:c r="N123" s="83" t="str">
        <x:v>Output</x:v>
      </x:c>
      <x:c r="O123" s="83" t="str">
        <x:v>Sì</x:v>
      </x:c>
      <x:c r="P123" s="83" t="str">
        <x:v>No</x:v>
      </x:c>
      <x:c r="Q123" s="83" t="str">
        <x:v>PyPSA outputs</x:v>
      </x:c>
      <x:c r="R123" s="83" t="str">
        <x:v>S01/S07 bilanci</x:v>
      </x:c>
      <x:c r="S123" s="83" t="str">
        <x:v>Aggregazione e riconciliazione.</x:v>
      </x:c>
      <x:c r="T123" s="83" t="str">
        <x:v>Definito</x:v>
      </x:c>
      <x:c r="U123" s="83" t="str">
        <x:v>A</x:v>
      </x:c>
      <x:c r="V123" s="83" t="str">
        <x:v>D32</x:v>
      </x:c>
      <x:c r="W123" s="83" t="str">
        <x:v>Fase 7</x:v>
      </x:c>
      <x:c r="X123" s="83" t="str"/>
    </x:row>
    <x:row r="124">
      <x:c r="A124" s="83" t="str">
        <x:v>REQ-120</x:v>
      </x:c>
      <x:c r="B124" s="83" t="str">
        <x:v>Mercato e output</x:v>
      </x:c>
      <x:c r="C124" s="83" t="str">
        <x:v>Output</x:v>
      </x:c>
      <x:c r="D124" s="83" t="str">
        <x:v>storage_dispatch_soc</x:v>
      </x:c>
      <x:c r="E124" s="83" t="str">
        <x:v>Carica, scarica, SOC, cicli e rendimenti.</x:v>
      </x:c>
      <x:c r="F124" s="83" t="str">
        <x:v>MW; MWh</x:v>
      </x:c>
      <x:c r="G124" s="83" t="str">
        <x:v>2040; 2050</x:v>
      </x:c>
      <x:c r="H124" s="83" t="str">
        <x:v>Tutti</x:v>
      </x:c>
      <x:c r="I124" s="83" t="str">
        <x:v>Orario/annuale</x:v>
      </x:c>
      <x:c r="J124" s="83" t="str">
        <x:v>Zona/tecnologia</x:v>
      </x:c>
      <x:c r="K124" s="83" t="str">
        <x:v>Storage</x:v>
      </x:c>
      <x:c r="L124" s="83" t="str">
        <x:v>Store/StorageUnit/Link output</x:v>
      </x:c>
      <x:c r="M124" s="83" t="str">
        <x:v>p; p0/p1; e; state_of_charge</x:v>
      </x:c>
      <x:c r="N124" s="83" t="str">
        <x:v>Output</x:v>
      </x:c>
      <x:c r="O124" s="83" t="str">
        <x:v>Sì</x:v>
      </x:c>
      <x:c r="P124" s="83" t="str">
        <x:v>No</x:v>
      </x:c>
      <x:c r="Q124" s="83" t="str">
        <x:v>PyPSA outputs</x:v>
      </x:c>
      <x:c r="R124" s="83" t="str">
        <x:v>S07 per validazione</x:v>
      </x:c>
      <x:c r="S124" s="83" t="str">
        <x:v>Post-processing.</x:v>
      </x:c>
      <x:c r="T124" s="83" t="str">
        <x:v>Definito</x:v>
      </x:c>
      <x:c r="U124" s="83" t="str">
        <x:v>A</x:v>
      </x:c>
      <x:c r="V124" s="83" t="str">
        <x:v>D18</x:v>
      </x:c>
      <x:c r="W124" s="83" t="str">
        <x:v>Fase 7</x:v>
      </x:c>
      <x:c r="X124" s="83" t="str"/>
    </x:row>
    <x:row r="125">
      <x:c r="A125" s="83" t="str">
        <x:v>REQ-121</x:v>
      </x:c>
      <x:c r="B125" s="83" t="str">
        <x:v>Mercato e output</x:v>
      </x:c>
      <x:c r="C125" s="83" t="str">
        <x:v>Servizi</x:v>
      </x:c>
      <x:c r="D125" s="83" t="str">
        <x:v>reserve_ancillary_scope</x:v>
      </x:c>
      <x:c r="E125" s="83" t="str">
        <x:v>Inclusione o esclusione di riserva e servizi ancillari.</x:v>
      </x:c>
      <x:c r="F125" s="83" t="str">
        <x:v>text/MW</x:v>
      </x:c>
      <x:c r="G125" s="83" t="str">
        <x:v>2040; 2050</x:v>
      </x:c>
      <x:c r="H125" s="83" t="str">
        <x:v>Sensitività</x:v>
      </x:c>
      <x:c r="I125" s="83" t="str">
        <x:v>Orario</x:v>
      </x:c>
      <x:c r="J125" s="83" t="str">
        <x:v>Sistema/zona</x:v>
      </x:c>
      <x:c r="K125" s="83" t="str">
        <x:v>Generators/storage/DR</x:v>
      </x:c>
      <x:c r="L125" s="83" t="str">
        <x:v>Custom constraints</x:v>
      </x:c>
      <x:c r="M125" s="83" t="str">
        <x:v>reserve variables/constraints</x:v>
      </x:c>
      <x:c r="N125" s="83" t="str">
        <x:v>Design model</x:v>
      </x:c>
      <x:c r="O125" s="83" t="str">
        <x:v>Opzionale</x:v>
      </x:c>
      <x:c r="P125" s="83" t="str">
        <x:v>Sì</x:v>
      </x:c>
      <x:c r="Q125" s="83" t="str">
        <x:v>S01 cap.3-4; S03</x:v>
      </x:c>
      <x:c r="R125" s="83" t="str">
        <x:v>PyPSA reserve example</x:v>
      </x:c>
      <x:c r="S125" s="83" t="str">
        <x:v>Default: esclusi dal MGP base; documentare limite.</x:v>
      </x:c>
      <x:c r="T125" s="83" t="str">
        <x:v>Decisione proposta</x:v>
      </x:c>
      <x:c r="U125" s="83" t="str">
        <x:v>C-E</x:v>
      </x:c>
      <x:c r="V125" s="83" t="str">
        <x:v>D31</x:v>
      </x:c>
      <x:c r="W125" s="83" t="str">
        <x:v>Fase 4/7</x:v>
      </x:c>
      <x:c r="X125" s="83" t="str"/>
    </x:row>
    <x:row r="126">
      <x:c r="A126" s="83" t="str">
        <x:v>REQ-122</x:v>
      </x:c>
      <x:c r="B126" s="83" t="str">
        <x:v>Mercato e output</x:v>
      </x:c>
      <x:c r="C126" s="83" t="str">
        <x:v>Congestione</x:v>
      </x:c>
      <x:c r="D126" s="83" t="str">
        <x:v>price_separation_hours</x:v>
      </x:c>
      <x:c r="E126" s="83" t="str">
        <x:v>Ore di separazione dei prezzi e spread tra zone.</x:v>
      </x:c>
      <x:c r="F126" s="83" t="str">
        <x:v>hours; EUR/MWh</x:v>
      </x:c>
      <x:c r="G126" s="83" t="str">
        <x:v>2040; 2050</x:v>
      </x:c>
      <x:c r="H126" s="83" t="str">
        <x:v>Tutti</x:v>
      </x:c>
      <x:c r="I126" s="83" t="str">
        <x:v>Orario/annuale</x:v>
      </x:c>
      <x:c r="J126" s="83" t="str">
        <x:v>Coppia di zone</x:v>
      </x:c>
      <x:c r="K126" s="83" t="str">
        <x:v>Mercato/rete</x:v>
      </x:c>
      <x:c r="L126" s="83" t="str">
        <x:v>Post-processing</x:v>
      </x:c>
      <x:c r="M126" s="83" t="str">
        <x:v>Bus.marginal_price; Link.p</x:v>
      </x:c>
      <x:c r="N126" s="83" t="str">
        <x:v>Output derivato</x:v>
      </x:c>
      <x:c r="O126" s="83" t="str">
        <x:v>Sì</x:v>
      </x:c>
      <x:c r="P126" s="83" t="str">
        <x:v>No</x:v>
      </x:c>
      <x:c r="Q126" s="83" t="str">
        <x:v>PyPSA outputs</x:v>
      </x:c>
      <x:c r="R126" s="83" t="str">
        <x:v>S03 per validazione</x:v>
      </x:c>
      <x:c r="S126" s="83" t="str">
        <x:v>Tolleranza prezzi definita.</x:v>
      </x:c>
      <x:c r="T126" s="83" t="str">
        <x:v>Definito concettualmente</x:v>
      </x:c>
      <x:c r="U126" s="83" t="str">
        <x:v>A/B</x:v>
      </x:c>
      <x:c r="V126" s="83" t="str">
        <x:v>D20</x:v>
      </x:c>
      <x:c r="W126" s="83" t="str">
        <x:v>Fase 7</x:v>
      </x:c>
      <x:c r="X126" s="83" t="str"/>
    </x:row>
    <x:row r="127">
      <x:c r="A127" s="83" t="str">
        <x:v>REQ-123</x:v>
      </x:c>
      <x:c r="B127" s="83" t="str">
        <x:v>Mercato e output</x:v>
      </x:c>
      <x:c r="C127" s="83" t="str">
        <x:v>Validazione</x:v>
      </x:c>
      <x:c r="D127" s="83" t="str">
        <x:v>historical_backcast</x:v>
      </x:c>
      <x:c r="E127" s="83" t="str">
        <x:v>Run storico di calibrazione con struttura e dati osservati.</x:v>
      </x:c>
      <x:c r="F127" s="83" t="str">
        <x:v>run</x:v>
      </x:c>
      <x:c r="G127" s="83" t="str">
        <x:v>2023/2024</x:v>
      </x:c>
      <x:c r="H127" s="83" t="str">
        <x:v>Calibrazione</x:v>
      </x:c>
      <x:c r="I127" s="83" t="str">
        <x:v>Orario</x:v>
      </x:c>
      <x:c r="J127" s="83" t="str">
        <x:v>Italia/estero</x:v>
      </x:c>
      <x:c r="K127" s="83" t="str">
        <x:v>Tutte</x:v>
      </x:c>
      <x:c r="L127" s="83" t="str">
        <x:v>Network</x:v>
      </x:c>
      <x:c r="M127" s="83" t="str">
        <x:v>all relevant</x:v>
      </x:c>
      <x:c r="N127" s="83" t="str">
        <x:v>Scenario storico</x:v>
      </x:c>
      <x:c r="O127" s="83" t="str">
        <x:v>Fortemente raccomandato</x:v>
      </x:c>
      <x:c r="P127" s="83" t="str">
        <x:v>Sì</x:v>
      </x:c>
      <x:c r="Q127" s="83" t="str">
        <x:v>S01 storico; GME; Terna</x:v>
      </x:c>
      <x:c r="R127" s="83" t="str">
        <x:v>ENTSO-E/PyPSA-Eur</x:v>
      </x:c>
      <x:c r="S127" s="83" t="str">
        <x:v>Calibrare prima dei run futuri.</x:v>
      </x:c>
      <x:c r="T127" s="83" t="str">
        <x:v>Decisione proposta</x:v>
      </x:c>
      <x:c r="U127" s="83" t="str">
        <x:v>A-C</x:v>
      </x:c>
      <x:c r="V127" s="83" t="str">
        <x:v>D32</x:v>
      </x:c>
      <x:c r="W127" s="83" t="str">
        <x:v>Fase 7 prima dei run finali</x:v>
      </x:c>
      <x:c r="X127" s="83" t="str"/>
    </x:row>
    <x:row r="128">
      <x:c r="A128" s="83" t="str">
        <x:v>REQ-124</x:v>
      </x:c>
      <x:c r="B128" s="83" t="str">
        <x:v>Mercato e output</x:v>
      </x:c>
      <x:c r="C128" s="83" t="str">
        <x:v>Adeguatezza</x:v>
      </x:c>
      <x:c r="D128" s="83" t="str">
        <x:v>load_shedding_adequacy_outputs</x:v>
      </x:c>
      <x:c r="E128" s="83" t="str">
        <x:v>Ore ed energia di mancato servizio, picco e distribuzione.</x:v>
      </x:c>
      <x:c r="F128" s="83" t="str">
        <x:v>hours; MWh; MW</x:v>
      </x:c>
      <x:c r="G128" s="83" t="str">
        <x:v>2040; 2050</x:v>
      </x:c>
      <x:c r="H128" s="83" t="str">
        <x:v>Tutti</x:v>
      </x:c>
      <x:c r="I128" s="83" t="str">
        <x:v>Orario/annuale</x:v>
      </x:c>
      <x:c r="J128" s="83" t="str">
        <x:v>Zona</x:v>
      </x:c>
      <x:c r="K128" s="83" t="str">
        <x:v>Load shedding</x:v>
      </x:c>
      <x:c r="L128" s="83" t="str">
        <x:v>Generator output</x:v>
      </x:c>
      <x:c r="M128" s="83" t="str">
        <x:v>p</x:v>
      </x:c>
      <x:c r="N128" s="83" t="str">
        <x:v>Output</x:v>
      </x:c>
      <x:c r="O128" s="83" t="str">
        <x:v>Sì</x:v>
      </x:c>
      <x:c r="P128" s="83" t="str">
        <x:v>No</x:v>
      </x:c>
      <x:c r="Q128" s="83" t="str">
        <x:v>PyPSA outputs</x:v>
      </x:c>
      <x:c r="R128" s="83" t="str">
        <x:v>S03/Terna adequacy</x:v>
      </x:c>
      <x:c r="S128" s="83" t="str">
        <x:v>LOLE proxy e EENS dal load shedding.</x:v>
      </x:c>
      <x:c r="T128" s="83" t="str">
        <x:v>Definito</x:v>
      </x:c>
      <x:c r="U128" s="83" t="str">
        <x:v>A/B</x:v>
      </x:c>
      <x:c r="V128" s="83" t="str">
        <x:v>D28</x:v>
      </x:c>
      <x:c r="W128" s="83" t="str">
        <x:v>Fase 7</x:v>
      </x:c>
      <x:c r="X128" s="83" t="str"/>
    </x:row>
    <x:row r="129">
      <x:c r="A129" s="83" t="str">
        <x:v>REQ-125</x:v>
      </x:c>
      <x:c r="B129" s="83" t="str">
        <x:v>Mercato e output</x:v>
      </x:c>
      <x:c r="C129" s="83" t="str">
        <x:v>Duals</x:v>
      </x:c>
      <x:c r="D129" s="83" t="str">
        <x:v>shadow_prices</x:v>
      </x:c>
      <x:c r="E129" s="83" t="str">
        <x:v>Duali di vincoli di capacità, energia, rete e storage.</x:v>
      </x:c>
      <x:c r="F129" s="83" t="str">
        <x:v>EUR/MW or EUR/MWh</x:v>
      </x:c>
      <x:c r="G129" s="83" t="str">
        <x:v>2040; 2050</x:v>
      </x:c>
      <x:c r="H129" s="83" t="str">
        <x:v>Tutti</x:v>
      </x:c>
      <x:c r="I129" s="83" t="str">
        <x:v>Orario/annuale</x:v>
      </x:c>
      <x:c r="J129" s="83" t="str">
        <x:v>Asset/corridoio</x:v>
      </x:c>
      <x:c r="K129" s="83" t="str">
        <x:v>Tutte</x:v>
      </x:c>
      <x:c r="L129" s="83" t="str">
        <x:v>PyPSA outputs</x:v>
      </x:c>
      <x:c r="M129" s="83" t="str">
        <x:v>mu_*</x:v>
      </x:c>
      <x:c r="N129" s="83" t="str">
        <x:v>Output</x:v>
      </x:c>
      <x:c r="O129" s="83" t="str">
        <x:v>Desiderabile</x:v>
      </x:c>
      <x:c r="P129" s="83" t="str">
        <x:v>No</x:v>
      </x:c>
      <x:c r="Q129" s="83" t="str">
        <x:v>PyPSA official docs</x:v>
      </x:c>
      <x:c r="R129" s="83" t="str">
        <x:v>S03 cost-benefit context</x:v>
      </x:c>
      <x:c r="S129" s="83" t="str">
        <x:v>Usare per interpretare scarsità e congestione.</x:v>
      </x:c>
      <x:c r="T129" s="83" t="str">
        <x:v>Definito concettualmente</x:v>
      </x:c>
      <x:c r="U129" s="83" t="str">
        <x:v>A/B</x:v>
      </x:c>
      <x:c r="V129" s="83" t="str">
        <x:v>D29</x:v>
      </x:c>
      <x:c r="W129" s="83" t="str">
        <x:v>Fase 7</x:v>
      </x:c>
      <x:c r="X129" s="83" t="str"/>
    </x:row>
    <x:row r="130">
      <x:c r="A130" s="83" t="str">
        <x:v>REQ-126</x:v>
      </x:c>
      <x:c r="B130" s="83" t="str">
        <x:v>Mercato e output</x:v>
      </x:c>
      <x:c r="C130" s="83" t="str">
        <x:v>Solver</x:v>
      </x:c>
      <x:c r="D130" s="83" t="str">
        <x:v>solver_configuration</x:v>
      </x:c>
      <x:c r="E130" s="83" t="str">
        <x:v>Solver, gap, time limit, presolve e logging.</x:v>
      </x:c>
      <x:c r="F130" s="83" t="str">
        <x:v>text/number</x:v>
      </x:c>
      <x:c r="G130" s="83" t="str">
        <x:v>Tutti</x:v>
      </x:c>
      <x:c r="H130" s="83" t="str">
        <x:v>Tutti</x:v>
      </x:c>
      <x:c r="I130" s="83" t="str">
        <x:v>Statico</x:v>
      </x:c>
      <x:c r="J130" s="83" t="str">
        <x:v>Sistema</x:v>
      </x:c>
      <x:c r="K130" s="83" t="str">
        <x:v>Tutte</x:v>
      </x:c>
      <x:c r="L130" s="83" t="str">
        <x:v>Config</x:v>
      </x:c>
      <x:c r="M130" s="83" t="str">
        <x:v>solving.solver; options</x:v>
      </x:c>
      <x:c r="N130" s="83" t="str">
        <x:v>YAML</x:v>
      </x:c>
      <x:c r="O130" s="83" t="str">
        <x:v>Sì</x:v>
      </x:c>
      <x:c r="P130" s="83" t="str">
        <x:v>Sì</x:v>
      </x:c>
      <x:c r="Q130" s="83" t="str">
        <x:v>PyPSA-Eur config</x:v>
      </x:c>
      <x:c r="R130" s="83" t="str">
        <x:v>Project CLI repo</x:v>
      </x:c>
      <x:c r="S130" s="83" t="str">
        <x:v>Configurazione riproducibile.</x:v>
      </x:c>
      <x:c r="T130" s="83" t="str">
        <x:v>Da coordinare</x:v>
      </x:c>
      <x:c r="U130" s="83" t="str">
        <x:v>A</x:v>
      </x:c>
      <x:c r="V130" s="83" t="str">
        <x:v>D36</x:v>
      </x:c>
      <x:c r="W130" s="83" t="str">
        <x:v>Fase 7</x:v>
      </x:c>
      <x:c r="X130" s="83" t="str"/>
    </x:row>
    <x:row r="131">
      <x:c r="A131" s="83" t="str">
        <x:v>REQ-127</x:v>
      </x:c>
      <x:c r="B131" s="83" t="str">
        <x:v>Mercato e output</x:v>
      </x:c>
      <x:c r="C131" s="83" t="str">
        <x:v>Riproducibilità</x:v>
      </x:c>
      <x:c r="D131" s="83" t="str">
        <x:v>software_versions_seeds</x:v>
      </x:c>
      <x:c r="E131" s="83" t="str">
        <x:v>Versioni PyPSA, PyPSA-Eur, solver, dati e seed.</x:v>
      </x:c>
      <x:c r="F131" s="83" t="str">
        <x:v>text</x:v>
      </x:c>
      <x:c r="G131" s="83" t="str">
        <x:v>Tutti</x:v>
      </x:c>
      <x:c r="H131" s="83" t="str">
        <x:v>Tutti</x:v>
      </x:c>
      <x:c r="I131" s="83" t="str">
        <x:v>Statico</x:v>
      </x:c>
      <x:c r="J131" s="83" t="str">
        <x:v>Sistema</x:v>
      </x:c>
      <x:c r="K131" s="83" t="str">
        <x:v>Tutte</x:v>
      </x:c>
      <x:c r="L131" s="83" t="str">
        <x:v>Metadata</x:v>
      </x:c>
      <x:c r="M131" s="83" t="str">
        <x:v>version; git commit; solver version</x:v>
      </x:c>
      <x:c r="N131" s="83" t="str">
        <x:v>Manifest</x:v>
      </x:c>
      <x:c r="O131" s="83" t="str">
        <x:v>Sì</x:v>
      </x:c>
      <x:c r="P131" s="83" t="str">
        <x:v>No</x:v>
      </x:c>
      <x:c r="Q131" s="83" t="str">
        <x:v>Project CLI repo</x:v>
      </x:c>
      <x:c r="R131" s="83" t="str">
        <x:v>Environment lock</x:v>
      </x:c>
      <x:c r="S131" s="83" t="str">
        <x:v>Registrare in ogni run.</x:v>
      </x:c>
      <x:c r="T131" s="83" t="str">
        <x:v>Da coordinare</x:v>
      </x:c>
      <x:c r="U131" s="83" t="str">
        <x:v>A</x:v>
      </x:c>
      <x:c r="V131" s="83" t="str">
        <x:v>D36</x:v>
      </x:c>
      <x:c r="W131" s="83" t="str">
        <x:v>Fase 7</x:v>
      </x:c>
      <x:c r="X131" s="83" t="str"/>
    </x:row>
    <x:row r="132">
      <x:c r="A132" s="83" t="str">
        <x:v>REQ-128</x:v>
      </x:c>
      <x:c r="B132" s="83" t="str">
        <x:v>Mercato e output</x:v>
      </x:c>
      <x:c r="C132" s="83" t="str">
        <x:v>Sensitività</x:v>
      </x:c>
      <x:c r="D132" s="83" t="str">
        <x:v>sensitivity_matrix</x:v>
      </x:c>
      <x:c r="E132" s="83" t="str">
        <x:v>Set controllato di sensitività: meteo, rete, fuel/CO2, domanda, storage, nucleare, UC.</x:v>
      </x:c>
      <x:c r="F132" s="83" t="str">
        <x:v>matrix</x:v>
      </x:c>
      <x:c r="G132" s="83" t="str">
        <x:v>2040; 2050</x:v>
      </x:c>
      <x:c r="H132" s="83" t="str">
        <x:v>Sensitività</x:v>
      </x:c>
      <x:c r="I132" s="83" t="str">
        <x:v>Run-level</x:v>
      </x:c>
      <x:c r="J132" s="83" t="str">
        <x:v>Sistema</x:v>
      </x:c>
      <x:c r="K132" s="83" t="str">
        <x:v>Tutte</x:v>
      </x:c>
      <x:c r="L132" s="83" t="str">
        <x:v>Config/scenario</x:v>
      </x:c>
      <x:c r="M132" s="83" t="str">
        <x:v>scenario overrides</x:v>
      </x:c>
      <x:c r="N132" s="83" t="str">
        <x:v>Matrice scenari</x:v>
      </x:c>
      <x:c r="O132" s="83" t="str">
        <x:v>Sì</x:v>
      </x:c>
      <x:c r="P132" s="83" t="str">
        <x:v>Sì</x:v>
      </x:c>
      <x:c r="Q132" s="83" t="str">
        <x:v>Piano operativo</x:v>
      </x:c>
      <x:c r="R132" s="83" t="str">
        <x:v>Evidenza Fasi 3-4</x:v>
      </x:c>
      <x:c r="S132" s="83" t="str">
        <x:v>Una variabile principale per volta oltre ai casi combinati.</x:v>
      </x:c>
      <x:c r="T132" s="83" t="str">
        <x:v>Da definire</x:v>
      </x:c>
      <x:c r="U132" s="83" t="str">
        <x:v>A-C</x:v>
      </x:c>
      <x:c r="V132" s="83" t="str">
        <x:v>D33</x:v>
      </x:c>
      <x:c r="W132" s="83" t="str">
        <x:v>Fase 4</x:v>
      </x:c>
      <x:c r="X132" s="83" t="str"/>
    </x:row>
    <x:row r="133">
      <x:c r="A133" s="83" t="str">
        <x:v>REQ-129</x:v>
      </x:c>
      <x:c r="B133" s="83" t="str">
        <x:v>Mercato e output</x:v>
      </x:c>
      <x:c r="C133" s="83" t="str">
        <x:v>QA</x:v>
      </x:c>
      <x:c r="D133" s="83" t="str">
        <x:v>energy_balance_checks</x:v>
      </x:c>
      <x:c r="E133" s="83" t="str">
        <x:v>Controlli di bilancio, capacità, unità, profili e doppio conteggio.</x:v>
      </x:c>
      <x:c r="F133" s="83" t="str">
        <x:v>boolean/error</x:v>
      </x:c>
      <x:c r="G133" s="83" t="str">
        <x:v>Tutti</x:v>
      </x:c>
      <x:c r="H133" s="83" t="str">
        <x:v>Tutti</x:v>
      </x:c>
      <x:c r="I133" s="83" t="str">
        <x:v>Orario/annuale</x:v>
      </x:c>
      <x:c r="J133" s="83" t="str">
        <x:v>Zona/sistema</x:v>
      </x:c>
      <x:c r="K133" s="83" t="str">
        <x:v>Tutte</x:v>
      </x:c>
      <x:c r="L133" s="83" t="str">
        <x:v>QA/post-processing</x:v>
      </x:c>
      <x:c r="M133" s="83" t="str">
        <x:v>balance residuals</x:v>
      </x:c>
      <x:c r="N133" s="83" t="str">
        <x:v>Checklist e formule</x:v>
      </x:c>
      <x:c r="O133" s="83" t="str">
        <x:v>Sì</x:v>
      </x:c>
      <x:c r="P133" s="83" t="str">
        <x:v>No</x:v>
      </x:c>
      <x:c r="Q133" s="83" t="str">
        <x:v>Piano operativo</x:v>
      </x:c>
      <x:c r="R133" s="83" t="str">
        <x:v>PyPSA consistency checks</x:v>
      </x:c>
      <x:c r="S133" s="83" t="str">
        <x:v>Tolleranze esplicite.</x:v>
      </x:c>
      <x:c r="T133" s="83" t="str">
        <x:v>Definito</x:v>
      </x:c>
      <x:c r="U133" s="83" t="str">
        <x:v>A</x:v>
      </x:c>
      <x:c r="V133" s="83" t="str">
        <x:v>D34</x:v>
      </x:c>
      <x:c r="W133" s="83" t="str">
        <x:v>Continuo/Fase 7</x:v>
      </x:c>
      <x:c r="X133" s="83" t="str"/>
    </x:row>
    <x:row r="134">
      <x:c r="A134" s="83" t="str">
        <x:v>REQ-130</x:v>
      </x:c>
      <x:c r="B134" s="83" t="str">
        <x:v>Costi di contesto</x:v>
      </x:c>
      <x:c r="C134" s="83" t="str">
        <x:v>Investimenti</x:v>
      </x:c>
      <x:c r="D134" s="83" t="str">
        <x:v>capex</x:v>
      </x:c>
      <x:c r="E134" s="83" t="str">
        <x:v>Costo di investimento per tecnologia.</x:v>
      </x:c>
      <x:c r="F134" s="83" t="str">
        <x:v>EUR/MW or EUR/MWh</x:v>
      </x:c>
      <x:c r="G134" s="83" t="str">
        <x:v>2040; 2050</x:v>
      </x:c>
      <x:c r="H134" s="83" t="str">
        <x:v>Tutti</x:v>
      </x:c>
      <x:c r="I134" s="83" t="str">
        <x:v>Statico</x:v>
      </x:c>
      <x:c r="J134" s="83" t="str">
        <x:v>Tecnologia</x:v>
      </x:c>
      <x:c r="K134" s="83" t="str">
        <x:v>Generazione; storage; rete</x:v>
      </x:c>
      <x:c r="L134" s="83" t="str">
        <x:v>Generator/Link/Store (non usato nel base)</x:v>
      </x:c>
      <x:c r="M134" s="83" t="str">
        <x:v>capital_cost/overnight_cost (solo metadata o zero nell'objective base)</x:v>
      </x:c>
      <x:c r="N134" s="83" t="str">
        <x:v>Valore normalizzato</x:v>
      </x:c>
      <x:c r="O134" s="83" t="str">
        <x:v>Desiderabile</x:v>
      </x:c>
      <x:c r="P134" s="83" t="str">
        <x:v>No</x:v>
      </x:c>
      <x:c r="Q134" s="83" t="str">
        <x:v>S07; S08</x:v>
      </x:c>
      <x:c r="R134" s="83" t="str">
        <x:v>PyPSA technology-data; JRC/DEA</x:v>
      </x:c>
      <x:c r="S134" s="83" t="str">
        <x:v>Raccogliere per contesto e future extension.</x:v>
      </x:c>
      <x:c r="T134" s="83" t="str">
        <x:v>Context extracted / external candidates; excluded from dispatch-only objective</x:v>
      </x:c>
      <x:c r="U134" s="83" t="str">
        <x:v>B-D</x:v>
      </x:c>
      <x:c r="V134" s="83" t="str">
        <x:v>D35</x:v>
      </x:c>
      <x:c r="W134" s="83" t="str">
        <x:v>Fase 3D</x:v>
      </x:c>
      <x:c r="X134" s="83" t="str">
        <x:v>Phase 3D evidence incorporated</x:v>
      </x:c>
    </x:row>
    <x:row r="135">
      <x:c r="A135" s="83" t="str">
        <x:v>REQ-131</x:v>
      </x:c>
      <x:c r="B135" s="83" t="str">
        <x:v>Costi di contesto</x:v>
      </x:c>
      <x:c r="C135" s="83" t="str">
        <x:v>O&amp;M fisso</x:v>
      </x:c>
      <x:c r="D135" s="83" t="str">
        <x:v>fixed_om</x:v>
      </x:c>
      <x:c r="E135" s="83" t="str">
        <x:v>Costo fisso annuale.</x:v>
      </x:c>
      <x:c r="F135" s="83" t="str">
        <x:v>EUR/MW/year</x:v>
      </x:c>
      <x:c r="G135" s="83" t="str">
        <x:v>2040; 2050</x:v>
      </x:c>
      <x:c r="H135" s="83" t="str">
        <x:v>Tutti</x:v>
      </x:c>
      <x:c r="I135" s="83" t="str">
        <x:v>Statico</x:v>
      </x:c>
      <x:c r="J135" s="83" t="str">
        <x:v>Tecnologia</x:v>
      </x:c>
      <x:c r="K135" s="83" t="str">
        <x:v>Generazione; storage; rete</x:v>
      </x:c>
      <x:c r="L135" s="83" t="str">
        <x:v>Generator/Link/Store (contesto)</x:v>
      </x:c>
      <x:c r="M135" s="83" t="str">
        <x:v>fom_cost or metadata</x:v>
      </x:c>
      <x:c r="N135" s="83" t="str">
        <x:v>Valore</x:v>
      </x:c>
      <x:c r="O135" s="83" t="str">
        <x:v>Desiderabile</x:v>
      </x:c>
      <x:c r="P135" s="83" t="str">
        <x:v>No</x:v>
      </x:c>
      <x:c r="Q135" s="83" t="str">
        <x:v>S07; S08</x:v>
      </x:c>
      <x:c r="R135" s="83" t="str">
        <x:v>PyPSA technology-data; JRC/DEA</x:v>
      </x:c>
      <x:c r="S135" s="83" t="str">
        <x:v>Non deve alterare dispatch con capacità fisse.</x:v>
      </x:c>
      <x:c r="T135" s="83" t="str">
        <x:v>Gap</x:v>
      </x:c>
      <x:c r="U135" s="83" t="str">
        <x:v>B-D</x:v>
      </x:c>
      <x:c r="V135" s="83" t="str">
        <x:v>D35</x:v>
      </x:c>
      <x:c r="W135" s="83" t="str">
        <x:v>Fase 3D</x:v>
      </x:c>
      <x:c r="X135" s="83" t="str"/>
    </x:row>
    <x:row r="136">
      <x:c r="A136" s="83" t="str">
        <x:v>REQ-132</x:v>
      </x:c>
      <x:c r="B136" s="83" t="str">
        <x:v>Costi di contesto</x:v>
      </x:c>
      <x:c r="C136" s="83" t="str">
        <x:v>Vita tecnica</x:v>
      </x:c>
      <x:c r="D136" s="83" t="str">
        <x:v>lifetime</x:v>
      </x:c>
      <x:c r="E136" s="83" t="str">
        <x:v>Vita tecnica degli asset.</x:v>
      </x:c>
      <x:c r="F136" s="83" t="str">
        <x:v>years</x:v>
      </x:c>
      <x:c r="G136" s="83" t="str">
        <x:v>2040; 2050</x:v>
      </x:c>
      <x:c r="H136" s="83" t="str">
        <x:v>Tutti</x:v>
      </x:c>
      <x:c r="I136" s="83" t="str">
        <x:v>Statico</x:v>
      </x:c>
      <x:c r="J136" s="83" t="str">
        <x:v>Tecnologia</x:v>
      </x:c>
      <x:c r="K136" s="83" t="str">
        <x:v>Tutte</x:v>
      </x:c>
      <x:c r="L136" s="83" t="str">
        <x:v>Generator/Link/Store</x:v>
      </x:c>
      <x:c r="M136" s="83" t="str">
        <x:v>lifetime</x:v>
      </x:c>
      <x:c r="N136" s="83" t="str">
        <x:v>Valore</x:v>
      </x:c>
      <x:c r="O136" s="83" t="str">
        <x:v>Desiderabile</x:v>
      </x:c>
      <x:c r="P136" s="83" t="str">
        <x:v>No</x:v>
      </x:c>
      <x:c r="Q136" s="83" t="str">
        <x:v>S07 se disponibile</x:v>
      </x:c>
      <x:c r="R136" s="83" t="str">
        <x:v>PyPSA technology-data; JRC/DEA</x:v>
      </x:c>
      <x:c r="S136" s="83" t="str">
        <x:v>Contesto e controllo status asset.</x:v>
      </x:c>
      <x:c r="T136" s="83" t="str">
        <x:v>Context extracted / external candidates; excluded from dispatch-only objective</x:v>
      </x:c>
      <x:c r="U136" s="83" t="str">
        <x:v>B-D</x:v>
      </x:c>
      <x:c r="V136" s="83" t="str">
        <x:v>D35</x:v>
      </x:c>
      <x:c r="W136" s="83" t="str">
        <x:v>Fase 3D</x:v>
      </x:c>
      <x:c r="X136" s="83" t="str">
        <x:v>Phase 3D evidence incorporated</x:v>
      </x:c>
    </x:row>
    <x:row r="137">
      <x:c r="A137" s="83" t="str">
        <x:v>REQ-133</x:v>
      </x:c>
      <x:c r="B137" s="83" t="str">
        <x:v>Costi di contesto</x:v>
      </x:c>
      <x:c r="C137" s="83" t="str">
        <x:v>Finanza</x:v>
      </x:c>
      <x:c r="D137" s="83" t="str">
        <x:v>discount_rate_wacc</x:v>
      </x:c>
      <x:c r="E137" s="83" t="str">
        <x:v>Tasso di sconto/WACC per annualizzazione.</x:v>
      </x:c>
      <x:c r="F137" s="83" t="str">
        <x:v>p.u.</x:v>
      </x:c>
      <x:c r="G137" s="83" t="str">
        <x:v>2040; 2050</x:v>
      </x:c>
      <x:c r="H137" s="83" t="str">
        <x:v>Tutti</x:v>
      </x:c>
      <x:c r="I137" s="83" t="str">
        <x:v>Statico</x:v>
      </x:c>
      <x:c r="J137" s="83" t="str">
        <x:v>Tecnologia/sistema</x:v>
      </x:c>
      <x:c r="K137" s="83" t="str">
        <x:v>Tutte</x:v>
      </x:c>
      <x:c r="L137" s="83" t="str">
        <x:v>Cost preprocessing</x:v>
      </x:c>
      <x:c r="M137" s="83" t="str">
        <x:v>discount_rate</x:v>
      </x:c>
      <x:c r="N137" s="83" t="str">
        <x:v>Valore</x:v>
      </x:c>
      <x:c r="O137" s="83" t="str">
        <x:v>Desiderabile</x:v>
      </x:c>
      <x:c r="P137" s="83" t="str">
        <x:v>No</x:v>
      </x:c>
      <x:c r="Q137" s="83" t="str">
        <x:v>S07/S08 se disponibili</x:v>
      </x:c>
      <x:c r="R137" s="83" t="str">
        <x:v>PyPSA technology-data/official assumptions</x:v>
      </x:c>
      <x:c r="S137" s="83" t="str">
        <x:v>Solo contesto nel dispatch-only.</x:v>
      </x:c>
      <x:c r="T137" s="83" t="str">
        <x:v>Context extracted / external candidates; excluded from dispatch-only objective</x:v>
      </x:c>
      <x:c r="U137" s="83" t="str">
        <x:v>B-D</x:v>
      </x:c>
      <x:c r="V137" s="83" t="str">
        <x:v>D35</x:v>
      </x:c>
      <x:c r="W137" s="83" t="str">
        <x:v>Fase 3D</x:v>
      </x:c>
      <x:c r="X137" s="83" t="str">
        <x:v>Phase 3D evidence incorporated</x:v>
      </x:c>
    </x:row>
    <x:row r="138">
      <x:c r="A138" s="83" t="str">
        <x:v>REQ-134</x:v>
      </x:c>
      <x:c r="B138" s="83" t="str">
        <x:v>Costi di contesto</x:v>
      </x:c>
      <x:c r="C138" s="83" t="str">
        <x:v>Controllo objective</x:v>
      </x:c>
      <x:c r="D138" s="83" t="str">
        <x:v>exclude_fixed_costs_from_dispatch_objective</x:v>
      </x:c>
      <x:c r="E138" s="83" t="str">
        <x:v>Regola che impedisce a CAPEX/FOM di influenzare il caso base a capacità fisse.</x:v>
      </x:c>
      <x:c r="F138" s="83" t="str">
        <x:v>boolean</x:v>
      </x:c>
      <x:c r="G138" s="83" t="str">
        <x:v>2040; 2050</x:v>
      </x:c>
      <x:c r="H138" s="83" t="str">
        <x:v>Base</x:v>
      </x:c>
      <x:c r="I138" s="83" t="str">
        <x:v>Statico</x:v>
      </x:c>
      <x:c r="J138" s="83" t="str">
        <x:v>Sistema</x:v>
      </x:c>
      <x:c r="K138" s="83" t="str">
        <x:v>Tutte</x:v>
      </x:c>
      <x:c r="L138" s="83" t="str">
        <x:v>Generator/Link/Store/StorageUnit</x:v>
      </x:c>
      <x:c r="M138" s="83" t="str">
        <x:v>capital_cost/fom_cost handling</x:v>
      </x:c>
      <x:c r="N138" s="83" t="str">
        <x:v>Regola implementativa</x:v>
      </x:c>
      <x:c r="O138" s="83" t="str">
        <x:v>Sì</x:v>
      </x:c>
      <x:c r="P138" s="83" t="str">
        <x:v>Sì</x:v>
      </x:c>
      <x:c r="Q138" s="83" t="str">
        <x:v>Consegna progetto</x:v>
      </x:c>
      <x:c r="R138" s="83" t="str">
        <x:v>PyPSA docs</x:v>
      </x:c>
      <x:c r="S138" s="83" t="str">
        <x:v>Impostare zero o verificare che non entrino con capacità non estendibili; conservare in metadata.</x:v>
      </x:c>
      <x:c r="T138" s="83" t="str">
        <x:v>Definito</x:v>
      </x:c>
      <x:c r="U138" s="83" t="str">
        <x:v>A</x:v>
      </x:c>
      <x:c r="V138" s="83" t="str">
        <x:v>D01</x:v>
      </x:c>
      <x:c r="W138" s="83" t="str">
        <x:v>Fase 7</x:v>
      </x:c>
      <x:c r="X138" s="83" t="str"/>
    </x:row>
  </x:sheetData>
  <x:mergeCells>
    <x:mergeCell ref="A1:X1"/>
    <x:mergeCell ref="A2:X2"/>
  </x:mergeCells>
  <x:conditionalFormatting sqref="P5:P138">
    <x:cfRule type="expression" dxfId="13" priority="1">
      <x:formula>P5="Sì"</x:formula>
    </x:cfRule>
  </x:conditionalFormatting>
  <x:conditionalFormatting sqref="T5:T138">
    <x:cfRule type="expression" dxfId="14" priority="2">
      <x:formula>ISNUMBER(SEARCH("Gap",T5))</x:formula>
    </x:cfRule>
    <x:cfRule type="expression" dxfId="15" priority="3">
      <x:formula>ISNUMBER(SEARCH("Decision",T5))</x:formula>
    </x:cfRule>
    <x:cfRule type="expression" dxfId="16" priority="4">
      <x:formula>ISNUMBER(SEARCH("Definito",T5))</x:formula>
    </x:cfRule>
  </x:conditionalFormatting>
  <x:dataValidations count="3">
    <x:dataValidation type="list" sqref="O5:O138">
      <x:formula1>99_LISTS!$A$2:$A$12</x:formula1>
    </x:dataValidation>
    <x:dataValidation type="list" sqref="P5:P138">
      <x:formula1>99_LISTS!$B$2:$B$3</x:formula1>
    </x:dataValidation>
    <x:dataValidation type="list" sqref="U5:U138">
      <x:formula1>99_LISTS!$D$2:$D$11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eff80b4add4d2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50" hidden="0" customWidth="1"/>
    <x:col min="7" max="7" width="18" hidden="0" customWidth="1"/>
    <x:col min="8" max="8" width="34" hidden="0" customWidth="1"/>
    <x:col min="9" max="9" width="46" hidden="0" customWidth="1"/>
    <x:col min="10" max="10" width="48" hidden="0" customWidth="1"/>
    <x:col min="11" max="11" width="34" hidden="0" customWidth="1"/>
    <x:col min="12" max="12" width="14" hidden="0" customWidth="1"/>
    <x:col min="13" max="13" width="44" hidden="0" customWidth="1"/>
    <x:col min="14" max="14" width="48" hidden="0" customWidth="1"/>
    <x:col min="15" max="15" width="26" hidden="0" customWidth="1"/>
  </x:cols>
  <x:sheetData>
    <x:row r="1" ht="34" customHeight="1">
      <x:c r="A1" s="97" t="str">
        <x:v>Crosswalk degli input verso PyPSA/PyPSA-Eur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</x:row>
    <x:row r="2" ht="30" customHeight="1">
      <x:c r="A2" s="101" t="str">
        <x:v>Semantica verificata contro la documentazione ufficiale corrente; il commit del progetto CLI prevale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</x:row>
    <x:row r="4" ht="38" customHeight="1">
      <x:c r="A4" s="119" t="str">
        <x:v>Map ID</x:v>
      </x:c>
      <x:c r="B4" s="119" t="str">
        <x:v>Blocco input</x:v>
      </x:c>
      <x:c r="C4" s="119" t="str">
        <x:v>Concetto</x:v>
      </x:c>
      <x:c r="D4" s="119" t="str">
        <x:v>Componente PyPSA</x:v>
      </x:c>
      <x:c r="E4" s="119" t="str">
        <x:v>Statico / serie</x:v>
      </x:c>
      <x:c r="F4" s="119" t="str">
        <x:v>Campo/i</x:v>
      </x:c>
      <x:c r="G4" s="119" t="str">
        <x:v>Unità</x:v>
      </x:c>
      <x:c r="H4" s="119" t="str">
        <x:v>Convenzione segno</x:v>
      </x:c>
      <x:c r="I4" s="119" t="str">
        <x:v>Trattamento dispatch-only</x:v>
      </x:c>
      <x:c r="J4" s="119" t="str">
        <x:v>Trasformazione</x:v>
      </x:c>
      <x:c r="K4" s="119" t="str">
        <x:v>Fonte prevista</x:v>
      </x:c>
      <x:c r="L4" s="119" t="str">
        <x:v>Decision ID</x:v>
      </x:c>
      <x:c r="M4" s="119" t="str">
        <x:v>Controllo QA</x:v>
      </x:c>
      <x:c r="N4" s="119" t="str">
        <x:v>Documentazione ufficiale</x:v>
      </x:c>
      <x:c r="O4" s="119" t="str">
        <x:v>Stato</x:v>
      </x:c>
    </x:row>
    <x:row r="5">
      <x:c r="A5" s="83" t="str">
        <x:v>MAP-001</x:v>
      </x:c>
      <x:c r="B5" s="83" t="str">
        <x:v>Scenario</x:v>
      </x:c>
      <x:c r="C5" s="83" t="str">
        <x:v>Snapshot index</x:v>
      </x:c>
      <x:c r="D5" s="83" t="str">
        <x:v>Network</x:v>
      </x:c>
      <x:c r="E5" s="83" t="str">
        <x:v>Time series</x:v>
      </x:c>
      <x:c r="F5" s="83" t="str">
        <x:v>snapshots</x:v>
      </x:c>
      <x:c r="G5" s="83" t="str">
        <x:v>datetime</x:v>
      </x:c>
      <x:c r="H5" s="83" t="str">
        <x:v>Monotonic index; no duplicates</x:v>
      </x:c>
      <x:c r="I5" s="83" t="str">
        <x:v>Full-year hourly base</x:v>
      </x:c>
      <x:c r="J5" s="83" t="str">
        <x:v>Create timezone-consistent datetime index</x:v>
      </x:c>
      <x:c r="K5" s="83" t="str">
        <x:v>Project CLI + Terna profiles</x:v>
      </x:c>
      <x:c r="L5" s="83" t="str">
        <x:v>D04</x:v>
      </x:c>
      <x:c r="M5" s="83" t="str">
        <x:v>8760/8784 rows and no gaps</x:v>
      </x:c>
      <x:c r="N5" s="120" t="str">
        <x:v>https://pypsa-eur.readthedocs.io/en/latest/configuration.html</x:v>
      </x:c>
      <x:c r="O5" s="83" t="str">
        <x:v>Ready for data extraction</x:v>
      </x:c>
    </x:row>
    <x:row r="6">
      <x:c r="A6" s="83" t="str">
        <x:v>MAP-002</x:v>
      </x:c>
      <x:c r="B6" s="83" t="str">
        <x:v>Scenario</x:v>
      </x:c>
      <x:c r="C6" s="83" t="str">
        <x:v>Snapshot weights</x:v>
      </x:c>
      <x:c r="D6" s="83" t="str">
        <x:v>Network</x:v>
      </x:c>
      <x:c r="E6" s="83" t="str">
        <x:v>Time series</x:v>
      </x:c>
      <x:c r="F6" s="83" t="str">
        <x:v>snapshot_weightings</x:v>
      </x:c>
      <x:c r="G6" s="83" t="str">
        <x:v>hours</x:v>
      </x:c>
      <x:c r="H6" s="83" t="str">
        <x:v>Positive weights</x:v>
      </x:c>
      <x:c r="I6" s="83" t="str">
        <x:v>Set to 1 for hourly full year</x:v>
      </x:c>
      <x:c r="J6" s="83" t="str">
        <x:v>Assign objective/generator/store weights consistently</x:v>
      </x:c>
      <x:c r="K6" s="83" t="str">
        <x:v>Project CLI</x:v>
      </x:c>
      <x:c r="L6" s="83" t="str">
        <x:v>D04</x:v>
      </x:c>
      <x:c r="M6" s="83" t="str">
        <x:v>Annual sums equal unweighted hourly sums</x:v>
      </x:c>
      <x:c r="N6" s="120" t="str">
        <x:v>https://pypsa-eur.readthedocs.io/en/latest/configuration.html</x:v>
      </x:c>
      <x:c r="O6" s="83" t="str">
        <x:v>Ready for data extraction</x:v>
      </x:c>
    </x:row>
    <x:row r="7">
      <x:c r="A7" s="83" t="str">
        <x:v>MAP-003</x:v>
      </x:c>
      <x:c r="B7" s="83" t="str">
        <x:v>Geography</x:v>
      </x:c>
      <x:c r="C7" s="83" t="str">
        <x:v>Italian/foreign market nodes</x:v>
      </x:c>
      <x:c r="D7" s="83" t="str">
        <x:v>Bus</x:v>
      </x:c>
      <x:c r="E7" s="83" t="str">
        <x:v>Static</x:v>
      </x:c>
      <x:c r="F7" s="83" t="str">
        <x:v>name; carrier; country; x; y</x:v>
      </x:c>
      <x:c r="G7" s="83" t="str">
        <x:v>text/degrees</x:v>
      </x:c>
      <x:c r="H7" s="83" t="str">
        <x:v>One bus per modeled zone in transport base</x:v>
      </x:c>
      <x:c r="I7" s="83" t="str">
        <x:v>Fixed topology</x:v>
      </x:c>
      <x:c r="J7" s="83" t="str">
        <x:v>Create buses and mapping table</x:v>
      </x:c>
      <x:c r="K7" s="83" t="str">
        <x:v>S01/S03/S05 + PyPSA-Eur</x:v>
      </x:c>
      <x:c r="L7" s="83" t="str">
        <x:v>D01;D02;D03</x:v>
      </x:c>
      <x:c r="M7" s="83" t="str">
        <x:v>Every asset maps to one valid bus</x:v>
      </x:c>
      <x:c r="N7" s="120" t="str">
        <x:v>https://docs.pypsa.org/latest/user-guide/components/buses/</x:v>
      </x:c>
      <x:c r="O7" s="83" t="str">
        <x:v>Ready for data extraction</x:v>
      </x:c>
    </x:row>
    <x:row r="8">
      <x:c r="A8" s="83" t="str">
        <x:v>MAP-004</x:v>
      </x:c>
      <x:c r="B8" s="83" t="str">
        <x:v>Demand</x:v>
      </x:c>
      <x:c r="C8" s="83" t="str">
        <x:v>Fixed hourly demand</x:v>
      </x:c>
      <x:c r="D8" s="83" t="str">
        <x:v>Load</x:v>
      </x:c>
      <x:c r="E8" s="83" t="str">
        <x:v>Time series</x:v>
      </x:c>
      <x:c r="F8" s="83" t="str">
        <x:v>bus; p_set</x:v>
      </x:c>
      <x:c r="G8" s="83" t="str">
        <x:v>MW</x:v>
      </x:c>
      <x:c r="H8" s="83" t="str">
        <x:v>Positive consumption</x:v>
      </x:c>
      <x:c r="I8" s="83" t="str">
        <x:v>Exogenous inelastic load</x:v>
      </x:c>
      <x:c r="J8" s="83" t="str">
        <x:v>Scale normalized profiles to annual zonal totals</x:v>
      </x:c>
      <x:c r="K8" s="83" t="str">
        <x:v>S01/S07/S08 + Terna/PyPSA-Eur profiles</x:v>
      </x:c>
      <x:c r="L8" s="83" t="str">
        <x:v>D06;D08</x:v>
      </x:c>
      <x:c r="M8" s="83" t="str">
        <x:v>Sum p_set × weights matches annual demand</x:v>
      </x:c>
      <x:c r="N8" s="120" t="str">
        <x:v>https://docs.pypsa.org/latest/user-guide/components/loads/</x:v>
      </x:c>
      <x:c r="O8" s="83" t="str">
        <x:v>Ready for data extraction</x:v>
      </x:c>
    </x:row>
    <x:row r="9">
      <x:c r="A9" s="83" t="str">
        <x:v>MAP-005</x:v>
      </x:c>
      <x:c r="B9" s="83" t="str">
        <x:v>Demand</x:v>
      </x:c>
      <x:c r="C9" s="83" t="str">
        <x:v>Sector-specific/new loads</x:v>
      </x:c>
      <x:c r="D9" s="83" t="str">
        <x:v>Load</x:v>
      </x:c>
      <x:c r="E9" s="83" t="str">
        <x:v>Static + time series</x:v>
      </x:c>
      <x:c r="F9" s="83" t="str">
        <x:v>carrier; bus; p_set</x:v>
      </x:c>
      <x:c r="G9" s="83" t="str">
        <x:v>MW</x:v>
      </x:c>
      <x:c r="H9" s="83" t="str">
        <x:v>Positive consumption</x:v>
      </x:c>
      <x:c r="I9" s="83" t="str">
        <x:v>Separate components where shape/flex differs</x:v>
      </x:c>
      <x:c r="J9" s="83" t="str">
        <x:v>Build one Load per zone-sector</x:v>
      </x:c>
      <x:c r="K9" s="83" t="str">
        <x:v>S04/S07/S08 + external profiles</x:v>
      </x:c>
      <x:c r="L9" s="83" t="str">
        <x:v>D07</x:v>
      </x:c>
      <x:c r="M9" s="83" t="str">
        <x:v>Sector sums reconcile to total</x:v>
      </x:c>
      <x:c r="N9" s="120" t="str">
        <x:v>https://docs.pypsa.org/latest/user-guide/components/loads/</x:v>
      </x:c>
      <x:c r="O9" s="83" t="str">
        <x:v>Ready for data extraction</x:v>
      </x:c>
    </x:row>
    <x:row r="10">
      <x:c r="A10" s="83" t="str">
        <x:v>MAP-006</x:v>
      </x:c>
      <x:c r="B10" s="83" t="str">
        <x:v>Demand</x:v>
      </x:c>
      <x:c r="C10" s="83" t="str">
        <x:v>Load shedding</x:v>
      </x:c>
      <x:c r="D10" s="83" t="str">
        <x:v>Generator</x:v>
      </x:c>
      <x:c r="E10" s="83" t="str">
        <x:v>Static + output</x:v>
      </x:c>
      <x:c r="F10" s="83" t="str">
        <x:v>bus; carrier; p_nom; marginal_cost; p_nom_extendable=False</x:v>
      </x:c>
      <x:c r="G10" s="83" t="str">
        <x:v>MW; EUR/MWh</x:v>
      </x:c>
      <x:c r="H10" s="83" t="str">
        <x:v>Positive generation replaces unserved load</x:v>
      </x:c>
      <x:c r="I10" s="83" t="str">
        <x:v>Virtual generator with high finite cost</x:v>
      </x:c>
      <x:c r="J10" s="83" t="str">
        <x:v>p_nom at least zonal peak; cost=VOLL</x:v>
      </x:c>
      <x:c r="K10" s="83" t="str">
        <x:v>Terna adequacy + PyPSA market examples</x:v>
      </x:c>
      <x:c r="L10" s="83" t="str">
        <x:v>D28</x:v>
      </x:c>
      <x:c r="M10" s="83" t="str">
        <x:v>Zero dispatch in normal cases; EENS reported</x:v>
      </x:c>
      <x:c r="N10" s="120" t="str">
        <x:v>https://docs.pypsa.org/latest/examples/simple-electricity-market-examples/</x:v>
      </x:c>
      <x:c r="O10" s="83" t="str">
        <x:v>Ready for data extraction</x:v>
      </x:c>
    </x:row>
    <x:row r="11">
      <x:c r="A11" s="83" t="str">
        <x:v>MAP-007</x:v>
      </x:c>
      <x:c r="B11" s="83" t="str">
        <x:v>Generation</x:v>
      </x:c>
      <x:c r="C11" s="83" t="str">
        <x:v>Fixed dispatchable capacity</x:v>
      </x:c>
      <x:c r="D11" s="83" t="str">
        <x:v>Generator</x:v>
      </x:c>
      <x:c r="E11" s="83" t="str">
        <x:v>Static</x:v>
      </x:c>
      <x:c r="F11" s="83" t="str">
        <x:v>bus; carrier; p_nom; p_nom_extendable=False</x:v>
      </x:c>
      <x:c r="G11" s="83" t="str">
        <x:v>MW</x:v>
      </x:c>
      <x:c r="H11" s="83" t="str">
        <x:v>p&gt;0 generation</x:v>
      </x:c>
      <x:c r="I11" s="83" t="str">
        <x:v>Capacity exogenous</x:v>
      </x:c>
      <x:c r="J11" s="83" t="str">
        <x:v>Load harmonized capacity by zone/cohort</x:v>
      </x:c>
      <x:c r="K11" s="83" t="str">
        <x:v>S01/S07/S08/DDS/Gaudì</x:v>
      </x:c>
      <x:c r="L11" s="83" t="str">
        <x:v>D09</x:v>
      </x:c>
      <x:c r="M11" s="83" t="str">
        <x:v>Sum by tech/zone equals scenario totals</x:v>
      </x:c>
      <x:c r="N11" s="120" t="str">
        <x:v>https://docs.pypsa.org/latest/user-guide/components/generators/</x:v>
      </x:c>
      <x:c r="O11" s="83" t="str">
        <x:v>Ready for data extraction</x:v>
      </x:c>
    </x:row>
    <x:row r="12">
      <x:c r="A12" s="83" t="str">
        <x:v>MAP-008</x:v>
      </x:c>
      <x:c r="B12" s="83" t="str">
        <x:v>Generation</x:v>
      </x:c>
      <x:c r="C12" s="83" t="str">
        <x:v>Variable renewable capacity</x:v>
      </x:c>
      <x:c r="D12" s="83" t="str">
        <x:v>Generator</x:v>
      </x:c>
      <x:c r="E12" s="83" t="str">
        <x:v>Static + time series</x:v>
      </x:c>
      <x:c r="F12" s="83" t="str">
        <x:v>p_nom; p_max_pu; p_min_pu=0; marginal_cost</x:v>
      </x:c>
      <x:c r="G12" s="83" t="str">
        <x:v>MW; p.u.; EUR/MWh</x:v>
      </x:c>
      <x:c r="H12" s="83" t="str">
        <x:v>p&gt;=0</x:v>
      </x:c>
      <x:c r="I12" s="83" t="str">
        <x:v>Curtailable variable generator</x:v>
      </x:c>
      <x:c r="J12" s="83" t="str">
        <x:v>Use atlite/PyPSA profiles and scenario p_nom</x:v>
      </x:c>
      <x:c r="K12" s="83" t="str">
        <x:v>S01/S07/S08 + PyPSA-Eur/atlite</x:v>
      </x:c>
      <x:c r="L12" s="83" t="str">
        <x:v>D05;D14</x:v>
      </x:c>
      <x:c r="M12" s="83" t="str">
        <x:v>0&lt;=p_max_pu&lt;=1; annual CF plausible</x:v>
      </x:c>
      <x:c r="N12" s="120" t="str">
        <x:v>https://docs.pypsa.org/latest/user-guide/components/generators/</x:v>
      </x:c>
      <x:c r="O12" s="83" t="str">
        <x:v>Ready for data extraction</x:v>
      </x:c>
    </x:row>
    <x:row r="13">
      <x:c r="A13" s="83" t="str">
        <x:v>MAP-009</x:v>
      </x:c>
      <x:c r="B13" s="83" t="str">
        <x:v>Generation</x:v>
      </x:c>
      <x:c r="C13" s="83" t="str">
        <x:v>Conventional availability</x:v>
      </x:c>
      <x:c r="D13" s="83" t="str">
        <x:v>Generator</x:v>
      </x:c>
      <x:c r="E13" s="83" t="str">
        <x:v>Time series/static</x:v>
      </x:c>
      <x:c r="F13" s="83" t="str">
        <x:v>p_max_pu</x:v>
      </x:c>
      <x:c r="G13" s="83" t="str">
        <x:v>p.u.</x:v>
      </x:c>
      <x:c r="H13" s="83" t="str">
        <x:v>Upper bound on p/p_nom</x:v>
      </x:c>
      <x:c r="I13" s="83" t="str">
        <x:v>Derating/outage constraint</x:v>
      </x:c>
      <x:c r="J13" s="83" t="str">
        <x:v>Apply availability once</x:v>
      </x:c>
      <x:c r="K13" s="83" t="str">
        <x:v>Terna adequacy/outage data</x:v>
      </x:c>
      <x:c r="L13" s="83" t="str">
        <x:v>D11</x:v>
      </x:c>
      <x:c r="M13" s="83" t="str">
        <x:v>Values in [0,1]; no capacity double-derating</x:v>
      </x:c>
      <x:c r="N13" s="120" t="str">
        <x:v>https://docs.pypsa.org/latest/user-guide/components/generators/</x:v>
      </x:c>
      <x:c r="O13" s="83" t="str">
        <x:v>Ready for data extraction</x:v>
      </x:c>
    </x:row>
    <x:row r="14">
      <x:c r="A14" s="83" t="str">
        <x:v>MAP-010</x:v>
      </x:c>
      <x:c r="B14" s="83" t="str">
        <x:v>Generation</x:v>
      </x:c>
      <x:c r="C14" s="83" t="str">
        <x:v>Minimum stable output/must-run</x:v>
      </x:c>
      <x:c r="D14" s="83" t="str">
        <x:v>Generator</x:v>
      </x:c>
      <x:c r="E14" s="83" t="str">
        <x:v>Time series/static</x:v>
      </x:c>
      <x:c r="F14" s="83" t="str">
        <x:v>p_min_pu</x:v>
      </x:c>
      <x:c r="G14" s="83" t="str">
        <x:v>p.u.</x:v>
      </x:c>
      <x:c r="H14" s="83" t="str">
        <x:v>Lower bound on p/p_nom</x:v>
      </x:c>
      <x:c r="I14" s="83" t="str">
        <x:v>Use only with evidence; without UC means must-run</x:v>
      </x:c>
      <x:c r="J14" s="83" t="str">
        <x:v>Assign by cohort/period</x:v>
      </x:c>
      <x:c r="K14" s="83" t="str">
        <x:v>Technical sources</x:v>
      </x:c>
      <x:c r="L14" s="83" t="str">
        <x:v>D10</x:v>
      </x:c>
      <x:c r="M14" s="83" t="str">
        <x:v>0&lt;=p_min_pu&lt;=p_max_pu</x:v>
      </x:c>
      <x:c r="N14" s="120" t="str">
        <x:v>https://docs.pypsa.org/latest/user-guide/components/generators/</x:v>
      </x:c>
      <x:c r="O14" s="83" t="str">
        <x:v>Ready for data extraction</x:v>
      </x:c>
    </x:row>
    <x:row r="15">
      <x:c r="A15" s="83" t="str">
        <x:v>MAP-011</x:v>
      </x:c>
      <x:c r="B15" s="83" t="str">
        <x:v>Generation</x:v>
      </x:c>
      <x:c r="C15" s="83" t="str">
        <x:v>Efficiency</x:v>
      </x:c>
      <x:c r="D15" s="83" t="str">
        <x:v>Generator or Link</x:v>
      </x:c>
      <x:c r="E15" s="83" t="str">
        <x:v>Static/time series</x:v>
      </x:c>
      <x:c r="F15" s="83" t="str">
        <x:v>efficiency</x:v>
      </x:c>
      <x:c r="G15" s="83" t="str">
        <x:v>p.u.</x:v>
      </x:c>
      <x:c r="H15" s="83" t="str">
        <x:v>Electrical output / fuel input</x:v>
      </x:c>
      <x:c r="I15" s="83" t="str">
        <x:v>Used in cost and emissions accounting</x:v>
      </x:c>
      <x:c r="J15" s="83" t="str">
        <x:v>Assign by technology/cohort</x:v>
      </x:c>
      <x:c r="K15" s="83" t="str">
        <x:v>S01/S07/S08 + technology data</x:v>
      </x:c>
      <x:c r="L15" s="83" t="str">
        <x:v>D12</x:v>
      </x:c>
      <x:c r="M15" s="83" t="str">
        <x:v>0&lt;efficiency&lt;=1; consistent with marginal cost</x:v>
      </x:c>
      <x:c r="N15" s="120" t="str">
        <x:v>https://docs.pypsa.org/latest/user-guide/components/generators/</x:v>
      </x:c>
      <x:c r="O15" s="83" t="str">
        <x:v>Ready for data extraction</x:v>
      </x:c>
    </x:row>
    <x:row r="16">
      <x:c r="A16" s="83" t="str">
        <x:v>MAP-012</x:v>
      </x:c>
      <x:c r="B16" s="83" t="str">
        <x:v>Generation</x:v>
      </x:c>
      <x:c r="C16" s="83" t="str">
        <x:v>Marginal production cost</x:v>
      </x:c>
      <x:c r="D16" s="83" t="str">
        <x:v>Generator or Link</x:v>
      </x:c>
      <x:c r="E16" s="83" t="str">
        <x:v>Static/time series</x:v>
      </x:c>
      <x:c r="F16" s="83" t="str">
        <x:v>marginal_cost</x:v>
      </x:c>
      <x:c r="G16" s="83" t="str">
        <x:v>EUR/MWh_el</x:v>
      </x:c>
      <x:c r="H16" s="83" t="str">
        <x:v>Cost per positive MWh output/internal dispatch</x:v>
      </x:c>
      <x:c r="I16" s="83" t="str">
        <x:v>Primary merit-order parameter</x:v>
      </x:c>
      <x:c r="J16" s="83" t="str">
        <x:v>fuel/eta + CO2*EF/eta + VOM + other</x:v>
      </x:c>
      <x:c r="K16" s="83" t="str">
        <x:v>Derived from scenario parameters</x:v>
      </x:c>
      <x:c r="L16" s="83" t="str">
        <x:v>D12;D13;D14</x:v>
      </x:c>
      <x:c r="M16" s="83" t="str">
        <x:v>Recalculate and benchmark gas-vs-PUN relation</x:v>
      </x:c>
      <x:c r="N16" s="120" t="str">
        <x:v>https://docs.pypsa.org/latest/user-guide/components/generators/</x:v>
      </x:c>
      <x:c r="O16" s="83" t="str">
        <x:v>Ready for data extraction</x:v>
      </x:c>
    </x:row>
    <x:row r="17">
      <x:c r="A17" s="83" t="str">
        <x:v>MAP-013</x:v>
      </x:c>
      <x:c r="B17" s="83" t="str">
        <x:v>Generation</x:v>
      </x:c>
      <x:c r="C17" s="83" t="str">
        <x:v>Fuel and CO2 emissions</x:v>
      </x:c>
      <x:c r="D17" s="83" t="str">
        <x:v>Carrier</x:v>
      </x:c>
      <x:c r="E17" s="83" t="str">
        <x:v>Static</x:v>
      </x:c>
      <x:c r="F17" s="83" t="str">
        <x:v>co2_emissions</x:v>
      </x:c>
      <x:c r="G17" s="83" t="str">
        <x:v>tCO2/MWh_th</x:v>
      </x:c>
      <x:c r="H17" s="83" t="str">
        <x:v>Per unit primary energy carrier</x:v>
      </x:c>
      <x:c r="I17" s="83" t="str">
        <x:v>Metadata/global constraints; carbon price usually precomputed in marginal cost</x:v>
      </x:c>
      <x:c r="J17" s="83" t="str">
        <x:v>Map each generator to fuel carrier</x:v>
      </x:c>
      <x:c r="K17" s="83" t="str">
        <x:v>S01/S07/S08/ISPRA</x:v>
      </x:c>
      <x:c r="L17" s="83" t="str">
        <x:v>D12</x:v>
      </x:c>
      <x:c r="M17" s="83" t="str">
        <x:v>No double carbon charging</x:v>
      </x:c>
      <x:c r="N17" s="120" t="str">
        <x:v>https://docs.pypsa.org/latest/user-guide/components/carriers/</x:v>
      </x:c>
      <x:c r="O17" s="83" t="str">
        <x:v>Ready for data extraction</x:v>
      </x:c>
    </x:row>
    <x:row r="18">
      <x:c r="A18" s="83" t="str">
        <x:v>MAP-014</x:v>
      </x:c>
      <x:c r="B18" s="83" t="str">
        <x:v>Generation</x:v>
      </x:c>
      <x:c r="C18" s="83" t="str">
        <x:v>Annual energy limits</x:v>
      </x:c>
      <x:c r="D18" s="83" t="str">
        <x:v>Generator</x:v>
      </x:c>
      <x:c r="E18" s="83" t="str">
        <x:v>Static</x:v>
      </x:c>
      <x:c r="F18" s="83" t="str">
        <x:v>e_sum_min; e_sum_max</x:v>
      </x:c>
      <x:c r="G18" s="83" t="str">
        <x:v>MWh</x:v>
      </x:c>
      <x:c r="H18" s="83" t="str">
        <x:v>Total dispatch over horizon</x:v>
      </x:c>
      <x:c r="I18" s="83" t="str">
        <x:v>Only for resource/contract constraints</x:v>
      </x:c>
      <x:c r="J18" s="83" t="str">
        <x:v>Set for hydro/biomass/waste only if justified</x:v>
      </x:c>
      <x:c r="K18" s="83" t="str">
        <x:v>S01/S07/GSE</x:v>
      </x:c>
      <x:c r="L18" s="83" t="str">
        <x:v>D15</x:v>
      </x:c>
      <x:c r="M18" s="83" t="str">
        <x:v>Binding values reconcile with annual energy evidence</x:v>
      </x:c>
      <x:c r="N18" s="120" t="str">
        <x:v>https://docs.pypsa.org/latest/user-guide/components/generators/</x:v>
      </x:c>
      <x:c r="O18" s="83" t="str">
        <x:v>Ready for data extraction</x:v>
      </x:c>
    </x:row>
    <x:row r="19">
      <x:c r="A19" s="83" t="str">
        <x:v>MAP-015</x:v>
      </x:c>
      <x:c r="B19" s="83" t="str">
        <x:v>Generation</x:v>
      </x:c>
      <x:c r="C19" s="83" t="str">
        <x:v>Unit commitment</x:v>
      </x:c>
      <x:c r="D19" s="83" t="str">
        <x:v>Generator</x:v>
      </x:c>
      <x:c r="E19" s="83" t="str">
        <x:v>Static + variables</x:v>
      </x:c>
      <x:c r="F19" s="83" t="str">
        <x:v>committable; start_up_cost; shut_down_cost; stand_by_cost; min_up_time; min_down_time</x:v>
      </x:c>
      <x:c r="G19" s="83" t="str">
        <x:v>bool; EUR; snapshots</x:v>
      </x:c>
      <x:c r="H19" s="83" t="str">
        <x:v>Binary status and startup/shutdown</x:v>
      </x:c>
      <x:c r="I19" s="83" t="str">
        <x:v>Sensitivity, not base case</x:v>
      </x:c>
      <x:c r="J19" s="83" t="str">
        <x:v>Enable on sufficiently disaggregated thermal cohorts</x:v>
      </x:c>
      <x:c r="K19" s="83" t="str">
        <x:v>Technical data + PyPSA docs</x:v>
      </x:c>
      <x:c r="L19" s="83" t="str">
        <x:v>D10</x:v>
      </x:c>
      <x:c r="M19" s="83" t="str">
        <x:v>Compare LP and MILP outputs; no unsupported data defaults</x:v>
      </x:c>
      <x:c r="N19" s="120" t="str">
        <x:v>https://docs.pypsa.org/latest/user-guide/components/generators/</x:v>
      </x:c>
      <x:c r="O19" s="83" t="str">
        <x:v>Ready for data extraction</x:v>
      </x:c>
    </x:row>
    <x:row r="20">
      <x:c r="A20" s="83" t="str">
        <x:v>MAP-016</x:v>
      </x:c>
      <x:c r="B20" s="83" t="str">
        <x:v>Generation</x:v>
      </x:c>
      <x:c r="C20" s="83" t="str">
        <x:v>Ramp constraints</x:v>
      </x:c>
      <x:c r="D20" s="83" t="str">
        <x:v>Generator</x:v>
      </x:c>
      <x:c r="E20" s="83" t="str">
        <x:v>Static/time series</x:v>
      </x:c>
      <x:c r="F20" s="83" t="str">
        <x:v>ramp_limit_up; ramp_limit_down; ramp_limit_start_up; ramp_limit_shut_down</x:v>
      </x:c>
      <x:c r="G20" s="83" t="str">
        <x:v>p.u./snapshot</x:v>
      </x:c>
      <x:c r="H20" s="83" t="str">
        <x:v>Change in p relative to p_nom</x:v>
      </x:c>
      <x:c r="I20" s="83" t="str">
        <x:v>Optional/base only if robust</x:v>
      </x:c>
      <x:c r="J20" s="83" t="str">
        <x:v>Convert MW/min or %/min to per snapshot</x:v>
      </x:c>
      <x:c r="K20" s="83" t="str">
        <x:v>Technical data</x:v>
      </x:c>
      <x:c r="L20" s="83" t="str">
        <x:v>D10</x:v>
      </x:c>
      <x:c r="M20" s="83" t="str">
        <x:v>Check units against hourly resolution</x:v>
      </x:c>
      <x:c r="N20" s="120" t="str">
        <x:v>https://docs.pypsa.org/latest/user-guide/components/generators/</x:v>
      </x:c>
      <x:c r="O20" s="83" t="str">
        <x:v>Ready for data extraction</x:v>
      </x:c>
    </x:row>
    <x:row r="21">
      <x:c r="A21" s="83" t="str">
        <x:v>MAP-017</x:v>
      </x:c>
      <x:c r="B21" s="83" t="str">
        <x:v>Hydro</x:v>
      </x:c>
      <x:c r="C21" s="83" t="str">
        <x:v>Run-of-river</x:v>
      </x:c>
      <x:c r="D21" s="83" t="str">
        <x:v>Generator</x:v>
      </x:c>
      <x:c r="E21" s="83" t="str">
        <x:v>Static + time series</x:v>
      </x:c>
      <x:c r="F21" s="83" t="str">
        <x:v>p_nom; p_max_pu; marginal_cost</x:v>
      </x:c>
      <x:c r="G21" s="83" t="str">
        <x:v>MW; p.u.</x:v>
      </x:c>
      <x:c r="H21" s="83" t="str">
        <x:v>Positive generation</x:v>
      </x:c>
      <x:c r="I21" s="83" t="str">
        <x:v>Curtailable inflow-limited generation</x:v>
      </x:c>
      <x:c r="J21" s="83" t="str">
        <x:v>Convert hydrological profile to p_max_pu</x:v>
      </x:c>
      <x:c r="K21" s="83" t="str">
        <x:v>S01/S07 + PyPSA-Eur hydro</x:v>
      </x:c>
      <x:c r="L21" s="83" t="str">
        <x:v>D15</x:v>
      </x:c>
      <x:c r="M21" s="83" t="str">
        <x:v>Annual generation and seasonal shape plausible</x:v>
      </x:c>
      <x:c r="N21" s="120" t="str">
        <x:v>https://docs.pypsa.org/latest/user-guide/components/generators/</x:v>
      </x:c>
      <x:c r="O21" s="83" t="str">
        <x:v>Ready for data extraction</x:v>
      </x:c>
    </x:row>
    <x:row r="22">
      <x:c r="A22" s="83" t="str">
        <x:v>MAP-018</x:v>
      </x:c>
      <x:c r="B22" s="83" t="str">
        <x:v>Hydro</x:v>
      </x:c>
      <x:c r="C22" s="83" t="str">
        <x:v>Reservoir with coupled power-energy</x:v>
      </x:c>
      <x:c r="D22" s="83" t="str">
        <x:v>StorageUnit</x:v>
      </x:c>
      <x:c r="E22" s="83" t="str">
        <x:v>Static + time series</x:v>
      </x:c>
      <x:c r="F22" s="83" t="str">
        <x:v>p_nom; max_hours; inflow; efficiency_dispatch; state_of_charge_initial; cyclic_state_of_charge</x:v>
      </x:c>
      <x:c r="G22" s="83" t="str">
        <x:v>MW; h; MW; p.u.; MWh</x:v>
      </x:c>
      <x:c r="H22" s="83" t="str">
        <x:v>p&gt;0 discharge; p_store charging</x:v>
      </x:c>
      <x:c r="I22" s="83" t="str">
        <x:v>Use only if fixed power-energy ratio is acceptable</x:v>
      </x:c>
      <x:c r="J22" s="83" t="str">
        <x:v>Convert energy capacity to max_hours</x:v>
      </x:c>
      <x:c r="K22" s="83" t="str">
        <x:v>S01/S07 + hydro datasets</x:v>
      </x:c>
      <x:c r="L22" s="83" t="str">
        <x:v>D15;D16</x:v>
      </x:c>
      <x:c r="M22" s="83" t="str">
        <x:v>p_nom*max_hours equals energy capacity</x:v>
      </x:c>
      <x:c r="N22" s="120" t="str">
        <x:v>https://docs.pypsa.org/latest/user-guide/components/storage-units/</x:v>
      </x:c>
      <x:c r="O22" s="83" t="str">
        <x:v>Ready for data extraction</x:v>
      </x:c>
    </x:row>
    <x:row r="23">
      <x:c r="A23" s="83" t="str">
        <x:v>MAP-019</x:v>
      </x:c>
      <x:c r="B23" s="83" t="str">
        <x:v>Hydro</x:v>
      </x:c>
      <x:c r="C23" s="83" t="str">
        <x:v>Reservoir/pumped hydro with independent power-energy</x:v>
      </x:c>
      <x:c r="D23" s="83" t="str">
        <x:v>Store + Links</x:v>
      </x:c>
      <x:c r="E23" s="83" t="str">
        <x:v>Static + time series</x:v>
      </x:c>
      <x:c r="F23" s="83" t="str">
        <x:v>Store.e_nom/e_initial/e_cyclic; Link.p_nom/efficiency/p_min_pu/p_max_pu</x:v>
      </x:c>
      <x:c r="G23" s="83" t="str">
        <x:v>MWh; MW; p.u.</x:v>
      </x:c>
      <x:c r="H23" s="83" t="str">
        <x:v>Store tracks energy; Links control directional power</x:v>
      </x:c>
      <x:c r="I23" s="83" t="str">
        <x:v>Preferred when charge/discharge power and energy are independent/asymmetric</x:v>
      </x:c>
      <x:c r="J23" s="83" t="str">
        <x:v>Auxiliary hydro bus plus turbine/pump Links</x:v>
      </x:c>
      <x:c r="K23" s="83" t="str">
        <x:v>S01/S07 + PyPSA docs</x:v>
      </x:c>
      <x:c r="L23" s="83" t="str">
        <x:v>D15;D16</x:v>
      </x:c>
      <x:c r="M23" s="83" t="str">
        <x:v>Energy/power and round-trip efficiency reconcile</x:v>
      </x:c>
      <x:c r="N23" s="120" t="str">
        <x:v>https://docs.pypsa.org/latest/user-guide/components/stores/</x:v>
      </x:c>
      <x:c r="O23" s="83" t="str">
        <x:v>Ready for data extraction</x:v>
      </x:c>
    </x:row>
    <x:row r="24">
      <x:c r="A24" s="83" t="str">
        <x:v>MAP-020</x:v>
      </x:c>
      <x:c r="B24" s="83" t="str">
        <x:v>Storage</x:v>
      </x:c>
      <x:c r="C24" s="83" t="str">
        <x:v>BESS energy capacity</x:v>
      </x:c>
      <x:c r="D24" s="83" t="str">
        <x:v>Store</x:v>
      </x:c>
      <x:c r="E24" s="83" t="str">
        <x:v>Static</x:v>
      </x:c>
      <x:c r="F24" s="83" t="str">
        <x:v>bus; carrier; e_nom; e_nom_extendable=False; e_initial; e_cyclic; standing_loss</x:v>
      </x:c>
      <x:c r="G24" s="83" t="str">
        <x:v>MWh; p.u.</x:v>
      </x:c>
      <x:c r="H24" s="83" t="str">
        <x:v>e is stored energy</x:v>
      </x:c>
      <x:c r="I24" s="83" t="str">
        <x:v>Fixed energy capacity</x:v>
      </x:c>
      <x:c r="J24" s="83" t="str">
        <x:v>Create auxiliary battery bus/store by zone-duration class</x:v>
      </x:c>
      <x:c r="K24" s="83" t="str">
        <x:v>S01/S04/S07/MACSE</x:v>
      </x:c>
      <x:c r="L24" s="83" t="str">
        <x:v>D17;D18;D19</x:v>
      </x:c>
      <x:c r="M24" s="83" t="str">
        <x:v>e_nom totals and SOC closure</x:v>
      </x:c>
      <x:c r="N24" s="120" t="str">
        <x:v>https://docs.pypsa.org/latest/user-guide/components/stores/</x:v>
      </x:c>
      <x:c r="O24" s="83" t="str">
        <x:v>Ready for data extraction</x:v>
      </x:c>
    </x:row>
    <x:row r="25">
      <x:c r="A25" s="83" t="str">
        <x:v>MAP-021</x:v>
      </x:c>
      <x:c r="B25" s="83" t="str">
        <x:v>Storage</x:v>
      </x:c>
      <x:c r="C25" s="83" t="str">
        <x:v>BESS charge/discharge power</x:v>
      </x:c>
      <x:c r="D25" s="83" t="str">
        <x:v>Link</x:v>
      </x:c>
      <x:c r="E25" s="83" t="str">
        <x:v>Static + time series</x:v>
      </x:c>
      <x:c r="F25" s="83" t="str">
        <x:v>bus0; bus1; p_nom; p_nom_extendable=False; efficiency; p_min_pu; p_max_pu; marginal_cost</x:v>
      </x:c>
      <x:c r="G25" s="83" t="str">
        <x:v>MW; p.u.; EUR/MWh</x:v>
      </x:c>
      <x:c r="H25" s="83" t="str">
        <x:v>p0 positive from bus0 to bus1</x:v>
      </x:c>
      <x:c r="I25" s="83" t="str">
        <x:v>Separate charge and discharge Links</x:v>
      </x:c>
      <x:c r="J25" s="83" t="str">
        <x:v>Use asymmetric ratings if evidence supports</x:v>
      </x:c>
      <x:c r="K25" s="83" t="str">
        <x:v>S01/S04/S07/MACSE</x:v>
      </x:c>
      <x:c r="L25" s="83" t="str">
        <x:v>D17;D18</x:v>
      </x:c>
      <x:c r="M25" s="83" t="str">
        <x:v>p_nom totals and round-trip efficiency</x:v>
      </x:c>
      <x:c r="N25" s="120" t="str">
        <x:v>https://docs.pypsa.org/latest/user-guide/components/links/</x:v>
      </x:c>
      <x:c r="O25" s="83" t="str">
        <x:v>Ready for data extraction</x:v>
      </x:c>
    </x:row>
    <x:row r="26">
      <x:c r="A26" s="83" t="str">
        <x:v>MAP-022</x:v>
      </x:c>
      <x:c r="B26" s="83" t="str">
        <x:v>Storage</x:v>
      </x:c>
      <x:c r="C26" s="83" t="str">
        <x:v>StorageUnit alternative</x:v>
      </x:c>
      <x:c r="D26" s="83" t="str">
        <x:v>StorageUnit</x:v>
      </x:c>
      <x:c r="E26" s="83" t="str">
        <x:v>Static + time series</x:v>
      </x:c>
      <x:c r="F26" s="83" t="str">
        <x:v>p_nom; max_hours; efficiency_store; efficiency_dispatch; standing_loss; cyclic_state_of_charge</x:v>
      </x:c>
      <x:c r="G26" s="83" t="str">
        <x:v>MW; h; p.u.</x:v>
      </x:c>
      <x:c r="H26" s="83" t="str">
        <x:v>p&gt;0 discharge; p_store charging</x:v>
      </x:c>
      <x:c r="I26" s="83" t="str">
        <x:v>Alternative only for fixed duration and symmetric power</x:v>
      </x:c>
      <x:c r="J26" s="83" t="str">
        <x:v>Use when source only supports coupled p/e</x:v>
      </x:c>
      <x:c r="K26" s="83" t="str">
        <x:v>PyPSA docs</x:v>
      </x:c>
      <x:c r="L26" s="83" t="str">
        <x:v>D17</x:v>
      </x:c>
      <x:c r="M26" s="83" t="str">
        <x:v>Compare with Store+Links representation</x:v>
      </x:c>
      <x:c r="N26" s="120" t="str">
        <x:v>https://docs.pypsa.org/latest/user-guide/components/storage-units/</x:v>
      </x:c>
      <x:c r="O26" s="83" t="str">
        <x:v>Ready for data extraction</x:v>
      </x:c>
    </x:row>
    <x:row r="27">
      <x:c r="A27" s="83" t="str">
        <x:v>MAP-023</x:v>
      </x:c>
      <x:c r="B27" s="83" t="str">
        <x:v>Transmission</x:v>
      </x:c>
      <x:c r="C27" s="83" t="str">
        <x:v>Zonal corridor capacity</x:v>
      </x:c>
      <x:c r="D27" s="83" t="str">
        <x:v>Link</x:v>
      </x:c>
      <x:c r="E27" s="83" t="str">
        <x:v>Static + time series</x:v>
      </x:c>
      <x:c r="F27" s="83" t="str">
        <x:v>bus0; bus1; p_nom; p_min_pu; p_max_pu; efficiency</x:v>
      </x:c>
      <x:c r="G27" s="83" t="str">
        <x:v>MW; p.u.</x:v>
      </x:c>
      <x:c r="H27" s="83" t="str">
        <x:v>p0 positive bus0→bus1; negative if allowed</x:v>
      </x:c>
      <x:c r="I27" s="83" t="str">
        <x:v>Transport model base</x:v>
      </x:c>
      <x:c r="J27" s="83" t="str">
        <x:v>Use market transfer capacity, direction and seasonality</x:v>
      </x:c>
      <x:c r="K27" s="83" t="str">
        <x:v>S01/S03/S05/Terna NTC</x:v>
      </x:c>
      <x:c r="L27" s="83" t="str">
        <x:v>D20;D21;D23</x:v>
      </x:c>
      <x:c r="M27" s="83" t="str">
        <x:v>Flows never exceed directional limits</x:v>
      </x:c>
      <x:c r="N27" s="120" t="str">
        <x:v>https://docs.pypsa.org/latest/user-guide/components/links/</x:v>
      </x:c>
      <x:c r="O27" s="83" t="str">
        <x:v>Ready for data extraction</x:v>
      </x:c>
    </x:row>
    <x:row r="28">
      <x:c r="A28" s="83" t="str">
        <x:v>MAP-024</x:v>
      </x:c>
      <x:c r="B28" s="83" t="str">
        <x:v>Transmission</x:v>
      </x:c>
      <x:c r="C28" s="83" t="str">
        <x:v>Asymmetric corridor</x:v>
      </x:c>
      <x:c r="D28" s="83" t="str">
        <x:v>Two Link components</x:v>
      </x:c>
      <x:c r="E28" s="83" t="str">
        <x:v>Static + time series</x:v>
      </x:c>
      <x:c r="F28" s="83" t="str">
        <x:v>separate p_nom/p_max_pu by direction</x:v>
      </x:c>
      <x:c r="G28" s="83" t="str">
        <x:v>MW</x:v>
      </x:c>
      <x:c r="H28" s="83" t="str">
        <x:v>Each Link non-negative in its own direction</x:v>
      </x:c>
      <x:c r="I28" s="83" t="str">
        <x:v>Use when import/export limits differ</x:v>
      </x:c>
      <x:c r="J28" s="83" t="str">
        <x:v>Create A→B and B→A Links</x:v>
      </x:c>
      <x:c r="K28" s="83" t="str">
        <x:v>Terna NTC</x:v>
      </x:c>
      <x:c r="L28" s="83" t="str">
        <x:v>D21</x:v>
      </x:c>
      <x:c r="M28" s="83" t="str">
        <x:v>Directional capacities reproduce source table</x:v>
      </x:c>
      <x:c r="N28" s="120" t="str">
        <x:v>https://docs.pypsa.org/latest/user-guide/components/links/</x:v>
      </x:c>
      <x:c r="O28" s="83" t="str">
        <x:v>Ready for data extraction</x:v>
      </x:c>
    </x:row>
    <x:row r="29">
      <x:c r="A29" s="83" t="str">
        <x:v>MAP-025</x:v>
      </x:c>
      <x:c r="B29" s="83" t="str">
        <x:v>Transmission</x:v>
      </x:c>
      <x:c r="C29" s="83" t="str">
        <x:v>Physical nodal sensitivity</x:v>
      </x:c>
      <x:c r="D29" s="83" t="str">
        <x:v>Line/Link</x:v>
      </x:c>
      <x:c r="E29" s="83" t="str">
        <x:v>Static</x:v>
      </x:c>
      <x:c r="F29" s="83" t="str">
        <x:v>s_nom; x; r; length or Link equivalents</x:v>
      </x:c>
      <x:c r="G29" s="83" t="str">
        <x:v>MVA; p.u.; km</x:v>
      </x:c>
      <x:c r="H29" s="83" t="str">
        <x:v>AC sign conventions</x:v>
      </x:c>
      <x:c r="I29" s="83" t="str">
        <x:v>Not base; optional nodal sensitivity</x:v>
      </x:c>
      <x:c r="J29" s="83" t="str">
        <x:v>Use existing PyPSA-Eur network</x:v>
      </x:c>
      <x:c r="K29" s="83" t="str">
        <x:v>PyPSA-Eur</x:v>
      </x:c>
      <x:c r="L29" s="83" t="str">
        <x:v>D01</x:v>
      </x:c>
      <x:c r="M29" s="83" t="str">
        <x:v>Compare zonal aggregate flows/capacities</x:v>
      </x:c>
      <x:c r="N29" s="120" t="str">
        <x:v>https://pypsa-eur.readthedocs.io/en/latest/configuration.html</x:v>
      </x:c>
      <x:c r="O29" s="83" t="str">
        <x:v>Ready for data extraction</x:v>
      </x:c>
    </x:row>
    <x:row r="30">
      <x:c r="A30" s="83" t="str">
        <x:v>MAP-026</x:v>
      </x:c>
      <x:c r="B30" s="83" t="str">
        <x:v>Foreign systems</x:v>
      </x:c>
      <x:c r="C30" s="83" t="str">
        <x:v>Endogenous foreign zones</x:v>
      </x:c>
      <x:c r="D30" s="83" t="str">
        <x:v>Bus + Generator + Load + Storage + Link</x:v>
      </x:c>
      <x:c r="E30" s="83" t="str">
        <x:v>Static + time series</x:v>
      </x:c>
      <x:c r="F30" s="83" t="str">
        <x:v>multiple</x:v>
      </x:c>
      <x:c r="G30" s="83" t="str">
        <x:v>MW/MWh/EUR</x:v>
      </x:c>
      <x:c r="H30" s="83" t="str">
        <x:v>Same conventions as Italy</x:v>
      </x:c>
      <x:c r="I30" s="83" t="str">
        <x:v>Preferred if computationally feasible</x:v>
      </x:c>
      <x:c r="J30" s="83" t="str">
        <x:v>Use PyPSA-Eur subset/aggregation</x:v>
      </x:c>
      <x:c r="K30" s="83" t="str">
        <x:v>PyPSA-Eur/TYNDP</x:v>
      </x:c>
      <x:c r="L30" s="83" t="str">
        <x:v>D03</x:v>
      </x:c>
      <x:c r="M30" s="83" t="str">
        <x:v>Foreign balances and border flows close</x:v>
      </x:c>
      <x:c r="N30" s="120" t="str">
        <x:v>https://pypsa-eur.readthedocs.io/en/latest/configuration.html</x:v>
      </x:c>
      <x:c r="O30" s="83" t="str">
        <x:v>Ready for data extraction</x:v>
      </x:c>
    </x:row>
    <x:row r="31">
      <x:c r="A31" s="83" t="str">
        <x:v>MAP-027</x:v>
      </x:c>
      <x:c r="B31" s="83" t="str">
        <x:v>Foreign systems</x:v>
      </x:c>
      <x:c r="C31" s="83" t="str">
        <x:v>Exogenous import supply</x:v>
      </x:c>
      <x:c r="D31" s="83" t="str">
        <x:v>Generator at foreign/border bus</x:v>
      </x:c>
      <x:c r="E31" s="83" t="str">
        <x:v>Time series</x:v>
      </x:c>
      <x:c r="F31" s="83" t="str">
        <x:v>p_nom; p_max_pu; marginal_cost</x:v>
      </x:c>
      <x:c r="G31" s="83" t="str">
        <x:v>MW; p.u.; EUR/MWh</x:v>
      </x:c>
      <x:c r="H31" s="83" t="str">
        <x:v>Positive supply imported through Link</x:v>
      </x:c>
      <x:c r="I31" s="83" t="str">
        <x:v>Sensitivity/alternative to endogenous foreign system</x:v>
      </x:c>
      <x:c r="J31" s="83" t="str">
        <x:v>Set availability and external price profile</x:v>
      </x:c>
      <x:c r="K31" s="83" t="str">
        <x:v>TYNDP/scenario outputs</x:v>
      </x:c>
      <x:c r="L31" s="83" t="str">
        <x:v>D03</x:v>
      </x:c>
      <x:c r="M31" s="83" t="str">
        <x:v>No import beyond NTC; price profiles documented</x:v>
      </x:c>
      <x:c r="N31" s="120" t="str">
        <x:v>https://docs.pypsa.org/latest/user-guide/components/generators/</x:v>
      </x:c>
      <x:c r="O31" s="83" t="str">
        <x:v>Ready for data extraction</x:v>
      </x:c>
    </x:row>
    <x:row r="32">
      <x:c r="A32" s="83" t="str">
        <x:v>MAP-028</x:v>
      </x:c>
      <x:c r="B32" s="83" t="str">
        <x:v>Market</x:v>
      </x:c>
      <x:c r="C32" s="83" t="str">
        <x:v>Zonal price</x:v>
      </x:c>
      <x:c r="D32" s="83" t="str">
        <x:v>Bus output</x:v>
      </x:c>
      <x:c r="E32" s="83" t="str">
        <x:v>Time series</x:v>
      </x:c>
      <x:c r="F32" s="83" t="str">
        <x:v>marginal_price</x:v>
      </x:c>
      <x:c r="G32" s="83" t="str">
        <x:v>EUR/MWh</x:v>
      </x:c>
      <x:c r="H32" s="83" t="str">
        <x:v>Dual of bus energy balance</x:v>
      </x:c>
      <x:c r="I32" s="83" t="str">
        <x:v>Primary price output</x:v>
      </x:c>
      <x:c r="J32" s="83" t="str">
        <x:v>Extract by snapshot/zone</x:v>
      </x:c>
      <x:c r="K32" s="83" t="str">
        <x:v>PyPSA official market example</x:v>
      </x:c>
      <x:c r="L32" s="83" t="str">
        <x:v>D29</x:v>
      </x:c>
      <x:c r="M32" s="83" t="str">
        <x:v>Compare historical backcast to GME zonal prices</x:v>
      </x:c>
      <x:c r="N32" s="120" t="str">
        <x:v>https://docs.pypsa.org/latest/examples/simple-electricity-market-examples/</x:v>
      </x:c>
      <x:c r="O32" s="83" t="str">
        <x:v>Ready for data extraction</x:v>
      </x:c>
    </x:row>
    <x:row r="33">
      <x:c r="A33" s="83" t="str">
        <x:v>MAP-029</x:v>
      </x:c>
      <x:c r="B33" s="83" t="str">
        <x:v>Market</x:v>
      </x:c>
      <x:c r="C33" s="83" t="str">
        <x:v>National price proxy</x:v>
      </x:c>
      <x:c r="D33" s="83" t="str">
        <x:v>Post-processing</x:v>
      </x:c>
      <x:c r="E33" s="83" t="str">
        <x:v>Time series</x:v>
      </x:c>
      <x:c r="F33" s="83" t="str">
        <x:v>weighted average of Bus.marginal_price</x:v>
      </x:c>
      <x:c r="G33" s="83" t="str">
        <x:v>EUR/MWh</x:v>
      </x:c>
      <x:c r="H33" s="83" t="str">
        <x:v>Weights = purchases/load under chosen rule</x:v>
      </x:c>
      <x:c r="I33" s="83" t="str">
        <x:v>Not a native PyPSA component</x:v>
      </x:c>
      <x:c r="J33" s="83" t="str">
        <x:v>Compute after solve</x:v>
      </x:c>
      <x:c r="K33" s="83" t="str">
        <x:v>GME/Terna methodology</x:v>
      </x:c>
      <x:c r="L33" s="83" t="str">
        <x:v>D29</x:v>
      </x:c>
      <x:c r="M33" s="83" t="str">
        <x:v>Weights sum to one and reconcile volumes</x:v>
      </x:c>
      <x:c r="N33" s="120" t="str"/>
      <x:c r="O33" s="83" t="str">
        <x:v>Method to finalise</x:v>
      </x:c>
    </x:row>
    <x:row r="34">
      <x:c r="A34" s="83" t="str">
        <x:v>MAP-030</x:v>
      </x:c>
      <x:c r="B34" s="83" t="str">
        <x:v>Market</x:v>
      </x:c>
      <x:c r="C34" s="83" t="str">
        <x:v>Curtailment</x:v>
      </x:c>
      <x:c r="D34" s="83" t="str">
        <x:v>Post-processing</x:v>
      </x:c>
      <x:c r="E34" s="83" t="str">
        <x:v>Time series</x:v>
      </x:c>
      <x:c r="F34" s="83" t="str">
        <x:v>p_nom*p_max_pu - Generator.p</x:v>
      </x:c>
      <x:c r="G34" s="83" t="str">
        <x:v>MW/MWh</x:v>
      </x:c>
      <x:c r="H34" s="83" t="str">
        <x:v>Non-negative available minus dispatch</x:v>
      </x:c>
      <x:c r="I34" s="83" t="str">
        <x:v>Output metric</x:v>
      </x:c>
      <x:c r="J34" s="83" t="str">
        <x:v>Apply snapshot weights</x:v>
      </x:c>
      <x:c r="K34" s="83" t="str">
        <x:v>PyPSA outputs + S03/S07 validation</x:v>
      </x:c>
      <x:c r="L34" s="83" t="str">
        <x:v>D14</x:v>
      </x:c>
      <x:c r="M34" s="83" t="str">
        <x:v>No negative curtailment beyond tolerance</x:v>
      </x:c>
      <x:c r="N34" s="120" t="str">
        <x:v>https://docs.pypsa.org/latest/user-guide/components/generators/</x:v>
      </x:c>
      <x:c r="O34" s="83" t="str">
        <x:v>Ready for data extraction</x:v>
      </x:c>
    </x:row>
    <x:row r="35">
      <x:c r="A35" s="83" t="str">
        <x:v>MAP-031</x:v>
      </x:c>
      <x:c r="B35" s="83" t="str">
        <x:v>Market</x:v>
      </x:c>
      <x:c r="C35" s="83" t="str">
        <x:v>Storage operation</x:v>
      </x:c>
      <x:c r="D35" s="83" t="str">
        <x:v>Store/StorageUnit/Link output</x:v>
      </x:c>
      <x:c r="E35" s="83" t="str">
        <x:v>Time series</x:v>
      </x:c>
      <x:c r="F35" s="83" t="str">
        <x:v>e; state_of_charge; p; p0; p1</x:v>
      </x:c>
      <x:c r="G35" s="83" t="str">
        <x:v>MWh; MW</x:v>
      </x:c>
      <x:c r="H35" s="83" t="str">
        <x:v>Respect component sign conventions</x:v>
      </x:c>
      <x:c r="I35" s="83" t="str">
        <x:v>Output metric</x:v>
      </x:c>
      <x:c r="J35" s="83" t="str">
        <x:v>Aggregate by zone/class</x:v>
      </x:c>
      <x:c r="K35" s="83" t="str">
        <x:v>PyPSA outputs</x:v>
      </x:c>
      <x:c r="L35" s="83" t="str">
        <x:v>D18</x:v>
      </x:c>
      <x:c r="M35" s="83" t="str">
        <x:v>SOC and energy balance close</x:v>
      </x:c>
      <x:c r="N35" s="120" t="str">
        <x:v>https://docs.pypsa.org/latest/user-guide/components/storage-units/</x:v>
      </x:c>
      <x:c r="O35" s="83" t="str">
        <x:v>Ready for data extraction</x:v>
      </x:c>
    </x:row>
    <x:row r="36">
      <x:c r="A36" s="83" t="str">
        <x:v>MAP-032</x:v>
      </x:c>
      <x:c r="B36" s="83" t="str">
        <x:v>Market</x:v>
      </x:c>
      <x:c r="C36" s="83" t="str">
        <x:v>Interzonal flow/congestion</x:v>
      </x:c>
      <x:c r="D36" s="83" t="str">
        <x:v>Link output</x:v>
      </x:c>
      <x:c r="E36" s="83" t="str">
        <x:v>Time series</x:v>
      </x:c>
      <x:c r="F36" s="83" t="str">
        <x:v>p0; p1; mu_upper; mu_lower</x:v>
      </x:c>
      <x:c r="G36" s="83" t="str">
        <x:v>MW; EUR/MW</x:v>
      </x:c>
      <x:c r="H36" s="83" t="str">
        <x:v>Direction from bus0 to bus1</x:v>
      </x:c>
      <x:c r="I36" s="83" t="str">
        <x:v>Output metric</x:v>
      </x:c>
      <x:c r="J36" s="83" t="str">
        <x:v>Calculate saturation and congestion rents</x:v>
      </x:c>
      <x:c r="K36" s="83" t="str">
        <x:v>PyPSA outputs + S03</x:v>
      </x:c>
      <x:c r="L36" s="83" t="str">
        <x:v>D20</x:v>
      </x:c>
      <x:c r="M36" s="83" t="str">
        <x:v>Flow and price spreads consistent</x:v>
      </x:c>
      <x:c r="N36" s="120" t="str">
        <x:v>https://docs.pypsa.org/latest/user-guide/components/links/</x:v>
      </x:c>
      <x:c r="O36" s="83" t="str">
        <x:v>Ready for data extraction</x:v>
      </x:c>
    </x:row>
    <x:row r="37">
      <x:c r="A37" s="83" t="str">
        <x:v>MAP-033</x:v>
      </x:c>
      <x:c r="B37" s="83" t="str">
        <x:v>Market</x:v>
      </x:c>
      <x:c r="C37" s="83" t="str">
        <x:v>Adequacy/EENS</x:v>
      </x:c>
      <x:c r="D37" s="83" t="str">
        <x:v>Load-shedding Generator output</x:v>
      </x:c>
      <x:c r="E37" s="83" t="str">
        <x:v>Time series</x:v>
      </x:c>
      <x:c r="F37" s="83" t="str">
        <x:v>p</x:v>
      </x:c>
      <x:c r="G37" s="83" t="str">
        <x:v>MW/MWh</x:v>
      </x:c>
      <x:c r="H37" s="83" t="str">
        <x:v>Positive p = unserved demand replacement</x:v>
      </x:c>
      <x:c r="I37" s="83" t="str">
        <x:v>Output metric</x:v>
      </x:c>
      <x:c r="J37" s="83" t="str">
        <x:v>Sum with weights; count hours</x:v>
      </x:c>
      <x:c r="K37" s="83" t="str">
        <x:v>Terna adequacy + PyPSA outputs</x:v>
      </x:c>
      <x:c r="L37" s="83" t="str">
        <x:v>D28</x:v>
      </x:c>
      <x:c r="M37" s="83" t="str">
        <x:v>Zero/limited EENS in adequate scenarios</x:v>
      </x:c>
      <x:c r="N37" s="120" t="str">
        <x:v>https://docs.pypsa.org/latest/user-guide/components/generators/</x:v>
      </x:c>
      <x:c r="O37" s="83" t="str">
        <x:v>Ready for data extraction</x:v>
      </x:c>
    </x:row>
    <x:row r="38">
      <x:c r="A38" s="83" t="str">
        <x:v>MAP-034</x:v>
      </x:c>
      <x:c r="B38" s="83" t="str">
        <x:v>Metadata</x:v>
      </x:c>
      <x:c r="C38" s="83" t="str">
        <x:v>Capital costs and FOM</x:v>
      </x:c>
      <x:c r="D38" s="83" t="str">
        <x:v>Generator/Link/Store metadata</x:v>
      </x:c>
      <x:c r="E38" s="83" t="str">
        <x:v>Static</x:v>
      </x:c>
      <x:c r="F38" s="83" t="str">
        <x:v>capital_cost; overnight_cost; fom_cost; lifetime; discount_rate</x:v>
      </x:c>
      <x:c r="G38" s="83" t="str">
        <x:v>EUR/MW; years; p.u.</x:v>
      </x:c>
      <x:c r="H38" s="83" t="str">
        <x:v>Fixed cost attributes</x:v>
      </x:c>
      <x:c r="I38" s="83" t="str">
        <x:v>Keep out of base dispatch objective or store sidecar</x:v>
      </x:c>
      <x:c r="J38" s="83" t="str">
        <x:v>Load for context/future expansion only</x:v>
      </x:c>
      <x:c r="K38" s="83" t="str">
        <x:v>S07/S08 + technology-data</x:v>
      </x:c>
      <x:c r="L38" s="83" t="str">
        <x:v>D35</x:v>
      </x:c>
      <x:c r="M38" s="83" t="str">
        <x:v>Objective unaffected by fixed cost values in base</x:v>
      </x:c>
      <x:c r="N38" s="120" t="str">
        <x:v>https://docs.pypsa.org/latest/user-guide/optimization/costs/</x:v>
      </x:c>
      <x:c r="O38" s="83" t="str">
        <x:v>Ready for data extraction</x:v>
      </x:c>
    </x:row>
    <x:row r="39">
      <x:c r="A39" s="83" t="str">
        <x:v>MAP-035</x:v>
      </x:c>
      <x:c r="B39" s="83" t="str">
        <x:v>Configuration</x:v>
      </x:c>
      <x:c r="C39" s="83" t="str">
        <x:v>Scenario/config overrides</x:v>
      </x:c>
      <x:c r="D39" s="83" t="str">
        <x:v>PyPSA-Eur YAML</x:v>
      </x:c>
      <x:c r="E39" s="83" t="str">
        <x:v>Static</x:v>
      </x:c>
      <x:c r="F39" s="83" t="str">
        <x:v>run; scenario; snapshots; electricity; lines; links; load; costs; solving</x:v>
      </x:c>
      <x:c r="G39" s="83" t="str">
        <x:v>mixed</x:v>
      </x:c>
      <x:c r="H39" s="83" t="str">
        <x:v>Configuration precedence applies</x:v>
      </x:c>
      <x:c r="I39" s="83" t="str">
        <x:v>Use custom config/scenario overrides, not ad hoc edits</x:v>
      </x:c>
      <x:c r="J39" s="83" t="str">
        <x:v>Map workbook outputs to repo-specific override files</x:v>
      </x:c>
      <x:c r="K39" s="83" t="str">
        <x:v>Project CLI repo</x:v>
      </x:c>
      <x:c r="L39" s="83" t="str">
        <x:v>D36</x:v>
      </x:c>
      <x:c r="M39" s="83" t="str">
        <x:v>Config diff is explicit and version-controlled</x:v>
      </x:c>
      <x:c r="N39" s="120" t="str">
        <x:v>https://pypsa-eur.readthedocs.io/en/latest/configuration.html</x:v>
      </x:c>
      <x:c r="O39" s="83" t="str">
        <x:v>Ready for data extraction</x:v>
      </x:c>
    </x:row>
  </x:sheetData>
  <x:mergeCells>
    <x:mergeCell ref="A1:O1"/>
    <x:mergeCell ref="A2:O2"/>
  </x:mergeCells>
  <x:conditionalFormatting sqref="O5:O39">
    <x:cfRule type="expression" dxfId="17" priority="1">
      <x:formula>ISNUMBER(SEARCH("finalise",O5))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db21e027e5485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8" hidden="0" customWidth="1"/>
    <x:col min="4" max="4" width="52" hidden="0" customWidth="1"/>
    <x:col min="5" max="5" width="48" hidden="0" customWidth="1"/>
    <x:col min="6" max="6" width="40" hidden="0" customWidth="1"/>
    <x:col min="7" max="7" width="38" hidden="0" customWidth="1"/>
    <x:col min="8" max="8" width="24" hidden="0" customWidth="1"/>
    <x:col min="9" max="9" width="14" hidden="0" customWidth="1"/>
    <x:col min="10" max="10" width="28" hidden="0" customWidth="1"/>
    <x:col min="11" max="11" width="34" hidden="0" customWidth="1"/>
    <x:col min="12" max="12" width="40" hidden="0" customWidth="1"/>
  </x:cols>
  <x:sheetData>
    <x:row r="1" ht="34" customHeight="1">
      <x:c r="A1" s="97" t="str">
        <x:v>Registro delle decisioni di modellazione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</x:row>
    <x:row r="2" ht="30" customHeight="1">
      <x:c r="A2" s="101" t="str">
        <x:v>36 decisioni; nessuna è bloccante immediatamente per la Fase 3A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</x:row>
    <x:row r="4" ht="38" customHeight="1">
      <x:c r="A4" s="119" t="str">
        <x:v>Decision ID</x:v>
      </x:c>
      <x:c r="B4" s="119" t="str">
        <x:v>Tema</x:v>
      </x:c>
      <x:c r="C4" s="119" t="str">
        <x:v>Domanda decisionale</x:v>
      </x:c>
      <x:c r="D4" s="119" t="str">
        <x:v>Default raccomandato</x:v>
      </x:c>
      <x:c r="E4" s="119" t="str">
        <x:v>Razionale</x:v>
      </x:c>
      <x:c r="F4" s="119" t="str">
        <x:v>Alternative</x:v>
      </x:c>
      <x:c r="G4" s="119" t="str">
        <x:v>Impatto sui risultati</x:v>
      </x:c>
      <x:c r="H4" s="119" t="str">
        <x:v>Richiesta entro</x:v>
      </x:c>
      <x:c r="I4" s="119" t="str">
        <x:v>Bloccante ora</x:v>
      </x:c>
      <x:c r="J4" s="119" t="str">
        <x:v>Stato</x:v>
      </x:c>
      <x:c r="K4" s="119" t="str">
        <x:v>Decisione utente</x:v>
      </x:c>
      <x:c r="L4" s="119" t="str">
        <x:v>Nota implementativa</x:v>
      </x:c>
    </x:row>
    <x:row r="5">
      <x:c r="A5" s="83" t="str">
        <x:v>D01</x:v>
      </x:c>
      <x:c r="B5" s="83" t="str">
        <x:v>Formulazione di base</x:v>
      </x:c>
      <x:c r="C5" s="83" t="str">
        <x:v>Il caso base deve essere un modello di trasporto per zone di mercato con capacità fisse e solo dispacciamento?</x:v>
      </x:c>
      <x:c r="D5" s="83" t="str">
        <x:v>Sì: Bus per zona, Link controllabili tra zone, p_nom/e_nom non estendibili.</x:v>
      </x:c>
      <x:c r="E5" s="83" t="str">
        <x:v>È coerente con l'obiettivo di simulare prezzi MGP zonali e con i dati Terna su zone/limiti di transito.</x:v>
      </x:c>
      <x:c r="F5" s="83" t="str">
        <x:v>Rete nodale PyPSA-Eur; modello ibrido zonale-nodale.</x:v>
      </x:c>
      <x:c r="G5" s="83" t="str">
        <x:v>Molto alto: determina prezzi, congestioni e dati richiesti.</x:v>
      </x:c>
      <x:c r="H5" s="83" t="str">
        <x:v>Prima della Fase 3C</x:v>
      </x:c>
      <x:c r="I5" s="83" t="str">
        <x:v>No</x:v>
      </x:c>
      <x:c r="J5" s="83" t="str">
        <x:v>Proposta da approvare</x:v>
      </x:c>
      <x:c r="K5" s="83" t="str"/>
      <x:c r="L5" s="83" t="str"/>
    </x:row>
    <x:row r="6">
      <x:c r="A6" s="83" t="str">
        <x:v>D02</x:v>
      </x:c>
      <x:c r="B6" s="83" t="str">
        <x:v>Zone italiane</x:v>
      </x:c>
      <x:c r="C6" s="83" t="str">
        <x:v>Quale configurazione zonale usare nel 2040 e nel 2050?</x:v>
      </x:c>
      <x:c r="D6" s="83" t="str">
        <x:v>Configurazione vigente più recente, con scenario alternativo solo se esiste una riforma ufficiale.</x:v>
      </x:c>
      <x:c r="E6" s="83" t="str">
        <x:v>Evita di inventare confini futuri e mantiene comparabilità con MGP.</x:v>
      </x:c>
      <x:c r="F6" s="83" t="str">
        <x:v>Zone future ipotetiche; aggregazione diversa.</x:v>
      </x:c>
      <x:c r="G6" s="83" t="str">
        <x:v>Alto: cambia domanda, capacità e congestioni.</x:v>
      </x:c>
      <x:c r="H6" s="83" t="str">
        <x:v>Fase 3C/4</x:v>
      </x:c>
      <x:c r="I6" s="83" t="str">
        <x:v>No</x:v>
      </x:c>
      <x:c r="J6" s="83" t="str">
        <x:v>Aperta</x:v>
      </x:c>
      <x:c r="K6" s="83" t="str"/>
      <x:c r="L6" s="83" t="str"/>
    </x:row>
    <x:row r="7">
      <x:c r="A7" s="83" t="str">
        <x:v>D03</x:v>
      </x:c>
      <x:c r="B7" s="83" t="str">
        <x:v>Sistemi esteri</x:v>
      </x:c>
      <x:c r="C7" s="83" t="str">
        <x:v>Paesi confinanti endogeni in PyPSA-Eur o prezzi/import esogeni?</x:v>
      </x:c>
      <x:c r="D7" s="83" t="str">
        <x:v>Nodi esteri aggregati endogeni se il workflow CLI lo consente; esogeni come sensitivity.</x:v>
      </x:c>
      <x:c r="E7" s="83" t="str">
        <x:v>I prezzi italiani dipendono materialmente dall'estero; l'endogeneità evita profili prezzo imposti.</x:v>
      </x:c>
      <x:c r="F7" s="83" t="str">
        <x:v>Prezzi esteri esogeni; import netti fissi.</x:v>
      </x:c>
      <x:c r="G7" s="83" t="str">
        <x:v>Molto alto: modifica prezzi e import/export.</x:v>
      </x:c>
      <x:c r="H7" s="83" t="str">
        <x:v>Prima della Fase 4</x:v>
      </x:c>
      <x:c r="I7" s="83" t="str">
        <x:v>No</x:v>
      </x:c>
      <x:c r="J7" s="83" t="str">
        <x:v>Aperta</x:v>
      </x:c>
      <x:c r="K7" s="83" t="str"/>
      <x:c r="L7" s="83" t="str"/>
    </x:row>
    <x:row r="8">
      <x:c r="A8" s="83" t="str">
        <x:v>D04</x:v>
      </x:c>
      <x:c r="B8" s="83" t="str">
        <x:v>Risoluzione temporale</x:v>
      </x:c>
      <x:c r="C8" s="83" t="str">
        <x:v>Anno completo orario o time sampling?</x:v>
      </x:c>
      <x:c r="D8" s="83" t="str">
        <x:v>8760/8784 snapshot orari con peso 1 nel caso base.</x:v>
      </x:c>
      <x:c r="E8" s="83" t="str">
        <x:v>Preserva picchi, prezzi estremi, storage e congestioni.</x:v>
      </x:c>
      <x:c r="F8" s="83" t="str">
        <x:v>Representative days; 3-hourly; time clustering.</x:v>
      </x:c>
      <x:c r="G8" s="83" t="str">
        <x:v>Molto alto su prezzi e storage.</x:v>
      </x:c>
      <x:c r="H8" s="83" t="str">
        <x:v>Prima dell'implementazione</x:v>
      </x:c>
      <x:c r="I8" s="83" t="str">
        <x:v>No</x:v>
      </x:c>
      <x:c r="J8" s="83" t="str">
        <x:v>Proposta da approvare</x:v>
      </x:c>
      <x:c r="K8" s="83" t="str"/>
      <x:c r="L8" s="83" t="str"/>
    </x:row>
    <x:row r="9">
      <x:c r="A9" s="83" t="str">
        <x:v>D05</x:v>
      </x:c>
      <x:c r="B9" s="83" t="str">
        <x:v>Anno meteorologico</x:v>
      </x:c>
      <x:c r="C9" s="83" t="str">
        <x:v>Quale anno meteo usare e quante sensitività?</x:v>
      </x:c>
      <x:c r="D9" s="83" t="str">
        <x:v>Un anno centrale esplicito più almeno due anni di sensitività.</x:v>
      </x:c>
      <x:c r="E9" s="83" t="str">
        <x:v>FER, idroelettrico e domanda climatica determinano prezzi e curtailment.</x:v>
      </x:c>
      <x:c r="F9" s="83" t="str">
        <x:v>Singolo anno; synthetic typical year.</x:v>
      </x:c>
      <x:c r="G9" s="83" t="str">
        <x:v>Molto alto.</x:v>
      </x:c>
      <x:c r="H9" s="83" t="str">
        <x:v>Fase 4</x:v>
      </x:c>
      <x:c r="I9" s="83" t="str">
        <x:v>No</x:v>
      </x:c>
      <x:c r="J9" s="83" t="str">
        <x:v>Aperta</x:v>
      </x:c>
      <x:c r="K9" s="83" t="str"/>
      <x:c r="L9" s="83" t="str"/>
    </x:row>
    <x:row r="10">
      <x:c r="A10" s="83" t="str">
        <x:v>D06</x:v>
      </x:c>
      <x:c r="B10" s="83" t="str">
        <x:v>Profilo domanda</x:v>
      </x:c>
      <x:c r="C10" s="83" t="str">
        <x:v>Come costruire i profili zonali futuri?</x:v>
      </x:c>
      <x:c r="D10" s="83" t="str">
        <x:v>Profilo storico/PyPSA per zona scalato ai totali futuri, con profili dedicati per nuovi carichi.</x:v>
      </x:c>
      <x:c r="E10" s="83" t="str">
        <x:v>Separa crescita annuale e cambiamento di shape.</x:v>
      </x:c>
      <x:c r="F10" s="83" t="str">
        <x:v>Un solo profilo nazionale ripartito con quote costanti.</x:v>
      </x:c>
      <x:c r="G10" s="83" t="str">
        <x:v>Molto alto.</x:v>
      </x:c>
      <x:c r="H10" s="83" t="str">
        <x:v>Fase 3A/4</x:v>
      </x:c>
      <x:c r="I10" s="83" t="str">
        <x:v>No</x:v>
      </x:c>
      <x:c r="J10" s="83" t="str">
        <x:v>Proposta</x:v>
      </x:c>
      <x:c r="K10" s="83" t="str"/>
      <x:c r="L10" s="83" t="str"/>
    </x:row>
    <x:row r="11">
      <x:c r="A11" s="83" t="str">
        <x:v>D07</x:v>
      </x:c>
      <x:c r="B11" s="83" t="str">
        <x:v>Domanda settoriale</x:v>
      </x:c>
      <x:c r="C11" s="83" t="str">
        <x:v>Mantenere Load separati per settore o solo domanda aggregata?</x:v>
      </x:c>
      <x:c r="D11" s="83" t="str">
        <x:v>Load separati almeno per nuovi carichi e carichi flessibili; aggregazione per la domanda convenzionale.</x:v>
      </x:c>
      <x:c r="E11" s="83" t="str">
        <x:v>Consente sensitività senza sovraccaricare il modello.</x:v>
      </x:c>
      <x:c r="F11" s="83" t="str">
        <x:v>Un solo Load per zona; pieno sector coupling.</x:v>
      </x:c>
      <x:c r="G11" s="83" t="str">
        <x:v>Medio-alto.</x:v>
      </x:c>
      <x:c r="H11" s="83" t="str">
        <x:v>Fase 4</x:v>
      </x:c>
      <x:c r="I11" s="83" t="str">
        <x:v>No</x:v>
      </x:c>
      <x:c r="J11" s="83" t="str">
        <x:v>Proposta</x:v>
      </x:c>
      <x:c r="K11" s="83" t="str"/>
      <x:c r="L11" s="83" t="str"/>
    </x:row>
    <x:row r="12">
      <x:c r="A12" s="83" t="str">
        <x:v>D08</x:v>
      </x:c>
      <x:c r="B12" s="83" t="str">
        <x:v>Autoconsumo e perdite</x:v>
      </x:c>
      <x:c r="C12" s="83" t="str">
        <x:v>Quale perimetro di domanda usare?</x:v>
      </x:c>
      <x:c r="D12" s="83" t="str">
        <x:v>Domanda di rete coerente con i profili; PV distribuito esplicito; perdite conteggiate una sola volta.</x:v>
      </x:c>
      <x:c r="E12" s="83" t="str">
        <x:v>Evita doppio conteggio di autoconsumi e perdite.</x:v>
      </x:c>
      <x:c r="F12" s="83" t="str">
        <x:v>Fabbisogno lordo; consumi finali.</x:v>
      </x:c>
      <x:c r="G12" s="83" t="str">
        <x:v>Alto.</x:v>
      </x:c>
      <x:c r="H12" s="83" t="str">
        <x:v>Fase 3A/4</x:v>
      </x:c>
      <x:c r="I12" s="83" t="str">
        <x:v>No</x:v>
      </x:c>
      <x:c r="J12" s="83" t="str">
        <x:v>Aperta</x:v>
      </x:c>
      <x:c r="K12" s="83" t="str"/>
      <x:c r="L12" s="83" t="str"/>
    </x:row>
    <x:row r="13">
      <x:c r="A13" s="83" t="str">
        <x:v>D09</x:v>
      </x:c>
      <x:c r="B13" s="83" t="str">
        <x:v>Aggregazione impianti</x:v>
      </x:c>
      <x:c r="C13" s="83" t="str">
        <x:v>Impianti unit-level o coorti zona-tecnologia?</x:v>
      </x:c>
      <x:c r="D13" s="83" t="str">
        <x:v>VRE aggregata per zona; termico in coorti di efficienza/combustibile/età; unit-level solo per grandi asset.</x:v>
      </x:c>
      <x:c r="E13" s="83" t="str">
        <x:v>Mantiene merit order con dimensione gestibile.</x:v>
      </x:c>
      <x:c r="F13" s="83" t="str">
        <x:v>Tutto aggregato; tutto unit-level.</x:v>
      </x:c>
      <x:c r="G13" s="83" t="str">
        <x:v>Alto.</x:v>
      </x:c>
      <x:c r="H13" s="83" t="str">
        <x:v>Fase 3A/4</x:v>
      </x:c>
      <x:c r="I13" s="83" t="str">
        <x:v>No</x:v>
      </x:c>
      <x:c r="J13" s="83" t="str">
        <x:v>Proposta</x:v>
      </x:c>
      <x:c r="K13" s="83" t="str"/>
      <x:c r="L13" s="83" t="str"/>
    </x:row>
    <x:row r="14">
      <x:c r="A14" s="83" t="str">
        <x:v>D10</x:v>
      </x:c>
      <x:c r="B14" s="83" t="str">
        <x:v>Unit commitment</x:v>
      </x:c>
      <x:c r="C14" s="83" t="str">
        <x:v>Unit commitment nel caso base?</x:v>
      </x:c>
      <x:c r="D14" s="83" t="str">
        <x:v>No nel base LP; sensitivity MILP con UC per termico/nucleare se i dati tecnici sono sufficienti.</x:v>
      </x:c>
      <x:c r="E14" s="83" t="str">
        <x:v>Il base resta trasparente e scalabile; la sensitivity quantifica startup/minimi tecnici.</x:v>
      </x:c>
      <x:c r="F14" s="83" t="str">
        <x:v>UC in tutti i run; nessuna UC sensitivity.</x:v>
      </x:c>
      <x:c r="G14" s="83" t="str">
        <x:v>Alto soprattutto su ore marginali e prezzi bassi.</x:v>
      </x:c>
      <x:c r="H14" s="83" t="str">
        <x:v>Fase 4/7</x:v>
      </x:c>
      <x:c r="I14" s="83" t="str">
        <x:v>No</x:v>
      </x:c>
      <x:c r="J14" s="83" t="str">
        <x:v>Proposta</x:v>
      </x:c>
      <x:c r="K14" s="83" t="str"/>
      <x:c r="L14" s="83" t="str"/>
    </x:row>
    <x:row r="15">
      <x:c r="A15" s="83" t="str">
        <x:v>D11</x:v>
      </x:c>
      <x:c r="B15" s="83" t="str">
        <x:v>Indisponibilità</x:v>
      </x:c>
      <x:c r="C15" s="83" t="str">
        <x:v>Come rappresentare outage e disponibilità?</x:v>
      </x:c>
      <x:c r="D15" s="83" t="str">
        <x:v>Derating per tecnologia/stagione nel base; profili o scenari outage in sensitivity.</x:v>
      </x:c>
      <x:c r="E15" s="83" t="str">
        <x:v>Bilancia realismo e disponibilità dati.</x:v>
      </x:c>
      <x:c r="F15" s="83" t="str">
        <x:v>Capacità nominale sempre disponibile; outage stocastici.</x:v>
      </x:c>
      <x:c r="G15" s="83" t="str">
        <x:v>Alto su adeguatezza/prezzi.</x:v>
      </x:c>
      <x:c r="H15" s="83" t="str">
        <x:v>Fase 3D/4</x:v>
      </x:c>
      <x:c r="I15" s="83" t="str">
        <x:v>No</x:v>
      </x:c>
      <x:c r="J15" s="83" t="str">
        <x:v>Aperta</x:v>
      </x:c>
      <x:c r="K15" s="83" t="str"/>
      <x:c r="L15" s="83" t="str"/>
    </x:row>
    <x:row r="16">
      <x:c r="A16" s="83" t="str">
        <x:v>D12</x:v>
      </x:c>
      <x:c r="B16" s="83" t="str">
        <x:v>Costo marginale</x:v>
      </x:c>
      <x:c r="C16" s="83" t="str">
        <x:v>Formula e responsabilità del calcolo marginal cost?</x:v>
      </x:c>
      <x:c r="D16" s="83" t="str">
        <x:v>Calcolo esterno auditabile: fuel/efficiency + CO2*EF/efficiency + VOM + altri costi.</x:v>
      </x:c>
      <x:c r="E16" s="83" t="str">
        <x:v>Evita doppia applicazione di CO2 e rende il merit order controllabile.</x:v>
      </x:c>
      <x:c r="F16" s="83" t="str">
        <x:v>Costi già aggregati da fonti; global CO2 constraint.</x:v>
      </x:c>
      <x:c r="G16" s="83" t="str">
        <x:v>Molto alto.</x:v>
      </x:c>
      <x:c r="H16" s="83" t="str">
        <x:v>Fase 3D</x:v>
      </x:c>
      <x:c r="I16" s="83" t="str">
        <x:v>No</x:v>
      </x:c>
      <x:c r="J16" s="83" t="str">
        <x:v>Proposta</x:v>
      </x:c>
      <x:c r="K16" s="83" t="str"/>
      <x:c r="L16" s="83" t="str"/>
    </x:row>
    <x:row r="17">
      <x:c r="A17" s="83" t="str">
        <x:v>D13</x:v>
      </x:c>
      <x:c r="B17" s="83" t="str">
        <x:v>Granularità commodity</x:v>
      </x:c>
      <x:c r="C17" s="83" t="str">
        <x:v>Fuel e CO2 annuali o time-varying?</x:v>
      </x:c>
      <x:c r="D17" s="83" t="str">
        <x:v>Valori annuali di scenario nel base; profili mensili/volatili in sensitivity.</x:v>
      </x:c>
      <x:c r="E17" s="83" t="str">
        <x:v>Gli scenari 2040/2050 sono strutturali; la volatilità è meglio isolata.</x:v>
      </x:c>
      <x:c r="F17" s="83" t="str">
        <x:v>Serie oraria; valori fissi unici senza sensitivity.</x:v>
      </x:c>
      <x:c r="G17" s="83" t="str">
        <x:v>Alto.</x:v>
      </x:c>
      <x:c r="H17" s="83" t="str">
        <x:v>Fase 3D/4</x:v>
      </x:c>
      <x:c r="I17" s="83" t="str">
        <x:v>No</x:v>
      </x:c>
      <x:c r="J17" s="83" t="str">
        <x:v>Proposta</x:v>
      </x:c>
      <x:c r="K17" s="83" t="str"/>
      <x:c r="L17" s="83" t="str"/>
    </x:row>
    <x:row r="18">
      <x:c r="A18" s="83" t="str">
        <x:v>D14</x:v>
      </x:c>
      <x:c r="B18" s="83" t="str">
        <x:v>Offerte FER</x:v>
      </x:c>
      <x:c r="C18" s="83" t="str">
        <x:v>FER a costo marginale zero o offerte negative?</x:v>
      </x:c>
      <x:c r="D18" s="83" t="str">
        <x:v>Zero nel base; negative bids solo in sensitivity supportata da regole/incentivi.</x:v>
      </x:c>
      <x:c r="E18" s="83" t="str">
        <x:v>Separa costo tecnico e strategia di offerta.</x:v>
      </x:c>
      <x:c r="F18" s="83" t="str">
        <x:v>Sempre negative; costo positivo.</x:v>
      </x:c>
      <x:c r="G18" s="83" t="str">
        <x:v>Medio-alto sui prezzi negativi.</x:v>
      </x:c>
      <x:c r="H18" s="83" t="str">
        <x:v>Fase 3D/4</x:v>
      </x:c>
      <x:c r="I18" s="83" t="str">
        <x:v>No</x:v>
      </x:c>
      <x:c r="J18" s="83" t="str">
        <x:v>Proposta</x:v>
      </x:c>
      <x:c r="K18" s="83" t="str"/>
      <x:c r="L18" s="83" t="str"/>
    </x:row>
    <x:row r="19">
      <x:c r="A19" s="83" t="str">
        <x:v>D15</x:v>
      </x:c>
      <x:c r="B19" s="83" t="str">
        <x:v>Idroelettrico</x:v>
      </x:c>
      <x:c r="C19" s="83" t="str">
        <x:v>Quale architettura per run-of-river, serbatoi e pompaggi?</x:v>
      </x:c>
      <x:c r="D19" s="83" t="str">
        <x:v>Tre classi separate; Store+Links quando potenza/energia sono indipendenti, StorageUnit quando il rapporto è fisso.</x:v>
      </x:c>
      <x:c r="E19" s="83" t="str">
        <x:v>Preserva inflow, energia e potenza senza aggregazioni improprie.</x:v>
      </x:c>
      <x:c r="F19" s="83" t="str">
        <x:v>Tutto Generator; tutto StorageUnit.</x:v>
      </x:c>
      <x:c r="G19" s="83" t="str">
        <x:v>Molto alto su flessibilità/prezzi.</x:v>
      </x:c>
      <x:c r="H19" s="83" t="str">
        <x:v>Prima della Fase 3B</x:v>
      </x:c>
      <x:c r="I19" s="83" t="str">
        <x:v>No</x:v>
      </x:c>
      <x:c r="J19" s="83" t="str">
        <x:v>Proposta</x:v>
      </x:c>
      <x:c r="K19" s="83" t="str"/>
      <x:c r="L19" s="83" t="str"/>
    </x:row>
    <x:row r="20">
      <x:c r="A20" s="83" t="str">
        <x:v>D16</x:v>
      </x:c>
      <x:c r="B20" s="83" t="str">
        <x:v>SOC idroelettrico</x:v>
      </x:c>
      <x:c r="C20" s="83" t="str">
        <x:v>Condizione terminale dei serbatoi?</x:v>
      </x:c>
      <x:c r="D20" s="83" t="str">
        <x:v>Ciclica o target finale calibrato; mai SOC finale libero nel run annuale.</x:v>
      </x:c>
      <x:c r="E20" s="83" t="str">
        <x:v>Evita svuotamento artificiale a fine anno.</x:v>
      </x:c>
      <x:c r="F20" s="83" t="str">
        <x:v>SOC iniziale/finale libero; rolling horizon.</x:v>
      </x:c>
      <x:c r="G20" s="83" t="str">
        <x:v>Alto.</x:v>
      </x:c>
      <x:c r="H20" s="83" t="str">
        <x:v>Fase 3B/4</x:v>
      </x:c>
      <x:c r="I20" s="83" t="str">
        <x:v>No</x:v>
      </x:c>
      <x:c r="J20" s="83" t="str">
        <x:v>Proposta</x:v>
      </x:c>
      <x:c r="K20" s="83" t="str"/>
      <x:c r="L20" s="83" t="str"/>
    </x:row>
    <x:row r="21">
      <x:c r="A21" s="83" t="str">
        <x:v>D17</x:v>
      </x:c>
      <x:c r="B21" s="83" t="str">
        <x:v>Batterie</x:v>
      </x:c>
      <x:c r="C21" s="83" t="str">
        <x:v>StorageUnit o Store+Links?</x:v>
      </x:c>
      <x:c r="D21" s="83" t="str">
        <x:v>Store con Link separati per carica/scarica.</x:v>
      </x:c>
      <x:c r="E21" s="83" t="str">
        <x:v>Le fonti forniscono MW e MWh separatamente e le durate possono differire.</x:v>
      </x:c>
      <x:c r="F21" s="83" t="str">
        <x:v>StorageUnit con max_hours.</x:v>
      </x:c>
      <x:c r="G21" s="83" t="str">
        <x:v>Alto.</x:v>
      </x:c>
      <x:c r="H21" s="83" t="str">
        <x:v>Prima della Fase 3B</x:v>
      </x:c>
      <x:c r="I21" s="83" t="str">
        <x:v>No</x:v>
      </x:c>
      <x:c r="J21" s="83" t="str">
        <x:v>Proposta</x:v>
      </x:c>
      <x:c r="K21" s="83" t="str"/>
      <x:c r="L21" s="83" t="str"/>
    </x:row>
    <x:row r="22">
      <x:c r="A22" s="83" t="str">
        <x:v>D18</x:v>
      </x:c>
      <x:c r="B22" s="83" t="str">
        <x:v>SOC e classi storage</x:v>
      </x:c>
      <x:c r="C22" s="83" t="str">
        <x:v>Come separare durate e chiudere il SOC?</x:v>
      </x:c>
      <x:c r="D22" s="83" t="str">
        <x:v>Classi per durata/tecnologia e SOC ciclico per anno completo.</x:v>
      </x:c>
      <x:c r="E22" s="83" t="str">
        <x:v>Evita una batteria media non fisica.</x:v>
      </x:c>
      <x:c r="F22" s="83" t="str">
        <x:v>Un'unica classe; SOC finale libero.</x:v>
      </x:c>
      <x:c r="G22" s="83" t="str">
        <x:v>Alto.</x:v>
      </x:c>
      <x:c r="H22" s="83" t="str">
        <x:v>Fase 3B/4</x:v>
      </x:c>
      <x:c r="I22" s="83" t="str">
        <x:v>No</x:v>
      </x:c>
      <x:c r="J22" s="83" t="str">
        <x:v>Proposta</x:v>
      </x:c>
      <x:c r="K22" s="83" t="str"/>
      <x:c r="L22" s="83" t="str"/>
    </x:row>
    <x:row r="23">
      <x:c r="A23" s="83" t="str">
        <x:v>D19</x:v>
      </x:c>
      <x:c r="B23" s="83" t="str">
        <x:v>MACSE/Capacity Market</x:v>
      </x:c>
      <x:c r="C23" s="83" t="str">
        <x:v>Quale capacità futura considerare realizzata?</x:v>
      </x:c>
      <x:c r="D23" s="83" t="str">
        <x:v>Solo capacità assegnata/certa o esplicitamente inclusa nello scenario; target/pipeline in sensitività.</x:v>
      </x:c>
      <x:c r="E23" s="83" t="str">
        <x:v>Evita di trasformare richieste o target in installato.</x:v>
      </x:c>
      <x:c r="F23" s="83" t="str">
        <x:v>Tutto il target; tutte le richieste.</x:v>
      </x:c>
      <x:c r="G23" s="83" t="str">
        <x:v>Molto alto.</x:v>
      </x:c>
      <x:c r="H23" s="83" t="str">
        <x:v>Fase 3B/4</x:v>
      </x:c>
      <x:c r="I23" s="83" t="str">
        <x:v>No</x:v>
      </x:c>
      <x:c r="J23" s="83" t="str">
        <x:v>Proposta</x:v>
      </x:c>
      <x:c r="K23" s="83" t="str"/>
      <x:c r="L23" s="83" t="str"/>
    </x:row>
    <x:row r="24">
      <x:c r="A24" s="83" t="str">
        <x:v>D20</x:v>
      </x:c>
      <x:c r="B24" s="83" t="str">
        <x:v>Capacità di scambio</x:v>
      </x:c>
      <x:c r="C24" s="83" t="str">
        <x:v>Quale valore usare tra rating progetto, incremento, target capacity e NTC?</x:v>
      </x:c>
      <x:c r="D24" s="83" t="str">
        <x:v>Limite di transito di mercato previsto; progetto/target conservati come evidenza separata.</x:v>
      </x:c>
      <x:c r="E24" s="83" t="str">
        <x:v>È il parametro rilevante per il modello zonale.</x:v>
      </x:c>
      <x:c r="F24" s="83" t="str">
        <x:v>Rating nominale; target economico.</x:v>
      </x:c>
      <x:c r="G24" s="83" t="str">
        <x:v>Molto alto.</x:v>
      </x:c>
      <x:c r="H24" s="83" t="str">
        <x:v>Fase 3C/4</x:v>
      </x:c>
      <x:c r="I24" s="83" t="str">
        <x:v>No</x:v>
      </x:c>
      <x:c r="J24" s="83" t="str">
        <x:v>Proposta</x:v>
      </x:c>
      <x:c r="K24" s="83" t="str"/>
      <x:c r="L24" s="83" t="str"/>
    </x:row>
    <x:row r="25">
      <x:c r="A25" s="83" t="str">
        <x:v>D21</x:v>
      </x:c>
      <x:c r="B25" s="83" t="str">
        <x:v>Direzionalità/seasonality</x:v>
      </x:c>
      <x:c r="C25" s="83" t="str">
        <x:v>NTC simmetriche e statiche o direzionali/stagionali?</x:v>
      </x:c>
      <x:c r="D25" s="83" t="str">
        <x:v>Direzionali e stagionali quando disponibili; separate Links se asimmetriche.</x:v>
      </x:c>
      <x:c r="E25" s="83" t="str">
        <x:v>Replica meglio i limiti di mercato.</x:v>
      </x:c>
      <x:c r="F25" s="83" t="str">
        <x:v>Capacità annuale simmetrica.</x:v>
      </x:c>
      <x:c r="G25" s="83" t="str">
        <x:v>Alto.</x:v>
      </x:c>
      <x:c r="H25" s="83" t="str">
        <x:v>Fase 3C/4</x:v>
      </x:c>
      <x:c r="I25" s="83" t="str">
        <x:v>No</x:v>
      </x:c>
      <x:c r="J25" s="83" t="str">
        <x:v>Proposta</x:v>
      </x:c>
      <x:c r="K25" s="83" t="str"/>
      <x:c r="L25" s="83" t="str"/>
    </x:row>
    <x:row r="26">
      <x:c r="A26" s="83" t="str">
        <x:v>D22</x:v>
      </x:c>
      <x:c r="B26" s="83" t="str">
        <x:v>Varianti rete</x:v>
      </x:c>
      <x:c r="C26" s="83" t="str">
        <x:v>Quali scenari rete?</x:v>
      </x:c>
      <x:c r="D26" s="83" t="str">
        <x:v>2040 Base + Conservative; 2050 Central + High Grid.</x:v>
      </x:c>
      <x:c r="E26" s="83" t="str">
        <x:v>Isola l'incertezza di completamento e sviluppo.</x:v>
      </x:c>
      <x:c r="F26" s="83" t="str">
        <x:v>Un solo caso; molte combinazioni non controllate.</x:v>
      </x:c>
      <x:c r="G26" s="83" t="str">
        <x:v>Alto.</x:v>
      </x:c>
      <x:c r="H26" s="83" t="str">
        <x:v>Fase 4</x:v>
      </x:c>
      <x:c r="I26" s="83" t="str">
        <x:v>No</x:v>
      </x:c>
      <x:c r="J26" s="83" t="str">
        <x:v>Definita nel piano</x:v>
      </x:c>
      <x:c r="K26" s="83" t="str"/>
      <x:c r="L26" s="83" t="str"/>
    </x:row>
    <x:row r="27">
      <x:c r="A27" s="83" t="str">
        <x:v>D23</x:v>
      </x:c>
      <x:c r="B27" s="83" t="str">
        <x:v>Perdite rete</x:v>
      </x:c>
      <x:c r="C27" s="83" t="str">
        <x:v>Perdite nella domanda o nell'efficienza dei Link?</x:v>
      </x:c>
      <x:c r="D27" s="83" t="str">
        <x:v>Una sola rappresentazione; preferire Link efficiency per corridoi se i totali domanda sono netti.</x:v>
      </x:c>
      <x:c r="E27" s="83" t="str">
        <x:v>Mantiene tracciabilità fisica.</x:v>
      </x:c>
      <x:c r="F27" s="83" t="str">
        <x:v>Perdite già nel Load; ignorate.</x:v>
      </x:c>
      <x:c r="G27" s="83" t="str">
        <x:v>Medio-alto.</x:v>
      </x:c>
      <x:c r="H27" s="83" t="str">
        <x:v>Fase 3C/4</x:v>
      </x:c>
      <x:c r="I27" s="83" t="str">
        <x:v>No</x:v>
      </x:c>
      <x:c r="J27" s="83" t="str">
        <x:v>Aperta</x:v>
      </x:c>
      <x:c r="K27" s="83" t="str"/>
      <x:c r="L27" s="83" t="str"/>
    </x:row>
    <x:row r="28">
      <x:c r="A28" s="83" t="str">
        <x:v>D24</x:v>
      </x:c>
      <x:c r="B28" s="83" t="str">
        <x:v>Nucleare 2050</x:v>
      </x:c>
      <x:c r="C28" s="83" t="str">
        <x:v>Scenario centrale con o senza nucleare?</x:v>
      </x:c>
      <x:c r="D28" s="83" t="str">
        <x:v>Mantenere due rami espliciti; non fondere le capacità.</x:v>
      </x:c>
      <x:c r="E28" s="83" t="str">
        <x:v>Le fonti presentano alternative di scenario.</x:v>
      </x:c>
      <x:c r="F28" s="83" t="str">
        <x:v>Un unico scenario scelto ora.</x:v>
      </x:c>
      <x:c r="G28" s="83" t="str">
        <x:v>Molto alto.</x:v>
      </x:c>
      <x:c r="H28" s="83" t="str">
        <x:v>Fase 4</x:v>
      </x:c>
      <x:c r="I28" s="83" t="str">
        <x:v>No</x:v>
      </x:c>
      <x:c r="J28" s="83" t="str">
        <x:v>Proposta</x:v>
      </x:c>
      <x:c r="K28" s="83" t="str"/>
      <x:c r="L28" s="83" t="str"/>
    </x:row>
    <x:row r="29">
      <x:c r="A29" s="83" t="str">
        <x:v>D25</x:v>
      </x:c>
      <x:c r="B29" s="83" t="str">
        <x:v>CCS 2050</x:v>
      </x:c>
      <x:c r="C29" s="83" t="str">
        <x:v>Includere CCS nel modello elettrico?</x:v>
      </x:c>
      <x:c r="D29" s="83" t="str">
        <x:v>Solo nei rami di scenario che lo richiedono e con efficiency penalty/emissioni residue.</x:v>
      </x:c>
      <x:c r="E29" s="83" t="str">
        <x:v>Evita una tecnologia generica senza parametri.</x:v>
      </x:c>
      <x:c r="F29" s="83" t="str">
        <x:v>Escludere sempre; includere nel base.</x:v>
      </x:c>
      <x:c r="G29" s="83" t="str">
        <x:v>Alto.</x:v>
      </x:c>
      <x:c r="H29" s="83" t="str">
        <x:v>Fase 4</x:v>
      </x:c>
      <x:c r="I29" s="83" t="str">
        <x:v>No</x:v>
      </x:c>
      <x:c r="J29" s="83" t="str">
        <x:v>Aperta</x:v>
      </x:c>
      <x:c r="K29" s="83" t="str"/>
      <x:c r="L29" s="83" t="str"/>
    </x:row>
    <x:row r="30">
      <x:c r="A30" s="83" t="str">
        <x:v>D26</x:v>
      </x:c>
      <x:c r="B30" s="83" t="str">
        <x:v>Idrogeno e power-to-X</x:v>
      </x:c>
      <x:c r="C30" s="83" t="str">
        <x:v>Rappresentazione esogena o sector-coupled?</x:v>
      </x:c>
      <x:c r="D30" s="83" t="str">
        <x:v>Nel modello electricity-only: Load flessibile/esogeno; Link e rete H2 solo in estensione separata.</x:v>
      </x:c>
      <x:c r="E30" s="83" t="str">
        <x:v>Mantiene il perimetro della consegna.</x:v>
      </x:c>
      <x:c r="F30" s="83" t="str">
        <x:v>Pieno sector coupling; esclusione totale.</x:v>
      </x:c>
      <x:c r="G30" s="83" t="str">
        <x:v>Alto su domanda/prezzi.</x:v>
      </x:c>
      <x:c r="H30" s="83" t="str">
        <x:v>Fase 3A/4</x:v>
      </x:c>
      <x:c r="I30" s="83" t="str">
        <x:v>No</x:v>
      </x:c>
      <x:c r="J30" s="83" t="str">
        <x:v>Proposta</x:v>
      </x:c>
      <x:c r="K30" s="83" t="str"/>
      <x:c r="L30" s="83" t="str"/>
    </x:row>
    <x:row r="31">
      <x:c r="A31" s="83" t="str">
        <x:v>D27</x:v>
      </x:c>
      <x:c r="B31" s="83" t="str">
        <x:v>Demand response</x:v>
      </x:c>
      <x:c r="C31" s="83" t="str">
        <x:v>Includere flessibilità della domanda nel base?</x:v>
      </x:c>
      <x:c r="D31" s="83" t="str">
        <x:v>No nel base salvo evidenza solida; sensitivity per EV/HP/industria/H2.</x:v>
      </x:c>
      <x:c r="E31" s="83" t="str">
        <x:v>Evita flessibilità non supportata che abbassa artificialmente i prezzi.</x:v>
      </x:c>
      <x:c r="F31" s="83" t="str">
        <x:v>Tutta domanda flessibile; nessuna sensitivity.</x:v>
      </x:c>
      <x:c r="G31" s="83" t="str">
        <x:v>Alto.</x:v>
      </x:c>
      <x:c r="H31" s="83" t="str">
        <x:v>Fase 4</x:v>
      </x:c>
      <x:c r="I31" s="83" t="str">
        <x:v>No</x:v>
      </x:c>
      <x:c r="J31" s="83" t="str">
        <x:v>Proposta</x:v>
      </x:c>
      <x:c r="K31" s="83" t="str"/>
      <x:c r="L31" s="83" t="str"/>
    </x:row>
    <x:row r="32">
      <x:c r="A32" s="83" t="str">
        <x:v>D28</x:v>
      </x:c>
      <x:c r="B32" s="83" t="str">
        <x:v>Load shedding</x:v>
      </x:c>
      <x:c r="C32" s="83" t="str">
        <x:v>Valore VOLL e capacità virtuale?</x:v>
      </x:c>
      <x:c r="D32" s="83" t="str">
        <x:v>VOLL documentato e Generator virtuale per zona dimensionato oltre il picco.</x:v>
      </x:c>
      <x:c r="E32" s="83" t="str">
        <x:v>Garantisce fattibilità e misura EENS.</x:v>
      </x:c>
      <x:c r="F32" s="83" t="str">
        <x:v>Nessun load shedding; penalità arbitraria.</x:v>
      </x:c>
      <x:c r="G32" s="83" t="str">
        <x:v>Alto.</x:v>
      </x:c>
      <x:c r="H32" s="83" t="str">
        <x:v>Fase 3D/4</x:v>
      </x:c>
      <x:c r="I32" s="83" t="str">
        <x:v>No</x:v>
      </x:c>
      <x:c r="J32" s="83" t="str">
        <x:v>Aperta</x:v>
      </x:c>
      <x:c r="K32" s="83" t="str"/>
      <x:c r="L32" s="83" t="str"/>
    </x:row>
    <x:row r="33">
      <x:c r="A33" s="83" t="str">
        <x:v>D29</x:v>
      </x:c>
      <x:c r="B33" s="83" t="str">
        <x:v>Prezzi/PUN</x:v>
      </x:c>
      <x:c r="C33" s="83" t="str">
        <x:v>Come derivare il benchmark nazionale?</x:v>
      </x:c>
      <x:c r="D33" s="83" t="str">
        <x:v>Prezzi zonali come output primario; PUN proxy post-processato con pesi di acquisto/domanda.</x:v>
      </x:c>
      <x:c r="E33" s="83" t="str">
        <x:v>Il modello zonale non produce automaticamente il meccanismo GME completo.</x:v>
      </x:c>
      <x:c r="F33" s="83" t="str">
        <x:v>Media semplice; prezzo del bus nazionale.</x:v>
      </x:c>
      <x:c r="G33" s="83" t="str">
        <x:v>Molto alto per il deliverable.</x:v>
      </x:c>
      <x:c r="H33" s="83" t="str">
        <x:v>Fase 4/7</x:v>
      </x:c>
      <x:c r="I33" s="83" t="str">
        <x:v>No</x:v>
      </x:c>
      <x:c r="J33" s="83" t="str">
        <x:v>Proposta</x:v>
      </x:c>
      <x:c r="K33" s="83" t="str"/>
      <x:c r="L33" s="83" t="str"/>
    </x:row>
    <x:row r="34">
      <x:c r="A34" s="83" t="str">
        <x:v>D30</x:v>
      </x:c>
      <x:c r="B34" s="83" t="str">
        <x:v>Cap/floor</x:v>
      </x:c>
      <x:c r="C34" s="83" t="str">
        <x:v>Applicare limiti amministrativi ai prezzi?</x:v>
      </x:c>
      <x:c r="D34" s="83" t="str">
        <x:v>Rappresentare via offerte/VOLL; non troncare i duali ex post nel dataset tecnico.</x:v>
      </x:c>
      <x:c r="E34" s="83" t="str">
        <x:v>Il clipping nasconde scarsità e altera statistiche.</x:v>
      </x:c>
      <x:c r="F34" s="83" t="str">
        <x:v>Clipping al cap/floor GME.</x:v>
      </x:c>
      <x:c r="G34" s="83" t="str">
        <x:v>Medio-alto.</x:v>
      </x:c>
      <x:c r="H34" s="83" t="str">
        <x:v>Fase 3D/4</x:v>
      </x:c>
      <x:c r="I34" s="83" t="str">
        <x:v>No</x:v>
      </x:c>
      <x:c r="J34" s="83" t="str">
        <x:v>Proposta</x:v>
      </x:c>
      <x:c r="K34" s="83" t="str"/>
      <x:c r="L34" s="83" t="str"/>
    </x:row>
    <x:row r="35">
      <x:c r="A35" s="83" t="str">
        <x:v>D31</x:v>
      </x:c>
      <x:c r="B35" s="83" t="str">
        <x:v>Riserve/servizi</x:v>
      </x:c>
      <x:c r="C35" s="83" t="str">
        <x:v>Includere riserva e servizi ancillari?</x:v>
      </x:c>
      <x:c r="D35" s="83" t="str">
        <x:v>Esclusi dal caso MGP base; eventuale sensitivity/custom constraints.</x:v>
      </x:c>
      <x:c r="E35" s="83" t="str">
        <x:v>Il progetto mira al mercato spot day-ahead, non all'intero MSD.</x:v>
      </x:c>
      <x:c r="F35" s="83" t="str">
        <x:v>Co-ottimizzazione completa; reserve margin semplice.</x:v>
      </x:c>
      <x:c r="G35" s="83" t="str">
        <x:v>Medio-alto.</x:v>
      </x:c>
      <x:c r="H35" s="83" t="str">
        <x:v>Fase 4/7</x:v>
      </x:c>
      <x:c r="I35" s="83" t="str">
        <x:v>No</x:v>
      </x:c>
      <x:c r="J35" s="83" t="str">
        <x:v>Proposta</x:v>
      </x:c>
      <x:c r="K35" s="83" t="str"/>
      <x:c r="L35" s="83" t="str"/>
    </x:row>
    <x:row r="36">
      <x:c r="A36" s="83" t="str">
        <x:v>D32</x:v>
      </x:c>
      <x:c r="B36" s="83" t="str">
        <x:v>Calibrazione</x:v>
      </x:c>
      <x:c r="C36" s="83" t="str">
        <x:v>Eseguire un backcast storico?</x:v>
      </x:c>
      <x:c r="D36" s="83" t="str">
        <x:v>Sì, almeno 2023 o 2024 prima dei run finali.</x:v>
      </x:c>
      <x:c r="E36" s="83" t="str">
        <x:v>Verifica profili, costi, interconnessioni e meccanismo di prezzo.</x:v>
      </x:c>
      <x:c r="F36" s="83" t="str">
        <x:v>Solo scenari futuri.</x:v>
      </x:c>
      <x:c r="G36" s="83" t="str">
        <x:v>Molto alto sulla credibilità.</x:v>
      </x:c>
      <x:c r="H36" s="83" t="str">
        <x:v>Prima della validazione finale</x:v>
      </x:c>
      <x:c r="I36" s="83" t="str">
        <x:v>No</x:v>
      </x:c>
      <x:c r="J36" s="83" t="str">
        <x:v>Proposta</x:v>
      </x:c>
      <x:c r="K36" s="83" t="str"/>
      <x:c r="L36" s="83" t="str"/>
    </x:row>
    <x:row r="37">
      <x:c r="A37" s="83" t="str">
        <x:v>D33</x:v>
      </x:c>
      <x:c r="B37" s="83" t="str">
        <x:v>Sensitività</x:v>
      </x:c>
      <x:c r="C37" s="83" t="str">
        <x:v>Quale matrice minima di sensitività?</x:v>
      </x:c>
      <x:c r="D37" s="83" t="str">
        <x:v>Meteo, rete, fuel/CO2, domanda, storage, nucleare e UC; variazioni controllate.</x:v>
      </x:c>
      <x:c r="E37" s="83" t="str">
        <x:v>Rende trasparenti i driver di prezzo.</x:v>
      </x:c>
      <x:c r="F37" s="83" t="str">
        <x:v>Un solo run; combinazioni esaustive.</x:v>
      </x:c>
      <x:c r="G37" s="83" t="str">
        <x:v>Alto.</x:v>
      </x:c>
      <x:c r="H37" s="83" t="str">
        <x:v>Fase 4</x:v>
      </x:c>
      <x:c r="I37" s="83" t="str">
        <x:v>No</x:v>
      </x:c>
      <x:c r="J37" s="83" t="str">
        <x:v>Aperta</x:v>
      </x:c>
      <x:c r="K37" s="83" t="str"/>
      <x:c r="L37" s="83" t="str"/>
    </x:row>
    <x:row r="38">
      <x:c r="A38" s="83" t="str">
        <x:v>D34</x:v>
      </x:c>
      <x:c r="B38" s="83" t="str">
        <x:v>Gerarchia fonti/gap</x:v>
      </x:c>
      <x:c r="C38" s="83" t="str">
        <x:v>Come risolvere dati mancanti e conflitti?</x:v>
      </x:c>
      <x:c r="D38" s="83" t="str">
        <x:v>Gerarchia già definita; mantenere valori alternativi e confidence class.</x:v>
      </x:c>
      <x:c r="E38" s="83" t="str">
        <x:v>Evita sostituzioni implicite.</x:v>
      </x:c>
      <x:c r="F38" s="83" t="str">
        <x:v>Un unico valore senza audit trail.</x:v>
      </x:c>
      <x:c r="G38" s="83" t="str">
        <x:v>Alto.</x:v>
      </x:c>
      <x:c r="H38" s="83" t="str">
        <x:v>Continuo</x:v>
      </x:c>
      <x:c r="I38" s="83" t="str">
        <x:v>No</x:v>
      </x:c>
      <x:c r="J38" s="83" t="str">
        <x:v>Definita</x:v>
      </x:c>
      <x:c r="K38" s="83" t="str"/>
      <x:c r="L38" s="83" t="str"/>
    </x:row>
    <x:row r="39">
      <x:c r="A39" s="83" t="str">
        <x:v>D35</x:v>
      </x:c>
      <x:c r="B39" s="83" t="str">
        <x:v>Anno monetario</x:v>
      </x:c>
      <x:c r="C39" s="83" t="str">
        <x:v>Quale anno reale per costi?</x:v>
      </x:c>
      <x:c r="D39" s="83" t="str">
        <x:v>Allineare al technology-data usato dal repo CLI; registrare conversioni.</x:v>
      </x:c>
      <x:c r="E39" s="83" t="str">
        <x:v>Evita mix di euro nominali/reali.</x:v>
      </x:c>
      <x:c r="F39" s="83" t="str">
        <x:v>Anno 2024/2025 arbitrario.</x:v>
      </x:c>
      <x:c r="G39" s="83" t="str">
        <x:v>Medio-alto.</x:v>
      </x:c>
      <x:c r="H39" s="83" t="str">
        <x:v>Fase 3D</x:v>
      </x:c>
      <x:c r="I39" s="83" t="str">
        <x:v>No</x:v>
      </x:c>
      <x:c r="J39" s="83" t="str">
        <x:v>Aperta</x:v>
      </x:c>
      <x:c r="K39" s="83" t="str"/>
      <x:c r="L39" s="83" t="str"/>
    </x:row>
    <x:row r="40">
      <x:c r="A40" s="83" t="str">
        <x:v>D36</x:v>
      </x:c>
      <x:c r="B40" s="83" t="str">
        <x:v>Integrazione CLI</x:v>
      </x:c>
      <x:c r="C40" s="83" t="str">
        <x:v>Quale versione/branch e quali file/config sovrascrivere nel progetto PyPSA-Eur CLI?</x:v>
      </x:c>
      <x:c r="D40" s="83" t="str">
        <x:v>Il repository/commit del progetto CLI prevale sulla documentazione corrente; usare sidecar/override minimali.</x:v>
      </x:c>
      <x:c r="E40" s="83" t="str">
        <x:v>PyPSA-Eur è in sviluppo attivo e i campi/config possono cambiare.</x:v>
      </x:c>
      <x:c r="F40" s="83" t="str">
        <x:v>Implementazione generica scollegata dal repo.</x:v>
      </x:c>
      <x:c r="G40" s="83" t="str">
        <x:v>Molto alto sull'eseguibilità.</x:v>
      </x:c>
      <x:c r="H40" s="83" t="str">
        <x:v>Prima della Fase 7</x:v>
      </x:c>
      <x:c r="I40" s="83" t="str">
        <x:v>No</x:v>
      </x:c>
      <x:c r="J40" s="83" t="str">
        <x:v>Da coordinare con altro progetto</x:v>
      </x:c>
      <x:c r="K40" s="83" t="str"/>
      <x:c r="L40" s="83" t="str"/>
    </x:row>
  </x:sheetData>
  <x:mergeCells>
    <x:mergeCell ref="A1:L1"/>
    <x:mergeCell ref="A2:L2"/>
  </x:mergeCells>
  <x:conditionalFormatting sqref="I5:I40">
    <x:cfRule type="expression" dxfId="18" priority="1">
      <x:formula>I5="Sì"</x:formula>
    </x:cfRule>
    <x:cfRule type="expression" dxfId="19" priority="2">
      <x:formula>I5="No"</x:formula>
    </x:cfRule>
  </x:conditionalFormatting>
  <x:conditionalFormatting sqref="J5:J40">
    <x:cfRule type="expression" dxfId="20" priority="3">
      <x:formula>ISNUMBER(SEARCH("Aperta",J5))</x:formula>
    </x:cfRule>
    <x:cfRule type="expression" dxfId="21" priority="4">
      <x:formula>ISNUMBER(SEARCH("Definita",J5))</x:formula>
    </x:cfRule>
  </x:conditionalFormatting>
  <x:dataValidations count="2">
    <x:dataValidation type="list" sqref="I5:I40">
      <x:formula1>99_LISTS!$F$2:$F$3</x:formula1>
    </x:dataValidation>
    <x:dataValidation type="list" sqref="J5:J40">
      <x:formula1>99_LISTS!$E$2:$E$8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ae422ec1e445e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0" hidden="0" customWidth="1"/>
    <x:col min="4" max="4" width="18" hidden="0" customWidth="1"/>
    <x:col min="5" max="5" width="28" hidden="0" customWidth="1"/>
    <x:col min="6" max="6" width="24" hidden="0" customWidth="1"/>
    <x:col min="7" max="7" width="38" hidden="0" customWidth="1"/>
    <x:col min="8" max="8" width="42" hidden="0" customWidth="1"/>
    <x:col min="9" max="9" width="50" hidden="0" customWidth="1"/>
    <x:col min="10" max="10" width="38" hidden="0" customWidth="1"/>
    <x:col min="11" max="11" width="12" hidden="0" customWidth="1"/>
    <x:col min="12" max="12" width="16" hidden="0" customWidth="1"/>
    <x:col min="13" max="13" width="18" hidden="0" customWidth="1"/>
    <x:col min="14" max="14" width="42" hidden="0" customWidth="1"/>
  </x:cols>
  <x:sheetData>
    <x:row r="1" ht="34" customHeight="1">
      <x:c r="A1" s="134" t="str">
        <x:v>Crosswalk degli scenari 2023–2050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</x:row>
    <x:row r="2" ht="30" customHeight="1">
      <x:c r="A2" s="138" t="str">
        <x:v>DDS 2024 incorporato come S09; policy, configurazioni tecniche e risultati di modello separati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</x:row>
    <x:row r="4" ht="38" customHeight="1">
      <x:c r="A4" s="142" t="str">
        <x:v>Scenario ID</x:v>
      </x:c>
      <x:c r="B4" s="142" t="str">
        <x:v>Etichetta</x:v>
      </x:c>
      <x:c r="C4" s="142" t="str">
        <x:v>Anno</x:v>
      </x:c>
      <x:c r="D4" s="142" t="str">
        <x:v>Famiglia</x:v>
      </x:c>
      <x:c r="E4" s="142" t="str">
        <x:v>Tipo evidenza</x:v>
      </x:c>
      <x:c r="F4" s="142" t="str">
        <x:v>Status policy</x:v>
      </x:c>
      <x:c r="G4" s="142" t="str">
        <x:v>Origine</x:v>
      </x:c>
      <x:c r="H4" s="142" t="str">
        <x:v>Ruolo elettrico</x:v>
      </x:c>
      <x:c r="I4" s="142" t="str">
        <x:v>Relazione</x:v>
      </x:c>
      <x:c r="J4" s="142" t="str">
        <x:v>Uso nel progetto</x:v>
      </x:c>
      <x:c r="K4" s="142" t="str">
        <x:v>Fonte</x:v>
      </x:c>
      <x:c r="L4" s="142" t="str">
        <x:v>Pagine PDF</x:v>
      </x:c>
      <x:c r="M4" s="142" t="str">
        <x:v>Pagine stampate</x:v>
      </x:c>
      <x:c r="N4" s="142" t="str">
        <x:v>Note</x:v>
      </x:c>
    </x:row>
    <x:row r="5">
      <x:c r="A5" s="83" t="str">
        <x:v>HIST_2023</x:v>
      </x:c>
      <x:c r="B5" s="83" t="str">
        <x:v>Storico 2023</x:v>
      </x:c>
      <x:c r="C5" s="83" t="n">
        <x:v>2023</x:v>
      </x:c>
      <x:c r="D5" s="83" t="str">
        <x:v>Historical</x:v>
      </x:c>
      <x:c r="E5" s="83" t="str">
        <x:v>Dato osservato storico</x:v>
      </x:c>
      <x:c r="F5" s="83" t="str">
        <x:v>Observed</x:v>
      </x:c>
      <x:c r="G5" s="83" t="str">
        <x:v>DDS 2024 / Terna data provvisori</x:v>
      </x:c>
      <x:c r="H5" s="83" t="str">
        <x:v>Baseline e QA/backcast.</x:v>
      </x:c>
      <x:c r="I5" s="83" t="str">
        <x:v>Baseline comune per confronto.</x:v>
      </x:c>
      <x:c r="J5" s="83" t="str">
        <x:v>Calibrazione; non scenario futuro.</x:v>
      </x:c>
      <x:c r="K5" s="83" t="str">
        <x:v>S09</x:v>
      </x:c>
      <x:c r="L5" s="83" t="str">
        <x:v>14; 48; 59-67</x:v>
      </x:c>
      <x:c r="M5" s="83" t="str">
        <x:v>12-13; 46; 57-65</x:v>
      </x:c>
      <x:c r="N5" s="83" t="str">
        <x:v>Valori annuali storici; alcune tabelle usano valori arrotondati.</x:v>
      </x:c>
    </x:row>
    <x:row r="6">
      <x:c r="A6" s="83" t="str">
        <x:v>PNIEC_POLICY_2030</x:v>
      </x:c>
      <x:c r="B6" s="83" t="str">
        <x:v>PNIEC Policy 2030</x:v>
      </x:c>
      <x:c r="C6" s="83" t="n">
        <x:v>2030</x:v>
      </x:c>
      <x:c r="D6" s="83" t="str">
        <x:v>DDS 2024</x:v>
      </x:c>
      <x:c r="E6" s="83" t="str">
        <x:v>Scenario tecnico coerente con policy</x:v>
      </x:c>
      <x:c r="F6" s="83" t="str">
        <x:v>Raggiunge target 2030</x:v>
      </x:c>
      <x:c r="G6" s="83" t="str">
        <x:v>DDS 2024 basato quasi integralmente sul PNIEC 2024</x:v>
      </x:c>
      <x:c r="H6" s="83" t="str">
        <x:v>Forte elettrificazione, coal phase-out, FER e storage.</x:v>
      </x:c>
      <x:c r="I6" s="83" t="str">
        <x:v>Scenario policy 2030; import determinato da simulazione pan-europea, non fissato a EURef2020.</x:v>
      </x:c>
      <x:c r="J6" s="83" t="str">
        <x:v>Ponte di traiettoria e controllo per 2040.</x:v>
      </x:c>
      <x:c r="K6" s="83" t="str">
        <x:v>S09</x:v>
      </x:c>
      <x:c r="L6" s="83" t="str">
        <x:v>40; 48-67</x:v>
      </x:c>
      <x:c r="M6" s="83" t="str">
        <x:v>38; 46-65</x:v>
      </x:c>
      <x:c r="N6" s="83" t="str">
        <x:v>È lo scenario di Piano selezionato al 2030.</x:v>
      </x:c>
    </x:row>
    <x:row r="7">
      <x:c r="A7" s="83" t="str">
        <x:v>PNIEC_SLOW_2030</x:v>
      </x:c>
      <x:c r="B7" s="83" t="str">
        <x:v>PNIEC Slow 2030</x:v>
      </x:c>
      <x:c r="C7" s="83" t="n">
        <x:v>2030</x:v>
      </x:c>
      <x:c r="D7" s="83" t="str">
        <x:v>DDS 2024</x:v>
      </x:c>
      <x:c r="E7" s="83" t="str">
        <x:v>Scenario contrastante</x:v>
      </x:c>
      <x:c r="F7" s="83" t="str">
        <x:v>Transizione ritardata</x:v>
      </x:c>
      <x:c r="G7" s="83" t="str">
        <x:v>DDS 2024</x:v>
      </x:c>
      <x:c r="H7" s="83" t="str">
        <x:v>Domanda, FER, storage ed elettrolizzatori inferiori.</x:v>
      </x:c>
      <x:c r="I7" s="83" t="str">
        <x:v>Costruito coerentemente al PNIEC Policy ma con ritardi nelle misure.</x:v>
      </x:c>
      <x:c r="J7" s="83" t="str">
        <x:v>Sensitivity downside / slower transition.</x:v>
      </x:c>
      <x:c r="K7" s="83" t="str">
        <x:v>S09</x:v>
      </x:c>
      <x:c r="L7" s="83" t="str">
        <x:v>41; 48-67</x:v>
      </x:c>
      <x:c r="M7" s="83" t="str">
        <x:v>39; 46-65</x:v>
      </x:c>
      <x:c r="N7" s="83" t="str">
        <x:v>Scenario regolatorio contrastante.</x:v>
      </x:c>
    </x:row>
    <x:row r="8">
      <x:c r="A8" s="83" t="str">
        <x:v>DE_IT_2035</x:v>
      </x:c>
      <x:c r="B8" s="83" t="str">
        <x:v>DE-IT 2035</x:v>
      </x:c>
      <x:c r="C8" s="83" t="n">
        <x:v>2035</x:v>
      </x:c>
      <x:c r="D8" s="83" t="str">
        <x:v>DDS 2024</x:v>
      </x:c>
      <x:c r="E8" s="83" t="str">
        <x:v>Scenario tecnico di policy</x:v>
      </x:c>
      <x:c r="F8" s="83" t="str">
        <x:v>Percorso net-zero</x:v>
      </x:c>
      <x:c r="G8" s="83" t="str">
        <x:v>DDS 2024 / storyline ENTSOs Distributed Energy</x:v>
      </x:c>
      <x:c r="H8" s="83" t="str">
        <x:v>Massimizza elettrificazione e sviluppo FER-E.</x:v>
      </x:c>
      <x:c r="I8" s="83" t="str">
        <x:v>Parte da PNIEC Policy 2030; maggiore penetrazione del vettore elettrico.</x:v>
      </x:c>
      <x:c r="J8" s="83" t="str">
        <x:v>Traiettoria verso il caso 2040 DE-IT.</x:v>
      </x:c>
      <x:c r="K8" s="83" t="str">
        <x:v>S09</x:v>
      </x:c>
      <x:c r="L8" s="83" t="str">
        <x:v>40-41; 48-67</x:v>
      </x:c>
      <x:c r="M8" s="83" t="str">
        <x:v>38-39; 46-65</x:v>
      </x:c>
      <x:c r="N8" s="83" t="str">
        <x:v>Scenario di Piano selezionato al 2035.</x:v>
      </x:c>
    </x:row>
    <x:row r="9">
      <x:c r="A9" s="83" t="str">
        <x:v>GA_IT_2035</x:v>
      </x:c>
      <x:c r="B9" s="83" t="str">
        <x:v>GA-IT 2035</x:v>
      </x:c>
      <x:c r="C9" s="83" t="n">
        <x:v>2035</x:v>
      </x:c>
      <x:c r="D9" s="83" t="str">
        <x:v>DDS 2024</x:v>
      </x:c>
      <x:c r="E9" s="83" t="str">
        <x:v>Scenario tecnico di policy</x:v>
      </x:c>
      <x:c r="F9" s="83" t="str">
        <x:v>Percorso net-zero</x:v>
      </x:c>
      <x:c r="G9" s="83" t="str">
        <x:v>DDS 2024 / storyline ENTSOs Global Ambition</x:v>
      </x:c>
      <x:c r="H9" s="83" t="str">
        <x:v>Elettrificazione inferiore a DE-IT; più vettori molecolari.</x:v>
      </x:c>
      <x:c r="I9" s="83" t="str">
        <x:v>Parte da PNIEC Policy 2030; maggiore ruolo di H2, green fuels, import decarbonizzati e CCS.</x:v>
      </x:c>
      <x:c r="J9" s="83" t="str">
        <x:v>Scenario alternativo di traiettoria.</x:v>
      </x:c>
      <x:c r="K9" s="83" t="str">
        <x:v>S09</x:v>
      </x:c>
      <x:c r="L9" s="83" t="str">
        <x:v>40-41; 48-67</x:v>
      </x:c>
      <x:c r="M9" s="83" t="str">
        <x:v>38-39; 46-65</x:v>
      </x:c>
      <x:c r="N9" s="83" t="str">
        <x:v>Non selezionato dal PdS 2025 come scenario di Piano, ma parte del DDS.</x:v>
      </x:c>
    </x:row>
    <x:row r="10">
      <x:c r="A10" s="83" t="str">
        <x:v>PNIEC_SLOW_2035</x:v>
      </x:c>
      <x:c r="B10" s="83" t="str">
        <x:v>PNIEC Slow 2035</x:v>
      </x:c>
      <x:c r="C10" s="83" t="n">
        <x:v>2035</x:v>
      </x:c>
      <x:c r="D10" s="83" t="str">
        <x:v>DDS 2024</x:v>
      </x:c>
      <x:c r="E10" s="83" t="str">
        <x:v>Scenario contrastante</x:v>
      </x:c>
      <x:c r="F10" s="83" t="str">
        <x:v>Transizione ritardata</x:v>
      </x:c>
      <x:c r="G10" s="83" t="str">
        <x:v>DDS 2024</x:v>
      </x:c>
      <x:c r="H10" s="83" t="str">
        <x:v>Domanda e capacità inferiori.</x:v>
      </x:c>
      <x:c r="I10" s="83" t="str">
        <x:v>Mantiene un ritardo rispetto ai percorsi di policy.</x:v>
      </x:c>
      <x:c r="J10" s="83" t="str">
        <x:v>Sensitivity downside.</x:v>
      </x:c>
      <x:c r="K10" s="83" t="str">
        <x:v>S09</x:v>
      </x:c>
      <x:c r="L10" s="83" t="str">
        <x:v>41; 48-67</x:v>
      </x:c>
      <x:c r="M10" s="83" t="str">
        <x:v>39; 46-65</x:v>
      </x:c>
      <x:c r="N10" s="83" t="str">
        <x:v>Scenario di Piano contrastante.</x:v>
      </x:c>
    </x:row>
    <x:row r="11">
      <x:c r="A11" s="83" t="str">
        <x:v>DE_IT_2040</x:v>
      </x:c>
      <x:c r="B11" s="83" t="str">
        <x:v>DE-IT 2040</x:v>
      </x:c>
      <x:c r="C11" s="83" t="n">
        <x:v>2040</x:v>
      </x:c>
      <x:c r="D11" s="83" t="str">
        <x:v>DDS 2024</x:v>
      </x:c>
      <x:c r="E11" s="83" t="str">
        <x:v>Scenario tecnico di policy</x:v>
      </x:c>
      <x:c r="F11" s="83" t="str">
        <x:v>Percorso net-zero 2050</x:v>
      </x:c>
      <x:c r="G11" s="83" t="str">
        <x:v>DDS 2024 / ENTSOs Distributed Energy</x:v>
      </x:c>
      <x:c r="H11" s="83" t="str">
        <x:v>Domanda e FER più alte; 76% FER sul fabbisogno.</x:v>
      </x:c>
      <x:c r="I11" s="83" t="str">
        <x:v>Compromesso tra PNIEC 2040 inerziale e scenario europeo; elevata elettrificazione.</x:v>
      </x:c>
      <x:c r="J11" s="83" t="str">
        <x:v>Candidato raccomandato al caso base 2040.</x:v>
      </x:c>
      <x:c r="K11" s="83" t="str">
        <x:v>S09</x:v>
      </x:c>
      <x:c r="L11" s="83" t="str">
        <x:v>14; 41; 48; 59-67</x:v>
      </x:c>
      <x:c r="M11" s="83" t="str">
        <x:v>12-13; 39; 46; 57-65</x:v>
      </x:c>
      <x:c r="N11" s="83" t="str">
        <x:v>Scenario di Piano selezionato al 2040.</x:v>
      </x:c>
    </x:row>
    <x:row r="12">
      <x:c r="A12" s="83" t="str">
        <x:v>GA_IT_2040</x:v>
      </x:c>
      <x:c r="B12" s="83" t="str">
        <x:v>GA-IT 2040</x:v>
      </x:c>
      <x:c r="C12" s="83" t="n">
        <x:v>2040</x:v>
      </x:c>
      <x:c r="D12" s="83" t="str">
        <x:v>DDS 2024</x:v>
      </x:c>
      <x:c r="E12" s="83" t="str">
        <x:v>Scenario tecnico di policy</x:v>
      </x:c>
      <x:c r="F12" s="83" t="str">
        <x:v>Percorso net-zero 2050</x:v>
      </x:c>
      <x:c r="G12" s="83" t="str">
        <x:v>DDS 2024 / ENTSOs Global Ambition</x:v>
      </x:c>
      <x:c r="H12" s="83" t="str">
        <x:v>Domanda e capacità inferiori a DE-IT; maggiore domanda H2 finale.</x:v>
      </x:c>
      <x:c r="I12" s="83" t="str">
        <x:v>Maggiore ruolo di H2, combustibili verdi e CCS rispetto a DE-IT.</x:v>
      </x:c>
      <x:c r="J12" s="83" t="str">
        <x:v>Alternativa 2040 per confronto.</x:v>
      </x:c>
      <x:c r="K12" s="83" t="str">
        <x:v>S09</x:v>
      </x:c>
      <x:c r="L12" s="83" t="str">
        <x:v>14; 41; 48; 59-67</x:v>
      </x:c>
      <x:c r="M12" s="83" t="str">
        <x:v>12-13; 39; 46; 57-65</x:v>
      </x:c>
      <x:c r="N12" s="83" t="str">
        <x:v>DDS completo; non scenario di Piano selezionato per ACB.</x:v>
      </x:c>
    </x:row>
    <x:row r="13">
      <x:c r="A13" s="83" t="str">
        <x:v>PNIEC_SLOW_2040</x:v>
      </x:c>
      <x:c r="B13" s="83" t="str">
        <x:v>PNIEC Slow 2040</x:v>
      </x:c>
      <x:c r="C13" s="83" t="n">
        <x:v>2040</x:v>
      </x:c>
      <x:c r="D13" s="83" t="str">
        <x:v>DDS 2024</x:v>
      </x:c>
      <x:c r="E13" s="83" t="str">
        <x:v>Scenario contrastante</x:v>
      </x:c>
      <x:c r="F13" s="83" t="str">
        <x:v>Transizione ritardata</x:v>
      </x:c>
      <x:c r="G13" s="83" t="str">
        <x:v>DDS 2024</x:v>
      </x:c>
      <x:c r="H13" s="83" t="str">
        <x:v>Valori minimi di domanda, FER, storage ed elettrolizzatori.</x:v>
      </x:c>
      <x:c r="I13" s="83" t="str">
        <x:v>Scenario indipendente dal PNIEC 2024; mantiene ritardo nella traiettoria.</x:v>
      </x:c>
      <x:c r="J13" s="83" t="str">
        <x:v>Sensitivity conservative/downside 2040.</x:v>
      </x:c>
      <x:c r="K13" s="83" t="str">
        <x:v>S09</x:v>
      </x:c>
      <x:c r="L13" s="83" t="str">
        <x:v>14; 41; 48; 59-67</x:v>
      </x:c>
      <x:c r="M13" s="83" t="str">
        <x:v>12-13; 39; 46; 57-65</x:v>
      </x:c>
      <x:c r="N13" s="83" t="str">
        <x:v>Scenario di Piano contrastante.</x:v>
      </x:c>
    </x:row>
    <x:row r="14">
      <x:c r="A14" s="83" t="str">
        <x:v>PNIEC_2050_NUCLEAR</x:v>
      </x:c>
      <x:c r="B14" s="83" t="str">
        <x:v>PNIEC 2050 con nucleare</x:v>
      </x:c>
      <x:c r="C14" s="83" t="n">
        <x:v>2050</x:v>
      </x:c>
      <x:c r="D14" s="83" t="str">
        <x:v>PNIEC 2024 exploratory</x:v>
      </x:c>
      <x:c r="E14" s="83" t="str">
        <x:v>Risultato di modello di policy esplorativo</x:v>
      </x:c>
      <x:c r="F14" s="83" t="str">
        <x:v>Net zero esplorativo</x:v>
      </x:c>
      <x:c r="G14" s="83" t="str">
        <x:v>PNIEC 2024 / TIMES_RSE / PNNS</x:v>
      </x:c>
      <x:c r="H14" s="83" t="str">
        <x:v>Domanda più elevata, minore fabbisogno di CCS.</x:v>
      </x:c>
      <x:c r="I14" s="83" t="str">
        <x:v>Scenario con nucleare limitato a circa metà del potenziale; 8 GW medi.</x:v>
      </x:c>
      <x:c r="J14" s="83" t="str">
        <x:v>Benchmark di policy, non input tecnico finale automatico.</x:v>
      </x:c>
      <x:c r="K14" s="83" t="str">
        <x:v>S08/S07</x:v>
      </x:c>
      <x:c r="L14" s="83" t="str">
        <x:v>S08 90-93; S07 52</x:v>
      </x:c>
      <x:c r="M14" s="83" t="str">
        <x:v>S08 90-93; S07 50</x:v>
      </x:c>
      <x:c r="N14" s="83" t="str">
        <x:v>Le ipotesi 2050 non sono scenari di policy operativi fino al 2030.</x:v>
      </x:c>
    </x:row>
    <x:row r="15">
      <x:c r="A15" s="83" t="str">
        <x:v>PNIEC_2050_NO_NUCLEAR</x:v>
      </x:c>
      <x:c r="B15" s="83" t="str">
        <x:v>PNIEC 2050 senza nucleare</x:v>
      </x:c>
      <x:c r="C15" s="83" t="n">
        <x:v>2050</x:v>
      </x:c>
      <x:c r="D15" s="83" t="str">
        <x:v>PNIEC 2024 exploratory</x:v>
      </x:c>
      <x:c r="E15" s="83" t="str">
        <x:v>Risultato di modello di policy esplorativo</x:v>
      </x:c>
      <x:c r="F15" s="83" t="str">
        <x:v>Net zero esplorativo</x:v>
      </x:c>
      <x:c r="G15" s="83" t="str">
        <x:v>PNIEC 2024 / TIMES_RSE</x:v>
      </x:c>
      <x:c r="H15" s="83" t="str">
        <x:v>Domanda minore e produzione CCS maggiore.</x:v>
      </x:c>
      <x:c r="I15" s="83" t="str">
        <x:v>Ricorre maggiormente a gas e bioenergie con CCS.</x:v>
      </x:c>
      <x:c r="J15" s="83" t="str">
        <x:v>Benchmark di policy alternativo.</x:v>
      </x:c>
      <x:c r="K15" s="83" t="str">
        <x:v>S08/S07</x:v>
      </x:c>
      <x:c r="L15" s="83" t="str">
        <x:v>S08 90-93; S07 52</x:v>
      </x:c>
      <x:c r="M15" s="83" t="str">
        <x:v>S08 90-93; S07 50</x:v>
      </x:c>
      <x:c r="N15" s="83" t="str">
        <x:v>Import PNIEC fissato a 17,7 TWh da EURef2020.</x:v>
      </x:c>
    </x:row>
    <x:row r="16">
      <x:c r="A16" s="83" t="str">
        <x:v>TERNA_2050_NUCLEAR</x:v>
      </x:c>
      <x:c r="B16" s="83" t="str">
        <x:v>Terna 2050 con nucleare</x:v>
      </x:c>
      <x:c r="C16" s="83" t="n">
        <x:v>2050</x:v>
      </x:c>
      <x:c r="D16" s="83" t="str">
        <x:v>Terna 2050</x:v>
      </x:c>
      <x:c r="E16" s="83" t="str">
        <x:v>Scenario tecnico esplorativo</x:v>
      </x:c>
      <x:c r="F16" s="83" t="str">
        <x:v>Analisi di lungo termine</x:v>
      </x:c>
      <x:c r="G16" s="83" t="str">
        <x:v>Prospettive di Sviluppo del Sistema Energetico 2050</x:v>
      </x:c>
      <x:c r="H16" s="83" t="str">
        <x:v>Fabbisogno 583 TWh; 246 GW FRNP; 196 GWh storage.</x:v>
      </x:c>
      <x:c r="I16" s="83" t="str">
        <x:v>Parte dal fabbisogno PNIEC con nucleare ma modifica mix: 10 GW nucleare, più eolico e meno solare.</x:v>
      </x:c>
      <x:c r="J16" s="83" t="str">
        <x:v>Candidato principale 2050 con nucleare.</x:v>
      </x:c>
      <x:c r="K16" s="83" t="str">
        <x:v>S07</x:v>
      </x:c>
      <x:c r="L16" s="83" t="str">
        <x:v>52-64</x:v>
      </x:c>
      <x:c r="M16" s="83" t="str">
        <x:v>50-62</x:v>
      </x:c>
      <x:c r="N16" s="83" t="str">
        <x:v>Simulazione oraria pan-europea; trascura evoluzione capacità di trasporto e stabilità dinamica; non scenario chiuso.</x:v>
      </x:c>
    </x:row>
    <x:row r="17">
      <x:c r="A17" s="83" t="str">
        <x:v>TERNA_2050_NO_NUCLEAR</x:v>
      </x:c>
      <x:c r="B17" s="83" t="str">
        <x:v>Terna 2050 senza nucleare</x:v>
      </x:c>
      <x:c r="C17" s="83" t="n">
        <x:v>2050</x:v>
      </x:c>
      <x:c r="D17" s="83" t="str">
        <x:v>Terna 2050</x:v>
      </x:c>
      <x:c r="E17" s="83" t="str">
        <x:v>Scenario tecnico esplorativo</x:v>
      </x:c>
      <x:c r="F17" s="83" t="str">
        <x:v>Analisi di lungo termine</x:v>
      </x:c>
      <x:c r="G17" s="83" t="str">
        <x:v>Prospettive di Sviluppo del Sistema Energetico 2050</x:v>
      </x:c>
      <x:c r="H17" s="83" t="str">
        <x:v>270 GW FRNP; 216 GWh storage.</x:v>
      </x:c>
      <x:c r="I17" s="83" t="str">
        <x:v>Stesso fabbisogno 583 TWh; più FER, storage e altra produzione programmabile.</x:v>
      </x:c>
      <x:c r="J17" s="83" t="str">
        <x:v>Candidato principale 2050 senza nucleare.</x:v>
      </x:c>
      <x:c r="K17" s="83" t="str">
        <x:v>S07</x:v>
      </x:c>
      <x:c r="L17" s="83" t="str">
        <x:v>52-64</x:v>
      </x:c>
      <x:c r="M17" s="83" t="str">
        <x:v>50-62</x:v>
      </x:c>
      <x:c r="N17" s="83" t="str">
        <x:v>Simulazione oraria pan-europea; non include esplicitamente evoluzione rete nel bilancio presentato.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52a5c3e36344c1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totali e perimetro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73 righe; usi finali, usi energetici, perdite e fabbisogno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Usi finali</x:v>
      </x:c>
      <x:c r="F5" s="143" t="n">
        <x:v>278.6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Usi finali</x:v>
      </x:c>
      <x:c r="F6" s="143" t="n">
        <x:v>319.9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Usi finali</x:v>
      </x:c>
      <x:c r="F7" s="143" t="n">
        <x:v>309.3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Usi finali</x:v>
      </x:c>
      <x:c r="F8" s="143" t="n">
        <x:v>345.3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Usi finali</x:v>
      </x:c>
      <x:c r="F9" s="143" t="n">
        <x:v>333.9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Usi finali</x:v>
      </x:c>
      <x:c r="F10" s="143" t="n">
        <x:v>330.7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Usi finali</x:v>
      </x:c>
      <x:c r="F11" s="143" t="n">
        <x:v>377.8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Usi finali</x:v>
      </x:c>
      <x:c r="F12" s="143" t="n">
        <x:v>355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Usi finali</x:v>
      </x:c>
      <x:c r="F13" s="143" t="n">
        <x:v>352.1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DEM-0037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Usi energetici</x:v>
      </x:c>
      <x:c r="F14" s="143" t="n">
        <x:v>8.7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DEM-0038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Usi energetici</x:v>
      </x:c>
      <x:c r="F15" s="143" t="n">
        <x:v>20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DEM-0039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Usi energetici</x:v>
      </x:c>
      <x:c r="F16" s="143" t="n">
        <x:v>16.6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DEM-0040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Usi energetici</x:v>
      </x:c>
      <x:c r="F17" s="143" t="n">
        <x:v>27.9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DEM-0041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Usi energetici</x:v>
      </x:c>
      <x:c r="F18" s="143" t="n">
        <x:v>28.1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DEM-0042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Usi energetici</x:v>
      </x:c>
      <x:c r="F19" s="143" t="n">
        <x:v>22.4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DEM-0043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Usi energetici</x:v>
      </x:c>
      <x:c r="F20" s="143" t="n">
        <x:v>34.9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DEM-0044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Usi energetici</x:v>
      </x:c>
      <x:c r="F21" s="143" t="n">
        <x:v>35.4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DEM-0045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Usi energetici</x:v>
      </x:c>
      <x:c r="F22" s="143" t="n">
        <x:v>28.1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DEM-0046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Usi energetici tradizionali</x:v>
      </x:c>
      <x:c r="F23" s="143" t="n">
        <x:v>8.7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DEM-0047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Usi energetici tradizionali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DEM-0048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Usi energetici tradizionali</x:v>
      </x:c>
      <x:c r="F25" s="143" t="n">
        <x:v>10.8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DEM-0049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Usi energetici tradizionali</x:v>
      </x:c>
      <x:c r="F26" s="143" t="n">
        <x:v>9.1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DEM-0050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Usi energetici tradizionali</x:v>
      </x:c>
      <x:c r="F27" s="143" t="n">
        <x:v>9.4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DEM-0051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Usi energetici tradizionali</x:v>
      </x:c>
      <x:c r="F28" s="143" t="n">
        <x:v>9.6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DEM-0052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Usi energetici tradizionali</x:v>
      </x:c>
      <x:c r="F29" s="143" t="n">
        <x:v>7.4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DEM-0053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Usi energetici tradizionali</x:v>
      </x:c>
      <x:c r="F30" s="143" t="n">
        <x:v>7.9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DEM-0054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Usi energetici tradizionali</x:v>
      </x:c>
      <x:c r="F31" s="143" t="n">
        <x:v>8.3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DEM-0055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Produzione H2 (elettrolisi)</x:v>
      </x:c>
      <x:c r="F32" s="143" t="n">
        <x:v>0</x:v>
      </x:c>
      <x:c r="G32" s="83" t="str">
        <x:v>TWh</x:v>
      </x:c>
      <x:c r="H32" s="83" t="str">
        <x:v>Italia</x:v>
      </x:c>
      <x:c r="I32" s="83" t="str">
        <x:v>DDS definition: usi finali + usi energetici + perdite</x:v>
      </x:c>
      <x:c r="J32" s="83" t="str">
        <x:v>Dato osservato storico</x:v>
      </x:c>
      <x:c r="K32" s="83" t="str">
        <x:v>S09</x:v>
      </x:c>
      <x:c r="L32" s="83" t="str">
        <x:v>Documento_Descrizione_Scenari_2024_8dce2430d44d101.pdf</x:v>
      </x:c>
      <x:c r="M32" s="83" t="n">
        <x:v>48</x:v>
      </x:c>
      <x:c r="N32" s="83" t="n">
        <x:v>46</x:v>
      </x:c>
      <x:c r="O32" s="83" t="str">
        <x:v>Tabella 6</x:v>
      </x:c>
      <x:c r="P32" s="83" t="str">
        <x:v>Direct table extraction; visual/text verification</x:v>
      </x:c>
      <x:c r="Q32" s="83" t="str">
        <x:v>A - Direct</x:v>
      </x:c>
      <x:c r="R32" s="83" t="str">
        <x:v>Valore con un decimale; fonte Terna provvisoria per il 2023.</x:v>
      </x:c>
    </x:row>
    <x:row r="33">
      <x:c r="A33" s="83" t="str">
        <x:v>DEM-0056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Produzione H2 (elettrolisi)</x:v>
      </x:c>
      <x:c r="F33" s="143" t="n">
        <x:v>10</x:v>
      </x:c>
      <x:c r="G33" s="83" t="str">
        <x:v>TWh</x:v>
      </x:c>
      <x:c r="H33" s="83" t="str">
        <x:v>Italia</x:v>
      </x:c>
      <x:c r="I33" s="83" t="str">
        <x:v>DDS definition: usi finali + usi energetici + perdite</x:v>
      </x:c>
      <x:c r="J33" s="83" t="str">
        <x:v>Assunzione di scenario</x:v>
      </x:c>
      <x:c r="K33" s="83" t="str">
        <x:v>S09</x:v>
      </x:c>
      <x:c r="L33" s="83" t="str">
        <x:v>Documento_Descrizione_Scenari_2024_8dce2430d44d101.pdf</x:v>
      </x:c>
      <x:c r="M33" s="83" t="n">
        <x:v>48</x:v>
      </x:c>
      <x:c r="N33" s="83" t="n">
        <x:v>46</x:v>
      </x:c>
      <x:c r="O33" s="83" t="str">
        <x:v>Tabella 6</x:v>
      </x:c>
      <x:c r="P33" s="83" t="str">
        <x:v>Direct table extraction; visual/text verification</x:v>
      </x:c>
      <x:c r="Q33" s="83" t="str">
        <x:v>A - Direct</x:v>
      </x:c>
      <x:c r="R33" s="83" t="str"/>
    </x:row>
    <x:row r="34">
      <x:c r="A34" s="83" t="str">
        <x:v>DEM-0057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Produzione H2 (elettrolisi)</x:v>
      </x:c>
      <x:c r="F34" s="143" t="n">
        <x:v>5.8</x:v>
      </x:c>
      <x:c r="G34" s="83" t="str">
        <x:v>TWh</x:v>
      </x:c>
      <x:c r="H34" s="83" t="str">
        <x:v>Italia</x:v>
      </x:c>
      <x:c r="I34" s="83" t="str">
        <x:v>DDS definition: usi finali + usi energetici + perdite</x:v>
      </x:c>
      <x:c r="J34" s="83" t="str">
        <x:v>Assunzione di scenario</x:v>
      </x:c>
      <x:c r="K34" s="83" t="str">
        <x:v>S09</x:v>
      </x:c>
      <x:c r="L34" s="83" t="str">
        <x:v>Documento_Descrizione_Scenari_2024_8dce2430d44d101.pdf</x:v>
      </x:c>
      <x:c r="M34" s="83" t="n">
        <x:v>48</x:v>
      </x:c>
      <x:c r="N34" s="83" t="n">
        <x:v>46</x:v>
      </x:c>
      <x:c r="O34" s="83" t="str">
        <x:v>Tabella 6</x:v>
      </x:c>
      <x:c r="P34" s="83" t="str">
        <x:v>Direct table extraction; visual/text verification</x:v>
      </x:c>
      <x:c r="Q34" s="83" t="str">
        <x:v>A - Direct</x:v>
      </x:c>
      <x:c r="R34" s="83" t="str"/>
    </x:row>
    <x:row r="35">
      <x:c r="A35" s="83" t="str">
        <x:v>DEM-0058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Produzione H2 (elettrolisi)</x:v>
      </x:c>
      <x:c r="F35" s="143" t="n">
        <x:v>18.8</x:v>
      </x:c>
      <x:c r="G35" s="83" t="str">
        <x:v>TWh</x:v>
      </x:c>
      <x:c r="H35" s="83" t="str">
        <x:v>Italia</x:v>
      </x:c>
      <x:c r="I35" s="83" t="str">
        <x:v>DDS definition: usi finali + usi energetici + perdite</x:v>
      </x:c>
      <x:c r="J35" s="83" t="str">
        <x:v>Assunzione di scenario</x:v>
      </x:c>
      <x:c r="K35" s="83" t="str">
        <x:v>S09</x:v>
      </x:c>
      <x:c r="L35" s="83" t="str">
        <x:v>Documento_Descrizione_Scenari_2024_8dce2430d44d101.pdf</x:v>
      </x:c>
      <x:c r="M35" s="83" t="n">
        <x:v>48</x:v>
      </x:c>
      <x:c r="N35" s="83" t="n">
        <x:v>46</x:v>
      </x:c>
      <x:c r="O35" s="83" t="str">
        <x:v>Tabella 6</x:v>
      </x:c>
      <x:c r="P35" s="83" t="str">
        <x:v>Direct table extraction; visual/text verification</x:v>
      </x:c>
      <x:c r="Q35" s="83" t="str">
        <x:v>A - Direct</x:v>
      </x:c>
      <x:c r="R35" s="83" t="str"/>
    </x:row>
    <x:row r="36">
      <x:c r="A36" s="83" t="str">
        <x:v>DEM-0059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Produzione H2 (elettrolisi)</x:v>
      </x:c>
      <x:c r="F36" s="143" t="n">
        <x:v>18.8</x:v>
      </x:c>
      <x:c r="G36" s="83" t="str">
        <x:v>TWh</x:v>
      </x:c>
      <x:c r="H36" s="83" t="str">
        <x:v>Italia</x:v>
      </x:c>
      <x:c r="I36" s="83" t="str">
        <x:v>DDS definition: usi finali + usi energetici + perdite</x:v>
      </x:c>
      <x:c r="J36" s="83" t="str">
        <x:v>Assunzione di scenario</x:v>
      </x:c>
      <x:c r="K36" s="83" t="str">
        <x:v>S09</x:v>
      </x:c>
      <x:c r="L36" s="83" t="str">
        <x:v>Documento_Descrizione_Scenari_2024_8dce2430d44d101.pdf</x:v>
      </x:c>
      <x:c r="M36" s="83" t="n">
        <x:v>48</x:v>
      </x:c>
      <x:c r="N36" s="83" t="n">
        <x:v>46</x:v>
      </x:c>
      <x:c r="O36" s="83" t="str">
        <x:v>Tabella 6</x:v>
      </x:c>
      <x:c r="P36" s="83" t="str">
        <x:v>Direct table extraction; visual/text verification</x:v>
      </x:c>
      <x:c r="Q36" s="83" t="str">
        <x:v>A - Direct</x:v>
      </x:c>
      <x:c r="R36" s="83" t="str"/>
    </x:row>
    <x:row r="37">
      <x:c r="A37" s="83" t="str">
        <x:v>DEM-0060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Produzione H2 (elettrolisi)</x:v>
      </x:c>
      <x:c r="F37" s="143" t="n">
        <x:v>12.8</x:v>
      </x:c>
      <x:c r="G37" s="83" t="str">
        <x:v>TWh</x:v>
      </x:c>
      <x:c r="H37" s="83" t="str">
        <x:v>Italia</x:v>
      </x:c>
      <x:c r="I37" s="83" t="str">
        <x:v>DDS definition: usi finali + usi energetici + perdite</x:v>
      </x:c>
      <x:c r="J37" s="83" t="str">
        <x:v>Assunzione di scenario</x:v>
      </x:c>
      <x:c r="K37" s="83" t="str">
        <x:v>S09</x:v>
      </x:c>
      <x:c r="L37" s="83" t="str">
        <x:v>Documento_Descrizione_Scenari_2024_8dce2430d44d101.pdf</x:v>
      </x:c>
      <x:c r="M37" s="83" t="n">
        <x:v>48</x:v>
      </x:c>
      <x:c r="N37" s="83" t="n">
        <x:v>46</x:v>
      </x:c>
      <x:c r="O37" s="83" t="str">
        <x:v>Tabella 6</x:v>
      </x:c>
      <x:c r="P37" s="83" t="str">
        <x:v>Direct table extraction; visual/text verification</x:v>
      </x:c>
      <x:c r="Q37" s="83" t="str">
        <x:v>A - Direct</x:v>
      </x:c>
      <x:c r="R37" s="83" t="str"/>
    </x:row>
    <x:row r="38">
      <x:c r="A38" s="83" t="str">
        <x:v>DEM-0061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Produzione H2 (elettrolisi)</x:v>
      </x:c>
      <x:c r="F38" s="143" t="n">
        <x:v>27.5</x:v>
      </x:c>
      <x:c r="G38" s="83" t="str">
        <x:v>TWh</x:v>
      </x:c>
      <x:c r="H38" s="83" t="str">
        <x:v>Italia</x:v>
      </x:c>
      <x:c r="I38" s="83" t="str">
        <x:v>DDS definition: usi finali + usi energetici + perdite</x:v>
      </x:c>
      <x:c r="J38" s="83" t="str">
        <x:v>Assunzione di scenario</x:v>
      </x:c>
      <x:c r="K38" s="83" t="str">
        <x:v>S09</x:v>
      </x:c>
      <x:c r="L38" s="83" t="str">
        <x:v>Documento_Descrizione_Scenari_2024_8dce2430d44d101.pdf</x:v>
      </x:c>
      <x:c r="M38" s="83" t="n">
        <x:v>48</x:v>
      </x:c>
      <x:c r="N38" s="83" t="n">
        <x:v>46</x:v>
      </x:c>
      <x:c r="O38" s="83" t="str">
        <x:v>Tabella 6</x:v>
      </x:c>
      <x:c r="P38" s="83" t="str">
        <x:v>Direct table extraction; visual/text verification</x:v>
      </x:c>
      <x:c r="Q38" s="83" t="str">
        <x:v>A - Direct</x:v>
      </x:c>
      <x:c r="R38" s="83" t="str"/>
    </x:row>
    <x:row r="39">
      <x:c r="A39" s="83" t="str">
        <x:v>DEM-0062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Produzione H2 (elettrolisi)</x:v>
      </x:c>
      <x:c r="F39" s="143" t="n">
        <x:v>27.5</x:v>
      </x:c>
      <x:c r="G39" s="83" t="str">
        <x:v>TWh</x:v>
      </x:c>
      <x:c r="H39" s="83" t="str">
        <x:v>Italia</x:v>
      </x:c>
      <x:c r="I39" s="83" t="str">
        <x:v>DDS definition: usi finali + usi energetici + perdite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48</x:v>
      </x:c>
      <x:c r="N39" s="83" t="n">
        <x:v>46</x:v>
      </x:c>
      <x:c r="O39" s="83" t="str">
        <x:v>Tabella 6</x:v>
      </x:c>
      <x:c r="P39" s="83" t="str">
        <x:v>Direct table extraction; visual/text verification</x:v>
      </x:c>
      <x:c r="Q39" s="83" t="str">
        <x:v>A - Direct</x:v>
      </x:c>
      <x:c r="R39" s="83" t="str"/>
    </x:row>
    <x:row r="40">
      <x:c r="A40" s="83" t="str">
        <x:v>DEM-0063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Produzione H2 (elettrolisi)</x:v>
      </x:c>
      <x:c r="F40" s="143" t="n">
        <x:v>19.8</x:v>
      </x:c>
      <x:c r="G40" s="83" t="str">
        <x:v>TWh</x:v>
      </x:c>
      <x:c r="H40" s="83" t="str">
        <x:v>Italia</x:v>
      </x:c>
      <x:c r="I40" s="83" t="str">
        <x:v>DDS definition: usi finali + usi energetici + perdite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48</x:v>
      </x:c>
      <x:c r="N40" s="83" t="n">
        <x:v>46</x:v>
      </x:c>
      <x:c r="O40" s="83" t="str">
        <x:v>Tabella 6</x:v>
      </x:c>
      <x:c r="P40" s="83" t="str">
        <x:v>Direct table extraction; visual/text verification</x:v>
      </x:c>
      <x:c r="Q40" s="83" t="str">
        <x:v>A - Direct</x:v>
      </x:c>
      <x:c r="R40" s="83" t="str"/>
    </x:row>
    <x:row r="41">
      <x:c r="A41" s="83" t="str">
        <x:v>DEM-0064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Perdite di rete</x:v>
      </x:c>
      <x:c r="F41" s="143" t="n">
        <x:v>18.2</x:v>
      </x:c>
      <x:c r="G41" s="83" t="str">
        <x:v>TWh</x:v>
      </x:c>
      <x:c r="H41" s="83" t="str">
        <x:v>Italia</x:v>
      </x:c>
      <x:c r="I41" s="83" t="str">
        <x:v>DDS definition: usi finali + usi energetici + perdite</x:v>
      </x:c>
      <x:c r="J41" s="83" t="str">
        <x:v>Dato osservato storico</x:v>
      </x:c>
      <x:c r="K41" s="83" t="str">
        <x:v>S09</x:v>
      </x:c>
      <x:c r="L41" s="83" t="str">
        <x:v>Documento_Descrizione_Scenari_2024_8dce2430d44d101.pdf</x:v>
      </x:c>
      <x:c r="M41" s="83" t="n">
        <x:v>48</x:v>
      </x:c>
      <x:c r="N41" s="83" t="n">
        <x:v>46</x:v>
      </x:c>
      <x:c r="O41" s="83" t="str">
        <x:v>Tabella 6</x:v>
      </x:c>
      <x:c r="P41" s="83" t="str">
        <x:v>Direct table extraction; visual/text verification</x:v>
      </x:c>
      <x:c r="Q41" s="83" t="str">
        <x:v>A - Direct</x:v>
      </x:c>
      <x:c r="R41" s="83" t="str">
        <x:v>Valore con un decimale; fonte Terna provvisoria per il 2023.</x:v>
      </x:c>
    </x:row>
    <x:row r="42">
      <x:c r="A42" s="83" t="str">
        <x:v>DEM-0065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Perdite di rete</x:v>
      </x:c>
      <x:c r="F42" s="143" t="n">
        <x:v>22</x:v>
      </x:c>
      <x:c r="G42" s="83" t="str">
        <x:v>TWh</x:v>
      </x:c>
      <x:c r="H42" s="83" t="str">
        <x:v>Italia</x:v>
      </x:c>
      <x:c r="I42" s="83" t="str">
        <x:v>DDS definition: usi finali + usi energetici + perdite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48</x:v>
      </x:c>
      <x:c r="N42" s="83" t="n">
        <x:v>46</x:v>
      </x:c>
      <x:c r="O42" s="83" t="str">
        <x:v>Tabella 6</x:v>
      </x:c>
      <x:c r="P42" s="83" t="str">
        <x:v>Direct table extraction; visual/text verification</x:v>
      </x:c>
      <x:c r="Q42" s="83" t="str">
        <x:v>A - Direct</x:v>
      </x:c>
      <x:c r="R42" s="83" t="str"/>
    </x:row>
    <x:row r="43">
      <x:c r="A43" s="83" t="str">
        <x:v>DEM-0066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Perdite di rete</x:v>
      </x:c>
      <x:c r="F43" s="143" t="n">
        <x:v>20.7</x:v>
      </x:c>
      <x:c r="G43" s="83" t="str">
        <x:v>TWh</x:v>
      </x:c>
      <x:c r="H43" s="83" t="str">
        <x:v>Italia</x:v>
      </x:c>
      <x:c r="I43" s="83" t="str">
        <x:v>DDS definition: usi finali + usi energetici + perdite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48</x:v>
      </x:c>
      <x:c r="N43" s="83" t="n">
        <x:v>46</x:v>
      </x:c>
      <x:c r="O43" s="83" t="str">
        <x:v>Tabella 6</x:v>
      </x:c>
      <x:c r="P43" s="83" t="str">
        <x:v>Direct table extraction; visual/text verification</x:v>
      </x:c>
      <x:c r="Q43" s="83" t="str">
        <x:v>A - Direct</x:v>
      </x:c>
      <x:c r="R43" s="83" t="str"/>
    </x:row>
    <x:row r="44">
      <x:c r="A44" s="83" t="str">
        <x:v>DEM-0067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Perdite di rete</x:v>
      </x:c>
      <x:c r="F44" s="143" t="n">
        <x:v>23.7</x:v>
      </x:c>
      <x:c r="G44" s="83" t="str">
        <x:v>TWh</x:v>
      </x:c>
      <x:c r="H44" s="83" t="str">
        <x:v>Italia</x:v>
      </x:c>
      <x:c r="I44" s="83" t="str">
        <x:v>DDS definition: usi finali + usi energetici + perdite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48</x:v>
      </x:c>
      <x:c r="N44" s="83" t="n">
        <x:v>46</x:v>
      </x:c>
      <x:c r="O44" s="83" t="str">
        <x:v>Tabella 6</x:v>
      </x:c>
      <x:c r="P44" s="83" t="str">
        <x:v>Direct table extraction; visual/text verification</x:v>
      </x:c>
      <x:c r="Q44" s="83" t="str">
        <x:v>A - Direct</x:v>
      </x:c>
      <x:c r="R44" s="83" t="str"/>
    </x:row>
    <x:row r="45">
      <x:c r="A45" s="83" t="str">
        <x:v>DEM-0068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Perdite di rete</x:v>
      </x:c>
      <x:c r="F45" s="143" t="n">
        <x:v>23</x:v>
      </x:c>
      <x:c r="G45" s="83" t="str">
        <x:v>TWh</x:v>
      </x:c>
      <x:c r="H45" s="83" t="str">
        <x:v>Italia</x:v>
      </x:c>
      <x:c r="I45" s="83" t="str">
        <x:v>DDS definition: usi finali + usi energetici + perdite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48</x:v>
      </x:c>
      <x:c r="N45" s="83" t="n">
        <x:v>46</x:v>
      </x:c>
      <x:c r="O45" s="83" t="str">
        <x:v>Tabella 6</x:v>
      </x:c>
      <x:c r="P45" s="83" t="str">
        <x:v>Direct table extraction; visual/text verification</x:v>
      </x:c>
      <x:c r="Q45" s="83" t="str">
        <x:v>A - Direct</x:v>
      </x:c>
      <x:c r="R45" s="83" t="str"/>
    </x:row>
    <x:row r="46">
      <x:c r="A46" s="83" t="str">
        <x:v>DEM-0069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Perdite di rete</x:v>
      </x:c>
      <x:c r="F46" s="143" t="n">
        <x:v>22.4</x:v>
      </x:c>
      <x:c r="G46" s="83" t="str">
        <x:v>TWh</x:v>
      </x:c>
      <x:c r="H46" s="83" t="str">
        <x:v>Italia</x:v>
      </x:c>
      <x:c r="I46" s="83" t="str">
        <x:v>DDS definition: usi finali + usi energetici + perdite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48</x:v>
      </x:c>
      <x:c r="N46" s="83" t="n">
        <x:v>46</x:v>
      </x:c>
      <x:c r="O46" s="83" t="str">
        <x:v>Tabella 6</x:v>
      </x:c>
      <x:c r="P46" s="83" t="str">
        <x:v>Direct table extraction; visual/text verification</x:v>
      </x:c>
      <x:c r="Q46" s="83" t="str">
        <x:v>A - Direct</x:v>
      </x:c>
      <x:c r="R46" s="83" t="str"/>
    </x:row>
    <x:row r="47">
      <x:c r="A47" s="83" t="str">
        <x:v>DEM-0070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Perdite di rete</x:v>
      </x:c>
      <x:c r="F47" s="143" t="n">
        <x:v>26.2</x:v>
      </x:c>
      <x:c r="G47" s="83" t="str">
        <x:v>TWh</x:v>
      </x:c>
      <x:c r="H47" s="83" t="str">
        <x:v>Italia</x:v>
      </x:c>
      <x:c r="I47" s="83" t="str">
        <x:v>DDS definition: usi finali + usi energetici + perdite</x:v>
      </x:c>
      <x:c r="J47" s="83" t="str">
        <x:v>Assunzione di scenario</x:v>
      </x:c>
      <x:c r="K47" s="83" t="str">
        <x:v>S09</x:v>
      </x:c>
      <x:c r="L47" s="83" t="str">
        <x:v>Documento_Descrizione_Scenari_2024_8dce2430d44d101.pdf</x:v>
      </x:c>
      <x:c r="M47" s="83" t="n">
        <x:v>48</x:v>
      </x:c>
      <x:c r="N47" s="83" t="n">
        <x:v>46</x:v>
      </x:c>
      <x:c r="O47" s="83" t="str">
        <x:v>Tabella 6</x:v>
      </x:c>
      <x:c r="P47" s="83" t="str">
        <x:v>Direct table extraction; visual/text verification</x:v>
      </x:c>
      <x:c r="Q47" s="83" t="str">
        <x:v>A - Direct</x:v>
      </x:c>
      <x:c r="R47" s="83" t="str"/>
    </x:row>
    <x:row r="48">
      <x:c r="A48" s="83" t="str">
        <x:v>DEM-0071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Perdite di rete</x:v>
      </x:c>
      <x:c r="F48" s="143" t="n">
        <x:v>24.8</x:v>
      </x:c>
      <x:c r="G48" s="83" t="str">
        <x:v>TWh</x:v>
      </x:c>
      <x:c r="H48" s="83" t="str">
        <x:v>Italia</x:v>
      </x:c>
      <x:c r="I48" s="83" t="str">
        <x:v>DDS definition: usi finali + usi energetici + perdite</x:v>
      </x:c>
      <x:c r="J48" s="83" t="str">
        <x:v>Assunzione di scenario</x:v>
      </x:c>
      <x:c r="K48" s="83" t="str">
        <x:v>S09</x:v>
      </x:c>
      <x:c r="L48" s="83" t="str">
        <x:v>Documento_Descrizione_Scenari_2024_8dce2430d44d101.pdf</x:v>
      </x:c>
      <x:c r="M48" s="83" t="n">
        <x:v>48</x:v>
      </x:c>
      <x:c r="N48" s="83" t="n">
        <x:v>46</x:v>
      </x:c>
      <x:c r="O48" s="83" t="str">
        <x:v>Tabella 6</x:v>
      </x:c>
      <x:c r="P48" s="83" t="str">
        <x:v>Direct table extraction; visual/text verification</x:v>
      </x:c>
      <x:c r="Q48" s="83" t="str">
        <x:v>A - Direct</x:v>
      </x:c>
      <x:c r="R48" s="83" t="str"/>
    </x:row>
    <x:row r="49">
      <x:c r="A49" s="83" t="str">
        <x:v>DEM-0072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Perdite di rete</x:v>
      </x:c>
      <x:c r="F49" s="143" t="n">
        <x:v>24.1</x:v>
      </x:c>
      <x:c r="G49" s="83" t="str">
        <x:v>TWh</x:v>
      </x:c>
      <x:c r="H49" s="83" t="str">
        <x:v>Italia</x:v>
      </x:c>
      <x:c r="I49" s="83" t="str">
        <x:v>DDS definition: usi finali + usi energetici + perdite</x:v>
      </x:c>
      <x:c r="J49" s="83" t="str">
        <x:v>Assunzione di scenario</x:v>
      </x:c>
      <x:c r="K49" s="83" t="str">
        <x:v>S09</x:v>
      </x:c>
      <x:c r="L49" s="83" t="str">
        <x:v>Documento_Descrizione_Scenari_2024_8dce2430d44d101.pdf</x:v>
      </x:c>
      <x:c r="M49" s="83" t="n">
        <x:v>48</x:v>
      </x:c>
      <x:c r="N49" s="83" t="n">
        <x:v>46</x:v>
      </x:c>
      <x:c r="O49" s="83" t="str">
        <x:v>Tabella 6</x:v>
      </x:c>
      <x:c r="P49" s="83" t="str">
        <x:v>Direct table extraction; visual/text verification</x:v>
      </x:c>
      <x:c r="Q49" s="83" t="str">
        <x:v>A - Direct</x:v>
      </x:c>
      <x:c r="R49" s="83" t="str"/>
    </x:row>
    <x:row r="50">
      <x:c r="A50" s="83" t="str">
        <x:v>DEM-0073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Fabbisogno elettrico</x:v>
      </x:c>
      <x:c r="F50" s="143" t="n">
        <x:v>305.6</x:v>
      </x:c>
      <x:c r="G50" s="83" t="str">
        <x:v>TWh</x:v>
      </x:c>
      <x:c r="H50" s="83" t="str">
        <x:v>Italia</x:v>
      </x:c>
      <x:c r="I50" s="83" t="str">
        <x:v>DDS definition: usi finali + usi energetici + perdite</x:v>
      </x:c>
      <x:c r="J50" s="83" t="str">
        <x:v>Dato osservato storico</x:v>
      </x:c>
      <x:c r="K50" s="83" t="str">
        <x:v>S09</x:v>
      </x:c>
      <x:c r="L50" s="83" t="str">
        <x:v>Documento_Descrizione_Scenari_2024_8dce2430d44d101.pdf</x:v>
      </x:c>
      <x:c r="M50" s="83" t="n">
        <x:v>48</x:v>
      </x:c>
      <x:c r="N50" s="83" t="n">
        <x:v>46</x:v>
      </x:c>
      <x:c r="O50" s="83" t="str">
        <x:v>Tabella 6</x:v>
      </x:c>
      <x:c r="P50" s="83" t="str">
        <x:v>Direct table extraction; visual/text verification</x:v>
      </x:c>
      <x:c r="Q50" s="83" t="str">
        <x:v>A - Direct</x:v>
      </x:c>
      <x:c r="R50" s="83" t="str">
        <x:v>Valore con un decimale; fonte Terna provvisoria per il 2023.</x:v>
      </x:c>
    </x:row>
    <x:row r="51">
      <x:c r="A51" s="83" t="str">
        <x:v>DEM-0074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Fabbisogno elettrico</x:v>
      </x:c>
      <x:c r="F51" s="143" t="n">
        <x:v>361.9</x:v>
      </x:c>
      <x:c r="G51" s="83" t="str">
        <x:v>TWh</x:v>
      </x:c>
      <x:c r="H51" s="83" t="str">
        <x:v>Italia</x:v>
      </x:c>
      <x:c r="I51" s="83" t="str">
        <x:v>DDS definition: usi finali + usi energetici + perdite</x:v>
      </x:c>
      <x:c r="J51" s="83" t="str">
        <x:v>Assunzione di scenario</x:v>
      </x:c>
      <x:c r="K51" s="83" t="str">
        <x:v>S09</x:v>
      </x:c>
      <x:c r="L51" s="83" t="str">
        <x:v>Documento_Descrizione_Scenari_2024_8dce2430d44d101.pdf</x:v>
      </x:c>
      <x:c r="M51" s="83" t="n">
        <x:v>48</x:v>
      </x:c>
      <x:c r="N51" s="83" t="n">
        <x:v>46</x:v>
      </x:c>
      <x:c r="O51" s="83" t="str">
        <x:v>Tabella 6</x:v>
      </x:c>
      <x:c r="P51" s="83" t="str">
        <x:v>Direct table extraction; visual/text verification</x:v>
      </x:c>
      <x:c r="Q51" s="83" t="str">
        <x:v>A - Direct</x:v>
      </x:c>
      <x:c r="R51" s="83" t="str"/>
    </x:row>
    <x:row r="52">
      <x:c r="A52" s="83" t="str">
        <x:v>DEM-0075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Fabbisogno elettrico</x:v>
      </x:c>
      <x:c r="F52" s="143" t="n">
        <x:v>346.6</x:v>
      </x:c>
      <x:c r="G52" s="83" t="str">
        <x:v>TWh</x:v>
      </x:c>
      <x:c r="H52" s="83" t="str">
        <x:v>Italia</x:v>
      </x:c>
      <x:c r="I52" s="83" t="str">
        <x:v>DDS definition: usi finali + usi energetici + perdite</x:v>
      </x:c>
      <x:c r="J52" s="83" t="str">
        <x:v>Assunzione di scenario</x:v>
      </x:c>
      <x:c r="K52" s="83" t="str">
        <x:v>S09</x:v>
      </x:c>
      <x:c r="L52" s="83" t="str">
        <x:v>Documento_Descrizione_Scenari_2024_8dce2430d44d101.pdf</x:v>
      </x:c>
      <x:c r="M52" s="83" t="n">
        <x:v>48</x:v>
      </x:c>
      <x:c r="N52" s="83" t="n">
        <x:v>46</x:v>
      </x:c>
      <x:c r="O52" s="83" t="str">
        <x:v>Tabella 6</x:v>
      </x:c>
      <x:c r="P52" s="83" t="str">
        <x:v>Direct table extraction; visual/text verification</x:v>
      </x:c>
      <x:c r="Q52" s="83" t="str">
        <x:v>A - Direct</x:v>
      </x:c>
      <x:c r="R52" s="83" t="str"/>
    </x:row>
    <x:row r="53">
      <x:c r="A53" s="83" t="str">
        <x:v>DEM-0076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Fabbisogno elettrico</x:v>
      </x:c>
      <x:c r="F53" s="143" t="n">
        <x:v>396.9</x:v>
      </x:c>
      <x:c r="G53" s="83" t="str">
        <x:v>TWh</x:v>
      </x:c>
      <x:c r="H53" s="83" t="str">
        <x:v>Italia</x:v>
      </x:c>
      <x:c r="I53" s="83" t="str">
        <x:v>DDS definition: usi finali + usi energetici + perdite</x:v>
      </x:c>
      <x:c r="J53" s="83" t="str">
        <x:v>Assunzione di scenario</x:v>
      </x:c>
      <x:c r="K53" s="83" t="str">
        <x:v>S09</x:v>
      </x:c>
      <x:c r="L53" s="83" t="str">
        <x:v>Documento_Descrizione_Scenari_2024_8dce2430d44d101.pdf</x:v>
      </x:c>
      <x:c r="M53" s="83" t="n">
        <x:v>48</x:v>
      </x:c>
      <x:c r="N53" s="83" t="n">
        <x:v>46</x:v>
      </x:c>
      <x:c r="O53" s="83" t="str">
        <x:v>Tabella 6</x:v>
      </x:c>
      <x:c r="P53" s="83" t="str">
        <x:v>Direct table extraction; visual/text verification</x:v>
      </x:c>
      <x:c r="Q53" s="83" t="str">
        <x:v>A - Direct</x:v>
      </x:c>
      <x:c r="R53" s="83" t="str"/>
    </x:row>
    <x:row r="54">
      <x:c r="A54" s="83" t="str">
        <x:v>DEM-0077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Fabbisogno elettrico</x:v>
      </x:c>
      <x:c r="F54" s="143" t="n">
        <x:v>385</x:v>
      </x:c>
      <x:c r="G54" s="83" t="str">
        <x:v>TWh</x:v>
      </x:c>
      <x:c r="H54" s="83" t="str">
        <x:v>Italia</x:v>
      </x:c>
      <x:c r="I54" s="83" t="str">
        <x:v>DDS definition: usi finali + usi energetici + perdite</x:v>
      </x:c>
      <x:c r="J54" s="83" t="str">
        <x:v>Assunzione di scenario</x:v>
      </x:c>
      <x:c r="K54" s="83" t="str">
        <x:v>S09</x:v>
      </x:c>
      <x:c r="L54" s="83" t="str">
        <x:v>Documento_Descrizione_Scenari_2024_8dce2430d44d101.pdf</x:v>
      </x:c>
      <x:c r="M54" s="83" t="n">
        <x:v>48</x:v>
      </x:c>
      <x:c r="N54" s="83" t="n">
        <x:v>46</x:v>
      </x:c>
      <x:c r="O54" s="83" t="str">
        <x:v>Tabella 6</x:v>
      </x:c>
      <x:c r="P54" s="83" t="str">
        <x:v>Direct table extraction; visual/text verification</x:v>
      </x:c>
      <x:c r="Q54" s="83" t="str">
        <x:v>A - Direct</x:v>
      </x:c>
      <x:c r="R54" s="83" t="str"/>
    </x:row>
    <x:row r="55">
      <x:c r="A55" s="83" t="str">
        <x:v>DEM-0078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Fabbisogno elettrico</x:v>
      </x:c>
      <x:c r="F55" s="143" t="n">
        <x:v>375.5</x:v>
      </x:c>
      <x:c r="G55" s="83" t="str">
        <x:v>TWh</x:v>
      </x:c>
      <x:c r="H55" s="83" t="str">
        <x:v>Italia</x:v>
      </x:c>
      <x:c r="I55" s="83" t="str">
        <x:v>DDS definition: usi finali + usi energetici + perdite</x:v>
      </x:c>
      <x:c r="J55" s="83" t="str">
        <x:v>Assunzione di scenario</x:v>
      </x:c>
      <x:c r="K55" s="83" t="str">
        <x:v>S09</x:v>
      </x:c>
      <x:c r="L55" s="83" t="str">
        <x:v>Documento_Descrizione_Scenari_2024_8dce2430d44d101.pdf</x:v>
      </x:c>
      <x:c r="M55" s="83" t="n">
        <x:v>48</x:v>
      </x:c>
      <x:c r="N55" s="83" t="n">
        <x:v>46</x:v>
      </x:c>
      <x:c r="O55" s="83" t="str">
        <x:v>Tabella 6</x:v>
      </x:c>
      <x:c r="P55" s="83" t="str">
        <x:v>Direct table extraction; visual/text verification</x:v>
      </x:c>
      <x:c r="Q55" s="83" t="str">
        <x:v>A - Direct</x:v>
      </x:c>
      <x:c r="R55" s="83" t="str"/>
    </x:row>
    <x:row r="56">
      <x:c r="A56" s="83" t="str">
        <x:v>DEM-0079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Fabbisogno elettrico</x:v>
      </x:c>
      <x:c r="F56" s="143" t="n">
        <x:v>439</x:v>
      </x:c>
      <x:c r="G56" s="83" t="str">
        <x:v>TWh</x:v>
      </x:c>
      <x:c r="H56" s="83" t="str">
        <x:v>Italia</x:v>
      </x:c>
      <x:c r="I56" s="83" t="str">
        <x:v>DDS definition: usi finali + usi energetici + perdite</x:v>
      </x:c>
      <x:c r="J56" s="83" t="str">
        <x:v>Assunzione di scenario</x:v>
      </x:c>
      <x:c r="K56" s="83" t="str">
        <x:v>S09</x:v>
      </x:c>
      <x:c r="L56" s="83" t="str">
        <x:v>Documento_Descrizione_Scenari_2024_8dce2430d44d101.pdf</x:v>
      </x:c>
      <x:c r="M56" s="83" t="n">
        <x:v>48</x:v>
      </x:c>
      <x:c r="N56" s="83" t="n">
        <x:v>46</x:v>
      </x:c>
      <x:c r="O56" s="83" t="str">
        <x:v>Tabella 6</x:v>
      </x:c>
      <x:c r="P56" s="83" t="str">
        <x:v>Direct table extraction; visual/text verification</x:v>
      </x:c>
      <x:c r="Q56" s="83" t="str">
        <x:v>A - Direct</x:v>
      </x:c>
      <x:c r="R56" s="83" t="str"/>
    </x:row>
    <x:row r="57">
      <x:c r="A57" s="83" t="str">
        <x:v>DEM-0080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Fabbisogno elettrico</x:v>
      </x:c>
      <x:c r="F57" s="143" t="n">
        <x:v>415.2</x:v>
      </x:c>
      <x:c r="G57" s="83" t="str">
        <x:v>TWh</x:v>
      </x:c>
      <x:c r="H57" s="83" t="str">
        <x:v>Italia</x:v>
      </x:c>
      <x:c r="I57" s="83" t="str">
        <x:v>DDS definition: usi finali + usi energetici + perdite</x:v>
      </x:c>
      <x:c r="J57" s="83" t="str">
        <x:v>Assunzione di scenario</x:v>
      </x:c>
      <x:c r="K57" s="83" t="str">
        <x:v>S09</x:v>
      </x:c>
      <x:c r="L57" s="83" t="str">
        <x:v>Documento_Descrizione_Scenari_2024_8dce2430d44d101.pdf</x:v>
      </x:c>
      <x:c r="M57" s="83" t="n">
        <x:v>48</x:v>
      </x:c>
      <x:c r="N57" s="83" t="n">
        <x:v>46</x:v>
      </x:c>
      <x:c r="O57" s="83" t="str">
        <x:v>Tabella 6</x:v>
      </x:c>
      <x:c r="P57" s="83" t="str">
        <x:v>Direct table extraction; visual/text verification</x:v>
      </x:c>
      <x:c r="Q57" s="83" t="str">
        <x:v>A - Direct</x:v>
      </x:c>
      <x:c r="R57" s="83" t="str"/>
    </x:row>
    <x:row r="58">
      <x:c r="A58" s="83" t="str">
        <x:v>DEM-0081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Fabbisogno elettrico</x:v>
      </x:c>
      <x:c r="F58" s="143" t="n">
        <x:v>404.4</x:v>
      </x:c>
      <x:c r="G58" s="83" t="str">
        <x:v>TWh</x:v>
      </x:c>
      <x:c r="H58" s="83" t="str">
        <x:v>Italia</x:v>
      </x:c>
      <x:c r="I58" s="83" t="str">
        <x:v>DDS definition: usi finali + usi energetici + perdite</x:v>
      </x:c>
      <x:c r="J58" s="83" t="str">
        <x:v>Assunzione di scenario</x:v>
      </x:c>
      <x:c r="K58" s="83" t="str">
        <x:v>S09</x:v>
      </x:c>
      <x:c r="L58" s="83" t="str">
        <x:v>Documento_Descrizione_Scenari_2024_8dce2430d44d101.pdf</x:v>
      </x:c>
      <x:c r="M58" s="83" t="n">
        <x:v>48</x:v>
      </x:c>
      <x:c r="N58" s="83" t="n">
        <x:v>46</x:v>
      </x:c>
      <x:c r="O58" s="83" t="str">
        <x:v>Tabella 6</x:v>
      </x:c>
      <x:c r="P58" s="83" t="str">
        <x:v>Direct table extraction; visual/text verification</x:v>
      </x:c>
      <x:c r="Q58" s="83" t="str">
        <x:v>A - Direct</x:v>
      </x:c>
      <x:c r="R58" s="83" t="str"/>
    </x:row>
    <x:row r="59">
      <x:c r="A59" s="83" t="str">
        <x:v>DEM-0082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Fabbisogno elettrico puro</x:v>
      </x:c>
      <x:c r="F59" s="143" t="n">
        <x:v>306</x:v>
      </x:c>
      <x:c r="G59" s="83" t="str">
        <x:v>TWh</x:v>
      </x:c>
      <x:c r="H59" s="83" t="str">
        <x:v>Italia</x:v>
      </x:c>
      <x:c r="I59" s="83" t="str">
        <x:v>Fabbisogno totale al netto dei consumi elettrici per produzione H2</x:v>
      </x:c>
      <x:c r="J59" s="83" t="str">
        <x:v>Dato osservato storico</x:v>
      </x:c>
      <x:c r="K59" s="83" t="str">
        <x:v>S09</x:v>
      </x:c>
      <x:c r="L59" s="83" t="str">
        <x:v>Documento_Descrizione_Scenari_2024_8dce2430d44d101.pdf</x:v>
      </x:c>
      <x:c r="M59" s="83" t="n">
        <x:v>66</x:v>
      </x:c>
      <x:c r="N59" s="83" t="n">
        <x:v>64</x:v>
      </x:c>
      <x:c r="O59" s="83" t="str">
        <x:v>Tabella 18</x:v>
      </x:c>
      <x:c r="P59" s="83" t="str">
        <x:v>Direct table extraction; rounded values</x:v>
      </x:c>
      <x:c r="Q59" s="83" t="str">
        <x:v>A - Direct</x:v>
      </x:c>
      <x:c r="R59" s="83" t="str">
        <x:v>Tabella 18 riporta valori interi; differenze minime rispetto alla sottrazione dei valori decimali della Tabella 6.</x:v>
      </x:c>
    </x:row>
    <x:row r="60">
      <x:c r="A60" s="83" t="str">
        <x:v>DEM-0083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Fabbisogno elettrico puro</x:v>
      </x:c>
      <x:c r="F60" s="143" t="n">
        <x:v>352</x:v>
      </x:c>
      <x:c r="G60" s="83" t="str">
        <x:v>TWh</x:v>
      </x:c>
      <x:c r="H60" s="83" t="str">
        <x:v>Italia</x:v>
      </x:c>
      <x:c r="I60" s="83" t="str">
        <x:v>Fabbisogno totale al netto dei consumi elettrici per produzione H2</x:v>
      </x:c>
      <x:c r="J60" s="83" t="str">
        <x:v>Assunzione di scenario</x:v>
      </x:c>
      <x:c r="K60" s="83" t="str">
        <x:v>S09</x:v>
      </x:c>
      <x:c r="L60" s="83" t="str">
        <x:v>Documento_Descrizione_Scenari_2024_8dce2430d44d101.pdf</x:v>
      </x:c>
      <x:c r="M60" s="83" t="n">
        <x:v>66</x:v>
      </x:c>
      <x:c r="N60" s="83" t="n">
        <x:v>64</x:v>
      </x:c>
      <x:c r="O60" s="83" t="str">
        <x:v>Tabella 18</x:v>
      </x:c>
      <x:c r="P60" s="83" t="str">
        <x:v>Direct table extraction; rounded values</x:v>
      </x:c>
      <x:c r="Q60" s="83" t="str">
        <x:v>A - Direct</x:v>
      </x:c>
      <x:c r="R60" s="83" t="str">
        <x:v>Tabella 18 riporta valori interi; differenze minime rispetto alla sottrazione dei valori decimali della Tabella 6.</x:v>
      </x:c>
    </x:row>
    <x:row r="61">
      <x:c r="A61" s="83" t="str">
        <x:v>DEM-0084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Fabbisogno elettrico puro</x:v>
      </x:c>
      <x:c r="F61" s="143" t="n">
        <x:v>341</x:v>
      </x:c>
      <x:c r="G61" s="83" t="str">
        <x:v>TWh</x:v>
      </x:c>
      <x:c r="H61" s="83" t="str">
        <x:v>Italia</x:v>
      </x:c>
      <x:c r="I61" s="83" t="str">
        <x:v>Fabbisogno totale al netto dei consumi elettrici per produzione H2</x:v>
      </x:c>
      <x:c r="J61" s="83" t="str">
        <x:v>Assunzione di scenario</x:v>
      </x:c>
      <x:c r="K61" s="83" t="str">
        <x:v>S09</x:v>
      </x:c>
      <x:c r="L61" s="83" t="str">
        <x:v>Documento_Descrizione_Scenari_2024_8dce2430d44d101.pdf</x:v>
      </x:c>
      <x:c r="M61" s="83" t="n">
        <x:v>66</x:v>
      </x:c>
      <x:c r="N61" s="83" t="n">
        <x:v>64</x:v>
      </x:c>
      <x:c r="O61" s="83" t="str">
        <x:v>Tabella 18</x:v>
      </x:c>
      <x:c r="P61" s="83" t="str">
        <x:v>Direct table extraction; rounded values</x:v>
      </x:c>
      <x:c r="Q61" s="83" t="str">
        <x:v>A - Direct</x:v>
      </x:c>
      <x:c r="R61" s="83" t="str">
        <x:v>Tabella 18 riporta valori interi; differenze minime rispetto alla sottrazione dei valori decimali della Tabella 6.</x:v>
      </x:c>
    </x:row>
    <x:row r="62">
      <x:c r="A62" s="83" t="str">
        <x:v>DEM-0085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Fabbisogno elettrico puro</x:v>
      </x:c>
      <x:c r="F62" s="143" t="n">
        <x:v>378</x:v>
      </x:c>
      <x:c r="G62" s="83" t="str">
        <x:v>TWh</x:v>
      </x:c>
      <x:c r="H62" s="83" t="str">
        <x:v>Italia</x:v>
      </x:c>
      <x:c r="I62" s="83" t="str">
        <x:v>Fabbisogno totale al netto dei consumi elettrici per produzione H2</x:v>
      </x:c>
      <x:c r="J62" s="83" t="str">
        <x:v>Assunzione di scenario</x:v>
      </x:c>
      <x:c r="K62" s="83" t="str">
        <x:v>S09</x:v>
      </x:c>
      <x:c r="L62" s="83" t="str">
        <x:v>Documento_Descrizione_Scenari_2024_8dce2430d44d101.pdf</x:v>
      </x:c>
      <x:c r="M62" s="83" t="n">
        <x:v>66</x:v>
      </x:c>
      <x:c r="N62" s="83" t="n">
        <x:v>64</x:v>
      </x:c>
      <x:c r="O62" s="83" t="str">
        <x:v>Tabella 18</x:v>
      </x:c>
      <x:c r="P62" s="83" t="str">
        <x:v>Direct table extraction; rounded values</x:v>
      </x:c>
      <x:c r="Q62" s="83" t="str">
        <x:v>A - Direct</x:v>
      </x:c>
      <x:c r="R62" s="83" t="str">
        <x:v>Tabella 18 riporta valori interi; differenze minime rispetto alla sottrazione dei valori decimali della Tabella 6.</x:v>
      </x:c>
    </x:row>
    <x:row r="63">
      <x:c r="A63" s="83" t="str">
        <x:v>DEM-0086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Fabbisogno elettrico puro</x:v>
      </x:c>
      <x:c r="F63" s="143" t="n">
        <x:v>366</x:v>
      </x:c>
      <x:c r="G63" s="83" t="str">
        <x:v>TWh</x:v>
      </x:c>
      <x:c r="H63" s="83" t="str">
        <x:v>Italia</x:v>
      </x:c>
      <x:c r="I63" s="83" t="str">
        <x:v>Fabbisogno totale al netto dei consumi elettrici per produzione H2</x:v>
      </x:c>
      <x:c r="J63" s="83" t="str">
        <x:v>Assunzione di scenario</x:v>
      </x:c>
      <x:c r="K63" s="83" t="str">
        <x:v>S09</x:v>
      </x:c>
      <x:c r="L63" s="83" t="str">
        <x:v>Documento_Descrizione_Scenari_2024_8dce2430d44d101.pdf</x:v>
      </x:c>
      <x:c r="M63" s="83" t="n">
        <x:v>66</x:v>
      </x:c>
      <x:c r="N63" s="83" t="n">
        <x:v>64</x:v>
      </x:c>
      <x:c r="O63" s="83" t="str">
        <x:v>Tabella 18</x:v>
      </x:c>
      <x:c r="P63" s="83" t="str">
        <x:v>Direct table extraction; rounded values</x:v>
      </x:c>
      <x:c r="Q63" s="83" t="str">
        <x:v>A - Direct</x:v>
      </x:c>
      <x:c r="R63" s="83" t="str">
        <x:v>Tabella 18 riporta valori interi; differenze minime rispetto alla sottrazione dei valori decimali della Tabella 6.</x:v>
      </x:c>
    </x:row>
    <x:row r="64">
      <x:c r="A64" s="83" t="str">
        <x:v>DEM-0087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Fabbisogno elettrico puro</x:v>
      </x:c>
      <x:c r="F64" s="143" t="n">
        <x:v>363</x:v>
      </x:c>
      <x:c r="G64" s="83" t="str">
        <x:v>TWh</x:v>
      </x:c>
      <x:c r="H64" s="83" t="str">
        <x:v>Italia</x:v>
      </x:c>
      <x:c r="I64" s="83" t="str">
        <x:v>Fabbisogno totale al netto dei consumi elettrici per produzione H2</x:v>
      </x:c>
      <x:c r="J64" s="83" t="str">
        <x:v>Assunzione di scenario</x:v>
      </x:c>
      <x:c r="K64" s="83" t="str">
        <x:v>S09</x:v>
      </x:c>
      <x:c r="L64" s="83" t="str">
        <x:v>Documento_Descrizione_Scenari_2024_8dce2430d44d101.pdf</x:v>
      </x:c>
      <x:c r="M64" s="83" t="n">
        <x:v>66</x:v>
      </x:c>
      <x:c r="N64" s="83" t="n">
        <x:v>64</x:v>
      </x:c>
      <x:c r="O64" s="83" t="str">
        <x:v>Tabella 18</x:v>
      </x:c>
      <x:c r="P64" s="83" t="str">
        <x:v>Direct table extraction; rounded values</x:v>
      </x:c>
      <x:c r="Q64" s="83" t="str">
        <x:v>A - Direct</x:v>
      </x:c>
      <x:c r="R64" s="83" t="str">
        <x:v>Tabella 18 riporta valori interi; differenze minime rispetto alla sottrazione dei valori decimali della Tabella 6.</x:v>
      </x:c>
    </x:row>
    <x:row r="65">
      <x:c r="A65" s="83" t="str">
        <x:v>DEM-0088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Fabbisogno elettrico puro</x:v>
      </x:c>
      <x:c r="F65" s="143" t="n">
        <x:v>412</x:v>
      </x:c>
      <x:c r="G65" s="83" t="str">
        <x:v>TWh</x:v>
      </x:c>
      <x:c r="H65" s="83" t="str">
        <x:v>Italia</x:v>
      </x:c>
      <x:c r="I65" s="83" t="str">
        <x:v>Fabbisogno totale al netto dei consumi elettrici per produzione H2</x:v>
      </x:c>
      <x:c r="J65" s="83" t="str">
        <x:v>Assunzione di scenario</x:v>
      </x:c>
      <x:c r="K65" s="83" t="str">
        <x:v>S09</x:v>
      </x:c>
      <x:c r="L65" s="83" t="str">
        <x:v>Documento_Descrizione_Scenari_2024_8dce2430d44d101.pdf</x:v>
      </x:c>
      <x:c r="M65" s="83" t="n">
        <x:v>66</x:v>
      </x:c>
      <x:c r="N65" s="83" t="n">
        <x:v>64</x:v>
      </x:c>
      <x:c r="O65" s="83" t="str">
        <x:v>Tabella 18</x:v>
      </x:c>
      <x:c r="P65" s="83" t="str">
        <x:v>Direct table extraction; rounded values</x:v>
      </x:c>
      <x:c r="Q65" s="83" t="str">
        <x:v>A - Direct</x:v>
      </x:c>
      <x:c r="R65" s="83" t="str">
        <x:v>Tabella 18 riporta valori interi; differenze minime rispetto alla sottrazione dei valori decimali della Tabella 6.</x:v>
      </x:c>
    </x:row>
    <x:row r="66">
      <x:c r="A66" s="83" t="str">
        <x:v>DEM-0089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Fabbisogno elettrico puro</x:v>
      </x:c>
      <x:c r="F66" s="143" t="n">
        <x:v>388</x:v>
      </x:c>
      <x:c r="G66" s="83" t="str">
        <x:v>TWh</x:v>
      </x:c>
      <x:c r="H66" s="83" t="str">
        <x:v>Italia</x:v>
      </x:c>
      <x:c r="I66" s="83" t="str">
        <x:v>Fabbisogno totale al netto dei consumi elettrici per produzione H2</x:v>
      </x:c>
      <x:c r="J66" s="83" t="str">
        <x:v>Assunzione di scenario</x:v>
      </x:c>
      <x:c r="K66" s="83" t="str">
        <x:v>S09</x:v>
      </x:c>
      <x:c r="L66" s="83" t="str">
        <x:v>Documento_Descrizione_Scenari_2024_8dce2430d44d101.pdf</x:v>
      </x:c>
      <x:c r="M66" s="83" t="n">
        <x:v>66</x:v>
      </x:c>
      <x:c r="N66" s="83" t="n">
        <x:v>64</x:v>
      </x:c>
      <x:c r="O66" s="83" t="str">
        <x:v>Tabella 18</x:v>
      </x:c>
      <x:c r="P66" s="83" t="str">
        <x:v>Direct table extraction; rounded values</x:v>
      </x:c>
      <x:c r="Q66" s="83" t="str">
        <x:v>A - Direct</x:v>
      </x:c>
      <x:c r="R66" s="83" t="str">
        <x:v>Tabella 18 riporta valori interi; differenze minime rispetto alla sottrazione dei valori decimali della Tabella 6.</x:v>
      </x:c>
    </x:row>
    <x:row r="67">
      <x:c r="A67" s="83" t="str">
        <x:v>DEM-0090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Fabbisogno elettrico puro</x:v>
      </x:c>
      <x:c r="F67" s="143" t="n">
        <x:v>385</x:v>
      </x:c>
      <x:c r="G67" s="83" t="str">
        <x:v>TWh</x:v>
      </x:c>
      <x:c r="H67" s="83" t="str">
        <x:v>Italia</x:v>
      </x:c>
      <x:c r="I67" s="83" t="str">
        <x:v>Fabbisogno totale al netto dei consumi elettrici per produzione H2</x:v>
      </x:c>
      <x:c r="J67" s="83" t="str">
        <x:v>Assunzione di scenario</x:v>
      </x:c>
      <x:c r="K67" s="83" t="str">
        <x:v>S09</x:v>
      </x:c>
      <x:c r="L67" s="83" t="str">
        <x:v>Documento_Descrizione_Scenari_2024_8dce2430d44d101.pdf</x:v>
      </x:c>
      <x:c r="M67" s="83" t="n">
        <x:v>66</x:v>
      </x:c>
      <x:c r="N67" s="83" t="n">
        <x:v>64</x:v>
      </x:c>
      <x:c r="O67" s="83" t="str">
        <x:v>Tabella 18</x:v>
      </x:c>
      <x:c r="P67" s="83" t="str">
        <x:v>Direct table extraction; rounded values</x:v>
      </x:c>
      <x:c r="Q67" s="83" t="str">
        <x:v>A - Direct</x:v>
      </x:c>
      <x:c r="R67" s="83" t="str">
        <x:v>Tabella 18 riporta valori interi; differenze minime rispetto alla sottrazione dei valori decimali della Tabella 6.</x:v>
      </x:c>
    </x:row>
    <x:row r="68">
      <x:c r="A68" s="83" t="str">
        <x:v>DEM-0091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Fabbisogno elettrico</x:v>
      </x:c>
      <x:c r="F68" s="143" t="n">
        <x:v>583.1</x:v>
      </x:c>
      <x:c r="G68" s="83" t="str">
        <x:v>TWh</x:v>
      </x:c>
      <x:c r="H68" s="83" t="str">
        <x:v>Italia</x:v>
      </x:c>
      <x:c r="I68" s="83" t="str">
        <x:v>PNIEC 2050 exploratory scenario</x:v>
      </x:c>
      <x:c r="J68" s="83" t="str">
        <x:v>Risultato di modello della fonte</x:v>
      </x:c>
      <x:c r="K68" s="83" t="str">
        <x:v>S07 (riproduce S08)</x:v>
      </x:c>
      <x:c r="L68" s="83" t="str">
        <x:v>Terna Prospettive Sviluppo Sistema Energetico 2050.pdf</x:v>
      </x:c>
      <x:c r="M68" s="83" t="n">
        <x:v>52</x:v>
      </x:c>
      <x:c r="N68" s="83" t="n">
        <x:v>50</x:v>
      </x:c>
      <x:c r="O68" s="83" t="str">
        <x:v>Tabella 3</x:v>
      </x:c>
      <x:c r="P68" s="83" t="str">
        <x:v>Direct table extraction; cross-check with PNIEC Figures 7-8</x:v>
      </x:c>
      <x:c r="Q68" s="83" t="str">
        <x:v>A - Direct</x:v>
      </x:c>
      <x:c r="R68" s="83" t="str">
        <x:v>Scenario esplorativo TIMES_RSE; non è lo scenario tecnico Terna 2050.</x:v>
      </x:c>
    </x:row>
    <x:row r="69">
      <x:c r="A69" s="83" t="str">
        <x:v>DEM-0092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Consumi finali</x:v>
      </x:c>
      <x:c r="F69" s="143" t="n">
        <x:v>478</x:v>
      </x:c>
      <x:c r="G69" s="83" t="str">
        <x:v>TWh</x:v>
      </x:c>
      <x:c r="H69" s="83" t="str">
        <x:v>Italia</x:v>
      </x:c>
      <x:c r="I69" s="83" t="str">
        <x:v>PNIEC 2050 exploratory scenario</x:v>
      </x:c>
      <x:c r="J69" s="83" t="str">
        <x:v>Risultato di modello della fonte</x:v>
      </x:c>
      <x:c r="K69" s="83" t="str">
        <x:v>S07 (riproduce S08)</x:v>
      </x:c>
      <x:c r="L69" s="83" t="str">
        <x:v>Terna Prospettive Sviluppo Sistema Energetico 2050.pdf</x:v>
      </x:c>
      <x:c r="M69" s="83" t="n">
        <x:v>52</x:v>
      </x:c>
      <x:c r="N69" s="83" t="n">
        <x:v>50</x:v>
      </x:c>
      <x:c r="O69" s="83" t="str">
        <x:v>Tabella 3</x:v>
      </x:c>
      <x:c r="P69" s="83" t="str">
        <x:v>Direct table extraction; cross-check with PNIEC Figures 7-8</x:v>
      </x:c>
      <x:c r="Q69" s="83" t="str">
        <x:v>A - Direct</x:v>
      </x:c>
      <x:c r="R69" s="83" t="str">
        <x:v>Scenario esplorativo TIMES_RSE; non è lo scenario tecnico Terna 2050.</x:v>
      </x:c>
    </x:row>
    <x:row r="70">
      <x:c r="A70" s="83" t="str">
        <x:v>DEM-0093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Power to X</x:v>
      </x:c>
      <x:c r="F70" s="143" t="n">
        <x:v>81.5</x:v>
      </x:c>
      <x:c r="G70" s="83" t="str">
        <x:v>TWh</x:v>
      </x:c>
      <x:c r="H70" s="83" t="str">
        <x:v>Italia</x:v>
      </x:c>
      <x:c r="I70" s="83" t="str">
        <x:v>PNIEC 2050 exploratory scenario</x:v>
      </x:c>
      <x:c r="J70" s="83" t="str">
        <x:v>Risultato di modello della fonte</x:v>
      </x:c>
      <x:c r="K70" s="83" t="str">
        <x:v>S07 (riproduce S08)</x:v>
      </x:c>
      <x:c r="L70" s="83" t="str">
        <x:v>Terna Prospettive Sviluppo Sistema Energetico 2050.pdf</x:v>
      </x:c>
      <x:c r="M70" s="83" t="n">
        <x:v>52</x:v>
      </x:c>
      <x:c r="N70" s="83" t="n">
        <x:v>50</x:v>
      </x:c>
      <x:c r="O70" s="83" t="str">
        <x:v>Tabella 3</x:v>
      </x:c>
      <x:c r="P70" s="83" t="str">
        <x:v>Direct table extraction; cross-check with PNIEC Figures 7-8</x:v>
      </x:c>
      <x:c r="Q70" s="83" t="str">
        <x:v>A - Direct</x:v>
      </x:c>
      <x:c r="R70" s="83" t="str">
        <x:v>Scenario esplorativo TIMES_RSE; non è lo scenario tecnico Terna 2050.</x:v>
      </x:c>
    </x:row>
    <x:row r="71">
      <x:c r="A71" s="83" t="str">
        <x:v>DEM-0094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Perdite</x:v>
      </x:c>
      <x:c r="F71" s="143" t="n">
        <x:v>23.6</x:v>
      </x:c>
      <x:c r="G71" s="83" t="str">
        <x:v>TWh</x:v>
      </x:c>
      <x:c r="H71" s="83" t="str">
        <x:v>Italia</x:v>
      </x:c>
      <x:c r="I71" s="83" t="str">
        <x:v>PNIEC 2050 exploratory scenario</x:v>
      </x:c>
      <x:c r="J71" s="83" t="str">
        <x:v>Risultato di modello della fonte</x:v>
      </x:c>
      <x:c r="K71" s="83" t="str">
        <x:v>S07 (riproduce S08)</x:v>
      </x:c>
      <x:c r="L71" s="83" t="str">
        <x:v>Terna Prospettive Sviluppo Sistema Energetico 2050.pdf</x:v>
      </x:c>
      <x:c r="M71" s="83" t="n">
        <x:v>52</x:v>
      </x:c>
      <x:c r="N71" s="83" t="n">
        <x:v>50</x:v>
      </x:c>
      <x:c r="O71" s="83" t="str">
        <x:v>Tabella 3</x:v>
      </x:c>
      <x:c r="P71" s="83" t="str">
        <x:v>Direct table extraction; cross-check with PNIEC Figures 7-8</x:v>
      </x:c>
      <x:c r="Q71" s="83" t="str">
        <x:v>A - Direct</x:v>
      </x:c>
      <x:c r="R71" s="83" t="str">
        <x:v>Scenario esplorativo TIMES_RSE; non è lo scenario tecnico Terna 2050.</x:v>
      </x:c>
    </x:row>
    <x:row r="72">
      <x:c r="A72" s="83" t="str">
        <x:v>DEM-0095</x:v>
      </x:c>
      <x:c r="B72" s="83" t="str">
        <x:v>PNIEC_2050_NO_NUCLEAR</x:v>
      </x:c>
      <x:c r="C72" s="83" t="n">
        <x:v>2050</x:v>
      </x:c>
      <x:c r="D72" s="83" t="str">
        <x:v>PNIEC 2050 senza nucleare</x:v>
      </x:c>
      <x:c r="E72" s="83" t="str">
        <x:v>Fabbisogno elettrico</x:v>
      </x:c>
      <x:c r="F72" s="143" t="n">
        <x:v>551.7</x:v>
      </x:c>
      <x:c r="G72" s="83" t="str">
        <x:v>TWh</x:v>
      </x:c>
      <x:c r="H72" s="83" t="str">
        <x:v>Italia</x:v>
      </x:c>
      <x:c r="I72" s="83" t="str">
        <x:v>PNIEC 2050 exploratory scenario</x:v>
      </x:c>
      <x:c r="J72" s="83" t="str">
        <x:v>Risultato di modello della fonte</x:v>
      </x:c>
      <x:c r="K72" s="83" t="str">
        <x:v>S07 (riproduce S08)</x:v>
      </x:c>
      <x:c r="L72" s="83" t="str">
        <x:v>Terna Prospettive Sviluppo Sistema Energetico 2050.pdf</x:v>
      </x:c>
      <x:c r="M72" s="83" t="n">
        <x:v>52</x:v>
      </x:c>
      <x:c r="N72" s="83" t="n">
        <x:v>50</x:v>
      </x:c>
      <x:c r="O72" s="83" t="str">
        <x:v>Tabella 3</x:v>
      </x:c>
      <x:c r="P72" s="83" t="str">
        <x:v>Direct table extraction; cross-check with PNIEC Figures 7-8</x:v>
      </x:c>
      <x:c r="Q72" s="83" t="str">
        <x:v>A - Direct</x:v>
      </x:c>
      <x:c r="R72" s="83" t="str">
        <x:v>Scenario esplorativo TIMES_RSE; non è lo scenario tecnico Terna 2050.</x:v>
      </x:c>
    </x:row>
    <x:row r="73">
      <x:c r="A73" s="83" t="str">
        <x:v>DEM-0096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Consumi finali</x:v>
      </x:c>
      <x:c r="F73" s="143" t="n">
        <x:v>453.4</x:v>
      </x:c>
      <x:c r="G73" s="83" t="str">
        <x:v>TWh</x:v>
      </x:c>
      <x:c r="H73" s="83" t="str">
        <x:v>Italia</x:v>
      </x:c>
      <x:c r="I73" s="83" t="str">
        <x:v>PNIEC 2050 exploratory scenario</x:v>
      </x:c>
      <x:c r="J73" s="83" t="str">
        <x:v>Risultato di modello della fonte</x:v>
      </x:c>
      <x:c r="K73" s="83" t="str">
        <x:v>S07 (riproduce S08)</x:v>
      </x:c>
      <x:c r="L73" s="83" t="str">
        <x:v>Terna Prospettive Sviluppo Sistema Energetico 2050.pdf</x:v>
      </x:c>
      <x:c r="M73" s="83" t="n">
        <x:v>52</x:v>
      </x:c>
      <x:c r="N73" s="83" t="n">
        <x:v>50</x:v>
      </x:c>
      <x:c r="O73" s="83" t="str">
        <x:v>Tabella 3</x:v>
      </x:c>
      <x:c r="P73" s="83" t="str">
        <x:v>Direct table extraction; cross-check with PNIEC Figures 7-8</x:v>
      </x:c>
      <x:c r="Q73" s="83" t="str">
        <x:v>A - Direct</x:v>
      </x:c>
      <x:c r="R73" s="83" t="str">
        <x:v>Scenario esplorativo TIMES_RSE; non è lo scenario tecnico Terna 2050.</x:v>
      </x:c>
    </x:row>
    <x:row r="74">
      <x:c r="A74" s="83" t="str">
        <x:v>DEM-0097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Power to X</x:v>
      </x:c>
      <x:c r="F74" s="143" t="n">
        <x:v>75.8</x:v>
      </x:c>
      <x:c r="G74" s="83" t="str">
        <x:v>TWh</x:v>
      </x:c>
      <x:c r="H74" s="83" t="str">
        <x:v>Italia</x:v>
      </x:c>
      <x:c r="I74" s="83" t="str">
        <x:v>PNIEC 2050 exploratory scenario</x:v>
      </x:c>
      <x:c r="J74" s="83" t="str">
        <x:v>Risultato di modello della fonte</x:v>
      </x:c>
      <x:c r="K74" s="83" t="str">
        <x:v>S07 (riproduce S08)</x:v>
      </x:c>
      <x:c r="L74" s="83" t="str">
        <x:v>Terna Prospettive Sviluppo Sistema Energetico 2050.pdf</x:v>
      </x:c>
      <x:c r="M74" s="83" t="n">
        <x:v>52</x:v>
      </x:c>
      <x:c r="N74" s="83" t="n">
        <x:v>50</x:v>
      </x:c>
      <x:c r="O74" s="83" t="str">
        <x:v>Tabella 3</x:v>
      </x:c>
      <x:c r="P74" s="83" t="str">
        <x:v>Direct table extraction; cross-check with PNIEC Figures 7-8</x:v>
      </x:c>
      <x:c r="Q74" s="83" t="str">
        <x:v>A - Direct</x:v>
      </x:c>
      <x:c r="R74" s="83" t="str">
        <x:v>Scenario esplorativo TIMES_RSE; non è lo scenario tecnico Terna 2050.</x:v>
      </x:c>
    </x:row>
    <x:row r="75">
      <x:c r="A75" s="83" t="str">
        <x:v>DEM-0098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Perdite</x:v>
      </x:c>
      <x:c r="F75" s="143" t="n">
        <x:v>22.5</x:v>
      </x:c>
      <x:c r="G75" s="83" t="str">
        <x:v>TWh</x:v>
      </x:c>
      <x:c r="H75" s="83" t="str">
        <x:v>Italia</x:v>
      </x:c>
      <x:c r="I75" s="83" t="str">
        <x:v>PNIEC 2050 exploratory scenario</x:v>
      </x:c>
      <x:c r="J75" s="83" t="str">
        <x:v>Risultato di modello della fonte</x:v>
      </x:c>
      <x:c r="K75" s="83" t="str">
        <x:v>S07 (riproduce S08)</x:v>
      </x:c>
      <x:c r="L75" s="83" t="str">
        <x:v>Terna Prospettive Sviluppo Sistema Energetico 2050.pdf</x:v>
      </x:c>
      <x:c r="M75" s="83" t="n">
        <x:v>52</x:v>
      </x:c>
      <x:c r="N75" s="83" t="n">
        <x:v>50</x:v>
      </x:c>
      <x:c r="O75" s="83" t="str">
        <x:v>Tabella 3</x:v>
      </x:c>
      <x:c r="P75" s="83" t="str">
        <x:v>Direct table extraction; cross-check with PNIEC Figures 7-8</x:v>
      </x:c>
      <x:c r="Q75" s="83" t="str">
        <x:v>A - Direct</x:v>
      </x:c>
      <x:c r="R75" s="83" t="str">
        <x:v>Scenario esplorativo TIMES_RSE; non è lo scenario tecnico Terna 2050.</x:v>
      </x:c>
    </x:row>
    <x:row r="76">
      <x:c r="A76" s="83" t="str">
        <x:v>DEM-0099</x:v>
      </x:c>
      <x:c r="B76" s="83" t="str">
        <x:v>TERNA_2050_NUCLEAR</x:v>
      </x:c>
      <x:c r="C76" s="83" t="n">
        <x:v>2050</x:v>
      </x:c>
      <x:c r="D76" s="83" t="str">
        <x:v>Terna 2050 con nucleare</x:v>
      </x:c>
      <x:c r="E76" s="83" t="str">
        <x:v>Fabbisogno elettrico</x:v>
      </x:c>
      <x:c r="F76" s="143" t="n">
        <x:v>583</x:v>
      </x:c>
      <x:c r="G76" s="83" t="str">
        <x:v>TWh</x:v>
      </x:c>
      <x:c r="H76" s="83" t="str">
        <x:v>Italia</x:v>
      </x:c>
      <x:c r="I76" s="83" t="str">
        <x:v>Scenario tecnico Terna 2050</x:v>
      </x:c>
      <x:c r="J76" s="83" t="str">
        <x:v>Assunzione di scenario</x:v>
      </x:c>
      <x:c r="K76" s="83" t="str">
        <x:v>S07</x:v>
      </x:c>
      <x:c r="L76" s="83" t="str">
        <x:v>Terna Prospettive Sviluppo Sistema Energetico 2050.pdf</x:v>
      </x:c>
      <x:c r="M76" s="83" t="n">
        <x:v>59</x:v>
      </x:c>
      <x:c r="N76" s="83" t="n">
        <x:v>57</x:v>
      </x:c>
      <x:c r="O76" s="83" t="str">
        <x:v>Tabella 5</x:v>
      </x:c>
      <x:c r="P76" s="83" t="str">
        <x:v>Direct table extraction</x:v>
      </x:c>
      <x:c r="Q76" s="83" t="str">
        <x:v>A - Direct</x:v>
      </x:c>
      <x:c r="R76" s="83" t="str">
        <x:v>Entrambi gli scenari Terna usano il fabbisogno PNIEC con nucleare, circa 583 TWh.</x:v>
      </x:c>
    </x:row>
    <x:row r="77">
      <x:c r="A77" s="83" t="str">
        <x:v>DEM-0100</x:v>
      </x:c>
      <x:c r="B77" s="83" t="str">
        <x:v>TERNA_2050_NO_NUCLEAR</x:v>
      </x:c>
      <x:c r="C77" s="83" t="n">
        <x:v>2050</x:v>
      </x:c>
      <x:c r="D77" s="83" t="str">
        <x:v>Terna 2050 senza nucleare</x:v>
      </x:c>
      <x:c r="E77" s="83" t="str">
        <x:v>Fabbisogno elettrico</x:v>
      </x:c>
      <x:c r="F77" s="143" t="n">
        <x:v>583</x:v>
      </x:c>
      <x:c r="G77" s="83" t="str">
        <x:v>TWh</x:v>
      </x:c>
      <x:c r="H77" s="83" t="str">
        <x:v>Italia</x:v>
      </x:c>
      <x:c r="I77" s="83" t="str">
        <x:v>Scenario tecnico Terna 2050</x:v>
      </x:c>
      <x:c r="J77" s="83" t="str">
        <x:v>Assunzione di scenario</x:v>
      </x:c>
      <x:c r="K77" s="83" t="str">
        <x:v>S07</x:v>
      </x:c>
      <x:c r="L77" s="83" t="str">
        <x:v>Terna Prospettive Sviluppo Sistema Energetico 2050.pdf</x:v>
      </x:c>
      <x:c r="M77" s="83" t="n">
        <x:v>59</x:v>
      </x:c>
      <x:c r="N77" s="83" t="n">
        <x:v>57</x:v>
      </x:c>
      <x:c r="O77" s="83" t="str">
        <x:v>Tabella 5</x:v>
      </x:c>
      <x:c r="P77" s="83" t="str">
        <x:v>Direct table extraction</x:v>
      </x:c>
      <x:c r="Q77" s="83" t="str">
        <x:v>A - Direct</x:v>
      </x:c>
      <x:c r="R77" s="83" t="str">
        <x:v>Entrambi gli scenari Terna usano il fabbisogno PNIEC con nucleare, circa 583 TWh.</x:v>
      </x:c>
    </x:row>
  </x:sheetData>
  <x:mergeCells>
    <x:mergeCell ref="A1:R1"/>
    <x:mergeCell ref="A2:R2"/>
  </x:mergeCells>
  <x:conditionalFormatting sqref="Q5:Q77">
    <x:cfRule type="expression" dxfId="25" priority="1">
      <x:formula>LEFT(Q5,1)="A"</x:formula>
    </x:cfRule>
    <x:cfRule type="expression" dxfId="26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98db6196f24c1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dettaglio settoriale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42 righe; industria, civile e trasporti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DEM-0010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Industria</x:v>
      </x:c>
      <x:c r="F5" s="143" t="n">
        <x:v>107.1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DEM-0011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Industria</x:v>
      </x:c>
      <x:c r="F6" s="143" t="n">
        <x:v>115.1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DEM-0012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Industria</x:v>
      </x:c>
      <x:c r="F7" s="143" t="n">
        <x:v>112.2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DEM-0013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Industria</x:v>
      </x:c>
      <x:c r="F8" s="143" t="n">
        <x:v>117.6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DEM-0014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Industria</x:v>
      </x:c>
      <x:c r="F9" s="143" t="n">
        <x:v>114.5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DEM-0015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Industria</x:v>
      </x:c>
      <x:c r="F10" s="143" t="n">
        <x:v>115.8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DEM-0016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Industria</x:v>
      </x:c>
      <x:c r="F11" s="143" t="n">
        <x:v>120.9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DEM-0017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Industria</x:v>
      </x:c>
      <x:c r="F12" s="143" t="n">
        <x:v>113.6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DEM-0018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Industria</x:v>
      </x:c>
      <x:c r="F13" s="143" t="n">
        <x:v>119.5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DEM-0019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Civile</x:v>
      </x:c>
      <x:c r="F14" s="143" t="n">
        <x:v>162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DEM-0020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Civile</x:v>
      </x:c>
      <x:c r="F15" s="143" t="n">
        <x:v>172.8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DEM-0021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Civile</x:v>
      </x:c>
      <x:c r="F16" s="143" t="n">
        <x:v>172.3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DEM-0022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Civile</x:v>
      </x:c>
      <x:c r="F17" s="143" t="n">
        <x:v>181.3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DEM-0023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Civile</x:v>
      </x:c>
      <x:c r="F18" s="143" t="n">
        <x:v>178.1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DEM-0024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Civile</x:v>
      </x:c>
      <x:c r="F19" s="143" t="n">
        <x:v>178.5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DEM-0025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Civile</x:v>
      </x:c>
      <x:c r="F20" s="143" t="n">
        <x:v>191.8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DEM-0026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Civile</x:v>
      </x:c>
      <x:c r="F21" s="143" t="n">
        <x:v>185.7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DEM-0027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Civile</x:v>
      </x:c>
      <x:c r="F22" s="143" t="n">
        <x:v>184.7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DEM-0028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Trasporti</x:v>
      </x:c>
      <x:c r="F23" s="143" t="n">
        <x:v>9.5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DEM-0029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Trasporti</x:v>
      </x:c>
      <x:c r="F24" s="143" t="n">
        <x:v>32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DEM-0030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Trasporti</x:v>
      </x:c>
      <x:c r="F25" s="143" t="n">
        <x:v>24.8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DEM-0031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Trasporti</x:v>
      </x:c>
      <x:c r="F26" s="143" t="n">
        <x:v>46.5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DEM-0032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Trasporti</x:v>
      </x:c>
      <x:c r="F27" s="143" t="n">
        <x:v>41.4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DEM-0033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Trasporti</x:v>
      </x:c>
      <x:c r="F28" s="143" t="n">
        <x:v>36.4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DEM-0034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Trasporti</x:v>
      </x:c>
      <x:c r="F29" s="143" t="n">
        <x:v>65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DEM-0035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Trasporti</x:v>
      </x:c>
      <x:c r="F30" s="143" t="n">
        <x:v>55.7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DEM-0036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Trasporti</x:v>
      </x:c>
      <x:c r="F31" s="143" t="n">
        <x:v>47.9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DEM-0101</x:v>
      </x:c>
      <x:c r="B32" s="83" t="str">
        <x:v>HIST_2024</x:v>
      </x:c>
      <x:c r="C32" s="83" t="n">
        <x:v>2024</x:v>
      </x:c>
      <x:c r="D32" s="83" t="str">
        <x:v>Storico 2024</x:v>
      </x:c>
      <x:c r="E32" s="83" t="str">
        <x:v>Fabbisogno 2024</x:v>
      </x:c>
      <x:c r="F32" s="143" t="n">
        <x:v>312</x:v>
      </x:c>
      <x:c r="G32" s="83" t="str">
        <x:v>TWh</x:v>
      </x:c>
      <x:c r="H32" s="83" t="str">
        <x:v>Italia</x:v>
      </x:c>
      <x:c r="I32" s="83" t="str">
        <x:v>Drivers di evoluzione del fabbisogno</x:v>
      </x:c>
      <x:c r="J32" s="83" t="str">
        <x:v>Dato storico</x:v>
      </x:c>
      <x:c r="K32" s="83" t="str">
        <x:v>S07</x:v>
      </x:c>
      <x:c r="L32" s="83" t="str">
        <x:v>Terna Prospettive Sviluppo Sistema Energetico 2050.pdf</x:v>
      </x:c>
      <x:c r="M32" s="83" t="n">
        <x:v>53</x:v>
      </x:c>
      <x:c r="N32" s="83" t="n">
        <x:v>51</x:v>
      </x:c>
      <x:c r="O32" s="83" t="str">
        <x:v>Figura 45</x:v>
      </x:c>
      <x:c r="P32" s="83" t="str">
        <x:v>Direct labelled values from figure; visual/text verification</x:v>
      </x:c>
      <x:c r="Q32" s="83" t="str">
        <x:v>A - Direct labels</x:v>
      </x:c>
      <x:c r="R32" s="83" t="str">
        <x:v>Livello storico di partenza. Le estremità dei range settoriali non sono necessariamente simultanee.</x:v>
      </x:c>
    </x:row>
    <x:row r="33">
      <x:c r="A33" s="83" t="str">
        <x:v>DEM-0102</x:v>
      </x:c>
      <x:c r="B33" s="83" t="str">
        <x:v>TERNA_2050_RANGE</x:v>
      </x:c>
      <x:c r="C33" s="83" t="n">
        <x:v>2050</x:v>
      </x:c>
      <x:c r="D33" s="83" t="str">
        <x:v>Terna 2050 - analisi varianze</x:v>
      </x:c>
      <x:c r="E33" s="83" t="str">
        <x:v>Civile (include data center)</x:v>
      </x:c>
      <x:c r="F33" s="143"/>
      <x:c r="G33" s="83" t="str">
        <x:v>TWh</x:v>
      </x:c>
      <x:c r="H33" s="83" t="str">
        <x:v>Italia</x:v>
      </x:c>
      <x:c r="I33" s="83" t="str">
        <x:v>Drivers di evoluzione del fabbisogno</x:v>
      </x:c>
      <x:c r="J33" s="83" t="str">
        <x:v>Range di scenario</x:v>
      </x:c>
      <x:c r="K33" s="83" t="str">
        <x:v>S07</x:v>
      </x:c>
      <x:c r="L33" s="83" t="str">
        <x:v>Terna Prospettive Sviluppo Sistema Energetico 2050.pdf</x:v>
      </x:c>
      <x:c r="M33" s="83" t="n">
        <x:v>53</x:v>
      </x:c>
      <x:c r="N33" s="83" t="n">
        <x:v>51</x:v>
      </x:c>
      <x:c r="O33" s="83" t="str">
        <x:v>Figura 45</x:v>
      </x:c>
      <x:c r="P33" s="83" t="str">
        <x:v>Direct labelled values from figure; visual/text verification</x:v>
      </x:c>
      <x:c r="Q33" s="83" t="str">
        <x:v>A - Direct labels</x:v>
      </x:c>
      <x:c r="R33" s="83" t="str">
        <x:v>Incremento rispetto al 2024; include quota perdite allocata. Le estremità dei range settoriali non sono necessariamente simultanee.</x:v>
      </x:c>
    </x:row>
    <x:row r="34">
      <x:c r="A34" s="83" t="str">
        <x:v>DEM-0103</x:v>
      </x:c>
      <x:c r="B34" s="83" t="str">
        <x:v>TERNA_2050_RANGE</x:v>
      </x:c>
      <x:c r="C34" s="83" t="n">
        <x:v>2050</x:v>
      </x:c>
      <x:c r="D34" s="83" t="str">
        <x:v>Terna 2050 - analisi varianze</x:v>
      </x:c>
      <x:c r="E34" s="83" t="str">
        <x:v>Trasporti</x:v>
      </x:c>
      <x:c r="F34" s="143"/>
      <x:c r="G34" s="83" t="str">
        <x:v>TWh</x:v>
      </x:c>
      <x:c r="H34" s="83" t="str">
        <x:v>Italia</x:v>
      </x:c>
      <x:c r="I34" s="83" t="str">
        <x:v>Drivers di evoluzione del fabbisogno</x:v>
      </x:c>
      <x:c r="J34" s="83" t="str">
        <x:v>Range di scenario</x:v>
      </x:c>
      <x:c r="K34" s="83" t="str">
        <x:v>S07</x:v>
      </x:c>
      <x:c r="L34" s="83" t="str">
        <x:v>Terna Prospettive Sviluppo Sistema Energetico 2050.pdf</x:v>
      </x:c>
      <x:c r="M34" s="83" t="n">
        <x:v>53</x:v>
      </x:c>
      <x:c r="N34" s="83" t="n">
        <x:v>51</x:v>
      </x:c>
      <x:c r="O34" s="83" t="str">
        <x:v>Figura 45</x:v>
      </x:c>
      <x:c r="P34" s="83" t="str">
        <x:v>Direct labelled values from figure; visual/text verification</x:v>
      </x:c>
      <x:c r="Q34" s="83" t="str">
        <x:v>A - Direct labels</x:v>
      </x:c>
      <x:c r="R34" s="83" t="str">
        <x:v>Incremento rispetto al 2024; include quota perdite allocata. Le estremità dei range settoriali non sono necessariamente simultanee.</x:v>
      </x:c>
    </x:row>
    <x:row r="35">
      <x:c r="A35" s="83" t="str">
        <x:v>DEM-0104</x:v>
      </x:c>
      <x:c r="B35" s="83" t="str">
        <x:v>TERNA_2050_RANGE</x:v>
      </x:c>
      <x:c r="C35" s="83" t="n">
        <x:v>2050</x:v>
      </x:c>
      <x:c r="D35" s="83" t="str">
        <x:v>Terna 2050 - analisi varianze</x:v>
      </x:c>
      <x:c r="E35" s="83" t="str">
        <x:v>Industria</x:v>
      </x:c>
      <x:c r="F35" s="143"/>
      <x:c r="G35" s="83" t="str">
        <x:v>TWh</x:v>
      </x:c>
      <x:c r="H35" s="83" t="str">
        <x:v>Italia</x:v>
      </x:c>
      <x:c r="I35" s="83" t="str">
        <x:v>Drivers di evoluzione del fabbisogno</x:v>
      </x:c>
      <x:c r="J35" s="83" t="str">
        <x:v>Range di scenario</x:v>
      </x:c>
      <x:c r="K35" s="83" t="str">
        <x:v>S07</x:v>
      </x:c>
      <x:c r="L35" s="83" t="str">
        <x:v>Terna Prospettive Sviluppo Sistema Energetico 2050.pdf</x:v>
      </x:c>
      <x:c r="M35" s="83" t="n">
        <x:v>53</x:v>
      </x:c>
      <x:c r="N35" s="83" t="n">
        <x:v>51</x:v>
      </x:c>
      <x:c r="O35" s="83" t="str">
        <x:v>Figura 45</x:v>
      </x:c>
      <x:c r="P35" s="83" t="str">
        <x:v>Direct labelled values from figure; visual/text verification</x:v>
      </x:c>
      <x:c r="Q35" s="83" t="str">
        <x:v>A - Direct labels</x:v>
      </x:c>
      <x:c r="R35" s="83" t="str">
        <x:v>Incremento rispetto al 2024; include quota perdite allocata. Le estremità dei range settoriali non sono necessariamente simultanee.</x:v>
      </x:c>
    </x:row>
    <x:row r="36">
      <x:c r="A36" s="83" t="str">
        <x:v>DEM-0105</x:v>
      </x:c>
      <x:c r="B36" s="83" t="str">
        <x:v>TERNA_2050_RANGE</x:v>
      </x:c>
      <x:c r="C36" s="83" t="n">
        <x:v>2050</x:v>
      </x:c>
      <x:c r="D36" s="83" t="str">
        <x:v>Terna 2050 - analisi varianze</x:v>
      </x:c>
      <x:c r="E36" s="83" t="str">
        <x:v>Produzione H2 e combustibili sintetici</x:v>
      </x:c>
      <x:c r="F36" s="143"/>
      <x:c r="G36" s="83" t="str">
        <x:v>TWh</x:v>
      </x:c>
      <x:c r="H36" s="83" t="str">
        <x:v>Italia</x:v>
      </x:c>
      <x:c r="I36" s="83" t="str">
        <x:v>Drivers di evoluzione del fabbisogno</x:v>
      </x:c>
      <x:c r="J36" s="83" t="str">
        <x:v>Range di scenario</x:v>
      </x:c>
      <x:c r="K36" s="83" t="str">
        <x:v>S07</x:v>
      </x:c>
      <x:c r="L36" s="83" t="str">
        <x:v>Terna Prospettive Sviluppo Sistema Energetico 2050.pdf</x:v>
      </x:c>
      <x:c r="M36" s="83" t="n">
        <x:v>53</x:v>
      </x:c>
      <x:c r="N36" s="83" t="n">
        <x:v>51</x:v>
      </x:c>
      <x:c r="O36" s="83" t="str">
        <x:v>Figura 45</x:v>
      </x:c>
      <x:c r="P36" s="83" t="str">
        <x:v>Direct labelled values from figure; visual/text verification</x:v>
      </x:c>
      <x:c r="Q36" s="83" t="str">
        <x:v>A - Direct labels</x:v>
      </x:c>
      <x:c r="R36" s="83" t="str">
        <x:v>Incremento rispetto al 2024. Le estremità dei range settoriali non sono necessariamente simultanee.</x:v>
      </x:c>
    </x:row>
    <x:row r="37">
      <x:c r="A37" s="83" t="str">
        <x:v>DEM-0106</x:v>
      </x:c>
      <x:c r="B37" s="83" t="str">
        <x:v>TERNA_2050_RANGE</x:v>
      </x:c>
      <x:c r="C37" s="83" t="n">
        <x:v>2050</x:v>
      </x:c>
      <x:c r="D37" s="83" t="str">
        <x:v>Terna 2050 - analisi varianze</x:v>
      </x:c>
      <x:c r="E37" s="83" t="str">
        <x:v>Fabbisogno 2050</x:v>
      </x:c>
      <x:c r="F37" s="143" t="n">
        <x:v>583</x:v>
      </x:c>
      <x:c r="G37" s="83" t="str">
        <x:v>TWh</x:v>
      </x:c>
      <x:c r="H37" s="83" t="str">
        <x:v>Italia</x:v>
      </x:c>
      <x:c r="I37" s="83" t="str">
        <x:v>Drivers di evoluzione del fabbisogno</x:v>
      </x:c>
      <x:c r="J37" s="83" t="str">
        <x:v>Range di scenario</x:v>
      </x:c>
      <x:c r="K37" s="83" t="str">
        <x:v>S07</x:v>
      </x:c>
      <x:c r="L37" s="83" t="str">
        <x:v>Terna Prospettive Sviluppo Sistema Energetico 2050.pdf</x:v>
      </x:c>
      <x:c r="M37" s="83" t="n">
        <x:v>53</x:v>
      </x:c>
      <x:c r="N37" s="83" t="n">
        <x:v>51</x:v>
      </x:c>
      <x:c r="O37" s="83" t="str">
        <x:v>Figura 45</x:v>
      </x:c>
      <x:c r="P37" s="83" t="str">
        <x:v>Direct labelled values from figure; visual/text verification</x:v>
      </x:c>
      <x:c r="Q37" s="83" t="str">
        <x:v>A - Direct labels</x:v>
      </x:c>
      <x:c r="R37" s="83" t="str">
        <x:v>Range complessivo; 583 TWh scenario medio. Le estremità dei range settoriali non sono necessariamente simultanee.</x:v>
      </x:c>
    </x:row>
    <x:row r="38">
      <x:c r="A38" s="83" t="str">
        <x:v>DEM-0107</x:v>
      </x:c>
      <x:c r="B38" s="83" t="str">
        <x:v>HIST_2023</x:v>
      </x:c>
      <x:c r="C38" s="83" t="n">
        <x:v>2023</x:v>
      </x:c>
      <x:c r="D38" s="83" t="str">
        <x:v>Storico 2023</x:v>
      </x:c>
      <x:c r="E38" s="83" t="str">
        <x:v>Capacità installata elettrolizzatori</x:v>
      </x:c>
      <x:c r="F38" s="143" t="n">
        <x:v>0</x:v>
      </x:c>
      <x:c r="G38" s="83" t="str">
        <x:v>GW_el</x:v>
      </x:c>
      <x:c r="H38" s="83" t="str">
        <x:v>Italia</x:v>
      </x:c>
      <x:c r="I38" s="83" t="str">
        <x:v>Carico elettrico flessibile per produzione H2</x:v>
      </x:c>
      <x:c r="J38" s="83" t="str">
        <x:v>Dato osservato storico</x:v>
      </x:c>
      <x:c r="K38" s="83" t="str">
        <x:v>S09</x:v>
      </x:c>
      <x:c r="L38" s="83" t="str">
        <x:v>Documento_Descrizione_Scenari_2024_8dce2430d44d101.pdf</x:v>
      </x:c>
      <x:c r="M38" s="83" t="n">
        <x:v>64</x:v>
      </x:c>
      <x:c r="N38" s="83" t="n">
        <x:v>62</x:v>
      </x:c>
      <x:c r="O38" s="83" t="str">
        <x:v>Figura 29</x:v>
      </x:c>
      <x:c r="P38" s="83" t="str">
        <x:v>Direct labelled values from figure</x:v>
      </x:c>
      <x:c r="Q38" s="83" t="str">
        <x:v>A - Direct labels</x:v>
      </x:c>
      <x:c r="R38" s="83" t="str">
        <x:v>Gli elettrolizzatori sono modellizzati come carichi che si attivano a prezzi bassi/overgeneration.</x:v>
      </x:c>
    </x:row>
    <x:row r="39">
      <x:c r="A39" s="83" t="str">
        <x:v>DEM-0108</x:v>
      </x:c>
      <x:c r="B39" s="83" t="str">
        <x:v>PNIEC_POLICY_2030</x:v>
      </x:c>
      <x:c r="C39" s="83" t="n">
        <x:v>2030</x:v>
      </x:c>
      <x:c r="D39" s="83" t="str">
        <x:v>PNIEC Policy 2030</x:v>
      </x:c>
      <x:c r="E39" s="83" t="str">
        <x:v>Capacità installata elettrolizzatori</x:v>
      </x:c>
      <x:c r="F39" s="143" t="n">
        <x:v>3</x:v>
      </x:c>
      <x:c r="G39" s="83" t="str">
        <x:v>GW_el</x:v>
      </x:c>
      <x:c r="H39" s="83" t="str">
        <x:v>Italia</x:v>
      </x:c>
      <x:c r="I39" s="83" t="str">
        <x:v>Carico elettrico flessibile per produzione H2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64</x:v>
      </x:c>
      <x:c r="N39" s="83" t="n">
        <x:v>62</x:v>
      </x:c>
      <x:c r="O39" s="83" t="str">
        <x:v>Figura 29</x:v>
      </x:c>
      <x:c r="P39" s="83" t="str">
        <x:v>Direct labelled values from figure</x:v>
      </x:c>
      <x:c r="Q39" s="83" t="str">
        <x:v>A - Direct labels</x:v>
      </x:c>
      <x:c r="R39" s="83" t="str">
        <x:v>Gli elettrolizzatori sono modellizzati come carichi che si attivano a prezzi bassi/overgeneration.</x:v>
      </x:c>
    </x:row>
    <x:row r="40">
      <x:c r="A40" s="83" t="str">
        <x:v>DEM-0109</x:v>
      </x:c>
      <x:c r="B40" s="83" t="str">
        <x:v>PNIEC_SLOW_2030</x:v>
      </x:c>
      <x:c r="C40" s="83" t="n">
        <x:v>2030</x:v>
      </x:c>
      <x:c r="D40" s="83" t="str">
        <x:v>PNIEC Slow 2030</x:v>
      </x:c>
      <x:c r="E40" s="83" t="str">
        <x:v>Capacità installata elettrolizzatori</x:v>
      </x:c>
      <x:c r="F40" s="143" t="n">
        <x:v>1.8</x:v>
      </x:c>
      <x:c r="G40" s="83" t="str">
        <x:v>GW_el</x:v>
      </x:c>
      <x:c r="H40" s="83" t="str">
        <x:v>Italia</x:v>
      </x:c>
      <x:c r="I40" s="83" t="str">
        <x:v>Carico elettrico flessibile per produzione H2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64</x:v>
      </x:c>
      <x:c r="N40" s="83" t="n">
        <x:v>62</x:v>
      </x:c>
      <x:c r="O40" s="83" t="str">
        <x:v>Figura 29</x:v>
      </x:c>
      <x:c r="P40" s="83" t="str">
        <x:v>Direct labelled values from figure</x:v>
      </x:c>
      <x:c r="Q40" s="83" t="str">
        <x:v>A - Direct labels</x:v>
      </x:c>
      <x:c r="R40" s="83" t="str">
        <x:v>Gli elettrolizzatori sono modellizzati come carichi che si attivano a prezzi bassi/overgeneration.</x:v>
      </x:c>
    </x:row>
    <x:row r="41">
      <x:c r="A41" s="83" t="str">
        <x:v>DEM-0110</x:v>
      </x:c>
      <x:c r="B41" s="83" t="str">
        <x:v>DE_IT_2035</x:v>
      </x:c>
      <x:c r="C41" s="83" t="n">
        <x:v>2035</x:v>
      </x:c>
      <x:c r="D41" s="83" t="str">
        <x:v>DE-IT 2035</x:v>
      </x:c>
      <x:c r="E41" s="83" t="str">
        <x:v>Capacità installata elettrolizzatori</x:v>
      </x:c>
      <x:c r="F41" s="143" t="n">
        <x:v>5.2</x:v>
      </x:c>
      <x:c r="G41" s="83" t="str">
        <x:v>GW_el</x:v>
      </x:c>
      <x:c r="H41" s="83" t="str">
        <x:v>Italia</x:v>
      </x:c>
      <x:c r="I41" s="83" t="str">
        <x:v>Carico elettrico flessibile per produzione H2</x:v>
      </x:c>
      <x:c r="J41" s="83" t="str">
        <x:v>Assunzione di scenario</x:v>
      </x:c>
      <x:c r="K41" s="83" t="str">
        <x:v>S09</x:v>
      </x:c>
      <x:c r="L41" s="83" t="str">
        <x:v>Documento_Descrizione_Scenari_2024_8dce2430d44d101.pdf</x:v>
      </x:c>
      <x:c r="M41" s="83" t="n">
        <x:v>64</x:v>
      </x:c>
      <x:c r="N41" s="83" t="n">
        <x:v>62</x:v>
      </x:c>
      <x:c r="O41" s="83" t="str">
        <x:v>Figura 29</x:v>
      </x:c>
      <x:c r="P41" s="83" t="str">
        <x:v>Direct labelled values from figure</x:v>
      </x:c>
      <x:c r="Q41" s="83" t="str">
        <x:v>A - Direct labels</x:v>
      </x:c>
      <x:c r="R41" s="83" t="str">
        <x:v>Gli elettrolizzatori sono modellizzati come carichi che si attivano a prezzi bassi/overgeneration.</x:v>
      </x:c>
    </x:row>
    <x:row r="42">
      <x:c r="A42" s="83" t="str">
        <x:v>DEM-0111</x:v>
      </x:c>
      <x:c r="B42" s="83" t="str">
        <x:v>GA_IT_2035</x:v>
      </x:c>
      <x:c r="C42" s="83" t="n">
        <x:v>2035</x:v>
      </x:c>
      <x:c r="D42" s="83" t="str">
        <x:v>GA-IT 2035</x:v>
      </x:c>
      <x:c r="E42" s="83" t="str">
        <x:v>Capacità installata elettrolizzatori</x:v>
      </x:c>
      <x:c r="F42" s="143" t="n">
        <x:v>5.2</x:v>
      </x:c>
      <x:c r="G42" s="83" t="str">
        <x:v>GW_el</x:v>
      </x:c>
      <x:c r="H42" s="83" t="str">
        <x:v>Italia</x:v>
      </x:c>
      <x:c r="I42" s="83" t="str">
        <x:v>Carico elettrico flessibile per produzione H2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64</x:v>
      </x:c>
      <x:c r="N42" s="83" t="n">
        <x:v>62</x:v>
      </x:c>
      <x:c r="O42" s="83" t="str">
        <x:v>Figura 29</x:v>
      </x:c>
      <x:c r="P42" s="83" t="str">
        <x:v>Direct labelled values from figure</x:v>
      </x:c>
      <x:c r="Q42" s="83" t="str">
        <x:v>A - Direct labels</x:v>
      </x:c>
      <x:c r="R42" s="83" t="str">
        <x:v>Gli elettrolizzatori sono modellizzati come carichi che si attivano a prezzi bassi/overgeneration.</x:v>
      </x:c>
    </x:row>
    <x:row r="43">
      <x:c r="A43" s="83" t="str">
        <x:v>DEM-0112</x:v>
      </x:c>
      <x:c r="B43" s="83" t="str">
        <x:v>PNIEC_SLOW_2035</x:v>
      </x:c>
      <x:c r="C43" s="83" t="n">
        <x:v>2035</x:v>
      </x:c>
      <x:c r="D43" s="83" t="str">
        <x:v>PNIEC Slow 2035</x:v>
      </x:c>
      <x:c r="E43" s="83" t="str">
        <x:v>Capacità installata elettrolizzatori</x:v>
      </x:c>
      <x:c r="F43" s="143" t="n">
        <x:v>3.5</x:v>
      </x:c>
      <x:c r="G43" s="83" t="str">
        <x:v>GW_el</x:v>
      </x:c>
      <x:c r="H43" s="83" t="str">
        <x:v>Italia</x:v>
      </x:c>
      <x:c r="I43" s="83" t="str">
        <x:v>Carico elettrico flessibile per produzione H2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64</x:v>
      </x:c>
      <x:c r="N43" s="83" t="n">
        <x:v>62</x:v>
      </x:c>
      <x:c r="O43" s="83" t="str">
        <x:v>Figura 29</x:v>
      </x:c>
      <x:c r="P43" s="83" t="str">
        <x:v>Direct labelled values from figure</x:v>
      </x:c>
      <x:c r="Q43" s="83" t="str">
        <x:v>A - Direct labels</x:v>
      </x:c>
      <x:c r="R43" s="83" t="str">
        <x:v>Gli elettrolizzatori sono modellizzati come carichi che si attivano a prezzi bassi/overgeneration.</x:v>
      </x:c>
    </x:row>
    <x:row r="44">
      <x:c r="A44" s="83" t="str">
        <x:v>DEM-0113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Capacità installata elettrolizzatori</x:v>
      </x:c>
      <x:c r="F44" s="143" t="n">
        <x:v>7.4</x:v>
      </x:c>
      <x:c r="G44" s="83" t="str">
        <x:v>GW_el</x:v>
      </x:c>
      <x:c r="H44" s="83" t="str">
        <x:v>Italia</x:v>
      </x:c>
      <x:c r="I44" s="83" t="str">
        <x:v>Carico elettrico flessibile per produzione H2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64</x:v>
      </x:c>
      <x:c r="N44" s="83" t="n">
        <x:v>62</x:v>
      </x:c>
      <x:c r="O44" s="83" t="str">
        <x:v>Figura 29</x:v>
      </x:c>
      <x:c r="P44" s="83" t="str">
        <x:v>Direct labelled values from figure</x:v>
      </x:c>
      <x:c r="Q44" s="83" t="str">
        <x:v>A - Direct labels</x:v>
      </x:c>
      <x:c r="R44" s="83" t="str">
        <x:v>Gli elettrolizzatori sono modellizzati come carichi che si attivano a prezzi bassi/overgeneration.</x:v>
      </x:c>
    </x:row>
    <x:row r="45">
      <x:c r="A45" s="83" t="str">
        <x:v>DEM-0114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Capacità installata elettrolizzatori</x:v>
      </x:c>
      <x:c r="F45" s="143" t="n">
        <x:v>7.4</x:v>
      </x:c>
      <x:c r="G45" s="83" t="str">
        <x:v>GW_el</x:v>
      </x:c>
      <x:c r="H45" s="83" t="str">
        <x:v>Italia</x:v>
      </x:c>
      <x:c r="I45" s="83" t="str">
        <x:v>Carico elettrico flessibile per produzione H2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64</x:v>
      </x:c>
      <x:c r="N45" s="83" t="n">
        <x:v>62</x:v>
      </x:c>
      <x:c r="O45" s="83" t="str">
        <x:v>Figura 29</x:v>
      </x:c>
      <x:c r="P45" s="83" t="str">
        <x:v>Direct labelled values from figure</x:v>
      </x:c>
      <x:c r="Q45" s="83" t="str">
        <x:v>A - Direct labels</x:v>
      </x:c>
      <x:c r="R45" s="83" t="str">
        <x:v>Gli elettrolizzatori sono modellizzati come carichi che si attivano a prezzi bassi/overgeneration.</x:v>
      </x:c>
    </x:row>
    <x:row r="46">
      <x:c r="A46" s="83" t="str">
        <x:v>DEM-0115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Capacità installata elettrolizzatori</x:v>
      </x:c>
      <x:c r="F46" s="143" t="n">
        <x:v>5.3</x:v>
      </x:c>
      <x:c r="G46" s="83" t="str">
        <x:v>GW_el</x:v>
      </x:c>
      <x:c r="H46" s="83" t="str">
        <x:v>Italia</x:v>
      </x:c>
      <x:c r="I46" s="83" t="str">
        <x:v>Carico elettrico flessibile per produzione H2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64</x:v>
      </x:c>
      <x:c r="N46" s="83" t="n">
        <x:v>62</x:v>
      </x:c>
      <x:c r="O46" s="83" t="str">
        <x:v>Figura 29</x:v>
      </x:c>
      <x:c r="P46" s="83" t="str">
        <x:v>Direct labelled values from figure</x:v>
      </x:c>
      <x:c r="Q46" s="83" t="str">
        <x:v>A - Direct labels</x:v>
      </x:c>
      <x:c r="R46" s="83" t="str">
        <x:v>Gli elettrolizzatori sono modellizzati come carichi che si attivano a prezzi bassi/overgeneration.</x:v>
      </x:c>
    </x:row>
  </x:sheetData>
  <x:mergeCells>
    <x:mergeCell ref="A1:R1"/>
    <x:mergeCell ref="A2:R2"/>
  </x:mergeCells>
  <x:conditionalFormatting sqref="Q5:Q46">
    <x:cfRule type="expression" dxfId="27" priority="1">
      <x:formula>LEFT(Q5,1)="A"</x:formula>
    </x:cfRule>
    <x:cfRule type="expression" dxfId="28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721c6d9cdd419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0" hidden="0" customWidth="1"/>
    <x:col min="5" max="5" width="14" hidden="0" customWidth="1"/>
    <x:col min="6" max="6" width="16" hidden="0" customWidth="1"/>
    <x:col min="7" max="7" width="16" hidden="0" customWidth="1"/>
    <x:col min="8" max="8" width="26" hidden="0" customWidth="1"/>
    <x:col min="9" max="9" width="26" hidden="0" customWidth="1"/>
    <x:col min="10" max="10" width="48" hidden="0" customWidth="1"/>
    <x:col min="11" max="11" width="12" hidden="0" customWidth="1"/>
    <x:col min="12" max="12" width="44" hidden="0" customWidth="1"/>
    <x:col min="13" max="13" width="12" hidden="0" customWidth="1"/>
    <x:col min="14" max="14" width="16" hidden="0" customWidth="1"/>
    <x:col min="15" max="15" width="18" hidden="0" customWidth="1"/>
    <x:col min="16" max="16" width="28" hidden="0" customWidth="1"/>
    <x:col min="17" max="17" width="18" hidden="0" customWidth="1"/>
    <x:col min="18" max="18" width="42" hidden="0" customWidth="1"/>
  </x:cols>
  <x:sheetData>
    <x:row r="1" ht="34" customHeight="1">
      <x:c r="A1" s="134" t="str">
        <x:v>Parametri di scenario e commodity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Valori DDS in euro reali 2023; parametri di scenario, non previsioni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Gruppo</x:v>
      </x:c>
      <x:c r="C4" s="142" t="str">
        <x:v>Parametro</x:v>
      </x:c>
      <x:c r="D4" s="142" t="str">
        <x:v>Anno</x:v>
      </x:c>
      <x:c r="E4" s="142" t="str">
        <x:v>Valore</x:v>
      </x:c>
      <x:c r="F4" s="142" t="str">
        <x:v>Unità</x:v>
      </x:c>
      <x:c r="G4" s="142" t="str">
        <x:v>Base prezzi</x:v>
      </x:c>
      <x:c r="H4" s="142" t="str">
        <x:v>Scenari applicabili</x:v>
      </x:c>
      <x:c r="I4" s="142" t="str">
        <x:v>Tipo evidenza</x:v>
      </x:c>
      <x:c r="J4" s="142" t="str">
        <x:v>Uso modello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PAR-001</x:v>
      </x:c>
      <x:c r="B5" s="83" t="str">
        <x:v>Commodity and carbon price</x:v>
      </x:c>
      <x:c r="C5" s="83" t="str">
        <x:v>Gas naturale</x:v>
      </x:c>
      <x:c r="D5" s="83" t="n">
        <x:v>2023</x:v>
      </x:c>
      <x:c r="E5" s="143" t="n">
        <x:v>39.2</x:v>
      </x:c>
      <x:c r="F5" s="83" t="str">
        <x:v>EUR/MWh</x:v>
      </x:c>
      <x:c r="G5" s="83" t="str">
        <x:v>Real 2023</x:v>
      </x:c>
      <x:c r="H5" s="83" t="str">
        <x:v>All DDS 2024 scenarios</x:v>
      </x:c>
      <x:c r="I5" s="83" t="str">
        <x:v>Observed annual average</x:v>
      </x:c>
      <x:c r="J5" s="83" t="str">
        <x:v>Input to marginal-cost construction in Phase 3D; recorded now as scenario assumption.</x:v>
      </x:c>
      <x:c r="K5" s="83" t="str">
        <x:v>S09</x:v>
      </x:c>
      <x:c r="L5" s="83" t="str">
        <x:v>Documento_Descrizione_Scenari_2024_8dce2430d44d101.pdf</x:v>
      </x:c>
      <x:c r="M5" s="83" t="n">
        <x:v>28</x:v>
      </x:c>
      <x:c r="N5" s="83" t="n">
        <x:v>26</x:v>
      </x:c>
      <x:c r="O5" s="83" t="str">
        <x:v>Tabella 4</x:v>
      </x:c>
      <x:c r="P5" s="83" t="str">
        <x:v>Direct table extraction</x:v>
      </x:c>
      <x:c r="Q5" s="83" t="str">
        <x:v>A - Direct</x:v>
      </x:c>
      <x:c r="R5" s="83" t="str">
        <x:v>Not a forecast; parameter for scenario evaluation.</x:v>
      </x:c>
    </x:row>
    <x:row r="6">
      <x:c r="A6" s="83" t="str">
        <x:v>PAR-002</x:v>
      </x:c>
      <x:c r="B6" s="83" t="str">
        <x:v>Commodity and carbon price</x:v>
      </x:c>
      <x:c r="C6" s="83" t="str">
        <x:v>Gas naturale</x:v>
      </x:c>
      <x:c r="D6" s="83" t="n">
        <x:v>2030</x:v>
      </x:c>
      <x:c r="E6" s="143" t="n">
        <x:v>32.4</x:v>
      </x:c>
      <x:c r="F6" s="83" t="str">
        <x:v>EUR/MWh</x:v>
      </x:c>
      <x:c r="G6" s="83" t="str">
        <x:v>Real 2023</x:v>
      </x:c>
      <x:c r="H6" s="83" t="str">
        <x:v>All DDS 2024 scenarios</x:v>
      </x:c>
      <x:c r="I6" s="83" t="str">
        <x:v>Scenario assumption</x:v>
      </x:c>
      <x:c r="J6" s="83" t="str">
        <x:v>Input to marginal-cost construction in Phase 3D; recorded now as scenario assumption.</x:v>
      </x:c>
      <x:c r="K6" s="83" t="str">
        <x:v>S09</x:v>
      </x:c>
      <x:c r="L6" s="83" t="str">
        <x:v>Documento_Descrizione_Scenari_2024_8dce2430d44d101.pdf</x:v>
      </x:c>
      <x:c r="M6" s="83" t="n">
        <x:v>28</x:v>
      </x:c>
      <x:c r="N6" s="83" t="n">
        <x:v>26</x:v>
      </x:c>
      <x:c r="O6" s="83" t="str">
        <x:v>Tabella 4</x:v>
      </x:c>
      <x:c r="P6" s="83" t="str">
        <x:v>Direct table extraction</x:v>
      </x:c>
      <x:c r="Q6" s="83" t="str">
        <x:v>A - Direct</x:v>
      </x:c>
      <x:c r="R6" s="83" t="str">
        <x:v>Not a forecast; parameter for scenario evaluation.</x:v>
      </x:c>
    </x:row>
    <x:row r="7">
      <x:c r="A7" s="83" t="str">
        <x:v>PAR-003</x:v>
      </x:c>
      <x:c r="B7" s="83" t="str">
        <x:v>Commodity and carbon price</x:v>
      </x:c>
      <x:c r="C7" s="83" t="str">
        <x:v>Gas naturale</x:v>
      </x:c>
      <x:c r="D7" s="83" t="n">
        <x:v>2035</x:v>
      </x:c>
      <x:c r="E7" s="143" t="n">
        <x:v>29.5</x:v>
      </x:c>
      <x:c r="F7" s="83" t="str">
        <x:v>EUR/MWh</x:v>
      </x:c>
      <x:c r="G7" s="83" t="str">
        <x:v>Real 2023</x:v>
      </x:c>
      <x:c r="H7" s="83" t="str">
        <x:v>All DDS 2024 scenarios</x:v>
      </x:c>
      <x:c r="I7" s="83" t="str">
        <x:v>Scenario assumption</x:v>
      </x:c>
      <x:c r="J7" s="83" t="str">
        <x:v>Input to marginal-cost construction in Phase 3D; recorded now as scenario assumption.</x:v>
      </x:c>
      <x:c r="K7" s="83" t="str">
        <x:v>S09</x:v>
      </x:c>
      <x:c r="L7" s="83" t="str">
        <x:v>Documento_Descrizione_Scenari_2024_8dce2430d44d101.pdf</x:v>
      </x:c>
      <x:c r="M7" s="83" t="n">
        <x:v>28</x:v>
      </x:c>
      <x:c r="N7" s="83" t="n">
        <x:v>26</x:v>
      </x:c>
      <x:c r="O7" s="83" t="str">
        <x:v>Tabella 4</x:v>
      </x:c>
      <x:c r="P7" s="83" t="str">
        <x:v>Direct table extraction</x:v>
      </x:c>
      <x:c r="Q7" s="83" t="str">
        <x:v>A - Direct</x:v>
      </x:c>
      <x:c r="R7" s="83" t="str">
        <x:v>Not a forecast; parameter for scenario evaluation.</x:v>
      </x:c>
    </x:row>
    <x:row r="8">
      <x:c r="A8" s="83" t="str">
        <x:v>PAR-004</x:v>
      </x:c>
      <x:c r="B8" s="83" t="str">
        <x:v>Commodity and carbon price</x:v>
      </x:c>
      <x:c r="C8" s="83" t="str">
        <x:v>Gas naturale</x:v>
      </x:c>
      <x:c r="D8" s="83" t="n">
        <x:v>2040</x:v>
      </x:c>
      <x:c r="E8" s="143" t="n">
        <x:v>36.4</x:v>
      </x:c>
      <x:c r="F8" s="83" t="str">
        <x:v>EUR/MWh</x:v>
      </x:c>
      <x:c r="G8" s="83" t="str">
        <x:v>Real 2023</x:v>
      </x:c>
      <x:c r="H8" s="83" t="str">
        <x:v>All DDS 2024 scenarios</x:v>
      </x:c>
      <x:c r="I8" s="83" t="str">
        <x:v>Scenario assumption</x:v>
      </x:c>
      <x:c r="J8" s="83" t="str">
        <x:v>Input to marginal-cost construction in Phase 3D; recorded now as scenario assumption.</x:v>
      </x:c>
      <x:c r="K8" s="83" t="str">
        <x:v>S09</x:v>
      </x:c>
      <x:c r="L8" s="83" t="str">
        <x:v>Documento_Descrizione_Scenari_2024_8dce2430d44d101.pdf</x:v>
      </x:c>
      <x:c r="M8" s="83" t="n">
        <x:v>28</x:v>
      </x:c>
      <x:c r="N8" s="83" t="n">
        <x:v>26</x:v>
      </x:c>
      <x:c r="O8" s="83" t="str">
        <x:v>Tabella 4</x:v>
      </x:c>
      <x:c r="P8" s="83" t="str">
        <x:v>Direct table extraction</x:v>
      </x:c>
      <x:c r="Q8" s="83" t="str">
        <x:v>A - Direct</x:v>
      </x:c>
      <x:c r="R8" s="83" t="str">
        <x:v>Not a forecast; parameter for scenario evaluation.</x:v>
      </x:c>
    </x:row>
    <x:row r="9">
      <x:c r="A9" s="83" t="str">
        <x:v>PAR-005</x:v>
      </x:c>
      <x:c r="B9" s="83" t="str">
        <x:v>Commodity and carbon price</x:v>
      </x:c>
      <x:c r="C9" s="83" t="str">
        <x:v>Brent</x:v>
      </x:c>
      <x:c r="D9" s="83" t="n">
        <x:v>2023</x:v>
      </x:c>
      <x:c r="E9" s="143" t="n">
        <x:v>45</x:v>
      </x:c>
      <x:c r="F9" s="83" t="str">
        <x:v>EUR/MWh</x:v>
      </x:c>
      <x:c r="G9" s="83" t="str">
        <x:v>Real 2023</x:v>
      </x:c>
      <x:c r="H9" s="83" t="str">
        <x:v>All DDS 2024 scenarios</x:v>
      </x:c>
      <x:c r="I9" s="83" t="str">
        <x:v>Observed annual average</x:v>
      </x:c>
      <x:c r="J9" s="83" t="str">
        <x:v>Input to marginal-cost construction in Phase 3D; recorded now as scenario assumption.</x:v>
      </x:c>
      <x:c r="K9" s="83" t="str">
        <x:v>S09</x:v>
      </x:c>
      <x:c r="L9" s="83" t="str">
        <x:v>Documento_Descrizione_Scenari_2024_8dce2430d44d101.pdf</x:v>
      </x:c>
      <x:c r="M9" s="83" t="n">
        <x:v>28</x:v>
      </x:c>
      <x:c r="N9" s="83" t="n">
        <x:v>26</x:v>
      </x:c>
      <x:c r="O9" s="83" t="str">
        <x:v>Tabella 4</x:v>
      </x:c>
      <x:c r="P9" s="83" t="str">
        <x:v>Direct table extraction</x:v>
      </x:c>
      <x:c r="Q9" s="83" t="str">
        <x:v>A - Direct</x:v>
      </x:c>
      <x:c r="R9" s="83" t="str">
        <x:v>Not a forecast; parameter for scenario evaluation.</x:v>
      </x:c>
    </x:row>
    <x:row r="10">
      <x:c r="A10" s="83" t="str">
        <x:v>PAR-006</x:v>
      </x:c>
      <x:c r="B10" s="83" t="str">
        <x:v>Commodity and carbon price</x:v>
      </x:c>
      <x:c r="C10" s="83" t="str">
        <x:v>Brent</x:v>
      </x:c>
      <x:c r="D10" s="83" t="n">
        <x:v>2030</x:v>
      </x:c>
      <x:c r="E10" s="143" t="n">
        <x:v>50</x:v>
      </x:c>
      <x:c r="F10" s="83" t="str">
        <x:v>EUR/MWh</x:v>
      </x:c>
      <x:c r="G10" s="83" t="str">
        <x:v>Real 2023</x:v>
      </x:c>
      <x:c r="H10" s="83" t="str">
        <x:v>All DDS 2024 scenarios</x:v>
      </x:c>
      <x:c r="I10" s="83" t="str">
        <x:v>Scenario assumption</x:v>
      </x:c>
      <x:c r="J10" s="83" t="str">
        <x:v>Input to marginal-cost construction in Phase 3D; recorded now as scenario assumption.</x:v>
      </x:c>
      <x:c r="K10" s="83" t="str">
        <x:v>S09</x:v>
      </x:c>
      <x:c r="L10" s="83" t="str">
        <x:v>Documento_Descrizione_Scenari_2024_8dce2430d44d101.pdf</x:v>
      </x:c>
      <x:c r="M10" s="83" t="n">
        <x:v>28</x:v>
      </x:c>
      <x:c r="N10" s="83" t="n">
        <x:v>26</x:v>
      </x:c>
      <x:c r="O10" s="83" t="str">
        <x:v>Tabella 4</x:v>
      </x:c>
      <x:c r="P10" s="83" t="str">
        <x:v>Direct table extraction</x:v>
      </x:c>
      <x:c r="Q10" s="83" t="str">
        <x:v>A - Direct</x:v>
      </x:c>
      <x:c r="R10" s="83" t="str">
        <x:v>Not a forecast; parameter for scenario evaluation.</x:v>
      </x:c>
    </x:row>
    <x:row r="11">
      <x:c r="A11" s="83" t="str">
        <x:v>PAR-007</x:v>
      </x:c>
      <x:c r="B11" s="83" t="str">
        <x:v>Commodity and carbon price</x:v>
      </x:c>
      <x:c r="C11" s="83" t="str">
        <x:v>Brent</x:v>
      </x:c>
      <x:c r="D11" s="83" t="n">
        <x:v>2035</x:v>
      </x:c>
      <x:c r="E11" s="143" t="n">
        <x:v>55.4</x:v>
      </x:c>
      <x:c r="F11" s="83" t="str">
        <x:v>EUR/MWh</x:v>
      </x:c>
      <x:c r="G11" s="83" t="str">
        <x:v>Real 2023</x:v>
      </x:c>
      <x:c r="H11" s="83" t="str">
        <x:v>All DDS 2024 scenarios</x:v>
      </x:c>
      <x:c r="I11" s="83" t="str">
        <x:v>Scenario assumption</x:v>
      </x:c>
      <x:c r="J11" s="83" t="str">
        <x:v>Input to marginal-cost construction in Phase 3D; recorded now as scenario assumption.</x:v>
      </x:c>
      <x:c r="K11" s="83" t="str">
        <x:v>S09</x:v>
      </x:c>
      <x:c r="L11" s="83" t="str">
        <x:v>Documento_Descrizione_Scenari_2024_8dce2430d44d101.pdf</x:v>
      </x:c>
      <x:c r="M11" s="83" t="n">
        <x:v>28</x:v>
      </x:c>
      <x:c r="N11" s="83" t="n">
        <x:v>26</x:v>
      </x:c>
      <x:c r="O11" s="83" t="str">
        <x:v>Tabella 4</x:v>
      </x:c>
      <x:c r="P11" s="83" t="str">
        <x:v>Direct table extraction</x:v>
      </x:c>
      <x:c r="Q11" s="83" t="str">
        <x:v>A - Direct</x:v>
      </x:c>
      <x:c r="R11" s="83" t="str">
        <x:v>Not a forecast; parameter for scenario evaluation.</x:v>
      </x:c>
    </x:row>
    <x:row r="12">
      <x:c r="A12" s="83" t="str">
        <x:v>PAR-008</x:v>
      </x:c>
      <x:c r="B12" s="83" t="str">
        <x:v>Commodity and carbon price</x:v>
      </x:c>
      <x:c r="C12" s="83" t="str">
        <x:v>Brent</x:v>
      </x:c>
      <x:c r="D12" s="83" t="n">
        <x:v>2040</x:v>
      </x:c>
      <x:c r="E12" s="143" t="n">
        <x:v>56.9</x:v>
      </x:c>
      <x:c r="F12" s="83" t="str">
        <x:v>EUR/MWh</x:v>
      </x:c>
      <x:c r="G12" s="83" t="str">
        <x:v>Real 2023</x:v>
      </x:c>
      <x:c r="H12" s="83" t="str">
        <x:v>All DDS 2024 scenarios</x:v>
      </x:c>
      <x:c r="I12" s="83" t="str">
        <x:v>Scenario assumption</x:v>
      </x:c>
      <x:c r="J12" s="83" t="str">
        <x:v>Input to marginal-cost construction in Phase 3D; recorded now as scenario assumption.</x:v>
      </x:c>
      <x:c r="K12" s="83" t="str">
        <x:v>S09</x:v>
      </x:c>
      <x:c r="L12" s="83" t="str">
        <x:v>Documento_Descrizione_Scenari_2024_8dce2430d44d101.pdf</x:v>
      </x:c>
      <x:c r="M12" s="83" t="n">
        <x:v>28</x:v>
      </x:c>
      <x:c r="N12" s="83" t="n">
        <x:v>26</x:v>
      </x:c>
      <x:c r="O12" s="83" t="str">
        <x:v>Tabella 4</x:v>
      </x:c>
      <x:c r="P12" s="83" t="str">
        <x:v>Direct table extraction</x:v>
      </x:c>
      <x:c r="Q12" s="83" t="str">
        <x:v>A - Direct</x:v>
      </x:c>
      <x:c r="R12" s="83" t="str">
        <x:v>Not a forecast; parameter for scenario evaluation.</x:v>
      </x:c>
    </x:row>
    <x:row r="13">
      <x:c r="A13" s="83" t="str">
        <x:v>PAR-009</x:v>
      </x:c>
      <x:c r="B13" s="83" t="str">
        <x:v>Commodity and carbon price</x:v>
      </x:c>
      <x:c r="C13" s="83" t="str">
        <x:v>Carbone</x:v>
      </x:c>
      <x:c r="D13" s="83" t="n">
        <x:v>2023</x:v>
      </x:c>
      <x:c r="E13" s="143" t="n">
        <x:v>15.8</x:v>
      </x:c>
      <x:c r="F13" s="83" t="str">
        <x:v>EUR/MWh</x:v>
      </x:c>
      <x:c r="G13" s="83" t="str">
        <x:v>Real 2023</x:v>
      </x:c>
      <x:c r="H13" s="83" t="str">
        <x:v>All DDS 2024 scenarios</x:v>
      </x:c>
      <x:c r="I13" s="83" t="str">
        <x:v>Observed annual average</x:v>
      </x:c>
      <x:c r="J13" s="83" t="str">
        <x:v>Input to marginal-cost construction in Phase 3D; recorded now as scenario assumption.</x:v>
      </x:c>
      <x:c r="K13" s="83" t="str">
        <x:v>S09</x:v>
      </x:c>
      <x:c r="L13" s="83" t="str">
        <x:v>Documento_Descrizione_Scenari_2024_8dce2430d44d101.pdf</x:v>
      </x:c>
      <x:c r="M13" s="83" t="n">
        <x:v>28</x:v>
      </x:c>
      <x:c r="N13" s="83" t="n">
        <x:v>26</x:v>
      </x:c>
      <x:c r="O13" s="83" t="str">
        <x:v>Tabella 4</x:v>
      </x:c>
      <x:c r="P13" s="83" t="str">
        <x:v>Direct table extraction</x:v>
      </x:c>
      <x:c r="Q13" s="83" t="str">
        <x:v>A - Direct</x:v>
      </x:c>
      <x:c r="R13" s="83" t="str">
        <x:v>Not a forecast; parameter for scenario evaluation.</x:v>
      </x:c>
    </x:row>
    <x:row r="14">
      <x:c r="A14" s="83" t="str">
        <x:v>PAR-010</x:v>
      </x:c>
      <x:c r="B14" s="83" t="str">
        <x:v>Commodity and carbon price</x:v>
      </x:c>
      <x:c r="C14" s="83" t="str">
        <x:v>Carbone</x:v>
      </x:c>
      <x:c r="D14" s="83" t="n">
        <x:v>2030</x:v>
      </x:c>
      <x:c r="E14" s="143" t="n">
        <x:v>14.4</x:v>
      </x:c>
      <x:c r="F14" s="83" t="str">
        <x:v>EUR/MWh</x:v>
      </x:c>
      <x:c r="G14" s="83" t="str">
        <x:v>Real 2023</x:v>
      </x:c>
      <x:c r="H14" s="83" t="str">
        <x:v>All DDS 2024 scenarios</x:v>
      </x:c>
      <x:c r="I14" s="83" t="str">
        <x:v>Scenario assumption</x:v>
      </x:c>
      <x:c r="J14" s="83" t="str">
        <x:v>Input to marginal-cost construction in Phase 3D; recorded now as scenario assumption.</x:v>
      </x:c>
      <x:c r="K14" s="83" t="str">
        <x:v>S09</x:v>
      </x:c>
      <x:c r="L14" s="83" t="str">
        <x:v>Documento_Descrizione_Scenari_2024_8dce2430d44d101.pdf</x:v>
      </x:c>
      <x:c r="M14" s="83" t="n">
        <x:v>28</x:v>
      </x:c>
      <x:c r="N14" s="83" t="n">
        <x:v>26</x:v>
      </x:c>
      <x:c r="O14" s="83" t="str">
        <x:v>Tabella 4</x:v>
      </x:c>
      <x:c r="P14" s="83" t="str">
        <x:v>Direct table extraction</x:v>
      </x:c>
      <x:c r="Q14" s="83" t="str">
        <x:v>A - Direct</x:v>
      </x:c>
      <x:c r="R14" s="83" t="str">
        <x:v>Not a forecast; parameter for scenario evaluation.</x:v>
      </x:c>
    </x:row>
    <x:row r="15">
      <x:c r="A15" s="83" t="str">
        <x:v>PAR-011</x:v>
      </x:c>
      <x:c r="B15" s="83" t="str">
        <x:v>Commodity and carbon price</x:v>
      </x:c>
      <x:c r="C15" s="83" t="str">
        <x:v>Carbone</x:v>
      </x:c>
      <x:c r="D15" s="83" t="n">
        <x:v>2035</x:v>
      </x:c>
      <x:c r="E15" s="143" t="n">
        <x:v>13.7</x:v>
      </x:c>
      <x:c r="F15" s="83" t="str">
        <x:v>EUR/MWh</x:v>
      </x:c>
      <x:c r="G15" s="83" t="str">
        <x:v>Real 2023</x:v>
      </x:c>
      <x:c r="H15" s="83" t="str">
        <x:v>All DDS 2024 scenarios</x:v>
      </x:c>
      <x:c r="I15" s="83" t="str">
        <x:v>Scenario assumption</x:v>
      </x:c>
      <x:c r="J15" s="83" t="str">
        <x:v>Input to marginal-cost construction in Phase 3D; recorded now as scenario assumption.</x:v>
      </x:c>
      <x:c r="K15" s="83" t="str">
        <x:v>S09</x:v>
      </x:c>
      <x:c r="L15" s="83" t="str">
        <x:v>Documento_Descrizione_Scenari_2024_8dce2430d44d101.pdf</x:v>
      </x:c>
      <x:c r="M15" s="83" t="n">
        <x:v>28</x:v>
      </x:c>
      <x:c r="N15" s="83" t="n">
        <x:v>26</x:v>
      </x:c>
      <x:c r="O15" s="83" t="str">
        <x:v>Tabella 4</x:v>
      </x:c>
      <x:c r="P15" s="83" t="str">
        <x:v>Direct table extraction</x:v>
      </x:c>
      <x:c r="Q15" s="83" t="str">
        <x:v>A - Direct</x:v>
      </x:c>
      <x:c r="R15" s="83" t="str">
        <x:v>Not a forecast; parameter for scenario evaluation.</x:v>
      </x:c>
    </x:row>
    <x:row r="16">
      <x:c r="A16" s="83" t="str">
        <x:v>PAR-012</x:v>
      </x:c>
      <x:c r="B16" s="83" t="str">
        <x:v>Commodity and carbon price</x:v>
      </x:c>
      <x:c r="C16" s="83" t="str">
        <x:v>Carbone</x:v>
      </x:c>
      <x:c r="D16" s="83" t="n">
        <x:v>2040</x:v>
      </x:c>
      <x:c r="E16" s="143" t="n">
        <x:v>13.7</x:v>
      </x:c>
      <x:c r="F16" s="83" t="str">
        <x:v>EUR/MWh</x:v>
      </x:c>
      <x:c r="G16" s="83" t="str">
        <x:v>Real 2023</x:v>
      </x:c>
      <x:c r="H16" s="83" t="str">
        <x:v>All DDS 2024 scenarios</x:v>
      </x:c>
      <x:c r="I16" s="83" t="str">
        <x:v>Scenario assumption</x:v>
      </x:c>
      <x:c r="J16" s="83" t="str">
        <x:v>Input to marginal-cost construction in Phase 3D; recorded now as scenario assumption.</x:v>
      </x:c>
      <x:c r="K16" s="83" t="str">
        <x:v>S09</x:v>
      </x:c>
      <x:c r="L16" s="83" t="str">
        <x:v>Documento_Descrizione_Scenari_2024_8dce2430d44d101.pdf</x:v>
      </x:c>
      <x:c r="M16" s="83" t="n">
        <x:v>28</x:v>
      </x:c>
      <x:c r="N16" s="83" t="n">
        <x:v>26</x:v>
      </x:c>
      <x:c r="O16" s="83" t="str">
        <x:v>Tabella 4</x:v>
      </x:c>
      <x:c r="P16" s="83" t="str">
        <x:v>Direct table extraction</x:v>
      </x:c>
      <x:c r="Q16" s="83" t="str">
        <x:v>A - Direct</x:v>
      </x:c>
      <x:c r="R16" s="83" t="str">
        <x:v>Not a forecast; parameter for scenario evaluation.</x:v>
      </x:c>
    </x:row>
    <x:row r="17">
      <x:c r="A17" s="83" t="str">
        <x:v>PAR-013</x:v>
      </x:c>
      <x:c r="B17" s="83" t="str">
        <x:v>Commodity and carbon price</x:v>
      </x:c>
      <x:c r="C17" s="83" t="str">
        <x:v>CO2</x:v>
      </x:c>
      <x:c r="D17" s="83" t="n">
        <x:v>2023</x:v>
      </x:c>
      <x:c r="E17" s="143" t="n">
        <x:v>92</x:v>
      </x:c>
      <x:c r="F17" s="83" t="str">
        <x:v>EUR/tCO2</x:v>
      </x:c>
      <x:c r="G17" s="83" t="str">
        <x:v>Real 2023</x:v>
      </x:c>
      <x:c r="H17" s="83" t="str">
        <x:v>All DDS 2024 scenarios</x:v>
      </x:c>
      <x:c r="I17" s="83" t="str">
        <x:v>Observed annual average</x:v>
      </x:c>
      <x:c r="J17" s="83" t="str">
        <x:v>Input to marginal-cost construction in Phase 3D; recorded now as scenario assumption.</x:v>
      </x:c>
      <x:c r="K17" s="83" t="str">
        <x:v>S09</x:v>
      </x:c>
      <x:c r="L17" s="83" t="str">
        <x:v>Documento_Descrizione_Scenari_2024_8dce2430d44d101.pdf</x:v>
      </x:c>
      <x:c r="M17" s="83" t="n">
        <x:v>28</x:v>
      </x:c>
      <x:c r="N17" s="83" t="n">
        <x:v>26</x:v>
      </x:c>
      <x:c r="O17" s="83" t="str">
        <x:v>Tabella 4</x:v>
      </x:c>
      <x:c r="P17" s="83" t="str">
        <x:v>Direct table extraction</x:v>
      </x:c>
      <x:c r="Q17" s="83" t="str">
        <x:v>A - Direct</x:v>
      </x:c>
      <x:c r="R17" s="83" t="str">
        <x:v>Not a forecast; parameter for scenario evaluation.</x:v>
      </x:c>
    </x:row>
    <x:row r="18">
      <x:c r="A18" s="83" t="str">
        <x:v>PAR-014</x:v>
      </x:c>
      <x:c r="B18" s="83" t="str">
        <x:v>Commodity and carbon price</x:v>
      </x:c>
      <x:c r="C18" s="83" t="str">
        <x:v>CO2</x:v>
      </x:c>
      <x:c r="D18" s="83" t="n">
        <x:v>2030</x:v>
      </x:c>
      <x:c r="E18" s="143" t="n">
        <x:v>95</x:v>
      </x:c>
      <x:c r="F18" s="83" t="str">
        <x:v>EUR/tCO2</x:v>
      </x:c>
      <x:c r="G18" s="83" t="str">
        <x:v>Real 2023</x:v>
      </x:c>
      <x:c r="H18" s="83" t="str">
        <x:v>All DDS 2024 scenarios</x:v>
      </x:c>
      <x:c r="I18" s="83" t="str">
        <x:v>Scenario assumption</x:v>
      </x:c>
      <x:c r="J18" s="83" t="str">
        <x:v>Input to marginal-cost construction in Phase 3D; recorded now as scenario assumption.</x:v>
      </x:c>
      <x:c r="K18" s="83" t="str">
        <x:v>S09</x:v>
      </x:c>
      <x:c r="L18" s="83" t="str">
        <x:v>Documento_Descrizione_Scenari_2024_8dce2430d44d101.pdf</x:v>
      </x:c>
      <x:c r="M18" s="83" t="n">
        <x:v>28</x:v>
      </x:c>
      <x:c r="N18" s="83" t="n">
        <x:v>26</x:v>
      </x:c>
      <x:c r="O18" s="83" t="str">
        <x:v>Tabella 4</x:v>
      </x:c>
      <x:c r="P18" s="83" t="str">
        <x:v>Direct table extraction</x:v>
      </x:c>
      <x:c r="Q18" s="83" t="str">
        <x:v>A - Direct</x:v>
      </x:c>
      <x:c r="R18" s="83" t="str">
        <x:v>Not a forecast; parameter for scenario evaluation.</x:v>
      </x:c>
    </x:row>
    <x:row r="19">
      <x:c r="A19" s="83" t="str">
        <x:v>PAR-015</x:v>
      </x:c>
      <x:c r="B19" s="83" t="str">
        <x:v>Commodity and carbon price</x:v>
      </x:c>
      <x:c r="C19" s="83" t="str">
        <x:v>CO2</x:v>
      </x:c>
      <x:c r="D19" s="83" t="n">
        <x:v>2035</x:v>
      </x:c>
      <x:c r="E19" s="143" t="n">
        <x:v>100</x:v>
      </x:c>
      <x:c r="F19" s="83" t="str">
        <x:v>EUR/tCO2</x:v>
      </x:c>
      <x:c r="G19" s="83" t="str">
        <x:v>Real 2023</x:v>
      </x:c>
      <x:c r="H19" s="83" t="str">
        <x:v>All DDS 2024 scenarios</x:v>
      </x:c>
      <x:c r="I19" s="83" t="str">
        <x:v>Scenario assumption</x:v>
      </x:c>
      <x:c r="J19" s="83" t="str">
        <x:v>Input to marginal-cost construction in Phase 3D; recorded now as scenario assumption.</x:v>
      </x:c>
      <x:c r="K19" s="83" t="str">
        <x:v>S09</x:v>
      </x:c>
      <x:c r="L19" s="83" t="str">
        <x:v>Documento_Descrizione_Scenari_2024_8dce2430d44d101.pdf</x:v>
      </x:c>
      <x:c r="M19" s="83" t="n">
        <x:v>28</x:v>
      </x:c>
      <x:c r="N19" s="83" t="n">
        <x:v>26</x:v>
      </x:c>
      <x:c r="O19" s="83" t="str">
        <x:v>Tabella 4</x:v>
      </x:c>
      <x:c r="P19" s="83" t="str">
        <x:v>Direct table extraction</x:v>
      </x:c>
      <x:c r="Q19" s="83" t="str">
        <x:v>A - Direct</x:v>
      </x:c>
      <x:c r="R19" s="83" t="str">
        <x:v>Not a forecast; parameter for scenario evaluation.</x:v>
      </x:c>
    </x:row>
    <x:row r="20">
      <x:c r="A20" s="83" t="str">
        <x:v>PAR-016</x:v>
      </x:c>
      <x:c r="B20" s="83" t="str">
        <x:v>Commodity and carbon price</x:v>
      </x:c>
      <x:c r="C20" s="83" t="str">
        <x:v>CO2</x:v>
      </x:c>
      <x:c r="D20" s="83" t="n">
        <x:v>2040</x:v>
      </x:c>
      <x:c r="E20" s="143" t="n">
        <x:v>100</x:v>
      </x:c>
      <x:c r="F20" s="83" t="str">
        <x:v>EUR/tCO2</x:v>
      </x:c>
      <x:c r="G20" s="83" t="str">
        <x:v>Real 2023</x:v>
      </x:c>
      <x:c r="H20" s="83" t="str">
        <x:v>All DDS 2024 scenarios</x:v>
      </x:c>
      <x:c r="I20" s="83" t="str">
        <x:v>Scenario assumption</x:v>
      </x:c>
      <x:c r="J20" s="83" t="str">
        <x:v>Input to marginal-cost construction in Phase 3D; recorded now as scenario assumption.</x:v>
      </x:c>
      <x:c r="K20" s="83" t="str">
        <x:v>S09</x:v>
      </x:c>
      <x:c r="L20" s="83" t="str">
        <x:v>Documento_Descrizione_Scenari_2024_8dce2430d44d101.pdf</x:v>
      </x:c>
      <x:c r="M20" s="83" t="n">
        <x:v>28</x:v>
      </x:c>
      <x:c r="N20" s="83" t="n">
        <x:v>26</x:v>
      </x:c>
      <x:c r="O20" s="83" t="str">
        <x:v>Tabella 4</x:v>
      </x:c>
      <x:c r="P20" s="83" t="str">
        <x:v>Direct table extraction</x:v>
      </x:c>
      <x:c r="Q20" s="83" t="str">
        <x:v>A - Direct</x:v>
      </x:c>
      <x:c r="R20" s="83" t="str">
        <x:v>Not a forecast; parameter for scenario evaluation.</x:v>
      </x:c>
    </x:row>
  </x:sheetData>
  <x:mergeCells>
    <x:mergeCell ref="A1:R1"/>
    <x:mergeCell ref="A2:R2"/>
  </x:mergeCells>
  <x:conditionalFormatting sqref="Q5:Q20">
    <x:cfRule type="expression" dxfId="29" priority="1">
      <x:formula>LEFT(Q5,1)="A"</x:formula>
    </x:cfRule>
    <x:cfRule type="expression" dxfId="30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3118ceae1f40c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24" hidden="0" customWidth="1"/>
    <x:col min="6" max="6" width="30" hidden="0" customWidth="1"/>
    <x:col min="7" max="7" width="32" hidden="0" customWidth="1"/>
    <x:col min="8" max="8" width="12" hidden="0" customWidth="1"/>
    <x:col min="9" max="9" width="14" hidden="0" customWidth="1"/>
    <x:col min="10" max="10" width="12" hidden="0" customWidth="1"/>
    <x:col min="11" max="11" width="10" hidden="0" customWidth="1"/>
    <x:col min="12" max="12" width="14" hidden="0" customWidth="1"/>
    <x:col min="13" max="13" width="28" hidden="0" customWidth="1"/>
    <x:col min="14" max="14" width="32" hidden="0" customWidth="1"/>
    <x:col min="15" max="15" width="14" hidden="0" customWidth="1"/>
    <x:col min="16" max="16" width="44" hidden="0" customWidth="1"/>
    <x:col min="17" max="17" width="12" hidden="0" customWidth="1"/>
    <x:col min="18" max="18" width="16" hidden="0" customWidth="1"/>
    <x:col min="19" max="19" width="22" hidden="0" customWidth="1"/>
    <x:col min="20" max="20" width="38" hidden="0" customWidth="1"/>
    <x:col min="21" max="21" width="18" hidden="0" customWidth="1"/>
    <x:col min="22" max="22" width="48" hidden="0" customWidth="1"/>
    <x:col min="23" max="23" width="50" hidden="0" customWidth="1"/>
  </x:cols>
  <x:sheetData>
    <x:row r="1" ht="34" customHeight="1">
      <x:c r="A1" s="134" t="str">
        <x:v>Capacità nazionale di generazione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</x:row>
    <x:row r="2" ht="30" customHeight="1">
      <x:c r="A2" s="138" t="str">
        <x:v>88 righe; 2040 DDS e configurazioni/benchmark 2050 PNIEC–Terna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Gruppo tecnologia</x:v>
      </x:c>
      <x:c r="F4" s="142" t="str">
        <x:v>Tecnologia</x:v>
      </x:c>
      <x:c r="G4" s="142" t="str">
        <x:v>Sottotecnologia</x:v>
      </x:c>
      <x:c r="H4" s="142" t="str">
        <x:v>Min</x:v>
      </x:c>
      <x:c r="I4" s="142" t="str">
        <x:v>Valore</x:v>
      </x:c>
      <x:c r="J4" s="142" t="str">
        <x:v>Max</x:v>
      </x:c>
      <x:c r="K4" s="142" t="str">
        <x:v>Unità</x:v>
      </x:c>
      <x:c r="L4" s="142" t="str">
        <x:v>Geografia</x:v>
      </x:c>
      <x:c r="M4" s="142" t="str">
        <x:v>Perimetro</x:v>
      </x:c>
      <x:c r="N4" s="142" t="str">
        <x:v>Tipo evidenza</x:v>
      </x:c>
      <x:c r="O4" s="142" t="str">
        <x:v>Fonte</x:v>
      </x:c>
      <x:c r="P4" s="142" t="str">
        <x:v>File fonte</x:v>
      </x:c>
      <x:c r="Q4" s="142" t="str">
        <x:v>Pagina PDF</x:v>
      </x:c>
      <x:c r="R4" s="142" t="str">
        <x:v>Pagina stampata</x:v>
      </x:c>
      <x:c r="S4" s="142" t="str">
        <x:v>Tabella/Figura</x:v>
      </x:c>
      <x:c r="T4" s="142" t="str">
        <x:v>Metodo</x:v>
      </x:c>
      <x:c r="U4" s="142" t="str">
        <x:v>Affidabilità</x:v>
      </x:c>
      <x:c r="V4" s="142" t="str">
        <x:v>Uso modello</x:v>
      </x:c>
      <x:c r="W4" s="142" t="str">
        <x:v>Note</x:v>
      </x:c>
    </x:row>
    <x:row r="5">
      <x:c r="A5" s="83" t="str">
        <x:v>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Renewables</x:v>
      </x:c>
      <x:c r="F5" s="83" t="str">
        <x:v>Totale FER installata</x:v>
      </x:c>
      <x:c r="G5" s="83" t="str">
        <x:v>All renewable technologies</x:v>
      </x:c>
      <x:c r="H5" s="143"/>
      <x:c r="I5" s="143" t="n">
        <x:v>70</x:v>
      </x:c>
      <x:c r="J5" s="143"/>
      <x:c r="K5" s="83" t="str">
        <x:v>GW</x:v>
      </x:c>
      <x:c r="L5" s="83" t="str">
        <x:v>Italia</x:v>
      </x:c>
      <x:c r="M5" s="83" t="str">
        <x:v>Installed capacity</x:v>
      </x:c>
      <x:c r="N5" s="83" t="str">
        <x:v>Dato osservato storico</x:v>
      </x:c>
      <x:c r="O5" s="83" t="str">
        <x:v>S09</x:v>
      </x:c>
      <x:c r="P5" s="83" t="str">
        <x:v>Documento_Descrizione_Scenari_2024_8dce2430d44d101.pdf</x:v>
      </x:c>
      <x:c r="Q5" s="83" t="n">
        <x:v>14</x:v>
      </x:c>
      <x:c r="R5" s="83" t="str">
        <x:v>12-13</x:v>
      </x:c>
      <x:c r="S5" s="83" t="str">
        <x:v>Tabella 1</x:v>
      </x:c>
      <x:c r="T5" s="83" t="str">
        <x:v>Direct table extraction</x:v>
      </x:c>
      <x:c r="U5" s="83" t="str">
        <x:v>A - Direct</x:v>
      </x:c>
      <x:c r="V5" s="83" t="str">
        <x:v>Capacity-fixed input after technology/geography reconciliation.</x:v>
      </x:c>
      <x:c r="W5" s="83" t="str">
        <x:v>Includes hydro and other renewable capacity; rounded to whole GW.</x:v>
      </x:c>
    </x:row>
    <x:row r="6">
      <x:c r="A6" s="83" t="str">
        <x:v>CAP-0002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Solar</x:v>
      </x:c>
      <x:c r="F6" s="83" t="str">
        <x:v>Solare</x:v>
      </x:c>
      <x:c r="G6" s="83" t="str">
        <x:v>Total solar</x:v>
      </x:c>
      <x:c r="H6" s="143"/>
      <x:c r="I6" s="143" t="n">
        <x:v>30.3</x:v>
      </x:c>
      <x:c r="J6" s="143"/>
      <x:c r="K6" s="83" t="str">
        <x:v>GW</x:v>
      </x:c>
      <x:c r="L6" s="83" t="str">
        <x:v>Italia</x:v>
      </x:c>
      <x:c r="M6" s="83" t="str">
        <x:v>Installed capacity</x:v>
      </x:c>
      <x:c r="N6" s="83" t="str">
        <x:v>Dato osservato storico</x:v>
      </x:c>
      <x:c r="O6" s="83" t="str">
        <x:v>S09</x:v>
      </x:c>
      <x:c r="P6" s="83" t="str">
        <x:v>Documento_Descrizione_Scenari_2024_8dce2430d44d101.pdf</x:v>
      </x:c>
      <x:c r="Q6" s="83" t="n">
        <x:v>59</x:v>
      </x:c>
      <x:c r="R6" s="83" t="str">
        <x:v>56-57</x:v>
      </x:c>
      <x:c r="S6" s="83" t="str">
        <x:v>Tabella 13</x:v>
      </x:c>
      <x:c r="T6" s="83" t="str">
        <x:v>Direct table extraction</x:v>
      </x:c>
      <x:c r="U6" s="83" t="str">
        <x:v>A - Direct</x:v>
      </x:c>
      <x:c r="V6" s="83" t="str">
        <x:v>Capacity-fixed input after technology/geography reconciliation.</x:v>
      </x:c>
      <x:c r="W6" s="83" t="str"/>
    </x:row>
    <x:row r="7">
      <x:c r="A7" s="83" t="str">
        <x:v>CAP-0003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Wind</x:v>
      </x:c>
      <x:c r="F7" s="83" t="str">
        <x:v>Eolico onshore</x:v>
      </x:c>
      <x:c r="G7" s="83" t="str">
        <x:v>Onshore</x:v>
      </x:c>
      <x:c r="H7" s="143"/>
      <x:c r="I7" s="143" t="n">
        <x:v>12.3</x:v>
      </x:c>
      <x:c r="J7" s="143"/>
      <x:c r="K7" s="83" t="str">
        <x:v>GW</x:v>
      </x:c>
      <x:c r="L7" s="83" t="str">
        <x:v>Italia</x:v>
      </x:c>
      <x:c r="M7" s="83" t="str">
        <x:v>Installed capacity</x:v>
      </x:c>
      <x:c r="N7" s="83" t="str">
        <x:v>Dato osservato storico</x:v>
      </x:c>
      <x:c r="O7" s="83" t="str">
        <x:v>S09</x:v>
      </x:c>
      <x:c r="P7" s="83" t="str">
        <x:v>Documento_Descrizione_Scenari_2024_8dce2430d44d101.pdf</x:v>
      </x:c>
      <x:c r="Q7" s="83" t="n">
        <x:v>59</x:v>
      </x:c>
      <x:c r="R7" s="83" t="str">
        <x:v>56-57</x:v>
      </x:c>
      <x:c r="S7" s="83" t="str">
        <x:v>Tabella 13</x:v>
      </x:c>
      <x:c r="T7" s="83" t="str">
        <x:v>Direct table extraction</x:v>
      </x:c>
      <x:c r="U7" s="83" t="str">
        <x:v>A - Direct</x:v>
      </x:c>
      <x:c r="V7" s="83" t="str">
        <x:v>Capacity-fixed input after technology/geography reconciliation.</x:v>
      </x:c>
      <x:c r="W7" s="83" t="str"/>
    </x:row>
    <x:row r="8">
      <x:c r="A8" s="83" t="str">
        <x:v>CAP-0004</x:v>
      </x:c>
      <x:c r="B8" s="83" t="str">
        <x:v>HIST_2023</x:v>
      </x:c>
      <x:c r="C8" s="83" t="n">
        <x:v>2023</x:v>
      </x:c>
      <x:c r="D8" s="83" t="str">
        <x:v>Storico 2023</x:v>
      </x:c>
      <x:c r="E8" s="83" t="str">
        <x:v>Wind</x:v>
      </x:c>
      <x:c r="F8" s="83" t="str">
        <x:v>Eolico offshore</x:v>
      </x:c>
      <x:c r="G8" s="83" t="str">
        <x:v>Offshore</x:v>
      </x:c>
      <x:c r="H8" s="143"/>
      <x:c r="I8" s="143" t="n">
        <x:v>0</x:v>
      </x:c>
      <x:c r="J8" s="143"/>
      <x:c r="K8" s="83" t="str">
        <x:v>GW</x:v>
      </x:c>
      <x:c r="L8" s="83" t="str">
        <x:v>Italia</x:v>
      </x:c>
      <x:c r="M8" s="83" t="str">
        <x:v>Installed capacity</x:v>
      </x:c>
      <x:c r="N8" s="83" t="str">
        <x:v>Dato osservato storico</x:v>
      </x:c>
      <x:c r="O8" s="83" t="str">
        <x:v>S09</x:v>
      </x:c>
      <x:c r="P8" s="83" t="str">
        <x:v>Documento_Descrizione_Scenari_2024_8dce2430d44d101.pdf</x:v>
      </x:c>
      <x:c r="Q8" s="83" t="n">
        <x:v>59</x:v>
      </x:c>
      <x:c r="R8" s="83" t="str">
        <x:v>56-57</x:v>
      </x:c>
      <x:c r="S8" s="83" t="str">
        <x:v>Tabella 13</x:v>
      </x:c>
      <x:c r="T8" s="83" t="str">
        <x:v>Direct table extraction</x:v>
      </x:c>
      <x:c r="U8" s="83" t="str">
        <x:v>A - Direct</x:v>
      </x:c>
      <x:c r="V8" s="83" t="str">
        <x:v>Capacity-fixed input after technology/geography reconciliation.</x:v>
      </x:c>
      <x:c r="W8" s="83" t="str">
        <x:v>2023 is zero/not present.</x:v>
      </x:c>
    </x:row>
    <x:row r="9">
      <x:c r="A9" s="83" t="str">
        <x:v>CAP-0005</x:v>
      </x:c>
      <x:c r="B9" s="83" t="str">
        <x:v>HIST_2023</x:v>
      </x:c>
      <x:c r="C9" s="83" t="n">
        <x:v>2023</x:v>
      </x:c>
      <x:c r="D9" s="83" t="str">
        <x:v>Storico 2023</x:v>
      </x:c>
      <x:c r="E9" s="83" t="str">
        <x:v>Variable renewables</x:v>
      </x:c>
      <x:c r="F9" s="83" t="str">
        <x:v>Solare + eolico</x:v>
      </x:c>
      <x:c r="G9" s="83" t="str">
        <x:v>Solar + onshore + offshore</x:v>
      </x:c>
      <x:c r="H9" s="143"/>
      <x:c r="I9" s="143" t="n">
        <x:v>42.6</x:v>
      </x:c>
      <x:c r="J9" s="143"/>
      <x:c r="K9" s="83" t="str">
        <x:v>GW</x:v>
      </x:c>
      <x:c r="L9" s="83" t="str">
        <x:v>Italia</x:v>
      </x:c>
      <x:c r="M9" s="83" t="str">
        <x:v>Installed capacity</x:v>
      </x:c>
      <x:c r="N9" s="83" t="str">
        <x:v>Dato osservato storico</x:v>
      </x:c>
      <x:c r="O9" s="83" t="str">
        <x:v>S09</x:v>
      </x:c>
      <x:c r="P9" s="83" t="str">
        <x:v>Documento_Descrizione_Scenari_2024_8dce2430d44d101.pdf</x:v>
      </x:c>
      <x:c r="Q9" s="83" t="n">
        <x:v>59</x:v>
      </x:c>
      <x:c r="R9" s="83" t="str">
        <x:v>56-57</x:v>
      </x:c>
      <x:c r="S9" s="83" t="str">
        <x:v>Tabella 13</x:v>
      </x:c>
      <x:c r="T9" s="83" t="str">
        <x:v>Direct table extraction</x:v>
      </x:c>
      <x:c r="U9" s="83" t="str">
        <x:v>A - Direct</x:v>
      </x:c>
      <x:c r="V9" s="83" t="str">
        <x:v>Capacity-fixed input after technology/geography reconciliation.</x:v>
      </x:c>
      <x:c r="W9" s="83" t="str">
        <x:v>Despite table title 'Capacità FER', the listed total covers solar and wind only.</x:v>
      </x:c>
    </x:row>
    <x:row r="10">
      <x:c r="A10" s="83" t="str">
        <x:v>CAP-0006</x:v>
      </x:c>
      <x:c r="B10" s="83" t="str">
        <x:v>PNIEC_POLICY_2030</x:v>
      </x:c>
      <x:c r="C10" s="83" t="n">
        <x:v>2030</x:v>
      </x:c>
      <x:c r="D10" s="83" t="str">
        <x:v>PNIEC Policy 2030</x:v>
      </x:c>
      <x:c r="E10" s="83" t="str">
        <x:v>Renewables</x:v>
      </x:c>
      <x:c r="F10" s="83" t="str">
        <x:v>Totale FER installata</x:v>
      </x:c>
      <x:c r="G10" s="83" t="str">
        <x:v>All renewable technologies</x:v>
      </x:c>
      <x:c r="H10" s="143"/>
      <x:c r="I10" s="143" t="n">
        <x:v>130</x:v>
      </x:c>
      <x:c r="J10" s="143"/>
      <x:c r="K10" s="83" t="str">
        <x:v>GW</x:v>
      </x:c>
      <x:c r="L10" s="83" t="str">
        <x:v>Italia</x:v>
      </x:c>
      <x:c r="M10" s="83" t="str">
        <x:v>Installed capacity</x:v>
      </x:c>
      <x:c r="N10" s="83" t="str">
        <x:v>Assunzione di scenario</x:v>
      </x:c>
      <x:c r="O10" s="83" t="str">
        <x:v>S09</x:v>
      </x:c>
      <x:c r="P10" s="83" t="str">
        <x:v>Documento_Descrizione_Scenari_2024_8dce2430d44d101.pdf</x:v>
      </x:c>
      <x:c r="Q10" s="83" t="n">
        <x:v>14</x:v>
      </x:c>
      <x:c r="R10" s="83" t="str">
        <x:v>12-13</x:v>
      </x:c>
      <x:c r="S10" s="83" t="str">
        <x:v>Tabella 1</x:v>
      </x:c>
      <x:c r="T10" s="83" t="str">
        <x:v>Direct table extraction</x:v>
      </x:c>
      <x:c r="U10" s="83" t="str">
        <x:v>A - Direct</x:v>
      </x:c>
      <x:c r="V10" s="83" t="str">
        <x:v>Capacity-fixed input after technology/geography reconciliation.</x:v>
      </x:c>
      <x:c r="W10" s="83" t="str">
        <x:v>Includes hydro and other renewable capacity; rounded to whole GW.</x:v>
      </x:c>
    </x:row>
    <x:row r="11">
      <x:c r="A11" s="83" t="str">
        <x:v>CAP-0007</x:v>
      </x:c>
      <x:c r="B11" s="83" t="str">
        <x:v>PNIEC_POLICY_2030</x:v>
      </x:c>
      <x:c r="C11" s="83" t="n">
        <x:v>2030</x:v>
      </x:c>
      <x:c r="D11" s="83" t="str">
        <x:v>PNIEC Policy 2030</x:v>
      </x:c>
      <x:c r="E11" s="83" t="str">
        <x:v>Solar</x:v>
      </x:c>
      <x:c r="F11" s="83" t="str">
        <x:v>Solare</x:v>
      </x:c>
      <x:c r="G11" s="83" t="str">
        <x:v>Total solar</x:v>
      </x:c>
      <x:c r="H11" s="143"/>
      <x:c r="I11" s="143" t="n">
        <x:v>79.3</x:v>
      </x:c>
      <x:c r="J11" s="143"/>
      <x:c r="K11" s="83" t="str">
        <x:v>GW</x:v>
      </x:c>
      <x:c r="L11" s="83" t="str">
        <x:v>Italia</x:v>
      </x:c>
      <x:c r="M11" s="83" t="str">
        <x:v>Installed capacity</x:v>
      </x:c>
      <x:c r="N11" s="83" t="str">
        <x:v>Assunzione di scenario</x:v>
      </x:c>
      <x:c r="O11" s="83" t="str">
        <x:v>S09</x:v>
      </x:c>
      <x:c r="P11" s="83" t="str">
        <x:v>Documento_Descrizione_Scenari_2024_8dce2430d44d101.pdf</x:v>
      </x:c>
      <x:c r="Q11" s="83" t="n">
        <x:v>59</x:v>
      </x:c>
      <x:c r="R11" s="83" t="str">
        <x:v>56-57</x:v>
      </x:c>
      <x:c r="S11" s="83" t="str">
        <x:v>Tabella 13</x:v>
      </x:c>
      <x:c r="T11" s="83" t="str">
        <x:v>Direct table extraction</x:v>
      </x:c>
      <x:c r="U11" s="83" t="str">
        <x:v>A - Direct</x:v>
      </x:c>
      <x:c r="V11" s="83" t="str">
        <x:v>Capacity-fixed input after technology/geography reconciliation.</x:v>
      </x:c>
      <x:c r="W11" s="83" t="str"/>
    </x:row>
    <x:row r="12">
      <x:c r="A12" s="83" t="str">
        <x:v>CAP-0008</x:v>
      </x:c>
      <x:c r="B12" s="83" t="str">
        <x:v>PNIEC_POLICY_2030</x:v>
      </x:c>
      <x:c r="C12" s="83" t="n">
        <x:v>2030</x:v>
      </x:c>
      <x:c r="D12" s="83" t="str">
        <x:v>PNIEC Policy 2030</x:v>
      </x:c>
      <x:c r="E12" s="83" t="str">
        <x:v>Wind</x:v>
      </x:c>
      <x:c r="F12" s="83" t="str">
        <x:v>Eolico onshore</x:v>
      </x:c>
      <x:c r="G12" s="83" t="str">
        <x:v>Onshore</x:v>
      </x:c>
      <x:c r="H12" s="143"/>
      <x:c r="I12" s="143" t="n">
        <x:v>26</x:v>
      </x:c>
      <x:c r="J12" s="143"/>
      <x:c r="K12" s="83" t="str">
        <x:v>GW</x:v>
      </x:c>
      <x:c r="L12" s="83" t="str">
        <x:v>Italia</x:v>
      </x:c>
      <x:c r="M12" s="83" t="str">
        <x:v>Installed capacity</x:v>
      </x:c>
      <x:c r="N12" s="83" t="str">
        <x:v>Assunzione di scenario</x:v>
      </x:c>
      <x:c r="O12" s="83" t="str">
        <x:v>S09</x:v>
      </x:c>
      <x:c r="P12" s="83" t="str">
        <x:v>Documento_Descrizione_Scenari_2024_8dce2430d44d101.pdf</x:v>
      </x:c>
      <x:c r="Q12" s="83" t="n">
        <x:v>59</x:v>
      </x:c>
      <x:c r="R12" s="83" t="str">
        <x:v>56-57</x:v>
      </x:c>
      <x:c r="S12" s="83" t="str">
        <x:v>Tabella 13</x:v>
      </x:c>
      <x:c r="T12" s="83" t="str">
        <x:v>Direct table extraction</x:v>
      </x:c>
      <x:c r="U12" s="83" t="str">
        <x:v>A - Direct</x:v>
      </x:c>
      <x:c r="V12" s="83" t="str">
        <x:v>Capacity-fixed input after technology/geography reconciliation.</x:v>
      </x:c>
      <x:c r="W12" s="83" t="str"/>
    </x:row>
    <x:row r="13">
      <x:c r="A13" s="83" t="str">
        <x:v>CAP-0009</x:v>
      </x:c>
      <x:c r="B13" s="83" t="str">
        <x:v>PNIEC_POLICY_2030</x:v>
      </x:c>
      <x:c r="C13" s="83" t="n">
        <x:v>2030</x:v>
      </x:c>
      <x:c r="D13" s="83" t="str">
        <x:v>PNIEC Policy 2030</x:v>
      </x:c>
      <x:c r="E13" s="83" t="str">
        <x:v>Wind</x:v>
      </x:c>
      <x:c r="F13" s="83" t="str">
        <x:v>Eolico offshore</x:v>
      </x:c>
      <x:c r="G13" s="83" t="str">
        <x:v>Offshore</x:v>
      </x:c>
      <x:c r="H13" s="143"/>
      <x:c r="I13" s="143" t="n">
        <x:v>2.1</x:v>
      </x:c>
      <x:c r="J13" s="143"/>
      <x:c r="K13" s="83" t="str">
        <x:v>GW</x:v>
      </x:c>
      <x:c r="L13" s="83" t="str">
        <x:v>Italia</x:v>
      </x:c>
      <x:c r="M13" s="83" t="str">
        <x:v>Installed capacity</x:v>
      </x:c>
      <x:c r="N13" s="83" t="str">
        <x:v>Assunzione di scenario</x:v>
      </x:c>
      <x:c r="O13" s="83" t="str">
        <x:v>S09</x:v>
      </x:c>
      <x:c r="P13" s="83" t="str">
        <x:v>Documento_Descrizione_Scenari_2024_8dce2430d44d101.pdf</x:v>
      </x:c>
      <x:c r="Q13" s="83" t="n">
        <x:v>59</x:v>
      </x:c>
      <x:c r="R13" s="83" t="str">
        <x:v>56-57</x:v>
      </x:c>
      <x:c r="S13" s="83" t="str">
        <x:v>Tabella 13</x:v>
      </x:c>
      <x:c r="T13" s="83" t="str">
        <x:v>Direct table extraction</x:v>
      </x:c>
      <x:c r="U13" s="83" t="str">
        <x:v>A - Direct</x:v>
      </x:c>
      <x:c r="V13" s="83" t="str">
        <x:v>Capacity-fixed input after technology/geography reconciliation.</x:v>
      </x:c>
      <x:c r="W13" s="83" t="str">
        <x:v>2023 is zero/not present.</x:v>
      </x:c>
    </x:row>
    <x:row r="14">
      <x:c r="A14" s="83" t="str">
        <x:v>CAP-0010</x:v>
      </x:c>
      <x:c r="B14" s="83" t="str">
        <x:v>PNIEC_POLICY_2030</x:v>
      </x:c>
      <x:c r="C14" s="83" t="n">
        <x:v>2030</x:v>
      </x:c>
      <x:c r="D14" s="83" t="str">
        <x:v>PNIEC Policy 2030</x:v>
      </x:c>
      <x:c r="E14" s="83" t="str">
        <x:v>Variable renewables</x:v>
      </x:c>
      <x:c r="F14" s="83" t="str">
        <x:v>Solare + eolico</x:v>
      </x:c>
      <x:c r="G14" s="83" t="str">
        <x:v>Solar + onshore + offshore</x:v>
      </x:c>
      <x:c r="H14" s="143"/>
      <x:c r="I14" s="143" t="n">
        <x:v>107.4</x:v>
      </x:c>
      <x:c r="J14" s="143"/>
      <x:c r="K14" s="83" t="str">
        <x:v>GW</x:v>
      </x:c>
      <x:c r="L14" s="83" t="str">
        <x:v>Italia</x:v>
      </x:c>
      <x:c r="M14" s="83" t="str">
        <x:v>Installed capacity</x:v>
      </x:c>
      <x:c r="N14" s="83" t="str">
        <x:v>Assunzione di scenario</x:v>
      </x:c>
      <x:c r="O14" s="83" t="str">
        <x:v>S09</x:v>
      </x:c>
      <x:c r="P14" s="83" t="str">
        <x:v>Documento_Descrizione_Scenari_2024_8dce2430d44d101.pdf</x:v>
      </x:c>
      <x:c r="Q14" s="83" t="n">
        <x:v>59</x:v>
      </x:c>
      <x:c r="R14" s="83" t="str">
        <x:v>56-57</x:v>
      </x:c>
      <x:c r="S14" s="83" t="str">
        <x:v>Tabella 13</x:v>
      </x:c>
      <x:c r="T14" s="83" t="str">
        <x:v>Direct table extraction</x:v>
      </x:c>
      <x:c r="U14" s="83" t="str">
        <x:v>A - Direct</x:v>
      </x:c>
      <x:c r="V14" s="83" t="str">
        <x:v>Capacity-fixed input after technology/geography reconciliation.</x:v>
      </x:c>
      <x:c r="W14" s="83" t="str">
        <x:v>Despite table title 'Capacità FER', the listed total covers solar and wind only.</x:v>
      </x:c>
    </x:row>
    <x:row r="15">
      <x:c r="A15" s="83" t="str">
        <x:v>CAP-0011</x:v>
      </x:c>
      <x:c r="B15" s="83" t="str">
        <x:v>PNIEC_SLOW_2030</x:v>
      </x:c>
      <x:c r="C15" s="83" t="n">
        <x:v>2030</x:v>
      </x:c>
      <x:c r="D15" s="83" t="str">
        <x:v>PNIEC Slow 2030</x:v>
      </x:c>
      <x:c r="E15" s="83" t="str">
        <x:v>Renewables</x:v>
      </x:c>
      <x:c r="F15" s="83" t="str">
        <x:v>Totale FER installata</x:v>
      </x:c>
      <x:c r="G15" s="83" t="str">
        <x:v>All renewable technologies</x:v>
      </x:c>
      <x:c r="H15" s="143"/>
      <x:c r="I15" s="143" t="n">
        <x:v>115</x:v>
      </x:c>
      <x:c r="J15" s="143"/>
      <x:c r="K15" s="83" t="str">
        <x:v>GW</x:v>
      </x:c>
      <x:c r="L15" s="83" t="str">
        <x:v>Italia</x:v>
      </x:c>
      <x:c r="M15" s="83" t="str">
        <x:v>Installed capacity</x:v>
      </x:c>
      <x:c r="N15" s="83" t="str">
        <x:v>Assunzione di scenario</x:v>
      </x:c>
      <x:c r="O15" s="83" t="str">
        <x:v>S09</x:v>
      </x:c>
      <x:c r="P15" s="83" t="str">
        <x:v>Documento_Descrizione_Scenari_2024_8dce2430d44d101.pdf</x:v>
      </x:c>
      <x:c r="Q15" s="83" t="n">
        <x:v>14</x:v>
      </x:c>
      <x:c r="R15" s="83" t="str">
        <x:v>12-13</x:v>
      </x:c>
      <x:c r="S15" s="83" t="str">
        <x:v>Tabella 1</x:v>
      </x:c>
      <x:c r="T15" s="83" t="str">
        <x:v>Direct table extraction</x:v>
      </x:c>
      <x:c r="U15" s="83" t="str">
        <x:v>A - Direct</x:v>
      </x:c>
      <x:c r="V15" s="83" t="str">
        <x:v>Capacity-fixed input after technology/geography reconciliation.</x:v>
      </x:c>
      <x:c r="W15" s="83" t="str">
        <x:v>Includes hydro and other renewable capacity; rounded to whole GW.</x:v>
      </x:c>
    </x:row>
    <x:row r="16">
      <x:c r="A16" s="83" t="str">
        <x:v>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Solar</x:v>
      </x:c>
      <x:c r="F16" s="83" t="str">
        <x:v>Solare</x:v>
      </x:c>
      <x:c r="G16" s="83" t="str">
        <x:v>Total solar</x:v>
      </x:c>
      <x:c r="H16" s="143"/>
      <x:c r="I16" s="143" t="n">
        <x:v>70.6</x:v>
      </x:c>
      <x:c r="J16" s="143"/>
      <x:c r="K16" s="83" t="str">
        <x:v>GW</x:v>
      </x:c>
      <x:c r="L16" s="83" t="str">
        <x:v>Italia</x:v>
      </x:c>
      <x:c r="M16" s="83" t="str">
        <x:v>Installed capacity</x:v>
      </x:c>
      <x:c r="N16" s="83" t="str">
        <x:v>Assunzione di scenario</x:v>
      </x:c>
      <x:c r="O16" s="83" t="str">
        <x:v>S09</x:v>
      </x:c>
      <x:c r="P16" s="83" t="str">
        <x:v>Documento_Descrizione_Scenari_2024_8dce2430d44d101.pdf</x:v>
      </x:c>
      <x:c r="Q16" s="83" t="n">
        <x:v>59</x:v>
      </x:c>
      <x:c r="R16" s="83" t="str">
        <x:v>56-57</x:v>
      </x:c>
      <x:c r="S16" s="83" t="str">
        <x:v>Tabella 13</x:v>
      </x:c>
      <x:c r="T16" s="83" t="str">
        <x:v>Direct table extraction</x:v>
      </x:c>
      <x:c r="U16" s="83" t="str">
        <x:v>A - Direct</x:v>
      </x:c>
      <x:c r="V16" s="83" t="str">
        <x:v>Capacity-fixed input after technology/geography reconciliation.</x:v>
      </x:c>
      <x:c r="W16" s="83" t="str"/>
    </x:row>
    <x:row r="17">
      <x:c r="A17" s="83" t="str">
        <x:v>CAP-0013</x:v>
      </x:c>
      <x:c r="B17" s="83" t="str">
        <x:v>PNIEC_SLOW_2030</x:v>
      </x:c>
      <x:c r="C17" s="83" t="n">
        <x:v>2030</x:v>
      </x:c>
      <x:c r="D17" s="83" t="str">
        <x:v>PNIEC Slow 2030</x:v>
      </x:c>
      <x:c r="E17" s="83" t="str">
        <x:v>Wind</x:v>
      </x:c>
      <x:c r="F17" s="83" t="str">
        <x:v>Eolico onshore</x:v>
      </x:c>
      <x:c r="G17" s="83" t="str">
        <x:v>Onshore</x:v>
      </x:c>
      <x:c r="H17" s="143"/>
      <x:c r="I17" s="143" t="n">
        <x:v>20.7</x:v>
      </x:c>
      <x:c r="J17" s="143"/>
      <x:c r="K17" s="83" t="str">
        <x:v>GW</x:v>
      </x:c>
      <x:c r="L17" s="83" t="str">
        <x:v>Italia</x:v>
      </x:c>
      <x:c r="M17" s="83" t="str">
        <x:v>Installed capacity</x:v>
      </x:c>
      <x:c r="N17" s="83" t="str">
        <x:v>Assunzione di scenario</x:v>
      </x:c>
      <x:c r="O17" s="83" t="str">
        <x:v>S09</x:v>
      </x:c>
      <x:c r="P17" s="83" t="str">
        <x:v>Documento_Descrizione_Scenari_2024_8dce2430d44d101.pdf</x:v>
      </x:c>
      <x:c r="Q17" s="83" t="n">
        <x:v>59</x:v>
      </x:c>
      <x:c r="R17" s="83" t="str">
        <x:v>56-57</x:v>
      </x:c>
      <x:c r="S17" s="83" t="str">
        <x:v>Tabella 13</x:v>
      </x:c>
      <x:c r="T17" s="83" t="str">
        <x:v>Direct table extraction</x:v>
      </x:c>
      <x:c r="U17" s="83" t="str">
        <x:v>A - Direct</x:v>
      </x:c>
      <x:c r="V17" s="83" t="str">
        <x:v>Capacity-fixed input after technology/geography reconciliation.</x:v>
      </x:c>
      <x:c r="W17" s="83" t="str"/>
    </x:row>
    <x:row r="18">
      <x:c r="A18" s="83" t="str">
        <x:v>CAP-0014</x:v>
      </x:c>
      <x:c r="B18" s="83" t="str">
        <x:v>PNIEC_SLOW_2030</x:v>
      </x:c>
      <x:c r="C18" s="83" t="n">
        <x:v>2030</x:v>
      </x:c>
      <x:c r="D18" s="83" t="str">
        <x:v>PNIEC Slow 2030</x:v>
      </x:c>
      <x:c r="E18" s="83" t="str">
        <x:v>Wind</x:v>
      </x:c>
      <x:c r="F18" s="83" t="str">
        <x:v>Eolico offshore</x:v>
      </x:c>
      <x:c r="G18" s="83" t="str">
        <x:v>Offshore</x:v>
      </x:c>
      <x:c r="H18" s="143"/>
      <x:c r="I18" s="143" t="n">
        <x:v>1.2</x:v>
      </x:c>
      <x:c r="J18" s="143"/>
      <x:c r="K18" s="83" t="str">
        <x:v>GW</x:v>
      </x:c>
      <x:c r="L18" s="83" t="str">
        <x:v>Italia</x:v>
      </x:c>
      <x:c r="M18" s="83" t="str">
        <x:v>Installed capacity</x:v>
      </x:c>
      <x:c r="N18" s="83" t="str">
        <x:v>Assunzione di scenario</x:v>
      </x:c>
      <x:c r="O18" s="83" t="str">
        <x:v>S09</x:v>
      </x:c>
      <x:c r="P18" s="83" t="str">
        <x:v>Documento_Descrizione_Scenari_2024_8dce2430d44d101.pdf</x:v>
      </x:c>
      <x:c r="Q18" s="83" t="n">
        <x:v>59</x:v>
      </x:c>
      <x:c r="R18" s="83" t="str">
        <x:v>56-57</x:v>
      </x:c>
      <x:c r="S18" s="83" t="str">
        <x:v>Tabella 13</x:v>
      </x:c>
      <x:c r="T18" s="83" t="str">
        <x:v>Direct table extraction</x:v>
      </x:c>
      <x:c r="U18" s="83" t="str">
        <x:v>A - Direct</x:v>
      </x:c>
      <x:c r="V18" s="83" t="str">
        <x:v>Capacity-fixed input after technology/geography reconciliation.</x:v>
      </x:c>
      <x:c r="W18" s="83" t="str">
        <x:v>2023 is zero/not present.</x:v>
      </x:c>
    </x:row>
    <x:row r="19">
      <x:c r="A19" s="83" t="str">
        <x:v>CAP-0015</x:v>
      </x:c>
      <x:c r="B19" s="83" t="str">
        <x:v>PNIEC_SLOW_2030</x:v>
      </x:c>
      <x:c r="C19" s="83" t="n">
        <x:v>2030</x:v>
      </x:c>
      <x:c r="D19" s="83" t="str">
        <x:v>PNIEC Slow 2030</x:v>
      </x:c>
      <x:c r="E19" s="83" t="str">
        <x:v>Variable renewables</x:v>
      </x:c>
      <x:c r="F19" s="83" t="str">
        <x:v>Solare + eolico</x:v>
      </x:c>
      <x:c r="G19" s="83" t="str">
        <x:v>Solar + onshore + offshore</x:v>
      </x:c>
      <x:c r="H19" s="143"/>
      <x:c r="I19" s="143" t="n">
        <x:v>92.5</x:v>
      </x:c>
      <x:c r="J19" s="143"/>
      <x:c r="K19" s="83" t="str">
        <x:v>GW</x:v>
      </x:c>
      <x:c r="L19" s="83" t="str">
        <x:v>Italia</x:v>
      </x:c>
      <x:c r="M19" s="83" t="str">
        <x:v>Installed capacity</x:v>
      </x:c>
      <x:c r="N19" s="83" t="str">
        <x:v>Assunzione di scenario</x:v>
      </x:c>
      <x:c r="O19" s="83" t="str">
        <x:v>S09</x:v>
      </x:c>
      <x:c r="P19" s="83" t="str">
        <x:v>Documento_Descrizione_Scenari_2024_8dce2430d44d101.pdf</x:v>
      </x:c>
      <x:c r="Q19" s="83" t="n">
        <x:v>59</x:v>
      </x:c>
      <x:c r="R19" s="83" t="str">
        <x:v>56-57</x:v>
      </x:c>
      <x:c r="S19" s="83" t="str">
        <x:v>Tabella 13</x:v>
      </x:c>
      <x:c r="T19" s="83" t="str">
        <x:v>Direct table extraction</x:v>
      </x:c>
      <x:c r="U19" s="83" t="str">
        <x:v>A - Direct</x:v>
      </x:c>
      <x:c r="V19" s="83" t="str">
        <x:v>Capacity-fixed input after technology/geography reconciliation.</x:v>
      </x:c>
      <x:c r="W19" s="83" t="str">
        <x:v>Despite table title 'Capacità FER', the listed total covers solar and wind only.</x:v>
      </x:c>
    </x:row>
    <x:row r="20">
      <x:c r="A20" s="83" t="str">
        <x:v>CAP-0016</x:v>
      </x:c>
      <x:c r="B20" s="83" t="str">
        <x:v>DE_IT_2035</x:v>
      </x:c>
      <x:c r="C20" s="83" t="n">
        <x:v>2035</x:v>
      </x:c>
      <x:c r="D20" s="83" t="str">
        <x:v>DE-IT 2035</x:v>
      </x:c>
      <x:c r="E20" s="83" t="str">
        <x:v>Renewables</x:v>
      </x:c>
      <x:c r="F20" s="83" t="str">
        <x:v>Totale FER installata</x:v>
      </x:c>
      <x:c r="G20" s="83" t="str">
        <x:v>All renewable technologies</x:v>
      </x:c>
      <x:c r="H20" s="143"/>
      <x:c r="I20" s="143" t="n">
        <x:v>159</x:v>
      </x:c>
      <x:c r="J20" s="143"/>
      <x:c r="K20" s="83" t="str">
        <x:v>GW</x:v>
      </x:c>
      <x:c r="L20" s="83" t="str">
        <x:v>Italia</x:v>
      </x:c>
      <x:c r="M20" s="83" t="str">
        <x:v>Installed capacity</x:v>
      </x:c>
      <x:c r="N20" s="83" t="str">
        <x:v>Assunzione di scenario</x:v>
      </x:c>
      <x:c r="O20" s="83" t="str">
        <x:v>S09</x:v>
      </x:c>
      <x:c r="P20" s="83" t="str">
        <x:v>Documento_Descrizione_Scenari_2024_8dce2430d44d101.pdf</x:v>
      </x:c>
      <x:c r="Q20" s="83" t="n">
        <x:v>14</x:v>
      </x:c>
      <x:c r="R20" s="83" t="str">
        <x:v>12-13</x:v>
      </x:c>
      <x:c r="S20" s="83" t="str">
        <x:v>Tabella 1</x:v>
      </x:c>
      <x:c r="T20" s="83" t="str">
        <x:v>Direct table extraction</x:v>
      </x:c>
      <x:c r="U20" s="83" t="str">
        <x:v>A - Direct</x:v>
      </x:c>
      <x:c r="V20" s="83" t="str">
        <x:v>Capacity-fixed input after technology/geography reconciliation.</x:v>
      </x:c>
      <x:c r="W20" s="83" t="str">
        <x:v>Includes hydro and other renewable capacity; rounded to whole GW.</x:v>
      </x:c>
    </x:row>
    <x:row r="21">
      <x:c r="A21" s="83" t="str">
        <x:v>CAP-0017</x:v>
      </x:c>
      <x:c r="B21" s="83" t="str">
        <x:v>DE_IT_2035</x:v>
      </x:c>
      <x:c r="C21" s="83" t="n">
        <x:v>2035</x:v>
      </x:c>
      <x:c r="D21" s="83" t="str">
        <x:v>DE-IT 2035</x:v>
      </x:c>
      <x:c r="E21" s="83" t="str">
        <x:v>Solar</x:v>
      </x:c>
      <x:c r="F21" s="83" t="str">
        <x:v>Solare</x:v>
      </x:c>
      <x:c r="G21" s="83" t="str">
        <x:v>Total solar</x:v>
      </x:c>
      <x:c r="H21" s="143"/>
      <x:c r="I21" s="143" t="n">
        <x:v>100</x:v>
      </x:c>
      <x:c r="J21" s="143"/>
      <x:c r="K21" s="83" t="str">
        <x:v>GW</x:v>
      </x:c>
      <x:c r="L21" s="83" t="str">
        <x:v>Italia</x:v>
      </x:c>
      <x:c r="M21" s="83" t="str">
        <x:v>Installed capacity</x:v>
      </x:c>
      <x:c r="N21" s="83" t="str">
        <x:v>Assunzione di scenario</x:v>
      </x:c>
      <x:c r="O21" s="83" t="str">
        <x:v>S09</x:v>
      </x:c>
      <x:c r="P21" s="83" t="str">
        <x:v>Documento_Descrizione_Scenari_2024_8dce2430d44d101.pdf</x:v>
      </x:c>
      <x:c r="Q21" s="83" t="n">
        <x:v>59</x:v>
      </x:c>
      <x:c r="R21" s="83" t="str">
        <x:v>56-57</x:v>
      </x:c>
      <x:c r="S21" s="83" t="str">
        <x:v>Tabella 13</x:v>
      </x:c>
      <x:c r="T21" s="83" t="str">
        <x:v>Direct table extraction</x:v>
      </x:c>
      <x:c r="U21" s="83" t="str">
        <x:v>A - Direct</x:v>
      </x:c>
      <x:c r="V21" s="83" t="str">
        <x:v>Capacity-fixed input after technology/geography reconciliation.</x:v>
      </x:c>
      <x:c r="W21" s="83" t="str"/>
    </x:row>
    <x:row r="22">
      <x:c r="A22" s="83" t="str">
        <x:v>CAP-0018</x:v>
      </x:c>
      <x:c r="B22" s="83" t="str">
        <x:v>DE_IT_2035</x:v>
      </x:c>
      <x:c r="C22" s="83" t="n">
        <x:v>2035</x:v>
      </x:c>
      <x:c r="D22" s="83" t="str">
        <x:v>DE-IT 2035</x:v>
      </x:c>
      <x:c r="E22" s="83" t="str">
        <x:v>Wind</x:v>
      </x:c>
      <x:c r="F22" s="83" t="str">
        <x:v>Eolico onshore</x:v>
      </x:c>
      <x:c r="G22" s="83" t="str">
        <x:v>Onshore</x:v>
      </x:c>
      <x:c r="H22" s="143"/>
      <x:c r="I22" s="143" t="n">
        <x:v>30</x:v>
      </x:c>
      <x:c r="J22" s="143"/>
      <x:c r="K22" s="83" t="str">
        <x:v>GW</x:v>
      </x:c>
      <x:c r="L22" s="83" t="str">
        <x:v>Italia</x:v>
      </x:c>
      <x:c r="M22" s="83" t="str">
        <x:v>Installed capacity</x:v>
      </x:c>
      <x:c r="N22" s="83" t="str">
        <x:v>Assunzione di scenario</x:v>
      </x:c>
      <x:c r="O22" s="83" t="str">
        <x:v>S09</x:v>
      </x:c>
      <x:c r="P22" s="83" t="str">
        <x:v>Documento_Descrizione_Scenari_2024_8dce2430d44d101.pdf</x:v>
      </x:c>
      <x:c r="Q22" s="83" t="n">
        <x:v>59</x:v>
      </x:c>
      <x:c r="R22" s="83" t="str">
        <x:v>56-57</x:v>
      </x:c>
      <x:c r="S22" s="83" t="str">
        <x:v>Tabella 13</x:v>
      </x:c>
      <x:c r="T22" s="83" t="str">
        <x:v>Direct table extraction</x:v>
      </x:c>
      <x:c r="U22" s="83" t="str">
        <x:v>A - Direct</x:v>
      </x:c>
      <x:c r="V22" s="83" t="str">
        <x:v>Capacity-fixed input after technology/geography reconciliation.</x:v>
      </x:c>
      <x:c r="W22" s="83" t="str"/>
    </x:row>
    <x:row r="23">
      <x:c r="A23" s="83" t="str">
        <x:v>CAP-0019</x:v>
      </x:c>
      <x:c r="B23" s="83" t="str">
        <x:v>DE_IT_2035</x:v>
      </x:c>
      <x:c r="C23" s="83" t="n">
        <x:v>2035</x:v>
      </x:c>
      <x:c r="D23" s="83" t="str">
        <x:v>DE-IT 2035</x:v>
      </x:c>
      <x:c r="E23" s="83" t="str">
        <x:v>Wind</x:v>
      </x:c>
      <x:c r="F23" s="83" t="str">
        <x:v>Eolico offshore</x:v>
      </x:c>
      <x:c r="G23" s="83" t="str">
        <x:v>Offshore</x:v>
      </x:c>
      <x:c r="H23" s="143"/>
      <x:c r="I23" s="143" t="n">
        <x:v>7.1</x:v>
      </x:c>
      <x:c r="J23" s="143"/>
      <x:c r="K23" s="83" t="str">
        <x:v>GW</x:v>
      </x:c>
      <x:c r="L23" s="83" t="str">
        <x:v>Italia</x:v>
      </x:c>
      <x:c r="M23" s="83" t="str">
        <x:v>Installed capacity</x:v>
      </x:c>
      <x:c r="N23" s="83" t="str">
        <x:v>Assunzione di scenario</x:v>
      </x:c>
      <x:c r="O23" s="83" t="str">
        <x:v>S09</x:v>
      </x:c>
      <x:c r="P23" s="83" t="str">
        <x:v>Documento_Descrizione_Scenari_2024_8dce2430d44d101.pdf</x:v>
      </x:c>
      <x:c r="Q23" s="83" t="n">
        <x:v>59</x:v>
      </x:c>
      <x:c r="R23" s="83" t="str">
        <x:v>56-57</x:v>
      </x:c>
      <x:c r="S23" s="83" t="str">
        <x:v>Tabella 13</x:v>
      </x:c>
      <x:c r="T23" s="83" t="str">
        <x:v>Direct table extraction</x:v>
      </x:c>
      <x:c r="U23" s="83" t="str">
        <x:v>A - Direct</x:v>
      </x:c>
      <x:c r="V23" s="83" t="str">
        <x:v>Capacity-fixed input after technology/geography reconciliation.</x:v>
      </x:c>
      <x:c r="W23" s="83" t="str">
        <x:v>2023 is zero/not present.</x:v>
      </x:c>
    </x:row>
    <x:row r="24">
      <x:c r="A24" s="83" t="str">
        <x:v>CAP-0020</x:v>
      </x:c>
      <x:c r="B24" s="83" t="str">
        <x:v>DE_IT_2035</x:v>
      </x:c>
      <x:c r="C24" s="83" t="n">
        <x:v>2035</x:v>
      </x:c>
      <x:c r="D24" s="83" t="str">
        <x:v>DE-IT 2035</x:v>
      </x:c>
      <x:c r="E24" s="83" t="str">
        <x:v>Variable renewables</x:v>
      </x:c>
      <x:c r="F24" s="83" t="str">
        <x:v>Solare + eolico</x:v>
      </x:c>
      <x:c r="G24" s="83" t="str">
        <x:v>Solar + onshore + offshore</x:v>
      </x:c>
      <x:c r="H24" s="143"/>
      <x:c r="I24" s="143" t="n">
        <x:v>137.1</x:v>
      </x:c>
      <x:c r="J24" s="143"/>
      <x:c r="K24" s="83" t="str">
        <x:v>GW</x:v>
      </x:c>
      <x:c r="L24" s="83" t="str">
        <x:v>Italia</x:v>
      </x:c>
      <x:c r="M24" s="83" t="str">
        <x:v>Installed capacity</x:v>
      </x:c>
      <x:c r="N24" s="83" t="str">
        <x:v>Assunzione di scenario</x:v>
      </x:c>
      <x:c r="O24" s="83" t="str">
        <x:v>S09</x:v>
      </x:c>
      <x:c r="P24" s="83" t="str">
        <x:v>Documento_Descrizione_Scenari_2024_8dce2430d44d101.pdf</x:v>
      </x:c>
      <x:c r="Q24" s="83" t="n">
        <x:v>59</x:v>
      </x:c>
      <x:c r="R24" s="83" t="str">
        <x:v>56-57</x:v>
      </x:c>
      <x:c r="S24" s="83" t="str">
        <x:v>Tabella 13</x:v>
      </x:c>
      <x:c r="T24" s="83" t="str">
        <x:v>Direct table extraction</x:v>
      </x:c>
      <x:c r="U24" s="83" t="str">
        <x:v>A - Direct</x:v>
      </x:c>
      <x:c r="V24" s="83" t="str">
        <x:v>Capacity-fixed input after technology/geography reconciliation.</x:v>
      </x:c>
      <x:c r="W24" s="83" t="str">
        <x:v>Despite table title 'Capacità FER', the listed total covers solar and wind only.</x:v>
      </x:c>
    </x:row>
    <x:row r="25">
      <x:c r="A25" s="83" t="str">
        <x:v>CAP-0021</x:v>
      </x:c>
      <x:c r="B25" s="83" t="str">
        <x:v>GA_IT_2035</x:v>
      </x:c>
      <x:c r="C25" s="83" t="n">
        <x:v>2035</x:v>
      </x:c>
      <x:c r="D25" s="83" t="str">
        <x:v>GA-IT 2035</x:v>
      </x:c>
      <x:c r="E25" s="83" t="str">
        <x:v>Renewables</x:v>
      </x:c>
      <x:c r="F25" s="83" t="str">
        <x:v>Totale FER installata</x:v>
      </x:c>
      <x:c r="G25" s="83" t="str">
        <x:v>All renewable technologies</x:v>
      </x:c>
      <x:c r="H25" s="143"/>
      <x:c r="I25" s="143" t="n">
        <x:v>151</x:v>
      </x:c>
      <x:c r="J25" s="143"/>
      <x:c r="K25" s="83" t="str">
        <x:v>GW</x:v>
      </x:c>
      <x:c r="L25" s="83" t="str">
        <x:v>Italia</x:v>
      </x:c>
      <x:c r="M25" s="83" t="str">
        <x:v>Installed capacity</x:v>
      </x:c>
      <x:c r="N25" s="83" t="str">
        <x:v>Assunzione di scenario</x:v>
      </x:c>
      <x:c r="O25" s="83" t="str">
        <x:v>S09</x:v>
      </x:c>
      <x:c r="P25" s="83" t="str">
        <x:v>Documento_Descrizione_Scenari_2024_8dce2430d44d101.pdf</x:v>
      </x:c>
      <x:c r="Q25" s="83" t="n">
        <x:v>14</x:v>
      </x:c>
      <x:c r="R25" s="83" t="str">
        <x:v>12-13</x:v>
      </x:c>
      <x:c r="S25" s="83" t="str">
        <x:v>Tabella 1</x:v>
      </x:c>
      <x:c r="T25" s="83" t="str">
        <x:v>Direct table extraction</x:v>
      </x:c>
      <x:c r="U25" s="83" t="str">
        <x:v>A - Direct</x:v>
      </x:c>
      <x:c r="V25" s="83" t="str">
        <x:v>Capacity-fixed input after technology/geography reconciliation.</x:v>
      </x:c>
      <x:c r="W25" s="83" t="str">
        <x:v>Includes hydro and other renewable capacity; rounded to whole GW.</x:v>
      </x:c>
    </x:row>
    <x:row r="26">
      <x:c r="A26" s="83" t="str">
        <x:v>CAP-0022</x:v>
      </x:c>
      <x:c r="B26" s="83" t="str">
        <x:v>GA_IT_2035</x:v>
      </x:c>
      <x:c r="C26" s="83" t="n">
        <x:v>2035</x:v>
      </x:c>
      <x:c r="D26" s="83" t="str">
        <x:v>GA-IT 2035</x:v>
      </x:c>
      <x:c r="E26" s="83" t="str">
        <x:v>Solar</x:v>
      </x:c>
      <x:c r="F26" s="83" t="str">
        <x:v>Solare</x:v>
      </x:c>
      <x:c r="G26" s="83" t="str">
        <x:v>Total solar</x:v>
      </x:c>
      <x:c r="H26" s="143"/>
      <x:c r="I26" s="143" t="n">
        <x:v>95</x:v>
      </x:c>
      <x:c r="J26" s="143"/>
      <x:c r="K26" s="83" t="str">
        <x:v>GW</x:v>
      </x:c>
      <x:c r="L26" s="83" t="str">
        <x:v>Italia</x:v>
      </x:c>
      <x:c r="M26" s="83" t="str">
        <x:v>Installed capacity</x:v>
      </x:c>
      <x:c r="N26" s="83" t="str">
        <x:v>Assunzione di scenario</x:v>
      </x:c>
      <x:c r="O26" s="83" t="str">
        <x:v>S09</x:v>
      </x:c>
      <x:c r="P26" s="83" t="str">
        <x:v>Documento_Descrizione_Scenari_2024_8dce2430d44d101.pdf</x:v>
      </x:c>
      <x:c r="Q26" s="83" t="n">
        <x:v>59</x:v>
      </x:c>
      <x:c r="R26" s="83" t="str">
        <x:v>56-57</x:v>
      </x:c>
      <x:c r="S26" s="83" t="str">
        <x:v>Tabella 13</x:v>
      </x:c>
      <x:c r="T26" s="83" t="str">
        <x:v>Direct table extraction</x:v>
      </x:c>
      <x:c r="U26" s="83" t="str">
        <x:v>A - Direct</x:v>
      </x:c>
      <x:c r="V26" s="83" t="str">
        <x:v>Capacity-fixed input after technology/geography reconciliation.</x:v>
      </x:c>
      <x:c r="W26" s="83" t="str"/>
    </x:row>
    <x:row r="27">
      <x:c r="A27" s="83" t="str">
        <x:v>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Wind</x:v>
      </x:c>
      <x:c r="F27" s="83" t="str">
        <x:v>Eolico onshore</x:v>
      </x:c>
      <x:c r="G27" s="83" t="str">
        <x:v>Onshore</x:v>
      </x:c>
      <x:c r="H27" s="143"/>
      <x:c r="I27" s="143" t="n">
        <x:v>28</x:v>
      </x:c>
      <x:c r="J27" s="143"/>
      <x:c r="K27" s="83" t="str">
        <x:v>GW</x:v>
      </x:c>
      <x:c r="L27" s="83" t="str">
        <x:v>Italia</x:v>
      </x:c>
      <x:c r="M27" s="83" t="str">
        <x:v>Installed capacity</x:v>
      </x:c>
      <x:c r="N27" s="83" t="str">
        <x:v>Assunzione di scenario</x:v>
      </x:c>
      <x:c r="O27" s="83" t="str">
        <x:v>S09</x:v>
      </x:c>
      <x:c r="P27" s="83" t="str">
        <x:v>Documento_Descrizione_Scenari_2024_8dce2430d44d101.pdf</x:v>
      </x:c>
      <x:c r="Q27" s="83" t="n">
        <x:v>59</x:v>
      </x:c>
      <x:c r="R27" s="83" t="str">
        <x:v>56-57</x:v>
      </x:c>
      <x:c r="S27" s="83" t="str">
        <x:v>Tabella 13</x:v>
      </x:c>
      <x:c r="T27" s="83" t="str">
        <x:v>Direct table extraction</x:v>
      </x:c>
      <x:c r="U27" s="83" t="str">
        <x:v>A - Direct</x:v>
      </x:c>
      <x:c r="V27" s="83" t="str">
        <x:v>Capacity-fixed input after technology/geography reconciliation.</x:v>
      </x:c>
      <x:c r="W27" s="83" t="str"/>
    </x:row>
    <x:row r="28">
      <x:c r="A28" s="83" t="str">
        <x:v>CAP-0024</x:v>
      </x:c>
      <x:c r="B28" s="83" t="str">
        <x:v>GA_IT_2035</x:v>
      </x:c>
      <x:c r="C28" s="83" t="n">
        <x:v>2035</x:v>
      </x:c>
      <x:c r="D28" s="83" t="str">
        <x:v>GA-IT 2035</x:v>
      </x:c>
      <x:c r="E28" s="83" t="str">
        <x:v>Wind</x:v>
      </x:c>
      <x:c r="F28" s="83" t="str">
        <x:v>Eolico offshore</x:v>
      </x:c>
      <x:c r="G28" s="83" t="str">
        <x:v>Offshore</x:v>
      </x:c>
      <x:c r="H28" s="143"/>
      <x:c r="I28" s="143" t="n">
        <x:v>5.8</x:v>
      </x:c>
      <x:c r="J28" s="143"/>
      <x:c r="K28" s="83" t="str">
        <x:v>GW</x:v>
      </x:c>
      <x:c r="L28" s="83" t="str">
        <x:v>Italia</x:v>
      </x:c>
      <x:c r="M28" s="83" t="str">
        <x:v>Installed capacity</x:v>
      </x:c>
      <x:c r="N28" s="83" t="str">
        <x:v>Assunzione di scenario</x:v>
      </x:c>
      <x:c r="O28" s="83" t="str">
        <x:v>S09</x:v>
      </x:c>
      <x:c r="P28" s="83" t="str">
        <x:v>Documento_Descrizione_Scenari_2024_8dce2430d44d101.pdf</x:v>
      </x:c>
      <x:c r="Q28" s="83" t="n">
        <x:v>59</x:v>
      </x:c>
      <x:c r="R28" s="83" t="str">
        <x:v>56-57</x:v>
      </x:c>
      <x:c r="S28" s="83" t="str">
        <x:v>Tabella 13</x:v>
      </x:c>
      <x:c r="T28" s="83" t="str">
        <x:v>Direct table extraction</x:v>
      </x:c>
      <x:c r="U28" s="83" t="str">
        <x:v>A - Direct</x:v>
      </x:c>
      <x:c r="V28" s="83" t="str">
        <x:v>Capacity-fixed input after technology/geography reconciliation.</x:v>
      </x:c>
      <x:c r="W28" s="83" t="str">
        <x:v>2023 is zero/not present.</x:v>
      </x:c>
    </x:row>
    <x:row r="29">
      <x:c r="A29" s="83" t="str">
        <x:v>CAP-0025</x:v>
      </x:c>
      <x:c r="B29" s="83" t="str">
        <x:v>GA_IT_2035</x:v>
      </x:c>
      <x:c r="C29" s="83" t="n">
        <x:v>2035</x:v>
      </x:c>
      <x:c r="D29" s="83" t="str">
        <x:v>GA-IT 2035</x:v>
      </x:c>
      <x:c r="E29" s="83" t="str">
        <x:v>Variable renewables</x:v>
      </x:c>
      <x:c r="F29" s="83" t="str">
        <x:v>Solare + eolico</x:v>
      </x:c>
      <x:c r="G29" s="83" t="str">
        <x:v>Solar + onshore + offshore</x:v>
      </x:c>
      <x:c r="H29" s="143"/>
      <x:c r="I29" s="143" t="n">
        <x:v>128.8</x:v>
      </x:c>
      <x:c r="J29" s="143"/>
      <x:c r="K29" s="83" t="str">
        <x:v>GW</x:v>
      </x:c>
      <x:c r="L29" s="83" t="str">
        <x:v>Italia</x:v>
      </x:c>
      <x:c r="M29" s="83" t="str">
        <x:v>Installed capacity</x:v>
      </x:c>
      <x:c r="N29" s="83" t="str">
        <x:v>Assunzione di scenario</x:v>
      </x:c>
      <x:c r="O29" s="83" t="str">
        <x:v>S09</x:v>
      </x:c>
      <x:c r="P29" s="83" t="str">
        <x:v>Documento_Descrizione_Scenari_2024_8dce2430d44d101.pdf</x:v>
      </x:c>
      <x:c r="Q29" s="83" t="n">
        <x:v>59</x:v>
      </x:c>
      <x:c r="R29" s="83" t="str">
        <x:v>56-57</x:v>
      </x:c>
      <x:c r="S29" s="83" t="str">
        <x:v>Tabella 13</x:v>
      </x:c>
      <x:c r="T29" s="83" t="str">
        <x:v>Direct table extraction</x:v>
      </x:c>
      <x:c r="U29" s="83" t="str">
        <x:v>A - Direct</x:v>
      </x:c>
      <x:c r="V29" s="83" t="str">
        <x:v>Capacity-fixed input after technology/geography reconciliation.</x:v>
      </x:c>
      <x:c r="W29" s="83" t="str">
        <x:v>Despite table title 'Capacità FER', the listed total covers solar and wind only.</x:v>
      </x:c>
    </x:row>
    <x:row r="30">
      <x:c r="A30" s="83" t="str">
        <x:v>CAP-0026</x:v>
      </x:c>
      <x:c r="B30" s="83" t="str">
        <x:v>PNIEC_SLOW_2035</x:v>
      </x:c>
      <x:c r="C30" s="83" t="n">
        <x:v>2035</x:v>
      </x:c>
      <x:c r="D30" s="83" t="str">
        <x:v>PNIEC Slow 2035</x:v>
      </x:c>
      <x:c r="E30" s="83" t="str">
        <x:v>Renewables</x:v>
      </x:c>
      <x:c r="F30" s="83" t="str">
        <x:v>Totale FER installata</x:v>
      </x:c>
      <x:c r="G30" s="83" t="str">
        <x:v>All renewable technologies</x:v>
      </x:c>
      <x:c r="H30" s="143"/>
      <x:c r="I30" s="143" t="n">
        <x:v>139</x:v>
      </x:c>
      <x:c r="J30" s="143"/>
      <x:c r="K30" s="83" t="str">
        <x:v>GW</x:v>
      </x:c>
      <x:c r="L30" s="83" t="str">
        <x:v>Italia</x:v>
      </x:c>
      <x:c r="M30" s="83" t="str">
        <x:v>Installed capacity</x:v>
      </x:c>
      <x:c r="N30" s="83" t="str">
        <x:v>Assunzione di scenario</x:v>
      </x:c>
      <x:c r="O30" s="83" t="str">
        <x:v>S09</x:v>
      </x:c>
      <x:c r="P30" s="83" t="str">
        <x:v>Documento_Descrizione_Scenari_2024_8dce2430d44d101.pdf</x:v>
      </x:c>
      <x:c r="Q30" s="83" t="n">
        <x:v>14</x:v>
      </x:c>
      <x:c r="R30" s="83" t="str">
        <x:v>12-13</x:v>
      </x:c>
      <x:c r="S30" s="83" t="str">
        <x:v>Tabella 1</x:v>
      </x:c>
      <x:c r="T30" s="83" t="str">
        <x:v>Direct table extraction</x:v>
      </x:c>
      <x:c r="U30" s="83" t="str">
        <x:v>A - Direct</x:v>
      </x:c>
      <x:c r="V30" s="83" t="str">
        <x:v>Capacity-fixed input after technology/geography reconciliation.</x:v>
      </x:c>
      <x:c r="W30" s="83" t="str">
        <x:v>Includes hydro and other renewable capacity; rounded to whole GW.</x:v>
      </x:c>
    </x:row>
    <x:row r="31">
      <x:c r="A31" s="83" t="str">
        <x:v>CAP-0027</x:v>
      </x:c>
      <x:c r="B31" s="83" t="str">
        <x:v>PNIEC_SLOW_2035</x:v>
      </x:c>
      <x:c r="C31" s="83" t="n">
        <x:v>2035</x:v>
      </x:c>
      <x:c r="D31" s="83" t="str">
        <x:v>PNIEC Slow 2035</x:v>
      </x:c>
      <x:c r="E31" s="83" t="str">
        <x:v>Solar</x:v>
      </x:c>
      <x:c r="F31" s="83" t="str">
        <x:v>Solare</x:v>
      </x:c>
      <x:c r="G31" s="83" t="str">
        <x:v>Total solar</x:v>
      </x:c>
      <x:c r="H31" s="143"/>
      <x:c r="I31" s="143" t="n">
        <x:v>87</x:v>
      </x:c>
      <x:c r="J31" s="143"/>
      <x:c r="K31" s="83" t="str">
        <x:v>GW</x:v>
      </x:c>
      <x:c r="L31" s="83" t="str">
        <x:v>Italia</x:v>
      </x:c>
      <x:c r="M31" s="83" t="str">
        <x:v>Installed capacity</x:v>
      </x:c>
      <x:c r="N31" s="83" t="str">
        <x:v>Assunzione di scenario</x:v>
      </x:c>
      <x:c r="O31" s="83" t="str">
        <x:v>S09</x:v>
      </x:c>
      <x:c r="P31" s="83" t="str">
        <x:v>Documento_Descrizione_Scenari_2024_8dce2430d44d101.pdf</x:v>
      </x:c>
      <x:c r="Q31" s="83" t="n">
        <x:v>59</x:v>
      </x:c>
      <x:c r="R31" s="83" t="str">
        <x:v>56-57</x:v>
      </x:c>
      <x:c r="S31" s="83" t="str">
        <x:v>Tabella 13</x:v>
      </x:c>
      <x:c r="T31" s="83" t="str">
        <x:v>Direct table extraction</x:v>
      </x:c>
      <x:c r="U31" s="83" t="str">
        <x:v>A - Direct</x:v>
      </x:c>
      <x:c r="V31" s="83" t="str">
        <x:v>Capacity-fixed input after technology/geography reconciliation.</x:v>
      </x:c>
      <x:c r="W31" s="83" t="str"/>
    </x:row>
    <x:row r="32">
      <x:c r="A32" s="83" t="str">
        <x:v>CAP-0028</x:v>
      </x:c>
      <x:c r="B32" s="83" t="str">
        <x:v>PNIEC_SLOW_2035</x:v>
      </x:c>
      <x:c r="C32" s="83" t="n">
        <x:v>2035</x:v>
      </x:c>
      <x:c r="D32" s="83" t="str">
        <x:v>PNIEC Slow 2035</x:v>
      </x:c>
      <x:c r="E32" s="83" t="str">
        <x:v>Wind</x:v>
      </x:c>
      <x:c r="F32" s="83" t="str">
        <x:v>Eolico onshore</x:v>
      </x:c>
      <x:c r="G32" s="83" t="str">
        <x:v>Onshore</x:v>
      </x:c>
      <x:c r="H32" s="143"/>
      <x:c r="I32" s="143" t="n">
        <x:v>25</x:v>
      </x:c>
      <x:c r="J32" s="143"/>
      <x:c r="K32" s="83" t="str">
        <x:v>GW</x:v>
      </x:c>
      <x:c r="L32" s="83" t="str">
        <x:v>Italia</x:v>
      </x:c>
      <x:c r="M32" s="83" t="str">
        <x:v>Installed capacity</x:v>
      </x:c>
      <x:c r="N32" s="83" t="str">
        <x:v>Assunzione di scenario</x:v>
      </x:c>
      <x:c r="O32" s="83" t="str">
        <x:v>S09</x:v>
      </x:c>
      <x:c r="P32" s="83" t="str">
        <x:v>Documento_Descrizione_Scenari_2024_8dce2430d44d101.pdf</x:v>
      </x:c>
      <x:c r="Q32" s="83" t="n">
        <x:v>59</x:v>
      </x:c>
      <x:c r="R32" s="83" t="str">
        <x:v>56-57</x:v>
      </x:c>
      <x:c r="S32" s="83" t="str">
        <x:v>Tabella 13</x:v>
      </x:c>
      <x:c r="T32" s="83" t="str">
        <x:v>Direct table extraction</x:v>
      </x:c>
      <x:c r="U32" s="83" t="str">
        <x:v>A - Direct</x:v>
      </x:c>
      <x:c r="V32" s="83" t="str">
        <x:v>Capacity-fixed input after technology/geography reconciliation.</x:v>
      </x:c>
      <x:c r="W32" s="83" t="str"/>
    </x:row>
    <x:row r="33">
      <x:c r="A33" s="83" t="str">
        <x:v>CAP-0029</x:v>
      </x:c>
      <x:c r="B33" s="83" t="str">
        <x:v>PNIEC_SLOW_2035</x:v>
      </x:c>
      <x:c r="C33" s="83" t="n">
        <x:v>2035</x:v>
      </x:c>
      <x:c r="D33" s="83" t="str">
        <x:v>PNIEC Slow 2035</x:v>
      </x:c>
      <x:c r="E33" s="83" t="str">
        <x:v>Wind</x:v>
      </x:c>
      <x:c r="F33" s="83" t="str">
        <x:v>Eolico offshore</x:v>
      </x:c>
      <x:c r="G33" s="83" t="str">
        <x:v>Offshore</x:v>
      </x:c>
      <x:c r="H33" s="143"/>
      <x:c r="I33" s="143" t="n">
        <x:v>4.3</x:v>
      </x:c>
      <x:c r="J33" s="143"/>
      <x:c r="K33" s="83" t="str">
        <x:v>GW</x:v>
      </x:c>
      <x:c r="L33" s="83" t="str">
        <x:v>Italia</x:v>
      </x:c>
      <x:c r="M33" s="83" t="str">
        <x:v>Installed capacity</x:v>
      </x:c>
      <x:c r="N33" s="83" t="str">
        <x:v>Assunzione di scenario</x:v>
      </x:c>
      <x:c r="O33" s="83" t="str">
        <x:v>S09</x:v>
      </x:c>
      <x:c r="P33" s="83" t="str">
        <x:v>Documento_Descrizione_Scenari_2024_8dce2430d44d101.pdf</x:v>
      </x:c>
      <x:c r="Q33" s="83" t="n">
        <x:v>59</x:v>
      </x:c>
      <x:c r="R33" s="83" t="str">
        <x:v>56-57</x:v>
      </x:c>
      <x:c r="S33" s="83" t="str">
        <x:v>Tabella 13</x:v>
      </x:c>
      <x:c r="T33" s="83" t="str">
        <x:v>Direct table extraction</x:v>
      </x:c>
      <x:c r="U33" s="83" t="str">
        <x:v>A - Direct</x:v>
      </x:c>
      <x:c r="V33" s="83" t="str">
        <x:v>Capacity-fixed input after technology/geography reconciliation.</x:v>
      </x:c>
      <x:c r="W33" s="83" t="str">
        <x:v>2023 is zero/not present.</x:v>
      </x:c>
    </x:row>
    <x:row r="34">
      <x:c r="A34" s="83" t="str">
        <x:v>CAP-0030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Variable renewables</x:v>
      </x:c>
      <x:c r="F34" s="83" t="str">
        <x:v>Solare + eolico</x:v>
      </x:c>
      <x:c r="G34" s="83" t="str">
        <x:v>Solar + onshore + offshore</x:v>
      </x:c>
      <x:c r="H34" s="143"/>
      <x:c r="I34" s="143" t="n">
        <x:v>116.3</x:v>
      </x:c>
      <x:c r="J34" s="143"/>
      <x:c r="K34" s="83" t="str">
        <x:v>GW</x:v>
      </x:c>
      <x:c r="L34" s="83" t="str">
        <x:v>Italia</x:v>
      </x:c>
      <x:c r="M34" s="83" t="str">
        <x:v>Installed capacity</x:v>
      </x:c>
      <x:c r="N34" s="83" t="str">
        <x:v>Assunzione di scenario</x:v>
      </x:c>
      <x:c r="O34" s="83" t="str">
        <x:v>S09</x:v>
      </x:c>
      <x:c r="P34" s="83" t="str">
        <x:v>Documento_Descrizione_Scenari_2024_8dce2430d44d101.pdf</x:v>
      </x:c>
      <x:c r="Q34" s="83" t="n">
        <x:v>59</x:v>
      </x:c>
      <x:c r="R34" s="83" t="str">
        <x:v>56-57</x:v>
      </x:c>
      <x:c r="S34" s="83" t="str">
        <x:v>Tabella 13</x:v>
      </x:c>
      <x:c r="T34" s="83" t="str">
        <x:v>Direct table extraction</x:v>
      </x:c>
      <x:c r="U34" s="83" t="str">
        <x:v>A - Direct</x:v>
      </x:c>
      <x:c r="V34" s="83" t="str">
        <x:v>Capacity-fixed input after technology/geography reconciliation.</x:v>
      </x:c>
      <x:c r="W34" s="83" t="str">
        <x:v>Despite table title 'Capacità FER', the listed total covers solar and wind only.</x:v>
      </x:c>
    </x:row>
    <x:row r="35">
      <x:c r="A35" s="83" t="str">
        <x:v>CAP-0031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Renewables</x:v>
      </x:c>
      <x:c r="F35" s="83" t="str">
        <x:v>Totale FER installata</x:v>
      </x:c>
      <x:c r="G35" s="83" t="str">
        <x:v>All renewable technologies</x:v>
      </x:c>
      <x:c r="H35" s="143"/>
      <x:c r="I35" s="143" t="n">
        <x:v>192</x:v>
      </x:c>
      <x:c r="J35" s="143"/>
      <x:c r="K35" s="83" t="str">
        <x:v>GW</x:v>
      </x:c>
      <x:c r="L35" s="83" t="str">
        <x:v>Italia</x:v>
      </x:c>
      <x:c r="M35" s="83" t="str">
        <x:v>Installed capacity</x:v>
      </x:c>
      <x:c r="N35" s="83" t="str">
        <x:v>Assunzione di scenario</x:v>
      </x:c>
      <x:c r="O35" s="83" t="str">
        <x:v>S09</x:v>
      </x:c>
      <x:c r="P35" s="83" t="str">
        <x:v>Documento_Descrizione_Scenari_2024_8dce2430d44d101.pdf</x:v>
      </x:c>
      <x:c r="Q35" s="83" t="n">
        <x:v>14</x:v>
      </x:c>
      <x:c r="R35" s="83" t="str">
        <x:v>12-13</x:v>
      </x:c>
      <x:c r="S35" s="83" t="str">
        <x:v>Tabella 1</x:v>
      </x:c>
      <x:c r="T35" s="83" t="str">
        <x:v>Direct table extraction</x:v>
      </x:c>
      <x:c r="U35" s="83" t="str">
        <x:v>A - Direct</x:v>
      </x:c>
      <x:c r="V35" s="83" t="str">
        <x:v>Capacity-fixed input after technology/geography reconciliation.</x:v>
      </x:c>
      <x:c r="W35" s="83" t="str">
        <x:v>Includes hydro and other renewable capacity; rounded to whole GW.</x:v>
      </x:c>
    </x:row>
    <x:row r="36">
      <x:c r="A36" s="83" t="str">
        <x:v>CAP-0032</x:v>
      </x:c>
      <x:c r="B36" s="83" t="str">
        <x:v>DE_IT_2040</x:v>
      </x:c>
      <x:c r="C36" s="83" t="n">
        <x:v>2040</x:v>
      </x:c>
      <x:c r="D36" s="83" t="str">
        <x:v>DE-IT 2040</x:v>
      </x:c>
      <x:c r="E36" s="83" t="str">
        <x:v>Solar</x:v>
      </x:c>
      <x:c r="F36" s="83" t="str">
        <x:v>Solare</x:v>
      </x:c>
      <x:c r="G36" s="83" t="str">
        <x:v>Total solar</x:v>
      </x:c>
      <x:c r="H36" s="143"/>
      <x:c r="I36" s="143" t="n">
        <x:v>121</x:v>
      </x:c>
      <x:c r="J36" s="143"/>
      <x:c r="K36" s="83" t="str">
        <x:v>GW</x:v>
      </x:c>
      <x:c r="L36" s="83" t="str">
        <x:v>Italia</x:v>
      </x:c>
      <x:c r="M36" s="83" t="str">
        <x:v>Installed capacity</x:v>
      </x:c>
      <x:c r="N36" s="83" t="str">
        <x:v>Assunzione di scenario</x:v>
      </x:c>
      <x:c r="O36" s="83" t="str">
        <x:v>S09</x:v>
      </x:c>
      <x:c r="P36" s="83" t="str">
        <x:v>Documento_Descrizione_Scenari_2024_8dce2430d44d101.pdf</x:v>
      </x:c>
      <x:c r="Q36" s="83" t="n">
        <x:v>59</x:v>
      </x:c>
      <x:c r="R36" s="83" t="str">
        <x:v>56-57</x:v>
      </x:c>
      <x:c r="S36" s="83" t="str">
        <x:v>Tabella 13</x:v>
      </x:c>
      <x:c r="T36" s="83" t="str">
        <x:v>Direct table extraction</x:v>
      </x:c>
      <x:c r="U36" s="83" t="str">
        <x:v>A - Direct</x:v>
      </x:c>
      <x:c r="V36" s="83" t="str">
        <x:v>Capacity-fixed input after technology/geography reconciliation.</x:v>
      </x:c>
      <x:c r="W36" s="83" t="str"/>
    </x:row>
    <x:row r="37">
      <x:c r="A37" s="83" t="str">
        <x:v>CAP-0033</x:v>
      </x:c>
      <x:c r="B37" s="83" t="str">
        <x:v>DE_IT_2040</x:v>
      </x:c>
      <x:c r="C37" s="83" t="n">
        <x:v>2040</x:v>
      </x:c>
      <x:c r="D37" s="83" t="str">
        <x:v>DE-IT 2040</x:v>
      </x:c>
      <x:c r="E37" s="83" t="str">
        <x:v>Wind</x:v>
      </x:c>
      <x:c r="F37" s="83" t="str">
        <x:v>Eolico onshore</x:v>
      </x:c>
      <x:c r="G37" s="83" t="str">
        <x:v>Onshore</x:v>
      </x:c>
      <x:c r="H37" s="143"/>
      <x:c r="I37" s="143" t="n">
        <x:v>34</x:v>
      </x:c>
      <x:c r="J37" s="143"/>
      <x:c r="K37" s="83" t="str">
        <x:v>GW</x:v>
      </x:c>
      <x:c r="L37" s="83" t="str">
        <x:v>Italia</x:v>
      </x:c>
      <x:c r="M37" s="83" t="str">
        <x:v>Installed capacity</x:v>
      </x:c>
      <x:c r="N37" s="83" t="str">
        <x:v>Assunzione di scenario</x:v>
      </x:c>
      <x:c r="O37" s="83" t="str">
        <x:v>S09</x:v>
      </x:c>
      <x:c r="P37" s="83" t="str">
        <x:v>Documento_Descrizione_Scenari_2024_8dce2430d44d101.pdf</x:v>
      </x:c>
      <x:c r="Q37" s="83" t="n">
        <x:v>59</x:v>
      </x:c>
      <x:c r="R37" s="83" t="str">
        <x:v>56-57</x:v>
      </x:c>
      <x:c r="S37" s="83" t="str">
        <x:v>Tabella 13</x:v>
      </x:c>
      <x:c r="T37" s="83" t="str">
        <x:v>Direct table extraction</x:v>
      </x:c>
      <x:c r="U37" s="83" t="str">
        <x:v>A - Direct</x:v>
      </x:c>
      <x:c r="V37" s="83" t="str">
        <x:v>Capacity-fixed input after technology/geography reconciliation.</x:v>
      </x:c>
      <x:c r="W37" s="83" t="str"/>
    </x:row>
    <x:row r="38">
      <x:c r="A38" s="83" t="str">
        <x:v>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Wind</x:v>
      </x:c>
      <x:c r="F38" s="83" t="str">
        <x:v>Eolico offshore</x:v>
      </x:c>
      <x:c r="G38" s="83" t="str">
        <x:v>Offshore</x:v>
      </x:c>
      <x:c r="H38" s="143"/>
      <x:c r="I38" s="143" t="n">
        <x:v>15.1</x:v>
      </x:c>
      <x:c r="J38" s="143"/>
      <x:c r="K38" s="83" t="str">
        <x:v>GW</x:v>
      </x:c>
      <x:c r="L38" s="83" t="str">
        <x:v>Italia</x:v>
      </x:c>
      <x:c r="M38" s="83" t="str">
        <x:v>Installed capacity</x:v>
      </x:c>
      <x:c r="N38" s="83" t="str">
        <x:v>Assunzione di scenario</x:v>
      </x:c>
      <x:c r="O38" s="83" t="str">
        <x:v>S09</x:v>
      </x:c>
      <x:c r="P38" s="83" t="str">
        <x:v>Documento_Descrizione_Scenari_2024_8dce2430d44d101.pdf</x:v>
      </x:c>
      <x:c r="Q38" s="83" t="n">
        <x:v>59</x:v>
      </x:c>
      <x:c r="R38" s="83" t="str">
        <x:v>56-57</x:v>
      </x:c>
      <x:c r="S38" s="83" t="str">
        <x:v>Tabella 13</x:v>
      </x:c>
      <x:c r="T38" s="83" t="str">
        <x:v>Direct table extraction</x:v>
      </x:c>
      <x:c r="U38" s="83" t="str">
        <x:v>A - Direct</x:v>
      </x:c>
      <x:c r="V38" s="83" t="str">
        <x:v>Capacity-fixed input after technology/geography reconciliation.</x:v>
      </x:c>
      <x:c r="W38" s="83" t="str">
        <x:v>2023 is zero/not present.</x:v>
      </x:c>
    </x:row>
    <x:row r="39">
      <x:c r="A39" s="83" t="str">
        <x:v>CAP-0035</x:v>
      </x:c>
      <x:c r="B39" s="83" t="str">
        <x:v>DE_IT_2040</x:v>
      </x:c>
      <x:c r="C39" s="83" t="n">
        <x:v>2040</x:v>
      </x:c>
      <x:c r="D39" s="83" t="str">
        <x:v>DE-IT 2040</x:v>
      </x:c>
      <x:c r="E39" s="83" t="str">
        <x:v>Variable renewables</x:v>
      </x:c>
      <x:c r="F39" s="83" t="str">
        <x:v>Solare + eolico</x:v>
      </x:c>
      <x:c r="G39" s="83" t="str">
        <x:v>Solar + onshore + offshore</x:v>
      </x:c>
      <x:c r="H39" s="143"/>
      <x:c r="I39" s="143" t="n">
        <x:v>170.1</x:v>
      </x:c>
      <x:c r="J39" s="143"/>
      <x:c r="K39" s="83" t="str">
        <x:v>GW</x:v>
      </x:c>
      <x:c r="L39" s="83" t="str">
        <x:v>Italia</x:v>
      </x:c>
      <x:c r="M39" s="83" t="str">
        <x:v>Installed capacity</x:v>
      </x:c>
      <x:c r="N39" s="83" t="str">
        <x:v>Assunzione di scenario</x:v>
      </x:c>
      <x:c r="O39" s="83" t="str">
        <x:v>S09</x:v>
      </x:c>
      <x:c r="P39" s="83" t="str">
        <x:v>Documento_Descrizione_Scenari_2024_8dce2430d44d101.pdf</x:v>
      </x:c>
      <x:c r="Q39" s="83" t="n">
        <x:v>59</x:v>
      </x:c>
      <x:c r="R39" s="83" t="str">
        <x:v>56-57</x:v>
      </x:c>
      <x:c r="S39" s="83" t="str">
        <x:v>Tabella 13</x:v>
      </x:c>
      <x:c r="T39" s="83" t="str">
        <x:v>Direct table extraction</x:v>
      </x:c>
      <x:c r="U39" s="83" t="str">
        <x:v>A - Direct</x:v>
      </x:c>
      <x:c r="V39" s="83" t="str">
        <x:v>Capacity-fixed input after technology/geography reconciliation.</x:v>
      </x:c>
      <x:c r="W39" s="83" t="str">
        <x:v>Despite table title 'Capacità FER', the listed total covers solar and wind only.</x:v>
      </x:c>
    </x:row>
    <x:row r="40">
      <x:c r="A40" s="83" t="str">
        <x:v>CAP-0036</x:v>
      </x:c>
      <x:c r="B40" s="83" t="str">
        <x:v>GA_IT_2040</x:v>
      </x:c>
      <x:c r="C40" s="83" t="n">
        <x:v>2040</x:v>
      </x:c>
      <x:c r="D40" s="83" t="str">
        <x:v>GA-IT 2040</x:v>
      </x:c>
      <x:c r="E40" s="83" t="str">
        <x:v>Renewables</x:v>
      </x:c>
      <x:c r="F40" s="83" t="str">
        <x:v>Totale FER installata</x:v>
      </x:c>
      <x:c r="G40" s="83" t="str">
        <x:v>All renewable technologies</x:v>
      </x:c>
      <x:c r="H40" s="143"/>
      <x:c r="I40" s="143" t="n">
        <x:v>176</x:v>
      </x:c>
      <x:c r="J40" s="143"/>
      <x:c r="K40" s="83" t="str">
        <x:v>GW</x:v>
      </x:c>
      <x:c r="L40" s="83" t="str">
        <x:v>Italia</x:v>
      </x:c>
      <x:c r="M40" s="83" t="str">
        <x:v>Installed capacity</x:v>
      </x:c>
      <x:c r="N40" s="83" t="str">
        <x:v>Assunzione di scenario</x:v>
      </x:c>
      <x:c r="O40" s="83" t="str">
        <x:v>S09</x:v>
      </x:c>
      <x:c r="P40" s="83" t="str">
        <x:v>Documento_Descrizione_Scenari_2024_8dce2430d44d101.pdf</x:v>
      </x:c>
      <x:c r="Q40" s="83" t="n">
        <x:v>14</x:v>
      </x:c>
      <x:c r="R40" s="83" t="str">
        <x:v>12-13</x:v>
      </x:c>
      <x:c r="S40" s="83" t="str">
        <x:v>Tabella 1</x:v>
      </x:c>
      <x:c r="T40" s="83" t="str">
        <x:v>Direct table extraction</x:v>
      </x:c>
      <x:c r="U40" s="83" t="str">
        <x:v>A - Direct</x:v>
      </x:c>
      <x:c r="V40" s="83" t="str">
        <x:v>Capacity-fixed input after technology/geography reconciliation.</x:v>
      </x:c>
      <x:c r="W40" s="83" t="str">
        <x:v>Includes hydro and other renewable capacity; rounded to whole GW.</x:v>
      </x:c>
    </x:row>
    <x:row r="41">
      <x:c r="A41" s="83" t="str">
        <x:v>CAP-0037</x:v>
      </x:c>
      <x:c r="B41" s="83" t="str">
        <x:v>GA_IT_2040</x:v>
      </x:c>
      <x:c r="C41" s="83" t="n">
        <x:v>2040</x:v>
      </x:c>
      <x:c r="D41" s="83" t="str">
        <x:v>GA-IT 2040</x:v>
      </x:c>
      <x:c r="E41" s="83" t="str">
        <x:v>Solar</x:v>
      </x:c>
      <x:c r="F41" s="83" t="str">
        <x:v>Solare</x:v>
      </x:c>
      <x:c r="G41" s="83" t="str">
        <x:v>Total solar</x:v>
      </x:c>
      <x:c r="H41" s="143"/>
      <x:c r="I41" s="143" t="n">
        <x:v>111</x:v>
      </x:c>
      <x:c r="J41" s="143"/>
      <x:c r="K41" s="83" t="str">
        <x:v>GW</x:v>
      </x:c>
      <x:c r="L41" s="83" t="str">
        <x:v>Italia</x:v>
      </x:c>
      <x:c r="M41" s="83" t="str">
        <x:v>Installed capacity</x:v>
      </x:c>
      <x:c r="N41" s="83" t="str">
        <x:v>Assunzione di scenario</x:v>
      </x:c>
      <x:c r="O41" s="83" t="str">
        <x:v>S09</x:v>
      </x:c>
      <x:c r="P41" s="83" t="str">
        <x:v>Documento_Descrizione_Scenari_2024_8dce2430d44d101.pdf</x:v>
      </x:c>
      <x:c r="Q41" s="83" t="n">
        <x:v>59</x:v>
      </x:c>
      <x:c r="R41" s="83" t="str">
        <x:v>56-57</x:v>
      </x:c>
      <x:c r="S41" s="83" t="str">
        <x:v>Tabella 13</x:v>
      </x:c>
      <x:c r="T41" s="83" t="str">
        <x:v>Direct table extraction</x:v>
      </x:c>
      <x:c r="U41" s="83" t="str">
        <x:v>A - Direct</x:v>
      </x:c>
      <x:c r="V41" s="83" t="str">
        <x:v>Capacity-fixed input after technology/geography reconciliation.</x:v>
      </x:c>
      <x:c r="W41" s="83" t="str"/>
    </x:row>
    <x:row r="42">
      <x:c r="A42" s="83" t="str">
        <x:v>CAP-0038</x:v>
      </x:c>
      <x:c r="B42" s="83" t="str">
        <x:v>GA_IT_2040</x:v>
      </x:c>
      <x:c r="C42" s="83" t="n">
        <x:v>2040</x:v>
      </x:c>
      <x:c r="D42" s="83" t="str">
        <x:v>GA-IT 2040</x:v>
      </x:c>
      <x:c r="E42" s="83" t="str">
        <x:v>Wind</x:v>
      </x:c>
      <x:c r="F42" s="83" t="str">
        <x:v>Eolico onshore</x:v>
      </x:c>
      <x:c r="G42" s="83" t="str">
        <x:v>Onshore</x:v>
      </x:c>
      <x:c r="H42" s="143"/>
      <x:c r="I42" s="143" t="n">
        <x:v>31</x:v>
      </x:c>
      <x:c r="J42" s="143"/>
      <x:c r="K42" s="83" t="str">
        <x:v>GW</x:v>
      </x:c>
      <x:c r="L42" s="83" t="str">
        <x:v>Italia</x:v>
      </x:c>
      <x:c r="M42" s="83" t="str">
        <x:v>Installed capacity</x:v>
      </x:c>
      <x:c r="N42" s="83" t="str">
        <x:v>Assunzione di scenario</x:v>
      </x:c>
      <x:c r="O42" s="83" t="str">
        <x:v>S09</x:v>
      </x:c>
      <x:c r="P42" s="83" t="str">
        <x:v>Documento_Descrizione_Scenari_2024_8dce2430d44d101.pdf</x:v>
      </x:c>
      <x:c r="Q42" s="83" t="n">
        <x:v>59</x:v>
      </x:c>
      <x:c r="R42" s="83" t="str">
        <x:v>56-57</x:v>
      </x:c>
      <x:c r="S42" s="83" t="str">
        <x:v>Tabella 13</x:v>
      </x:c>
      <x:c r="T42" s="83" t="str">
        <x:v>Direct table extraction</x:v>
      </x:c>
      <x:c r="U42" s="83" t="str">
        <x:v>A - Direct</x:v>
      </x:c>
      <x:c r="V42" s="83" t="str">
        <x:v>Capacity-fixed input after technology/geography reconciliation.</x:v>
      </x:c>
      <x:c r="W42" s="83" t="str"/>
    </x:row>
    <x:row r="43">
      <x:c r="A43" s="83" t="str">
        <x:v>CAP-0039</x:v>
      </x:c>
      <x:c r="B43" s="83" t="str">
        <x:v>GA_IT_2040</x:v>
      </x:c>
      <x:c r="C43" s="83" t="n">
        <x:v>2040</x:v>
      </x:c>
      <x:c r="D43" s="83" t="str">
        <x:v>GA-IT 2040</x:v>
      </x:c>
      <x:c r="E43" s="83" t="str">
        <x:v>Wind</x:v>
      </x:c>
      <x:c r="F43" s="83" t="str">
        <x:v>Eolico offshore</x:v>
      </x:c>
      <x:c r="G43" s="83" t="str">
        <x:v>Offshore</x:v>
      </x:c>
      <x:c r="H43" s="143"/>
      <x:c r="I43" s="143" t="n">
        <x:v>12.1</x:v>
      </x:c>
      <x:c r="J43" s="143"/>
      <x:c r="K43" s="83" t="str">
        <x:v>GW</x:v>
      </x:c>
      <x:c r="L43" s="83" t="str">
        <x:v>Italia</x:v>
      </x:c>
      <x:c r="M43" s="83" t="str">
        <x:v>Installed capacity</x:v>
      </x:c>
      <x:c r="N43" s="83" t="str">
        <x:v>Assunzione di scenario</x:v>
      </x:c>
      <x:c r="O43" s="83" t="str">
        <x:v>S09</x:v>
      </x:c>
      <x:c r="P43" s="83" t="str">
        <x:v>Documento_Descrizione_Scenari_2024_8dce2430d44d101.pdf</x:v>
      </x:c>
      <x:c r="Q43" s="83" t="n">
        <x:v>59</x:v>
      </x:c>
      <x:c r="R43" s="83" t="str">
        <x:v>56-57</x:v>
      </x:c>
      <x:c r="S43" s="83" t="str">
        <x:v>Tabella 13</x:v>
      </x:c>
      <x:c r="T43" s="83" t="str">
        <x:v>Direct table extraction</x:v>
      </x:c>
      <x:c r="U43" s="83" t="str">
        <x:v>A - Direct</x:v>
      </x:c>
      <x:c r="V43" s="83" t="str">
        <x:v>Capacity-fixed input after technology/geography reconciliation.</x:v>
      </x:c>
      <x:c r="W43" s="83" t="str">
        <x:v>2023 is zero/not present.</x:v>
      </x:c>
    </x:row>
    <x:row r="44">
      <x:c r="A44" s="83" t="str">
        <x:v>CAP-0040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Variable renewables</x:v>
      </x:c>
      <x:c r="F44" s="83" t="str">
        <x:v>Solare + eolico</x:v>
      </x:c>
      <x:c r="G44" s="83" t="str">
        <x:v>Solar + onshore + offshore</x:v>
      </x:c>
      <x:c r="H44" s="143"/>
      <x:c r="I44" s="143" t="n">
        <x:v>154.1</x:v>
      </x:c>
      <x:c r="J44" s="143"/>
      <x:c r="K44" s="83" t="str">
        <x:v>GW</x:v>
      </x:c>
      <x:c r="L44" s="83" t="str">
        <x:v>Italia</x:v>
      </x:c>
      <x:c r="M44" s="83" t="str">
        <x:v>Installed capacity</x:v>
      </x:c>
      <x:c r="N44" s="83" t="str">
        <x:v>Assunzione di scenario</x:v>
      </x:c>
      <x:c r="O44" s="83" t="str">
        <x:v>S09</x:v>
      </x:c>
      <x:c r="P44" s="83" t="str">
        <x:v>Documento_Descrizione_Scenari_2024_8dce2430d44d101.pdf</x:v>
      </x:c>
      <x:c r="Q44" s="83" t="n">
        <x:v>59</x:v>
      </x:c>
      <x:c r="R44" s="83" t="str">
        <x:v>56-57</x:v>
      </x:c>
      <x:c r="S44" s="83" t="str">
        <x:v>Tabella 13</x:v>
      </x:c>
      <x:c r="T44" s="83" t="str">
        <x:v>Direct table extraction</x:v>
      </x:c>
      <x:c r="U44" s="83" t="str">
        <x:v>A - Direct</x:v>
      </x:c>
      <x:c r="V44" s="83" t="str">
        <x:v>Capacity-fixed input after technology/geography reconciliation.</x:v>
      </x:c>
      <x:c r="W44" s="83" t="str">
        <x:v>Despite table title 'Capacità FER', the listed total covers solar and wind only.</x:v>
      </x:c>
    </x:row>
    <x:row r="45">
      <x:c r="A45" s="83" t="str">
        <x:v>CAP-0041</x:v>
      </x:c>
      <x:c r="B45" s="83" t="str">
        <x:v>PNIEC_SLOW_2040</x:v>
      </x:c>
      <x:c r="C45" s="83" t="n">
        <x:v>2040</x:v>
      </x:c>
      <x:c r="D45" s="83" t="str">
        <x:v>PNIEC Slow 2040</x:v>
      </x:c>
      <x:c r="E45" s="83" t="str">
        <x:v>Renewables</x:v>
      </x:c>
      <x:c r="F45" s="83" t="str">
        <x:v>Totale FER installata</x:v>
      </x:c>
      <x:c r="G45" s="83" t="str">
        <x:v>All renewable technologies</x:v>
      </x:c>
      <x:c r="H45" s="143"/>
      <x:c r="I45" s="143" t="n">
        <x:v>166</x:v>
      </x:c>
      <x:c r="J45" s="143"/>
      <x:c r="K45" s="83" t="str">
        <x:v>GW</x:v>
      </x:c>
      <x:c r="L45" s="83" t="str">
        <x:v>Italia</x:v>
      </x:c>
      <x:c r="M45" s="83" t="str">
        <x:v>Installed capacity</x:v>
      </x:c>
      <x:c r="N45" s="83" t="str">
        <x:v>Assunzione di scenario</x:v>
      </x:c>
      <x:c r="O45" s="83" t="str">
        <x:v>S09</x:v>
      </x:c>
      <x:c r="P45" s="83" t="str">
        <x:v>Documento_Descrizione_Scenari_2024_8dce2430d44d101.pdf</x:v>
      </x:c>
      <x:c r="Q45" s="83" t="n">
        <x:v>14</x:v>
      </x:c>
      <x:c r="R45" s="83" t="str">
        <x:v>12-13</x:v>
      </x:c>
      <x:c r="S45" s="83" t="str">
        <x:v>Tabella 1</x:v>
      </x:c>
      <x:c r="T45" s="83" t="str">
        <x:v>Direct table extraction</x:v>
      </x:c>
      <x:c r="U45" s="83" t="str">
        <x:v>A - Direct</x:v>
      </x:c>
      <x:c r="V45" s="83" t="str">
        <x:v>Capacity-fixed input after technology/geography reconciliation.</x:v>
      </x:c>
      <x:c r="W45" s="83" t="str">
        <x:v>Includes hydro and other renewable capacity; rounded to whole GW.</x:v>
      </x:c>
    </x:row>
    <x:row r="46">
      <x:c r="A46" s="83" t="str">
        <x:v>CAP-0042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Solar</x:v>
      </x:c>
      <x:c r="F46" s="83" t="str">
        <x:v>Solare</x:v>
      </x:c>
      <x:c r="G46" s="83" t="str">
        <x:v>Total solar</x:v>
      </x:c>
      <x:c r="H46" s="143"/>
      <x:c r="I46" s="143" t="n">
        <x:v>105.1</x:v>
      </x:c>
      <x:c r="J46" s="143"/>
      <x:c r="K46" s="83" t="str">
        <x:v>GW</x:v>
      </x:c>
      <x:c r="L46" s="83" t="str">
        <x:v>Italia</x:v>
      </x:c>
      <x:c r="M46" s="83" t="str">
        <x:v>Installed capacity</x:v>
      </x:c>
      <x:c r="N46" s="83" t="str">
        <x:v>Assunzione di scenario</x:v>
      </x:c>
      <x:c r="O46" s="83" t="str">
        <x:v>S09</x:v>
      </x:c>
      <x:c r="P46" s="83" t="str">
        <x:v>Documento_Descrizione_Scenari_2024_8dce2430d44d101.pdf</x:v>
      </x:c>
      <x:c r="Q46" s="83" t="n">
        <x:v>59</x:v>
      </x:c>
      <x:c r="R46" s="83" t="str">
        <x:v>56-57</x:v>
      </x:c>
      <x:c r="S46" s="83" t="str">
        <x:v>Tabella 13</x:v>
      </x:c>
      <x:c r="T46" s="83" t="str">
        <x:v>Direct table extraction</x:v>
      </x:c>
      <x:c r="U46" s="83" t="str">
        <x:v>A - Direct</x:v>
      </x:c>
      <x:c r="V46" s="83" t="str">
        <x:v>Capacity-fixed input after technology/geography reconciliation.</x:v>
      </x:c>
      <x:c r="W46" s="83" t="str"/>
    </x:row>
    <x:row r="47">
      <x:c r="A47" s="83" t="str">
        <x:v>CAP-0043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Wind</x:v>
      </x:c>
      <x:c r="F47" s="83" t="str">
        <x:v>Eolico onshore</x:v>
      </x:c>
      <x:c r="G47" s="83" t="str">
        <x:v>Onshore</x:v>
      </x:c>
      <x:c r="H47" s="143"/>
      <x:c r="I47" s="143" t="n">
        <x:v>29</x:v>
      </x:c>
      <x:c r="J47" s="143"/>
      <x:c r="K47" s="83" t="str">
        <x:v>GW</x:v>
      </x:c>
      <x:c r="L47" s="83" t="str">
        <x:v>Italia</x:v>
      </x:c>
      <x:c r="M47" s="83" t="str">
        <x:v>Installed capacity</x:v>
      </x:c>
      <x:c r="N47" s="83" t="str">
        <x:v>Assunzione di scenario</x:v>
      </x:c>
      <x:c r="O47" s="83" t="str">
        <x:v>S09</x:v>
      </x:c>
      <x:c r="P47" s="83" t="str">
        <x:v>Documento_Descrizione_Scenari_2024_8dce2430d44d101.pdf</x:v>
      </x:c>
      <x:c r="Q47" s="83" t="n">
        <x:v>59</x:v>
      </x:c>
      <x:c r="R47" s="83" t="str">
        <x:v>56-57</x:v>
      </x:c>
      <x:c r="S47" s="83" t="str">
        <x:v>Tabella 13</x:v>
      </x:c>
      <x:c r="T47" s="83" t="str">
        <x:v>Direct table extraction</x:v>
      </x:c>
      <x:c r="U47" s="83" t="str">
        <x:v>A - Direct</x:v>
      </x:c>
      <x:c r="V47" s="83" t="str">
        <x:v>Capacity-fixed input after technology/geography reconciliation.</x:v>
      </x:c>
      <x:c r="W47" s="83" t="str"/>
    </x:row>
    <x:row r="48">
      <x:c r="A48" s="83" t="str">
        <x:v>CAP-0044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Wind</x:v>
      </x:c>
      <x:c r="F48" s="83" t="str">
        <x:v>Eolico offshore</x:v>
      </x:c>
      <x:c r="G48" s="83" t="str">
        <x:v>Offshore</x:v>
      </x:c>
      <x:c r="H48" s="143"/>
      <x:c r="I48" s="143" t="n">
        <x:v>10</x:v>
      </x:c>
      <x:c r="J48" s="143"/>
      <x:c r="K48" s="83" t="str">
        <x:v>GW</x:v>
      </x:c>
      <x:c r="L48" s="83" t="str">
        <x:v>Italia</x:v>
      </x:c>
      <x:c r="M48" s="83" t="str">
        <x:v>Installed capacity</x:v>
      </x:c>
      <x:c r="N48" s="83" t="str">
        <x:v>Assunzione di scenario</x:v>
      </x:c>
      <x:c r="O48" s="83" t="str">
        <x:v>S09</x:v>
      </x:c>
      <x:c r="P48" s="83" t="str">
        <x:v>Documento_Descrizione_Scenari_2024_8dce2430d44d101.pdf</x:v>
      </x:c>
      <x:c r="Q48" s="83" t="n">
        <x:v>59</x:v>
      </x:c>
      <x:c r="R48" s="83" t="str">
        <x:v>56-57</x:v>
      </x:c>
      <x:c r="S48" s="83" t="str">
        <x:v>Tabella 13</x:v>
      </x:c>
      <x:c r="T48" s="83" t="str">
        <x:v>Direct table extraction</x:v>
      </x:c>
      <x:c r="U48" s="83" t="str">
        <x:v>A - Direct</x:v>
      </x:c>
      <x:c r="V48" s="83" t="str">
        <x:v>Capacity-fixed input after technology/geography reconciliation.</x:v>
      </x:c>
      <x:c r="W48" s="83" t="str">
        <x:v>2023 is zero/not present.</x:v>
      </x:c>
    </x:row>
    <x:row r="49">
      <x:c r="A49" s="83" t="str">
        <x:v>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Variable renewables</x:v>
      </x:c>
      <x:c r="F49" s="83" t="str">
        <x:v>Solare + eolico</x:v>
      </x:c>
      <x:c r="G49" s="83" t="str">
        <x:v>Solar + onshore + offshore</x:v>
      </x:c>
      <x:c r="H49" s="143"/>
      <x:c r="I49" s="143" t="n">
        <x:v>144.1</x:v>
      </x:c>
      <x:c r="J49" s="143"/>
      <x:c r="K49" s="83" t="str">
        <x:v>GW</x:v>
      </x:c>
      <x:c r="L49" s="83" t="str">
        <x:v>Italia</x:v>
      </x:c>
      <x:c r="M49" s="83" t="str">
        <x:v>Installed capacity</x:v>
      </x:c>
      <x:c r="N49" s="83" t="str">
        <x:v>Assunzione di scenario</x:v>
      </x:c>
      <x:c r="O49" s="83" t="str">
        <x:v>S09</x:v>
      </x:c>
      <x:c r="P49" s="83" t="str">
        <x:v>Documento_Descrizione_Scenari_2024_8dce2430d44d101.pdf</x:v>
      </x:c>
      <x:c r="Q49" s="83" t="n">
        <x:v>59</x:v>
      </x:c>
      <x:c r="R49" s="83" t="str">
        <x:v>56-57</x:v>
      </x:c>
      <x:c r="S49" s="83" t="str">
        <x:v>Tabella 13</x:v>
      </x:c>
      <x:c r="T49" s="83" t="str">
        <x:v>Direct table extraction</x:v>
      </x:c>
      <x:c r="U49" s="83" t="str">
        <x:v>A - Direct</x:v>
      </x:c>
      <x:c r="V49" s="83" t="str">
        <x:v>Capacity-fixed input after technology/geography reconciliation.</x:v>
      </x:c>
      <x:c r="W49" s="83" t="str">
        <x:v>Despite table title 'Capacità FER', the listed total covers solar and wind only.</x:v>
      </x:c>
    </x:row>
    <x:row r="50">
      <x:c r="A50" s="83" t="str">
        <x:v>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Programmable/thermal</x:v>
      </x:c>
      <x:c r="F50" s="83" t="str">
        <x:v>Parco termoelettrico aggregato</x:v>
      </x:c>
      <x:c r="G50" s="83" t="str">
        <x:v>Potenza efficiente netta; include biomasse e geotermico</x:v>
      </x:c>
      <x:c r="H50" s="143"/>
      <x:c r="I50" s="143" t="n">
        <x:v>62</x:v>
      </x:c>
      <x:c r="J50" s="143"/>
      <x:c r="K50" s="83" t="str">
        <x:v>GW</x:v>
      </x:c>
      <x:c r="L50" s="83" t="str">
        <x:v>Italia</x:v>
      </x:c>
      <x:c r="M50" s="83" t="str">
        <x:v>Approximate aggregate fleet</x:v>
      </x:c>
      <x:c r="N50" s="83" t="str">
        <x:v>Dato osservato storico</x:v>
      </x:c>
      <x:c r="O50" s="83" t="str">
        <x:v>S01</x:v>
      </x:c>
      <x:c r="P50" s="83" t="str">
        <x:v>Terna_Piano_Sviluppo_2025_Stato_sistema_elettrico_scenari_energetici_8dd62ec4bbb9f75.pdf</x:v>
      </x:c>
      <x:c r="Q50" s="83" t="n">
        <x:v>96</x:v>
      </x:c>
      <x:c r="R50" s="83" t="str">
        <x:v>94</x:v>
      </x:c>
      <x:c r="S50" s="83" t="str">
        <x:v>Narrative after Figura 55</x:v>
      </x:c>
      <x:c r="T50" s="83" t="str">
        <x:v>Direct narrative extraction; approximate value</x:v>
      </x:c>
      <x:c r="U50" s="83" t="str">
        <x:v>A - Direct approximate</x:v>
      </x:c>
      <x:c r="V50" s="83" t="str">
        <x:v>Context only until split by fuel/technology; not directly usable in dispatch.</x:v>
      </x:c>
      <x:c r="W50" s="83" t="str">
        <x:v>Coal phase-out; gas capacity otherwise held constant except expected retirements. Footnote says includes biomass and geothermal.</x:v>
      </x:c>
    </x:row>
    <x:row r="51">
      <x:c r="A51" s="83" t="str">
        <x:v>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Programmable/thermal</x:v>
      </x:c>
      <x:c r="F51" s="83" t="str">
        <x:v>Parco termoelettrico aggregato</x:v>
      </x:c>
      <x:c r="G51" s="83" t="str">
        <x:v>Potenza efficiente netta; include biomasse e geotermico</x:v>
      </x:c>
      <x:c r="H51" s="143"/>
      <x:c r="I51" s="143" t="n">
        <x:v>55</x:v>
      </x:c>
      <x:c r="J51" s="143"/>
      <x:c r="K51" s="83" t="str">
        <x:v>GW</x:v>
      </x:c>
      <x:c r="L51" s="83" t="str">
        <x:v>Italia</x:v>
      </x:c>
      <x:c r="M51" s="83" t="str">
        <x:v>Approximate aggregate fleet</x:v>
      </x:c>
      <x:c r="N51" s="83" t="str">
        <x:v>Assunzione di scenario</x:v>
      </x:c>
      <x:c r="O51" s="83" t="str">
        <x:v>S01</x:v>
      </x:c>
      <x:c r="P51" s="83" t="str">
        <x:v>Terna_Piano_Sviluppo_2025_Stato_sistema_elettrico_scenari_energetici_8dd62ec4bbb9f75.pdf</x:v>
      </x:c>
      <x:c r="Q51" s="83" t="n">
        <x:v>96</x:v>
      </x:c>
      <x:c r="R51" s="83" t="str">
        <x:v>94</x:v>
      </x:c>
      <x:c r="S51" s="83" t="str">
        <x:v>Narrative after Figura 55</x:v>
      </x:c>
      <x:c r="T51" s="83" t="str">
        <x:v>Direct narrative extraction; approximate value</x:v>
      </x:c>
      <x:c r="U51" s="83" t="str">
        <x:v>A - Direct approximate</x:v>
      </x:c>
      <x:c r="V51" s="83" t="str">
        <x:v>Context only until split by fuel/technology; not directly usable in dispatch.</x:v>
      </x:c>
      <x:c r="W51" s="83" t="str">
        <x:v>Coal phase-out; gas capacity otherwise held constant except expected retirements. Footnote says includes biomass and geothermal.</x:v>
      </x:c>
    </x:row>
    <x:row r="52">
      <x:c r="A52" s="83" t="str">
        <x:v>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Programmable/thermal</x:v>
      </x:c>
      <x:c r="F52" s="83" t="str">
        <x:v>Parco termoelettrico aggregato</x:v>
      </x:c>
      <x:c r="G52" s="83" t="str">
        <x:v>Potenza efficiente netta; include biomasse e geotermico</x:v>
      </x:c>
      <x:c r="H52" s="143"/>
      <x:c r="I52" s="143" t="n">
        <x:v>55</x:v>
      </x:c>
      <x:c r="J52" s="143"/>
      <x:c r="K52" s="83" t="str">
        <x:v>GW</x:v>
      </x:c>
      <x:c r="L52" s="83" t="str">
        <x:v>Italia</x:v>
      </x:c>
      <x:c r="M52" s="83" t="str">
        <x:v>Approximate aggregate fleet</x:v>
      </x:c>
      <x:c r="N52" s="83" t="str">
        <x:v>Assunzione di scenario</x:v>
      </x:c>
      <x:c r="O52" s="83" t="str">
        <x:v>S01</x:v>
      </x:c>
      <x:c r="P52" s="83" t="str">
        <x:v>Terna_Piano_Sviluppo_2025_Stato_sistema_elettrico_scenari_energetici_8dd62ec4bbb9f75.pdf</x:v>
      </x:c>
      <x:c r="Q52" s="83" t="n">
        <x:v>96</x:v>
      </x:c>
      <x:c r="R52" s="83" t="str">
        <x:v>94</x:v>
      </x:c>
      <x:c r="S52" s="83" t="str">
        <x:v>Narrative after Figura 55</x:v>
      </x:c>
      <x:c r="T52" s="83" t="str">
        <x:v>Direct narrative extraction; approximate value</x:v>
      </x:c>
      <x:c r="U52" s="83" t="str">
        <x:v>A - Direct approximate</x:v>
      </x:c>
      <x:c r="V52" s="83" t="str">
        <x:v>Context only until split by fuel/technology; not directly usable in dispatch.</x:v>
      </x:c>
      <x:c r="W52" s="83" t="str">
        <x:v>Coal phase-out; gas capacity otherwise held constant except expected retirements. Footnote says includes biomass and geothermal.</x:v>
      </x:c>
    </x:row>
    <x:row r="53">
      <x:c r="A53" s="83" t="str">
        <x:v>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Programmable/thermal</x:v>
      </x:c>
      <x:c r="F53" s="83" t="str">
        <x:v>Parco termoelettrico aggregato</x:v>
      </x:c>
      <x:c r="G53" s="83" t="str">
        <x:v>Potenza efficiente netta; include biomasse e geotermico</x:v>
      </x:c>
      <x:c r="H53" s="143"/>
      <x:c r="I53" s="143" t="n">
        <x:v>55</x:v>
      </x:c>
      <x:c r="J53" s="143"/>
      <x:c r="K53" s="83" t="str">
        <x:v>GW</x:v>
      </x:c>
      <x:c r="L53" s="83" t="str">
        <x:v>Italia</x:v>
      </x:c>
      <x:c r="M53" s="83" t="str">
        <x:v>Approximate aggregate fleet</x:v>
      </x:c>
      <x:c r="N53" s="83" t="str">
        <x:v>Assunzione di scenario</x:v>
      </x:c>
      <x:c r="O53" s="83" t="str">
        <x:v>S01</x:v>
      </x:c>
      <x:c r="P53" s="83" t="str">
        <x:v>Terna_Piano_Sviluppo_2025_Stato_sistema_elettrico_scenari_energetici_8dd62ec4bbb9f75.pdf</x:v>
      </x:c>
      <x:c r="Q53" s="83" t="n">
        <x:v>96</x:v>
      </x:c>
      <x:c r="R53" s="83" t="str">
        <x:v>94</x:v>
      </x:c>
      <x:c r="S53" s="83" t="str">
        <x:v>Narrative after Figura 55</x:v>
      </x:c>
      <x:c r="T53" s="83" t="str">
        <x:v>Direct narrative extraction; approximate value</x:v>
      </x:c>
      <x:c r="U53" s="83" t="str">
        <x:v>A - Direct approximate</x:v>
      </x:c>
      <x:c r="V53" s="83" t="str">
        <x:v>Context only until split by fuel/technology; not directly usable in dispatch.</x:v>
      </x:c>
      <x:c r="W53" s="83" t="str">
        <x:v>Coal phase-out; gas capacity otherwise held constant except expected retirements. Footnote says includes biomass and geothermal.</x:v>
      </x:c>
    </x:row>
    <x:row r="54">
      <x:c r="A54" s="83" t="str">
        <x:v>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Programmable/thermal</x:v>
      </x:c>
      <x:c r="F54" s="83" t="str">
        <x:v>Parco termoelettrico aggregato</x:v>
      </x:c>
      <x:c r="G54" s="83" t="str">
        <x:v>Potenza efficiente netta; include biomasse e geotermico</x:v>
      </x:c>
      <x:c r="H54" s="143"/>
      <x:c r="I54" s="143" t="n">
        <x:v>55</x:v>
      </x:c>
      <x:c r="J54" s="143"/>
      <x:c r="K54" s="83" t="str">
        <x:v>GW</x:v>
      </x:c>
      <x:c r="L54" s="83" t="str">
        <x:v>Italia</x:v>
      </x:c>
      <x:c r="M54" s="83" t="str">
        <x:v>Approximate aggregate fleet</x:v>
      </x:c>
      <x:c r="N54" s="83" t="str">
        <x:v>Assunzione di scenario</x:v>
      </x:c>
      <x:c r="O54" s="83" t="str">
        <x:v>S01</x:v>
      </x:c>
      <x:c r="P54" s="83" t="str">
        <x:v>Terna_Piano_Sviluppo_2025_Stato_sistema_elettrico_scenari_energetici_8dd62ec4bbb9f75.pdf</x:v>
      </x:c>
      <x:c r="Q54" s="83" t="n">
        <x:v>96</x:v>
      </x:c>
      <x:c r="R54" s="83" t="str">
        <x:v>94</x:v>
      </x:c>
      <x:c r="S54" s="83" t="str">
        <x:v>Narrative after Figura 55</x:v>
      </x:c>
      <x:c r="T54" s="83" t="str">
        <x:v>Direct narrative extraction; approximate value</x:v>
      </x:c>
      <x:c r="U54" s="83" t="str">
        <x:v>A - Direct approximate</x:v>
      </x:c>
      <x:c r="V54" s="83" t="str">
        <x:v>Context only until split by fuel/technology; not directly usable in dispatch.</x:v>
      </x:c>
      <x:c r="W54" s="83" t="str">
        <x:v>Coal phase-out; gas capacity otherwise held constant except expected retirements. Footnote says includes biomass and geothermal.</x:v>
      </x:c>
    </x:row>
    <x:row r="55">
      <x:c r="A55" s="83" t="str">
        <x:v>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Programmable/thermal</x:v>
      </x:c>
      <x:c r="F55" s="83" t="str">
        <x:v>Parco termoelettrico aggregato</x:v>
      </x:c>
      <x:c r="G55" s="83" t="str">
        <x:v>Potenza efficiente netta; include biomasse e geotermico</x:v>
      </x:c>
      <x:c r="H55" s="143"/>
      <x:c r="I55" s="143" t="n">
        <x:v>55</x:v>
      </x:c>
      <x:c r="J55" s="143"/>
      <x:c r="K55" s="83" t="str">
        <x:v>GW</x:v>
      </x:c>
      <x:c r="L55" s="83" t="str">
        <x:v>Italia</x:v>
      </x:c>
      <x:c r="M55" s="83" t="str">
        <x:v>Approximate aggregate fleet</x:v>
      </x:c>
      <x:c r="N55" s="83" t="str">
        <x:v>Assunzione di scenario</x:v>
      </x:c>
      <x:c r="O55" s="83" t="str">
        <x:v>S01</x:v>
      </x:c>
      <x:c r="P55" s="83" t="str">
        <x:v>Terna_Piano_Sviluppo_2025_Stato_sistema_elettrico_scenari_energetici_8dd62ec4bbb9f75.pdf</x:v>
      </x:c>
      <x:c r="Q55" s="83" t="n">
        <x:v>96</x:v>
      </x:c>
      <x:c r="R55" s="83" t="str">
        <x:v>94</x:v>
      </x:c>
      <x:c r="S55" s="83" t="str">
        <x:v>Narrative after Figura 55</x:v>
      </x:c>
      <x:c r="T55" s="83" t="str">
        <x:v>Direct narrative extraction; approximate value</x:v>
      </x:c>
      <x:c r="U55" s="83" t="str">
        <x:v>A - Direct approximate</x:v>
      </x:c>
      <x:c r="V55" s="83" t="str">
        <x:v>Context only until split by fuel/technology; not directly usable in dispatch.</x:v>
      </x:c>
      <x:c r="W55" s="83" t="str">
        <x:v>Coal phase-out; gas capacity otherwise held constant except expected retirements. Footnote says includes biomass and geothermal.</x:v>
      </x:c>
    </x:row>
    <x:row r="56">
      <x:c r="A56" s="83" t="str">
        <x:v>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Programmable/thermal</x:v>
      </x:c>
      <x:c r="F56" s="83" t="str">
        <x:v>Parco termoelettrico aggregato</x:v>
      </x:c>
      <x:c r="G56" s="83" t="str">
        <x:v>Potenza efficiente netta; include biomasse e geotermico</x:v>
      </x:c>
      <x:c r="H56" s="143"/>
      <x:c r="I56" s="143" t="n">
        <x:v>55</x:v>
      </x:c>
      <x:c r="J56" s="143"/>
      <x:c r="K56" s="83" t="str">
        <x:v>GW</x:v>
      </x:c>
      <x:c r="L56" s="83" t="str">
        <x:v>Italia</x:v>
      </x:c>
      <x:c r="M56" s="83" t="str">
        <x:v>Approximate aggregate fleet</x:v>
      </x:c>
      <x:c r="N56" s="83" t="str">
        <x:v>Assunzione di scenario</x:v>
      </x:c>
      <x:c r="O56" s="83" t="str">
        <x:v>S01</x:v>
      </x:c>
      <x:c r="P56" s="83" t="str">
        <x:v>Terna_Piano_Sviluppo_2025_Stato_sistema_elettrico_scenari_energetici_8dd62ec4bbb9f75.pdf</x:v>
      </x:c>
      <x:c r="Q56" s="83" t="n">
        <x:v>96</x:v>
      </x:c>
      <x:c r="R56" s="83" t="str">
        <x:v>94</x:v>
      </x:c>
      <x:c r="S56" s="83" t="str">
        <x:v>Narrative after Figura 55</x:v>
      </x:c>
      <x:c r="T56" s="83" t="str">
        <x:v>Direct narrative extraction; approximate value</x:v>
      </x:c>
      <x:c r="U56" s="83" t="str">
        <x:v>A - Direct approximate</x:v>
      </x:c>
      <x:c r="V56" s="83" t="str">
        <x:v>Context only until split by fuel/technology; not directly usable in dispatch.</x:v>
      </x:c>
      <x:c r="W56" s="83" t="str">
        <x:v>Coal phase-out; gas capacity otherwise held constant except expected retirements. Footnote says includes biomass and geothermal.</x:v>
      </x:c>
    </x:row>
    <x:row r="57">
      <x:c r="A57" s="83" t="str">
        <x:v>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Programmable/thermal</x:v>
      </x:c>
      <x:c r="F57" s="83" t="str">
        <x:v>Parco termoelettrico aggregato</x:v>
      </x:c>
      <x:c r="G57" s="83" t="str">
        <x:v>Potenza efficiente netta; include biomasse e geotermico</x:v>
      </x:c>
      <x:c r="H57" s="143"/>
      <x:c r="I57" s="143" t="n">
        <x:v>55</x:v>
      </x:c>
      <x:c r="J57" s="143"/>
      <x:c r="K57" s="83" t="str">
        <x:v>GW</x:v>
      </x:c>
      <x:c r="L57" s="83" t="str">
        <x:v>Italia</x:v>
      </x:c>
      <x:c r="M57" s="83" t="str">
        <x:v>Approximate aggregate fleet</x:v>
      </x:c>
      <x:c r="N57" s="83" t="str">
        <x:v>Assunzione di scenario</x:v>
      </x:c>
      <x:c r="O57" s="83" t="str">
        <x:v>S01</x:v>
      </x:c>
      <x:c r="P57" s="83" t="str">
        <x:v>Terna_Piano_Sviluppo_2025_Stato_sistema_elettrico_scenari_energetici_8dd62ec4bbb9f75.pdf</x:v>
      </x:c>
      <x:c r="Q57" s="83" t="n">
        <x:v>96</x:v>
      </x:c>
      <x:c r="R57" s="83" t="str">
        <x:v>94</x:v>
      </x:c>
      <x:c r="S57" s="83" t="str">
        <x:v>Narrative after Figura 55</x:v>
      </x:c>
      <x:c r="T57" s="83" t="str">
        <x:v>Direct narrative extraction; approximate value</x:v>
      </x:c>
      <x:c r="U57" s="83" t="str">
        <x:v>A - Direct approximate</x:v>
      </x:c>
      <x:c r="V57" s="83" t="str">
        <x:v>Context only until split by fuel/technology; not directly usable in dispatch.</x:v>
      </x:c>
      <x:c r="W57" s="83" t="str">
        <x:v>Coal phase-out; gas capacity otherwise held constant except expected retirements. Footnote says includes biomass and geothermal.</x:v>
      </x:c>
    </x:row>
    <x:row r="58">
      <x:c r="A58" s="83" t="str">
        <x:v>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Programmable/thermal</x:v>
      </x:c>
      <x:c r="F58" s="83" t="str">
        <x:v>Parco termoelettrico aggregato</x:v>
      </x:c>
      <x:c r="G58" s="83" t="str">
        <x:v>Potenza efficiente netta; include biomasse e geotermico</x:v>
      </x:c>
      <x:c r="H58" s="143"/>
      <x:c r="I58" s="143" t="n">
        <x:v>55</x:v>
      </x:c>
      <x:c r="J58" s="143"/>
      <x:c r="K58" s="83" t="str">
        <x:v>GW</x:v>
      </x:c>
      <x:c r="L58" s="83" t="str">
        <x:v>Italia</x:v>
      </x:c>
      <x:c r="M58" s="83" t="str">
        <x:v>Approximate aggregate fleet</x:v>
      </x:c>
      <x:c r="N58" s="83" t="str">
        <x:v>Assunzione di scenario</x:v>
      </x:c>
      <x:c r="O58" s="83" t="str">
        <x:v>S01</x:v>
      </x:c>
      <x:c r="P58" s="83" t="str">
        <x:v>Terna_Piano_Sviluppo_2025_Stato_sistema_elettrico_scenari_energetici_8dd62ec4bbb9f75.pdf</x:v>
      </x:c>
      <x:c r="Q58" s="83" t="n">
        <x:v>96</x:v>
      </x:c>
      <x:c r="R58" s="83" t="str">
        <x:v>94</x:v>
      </x:c>
      <x:c r="S58" s="83" t="str">
        <x:v>Narrative after Figura 55</x:v>
      </x:c>
      <x:c r="T58" s="83" t="str">
        <x:v>Direct narrative extraction; approximate value</x:v>
      </x:c>
      <x:c r="U58" s="83" t="str">
        <x:v>A - Direct approximate</x:v>
      </x:c>
      <x:c r="V58" s="83" t="str">
        <x:v>Context only until split by fuel/technology; not directly usable in dispatch.</x:v>
      </x:c>
      <x:c r="W58" s="83" t="str">
        <x:v>Coal phase-out; gas capacity otherwise held constant except expected retirements. Footnote says includes biomass and geothermal.</x:v>
      </x:c>
    </x:row>
    <x:row r="59">
      <x:c r="A59" s="83" t="str">
        <x:v>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Hydro</x:v>
      </x:c>
      <x:c r="F59" s="83" t="str">
        <x:v>Idrico e pompaggi</x:v>
      </x:c>
      <x:c r="G59" s="83" t="str">
        <x:v>Aggregate power</x:v>
      </x:c>
      <x:c r="H59" s="143"/>
      <x:c r="I59" s="143" t="n">
        <x:v>23</x:v>
      </x:c>
      <x:c r="J59" s="143"/>
      <x:c r="K59" s="83" t="str">
        <x:v>GW</x:v>
      </x:c>
      <x:c r="L59" s="83" t="str">
        <x:v>Italia</x:v>
      </x:c>
      <x:c r="M59" s="83" t="str">
        <x:v>Installed capacity; provisional</x:v>
      </x:c>
      <x:c r="N59" s="83" t="str">
        <x:v>Inferenza da più fonti</x:v>
      </x:c>
      <x:c r="O59" s="83" t="str">
        <x:v>S09 + S07</x:v>
      </x:c>
      <x:c r="P59" s="83" t="str">
        <x:v>DDS 2024 + Terna Prospettive 2050</x:v>
      </x:c>
      <x:c r="Q59" s="83" t="str">
        <x:v>S09 55; S07 64</x:v>
      </x:c>
      <x:c r="R59" s="83" t="str">
        <x:v>S09 53; S07 62</x:v>
      </x:c>
      <x:c r="S59" s="83" t="str">
        <x:v>DDS narrative + S07 Figura 54</x:v>
      </x:c>
      <x:c r="T59" s="83" t="str">
        <x:v>Figure 54 labels 23 GW historically/2030/2050; DDS states hydro capacity held constant</x:v>
      </x:c>
      <x:c r="U59" s="83" t="str">
        <x:v>D - Inferred</x:v>
      </x:c>
      <x:c r="V59" s="83" t="str">
        <x:v>Provisional aggregate only; Phase 3B must split run-of-river, reservoir and pumping power/energy.</x:v>
      </x:c>
      <x:c r="W59" s="83" t="str">
        <x:v>Do not use directly before hydro decomposition.</x:v>
      </x:c>
    </x:row>
    <x:row r="60">
      <x:c r="A60" s="83" t="str">
        <x:v>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Hydro</x:v>
      </x:c>
      <x:c r="F60" s="83" t="str">
        <x:v>Idrico e pompaggi</x:v>
      </x:c>
      <x:c r="G60" s="83" t="str">
        <x:v>Aggregate power</x:v>
      </x:c>
      <x:c r="H60" s="143"/>
      <x:c r="I60" s="143" t="n">
        <x:v>23</x:v>
      </x:c>
      <x:c r="J60" s="143"/>
      <x:c r="K60" s="83" t="str">
        <x:v>GW</x:v>
      </x:c>
      <x:c r="L60" s="83" t="str">
        <x:v>Italia</x:v>
      </x:c>
      <x:c r="M60" s="83" t="str">
        <x:v>Installed capacity; provisional</x:v>
      </x:c>
      <x:c r="N60" s="83" t="str">
        <x:v>Inferenza da più fonti</x:v>
      </x:c>
      <x:c r="O60" s="83" t="str">
        <x:v>S09 + S07</x:v>
      </x:c>
      <x:c r="P60" s="83" t="str">
        <x:v>DDS 2024 + Terna Prospettive 2050</x:v>
      </x:c>
      <x:c r="Q60" s="83" t="str">
        <x:v>S09 55; S07 64</x:v>
      </x:c>
      <x:c r="R60" s="83" t="str">
        <x:v>S09 53; S07 62</x:v>
      </x:c>
      <x:c r="S60" s="83" t="str">
        <x:v>DDS narrative + S07 Figura 54</x:v>
      </x:c>
      <x:c r="T60" s="83" t="str">
        <x:v>Figure 54 labels 23 GW historically/2030/2050; DDS states hydro capacity held constant</x:v>
      </x:c>
      <x:c r="U60" s="83" t="str">
        <x:v>D - Inferred</x:v>
      </x:c>
      <x:c r="V60" s="83" t="str">
        <x:v>Provisional aggregate only; Phase 3B must split run-of-river, reservoir and pumping power/energy.</x:v>
      </x:c>
      <x:c r="W60" s="83" t="str">
        <x:v>Do not use directly before hydro decomposition.</x:v>
      </x:c>
    </x:row>
    <x:row r="61">
      <x:c r="A61" s="83" t="str">
        <x:v>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Hydro</x:v>
      </x:c>
      <x:c r="F61" s="83" t="str">
        <x:v>Idrico e pompaggi</x:v>
      </x:c>
      <x:c r="G61" s="83" t="str">
        <x:v>Aggregate power</x:v>
      </x:c>
      <x:c r="H61" s="143"/>
      <x:c r="I61" s="143" t="n">
        <x:v>23</x:v>
      </x:c>
      <x:c r="J61" s="143"/>
      <x:c r="K61" s="83" t="str">
        <x:v>GW</x:v>
      </x:c>
      <x:c r="L61" s="83" t="str">
        <x:v>Italia</x:v>
      </x:c>
      <x:c r="M61" s="83" t="str">
        <x:v>Installed capacity; provisional</x:v>
      </x:c>
      <x:c r="N61" s="83" t="str">
        <x:v>Inferenza da più fonti</x:v>
      </x:c>
      <x:c r="O61" s="83" t="str">
        <x:v>S09 + S07</x:v>
      </x:c>
      <x:c r="P61" s="83" t="str">
        <x:v>DDS 2024 + Terna Prospettive 2050</x:v>
      </x:c>
      <x:c r="Q61" s="83" t="str">
        <x:v>S09 55; S07 64</x:v>
      </x:c>
      <x:c r="R61" s="83" t="str">
        <x:v>S09 53; S07 62</x:v>
      </x:c>
      <x:c r="S61" s="83" t="str">
        <x:v>DDS narrative + S07 Figura 54</x:v>
      </x:c>
      <x:c r="T61" s="83" t="str">
        <x:v>Figure 54 labels 23 GW historically/2030/2050; DDS states hydro capacity held constant</x:v>
      </x:c>
      <x:c r="U61" s="83" t="str">
        <x:v>D - Inferred</x:v>
      </x:c>
      <x:c r="V61" s="83" t="str">
        <x:v>Provisional aggregate only; Phase 3B must split run-of-river, reservoir and pumping power/energy.</x:v>
      </x:c>
      <x:c r="W61" s="83" t="str">
        <x:v>Do not use directly before hydro decomposition.</x:v>
      </x:c>
    </x:row>
    <x:row r="62">
      <x:c r="A62" s="83" t="str">
        <x:v>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Hydro</x:v>
      </x:c>
      <x:c r="F62" s="83" t="str">
        <x:v>Idrico e pompaggi</x:v>
      </x:c>
      <x:c r="G62" s="83" t="str">
        <x:v>Aggregate power</x:v>
      </x:c>
      <x:c r="H62" s="143"/>
      <x:c r="I62" s="143" t="n">
        <x:v>23</x:v>
      </x:c>
      <x:c r="J62" s="143"/>
      <x:c r="K62" s="83" t="str">
        <x:v>GW</x:v>
      </x:c>
      <x:c r="L62" s="83" t="str">
        <x:v>Italia</x:v>
      </x:c>
      <x:c r="M62" s="83" t="str">
        <x:v>Installed capacity; provisional</x:v>
      </x:c>
      <x:c r="N62" s="83" t="str">
        <x:v>Inferenza da più fonti</x:v>
      </x:c>
      <x:c r="O62" s="83" t="str">
        <x:v>S09 + S07</x:v>
      </x:c>
      <x:c r="P62" s="83" t="str">
        <x:v>DDS 2024 + Terna Prospettive 2050</x:v>
      </x:c>
      <x:c r="Q62" s="83" t="str">
        <x:v>S09 55; S07 64</x:v>
      </x:c>
      <x:c r="R62" s="83" t="str">
        <x:v>S09 53; S07 62</x:v>
      </x:c>
      <x:c r="S62" s="83" t="str">
        <x:v>DDS narrative + S07 Figura 54</x:v>
      </x:c>
      <x:c r="T62" s="83" t="str">
        <x:v>Figure 54 labels 23 GW historically/2030/2050; DDS states hydro capacity held constant</x:v>
      </x:c>
      <x:c r="U62" s="83" t="str">
        <x:v>D - Inferred</x:v>
      </x:c>
      <x:c r="V62" s="83" t="str">
        <x:v>Provisional aggregate only; Phase 3B must split run-of-river, reservoir and pumping power/energy.</x:v>
      </x:c>
      <x:c r="W62" s="83" t="str">
        <x:v>Do not use directly before hydro decomposition.</x:v>
      </x:c>
    </x:row>
    <x:row r="63">
      <x:c r="A63" s="83" t="str">
        <x:v>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Hydro</x:v>
      </x:c>
      <x:c r="F63" s="83" t="str">
        <x:v>Idrico e pompaggi</x:v>
      </x:c>
      <x:c r="G63" s="83" t="str">
        <x:v>Aggregate power</x:v>
      </x:c>
      <x:c r="H63" s="143"/>
      <x:c r="I63" s="143" t="n">
        <x:v>23</x:v>
      </x:c>
      <x:c r="J63" s="143"/>
      <x:c r="K63" s="83" t="str">
        <x:v>GW</x:v>
      </x:c>
      <x:c r="L63" s="83" t="str">
        <x:v>Italia</x:v>
      </x:c>
      <x:c r="M63" s="83" t="str">
        <x:v>Installed capacity; provisional</x:v>
      </x:c>
      <x:c r="N63" s="83" t="str">
        <x:v>Inferenza da più fonti</x:v>
      </x:c>
      <x:c r="O63" s="83" t="str">
        <x:v>S09 + S07</x:v>
      </x:c>
      <x:c r="P63" s="83" t="str">
        <x:v>DDS 2024 + Terna Prospettive 2050</x:v>
      </x:c>
      <x:c r="Q63" s="83" t="str">
        <x:v>S09 55; S07 64</x:v>
      </x:c>
      <x:c r="R63" s="83" t="str">
        <x:v>S09 53; S07 62</x:v>
      </x:c>
      <x:c r="S63" s="83" t="str">
        <x:v>DDS narrative + S07 Figura 54</x:v>
      </x:c>
      <x:c r="T63" s="83" t="str">
        <x:v>Figure 54 labels 23 GW historically/2030/2050; DDS states hydro capacity held constant</x:v>
      </x:c>
      <x:c r="U63" s="83" t="str">
        <x:v>D - Inferred</x:v>
      </x:c>
      <x:c r="V63" s="83" t="str">
        <x:v>Provisional aggregate only; Phase 3B must split run-of-river, reservoir and pumping power/energy.</x:v>
      </x:c>
      <x:c r="W63" s="83" t="str">
        <x:v>Do not use directly before hydro decomposition.</x:v>
      </x:c>
    </x:row>
    <x:row r="64">
      <x:c r="A64" s="83" t="str">
        <x:v>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Hydro</x:v>
      </x:c>
      <x:c r="F64" s="83" t="str">
        <x:v>Idrico e pompaggi</x:v>
      </x:c>
      <x:c r="G64" s="83" t="str">
        <x:v>Aggregate power</x:v>
      </x:c>
      <x:c r="H64" s="143"/>
      <x:c r="I64" s="143" t="n">
        <x:v>23</x:v>
      </x:c>
      <x:c r="J64" s="143"/>
      <x:c r="K64" s="83" t="str">
        <x:v>GW</x:v>
      </x:c>
      <x:c r="L64" s="83" t="str">
        <x:v>Italia</x:v>
      </x:c>
      <x:c r="M64" s="83" t="str">
        <x:v>Installed capacity; provisional</x:v>
      </x:c>
      <x:c r="N64" s="83" t="str">
        <x:v>Inferenza da più fonti</x:v>
      </x:c>
      <x:c r="O64" s="83" t="str">
        <x:v>S09 + S07</x:v>
      </x:c>
      <x:c r="P64" s="83" t="str">
        <x:v>DDS 2024 + Terna Prospettive 2050</x:v>
      </x:c>
      <x:c r="Q64" s="83" t="str">
        <x:v>S09 55; S07 64</x:v>
      </x:c>
      <x:c r="R64" s="83" t="str">
        <x:v>S09 53; S07 62</x:v>
      </x:c>
      <x:c r="S64" s="83" t="str">
        <x:v>DDS narrative + S07 Figura 54</x:v>
      </x:c>
      <x:c r="T64" s="83" t="str">
        <x:v>Figure 54 labels 23 GW historically/2030/2050; DDS states hydro capacity held constant</x:v>
      </x:c>
      <x:c r="U64" s="83" t="str">
        <x:v>D - Inferred</x:v>
      </x:c>
      <x:c r="V64" s="83" t="str">
        <x:v>Provisional aggregate only; Phase 3B must split run-of-river, reservoir and pumping power/energy.</x:v>
      </x:c>
      <x:c r="W64" s="83" t="str">
        <x:v>Do not use directly before hydro decomposition.</x:v>
      </x:c>
    </x:row>
    <x:row r="65">
      <x:c r="A65" s="83" t="str">
        <x:v>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Hydro</x:v>
      </x:c>
      <x:c r="F65" s="83" t="str">
        <x:v>Idrico e pompaggi</x:v>
      </x:c>
      <x:c r="G65" s="83" t="str">
        <x:v>Aggregate power</x:v>
      </x:c>
      <x:c r="H65" s="143"/>
      <x:c r="I65" s="143" t="n">
        <x:v>23</x:v>
      </x:c>
      <x:c r="J65" s="143"/>
      <x:c r="K65" s="83" t="str">
        <x:v>GW</x:v>
      </x:c>
      <x:c r="L65" s="83" t="str">
        <x:v>Italia</x:v>
      </x:c>
      <x:c r="M65" s="83" t="str">
        <x:v>Installed capacity; provisional</x:v>
      </x:c>
      <x:c r="N65" s="83" t="str">
        <x:v>Inferenza da più fonti</x:v>
      </x:c>
      <x:c r="O65" s="83" t="str">
        <x:v>S09 + S07</x:v>
      </x:c>
      <x:c r="P65" s="83" t="str">
        <x:v>DDS 2024 + Terna Prospettive 2050</x:v>
      </x:c>
      <x:c r="Q65" s="83" t="str">
        <x:v>S09 55; S07 64</x:v>
      </x:c>
      <x:c r="R65" s="83" t="str">
        <x:v>S09 53; S07 62</x:v>
      </x:c>
      <x:c r="S65" s="83" t="str">
        <x:v>DDS narrative + S07 Figura 54</x:v>
      </x:c>
      <x:c r="T65" s="83" t="str">
        <x:v>Figure 54 labels 23 GW historically/2030/2050; DDS states hydro capacity held constant</x:v>
      </x:c>
      <x:c r="U65" s="83" t="str">
        <x:v>D - Inferred</x:v>
      </x:c>
      <x:c r="V65" s="83" t="str">
        <x:v>Provisional aggregate only; Phase 3B must split run-of-river, reservoir and pumping power/energy.</x:v>
      </x:c>
      <x:c r="W65" s="83" t="str">
        <x:v>Do not use directly before hydro decomposition.</x:v>
      </x:c>
    </x:row>
    <x:row r="66">
      <x:c r="A66" s="83" t="str">
        <x:v>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Hydro</x:v>
      </x:c>
      <x:c r="F66" s="83" t="str">
        <x:v>Idrico e pompaggi</x:v>
      </x:c>
      <x:c r="G66" s="83" t="str">
        <x:v>Aggregate power</x:v>
      </x:c>
      <x:c r="H66" s="143"/>
      <x:c r="I66" s="143" t="n">
        <x:v>23</x:v>
      </x:c>
      <x:c r="J66" s="143"/>
      <x:c r="K66" s="83" t="str">
        <x:v>GW</x:v>
      </x:c>
      <x:c r="L66" s="83" t="str">
        <x:v>Italia</x:v>
      </x:c>
      <x:c r="M66" s="83" t="str">
        <x:v>Installed capacity; provisional</x:v>
      </x:c>
      <x:c r="N66" s="83" t="str">
        <x:v>Inferenza da più fonti</x:v>
      </x:c>
      <x:c r="O66" s="83" t="str">
        <x:v>S09 + S07</x:v>
      </x:c>
      <x:c r="P66" s="83" t="str">
        <x:v>DDS 2024 + Terna Prospettive 2050</x:v>
      </x:c>
      <x:c r="Q66" s="83" t="str">
        <x:v>S09 55; S07 64</x:v>
      </x:c>
      <x:c r="R66" s="83" t="str">
        <x:v>S09 53; S07 62</x:v>
      </x:c>
      <x:c r="S66" s="83" t="str">
        <x:v>DDS narrative + S07 Figura 54</x:v>
      </x:c>
      <x:c r="T66" s="83" t="str">
        <x:v>Figure 54 labels 23 GW historically/2030/2050; DDS states hydro capacity held constant</x:v>
      </x:c>
      <x:c r="U66" s="83" t="str">
        <x:v>D - Inferred</x:v>
      </x:c>
      <x:c r="V66" s="83" t="str">
        <x:v>Provisional aggregate only; Phase 3B must split run-of-river, reservoir and pumping power/energy.</x:v>
      </x:c>
      <x:c r="W66" s="83" t="str">
        <x:v>Do not use directly before hydro decomposition.</x:v>
      </x:c>
    </x:row>
    <x:row r="67">
      <x:c r="A67" s="83" t="str">
        <x:v>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Hydro</x:v>
      </x:c>
      <x:c r="F67" s="83" t="str">
        <x:v>Idrico e pompaggi</x:v>
      </x:c>
      <x:c r="G67" s="83" t="str">
        <x:v>Aggregate power</x:v>
      </x:c>
      <x:c r="H67" s="143"/>
      <x:c r="I67" s="143" t="n">
        <x:v>23</x:v>
      </x:c>
      <x:c r="J67" s="143"/>
      <x:c r="K67" s="83" t="str">
        <x:v>GW</x:v>
      </x:c>
      <x:c r="L67" s="83" t="str">
        <x:v>Italia</x:v>
      </x:c>
      <x:c r="M67" s="83" t="str">
        <x:v>Installed capacity; provisional</x:v>
      </x:c>
      <x:c r="N67" s="83" t="str">
        <x:v>Inferenza da più fonti</x:v>
      </x:c>
      <x:c r="O67" s="83" t="str">
        <x:v>S09 + S07</x:v>
      </x:c>
      <x:c r="P67" s="83" t="str">
        <x:v>DDS 2024 + Terna Prospettive 2050</x:v>
      </x:c>
      <x:c r="Q67" s="83" t="str">
        <x:v>S09 55; S07 64</x:v>
      </x:c>
      <x:c r="R67" s="83" t="str">
        <x:v>S09 53; S07 62</x:v>
      </x:c>
      <x:c r="S67" s="83" t="str">
        <x:v>DDS narrative + S07 Figura 54</x:v>
      </x:c>
      <x:c r="T67" s="83" t="str">
        <x:v>Figure 54 labels 23 GW historically/2030/2050; DDS states hydro capacity held constant</x:v>
      </x:c>
      <x:c r="U67" s="83" t="str">
        <x:v>D - Inferred</x:v>
      </x:c>
      <x:c r="V67" s="83" t="str">
        <x:v>Provisional aggregate only; Phase 3B must split run-of-river, reservoir and pumping power/energy.</x:v>
      </x:c>
      <x:c r="W67" s="83" t="str">
        <x:v>Do not use directly before hydro decomposition.</x:v>
      </x:c>
    </x:row>
    <x:row r="68">
      <x:c r="A68" s="83" t="str">
        <x:v>CAP-0064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Variable renewables</x:v>
      </x:c>
      <x:c r="F68" s="83" t="str">
        <x:v>Totale FRNP</x:v>
      </x:c>
      <x:c r="G68" s="83" t="str">
        <x:v>Solar + wind</x:v>
      </x:c>
      <x:c r="H68" s="143"/>
      <x:c r="I68" s="143" t="n">
        <x:v>296</x:v>
      </x:c>
      <x:c r="J68" s="143"/>
      <x:c r="K68" s="83" t="str">
        <x:v>GW</x:v>
      </x:c>
      <x:c r="L68" s="83" t="str">
        <x:v>Italia</x:v>
      </x:c>
      <x:c r="M68" s="83" t="str">
        <x:v>Installed capacity</x:v>
      </x:c>
      <x:c r="N68" s="83" t="str">
        <x:v>Risultato di modello della fonte</x:v>
      </x:c>
      <x:c r="O68" s="83" t="str">
        <x:v>S07 (riproduce S08)</x:v>
      </x:c>
      <x:c r="P68" s="83" t="str">
        <x:v>Terna Prospettive Sviluppo Sistema Energetico 2050.pdf</x:v>
      </x:c>
      <x:c r="Q68" s="83" t="n">
        <x:v>58</x:v>
      </x:c>
      <x:c r="R68" s="83" t="n">
        <x:v>56</x:v>
      </x:c>
      <x:c r="S68" s="83" t="str">
        <x:v>Tabella 4 - colonna PNIEC</x:v>
      </x:c>
      <x:c r="T68" s="83" t="str">
        <x:v>Direct table extraction; cross-check PNIEC p.93</x:v>
      </x:c>
      <x:c r="U68" s="83" t="str">
        <x:v>A - Direct</x:v>
      </x:c>
      <x:c r="V68" s="83" t="str">
        <x:v>Policy benchmark; not automatic Terna technical input.</x:v>
      </x:c>
      <x:c r="W68" s="83" t="str">
        <x:v>PNIEC column applies to the PNIEC exploratory configuration; 245+36+15=296.</x:v>
      </x:c>
    </x:row>
    <x:row r="69">
      <x:c r="A69" s="83" t="str">
        <x:v>CAP-0065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Solar</x:v>
      </x:c>
      <x:c r="F69" s="83" t="str">
        <x:v>Solare</x:v>
      </x:c>
      <x:c r="G69" s="83" t="str">
        <x:v>Photovoltaic</x:v>
      </x:c>
      <x:c r="H69" s="143"/>
      <x:c r="I69" s="143" t="n">
        <x:v>245</x:v>
      </x:c>
      <x:c r="J69" s="143"/>
      <x:c r="K69" s="83" t="str">
        <x:v>GW</x:v>
      </x:c>
      <x:c r="L69" s="83" t="str">
        <x:v>Italia</x:v>
      </x:c>
      <x:c r="M69" s="83" t="str">
        <x:v>Installed capacity</x:v>
      </x:c>
      <x:c r="N69" s="83" t="str">
        <x:v>Risultato di modello della fonte</x:v>
      </x:c>
      <x:c r="O69" s="83" t="str">
        <x:v>S07 (riproduce S08)</x:v>
      </x:c>
      <x:c r="P69" s="83" t="str">
        <x:v>Terna Prospettive Sviluppo Sistema Energetico 2050.pdf</x:v>
      </x:c>
      <x:c r="Q69" s="83" t="n">
        <x:v>58</x:v>
      </x:c>
      <x:c r="R69" s="83" t="n">
        <x:v>56</x:v>
      </x:c>
      <x:c r="S69" s="83" t="str">
        <x:v>Tabella 4 - colonna PNIEC</x:v>
      </x:c>
      <x:c r="T69" s="83" t="str">
        <x:v>Direct table extraction; cross-check PNIEC p.93</x:v>
      </x:c>
      <x:c r="U69" s="83" t="str">
        <x:v>A - Direct</x:v>
      </x:c>
      <x:c r="V69" s="83" t="str">
        <x:v>Policy benchmark; not automatic Terna technical input.</x:v>
      </x:c>
      <x:c r="W69" s="83" t="str">
        <x:v>PNIEC column applies to the PNIEC exploratory configuration; 245+36+15=296.</x:v>
      </x:c>
    </x:row>
    <x:row r="70">
      <x:c r="A70" s="83" t="str">
        <x:v>CAP-0066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Wind</x:v>
      </x:c>
      <x:c r="F70" s="83" t="str">
        <x:v>Eolico onshore</x:v>
      </x:c>
      <x:c r="G70" s="83" t="str">
        <x:v>Onshore</x:v>
      </x:c>
      <x:c r="H70" s="143"/>
      <x:c r="I70" s="143" t="n">
        <x:v>36</x:v>
      </x:c>
      <x:c r="J70" s="143"/>
      <x:c r="K70" s="83" t="str">
        <x:v>GW</x:v>
      </x:c>
      <x:c r="L70" s="83" t="str">
        <x:v>Italia</x:v>
      </x:c>
      <x:c r="M70" s="83" t="str">
        <x:v>Installed capacity</x:v>
      </x:c>
      <x:c r="N70" s="83" t="str">
        <x:v>Risultato di modello della fonte</x:v>
      </x:c>
      <x:c r="O70" s="83" t="str">
        <x:v>S07 (riproduce S08)</x:v>
      </x:c>
      <x:c r="P70" s="83" t="str">
        <x:v>Terna Prospettive Sviluppo Sistema Energetico 2050.pdf</x:v>
      </x:c>
      <x:c r="Q70" s="83" t="n">
        <x:v>58</x:v>
      </x:c>
      <x:c r="R70" s="83" t="n">
        <x:v>56</x:v>
      </x:c>
      <x:c r="S70" s="83" t="str">
        <x:v>Tabella 4 - colonna PNIEC</x:v>
      </x:c>
      <x:c r="T70" s="83" t="str">
        <x:v>Direct table extraction; cross-check PNIEC p.93</x:v>
      </x:c>
      <x:c r="U70" s="83" t="str">
        <x:v>A - Direct</x:v>
      </x:c>
      <x:c r="V70" s="83" t="str">
        <x:v>Policy benchmark; not automatic Terna technical input.</x:v>
      </x:c>
      <x:c r="W70" s="83" t="str">
        <x:v>PNIEC column applies to the PNIEC exploratory configuration; 245+36+15=296.</x:v>
      </x:c>
    </x:row>
    <x:row r="71">
      <x:c r="A71" s="83" t="str">
        <x:v>CAP-0067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Wind</x:v>
      </x:c>
      <x:c r="F71" s="83" t="str">
        <x:v>Eolico offshore</x:v>
      </x:c>
      <x:c r="G71" s="83" t="str">
        <x:v>Offshore</x:v>
      </x:c>
      <x:c r="H71" s="143"/>
      <x:c r="I71" s="143" t="n">
        <x:v>15</x:v>
      </x:c>
      <x:c r="J71" s="143"/>
      <x:c r="K71" s="83" t="str">
        <x:v>GW</x:v>
      </x:c>
      <x:c r="L71" s="83" t="str">
        <x:v>Italia</x:v>
      </x:c>
      <x:c r="M71" s="83" t="str">
        <x:v>Installed capacity</x:v>
      </x:c>
      <x:c r="N71" s="83" t="str">
        <x:v>Risultato di modello della fonte</x:v>
      </x:c>
      <x:c r="O71" s="83" t="str">
        <x:v>S07 (riproduce S08)</x:v>
      </x:c>
      <x:c r="P71" s="83" t="str">
        <x:v>Terna Prospettive Sviluppo Sistema Energetico 2050.pdf</x:v>
      </x:c>
      <x:c r="Q71" s="83" t="n">
        <x:v>58</x:v>
      </x:c>
      <x:c r="R71" s="83" t="n">
        <x:v>56</x:v>
      </x:c>
      <x:c r="S71" s="83" t="str">
        <x:v>Tabella 4 - colonna PNIEC</x:v>
      </x:c>
      <x:c r="T71" s="83" t="str">
        <x:v>Direct table extraction; cross-check PNIEC p.93</x:v>
      </x:c>
      <x:c r="U71" s="83" t="str">
        <x:v>A - Direct</x:v>
      </x:c>
      <x:c r="V71" s="83" t="str">
        <x:v>Policy benchmark; not automatic Terna technical input.</x:v>
      </x:c>
      <x:c r="W71" s="83" t="str">
        <x:v>PNIEC column applies to the PNIEC exploratory configuration; 245+36+15=296.</x:v>
      </x:c>
    </x:row>
    <x:row r="72">
      <x:c r="A72" s="83" t="str">
        <x:v>CAP-0068</x:v>
      </x:c>
      <x:c r="B72" s="83" t="str">
        <x:v>PNIEC_2050_NUCLEAR</x:v>
      </x:c>
      <x:c r="C72" s="83" t="n">
        <x:v>2050</x:v>
      </x:c>
      <x:c r="D72" s="83" t="str">
        <x:v>PNIEC 2050 con nucleare</x:v>
      </x:c>
      <x:c r="E72" s="83" t="str">
        <x:v>Nuclear</x:v>
      </x:c>
      <x:c r="F72" s="83" t="str">
        <x:v>Nucleare</x:v>
      </x:c>
      <x:c r="G72" s="83" t="str">
        <x:v>Advanced nuclear; PNIEC conservative case</x:v>
      </x:c>
      <x:c r="H72" s="143" t="n">
        <x:v>7.5</x:v>
      </x:c>
      <x:c r="I72" s="143" t="n">
        <x:v>8</x:v>
      </x:c>
      <x:c r="J72" s="143" t="n">
        <x:v>8.5</x:v>
      </x:c>
      <x:c r="K72" s="83" t="str">
        <x:v>GW</x:v>
      </x:c>
      <x:c r="L72" s="83" t="str">
        <x:v>Italia</x:v>
      </x:c>
      <x:c r="M72" s="83" t="str">
        <x:v>Installed capacity</x:v>
      </x:c>
      <x:c r="N72" s="83" t="str">
        <x:v>Risultato di modello della fonte</x:v>
      </x:c>
      <x:c r="O72" s="83" t="str">
        <x:v>S08</x:v>
      </x:c>
      <x:c r="P72" s="83" t="str">
        <x:v>PNIEC 2024.pdf</x:v>
      </x:c>
      <x:c r="Q72" s="83" t="n">
        <x:v>92</x:v>
      </x:c>
      <x:c r="R72" s="83" t="str">
        <x:v>92</x:v>
      </x:c>
      <x:c r="S72" s="83" t="str">
        <x:v>Narrative / Figura 6-8</x:v>
      </x:c>
      <x:c r="T72" s="83" t="str">
        <x:v>Direct narrative extraction</x:v>
      </x:c>
      <x:c r="U72" s="83" t="str">
        <x:v>A - Direct</x:v>
      </x:c>
      <x:c r="V72" s="83" t="str">
        <x:v>Separate 2050 branch; location and unit characteristics remain open.</x:v>
      </x:c>
      <x:c r="W72" s="83" t="str">
        <x:v>8 GW is the mean; stated range 7.5-8.5 GW.</x:v>
      </x:c>
    </x:row>
    <x:row r="73">
      <x:c r="A73" s="83" t="str">
        <x:v>CAP-0069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Variable renewables</x:v>
      </x:c>
      <x:c r="F73" s="83" t="str">
        <x:v>Totale FRNP</x:v>
      </x:c>
      <x:c r="G73" s="83" t="str">
        <x:v>Solar + wind</x:v>
      </x:c>
      <x:c r="H73" s="143"/>
      <x:c r="I73" s="143" t="n">
        <x:v>296</x:v>
      </x:c>
      <x:c r="J73" s="143"/>
      <x:c r="K73" s="83" t="str">
        <x:v>GW</x:v>
      </x:c>
      <x:c r="L73" s="83" t="str">
        <x:v>Italia</x:v>
      </x:c>
      <x:c r="M73" s="83" t="str">
        <x:v>Installed capacity</x:v>
      </x:c>
      <x:c r="N73" s="83" t="str">
        <x:v>Risultato di modello della fonte</x:v>
      </x:c>
      <x:c r="O73" s="83" t="str">
        <x:v>S07 (riproduce S08)</x:v>
      </x:c>
      <x:c r="P73" s="83" t="str">
        <x:v>Terna Prospettive Sviluppo Sistema Energetico 2050.pdf</x:v>
      </x:c>
      <x:c r="Q73" s="83" t="n">
        <x:v>58</x:v>
      </x:c>
      <x:c r="R73" s="83" t="n">
        <x:v>56</x:v>
      </x:c>
      <x:c r="S73" s="83" t="str">
        <x:v>Tabella 4 - colonna PNIEC</x:v>
      </x:c>
      <x:c r="T73" s="83" t="str">
        <x:v>Direct table extraction; cross-check PNIEC p.93</x:v>
      </x:c>
      <x:c r="U73" s="83" t="str">
        <x:v>A - Direct</x:v>
      </x:c>
      <x:c r="V73" s="83" t="str">
        <x:v>Policy benchmark; not automatic Terna technical input.</x:v>
      </x:c>
      <x:c r="W73" s="83" t="str">
        <x:v>PNIEC column applies to the PNIEC exploratory configuration; 245+36+15=296.</x:v>
      </x:c>
    </x:row>
    <x:row r="74">
      <x:c r="A74" s="83" t="str">
        <x:v>CAP-0070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Solar</x:v>
      </x:c>
      <x:c r="F74" s="83" t="str">
        <x:v>Solare</x:v>
      </x:c>
      <x:c r="G74" s="83" t="str">
        <x:v>Photovoltaic</x:v>
      </x:c>
      <x:c r="H74" s="143"/>
      <x:c r="I74" s="143" t="n">
        <x:v>245</x:v>
      </x:c>
      <x:c r="J74" s="143"/>
      <x:c r="K74" s="83" t="str">
        <x:v>GW</x:v>
      </x:c>
      <x:c r="L74" s="83" t="str">
        <x:v>Italia</x:v>
      </x:c>
      <x:c r="M74" s="83" t="str">
        <x:v>Installed capacity</x:v>
      </x:c>
      <x:c r="N74" s="83" t="str">
        <x:v>Risultato di modello della fonte</x:v>
      </x:c>
      <x:c r="O74" s="83" t="str">
        <x:v>S07 (riproduce S08)</x:v>
      </x:c>
      <x:c r="P74" s="83" t="str">
        <x:v>Terna Prospettive Sviluppo Sistema Energetico 2050.pdf</x:v>
      </x:c>
      <x:c r="Q74" s="83" t="n">
        <x:v>58</x:v>
      </x:c>
      <x:c r="R74" s="83" t="n">
        <x:v>56</x:v>
      </x:c>
      <x:c r="S74" s="83" t="str">
        <x:v>Tabella 4 - colonna PNIEC</x:v>
      </x:c>
      <x:c r="T74" s="83" t="str">
        <x:v>Direct table extraction; cross-check PNIEC p.93</x:v>
      </x:c>
      <x:c r="U74" s="83" t="str">
        <x:v>A - Direct</x:v>
      </x:c>
      <x:c r="V74" s="83" t="str">
        <x:v>Policy benchmark; not automatic Terna technical input.</x:v>
      </x:c>
      <x:c r="W74" s="83" t="str">
        <x:v>PNIEC column applies to the PNIEC exploratory configuration; 245+36+15=296.</x:v>
      </x:c>
    </x:row>
    <x:row r="75">
      <x:c r="A75" s="83" t="str">
        <x:v>CAP-0071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Wind</x:v>
      </x:c>
      <x:c r="F75" s="83" t="str">
        <x:v>Eolico onshore</x:v>
      </x:c>
      <x:c r="G75" s="83" t="str">
        <x:v>Onshore</x:v>
      </x:c>
      <x:c r="H75" s="143"/>
      <x:c r="I75" s="143" t="n">
        <x:v>36</x:v>
      </x:c>
      <x:c r="J75" s="143"/>
      <x:c r="K75" s="83" t="str">
        <x:v>GW</x:v>
      </x:c>
      <x:c r="L75" s="83" t="str">
        <x:v>Italia</x:v>
      </x:c>
      <x:c r="M75" s="83" t="str">
        <x:v>Installed capacity</x:v>
      </x:c>
      <x:c r="N75" s="83" t="str">
        <x:v>Risultato di modello della fonte</x:v>
      </x:c>
      <x:c r="O75" s="83" t="str">
        <x:v>S07 (riproduce S08)</x:v>
      </x:c>
      <x:c r="P75" s="83" t="str">
        <x:v>Terna Prospettive Sviluppo Sistema Energetico 2050.pdf</x:v>
      </x:c>
      <x:c r="Q75" s="83" t="n">
        <x:v>58</x:v>
      </x:c>
      <x:c r="R75" s="83" t="n">
        <x:v>56</x:v>
      </x:c>
      <x:c r="S75" s="83" t="str">
        <x:v>Tabella 4 - colonna PNIEC</x:v>
      </x:c>
      <x:c r="T75" s="83" t="str">
        <x:v>Direct table extraction; cross-check PNIEC p.93</x:v>
      </x:c>
      <x:c r="U75" s="83" t="str">
        <x:v>A - Direct</x:v>
      </x:c>
      <x:c r="V75" s="83" t="str">
        <x:v>Policy benchmark; not automatic Terna technical input.</x:v>
      </x:c>
      <x:c r="W75" s="83" t="str">
        <x:v>PNIEC column applies to the PNIEC exploratory configuration; 245+36+15=296.</x:v>
      </x:c>
    </x:row>
    <x:row r="76">
      <x:c r="A76" s="83" t="str">
        <x:v>CAP-0072</x:v>
      </x:c>
      <x:c r="B76" s="83" t="str">
        <x:v>PNIEC_2050_NO_NUCLEAR</x:v>
      </x:c>
      <x:c r="C76" s="83" t="n">
        <x:v>2050</x:v>
      </x:c>
      <x:c r="D76" s="83" t="str">
        <x:v>PNIEC 2050 senza nucleare</x:v>
      </x:c>
      <x:c r="E76" s="83" t="str">
        <x:v>Wind</x:v>
      </x:c>
      <x:c r="F76" s="83" t="str">
        <x:v>Eolico offshore</x:v>
      </x:c>
      <x:c r="G76" s="83" t="str">
        <x:v>Offshore</x:v>
      </x:c>
      <x:c r="H76" s="143"/>
      <x:c r="I76" s="143" t="n">
        <x:v>15</x:v>
      </x:c>
      <x:c r="J76" s="143"/>
      <x:c r="K76" s="83" t="str">
        <x:v>GW</x:v>
      </x:c>
      <x:c r="L76" s="83" t="str">
        <x:v>Italia</x:v>
      </x:c>
      <x:c r="M76" s="83" t="str">
        <x:v>Installed capacity</x:v>
      </x:c>
      <x:c r="N76" s="83" t="str">
        <x:v>Risultato di modello della fonte</x:v>
      </x:c>
      <x:c r="O76" s="83" t="str">
        <x:v>S07 (riproduce S08)</x:v>
      </x:c>
      <x:c r="P76" s="83" t="str">
        <x:v>Terna Prospettive Sviluppo Sistema Energetico 2050.pdf</x:v>
      </x:c>
      <x:c r="Q76" s="83" t="n">
        <x:v>58</x:v>
      </x:c>
      <x:c r="R76" s="83" t="n">
        <x:v>56</x:v>
      </x:c>
      <x:c r="S76" s="83" t="str">
        <x:v>Tabella 4 - colonna PNIEC</x:v>
      </x:c>
      <x:c r="T76" s="83" t="str">
        <x:v>Direct table extraction; cross-check PNIEC p.93</x:v>
      </x:c>
      <x:c r="U76" s="83" t="str">
        <x:v>A - Direct</x:v>
      </x:c>
      <x:c r="V76" s="83" t="str">
        <x:v>Policy benchmark; not automatic Terna technical input.</x:v>
      </x:c>
      <x:c r="W76" s="83" t="str">
        <x:v>PNIEC column applies to the PNIEC exploratory configuration; 245+36+15=296.</x:v>
      </x:c>
    </x:row>
    <x:row r="77">
      <x:c r="A77" s="83" t="str">
        <x:v>CAP-0073</x:v>
      </x:c>
      <x:c r="B77" s="83" t="str">
        <x:v>PNIEC_2050_NO_NUCLEAR</x:v>
      </x:c>
      <x:c r="C77" s="83" t="n">
        <x:v>2050</x:v>
      </x:c>
      <x:c r="D77" s="83" t="str">
        <x:v>PNIEC 2050 senza nucleare</x:v>
      </x:c>
      <x:c r="E77" s="83" t="str">
        <x:v>Nuclear</x:v>
      </x:c>
      <x:c r="F77" s="83" t="str">
        <x:v>Nucleare</x:v>
      </x:c>
      <x:c r="G77" s="83" t="str">
        <x:v>Advanced nuclear; PNIEC conservative case</x:v>
      </x:c>
      <x:c r="H77" s="143" t="n">
        <x:v>0</x:v>
      </x:c>
      <x:c r="I77" s="143" t="n">
        <x:v>0</x:v>
      </x:c>
      <x:c r="J77" s="143" t="n">
        <x:v>0</x:v>
      </x:c>
      <x:c r="K77" s="83" t="str">
        <x:v>GW</x:v>
      </x:c>
      <x:c r="L77" s="83" t="str">
        <x:v>Italia</x:v>
      </x:c>
      <x:c r="M77" s="83" t="str">
        <x:v>Installed capacity</x:v>
      </x:c>
      <x:c r="N77" s="83" t="str">
        <x:v>Risultato di modello della fonte</x:v>
      </x:c>
      <x:c r="O77" s="83" t="str">
        <x:v>S08</x:v>
      </x:c>
      <x:c r="P77" s="83" t="str">
        <x:v>PNIEC 2024.pdf</x:v>
      </x:c>
      <x:c r="Q77" s="83" t="n">
        <x:v>92</x:v>
      </x:c>
      <x:c r="R77" s="83" t="str">
        <x:v>92</x:v>
      </x:c>
      <x:c r="S77" s="83" t="str">
        <x:v>Narrative / Figura 6-8</x:v>
      </x:c>
      <x:c r="T77" s="83" t="str">
        <x:v>Direct narrative extraction</x:v>
      </x:c>
      <x:c r="U77" s="83" t="str">
        <x:v>A - Direct</x:v>
      </x:c>
      <x:c r="V77" s="83" t="str">
        <x:v>Separate 2050 branch; location and unit characteristics remain open.</x:v>
      </x:c>
      <x:c r="W77" s="83" t="str">
        <x:v>Nuclear excluded.</x:v>
      </x:c>
    </x:row>
    <x:row r="78">
      <x:c r="A78" s="83" t="str">
        <x:v>CAP-0074</x:v>
      </x:c>
      <x:c r="B78" s="83" t="str">
        <x:v>TERNA_2050_NUCLEAR</x:v>
      </x:c>
      <x:c r="C78" s="83" t="n">
        <x:v>2050</x:v>
      </x:c>
      <x:c r="D78" s="83" t="str">
        <x:v>Terna 2050 con nucleare</x:v>
      </x:c>
      <x:c r="E78" s="83" t="str">
        <x:v>Variable renewables</x:v>
      </x:c>
      <x:c r="F78" s="83" t="str">
        <x:v>Totale FRNP</x:v>
      </x:c>
      <x:c r="G78" s="83" t="str">
        <x:v>Solar + wind</x:v>
      </x:c>
      <x:c r="H78" s="143"/>
      <x:c r="I78" s="143" t="n">
        <x:v>246</x:v>
      </x:c>
      <x:c r="J78" s="143"/>
      <x:c r="K78" s="83" t="str">
        <x:v>GW</x:v>
      </x:c>
      <x:c r="L78" s="83" t="str">
        <x:v>Italia</x:v>
      </x:c>
      <x:c r="M78" s="83" t="str">
        <x:v>Installed capacity</x:v>
      </x:c>
      <x:c r="N78" s="83" t="str">
        <x:v>Assunzione di scenario / model configuration</x:v>
      </x:c>
      <x:c r="O78" s="83" t="str">
        <x:v>S07</x:v>
      </x:c>
      <x:c r="P78" s="83" t="str">
        <x:v>Terna Prospettive Sviluppo Sistema Energetico 2050.pdf</x:v>
      </x:c>
      <x:c r="Q78" s="83" t="n">
        <x:v>58</x:v>
      </x:c>
      <x:c r="R78" s="83" t="n">
        <x:v>56</x:v>
      </x:c>
      <x:c r="S78" s="83" t="str">
        <x:v>Tabella 4</x:v>
      </x:c>
      <x:c r="T78" s="83" t="str">
        <x:v>Direct table extraction</x:v>
      </x:c>
      <x:c r="U78" s="83" t="str">
        <x:v>A - Direct</x:v>
      </x:c>
      <x:c r="V78" s="83" t="str">
        <x:v>National 2050 capacity; zonal allocation remains to be constructed.</x:v>
      </x:c>
      <x:c r="W78" s="83" t="str">
        <x:v>Terna mix uses more wind and less solar than the PNIEC illustrative mix.</x:v>
      </x:c>
    </x:row>
    <x:row r="79">
      <x:c r="A79" s="83" t="str">
        <x:v>CAP-0075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Solar</x:v>
      </x:c>
      <x:c r="F79" s="83" t="str">
        <x:v>Solare</x:v>
      </x:c>
      <x:c r="G79" s="83" t="str">
        <x:v>Photovoltaic</x:v>
      </x:c>
      <x:c r="H79" s="143"/>
      <x:c r="I79" s="143" t="n">
        <x:v>180</x:v>
      </x:c>
      <x:c r="J79" s="143"/>
      <x:c r="K79" s="83" t="str">
        <x:v>GW</x:v>
      </x:c>
      <x:c r="L79" s="83" t="str">
        <x:v>Italia</x:v>
      </x:c>
      <x:c r="M79" s="83" t="str">
        <x:v>Installed capacity</x:v>
      </x:c>
      <x:c r="N79" s="83" t="str">
        <x:v>Assunzione di scenario / model configuration</x:v>
      </x:c>
      <x:c r="O79" s="83" t="str">
        <x:v>S07</x:v>
      </x:c>
      <x:c r="P79" s="83" t="str">
        <x:v>Terna Prospettive Sviluppo Sistema Energetico 2050.pdf</x:v>
      </x:c>
      <x:c r="Q79" s="83" t="n">
        <x:v>58</x:v>
      </x:c>
      <x:c r="R79" s="83" t="n">
        <x:v>56</x:v>
      </x:c>
      <x:c r="S79" s="83" t="str">
        <x:v>Tabella 4</x:v>
      </x:c>
      <x:c r="T79" s="83" t="str">
        <x:v>Direct table extraction</x:v>
      </x:c>
      <x:c r="U79" s="83" t="str">
        <x:v>A - Direct</x:v>
      </x:c>
      <x:c r="V79" s="83" t="str">
        <x:v>National 2050 capacity; zonal allocation remains to be constructed.</x:v>
      </x:c>
      <x:c r="W79" s="83" t="str">
        <x:v>Terna mix uses more wind and less solar than the PNIEC illustrative mix.</x:v>
      </x:c>
    </x:row>
    <x:row r="80">
      <x:c r="A80" s="83" t="str">
        <x:v>CAP-0076</x:v>
      </x:c>
      <x:c r="B80" s="83" t="str">
        <x:v>TERNA_2050_NUCLEAR</x:v>
      </x:c>
      <x:c r="C80" s="83" t="n">
        <x:v>2050</x:v>
      </x:c>
      <x:c r="D80" s="83" t="str">
        <x:v>Terna 2050 con nucleare</x:v>
      </x:c>
      <x:c r="E80" s="83" t="str">
        <x:v>Wind</x:v>
      </x:c>
      <x:c r="F80" s="83" t="str">
        <x:v>Eolico onshore</x:v>
      </x:c>
      <x:c r="G80" s="83" t="str">
        <x:v>Onshore</x:v>
      </x:c>
      <x:c r="H80" s="143"/>
      <x:c r="I80" s="143" t="n">
        <x:v>46</x:v>
      </x:c>
      <x:c r="J80" s="143"/>
      <x:c r="K80" s="83" t="str">
        <x:v>GW</x:v>
      </x:c>
      <x:c r="L80" s="83" t="str">
        <x:v>Italia</x:v>
      </x:c>
      <x:c r="M80" s="83" t="str">
        <x:v>Installed capacity</x:v>
      </x:c>
      <x:c r="N80" s="83" t="str">
        <x:v>Assunzione di scenario / model configuration</x:v>
      </x:c>
      <x:c r="O80" s="83" t="str">
        <x:v>S07</x:v>
      </x:c>
      <x:c r="P80" s="83" t="str">
        <x:v>Terna Prospettive Sviluppo Sistema Energetico 2050.pdf</x:v>
      </x:c>
      <x:c r="Q80" s="83" t="n">
        <x:v>58</x:v>
      </x:c>
      <x:c r="R80" s="83" t="n">
        <x:v>56</x:v>
      </x:c>
      <x:c r="S80" s="83" t="str">
        <x:v>Tabella 4</x:v>
      </x:c>
      <x:c r="T80" s="83" t="str">
        <x:v>Direct table extraction</x:v>
      </x:c>
      <x:c r="U80" s="83" t="str">
        <x:v>A - Direct</x:v>
      </x:c>
      <x:c r="V80" s="83" t="str">
        <x:v>National 2050 capacity; zonal allocation remains to be constructed.</x:v>
      </x:c>
      <x:c r="W80" s="83" t="str">
        <x:v>Terna mix uses more wind and less solar than the PNIEC illustrative mix.</x:v>
      </x:c>
    </x:row>
    <x:row r="81">
      <x:c r="A81" s="83" t="str">
        <x:v>CAP-0077</x:v>
      </x:c>
      <x:c r="B81" s="83" t="str">
        <x:v>TERNA_2050_NUCLEAR</x:v>
      </x:c>
      <x:c r="C81" s="83" t="n">
        <x:v>2050</x:v>
      </x:c>
      <x:c r="D81" s="83" t="str">
        <x:v>Terna 2050 con nucleare</x:v>
      </x:c>
      <x:c r="E81" s="83" t="str">
        <x:v>Wind</x:v>
      </x:c>
      <x:c r="F81" s="83" t="str">
        <x:v>Eolico offshore</x:v>
      </x:c>
      <x:c r="G81" s="83" t="str">
        <x:v>Offshore</x:v>
      </x:c>
      <x:c r="H81" s="143"/>
      <x:c r="I81" s="143" t="n">
        <x:v>20</x:v>
      </x:c>
      <x:c r="J81" s="143"/>
      <x:c r="K81" s="83" t="str">
        <x:v>GW</x:v>
      </x:c>
      <x:c r="L81" s="83" t="str">
        <x:v>Italia</x:v>
      </x:c>
      <x:c r="M81" s="83" t="str">
        <x:v>Installed capacity</x:v>
      </x:c>
      <x:c r="N81" s="83" t="str">
        <x:v>Assunzione di scenario / model configuration</x:v>
      </x:c>
      <x:c r="O81" s="83" t="str">
        <x:v>S07</x:v>
      </x:c>
      <x:c r="P81" s="83" t="str">
        <x:v>Terna Prospettive Sviluppo Sistema Energetico 2050.pdf</x:v>
      </x:c>
      <x:c r="Q81" s="83" t="n">
        <x:v>58</x:v>
      </x:c>
      <x:c r="R81" s="83" t="n">
        <x:v>56</x:v>
      </x:c>
      <x:c r="S81" s="83" t="str">
        <x:v>Tabella 4</x:v>
      </x:c>
      <x:c r="T81" s="83" t="str">
        <x:v>Direct table extraction</x:v>
      </x:c>
      <x:c r="U81" s="83" t="str">
        <x:v>A - Direct</x:v>
      </x:c>
      <x:c r="V81" s="83" t="str">
        <x:v>National 2050 capacity; zonal allocation remains to be constructed.</x:v>
      </x:c>
      <x:c r="W81" s="83" t="str">
        <x:v>Terna mix uses more wind and less solar than the PNIEC illustrative mix.</x:v>
      </x:c>
    </x:row>
    <x:row r="82">
      <x:c r="A82" s="83" t="str">
        <x:v>CAP-0078</x:v>
      </x:c>
      <x:c r="B82" s="83" t="str">
        <x:v>TERNA_2050_NUCLEAR</x:v>
      </x:c>
      <x:c r="C82" s="83" t="n">
        <x:v>2050</x:v>
      </x:c>
      <x:c r="D82" s="83" t="str">
        <x:v>Terna 2050 con nucleare</x:v>
      </x:c>
      <x:c r="E82" s="83" t="str">
        <x:v>Nuclear</x:v>
      </x:c>
      <x:c r="F82" s="83" t="str">
        <x:v>Nucleare</x:v>
      </x:c>
      <x:c r="G82" s="83" t="str">
        <x:v>Terna technical scenario</x:v>
      </x:c>
      <x:c r="H82" s="143"/>
      <x:c r="I82" s="143" t="n">
        <x:v>10</x:v>
      </x:c>
      <x:c r="J82" s="143"/>
      <x:c r="K82" s="83" t="str">
        <x:v>GW</x:v>
      </x:c>
      <x:c r="L82" s="83" t="str">
        <x:v>Italia</x:v>
      </x:c>
      <x:c r="M82" s="83" t="str">
        <x:v>Installed capacity</x:v>
      </x:c>
      <x:c r="N82" s="83" t="str">
        <x:v>Assunzione di scenario</x:v>
      </x:c>
      <x:c r="O82" s="83" t="str">
        <x:v>S07</x:v>
      </x:c>
      <x:c r="P82" s="83" t="str">
        <x:v>Terna Prospettive Sviluppo Sistema Energetico 2050.pdf</x:v>
      </x:c>
      <x:c r="Q82" s="83" t="n">
        <x:v>57</x:v>
      </x:c>
      <x:c r="R82" s="83" t="n">
        <x:v>55</x:v>
      </x:c>
      <x:c r="S82" s="83" t="str">
        <x:v>Narrative in 5.2.5</x:v>
      </x:c>
      <x:c r="T82" s="83" t="str">
        <x:v>Direct narrative extraction</x:v>
      </x:c>
      <x:c r="U82" s="83" t="str">
        <x:v>A - Direct</x:v>
      </x:c>
      <x:c r="V82" s="83" t="str">
        <x:v>Separate nuclear/no-nuclear branches; siting remains open.</x:v>
      </x:c>
      <x:c r="W82" s="83" t="str">
        <x:v>10 GW chosen to obtain ~80% annual load factor and avoid systematic PV curtailment.</x:v>
      </x:c>
    </x:row>
    <x:row r="83">
      <x:c r="A83" s="83" t="str">
        <x:v>CAP-0079</x:v>
      </x:c>
      <x:c r="B83" s="83" t="str">
        <x:v>TERNA_2050_NO_NUCLEAR</x:v>
      </x:c>
      <x:c r="C83" s="83" t="n">
        <x:v>2050</x:v>
      </x:c>
      <x:c r="D83" s="83" t="str">
        <x:v>Terna 2050 senza nucleare</x:v>
      </x:c>
      <x:c r="E83" s="83" t="str">
        <x:v>Variable renewables</x:v>
      </x:c>
      <x:c r="F83" s="83" t="str">
        <x:v>Totale FRNP</x:v>
      </x:c>
      <x:c r="G83" s="83" t="str">
        <x:v>Solar + wind</x:v>
      </x:c>
      <x:c r="H83" s="143"/>
      <x:c r="I83" s="143" t="n">
        <x:v>270</x:v>
      </x:c>
      <x:c r="J83" s="143"/>
      <x:c r="K83" s="83" t="str">
        <x:v>GW</x:v>
      </x:c>
      <x:c r="L83" s="83" t="str">
        <x:v>Italia</x:v>
      </x:c>
      <x:c r="M83" s="83" t="str">
        <x:v>Installed capacity</x:v>
      </x:c>
      <x:c r="N83" s="83" t="str">
        <x:v>Assunzione di scenario / model configuration</x:v>
      </x:c>
      <x:c r="O83" s="83" t="str">
        <x:v>S07</x:v>
      </x:c>
      <x:c r="P83" s="83" t="str">
        <x:v>Terna Prospettive Sviluppo Sistema Energetico 2050.pdf</x:v>
      </x:c>
      <x:c r="Q83" s="83" t="n">
        <x:v>58</x:v>
      </x:c>
      <x:c r="R83" s="83" t="n">
        <x:v>56</x:v>
      </x:c>
      <x:c r="S83" s="83" t="str">
        <x:v>Tabella 4</x:v>
      </x:c>
      <x:c r="T83" s="83" t="str">
        <x:v>Direct table extraction</x:v>
      </x:c>
      <x:c r="U83" s="83" t="str">
        <x:v>A - Direct</x:v>
      </x:c>
      <x:c r="V83" s="83" t="str">
        <x:v>National 2050 capacity; zonal allocation remains to be constructed.</x:v>
      </x:c>
      <x:c r="W83" s="83" t="str">
        <x:v>Terna mix uses more wind and less solar than the PNIEC illustrative mix.</x:v>
      </x:c>
    </x:row>
    <x:row r="84">
      <x:c r="A84" s="83" t="str">
        <x:v>CAP-0080</x:v>
      </x:c>
      <x:c r="B84" s="83" t="str">
        <x:v>TERNA_2050_NO_NUCLEAR</x:v>
      </x:c>
      <x:c r="C84" s="83" t="n">
        <x:v>2050</x:v>
      </x:c>
      <x:c r="D84" s="83" t="str">
        <x:v>Terna 2050 senza nucleare</x:v>
      </x:c>
      <x:c r="E84" s="83" t="str">
        <x:v>Solar</x:v>
      </x:c>
      <x:c r="F84" s="83" t="str">
        <x:v>Solare</x:v>
      </x:c>
      <x:c r="G84" s="83" t="str">
        <x:v>Photovoltaic</x:v>
      </x:c>
      <x:c r="H84" s="143"/>
      <x:c r="I84" s="143" t="n">
        <x:v>200</x:v>
      </x:c>
      <x:c r="J84" s="143"/>
      <x:c r="K84" s="83" t="str">
        <x:v>GW</x:v>
      </x:c>
      <x:c r="L84" s="83" t="str">
        <x:v>Italia</x:v>
      </x:c>
      <x:c r="M84" s="83" t="str">
        <x:v>Installed capacity</x:v>
      </x:c>
      <x:c r="N84" s="83" t="str">
        <x:v>Assunzione di scenario / model configuration</x:v>
      </x:c>
      <x:c r="O84" s="83" t="str">
        <x:v>S07</x:v>
      </x:c>
      <x:c r="P84" s="83" t="str">
        <x:v>Terna Prospettive Sviluppo Sistema Energetico 2050.pdf</x:v>
      </x:c>
      <x:c r="Q84" s="83" t="n">
        <x:v>58</x:v>
      </x:c>
      <x:c r="R84" s="83" t="n">
        <x:v>56</x:v>
      </x:c>
      <x:c r="S84" s="83" t="str">
        <x:v>Tabella 4</x:v>
      </x:c>
      <x:c r="T84" s="83" t="str">
        <x:v>Direct table extraction</x:v>
      </x:c>
      <x:c r="U84" s="83" t="str">
        <x:v>A - Direct</x:v>
      </x:c>
      <x:c r="V84" s="83" t="str">
        <x:v>National 2050 capacity; zonal allocation remains to be constructed.</x:v>
      </x:c>
      <x:c r="W84" s="83" t="str">
        <x:v>Terna mix uses more wind and less solar than the PNIEC illustrative mix.</x:v>
      </x:c>
    </x:row>
    <x:row r="85">
      <x:c r="A85" s="83" t="str">
        <x:v>CAP-0081</x:v>
      </x:c>
      <x:c r="B85" s="83" t="str">
        <x:v>TERNA_2050_NO_NUCLEAR</x:v>
      </x:c>
      <x:c r="C85" s="83" t="n">
        <x:v>2050</x:v>
      </x:c>
      <x:c r="D85" s="83" t="str">
        <x:v>Terna 2050 senza nucleare</x:v>
      </x:c>
      <x:c r="E85" s="83" t="str">
        <x:v>Wind</x:v>
      </x:c>
      <x:c r="F85" s="83" t="str">
        <x:v>Eolico onshore</x:v>
      </x:c>
      <x:c r="G85" s="83" t="str">
        <x:v>Onshore</x:v>
      </x:c>
      <x:c r="H85" s="143"/>
      <x:c r="I85" s="143" t="n">
        <x:v>50</x:v>
      </x:c>
      <x:c r="J85" s="143"/>
      <x:c r="K85" s="83" t="str">
        <x:v>GW</x:v>
      </x:c>
      <x:c r="L85" s="83" t="str">
        <x:v>Italia</x:v>
      </x:c>
      <x:c r="M85" s="83" t="str">
        <x:v>Installed capacity</x:v>
      </x:c>
      <x:c r="N85" s="83" t="str">
        <x:v>Assunzione di scenario / model configuration</x:v>
      </x:c>
      <x:c r="O85" s="83" t="str">
        <x:v>S07</x:v>
      </x:c>
      <x:c r="P85" s="83" t="str">
        <x:v>Terna Prospettive Sviluppo Sistema Energetico 2050.pdf</x:v>
      </x:c>
      <x:c r="Q85" s="83" t="n">
        <x:v>58</x:v>
      </x:c>
      <x:c r="R85" s="83" t="n">
        <x:v>56</x:v>
      </x:c>
      <x:c r="S85" s="83" t="str">
        <x:v>Tabella 4</x:v>
      </x:c>
      <x:c r="T85" s="83" t="str">
        <x:v>Direct table extraction</x:v>
      </x:c>
      <x:c r="U85" s="83" t="str">
        <x:v>A - Direct</x:v>
      </x:c>
      <x:c r="V85" s="83" t="str">
        <x:v>National 2050 capacity; zonal allocation remains to be constructed.</x:v>
      </x:c>
      <x:c r="W85" s="83" t="str">
        <x:v>Terna mix uses more wind and less solar than the PNIEC illustrative mix.</x:v>
      </x:c>
    </x:row>
    <x:row r="86">
      <x:c r="A86" s="83" t="str">
        <x:v>CAP-0082</x:v>
      </x:c>
      <x:c r="B86" s="83" t="str">
        <x:v>TERNA_2050_NO_NUCLEAR</x:v>
      </x:c>
      <x:c r="C86" s="83" t="n">
        <x:v>2050</x:v>
      </x:c>
      <x:c r="D86" s="83" t="str">
        <x:v>Terna 2050 senza nucleare</x:v>
      </x:c>
      <x:c r="E86" s="83" t="str">
        <x:v>Wind</x:v>
      </x:c>
      <x:c r="F86" s="83" t="str">
        <x:v>Eolico offshore</x:v>
      </x:c>
      <x:c r="G86" s="83" t="str">
        <x:v>Offshore</x:v>
      </x:c>
      <x:c r="H86" s="143"/>
      <x:c r="I86" s="143" t="n">
        <x:v>20</x:v>
      </x:c>
      <x:c r="J86" s="143"/>
      <x:c r="K86" s="83" t="str">
        <x:v>GW</x:v>
      </x:c>
      <x:c r="L86" s="83" t="str">
        <x:v>Italia</x:v>
      </x:c>
      <x:c r="M86" s="83" t="str">
        <x:v>Installed capacity</x:v>
      </x:c>
      <x:c r="N86" s="83" t="str">
        <x:v>Assunzione di scenario / model configuration</x:v>
      </x:c>
      <x:c r="O86" s="83" t="str">
        <x:v>S07</x:v>
      </x:c>
      <x:c r="P86" s="83" t="str">
        <x:v>Terna Prospettive Sviluppo Sistema Energetico 2050.pdf</x:v>
      </x:c>
      <x:c r="Q86" s="83" t="n">
        <x:v>58</x:v>
      </x:c>
      <x:c r="R86" s="83" t="n">
        <x:v>56</x:v>
      </x:c>
      <x:c r="S86" s="83" t="str">
        <x:v>Tabella 4</x:v>
      </x:c>
      <x:c r="T86" s="83" t="str">
        <x:v>Direct table extraction</x:v>
      </x:c>
      <x:c r="U86" s="83" t="str">
        <x:v>A - Direct</x:v>
      </x:c>
      <x:c r="V86" s="83" t="str">
        <x:v>National 2050 capacity; zonal allocation remains to be constructed.</x:v>
      </x:c>
      <x:c r="W86" s="83" t="str">
        <x:v>Terna mix uses more wind and less solar than the PNIEC illustrative mix.</x:v>
      </x:c>
    </x:row>
    <x:row r="87">
      <x:c r="A87" s="83" t="str">
        <x:v>CAP-0083</x:v>
      </x:c>
      <x:c r="B87" s="83" t="str">
        <x:v>TERNA_2050_NO_NUCLEAR</x:v>
      </x:c>
      <x:c r="C87" s="83" t="n">
        <x:v>2050</x:v>
      </x:c>
      <x:c r="D87" s="83" t="str">
        <x:v>Terna 2050 senza nucleare</x:v>
      </x:c>
      <x:c r="E87" s="83" t="str">
        <x:v>Nuclear</x:v>
      </x:c>
      <x:c r="F87" s="83" t="str">
        <x:v>Nucleare</x:v>
      </x:c>
      <x:c r="G87" s="83" t="str">
        <x:v>Terna technical scenario</x:v>
      </x:c>
      <x:c r="H87" s="143"/>
      <x:c r="I87" s="143" t="n">
        <x:v>0</x:v>
      </x:c>
      <x:c r="J87" s="143"/>
      <x:c r="K87" s="83" t="str">
        <x:v>GW</x:v>
      </x:c>
      <x:c r="L87" s="83" t="str">
        <x:v>Italia</x:v>
      </x:c>
      <x:c r="M87" s="83" t="str">
        <x:v>Installed capacity</x:v>
      </x:c>
      <x:c r="N87" s="83" t="str">
        <x:v>Assunzione di scenario</x:v>
      </x:c>
      <x:c r="O87" s="83" t="str">
        <x:v>S07</x:v>
      </x:c>
      <x:c r="P87" s="83" t="str">
        <x:v>Terna Prospettive Sviluppo Sistema Energetico 2050.pdf</x:v>
      </x:c>
      <x:c r="Q87" s="83" t="n">
        <x:v>57</x:v>
      </x:c>
      <x:c r="R87" s="83" t="n">
        <x:v>55</x:v>
      </x:c>
      <x:c r="S87" s="83" t="str">
        <x:v>Narrative in 5.2.5</x:v>
      </x:c>
      <x:c r="T87" s="83" t="str">
        <x:v>Direct narrative extraction</x:v>
      </x:c>
      <x:c r="U87" s="83" t="str">
        <x:v>A - Direct</x:v>
      </x:c>
      <x:c r="V87" s="83" t="str">
        <x:v>Separate nuclear/no-nuclear branches; siting remains open.</x:v>
      </x:c>
      <x:c r="W87" s="83" t="str">
        <x:v>Nuclear excluded.</x:v>
      </x:c>
    </x:row>
    <x:row r="88">
      <x:c r="A88" s="83" t="str">
        <x:v>CAP-0084</x:v>
      </x:c>
      <x:c r="B88" s="83" t="str">
        <x:v>TERNA_2050_NUCLEAR</x:v>
      </x:c>
      <x:c r="C88" s="83" t="n">
        <x:v>2050</x:v>
      </x:c>
      <x:c r="D88" s="83" t="str">
        <x:v>Terna 2050 con nucleare</x:v>
      </x:c>
      <x:c r="E88" s="83" t="str">
        <x:v>Hydro</x:v>
      </x:c>
      <x:c r="F88" s="83" t="str">
        <x:v>Idrico e pompaggi</x:v>
      </x:c>
      <x:c r="G88" s="83" t="str">
        <x:v>Aggregate power</x:v>
      </x:c>
      <x:c r="H88" s="143"/>
      <x:c r="I88" s="143" t="n">
        <x:v>23</x:v>
      </x:c>
      <x:c r="J88" s="143"/>
      <x:c r="K88" s="83" t="str">
        <x:v>GW</x:v>
      </x:c>
      <x:c r="L88" s="83" t="str">
        <x:v>Italia</x:v>
      </x:c>
      <x:c r="M88" s="83" t="str">
        <x:v>Contextual capacity / peak</x:v>
      </x:c>
      <x:c r="N88" s="83" t="str">
        <x:v>Direct labelled figure</x:v>
      </x:c>
      <x:c r="O88" s="83" t="str">
        <x:v>S07</x:v>
      </x:c>
      <x:c r="P88" s="83" t="str">
        <x:v>Terna Prospettive Sviluppo Sistema Energetico 2050.pdf</x:v>
      </x:c>
      <x:c r="Q88" s="83" t="n">
        <x:v>64</x:v>
      </x:c>
      <x:c r="R88" s="83" t="n">
        <x:v>62</x:v>
      </x:c>
      <x:c r="S88" s="83" t="str">
        <x:v>Figura 54</x:v>
      </x:c>
      <x:c r="T88" s="83" t="str">
        <x:v>Direct labelled values from figure; visual/text verification</x:v>
      </x:c>
      <x:c r="U88" s="83" t="str">
        <x:v>A - Direct labels</x:v>
      </x:c>
      <x:c r="V88" s="83" t="str">
        <x:v>Context and QA; requires decomposition before model input.</x:v>
      </x:c>
      <x:c r="W88" s="83" t="str">
        <x:v>Direct chart label.</x:v>
      </x:c>
    </x:row>
    <x:row r="89">
      <x:c r="A89" s="83" t="str">
        <x:v>CAP-0085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Storage</x:v>
      </x:c>
      <x:c r="F89" s="83" t="str">
        <x:v>Accumuli elettrochimici</x:v>
      </x:c>
      <x:c r="G89" s="83" t="str">
        <x:v>Power capacity</x:v>
      </x:c>
      <x:c r="H89" s="143"/>
      <x:c r="I89" s="143" t="n">
        <x:v>36</x:v>
      </x:c>
      <x:c r="J89" s="143"/>
      <x:c r="K89" s="83" t="str">
        <x:v>GW</x:v>
      </x:c>
      <x:c r="L89" s="83" t="str">
        <x:v>Italia</x:v>
      </x:c>
      <x:c r="M89" s="83" t="str">
        <x:v>Contextual capacity / peak</x:v>
      </x:c>
      <x:c r="N89" s="83" t="str">
        <x:v>Direct labelled figure</x:v>
      </x:c>
      <x:c r="O89" s="83" t="str">
        <x:v>S07</x:v>
      </x:c>
      <x:c r="P89" s="83" t="str">
        <x:v>Terna Prospettive Sviluppo Sistema Energetico 2050.pdf</x:v>
      </x:c>
      <x:c r="Q89" s="83" t="n">
        <x:v>64</x:v>
      </x:c>
      <x:c r="R89" s="83" t="n">
        <x:v>62</x:v>
      </x:c>
      <x:c r="S89" s="83" t="str">
        <x:v>Figura 54</x:v>
      </x:c>
      <x:c r="T89" s="83" t="str">
        <x:v>Direct labelled values from figure; visual/text verification</x:v>
      </x:c>
      <x:c r="U89" s="83" t="str">
        <x:v>A - Direct labels</x:v>
      </x:c>
      <x:c r="V89" s="83" t="str">
        <x:v>Context and QA; requires decomposition before model input.</x:v>
      </x:c>
      <x:c r="W89" s="83" t="str">
        <x:v>Energy capacity is 196 GWh in Table 4.</x:v>
      </x:c>
    </x:row>
    <x:row r="90">
      <x:c r="A90" s="83" t="str">
        <x:v>CAP-0086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Programmable/thermal</x:v>
      </x:c>
      <x:c r="F90" s="83" t="str">
        <x:v>Termoelettrico + nucleare</x:v>
      </x:c>
      <x:c r="G90" s="83" t="str">
        <x:v>Aggregate range</x:v>
      </x:c>
      <x:c r="H90" s="143" t="n">
        <x:v>20</x:v>
      </x:c>
      <x:c r="I90" s="143"/>
      <x:c r="J90" s="143" t="n">
        <x:v>30</x:v>
      </x:c>
      <x:c r="K90" s="83" t="str">
        <x:v>GW</x:v>
      </x:c>
      <x:c r="L90" s="83" t="str">
        <x:v>Italia</x:v>
      </x:c>
      <x:c r="M90" s="83" t="str">
        <x:v>Contextual capacity / peak</x:v>
      </x:c>
      <x:c r="N90" s="83" t="str">
        <x:v>Direct labelled figure</x:v>
      </x:c>
      <x:c r="O90" s="83" t="str">
        <x:v>S07</x:v>
      </x:c>
      <x:c r="P90" s="83" t="str">
        <x:v>Terna Prospettive Sviluppo Sistema Energetico 2050.pdf</x:v>
      </x:c>
      <x:c r="Q90" s="83" t="n">
        <x:v>64</x:v>
      </x:c>
      <x:c r="R90" s="83" t="n">
        <x:v>62</x:v>
      </x:c>
      <x:c r="S90" s="83" t="str">
        <x:v>Figura 54</x:v>
      </x:c>
      <x:c r="T90" s="83" t="str">
        <x:v>Direct labelled values from figure; visual/text verification</x:v>
      </x:c>
      <x:c r="U90" s="83" t="str">
        <x:v>A - Direct labels</x:v>
      </x:c>
      <x:c r="V90" s="83" t="str">
        <x:v>Context and QA; requires decomposition before model input.</x:v>
      </x:c>
      <x:c r="W90" s="83" t="str">
        <x:v>Includes 10 GW nuclear; chart reports a range.</x:v>
      </x:c>
    </x:row>
    <x:row r="91">
      <x:c r="A91" s="83" t="str">
        <x:v>CAP-0087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System total</x:v>
      </x:c>
      <x:c r="F91" s="83" t="str">
        <x:v>Potenza installata totale</x:v>
      </x:c>
      <x:c r="G91" s="83" t="str">
        <x:v>Includes generation and electrochemical storage</x:v>
      </x:c>
      <x:c r="H91" s="143"/>
      <x:c r="I91" s="143" t="n">
        <x:v>330</x:v>
      </x:c>
      <x:c r="J91" s="143"/>
      <x:c r="K91" s="83" t="str">
        <x:v>GW</x:v>
      </x:c>
      <x:c r="L91" s="83" t="str">
        <x:v>Italia</x:v>
      </x:c>
      <x:c r="M91" s="83" t="str">
        <x:v>Contextual capacity / peak</x:v>
      </x:c>
      <x:c r="N91" s="83" t="str">
        <x:v>Direct labelled figure</x:v>
      </x:c>
      <x:c r="O91" s="83" t="str">
        <x:v>S07</x:v>
      </x:c>
      <x:c r="P91" s="83" t="str">
        <x:v>Terna Prospettive Sviluppo Sistema Energetico 2050.pdf</x:v>
      </x:c>
      <x:c r="Q91" s="83" t="n">
        <x:v>64</x:v>
      </x:c>
      <x:c r="R91" s="83" t="n">
        <x:v>62</x:v>
      </x:c>
      <x:c r="S91" s="83" t="str">
        <x:v>Figura 54</x:v>
      </x:c>
      <x:c r="T91" s="83" t="str">
        <x:v>Direct labelled values from figure; visual/text verification</x:v>
      </x:c>
      <x:c r="U91" s="83" t="str">
        <x:v>A - Direct labels</x:v>
      </x:c>
      <x:c r="V91" s="83" t="str">
        <x:v>Context and QA; requires decomposition before model input.</x:v>
      </x:c>
      <x:c r="W91" s="83" t="str">
        <x:v>Not directly comparable with generation-only totals.</x:v>
      </x:c>
    </x:row>
    <x:row r="92">
      <x:c r="A92" s="83" t="str">
        <x:v>CAP-0088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Demand</x:v>
      </x:c>
      <x:c r="F92" s="83" t="str">
        <x:v>Picco domanda</x:v>
      </x:c>
      <x:c r="G92" s="83" t="str">
        <x:v>Peak load</x:v>
      </x:c>
      <x:c r="H92" s="143"/>
      <x:c r="I92" s="143" t="n">
        <x:v>112</x:v>
      </x:c>
      <x:c r="J92" s="143"/>
      <x:c r="K92" s="83" t="str">
        <x:v>GW</x:v>
      </x:c>
      <x:c r="L92" s="83" t="str">
        <x:v>Italia</x:v>
      </x:c>
      <x:c r="M92" s="83" t="str">
        <x:v>Contextual capacity / peak</x:v>
      </x:c>
      <x:c r="N92" s="83" t="str">
        <x:v>Direct labelled figure</x:v>
      </x:c>
      <x:c r="O92" s="83" t="str">
        <x:v>S07</x:v>
      </x:c>
      <x:c r="P92" s="83" t="str">
        <x:v>Terna Prospettive Sviluppo Sistema Energetico 2050.pdf</x:v>
      </x:c>
      <x:c r="Q92" s="83" t="n">
        <x:v>64</x:v>
      </x:c>
      <x:c r="R92" s="83" t="n">
        <x:v>62</x:v>
      </x:c>
      <x:c r="S92" s="83" t="str">
        <x:v>Figura 54</x:v>
      </x:c>
      <x:c r="T92" s="83" t="str">
        <x:v>Direct labelled values from figure; visual/text verification</x:v>
      </x:c>
      <x:c r="U92" s="83" t="str">
        <x:v>A - Direct labels</x:v>
      </x:c>
      <x:c r="V92" s="83" t="str">
        <x:v>Context and QA; requires decomposition before model input.</x:v>
      </x:c>
      <x:c r="W92" s="83" t="str">
        <x:v>Chart label ~112; narrative says above 110 GW.</x:v>
      </x:c>
    </x:row>
  </x:sheetData>
  <x:mergeCells>
    <x:mergeCell ref="A1:W1"/>
    <x:mergeCell ref="A2:W2"/>
  </x:mergeCells>
  <x:conditionalFormatting sqref="U5:U92">
    <x:cfRule type="expression" dxfId="31" priority="1">
      <x:formula>LEFT(U5,1)="A"</x:formula>
    </x:cfRule>
    <x:cfRule type="expression" dxfId="32" priority="2">
      <x:formula>OR(LEFT(U5,1)="D",LEFT(U5,1)="E")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c14c08babb4c9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18" hidden="0" customWidth="1"/>
    <x:col min="6" max="6" width="20" hidden="0" customWidth="1"/>
    <x:col min="7" max="7" width="26" hidden="0" customWidth="1"/>
    <x:col min="8" max="8" width="20" hidden="0" customWidth="1"/>
    <x:col min="9" max="9" width="14" hidden="0" customWidth="1"/>
    <x:col min="10" max="10" width="10" hidden="0" customWidth="1"/>
    <x:col min="11" max="11" width="30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18" hidden="0" customWidth="1"/>
    <x:col min="17" max="17" width="40" hidden="0" customWidth="1"/>
    <x:col min="18" max="18" width="18" hidden="0" customWidth="1"/>
    <x:col min="19" max="19" width="44" hidden="0" customWidth="1"/>
    <x:col min="20" max="20" width="48" hidden="0" customWidth="1"/>
  </x:cols>
  <x:sheetData>
    <x:row r="1" ht="34" customHeight="1">
      <x:c r="A1" s="134" t="str">
        <x:v>Capacità zonale solare ed eolica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</x:row>
    <x:row r="2" ht="30" customHeight="1">
      <x:c r="A2" s="138" t="str">
        <x:v>252 righe DDS; categorie originali per sette zone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Zona</x:v>
      </x:c>
      <x:c r="F4" s="142" t="str">
        <x:v>Gruppo tecnologia</x:v>
      </x:c>
      <x:c r="G4" s="142" t="str">
        <x:v>Tecnologia</x:v>
      </x:c>
      <x:c r="H4" s="142" t="str">
        <x:v>Categoria fonte</x:v>
      </x:c>
      <x:c r="I4" s="142" t="str">
        <x:v>Valore</x:v>
      </x:c>
      <x:c r="J4" s="142" t="str">
        <x:v>Unità</x:v>
      </x:c>
      <x:c r="K4" s="142" t="str">
        <x:v>Tipo evidenza</x:v>
      </x:c>
      <x:c r="L4" s="142" t="str">
        <x:v>Fonte</x:v>
      </x:c>
      <x:c r="M4" s="142" t="str">
        <x:v>File fonte</x:v>
      </x:c>
      <x:c r="N4" s="142" t="str">
        <x:v>Pagina PDF</x:v>
      </x:c>
      <x:c r="O4" s="142" t="str">
        <x:v>Pagina stampata</x:v>
      </x:c>
      <x:c r="P4" s="142" t="str">
        <x:v>Tabella/Figura</x:v>
      </x:c>
      <x:c r="Q4" s="142" t="str">
        <x:v>Metodo</x:v>
      </x:c>
      <x:c r="R4" s="142" t="str">
        <x:v>Affidabilità</x:v>
      </x:c>
      <x:c r="S4" s="142" t="str">
        <x:v>Uso modello</x:v>
      </x:c>
      <x:c r="T4" s="142" t="str">
        <x:v>Note</x:v>
      </x:c>
    </x:row>
    <x:row r="5">
      <x:c r="A5" s="83" t="str">
        <x:v>ZCAP-0001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Solar</x:v>
      </x:c>
      <x:c r="G5" s="83" t="str">
        <x:v>Solare distribuito</x:v>
      </x:c>
      <x:c r="H5" s="83" t="str">
        <x:v>Distribuito</x:v>
      </x:c>
      <x:c r="I5" s="143" t="n">
        <x:v>9.2</x:v>
      </x:c>
      <x:c r="J5" s="83" t="str">
        <x:v>GW</x:v>
      </x:c>
      <x:c r="K5" s="83" t="str">
        <x:v>Dato osservato storico</x:v>
      </x:c>
      <x:c r="L5" s="83" t="str">
        <x:v>S09</x:v>
      </x:c>
      <x:c r="M5" s="83" t="str">
        <x:v>Documento_Descrizione_Scenari_2024_8dce2430d44d101.pdf</x:v>
      </x:c>
      <x:c r="N5" s="83" t="n">
        <x:v>60</x:v>
      </x:c>
      <x:c r="O5" s="83" t="n">
        <x:v>58</x:v>
      </x:c>
      <x:c r="P5" s="83" t="str">
        <x:v>Tabella 14</x:v>
      </x:c>
      <x:c r="Q5" s="83" t="str">
        <x:v>Direct table extraction; visual/text verification</x:v>
      </x:c>
      <x:c r="R5" s="83" t="str">
        <x:v>A - Direct</x:v>
      </x:c>
      <x:c r="S5" s="83" t="str">
        <x:v>Zonal p_nom input after mapping to PyPSA carrier.</x:v>
      </x:c>
      <x:c r="T5" s="83" t="str">
        <x:v>For 2023, distributed includes LV-connected plants and plants &lt;200 kW.</x:v>
      </x:c>
    </x:row>
    <x:row r="6">
      <x:c r="A6" s="83" t="str">
        <x:v>ZCAP-0002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Solar</x:v>
      </x:c>
      <x:c r="G6" s="83" t="str">
        <x:v>Solare distribuito</x:v>
      </x:c>
      <x:c r="H6" s="83" t="str">
        <x:v>Distribuito</x:v>
      </x:c>
      <x:c r="I6" s="143" t="n">
        <x:v>21.4</x:v>
      </x:c>
      <x:c r="J6" s="83" t="str">
        <x:v>GW</x:v>
      </x:c>
      <x:c r="K6" s="83" t="str">
        <x:v>Assunzione di scenario</x:v>
      </x:c>
      <x:c r="L6" s="83" t="str">
        <x:v>S09</x:v>
      </x:c>
      <x:c r="M6" s="83" t="str">
        <x:v>Documento_Descrizione_Scenari_2024_8dce2430d44d101.pdf</x:v>
      </x:c>
      <x:c r="N6" s="83" t="n">
        <x:v>60</x:v>
      </x:c>
      <x:c r="O6" s="83" t="n">
        <x:v>58</x:v>
      </x:c>
      <x:c r="P6" s="83" t="str">
        <x:v>Tabella 14</x:v>
      </x:c>
      <x:c r="Q6" s="83" t="str">
        <x:v>Direct table extraction; visual/text verification</x:v>
      </x:c>
      <x:c r="R6" s="83" t="str">
        <x:v>A - Direct</x:v>
      </x:c>
      <x:c r="S6" s="83" t="str">
        <x:v>Zonal p_nom input after mapping to PyPSA carrier.</x:v>
      </x:c>
      <x:c r="T6" s="83" t="str">
        <x:v>For 2023, distributed includes LV-connected plants and plants &lt;200 kW.</x:v>
      </x:c>
    </x:row>
    <x:row r="7">
      <x:c r="A7" s="83" t="str">
        <x:v>ZCAP-0003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Solar</x:v>
      </x:c>
      <x:c r="G7" s="83" t="str">
        <x:v>Solare distribuito</x:v>
      </x:c>
      <x:c r="H7" s="83" t="str">
        <x:v>Distribuito</x:v>
      </x:c>
      <x:c r="I7" s="143" t="n">
        <x:v>20.3</x:v>
      </x:c>
      <x:c r="J7" s="83" t="str">
        <x:v>GW</x:v>
      </x:c>
      <x:c r="K7" s="83" t="str">
        <x:v>Assunzione di scenario</x:v>
      </x:c>
      <x:c r="L7" s="83" t="str">
        <x:v>S09</x:v>
      </x:c>
      <x:c r="M7" s="83" t="str">
        <x:v>Documento_Descrizione_Scenari_2024_8dce2430d44d101.pdf</x:v>
      </x:c>
      <x:c r="N7" s="83" t="n">
        <x:v>60</x:v>
      </x:c>
      <x:c r="O7" s="83" t="n">
        <x:v>58</x:v>
      </x:c>
      <x:c r="P7" s="83" t="str">
        <x:v>Tabella 14</x:v>
      </x:c>
      <x:c r="Q7" s="83" t="str">
        <x:v>Direct table extraction; visual/text verification</x:v>
      </x:c>
      <x:c r="R7" s="83" t="str">
        <x:v>A - Direct</x:v>
      </x:c>
      <x:c r="S7" s="83" t="str">
        <x:v>Zonal p_nom input after mapping to PyPSA carrier.</x:v>
      </x:c>
      <x:c r="T7" s="83" t="str">
        <x:v>For 2023, distributed includes LV-connected plants and plants &lt;200 kW.</x:v>
      </x:c>
    </x:row>
    <x:row r="8">
      <x:c r="A8" s="83" t="str">
        <x:v>ZCAP-0004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Solar</x:v>
      </x:c>
      <x:c r="G8" s="83" t="str">
        <x:v>Solare distribuito</x:v>
      </x:c>
      <x:c r="H8" s="83" t="str">
        <x:v>Distribuito</x:v>
      </x:c>
      <x:c r="I8" s="143" t="n">
        <x:v>23.3</x:v>
      </x:c>
      <x:c r="J8" s="83" t="str">
        <x:v>GW</x:v>
      </x:c>
      <x:c r="K8" s="83" t="str">
        <x:v>Assunzione di scenario</x:v>
      </x:c>
      <x:c r="L8" s="83" t="str">
        <x:v>S09</x:v>
      </x:c>
      <x:c r="M8" s="83" t="str">
        <x:v>Documento_Descrizione_Scenari_2024_8dce2430d44d101.pdf</x:v>
      </x:c>
      <x:c r="N8" s="83" t="n">
        <x:v>60</x:v>
      </x:c>
      <x:c r="O8" s="83" t="n">
        <x:v>58</x:v>
      </x:c>
      <x:c r="P8" s="83" t="str">
        <x:v>Tabella 14</x:v>
      </x:c>
      <x:c r="Q8" s="83" t="str">
        <x:v>Direct table extraction; visual/text verification</x:v>
      </x:c>
      <x:c r="R8" s="83" t="str">
        <x:v>A - Direct</x:v>
      </x:c>
      <x:c r="S8" s="83" t="str">
        <x:v>Zonal p_nom input after mapping to PyPSA carrier.</x:v>
      </x:c>
      <x:c r="T8" s="83" t="str">
        <x:v>For 2023, distributed includes LV-connected plants and plants &lt;200 kW.</x:v>
      </x:c>
    </x:row>
    <x:row r="9">
      <x:c r="A9" s="83" t="str">
        <x:v>ZCAP-0005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Solar</x:v>
      </x:c>
      <x:c r="G9" s="83" t="str">
        <x:v>Solare distribuito</x:v>
      </x:c>
      <x:c r="H9" s="83" t="str">
        <x:v>Distribuito</x:v>
      </x:c>
      <x:c r="I9" s="143" t="n">
        <x:v>24.6</x:v>
      </x:c>
      <x:c r="J9" s="83" t="str">
        <x:v>GW</x:v>
      </x:c>
      <x:c r="K9" s="83" t="str">
        <x:v>Assunzione di scenario</x:v>
      </x:c>
      <x:c r="L9" s="83" t="str">
        <x:v>S09</x:v>
      </x:c>
      <x:c r="M9" s="83" t="str">
        <x:v>Documento_Descrizione_Scenari_2024_8dce2430d44d101.pdf</x:v>
      </x:c>
      <x:c r="N9" s="83" t="n">
        <x:v>60</x:v>
      </x:c>
      <x:c r="O9" s="83" t="n">
        <x:v>58</x:v>
      </x:c>
      <x:c r="P9" s="83" t="str">
        <x:v>Tabella 14</x:v>
      </x:c>
      <x:c r="Q9" s="83" t="str">
        <x:v>Direct table extraction; visual/text verification</x:v>
      </x:c>
      <x:c r="R9" s="83" t="str">
        <x:v>A - Direct</x:v>
      </x:c>
      <x:c r="S9" s="83" t="str">
        <x:v>Zonal p_nom input after mapping to PyPSA carrier.</x:v>
      </x:c>
      <x:c r="T9" s="83" t="str">
        <x:v>For 2023, distributed includes LV-connected plants and plants &lt;200 kW.</x:v>
      </x:c>
    </x:row>
    <x:row r="10">
      <x:c r="A10" s="83" t="str">
        <x:v>ZCAP-0006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Solar</x:v>
      </x:c>
      <x:c r="G10" s="83" t="str">
        <x:v>Solare distribuito</x:v>
      </x:c>
      <x:c r="H10" s="83" t="str">
        <x:v>Distribuito</x:v>
      </x:c>
      <x:c r="I10" s="143" t="n">
        <x:v>21.9</x:v>
      </x:c>
      <x:c r="J10" s="83" t="str">
        <x:v>GW</x:v>
      </x:c>
      <x:c r="K10" s="83" t="str">
        <x:v>Assunzione di scenario</x:v>
      </x:c>
      <x:c r="L10" s="83" t="str">
        <x:v>S09</x:v>
      </x:c>
      <x:c r="M10" s="83" t="str">
        <x:v>Documento_Descrizione_Scenari_2024_8dce2430d44d101.pdf</x:v>
      </x:c>
      <x:c r="N10" s="83" t="n">
        <x:v>60</x:v>
      </x:c>
      <x:c r="O10" s="83" t="n">
        <x:v>58</x:v>
      </x:c>
      <x:c r="P10" s="83" t="str">
        <x:v>Tabella 14</x:v>
      </x:c>
      <x:c r="Q10" s="83" t="str">
        <x:v>Direct table extraction; visual/text verification</x:v>
      </x:c>
      <x:c r="R10" s="83" t="str">
        <x:v>A - Direct</x:v>
      </x:c>
      <x:c r="S10" s="83" t="str">
        <x:v>Zonal p_nom input after mapping to PyPSA carrier.</x:v>
      </x:c>
      <x:c r="T10" s="83" t="str">
        <x:v>For 2023, distributed includes LV-connected plants and plants &lt;200 kW.</x:v>
      </x:c>
    </x:row>
    <x:row r="11">
      <x:c r="A11" s="83" t="str">
        <x:v>ZCAP-0007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Solar</x:v>
      </x:c>
      <x:c r="G11" s="83" t="str">
        <x:v>Solare distribuito</x:v>
      </x:c>
      <x:c r="H11" s="83" t="str">
        <x:v>Distribuito</x:v>
      </x:c>
      <x:c r="I11" s="143" t="n">
        <x:v>25.1</x:v>
      </x:c>
      <x:c r="J11" s="83" t="str">
        <x:v>GW</x:v>
      </x:c>
      <x:c r="K11" s="83" t="str">
        <x:v>Assunzione di scenario</x:v>
      </x:c>
      <x:c r="L11" s="83" t="str">
        <x:v>S09</x:v>
      </x:c>
      <x:c r="M11" s="83" t="str">
        <x:v>Documento_Descrizione_Scenari_2024_8dce2430d44d101.pdf</x:v>
      </x:c>
      <x:c r="N11" s="83" t="n">
        <x:v>60</x:v>
      </x:c>
      <x:c r="O11" s="83" t="n">
        <x:v>58</x:v>
      </x:c>
      <x:c r="P11" s="83" t="str">
        <x:v>Tabella 14</x:v>
      </x:c>
      <x:c r="Q11" s="83" t="str">
        <x:v>Direct table extraction; visual/text verification</x:v>
      </x:c>
      <x:c r="R11" s="83" t="str">
        <x:v>A - Direct</x:v>
      </x:c>
      <x:c r="S11" s="83" t="str">
        <x:v>Zonal p_nom input after mapping to PyPSA carrier.</x:v>
      </x:c>
      <x:c r="T11" s="83" t="str">
        <x:v>For 2023, distributed includes LV-connected plants and plants &lt;200 kW.</x:v>
      </x:c>
    </x:row>
    <x:row r="12">
      <x:c r="A12" s="83" t="str">
        <x:v>ZCAP-0008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Solar</x:v>
      </x:c>
      <x:c r="G12" s="83" t="str">
        <x:v>Solare distribuito</x:v>
      </x:c>
      <x:c r="H12" s="83" t="str">
        <x:v>Distribuito</x:v>
      </x:c>
      <x:c r="I12" s="143" t="n">
        <x:v>26.1</x:v>
      </x:c>
      <x:c r="J12" s="83" t="str">
        <x:v>GW</x:v>
      </x:c>
      <x:c r="K12" s="83" t="str">
        <x:v>Assunzione di scenario</x:v>
      </x:c>
      <x:c r="L12" s="83" t="str">
        <x:v>S09</x:v>
      </x:c>
      <x:c r="M12" s="83" t="str">
        <x:v>Documento_Descrizione_Scenari_2024_8dce2430d44d101.pdf</x:v>
      </x:c>
      <x:c r="N12" s="83" t="n">
        <x:v>60</x:v>
      </x:c>
      <x:c r="O12" s="83" t="n">
        <x:v>58</x:v>
      </x:c>
      <x:c r="P12" s="83" t="str">
        <x:v>Tabella 14</x:v>
      </x:c>
      <x:c r="Q12" s="83" t="str">
        <x:v>Direct table extraction; visual/text verification</x:v>
      </x:c>
      <x:c r="R12" s="83" t="str">
        <x:v>A - Direct</x:v>
      </x:c>
      <x:c r="S12" s="83" t="str">
        <x:v>Zonal p_nom input after mapping to PyPSA carrier.</x:v>
      </x:c>
      <x:c r="T12" s="83" t="str">
        <x:v>For 2023, distributed includes LV-connected plants and plants &lt;200 kW.</x:v>
      </x:c>
    </x:row>
    <x:row r="13">
      <x:c r="A13" s="83" t="str">
        <x:v>ZCAP-0009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Solar</x:v>
      </x:c>
      <x:c r="G13" s="83" t="str">
        <x:v>Solare distribuito</x:v>
      </x:c>
      <x:c r="H13" s="83" t="str">
        <x:v>Distribuito</x:v>
      </x:c>
      <x:c r="I13" s="143" t="n">
        <x:v>23.6</x:v>
      </x:c>
      <x:c r="J13" s="83" t="str">
        <x:v>GW</x:v>
      </x:c>
      <x:c r="K13" s="83" t="str">
        <x:v>Assunzione di scenario</x:v>
      </x:c>
      <x:c r="L13" s="83" t="str">
        <x:v>S09</x:v>
      </x:c>
      <x:c r="M13" s="83" t="str">
        <x:v>Documento_Descrizione_Scenari_2024_8dce2430d44d101.pdf</x:v>
      </x:c>
      <x:c r="N13" s="83" t="n">
        <x:v>60</x:v>
      </x:c>
      <x:c r="O13" s="83" t="n">
        <x:v>58</x:v>
      </x:c>
      <x:c r="P13" s="83" t="str">
        <x:v>Tabella 14</x:v>
      </x:c>
      <x:c r="Q13" s="83" t="str">
        <x:v>Direct table extraction; visual/text verification</x:v>
      </x:c>
      <x:c r="R13" s="83" t="str">
        <x:v>A - Direct</x:v>
      </x:c>
      <x:c r="S13" s="83" t="str">
        <x:v>Zonal p_nom input after mapping to PyPSA carrier.</x:v>
      </x:c>
      <x:c r="T13" s="83" t="str">
        <x:v>For 2023, distributed includes LV-connected plants and plants &lt;200 kW.</x:v>
      </x:c>
    </x:row>
    <x:row r="14">
      <x:c r="A14" s="83" t="str">
        <x:v>ZCAP-0010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Solar</x:v>
      </x:c>
      <x:c r="G14" s="83" t="str">
        <x:v>Solare utility</x:v>
      </x:c>
      <x:c r="H14" s="83" t="str">
        <x:v>Utility</x:v>
      </x:c>
      <x:c r="I14" s="143" t="n">
        <x:v>5.4</x:v>
      </x:c>
      <x:c r="J14" s="83" t="str">
        <x:v>GW</x:v>
      </x:c>
      <x:c r="K14" s="83" t="str">
        <x:v>Dato osservato storico</x:v>
      </x:c>
      <x:c r="L14" s="83" t="str">
        <x:v>S09</x:v>
      </x:c>
      <x:c r="M14" s="83" t="str">
        <x:v>Documento_Descrizione_Scenari_2024_8dce2430d44d101.pdf</x:v>
      </x:c>
      <x:c r="N14" s="83" t="n">
        <x:v>60</x:v>
      </x:c>
      <x:c r="O14" s="83" t="n">
        <x:v>58</x:v>
      </x:c>
      <x:c r="P14" s="83" t="str">
        <x:v>Tabella 14</x:v>
      </x:c>
      <x:c r="Q14" s="83" t="str">
        <x:v>Direct table extraction; visual/text verification</x:v>
      </x:c>
      <x:c r="R14" s="83" t="str">
        <x:v>A - Direct</x:v>
      </x:c>
      <x:c r="S14" s="83" t="str">
        <x:v>Zonal p_nom input after mapping to PyPSA carrier.</x:v>
      </x:c>
      <x:c r="T14" s="83" t="str">
        <x:v>For 2023, distributed includes LV-connected plants and plants &lt;200 kW.</x:v>
      </x:c>
    </x:row>
    <x:row r="15">
      <x:c r="A15" s="83" t="str">
        <x:v>ZCAP-0011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Solar</x:v>
      </x:c>
      <x:c r="G15" s="83" t="str">
        <x:v>Solare utility</x:v>
      </x:c>
      <x:c r="H15" s="83" t="str">
        <x:v>Utility</x:v>
      </x:c>
      <x:c r="I15" s="143" t="n">
        <x:v>13</x:v>
      </x:c>
      <x:c r="J15" s="83" t="str">
        <x:v>GW</x:v>
      </x:c>
      <x:c r="K15" s="83" t="str">
        <x:v>Assunzione di scenario</x:v>
      </x:c>
      <x:c r="L15" s="83" t="str">
        <x:v>S09</x:v>
      </x:c>
      <x:c r="M15" s="83" t="str">
        <x:v>Documento_Descrizione_Scenari_2024_8dce2430d44d101.pdf</x:v>
      </x:c>
      <x:c r="N15" s="83" t="n">
        <x:v>60</x:v>
      </x:c>
      <x:c r="O15" s="83" t="n">
        <x:v>58</x:v>
      </x:c>
      <x:c r="P15" s="83" t="str">
        <x:v>Tabella 14</x:v>
      </x:c>
      <x:c r="Q15" s="83" t="str">
        <x:v>Direct table extraction; visual/text verification</x:v>
      </x:c>
      <x:c r="R15" s="83" t="str">
        <x:v>A - Direct</x:v>
      </x:c>
      <x:c r="S15" s="83" t="str">
        <x:v>Zonal p_nom input after mapping to PyPSA carrier.</x:v>
      </x:c>
      <x:c r="T15" s="83" t="str">
        <x:v>For 2023, distributed includes LV-connected plants and plants &lt;200 kW.</x:v>
      </x:c>
    </x:row>
    <x:row r="16">
      <x:c r="A16" s="83" t="str">
        <x:v>ZCAP-0012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Solar</x:v>
      </x:c>
      <x:c r="G16" s="83" t="str">
        <x:v>Solare utility</x:v>
      </x:c>
      <x:c r="H16" s="83" t="str">
        <x:v>Utility</x:v>
      </x:c>
      <x:c r="I16" s="143" t="n">
        <x:v>10.3</x:v>
      </x:c>
      <x:c r="J16" s="83" t="str">
        <x:v>GW</x:v>
      </x:c>
      <x:c r="K16" s="83" t="str">
        <x:v>Assunzione di scenario</x:v>
      </x:c>
      <x:c r="L16" s="83" t="str">
        <x:v>S09</x:v>
      </x:c>
      <x:c r="M16" s="83" t="str">
        <x:v>Documento_Descrizione_Scenari_2024_8dce2430d44d101.pdf</x:v>
      </x:c>
      <x:c r="N16" s="83" t="n">
        <x:v>60</x:v>
      </x:c>
      <x:c r="O16" s="83" t="n">
        <x:v>58</x:v>
      </x:c>
      <x:c r="P16" s="83" t="str">
        <x:v>Tabella 14</x:v>
      </x:c>
      <x:c r="Q16" s="83" t="str">
        <x:v>Direct table extraction; visual/text verification</x:v>
      </x:c>
      <x:c r="R16" s="83" t="str">
        <x:v>A - Direct</x:v>
      </x:c>
      <x:c r="S16" s="83" t="str">
        <x:v>Zonal p_nom input after mapping to PyPSA carrier.</x:v>
      </x:c>
      <x:c r="T16" s="83" t="str">
        <x:v>For 2023, distributed includes LV-connected plants and plants &lt;200 kW.</x:v>
      </x:c>
    </x:row>
    <x:row r="17">
      <x:c r="A17" s="83" t="str">
        <x:v>ZCAP-0013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Solar</x:v>
      </x:c>
      <x:c r="G17" s="83" t="str">
        <x:v>Solare utility</x:v>
      </x:c>
      <x:c r="H17" s="83" t="str">
        <x:v>Utility</x:v>
      </x:c>
      <x:c r="I17" s="143" t="n">
        <x:v>15.1</x:v>
      </x:c>
      <x:c r="J17" s="83" t="str">
        <x:v>GW</x:v>
      </x:c>
      <x:c r="K17" s="83" t="str">
        <x:v>Assunzione di scenario</x:v>
      </x:c>
      <x:c r="L17" s="83" t="str">
        <x:v>S09</x:v>
      </x:c>
      <x:c r="M17" s="83" t="str">
        <x:v>Documento_Descrizione_Scenari_2024_8dce2430d44d101.pdf</x:v>
      </x:c>
      <x:c r="N17" s="83" t="n">
        <x:v>60</x:v>
      </x:c>
      <x:c r="O17" s="83" t="n">
        <x:v>58</x:v>
      </x:c>
      <x:c r="P17" s="83" t="str">
        <x:v>Tabella 14</x:v>
      </x:c>
      <x:c r="Q17" s="83" t="str">
        <x:v>Direct table extraction; visual/text verification</x:v>
      </x:c>
      <x:c r="R17" s="83" t="str">
        <x:v>A - Direct</x:v>
      </x:c>
      <x:c r="S17" s="83" t="str">
        <x:v>Zonal p_nom input after mapping to PyPSA carrier.</x:v>
      </x:c>
      <x:c r="T17" s="83" t="str">
        <x:v>For 2023, distributed includes LV-connected plants and plants &lt;200 kW.</x:v>
      </x:c>
    </x:row>
    <x:row r="18">
      <x:c r="A18" s="83" t="str">
        <x:v>ZCAP-0014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Solar</x:v>
      </x:c>
      <x:c r="G18" s="83" t="str">
        <x:v>Solare utility</x:v>
      </x:c>
      <x:c r="H18" s="83" t="str">
        <x:v>Utility</x:v>
      </x:c>
      <x:c r="I18" s="143" t="n">
        <x:v>12.8</x:v>
      </x:c>
      <x:c r="J18" s="83" t="str">
        <x:v>GW</x:v>
      </x:c>
      <x:c r="K18" s="83" t="str">
        <x:v>Assunzione di scenario</x:v>
      </x:c>
      <x:c r="L18" s="83" t="str">
        <x:v>S09</x:v>
      </x:c>
      <x:c r="M18" s="83" t="str">
        <x:v>Documento_Descrizione_Scenari_2024_8dce2430d44d101.pdf</x:v>
      </x:c>
      <x:c r="N18" s="83" t="n">
        <x:v>60</x:v>
      </x:c>
      <x:c r="O18" s="83" t="n">
        <x:v>58</x:v>
      </x:c>
      <x:c r="P18" s="83" t="str">
        <x:v>Tabella 14</x:v>
      </x:c>
      <x:c r="Q18" s="83" t="str">
        <x:v>Direct table extraction; visual/text verification</x:v>
      </x:c>
      <x:c r="R18" s="83" t="str">
        <x:v>A - Direct</x:v>
      </x:c>
      <x:c r="S18" s="83" t="str">
        <x:v>Zonal p_nom input after mapping to PyPSA carrier.</x:v>
      </x:c>
      <x:c r="T18" s="83" t="str">
        <x:v>For 2023, distributed includes LV-connected plants and plants &lt;200 kW.</x:v>
      </x:c>
    </x:row>
    <x:row r="19">
      <x:c r="A19" s="83" t="str">
        <x:v>ZCAP-0015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Solar</x:v>
      </x:c>
      <x:c r="G19" s="83" t="str">
        <x:v>Solare utility</x:v>
      </x:c>
      <x:c r="H19" s="83" t="str">
        <x:v>Utility</x:v>
      </x:c>
      <x:c r="I19" s="143" t="n">
        <x:v>11.4</x:v>
      </x:c>
      <x:c r="J19" s="83" t="str">
        <x:v>GW</x:v>
      </x:c>
      <x:c r="K19" s="83" t="str">
        <x:v>Assunzione di scenario</x:v>
      </x:c>
      <x:c r="L19" s="83" t="str">
        <x:v>S09</x:v>
      </x:c>
      <x:c r="M19" s="83" t="str">
        <x:v>Documento_Descrizione_Scenari_2024_8dce2430d44d101.pdf</x:v>
      </x:c>
      <x:c r="N19" s="83" t="n">
        <x:v>60</x:v>
      </x:c>
      <x:c r="O19" s="83" t="n">
        <x:v>58</x:v>
      </x:c>
      <x:c r="P19" s="83" t="str">
        <x:v>Tabella 14</x:v>
      </x:c>
      <x:c r="Q19" s="83" t="str">
        <x:v>Direct table extraction; visual/text verification</x:v>
      </x:c>
      <x:c r="R19" s="83" t="str">
        <x:v>A - Direct</x:v>
      </x:c>
      <x:c r="S19" s="83" t="str">
        <x:v>Zonal p_nom input after mapping to PyPSA carrier.</x:v>
      </x:c>
      <x:c r="T19" s="83" t="str">
        <x:v>For 2023, distributed includes LV-connected plants and plants &lt;200 kW.</x:v>
      </x:c>
    </x:row>
    <x:row r="20">
      <x:c r="A20" s="83" t="str">
        <x:v>ZCAP-0016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Solar</x:v>
      </x:c>
      <x:c r="G20" s="83" t="str">
        <x:v>Solare utility</x:v>
      </x:c>
      <x:c r="H20" s="83" t="str">
        <x:v>Utility</x:v>
      </x:c>
      <x:c r="I20" s="143" t="n">
        <x:v>17.3</x:v>
      </x:c>
      <x:c r="J20" s="83" t="str">
        <x:v>GW</x:v>
      </x:c>
      <x:c r="K20" s="83" t="str">
        <x:v>Assunzione di scenario</x:v>
      </x:c>
      <x:c r="L20" s="83" t="str">
        <x:v>S09</x:v>
      </x:c>
      <x:c r="M20" s="83" t="str">
        <x:v>Documento_Descrizione_Scenari_2024_8dce2430d44d101.pdf</x:v>
      </x:c>
      <x:c r="N20" s="83" t="n">
        <x:v>60</x:v>
      </x:c>
      <x:c r="O20" s="83" t="n">
        <x:v>58</x:v>
      </x:c>
      <x:c r="P20" s="83" t="str">
        <x:v>Tabella 14</x:v>
      </x:c>
      <x:c r="Q20" s="83" t="str">
        <x:v>Direct table extraction; visual/text verification</x:v>
      </x:c>
      <x:c r="R20" s="83" t="str">
        <x:v>A - Direct</x:v>
      </x:c>
      <x:c r="S20" s="83" t="str">
        <x:v>Zonal p_nom input after mapping to PyPSA carrier.</x:v>
      </x:c>
      <x:c r="T20" s="83" t="str">
        <x:v>For 2023, distributed includes LV-connected plants and plants &lt;200 kW.</x:v>
      </x:c>
    </x:row>
    <x:row r="21">
      <x:c r="A21" s="83" t="str">
        <x:v>ZCAP-0017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Solar</x:v>
      </x:c>
      <x:c r="G21" s="83" t="str">
        <x:v>Solare utility</x:v>
      </x:c>
      <x:c r="H21" s="83" t="str">
        <x:v>Utility</x:v>
      </x:c>
      <x:c r="I21" s="143" t="n">
        <x:v>14.4</x:v>
      </x:c>
      <x:c r="J21" s="83" t="str">
        <x:v>GW</x:v>
      </x:c>
      <x:c r="K21" s="83" t="str">
        <x:v>Assunzione di scenario</x:v>
      </x:c>
      <x:c r="L21" s="83" t="str">
        <x:v>S09</x:v>
      </x:c>
      <x:c r="M21" s="83" t="str">
        <x:v>Documento_Descrizione_Scenari_2024_8dce2430d44d101.pdf</x:v>
      </x:c>
      <x:c r="N21" s="83" t="n">
        <x:v>60</x:v>
      </x:c>
      <x:c r="O21" s="83" t="n">
        <x:v>58</x:v>
      </x:c>
      <x:c r="P21" s="83" t="str">
        <x:v>Tabella 14</x:v>
      </x:c>
      <x:c r="Q21" s="83" t="str">
        <x:v>Direct table extraction; visual/text verification</x:v>
      </x:c>
      <x:c r="R21" s="83" t="str">
        <x:v>A - Direct</x:v>
      </x:c>
      <x:c r="S21" s="83" t="str">
        <x:v>Zonal p_nom input after mapping to PyPSA carrier.</x:v>
      </x:c>
      <x:c r="T21" s="83" t="str">
        <x:v>For 2023, distributed includes LV-connected plants and plants &lt;200 kW.</x:v>
      </x:c>
    </x:row>
    <x:row r="22">
      <x:c r="A22" s="83" t="str">
        <x:v>ZCAP-0018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Solar</x:v>
      </x:c>
      <x:c r="G22" s="83" t="str">
        <x:v>Solare utility</x:v>
      </x:c>
      <x:c r="H22" s="83" t="str">
        <x:v>Utility</x:v>
      </x:c>
      <x:c r="I22" s="143" t="n">
        <x:v>12.9</x:v>
      </x:c>
      <x:c r="J22" s="83" t="str">
        <x:v>GW</x:v>
      </x:c>
      <x:c r="K22" s="83" t="str">
        <x:v>Assunzione di scenario</x:v>
      </x:c>
      <x:c r="L22" s="83" t="str">
        <x:v>S09</x:v>
      </x:c>
      <x:c r="M22" s="83" t="str">
        <x:v>Documento_Descrizione_Scenari_2024_8dce2430d44d101.pdf</x:v>
      </x:c>
      <x:c r="N22" s="83" t="n">
        <x:v>60</x:v>
      </x:c>
      <x:c r="O22" s="83" t="n">
        <x:v>58</x:v>
      </x:c>
      <x:c r="P22" s="83" t="str">
        <x:v>Tabella 14</x:v>
      </x:c>
      <x:c r="Q22" s="83" t="str">
        <x:v>Direct table extraction; visual/text verification</x:v>
      </x:c>
      <x:c r="R22" s="83" t="str">
        <x:v>A - Direct</x:v>
      </x:c>
      <x:c r="S22" s="83" t="str">
        <x:v>Zonal p_nom input after mapping to PyPSA carrier.</x:v>
      </x:c>
      <x:c r="T22" s="83" t="str">
        <x:v>For 2023, distributed includes LV-connected plants and plants &lt;200 kW.</x:v>
      </x:c>
    </x:row>
    <x:row r="23">
      <x:c r="A23" s="83" t="str">
        <x:v>ZCAP-0019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Centro Nord</x:v>
      </x:c>
      <x:c r="F23" s="83" t="str">
        <x:v>Solar</x:v>
      </x:c>
      <x:c r="G23" s="83" t="str">
        <x:v>Solare distribuito</x:v>
      </x:c>
      <x:c r="H23" s="83" t="str">
        <x:v>Distribuito</x:v>
      </x:c>
      <x:c r="I23" s="143" t="n">
        <x:v>0.9</x:v>
      </x:c>
      <x:c r="J23" s="83" t="str">
        <x:v>GW</x:v>
      </x:c>
      <x:c r="K23" s="83" t="str">
        <x:v>Dato osservato storico</x:v>
      </x:c>
      <x:c r="L23" s="83" t="str">
        <x:v>S09</x:v>
      </x:c>
      <x:c r="M23" s="83" t="str">
        <x:v>Documento_Descrizione_Scenari_2024_8dce2430d44d101.pdf</x:v>
      </x:c>
      <x:c r="N23" s="83" t="n">
        <x:v>60</x:v>
      </x:c>
      <x:c r="O23" s="83" t="n">
        <x:v>58</x:v>
      </x:c>
      <x:c r="P23" s="83" t="str">
        <x:v>Tabella 14</x:v>
      </x:c>
      <x:c r="Q23" s="83" t="str">
        <x:v>Direct table extraction; visual/text verification</x:v>
      </x:c>
      <x:c r="R23" s="83" t="str">
        <x:v>A - Direct</x:v>
      </x:c>
      <x:c r="S23" s="83" t="str">
        <x:v>Zonal p_nom input after mapping to PyPSA carrier.</x:v>
      </x:c>
      <x:c r="T23" s="83" t="str">
        <x:v>For 2023, distributed includes LV-connected plants and plants &lt;200 kW.</x:v>
      </x:c>
    </x:row>
    <x:row r="24">
      <x:c r="A24" s="83" t="str">
        <x:v>ZCAP-0020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Centro Nord</x:v>
      </x:c>
      <x:c r="F24" s="83" t="str">
        <x:v>Solar</x:v>
      </x:c>
      <x:c r="G24" s="83" t="str">
        <x:v>Solare distribuito</x:v>
      </x:c>
      <x:c r="H24" s="83" t="str">
        <x:v>Distribuito</x:v>
      </x:c>
      <x:c r="I24" s="143" t="n">
        <x:v>2.8</x:v>
      </x:c>
      <x:c r="J24" s="83" t="str">
        <x:v>GW</x:v>
      </x:c>
      <x:c r="K24" s="83" t="str">
        <x:v>Assunzione di scenario</x:v>
      </x:c>
      <x:c r="L24" s="83" t="str">
        <x:v>S09</x:v>
      </x:c>
      <x:c r="M24" s="83" t="str">
        <x:v>Documento_Descrizione_Scenari_2024_8dce2430d44d101.pdf</x:v>
      </x:c>
      <x:c r="N24" s="83" t="n">
        <x:v>60</x:v>
      </x:c>
      <x:c r="O24" s="83" t="n">
        <x:v>58</x:v>
      </x:c>
      <x:c r="P24" s="83" t="str">
        <x:v>Tabella 14</x:v>
      </x:c>
      <x:c r="Q24" s="83" t="str">
        <x:v>Direct table extraction; visual/text verification</x:v>
      </x:c>
      <x:c r="R24" s="83" t="str">
        <x:v>A - Direct</x:v>
      </x:c>
      <x:c r="S24" s="83" t="str">
        <x:v>Zonal p_nom input after mapping to PyPSA carrier.</x:v>
      </x:c>
      <x:c r="T24" s="83" t="str">
        <x:v>For 2023, distributed includes LV-connected plants and plants &lt;200 kW.</x:v>
      </x:c>
    </x:row>
    <x:row r="25">
      <x:c r="A25" s="83" t="str">
        <x:v>ZCAP-0021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Centro Nord</x:v>
      </x:c>
      <x:c r="F25" s="83" t="str">
        <x:v>Solar</x:v>
      </x:c>
      <x:c r="G25" s="83" t="str">
        <x:v>Solare distribuito</x:v>
      </x:c>
      <x:c r="H25" s="83" t="str">
        <x:v>Distribuito</x:v>
      </x:c>
      <x:c r="I25" s="143" t="n">
        <x:v>2.5</x:v>
      </x:c>
      <x:c r="J25" s="83" t="str">
        <x:v>GW</x:v>
      </x:c>
      <x:c r="K25" s="83" t="str">
        <x:v>Assunzione di scenario</x:v>
      </x:c>
      <x:c r="L25" s="83" t="str">
        <x:v>S09</x:v>
      </x:c>
      <x:c r="M25" s="83" t="str">
        <x:v>Documento_Descrizione_Scenari_2024_8dce2430d44d101.pdf</x:v>
      </x:c>
      <x:c r="N25" s="83" t="n">
        <x:v>60</x:v>
      </x:c>
      <x:c r="O25" s="83" t="n">
        <x:v>58</x:v>
      </x:c>
      <x:c r="P25" s="83" t="str">
        <x:v>Tabella 14</x:v>
      </x:c>
      <x:c r="Q25" s="83" t="str">
        <x:v>Direct table extraction; visual/text verification</x:v>
      </x:c>
      <x:c r="R25" s="83" t="str">
        <x:v>A - Direct</x:v>
      </x:c>
      <x:c r="S25" s="83" t="str">
        <x:v>Zonal p_nom input after mapping to PyPSA carrier.</x:v>
      </x:c>
      <x:c r="T25" s="83" t="str">
        <x:v>For 2023, distributed includes LV-connected plants and plants &lt;200 kW.</x:v>
      </x:c>
    </x:row>
    <x:row r="26">
      <x:c r="A26" s="83" t="str">
        <x:v>ZCAP-0022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Centro Nord</x:v>
      </x:c>
      <x:c r="F26" s="83" t="str">
        <x:v>Solar</x:v>
      </x:c>
      <x:c r="G26" s="83" t="str">
        <x:v>Solare distribuito</x:v>
      </x:c>
      <x:c r="H26" s="83" t="str">
        <x:v>Distribuito</x:v>
      </x:c>
      <x:c r="I26" s="143" t="n">
        <x:v>3</x:v>
      </x:c>
      <x:c r="J26" s="83" t="str">
        <x:v>GW</x:v>
      </x:c>
      <x:c r="K26" s="83" t="str">
        <x:v>Assunzione di scenario</x:v>
      </x:c>
      <x:c r="L26" s="83" t="str">
        <x:v>S09</x:v>
      </x:c>
      <x:c r="M26" s="83" t="str">
        <x:v>Documento_Descrizione_Scenari_2024_8dce2430d44d101.pdf</x:v>
      </x:c>
      <x:c r="N26" s="83" t="n">
        <x:v>60</x:v>
      </x:c>
      <x:c r="O26" s="83" t="n">
        <x:v>58</x:v>
      </x:c>
      <x:c r="P26" s="83" t="str">
        <x:v>Tabella 14</x:v>
      </x:c>
      <x:c r="Q26" s="83" t="str">
        <x:v>Direct table extraction; visual/text verification</x:v>
      </x:c>
      <x:c r="R26" s="83" t="str">
        <x:v>A - Direct</x:v>
      </x:c>
      <x:c r="S26" s="83" t="str">
        <x:v>Zonal p_nom input after mapping to PyPSA carrier.</x:v>
      </x:c>
      <x:c r="T26" s="83" t="str">
        <x:v>For 2023, distributed includes LV-connected plants and plants &lt;200 kW.</x:v>
      </x:c>
    </x:row>
    <x:row r="27">
      <x:c r="A27" s="83" t="str">
        <x:v>ZCAP-0023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Centro Nord</x:v>
      </x:c>
      <x:c r="F27" s="83" t="str">
        <x:v>Solar</x:v>
      </x:c>
      <x:c r="G27" s="83" t="str">
        <x:v>Solare distribuito</x:v>
      </x:c>
      <x:c r="H27" s="83" t="str">
        <x:v>Distribuito</x:v>
      </x:c>
      <x:c r="I27" s="143" t="n">
        <x:v>3</x:v>
      </x:c>
      <x:c r="J27" s="83" t="str">
        <x:v>GW</x:v>
      </x:c>
      <x:c r="K27" s="83" t="str">
        <x:v>Assunzione di scenario</x:v>
      </x:c>
      <x:c r="L27" s="83" t="str">
        <x:v>S09</x:v>
      </x:c>
      <x:c r="M27" s="83" t="str">
        <x:v>Documento_Descrizione_Scenari_2024_8dce2430d44d101.pdf</x:v>
      </x:c>
      <x:c r="N27" s="83" t="n">
        <x:v>60</x:v>
      </x:c>
      <x:c r="O27" s="83" t="n">
        <x:v>58</x:v>
      </x:c>
      <x:c r="P27" s="83" t="str">
        <x:v>Tabella 14</x:v>
      </x:c>
      <x:c r="Q27" s="83" t="str">
        <x:v>Direct table extraction; visual/text verification</x:v>
      </x:c>
      <x:c r="R27" s="83" t="str">
        <x:v>A - Direct</x:v>
      </x:c>
      <x:c r="S27" s="83" t="str">
        <x:v>Zonal p_nom input after mapping to PyPSA carrier.</x:v>
      </x:c>
      <x:c r="T27" s="83" t="str">
        <x:v>For 2023, distributed includes LV-connected plants and plants &lt;200 kW.</x:v>
      </x:c>
    </x:row>
    <x:row r="28">
      <x:c r="A28" s="83" t="str">
        <x:v>ZCAP-0024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Centro Nord</x:v>
      </x:c>
      <x:c r="F28" s="83" t="str">
        <x:v>Solar</x:v>
      </x:c>
      <x:c r="G28" s="83" t="str">
        <x:v>Solare distribuito</x:v>
      </x:c>
      <x:c r="H28" s="83" t="str">
        <x:v>Distribuito</x:v>
      </x:c>
      <x:c r="I28" s="143" t="n">
        <x:v>2.7</x:v>
      </x:c>
      <x:c r="J28" s="83" t="str">
        <x:v>GW</x:v>
      </x:c>
      <x:c r="K28" s="83" t="str">
        <x:v>Assunzione di scenario</x:v>
      </x:c>
      <x:c r="L28" s="83" t="str">
        <x:v>S09</x:v>
      </x:c>
      <x:c r="M28" s="83" t="str">
        <x:v>Documento_Descrizione_Scenari_2024_8dce2430d44d101.pdf</x:v>
      </x:c>
      <x:c r="N28" s="83" t="n">
        <x:v>60</x:v>
      </x:c>
      <x:c r="O28" s="83" t="n">
        <x:v>58</x:v>
      </x:c>
      <x:c r="P28" s="83" t="str">
        <x:v>Tabella 14</x:v>
      </x:c>
      <x:c r="Q28" s="83" t="str">
        <x:v>Direct table extraction; visual/text verification</x:v>
      </x:c>
      <x:c r="R28" s="83" t="str">
        <x:v>A - Direct</x:v>
      </x:c>
      <x:c r="S28" s="83" t="str">
        <x:v>Zonal p_nom input after mapping to PyPSA carrier.</x:v>
      </x:c>
      <x:c r="T28" s="83" t="str">
        <x:v>For 2023, distributed includes LV-connected plants and plants &lt;200 kW.</x:v>
      </x:c>
    </x:row>
    <x:row r="29">
      <x:c r="A29" s="83" t="str">
        <x:v>ZCAP-0025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Centro Nord</x:v>
      </x:c>
      <x:c r="F29" s="83" t="str">
        <x:v>Solar</x:v>
      </x:c>
      <x:c r="G29" s="83" t="str">
        <x:v>Solare distribuito</x:v>
      </x:c>
      <x:c r="H29" s="83" t="str">
        <x:v>Distribuito</x:v>
      </x:c>
      <x:c r="I29" s="143" t="n">
        <x:v>3.3</x:v>
      </x:c>
      <x:c r="J29" s="83" t="str">
        <x:v>GW</x:v>
      </x:c>
      <x:c r="K29" s="83" t="str">
        <x:v>Assunzione di scenario</x:v>
      </x:c>
      <x:c r="L29" s="83" t="str">
        <x:v>S09</x:v>
      </x:c>
      <x:c r="M29" s="83" t="str">
        <x:v>Documento_Descrizione_Scenari_2024_8dce2430d44d101.pdf</x:v>
      </x:c>
      <x:c r="N29" s="83" t="n">
        <x:v>60</x:v>
      </x:c>
      <x:c r="O29" s="83" t="n">
        <x:v>58</x:v>
      </x:c>
      <x:c r="P29" s="83" t="str">
        <x:v>Tabella 14</x:v>
      </x:c>
      <x:c r="Q29" s="83" t="str">
        <x:v>Direct table extraction; visual/text verification</x:v>
      </x:c>
      <x:c r="R29" s="83" t="str">
        <x:v>A - Direct</x:v>
      </x:c>
      <x:c r="S29" s="83" t="str">
        <x:v>Zonal p_nom input after mapping to PyPSA carrier.</x:v>
      </x:c>
      <x:c r="T29" s="83" t="str">
        <x:v>For 2023, distributed includes LV-connected plants and plants &lt;200 kW.</x:v>
      </x:c>
    </x:row>
    <x:row r="30">
      <x:c r="A30" s="83" t="str">
        <x:v>ZCAP-0026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Centro Nord</x:v>
      </x:c>
      <x:c r="F30" s="83" t="str">
        <x:v>Solar</x:v>
      </x:c>
      <x:c r="G30" s="83" t="str">
        <x:v>Solare distribuito</x:v>
      </x:c>
      <x:c r="H30" s="83" t="str">
        <x:v>Distribuito</x:v>
      </x:c>
      <x:c r="I30" s="143" t="n">
        <x:v>3.1</x:v>
      </x:c>
      <x:c r="J30" s="83" t="str">
        <x:v>GW</x:v>
      </x:c>
      <x:c r="K30" s="83" t="str">
        <x:v>Assunzione di scenario</x:v>
      </x:c>
      <x:c r="L30" s="83" t="str">
        <x:v>S09</x:v>
      </x:c>
      <x:c r="M30" s="83" t="str">
        <x:v>Documento_Descrizione_Scenari_2024_8dce2430d44d101.pdf</x:v>
      </x:c>
      <x:c r="N30" s="83" t="n">
        <x:v>60</x:v>
      </x:c>
      <x:c r="O30" s="83" t="n">
        <x:v>58</x:v>
      </x:c>
      <x:c r="P30" s="83" t="str">
        <x:v>Tabella 14</x:v>
      </x:c>
      <x:c r="Q30" s="83" t="str">
        <x:v>Direct table extraction; visual/text verification</x:v>
      </x:c>
      <x:c r="R30" s="83" t="str">
        <x:v>A - Direct</x:v>
      </x:c>
      <x:c r="S30" s="83" t="str">
        <x:v>Zonal p_nom input after mapping to PyPSA carrier.</x:v>
      </x:c>
      <x:c r="T30" s="83" t="str">
        <x:v>For 2023, distributed includes LV-connected plants and plants &lt;200 kW.</x:v>
      </x:c>
    </x:row>
    <x:row r="31">
      <x:c r="A31" s="83" t="str">
        <x:v>ZCAP-0027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Centro Nord</x:v>
      </x:c>
      <x:c r="F31" s="83" t="str">
        <x:v>Solar</x:v>
      </x:c>
      <x:c r="G31" s="83" t="str">
        <x:v>Solare distribuito</x:v>
      </x:c>
      <x:c r="H31" s="83" t="str">
        <x:v>Distribuito</x:v>
      </x:c>
      <x:c r="I31" s="143" t="n">
        <x:v>3</x:v>
      </x:c>
      <x:c r="J31" s="83" t="str">
        <x:v>GW</x:v>
      </x:c>
      <x:c r="K31" s="83" t="str">
        <x:v>Assunzione di scenario</x:v>
      </x:c>
      <x:c r="L31" s="83" t="str">
        <x:v>S09</x:v>
      </x:c>
      <x:c r="M31" s="83" t="str">
        <x:v>Documento_Descrizione_Scenari_2024_8dce2430d44d101.pdf</x:v>
      </x:c>
      <x:c r="N31" s="83" t="n">
        <x:v>60</x:v>
      </x:c>
      <x:c r="O31" s="83" t="n">
        <x:v>58</x:v>
      </x:c>
      <x:c r="P31" s="83" t="str">
        <x:v>Tabella 14</x:v>
      </x:c>
      <x:c r="Q31" s="83" t="str">
        <x:v>Direct table extraction; visual/text verification</x:v>
      </x:c>
      <x:c r="R31" s="83" t="str">
        <x:v>A - Direct</x:v>
      </x:c>
      <x:c r="S31" s="83" t="str">
        <x:v>Zonal p_nom input after mapping to PyPSA carrier.</x:v>
      </x:c>
      <x:c r="T31" s="83" t="str">
        <x:v>For 2023, distributed includes LV-connected plants and plants &lt;200 kW.</x:v>
      </x:c>
    </x:row>
    <x:row r="32">
      <x:c r="A32" s="83" t="str">
        <x:v>ZCAP-0028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Centro Nord</x:v>
      </x:c>
      <x:c r="F32" s="83" t="str">
        <x:v>Solar</x:v>
      </x:c>
      <x:c r="G32" s="83" t="str">
        <x:v>Solare utility</x:v>
      </x:c>
      <x:c r="H32" s="83" t="str">
        <x:v>Utility</x:v>
      </x:c>
      <x:c r="I32" s="143" t="n">
        <x:v>1.7</x:v>
      </x:c>
      <x:c r="J32" s="83" t="str">
        <x:v>GW</x:v>
      </x:c>
      <x:c r="K32" s="83" t="str">
        <x:v>Dato osservato storico</x:v>
      </x:c>
      <x:c r="L32" s="83" t="str">
        <x:v>S09</x:v>
      </x:c>
      <x:c r="M32" s="83" t="str">
        <x:v>Documento_Descrizione_Scenari_2024_8dce2430d44d101.pdf</x:v>
      </x:c>
      <x:c r="N32" s="83" t="n">
        <x:v>60</x:v>
      </x:c>
      <x:c r="O32" s="83" t="n">
        <x:v>58</x:v>
      </x:c>
      <x:c r="P32" s="83" t="str">
        <x:v>Tabella 14</x:v>
      </x:c>
      <x:c r="Q32" s="83" t="str">
        <x:v>Direct table extraction; visual/text verification</x:v>
      </x:c>
      <x:c r="R32" s="83" t="str">
        <x:v>A - Direct</x:v>
      </x:c>
      <x:c r="S32" s="83" t="str">
        <x:v>Zonal p_nom input after mapping to PyPSA carrier.</x:v>
      </x:c>
      <x:c r="T32" s="83" t="str">
        <x:v>For 2023, distributed includes LV-connected plants and plants &lt;200 kW.</x:v>
      </x:c>
    </x:row>
    <x:row r="33">
      <x:c r="A33" s="83" t="str">
        <x:v>ZCAP-0029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Centro Nord</x:v>
      </x:c>
      <x:c r="F33" s="83" t="str">
        <x:v>Solar</x:v>
      </x:c>
      <x:c r="G33" s="83" t="str">
        <x:v>Solare utility</x:v>
      </x:c>
      <x:c r="H33" s="83" t="str">
        <x:v>Utility</x:v>
      </x:c>
      <x:c r="I33" s="143" t="n">
        <x:v>5.5</x:v>
      </x:c>
      <x:c r="J33" s="83" t="str">
        <x:v>GW</x:v>
      </x:c>
      <x:c r="K33" s="83" t="str">
        <x:v>Assunzione di scenario</x:v>
      </x:c>
      <x:c r="L33" s="83" t="str">
        <x:v>S09</x:v>
      </x:c>
      <x:c r="M33" s="83" t="str">
        <x:v>Documento_Descrizione_Scenari_2024_8dce2430d44d101.pdf</x:v>
      </x:c>
      <x:c r="N33" s="83" t="n">
        <x:v>60</x:v>
      </x:c>
      <x:c r="O33" s="83" t="n">
        <x:v>58</x:v>
      </x:c>
      <x:c r="P33" s="83" t="str">
        <x:v>Tabella 14</x:v>
      </x:c>
      <x:c r="Q33" s="83" t="str">
        <x:v>Direct table extraction; visual/text verification</x:v>
      </x:c>
      <x:c r="R33" s="83" t="str">
        <x:v>A - Direct</x:v>
      </x:c>
      <x:c r="S33" s="83" t="str">
        <x:v>Zonal p_nom input after mapping to PyPSA carrier.</x:v>
      </x:c>
      <x:c r="T33" s="83" t="str">
        <x:v>For 2023, distributed includes LV-connected plants and plants &lt;200 kW.</x:v>
      </x:c>
    </x:row>
    <x:row r="34">
      <x:c r="A34" s="83" t="str">
        <x:v>ZCAP-0030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Centro Nord</x:v>
      </x:c>
      <x:c r="F34" s="83" t="str">
        <x:v>Solar</x:v>
      </x:c>
      <x:c r="G34" s="83" t="str">
        <x:v>Solare utility</x:v>
      </x:c>
      <x:c r="H34" s="83" t="str">
        <x:v>Utility</x:v>
      </x:c>
      <x:c r="I34" s="143" t="n">
        <x:v>4.9</x:v>
      </x:c>
      <x:c r="J34" s="83" t="str">
        <x:v>GW</x:v>
      </x:c>
      <x:c r="K34" s="83" t="str">
        <x:v>Assunzione di scenario</x:v>
      </x:c>
      <x:c r="L34" s="83" t="str">
        <x:v>S09</x:v>
      </x:c>
      <x:c r="M34" s="83" t="str">
        <x:v>Documento_Descrizione_Scenari_2024_8dce2430d44d101.pdf</x:v>
      </x:c>
      <x:c r="N34" s="83" t="n">
        <x:v>60</x:v>
      </x:c>
      <x:c r="O34" s="83" t="n">
        <x:v>58</x:v>
      </x:c>
      <x:c r="P34" s="83" t="str">
        <x:v>Tabella 14</x:v>
      </x:c>
      <x:c r="Q34" s="83" t="str">
        <x:v>Direct table extraction; visual/text verification</x:v>
      </x:c>
      <x:c r="R34" s="83" t="str">
        <x:v>A - Direct</x:v>
      </x:c>
      <x:c r="S34" s="83" t="str">
        <x:v>Zonal p_nom input after mapping to PyPSA carrier.</x:v>
      </x:c>
      <x:c r="T34" s="83" t="str">
        <x:v>For 2023, distributed includes LV-connected plants and plants &lt;200 kW.</x:v>
      </x:c>
    </x:row>
    <x:row r="35">
      <x:c r="A35" s="83" t="str">
        <x:v>ZCAP-0031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Centro Nord</x:v>
      </x:c>
      <x:c r="F35" s="83" t="str">
        <x:v>Solar</x:v>
      </x:c>
      <x:c r="G35" s="83" t="str">
        <x:v>Solare utility</x:v>
      </x:c>
      <x:c r="H35" s="83" t="str">
        <x:v>Utility</x:v>
      </x:c>
      <x:c r="I35" s="143" t="n">
        <x:v>5.9</x:v>
      </x:c>
      <x:c r="J35" s="83" t="str">
        <x:v>GW</x:v>
      </x:c>
      <x:c r="K35" s="83" t="str">
        <x:v>Assunzione di scenario</x:v>
      </x:c>
      <x:c r="L35" s="83" t="str">
        <x:v>S09</x:v>
      </x:c>
      <x:c r="M35" s="83" t="str">
        <x:v>Documento_Descrizione_Scenari_2024_8dce2430d44d101.pdf</x:v>
      </x:c>
      <x:c r="N35" s="83" t="n">
        <x:v>60</x:v>
      </x:c>
      <x:c r="O35" s="83" t="n">
        <x:v>58</x:v>
      </x:c>
      <x:c r="P35" s="83" t="str">
        <x:v>Tabella 14</x:v>
      </x:c>
      <x:c r="Q35" s="83" t="str">
        <x:v>Direct table extraction; visual/text verification</x:v>
      </x:c>
      <x:c r="R35" s="83" t="str">
        <x:v>A - Direct</x:v>
      </x:c>
      <x:c r="S35" s="83" t="str">
        <x:v>Zonal p_nom input after mapping to PyPSA carrier.</x:v>
      </x:c>
      <x:c r="T35" s="83" t="str">
        <x:v>For 2023, distributed includes LV-connected plants and plants &lt;200 kW.</x:v>
      </x:c>
    </x:row>
    <x:row r="36">
      <x:c r="A36" s="83" t="str">
        <x:v>ZCAP-0032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Centro Nord</x:v>
      </x:c>
      <x:c r="F36" s="83" t="str">
        <x:v>Solar</x:v>
      </x:c>
      <x:c r="G36" s="83" t="str">
        <x:v>Solare utility</x:v>
      </x:c>
      <x:c r="H36" s="83" t="str">
        <x:v>Utility</x:v>
      </x:c>
      <x:c r="I36" s="143" t="n">
        <x:v>5.9</x:v>
      </x:c>
      <x:c r="J36" s="83" t="str">
        <x:v>GW</x:v>
      </x:c>
      <x:c r="K36" s="83" t="str">
        <x:v>Assunzione di scenario</x:v>
      </x:c>
      <x:c r="L36" s="83" t="str">
        <x:v>S09</x:v>
      </x:c>
      <x:c r="M36" s="83" t="str">
        <x:v>Documento_Descrizione_Scenari_2024_8dce2430d44d101.pdf</x:v>
      </x:c>
      <x:c r="N36" s="83" t="n">
        <x:v>60</x:v>
      </x:c>
      <x:c r="O36" s="83" t="n">
        <x:v>58</x:v>
      </x:c>
      <x:c r="P36" s="83" t="str">
        <x:v>Tabella 14</x:v>
      </x:c>
      <x:c r="Q36" s="83" t="str">
        <x:v>Direct table extraction; visual/text verification</x:v>
      </x:c>
      <x:c r="R36" s="83" t="str">
        <x:v>A - Direct</x:v>
      </x:c>
      <x:c r="S36" s="83" t="str">
        <x:v>Zonal p_nom input after mapping to PyPSA carrier.</x:v>
      </x:c>
      <x:c r="T36" s="83" t="str">
        <x:v>For 2023, distributed includes LV-connected plants and plants &lt;200 kW.</x:v>
      </x:c>
    </x:row>
    <x:row r="37">
      <x:c r="A37" s="83" t="str">
        <x:v>ZCAP-0033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Centro Nord</x:v>
      </x:c>
      <x:c r="F37" s="83" t="str">
        <x:v>Solar</x:v>
      </x:c>
      <x:c r="G37" s="83" t="str">
        <x:v>Solare utility</x:v>
      </x:c>
      <x:c r="H37" s="83" t="str">
        <x:v>Utility</x:v>
      </x:c>
      <x:c r="I37" s="143" t="n">
        <x:v>5.4</x:v>
      </x:c>
      <x:c r="J37" s="83" t="str">
        <x:v>GW</x:v>
      </x:c>
      <x:c r="K37" s="83" t="str">
        <x:v>Assunzione di scenario</x:v>
      </x:c>
      <x:c r="L37" s="83" t="str">
        <x:v>S09</x:v>
      </x:c>
      <x:c r="M37" s="83" t="str">
        <x:v>Documento_Descrizione_Scenari_2024_8dce2430d44d101.pdf</x:v>
      </x:c>
      <x:c r="N37" s="83" t="n">
        <x:v>60</x:v>
      </x:c>
      <x:c r="O37" s="83" t="n">
        <x:v>58</x:v>
      </x:c>
      <x:c r="P37" s="83" t="str">
        <x:v>Tabella 14</x:v>
      </x:c>
      <x:c r="Q37" s="83" t="str">
        <x:v>Direct table extraction; visual/text verification</x:v>
      </x:c>
      <x:c r="R37" s="83" t="str">
        <x:v>A - Direct</x:v>
      </x:c>
      <x:c r="S37" s="83" t="str">
        <x:v>Zonal p_nom input after mapping to PyPSA carrier.</x:v>
      </x:c>
      <x:c r="T37" s="83" t="str">
        <x:v>For 2023, distributed includes LV-connected plants and plants &lt;200 kW.</x:v>
      </x:c>
    </x:row>
    <x:row r="38">
      <x:c r="A38" s="83" t="str">
        <x:v>ZCAP-0034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Centro Nord</x:v>
      </x:c>
      <x:c r="F38" s="83" t="str">
        <x:v>Solar</x:v>
      </x:c>
      <x:c r="G38" s="83" t="str">
        <x:v>Solare utility</x:v>
      </x:c>
      <x:c r="H38" s="83" t="str">
        <x:v>Utility</x:v>
      </x:c>
      <x:c r="I38" s="143" t="n">
        <x:v>6.3</x:v>
      </x:c>
      <x:c r="J38" s="83" t="str">
        <x:v>GW</x:v>
      </x:c>
      <x:c r="K38" s="83" t="str">
        <x:v>Assunzione di scenario</x:v>
      </x:c>
      <x:c r="L38" s="83" t="str">
        <x:v>S09</x:v>
      </x:c>
      <x:c r="M38" s="83" t="str">
        <x:v>Documento_Descrizione_Scenari_2024_8dce2430d44d101.pdf</x:v>
      </x:c>
      <x:c r="N38" s="83" t="n">
        <x:v>60</x:v>
      </x:c>
      <x:c r="O38" s="83" t="n">
        <x:v>58</x:v>
      </x:c>
      <x:c r="P38" s="83" t="str">
        <x:v>Tabella 14</x:v>
      </x:c>
      <x:c r="Q38" s="83" t="str">
        <x:v>Direct table extraction; visual/text verification</x:v>
      </x:c>
      <x:c r="R38" s="83" t="str">
        <x:v>A - Direct</x:v>
      </x:c>
      <x:c r="S38" s="83" t="str">
        <x:v>Zonal p_nom input after mapping to PyPSA carrier.</x:v>
      </x:c>
      <x:c r="T38" s="83" t="str">
        <x:v>For 2023, distributed includes LV-connected plants and plants &lt;200 kW.</x:v>
      </x:c>
    </x:row>
    <x:row r="39">
      <x:c r="A39" s="83" t="str">
        <x:v>ZCAP-0035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Centro Nord</x:v>
      </x:c>
      <x:c r="F39" s="83" t="str">
        <x:v>Solar</x:v>
      </x:c>
      <x:c r="G39" s="83" t="str">
        <x:v>Solare utility</x:v>
      </x:c>
      <x:c r="H39" s="83" t="str">
        <x:v>Utility</x:v>
      </x:c>
      <x:c r="I39" s="143" t="n">
        <x:v>6.2</x:v>
      </x:c>
      <x:c r="J39" s="83" t="str">
        <x:v>GW</x:v>
      </x:c>
      <x:c r="K39" s="83" t="str">
        <x:v>Assunzione di scenario</x:v>
      </x:c>
      <x:c r="L39" s="83" t="str">
        <x:v>S09</x:v>
      </x:c>
      <x:c r="M39" s="83" t="str">
        <x:v>Documento_Descrizione_Scenari_2024_8dce2430d44d101.pdf</x:v>
      </x:c>
      <x:c r="N39" s="83" t="n">
        <x:v>60</x:v>
      </x:c>
      <x:c r="O39" s="83" t="n">
        <x:v>58</x:v>
      </x:c>
      <x:c r="P39" s="83" t="str">
        <x:v>Tabella 14</x:v>
      </x:c>
      <x:c r="Q39" s="83" t="str">
        <x:v>Direct table extraction; visual/text verification</x:v>
      </x:c>
      <x:c r="R39" s="83" t="str">
        <x:v>A - Direct</x:v>
      </x:c>
      <x:c r="S39" s="83" t="str">
        <x:v>Zonal p_nom input after mapping to PyPSA carrier.</x:v>
      </x:c>
      <x:c r="T39" s="83" t="str">
        <x:v>For 2023, distributed includes LV-connected plants and plants &lt;200 kW.</x:v>
      </x:c>
    </x:row>
    <x:row r="40">
      <x:c r="A40" s="83" t="str">
        <x:v>ZCAP-0036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Centro Nord</x:v>
      </x:c>
      <x:c r="F40" s="83" t="str">
        <x:v>Solar</x:v>
      </x:c>
      <x:c r="G40" s="83" t="str">
        <x:v>Solare utility</x:v>
      </x:c>
      <x:c r="H40" s="83" t="str">
        <x:v>Utility</x:v>
      </x:c>
      <x:c r="I40" s="143" t="n">
        <x:v>5.9</x:v>
      </x:c>
      <x:c r="J40" s="83" t="str">
        <x:v>GW</x:v>
      </x:c>
      <x:c r="K40" s="83" t="str">
        <x:v>Assunzione di scenario</x:v>
      </x:c>
      <x:c r="L40" s="83" t="str">
        <x:v>S09</x:v>
      </x:c>
      <x:c r="M40" s="83" t="str">
        <x:v>Documento_Descrizione_Scenari_2024_8dce2430d44d101.pdf</x:v>
      </x:c>
      <x:c r="N40" s="83" t="n">
        <x:v>60</x:v>
      </x:c>
      <x:c r="O40" s="83" t="n">
        <x:v>58</x:v>
      </x:c>
      <x:c r="P40" s="83" t="str">
        <x:v>Tabella 14</x:v>
      </x:c>
      <x:c r="Q40" s="83" t="str">
        <x:v>Direct table extraction; visual/text verification</x:v>
      </x:c>
      <x:c r="R40" s="83" t="str">
        <x:v>A - Direct</x:v>
      </x:c>
      <x:c r="S40" s="83" t="str">
        <x:v>Zonal p_nom input after mapping to PyPSA carrier.</x:v>
      </x:c>
      <x:c r="T40" s="83" t="str">
        <x:v>For 2023, distributed includes LV-connected plants and plants &lt;200 kW.</x:v>
      </x:c>
    </x:row>
    <x:row r="41">
      <x:c r="A41" s="83" t="str">
        <x:v>ZCAP-0037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Sud</x:v>
      </x:c>
      <x:c r="F41" s="83" t="str">
        <x:v>Solar</x:v>
      </x:c>
      <x:c r="G41" s="83" t="str">
        <x:v>Solare distribuito</x:v>
      </x:c>
      <x:c r="H41" s="83" t="str">
        <x:v>Distribuito</x:v>
      </x:c>
      <x:c r="I41" s="143" t="n">
        <x:v>1.5</x:v>
      </x:c>
      <x:c r="J41" s="83" t="str">
        <x:v>GW</x:v>
      </x:c>
      <x:c r="K41" s="83" t="str">
        <x:v>Dato osservato storico</x:v>
      </x:c>
      <x:c r="L41" s="83" t="str">
        <x:v>S09</x:v>
      </x:c>
      <x:c r="M41" s="83" t="str">
        <x:v>Documento_Descrizione_Scenari_2024_8dce2430d44d101.pdf</x:v>
      </x:c>
      <x:c r="N41" s="83" t="n">
        <x:v>60</x:v>
      </x:c>
      <x:c r="O41" s="83" t="n">
        <x:v>58</x:v>
      </x:c>
      <x:c r="P41" s="83" t="str">
        <x:v>Tabella 14</x:v>
      </x:c>
      <x:c r="Q41" s="83" t="str">
        <x:v>Direct table extraction; visual/text verification</x:v>
      </x:c>
      <x:c r="R41" s="83" t="str">
        <x:v>A - Direct</x:v>
      </x:c>
      <x:c r="S41" s="83" t="str">
        <x:v>Zonal p_nom input after mapping to PyPSA carrier.</x:v>
      </x:c>
      <x:c r="T41" s="83" t="str">
        <x:v>For 2023, distributed includes LV-connected plants and plants &lt;200 kW.</x:v>
      </x:c>
    </x:row>
    <x:row r="42">
      <x:c r="A42" s="83" t="str">
        <x:v>ZCAP-0038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Sud</x:v>
      </x:c>
      <x:c r="F42" s="83" t="str">
        <x:v>Solar</x:v>
      </x:c>
      <x:c r="G42" s="83" t="str">
        <x:v>Solare distribuito</x:v>
      </x:c>
      <x:c r="H42" s="83" t="str">
        <x:v>Distribuito</x:v>
      </x:c>
      <x:c r="I42" s="143" t="n">
        <x:v>3.7</x:v>
      </x:c>
      <x:c r="J42" s="83" t="str">
        <x:v>GW</x:v>
      </x:c>
      <x:c r="K42" s="83" t="str">
        <x:v>Assunzione di scenario</x:v>
      </x:c>
      <x:c r="L42" s="83" t="str">
        <x:v>S09</x:v>
      </x:c>
      <x:c r="M42" s="83" t="str">
        <x:v>Documento_Descrizione_Scenari_2024_8dce2430d44d101.pdf</x:v>
      </x:c>
      <x:c r="N42" s="83" t="n">
        <x:v>60</x:v>
      </x:c>
      <x:c r="O42" s="83" t="n">
        <x:v>58</x:v>
      </x:c>
      <x:c r="P42" s="83" t="str">
        <x:v>Tabella 14</x:v>
      </x:c>
      <x:c r="Q42" s="83" t="str">
        <x:v>Direct table extraction; visual/text verification</x:v>
      </x:c>
      <x:c r="R42" s="83" t="str">
        <x:v>A - Direct</x:v>
      </x:c>
      <x:c r="S42" s="83" t="str">
        <x:v>Zonal p_nom input after mapping to PyPSA carrier.</x:v>
      </x:c>
      <x:c r="T42" s="83" t="str">
        <x:v>For 2023, distributed includes LV-connected plants and plants &lt;200 kW.</x:v>
      </x:c>
    </x:row>
    <x:row r="43">
      <x:c r="A43" s="83" t="str">
        <x:v>ZCAP-0039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Sud</x:v>
      </x:c>
      <x:c r="F43" s="83" t="str">
        <x:v>Solar</x:v>
      </x:c>
      <x:c r="G43" s="83" t="str">
        <x:v>Solare distribuito</x:v>
      </x:c>
      <x:c r="H43" s="83" t="str">
        <x:v>Distribuito</x:v>
      </x:c>
      <x:c r="I43" s="143" t="n">
        <x:v>3.4</x:v>
      </x:c>
      <x:c r="J43" s="83" t="str">
        <x:v>GW</x:v>
      </x:c>
      <x:c r="K43" s="83" t="str">
        <x:v>Assunzione di scenario</x:v>
      </x:c>
      <x:c r="L43" s="83" t="str">
        <x:v>S09</x:v>
      </x:c>
      <x:c r="M43" s="83" t="str">
        <x:v>Documento_Descrizione_Scenari_2024_8dce2430d44d101.pdf</x:v>
      </x:c>
      <x:c r="N43" s="83" t="n">
        <x:v>60</x:v>
      </x:c>
      <x:c r="O43" s="83" t="n">
        <x:v>58</x:v>
      </x:c>
      <x:c r="P43" s="83" t="str">
        <x:v>Tabella 14</x:v>
      </x:c>
      <x:c r="Q43" s="83" t="str">
        <x:v>Direct table extraction; visual/text verification</x:v>
      </x:c>
      <x:c r="R43" s="83" t="str">
        <x:v>A - Direct</x:v>
      </x:c>
      <x:c r="S43" s="83" t="str">
        <x:v>Zonal p_nom input after mapping to PyPSA carrier.</x:v>
      </x:c>
      <x:c r="T43" s="83" t="str">
        <x:v>For 2023, distributed includes LV-connected plants and plants &lt;200 kW.</x:v>
      </x:c>
    </x:row>
    <x:row r="44">
      <x:c r="A44" s="83" t="str">
        <x:v>ZCAP-0040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Sud</x:v>
      </x:c>
      <x:c r="F44" s="83" t="str">
        <x:v>Solar</x:v>
      </x:c>
      <x:c r="G44" s="83" t="str">
        <x:v>Solare distribuito</x:v>
      </x:c>
      <x:c r="H44" s="83" t="str">
        <x:v>Distribuito</x:v>
      </x:c>
      <x:c r="I44" s="143" t="n">
        <x:v>4.6</x:v>
      </x:c>
      <x:c r="J44" s="83" t="str">
        <x:v>GW</x:v>
      </x:c>
      <x:c r="K44" s="83" t="str">
        <x:v>Assunzione di scenario</x:v>
      </x:c>
      <x:c r="L44" s="83" t="str">
        <x:v>S09</x:v>
      </x:c>
      <x:c r="M44" s="83" t="str">
        <x:v>Documento_Descrizione_Scenari_2024_8dce2430d44d101.pdf</x:v>
      </x:c>
      <x:c r="N44" s="83" t="n">
        <x:v>60</x:v>
      </x:c>
      <x:c r="O44" s="83" t="n">
        <x:v>58</x:v>
      </x:c>
      <x:c r="P44" s="83" t="str">
        <x:v>Tabella 14</x:v>
      </x:c>
      <x:c r="Q44" s="83" t="str">
        <x:v>Direct table extraction; visual/text verification</x:v>
      </x:c>
      <x:c r="R44" s="83" t="str">
        <x:v>A - Direct</x:v>
      </x:c>
      <x:c r="S44" s="83" t="str">
        <x:v>Zonal p_nom input after mapping to PyPSA carrier.</x:v>
      </x:c>
      <x:c r="T44" s="83" t="str">
        <x:v>For 2023, distributed includes LV-connected plants and plants &lt;200 kW.</x:v>
      </x:c>
    </x:row>
    <x:row r="45">
      <x:c r="A45" s="83" t="str">
        <x:v>ZCAP-0041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Sud</x:v>
      </x:c>
      <x:c r="F45" s="83" t="str">
        <x:v>Solar</x:v>
      </x:c>
      <x:c r="G45" s="83" t="str">
        <x:v>Solare distribuito</x:v>
      </x:c>
      <x:c r="H45" s="83" t="str">
        <x:v>Distribuito</x:v>
      </x:c>
      <x:c r="I45" s="143" t="n">
        <x:v>4.5</x:v>
      </x:c>
      <x:c r="J45" s="83" t="str">
        <x:v>GW</x:v>
      </x:c>
      <x:c r="K45" s="83" t="str">
        <x:v>Assunzione di scenario</x:v>
      </x:c>
      <x:c r="L45" s="83" t="str">
        <x:v>S09</x:v>
      </x:c>
      <x:c r="M45" s="83" t="str">
        <x:v>Documento_Descrizione_Scenari_2024_8dce2430d44d101.pdf</x:v>
      </x:c>
      <x:c r="N45" s="83" t="n">
        <x:v>60</x:v>
      </x:c>
      <x:c r="O45" s="83" t="n">
        <x:v>58</x:v>
      </x:c>
      <x:c r="P45" s="83" t="str">
        <x:v>Tabella 14</x:v>
      </x:c>
      <x:c r="Q45" s="83" t="str">
        <x:v>Direct table extraction; visual/text verification</x:v>
      </x:c>
      <x:c r="R45" s="83" t="str">
        <x:v>A - Direct</x:v>
      </x:c>
      <x:c r="S45" s="83" t="str">
        <x:v>Zonal p_nom input after mapping to PyPSA carrier.</x:v>
      </x:c>
      <x:c r="T45" s="83" t="str">
        <x:v>For 2023, distributed includes LV-connected plants and plants &lt;200 kW.</x:v>
      </x:c>
    </x:row>
    <x:row r="46">
      <x:c r="A46" s="83" t="str">
        <x:v>ZCAP-0042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Sud</x:v>
      </x:c>
      <x:c r="F46" s="83" t="str">
        <x:v>Solar</x:v>
      </x:c>
      <x:c r="G46" s="83" t="str">
        <x:v>Solare distribuito</x:v>
      </x:c>
      <x:c r="H46" s="83" t="str">
        <x:v>Distribuito</x:v>
      </x:c>
      <x:c r="I46" s="143" t="n">
        <x:v>4.2</x:v>
      </x:c>
      <x:c r="J46" s="83" t="str">
        <x:v>GW</x:v>
      </x:c>
      <x:c r="K46" s="83" t="str">
        <x:v>Assunzione di scenario</x:v>
      </x:c>
      <x:c r="L46" s="83" t="str">
        <x:v>S09</x:v>
      </x:c>
      <x:c r="M46" s="83" t="str">
        <x:v>Documento_Descrizione_Scenari_2024_8dce2430d44d101.pdf</x:v>
      </x:c>
      <x:c r="N46" s="83" t="n">
        <x:v>60</x:v>
      </x:c>
      <x:c r="O46" s="83" t="n">
        <x:v>58</x:v>
      </x:c>
      <x:c r="P46" s="83" t="str">
        <x:v>Tabella 14</x:v>
      </x:c>
      <x:c r="Q46" s="83" t="str">
        <x:v>Direct table extraction; visual/text verification</x:v>
      </x:c>
      <x:c r="R46" s="83" t="str">
        <x:v>A - Direct</x:v>
      </x:c>
      <x:c r="S46" s="83" t="str">
        <x:v>Zonal p_nom input after mapping to PyPSA carrier.</x:v>
      </x:c>
      <x:c r="T46" s="83" t="str">
        <x:v>For 2023, distributed includes LV-connected plants and plants &lt;200 kW.</x:v>
      </x:c>
    </x:row>
    <x:row r="47">
      <x:c r="A47" s="83" t="str">
        <x:v>ZCAP-0043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Sud</x:v>
      </x:c>
      <x:c r="F47" s="83" t="str">
        <x:v>Solar</x:v>
      </x:c>
      <x:c r="G47" s="83" t="str">
        <x:v>Solare distribuito</x:v>
      </x:c>
      <x:c r="H47" s="83" t="str">
        <x:v>Distribuito</x:v>
      </x:c>
      <x:c r="I47" s="143" t="n">
        <x:v>5.5</x:v>
      </x:c>
      <x:c r="J47" s="83" t="str">
        <x:v>GW</x:v>
      </x:c>
      <x:c r="K47" s="83" t="str">
        <x:v>Assunzione di scenario</x:v>
      </x:c>
      <x:c r="L47" s="83" t="str">
        <x:v>S09</x:v>
      </x:c>
      <x:c r="M47" s="83" t="str">
        <x:v>Documento_Descrizione_Scenari_2024_8dce2430d44d101.pdf</x:v>
      </x:c>
      <x:c r="N47" s="83" t="n">
        <x:v>60</x:v>
      </x:c>
      <x:c r="O47" s="83" t="n">
        <x:v>58</x:v>
      </x:c>
      <x:c r="P47" s="83" t="str">
        <x:v>Tabella 14</x:v>
      </x:c>
      <x:c r="Q47" s="83" t="str">
        <x:v>Direct table extraction; visual/text verification</x:v>
      </x:c>
      <x:c r="R47" s="83" t="str">
        <x:v>A - Direct</x:v>
      </x:c>
      <x:c r="S47" s="83" t="str">
        <x:v>Zonal p_nom input after mapping to PyPSA carrier.</x:v>
      </x:c>
      <x:c r="T47" s="83" t="str">
        <x:v>For 2023, distributed includes LV-connected plants and plants &lt;200 kW.</x:v>
      </x:c>
    </x:row>
    <x:row r="48">
      <x:c r="A48" s="83" t="str">
        <x:v>ZCAP-0044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Sud</x:v>
      </x:c>
      <x:c r="F48" s="83" t="str">
        <x:v>Solar</x:v>
      </x:c>
      <x:c r="G48" s="83" t="str">
        <x:v>Solare distribuito</x:v>
      </x:c>
      <x:c r="H48" s="83" t="str">
        <x:v>Distribuito</x:v>
      </x:c>
      <x:c r="I48" s="143" t="n">
        <x:v>5.2</x:v>
      </x:c>
      <x:c r="J48" s="83" t="str">
        <x:v>GW</x:v>
      </x:c>
      <x:c r="K48" s="83" t="str">
        <x:v>Assunzione di scenario</x:v>
      </x:c>
      <x:c r="L48" s="83" t="str">
        <x:v>S09</x:v>
      </x:c>
      <x:c r="M48" s="83" t="str">
        <x:v>Documento_Descrizione_Scenari_2024_8dce2430d44d101.pdf</x:v>
      </x:c>
      <x:c r="N48" s="83" t="n">
        <x:v>60</x:v>
      </x:c>
      <x:c r="O48" s="83" t="n">
        <x:v>58</x:v>
      </x:c>
      <x:c r="P48" s="83" t="str">
        <x:v>Tabella 14</x:v>
      </x:c>
      <x:c r="Q48" s="83" t="str">
        <x:v>Direct table extraction; visual/text verification</x:v>
      </x:c>
      <x:c r="R48" s="83" t="str">
        <x:v>A - Direct</x:v>
      </x:c>
      <x:c r="S48" s="83" t="str">
        <x:v>Zonal p_nom input after mapping to PyPSA carrier.</x:v>
      </x:c>
      <x:c r="T48" s="83" t="str">
        <x:v>For 2023, distributed includes LV-connected plants and plants &lt;200 kW.</x:v>
      </x:c>
    </x:row>
    <x:row r="49">
      <x:c r="A49" s="83" t="str">
        <x:v>ZCAP-0045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Sud</x:v>
      </x:c>
      <x:c r="F49" s="83" t="str">
        <x:v>Solar</x:v>
      </x:c>
      <x:c r="G49" s="83" t="str">
        <x:v>Solare distribuito</x:v>
      </x:c>
      <x:c r="H49" s="83" t="str">
        <x:v>Distribuito</x:v>
      </x:c>
      <x:c r="I49" s="143" t="n">
        <x:v>5.1</x:v>
      </x:c>
      <x:c r="J49" s="83" t="str">
        <x:v>GW</x:v>
      </x:c>
      <x:c r="K49" s="83" t="str">
        <x:v>Assunzione di scenario</x:v>
      </x:c>
      <x:c r="L49" s="83" t="str">
        <x:v>S09</x:v>
      </x:c>
      <x:c r="M49" s="83" t="str">
        <x:v>Documento_Descrizione_Scenari_2024_8dce2430d44d101.pdf</x:v>
      </x:c>
      <x:c r="N49" s="83" t="n">
        <x:v>60</x:v>
      </x:c>
      <x:c r="O49" s="83" t="n">
        <x:v>58</x:v>
      </x:c>
      <x:c r="P49" s="83" t="str">
        <x:v>Tabella 14</x:v>
      </x:c>
      <x:c r="Q49" s="83" t="str">
        <x:v>Direct table extraction; visual/text verification</x:v>
      </x:c>
      <x:c r="R49" s="83" t="str">
        <x:v>A - Direct</x:v>
      </x:c>
      <x:c r="S49" s="83" t="str">
        <x:v>Zonal p_nom input after mapping to PyPSA carrier.</x:v>
      </x:c>
      <x:c r="T49" s="83" t="str">
        <x:v>For 2023, distributed includes LV-connected plants and plants &lt;200 kW.</x:v>
      </x:c>
    </x:row>
    <x:row r="50">
      <x:c r="A50" s="83" t="str">
        <x:v>ZCAP-0046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Sud</x:v>
      </x:c>
      <x:c r="F50" s="83" t="str">
        <x:v>Solar</x:v>
      </x:c>
      <x:c r="G50" s="83" t="str">
        <x:v>Solare utility</x:v>
      </x:c>
      <x:c r="H50" s="83" t="str">
        <x:v>Utility</x:v>
      </x:c>
      <x:c r="I50" s="143" t="n">
        <x:v>3.4</x:v>
      </x:c>
      <x:c r="J50" s="83" t="str">
        <x:v>GW</x:v>
      </x:c>
      <x:c r="K50" s="83" t="str">
        <x:v>Dato osservato storico</x:v>
      </x:c>
      <x:c r="L50" s="83" t="str">
        <x:v>S09</x:v>
      </x:c>
      <x:c r="M50" s="83" t="str">
        <x:v>Documento_Descrizione_Scenari_2024_8dce2430d44d101.pdf</x:v>
      </x:c>
      <x:c r="N50" s="83" t="n">
        <x:v>60</x:v>
      </x:c>
      <x:c r="O50" s="83" t="n">
        <x:v>58</x:v>
      </x:c>
      <x:c r="P50" s="83" t="str">
        <x:v>Tabella 14</x:v>
      </x:c>
      <x:c r="Q50" s="83" t="str">
        <x:v>Direct table extraction; visual/text verification</x:v>
      </x:c>
      <x:c r="R50" s="83" t="str">
        <x:v>A - Direct</x:v>
      </x:c>
      <x:c r="S50" s="83" t="str">
        <x:v>Zonal p_nom input after mapping to PyPSA carrier.</x:v>
      </x:c>
      <x:c r="T50" s="83" t="str">
        <x:v>For 2023, distributed includes LV-connected plants and plants &lt;200 kW.</x:v>
      </x:c>
    </x:row>
    <x:row r="51">
      <x:c r="A51" s="83" t="str">
        <x:v>ZCAP-0047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Sud</x:v>
      </x:c>
      <x:c r="F51" s="83" t="str">
        <x:v>Solar</x:v>
      </x:c>
      <x:c r="G51" s="83" t="str">
        <x:v>Solare utility</x:v>
      </x:c>
      <x:c r="H51" s="83" t="str">
        <x:v>Utility</x:v>
      </x:c>
      <x:c r="I51" s="143" t="n">
        <x:v>9.2</x:v>
      </x:c>
      <x:c r="J51" s="83" t="str">
        <x:v>GW</x:v>
      </x:c>
      <x:c r="K51" s="83" t="str">
        <x:v>Assunzione di scenario</x:v>
      </x:c>
      <x:c r="L51" s="83" t="str">
        <x:v>S09</x:v>
      </x:c>
      <x:c r="M51" s="83" t="str">
        <x:v>Documento_Descrizione_Scenari_2024_8dce2430d44d101.pdf</x:v>
      </x:c>
      <x:c r="N51" s="83" t="n">
        <x:v>60</x:v>
      </x:c>
      <x:c r="O51" s="83" t="n">
        <x:v>58</x:v>
      </x:c>
      <x:c r="P51" s="83" t="str">
        <x:v>Tabella 14</x:v>
      </x:c>
      <x:c r="Q51" s="83" t="str">
        <x:v>Direct table extraction; visual/text verification</x:v>
      </x:c>
      <x:c r="R51" s="83" t="str">
        <x:v>A - Direct</x:v>
      </x:c>
      <x:c r="S51" s="83" t="str">
        <x:v>Zonal p_nom input after mapping to PyPSA carrier.</x:v>
      </x:c>
      <x:c r="T51" s="83" t="str">
        <x:v>For 2023, distributed includes LV-connected plants and plants &lt;200 kW.</x:v>
      </x:c>
    </x:row>
    <x:row r="52">
      <x:c r="A52" s="83" t="str">
        <x:v>ZCAP-0048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Sud</x:v>
      </x:c>
      <x:c r="F52" s="83" t="str">
        <x:v>Solar</x:v>
      </x:c>
      <x:c r="G52" s="83" t="str">
        <x:v>Solare utility</x:v>
      </x:c>
      <x:c r="H52" s="83" t="str">
        <x:v>Utility</x:v>
      </x:c>
      <x:c r="I52" s="143" t="n">
        <x:v>8.2</x:v>
      </x:c>
      <x:c r="J52" s="83" t="str">
        <x:v>GW</x:v>
      </x:c>
      <x:c r="K52" s="83" t="str">
        <x:v>Assunzione di scenario</x:v>
      </x:c>
      <x:c r="L52" s="83" t="str">
        <x:v>S09</x:v>
      </x:c>
      <x:c r="M52" s="83" t="str">
        <x:v>Documento_Descrizione_Scenari_2024_8dce2430d44d101.pdf</x:v>
      </x:c>
      <x:c r="N52" s="83" t="n">
        <x:v>60</x:v>
      </x:c>
      <x:c r="O52" s="83" t="n">
        <x:v>58</x:v>
      </x:c>
      <x:c r="P52" s="83" t="str">
        <x:v>Tabella 14</x:v>
      </x:c>
      <x:c r="Q52" s="83" t="str">
        <x:v>Direct table extraction; visual/text verification</x:v>
      </x:c>
      <x:c r="R52" s="83" t="str">
        <x:v>A - Direct</x:v>
      </x:c>
      <x:c r="S52" s="83" t="str">
        <x:v>Zonal p_nom input after mapping to PyPSA carrier.</x:v>
      </x:c>
      <x:c r="T52" s="83" t="str">
        <x:v>For 2023, distributed includes LV-connected plants and plants &lt;200 kW.</x:v>
      </x:c>
    </x:row>
    <x:row r="53">
      <x:c r="A53" s="83" t="str">
        <x:v>ZCAP-0049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Sud</x:v>
      </x:c>
      <x:c r="F53" s="83" t="str">
        <x:v>Solar</x:v>
      </x:c>
      <x:c r="G53" s="83" t="str">
        <x:v>Solare utility</x:v>
      </x:c>
      <x:c r="H53" s="83" t="str">
        <x:v>Utility</x:v>
      </x:c>
      <x:c r="I53" s="143" t="n">
        <x:v>11.9</x:v>
      </x:c>
      <x:c r="J53" s="83" t="str">
        <x:v>GW</x:v>
      </x:c>
      <x:c r="K53" s="83" t="str">
        <x:v>Assunzione di scenario</x:v>
      </x:c>
      <x:c r="L53" s="83" t="str">
        <x:v>S09</x:v>
      </x:c>
      <x:c r="M53" s="83" t="str">
        <x:v>Documento_Descrizione_Scenari_2024_8dce2430d44d101.pdf</x:v>
      </x:c>
      <x:c r="N53" s="83" t="n">
        <x:v>60</x:v>
      </x:c>
      <x:c r="O53" s="83" t="n">
        <x:v>58</x:v>
      </x:c>
      <x:c r="P53" s="83" t="str">
        <x:v>Tabella 14</x:v>
      </x:c>
      <x:c r="Q53" s="83" t="str">
        <x:v>Direct table extraction; visual/text verification</x:v>
      </x:c>
      <x:c r="R53" s="83" t="str">
        <x:v>A - Direct</x:v>
      </x:c>
      <x:c r="S53" s="83" t="str">
        <x:v>Zonal p_nom input after mapping to PyPSA carrier.</x:v>
      </x:c>
      <x:c r="T53" s="83" t="str">
        <x:v>For 2023, distributed includes LV-connected plants and plants &lt;200 kW.</x:v>
      </x:c>
    </x:row>
    <x:row r="54">
      <x:c r="A54" s="83" t="str">
        <x:v>ZCAP-0050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Sud</x:v>
      </x:c>
      <x:c r="F54" s="83" t="str">
        <x:v>Solar</x:v>
      </x:c>
      <x:c r="G54" s="83" t="str">
        <x:v>Solare utility</x:v>
      </x:c>
      <x:c r="H54" s="83" t="str">
        <x:v>Utility</x:v>
      </x:c>
      <x:c r="I54" s="143" t="n">
        <x:v>11.1</x:v>
      </x:c>
      <x:c r="J54" s="83" t="str">
        <x:v>GW</x:v>
      </x:c>
      <x:c r="K54" s="83" t="str">
        <x:v>Assunzione di scenario</x:v>
      </x:c>
      <x:c r="L54" s="83" t="str">
        <x:v>S09</x:v>
      </x:c>
      <x:c r="M54" s="83" t="str">
        <x:v>Documento_Descrizione_Scenari_2024_8dce2430d44d101.pdf</x:v>
      </x:c>
      <x:c r="N54" s="83" t="n">
        <x:v>60</x:v>
      </x:c>
      <x:c r="O54" s="83" t="n">
        <x:v>58</x:v>
      </x:c>
      <x:c r="P54" s="83" t="str">
        <x:v>Tabella 14</x:v>
      </x:c>
      <x:c r="Q54" s="83" t="str">
        <x:v>Direct table extraction; visual/text verification</x:v>
      </x:c>
      <x:c r="R54" s="83" t="str">
        <x:v>A - Direct</x:v>
      </x:c>
      <x:c r="S54" s="83" t="str">
        <x:v>Zonal p_nom input after mapping to PyPSA carrier.</x:v>
      </x:c>
      <x:c r="T54" s="83" t="str">
        <x:v>For 2023, distributed includes LV-connected plants and plants &lt;200 kW.</x:v>
      </x:c>
    </x:row>
    <x:row r="55">
      <x:c r="A55" s="83" t="str">
        <x:v>ZCAP-0051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Sud</x:v>
      </x:c>
      <x:c r="F55" s="83" t="str">
        <x:v>Solar</x:v>
      </x:c>
      <x:c r="G55" s="83" t="str">
        <x:v>Solare utility</x:v>
      </x:c>
      <x:c r="H55" s="83" t="str">
        <x:v>Utility</x:v>
      </x:c>
      <x:c r="I55" s="143" t="n">
        <x:v>10.3</x:v>
      </x:c>
      <x:c r="J55" s="83" t="str">
        <x:v>GW</x:v>
      </x:c>
      <x:c r="K55" s="83" t="str">
        <x:v>Assunzione di scenario</x:v>
      </x:c>
      <x:c r="L55" s="83" t="str">
        <x:v>S09</x:v>
      </x:c>
      <x:c r="M55" s="83" t="str">
        <x:v>Documento_Descrizione_Scenari_2024_8dce2430d44d101.pdf</x:v>
      </x:c>
      <x:c r="N55" s="83" t="n">
        <x:v>60</x:v>
      </x:c>
      <x:c r="O55" s="83" t="n">
        <x:v>58</x:v>
      </x:c>
      <x:c r="P55" s="83" t="str">
        <x:v>Tabella 14</x:v>
      </x:c>
      <x:c r="Q55" s="83" t="str">
        <x:v>Direct table extraction; visual/text verification</x:v>
      </x:c>
      <x:c r="R55" s="83" t="str">
        <x:v>A - Direct</x:v>
      </x:c>
      <x:c r="S55" s="83" t="str">
        <x:v>Zonal p_nom input after mapping to PyPSA carrier.</x:v>
      </x:c>
      <x:c r="T55" s="83" t="str">
        <x:v>For 2023, distributed includes LV-connected plants and plants &lt;200 kW.</x:v>
      </x:c>
    </x:row>
    <x:row r="56">
      <x:c r="A56" s="83" t="str">
        <x:v>ZCAP-0052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Sud</x:v>
      </x:c>
      <x:c r="F56" s="83" t="str">
        <x:v>Solar</x:v>
      </x:c>
      <x:c r="G56" s="83" t="str">
        <x:v>Solare utility</x:v>
      </x:c>
      <x:c r="H56" s="83" t="str">
        <x:v>Utility</x:v>
      </x:c>
      <x:c r="I56" s="143" t="n">
        <x:v>14.6</x:v>
      </x:c>
      <x:c r="J56" s="83" t="str">
        <x:v>GW</x:v>
      </x:c>
      <x:c r="K56" s="83" t="str">
        <x:v>Assunzione di scenario</x:v>
      </x:c>
      <x:c r="L56" s="83" t="str">
        <x:v>S09</x:v>
      </x:c>
      <x:c r="M56" s="83" t="str">
        <x:v>Documento_Descrizione_Scenari_2024_8dce2430d44d101.pdf</x:v>
      </x:c>
      <x:c r="N56" s="83" t="n">
        <x:v>60</x:v>
      </x:c>
      <x:c r="O56" s="83" t="n">
        <x:v>58</x:v>
      </x:c>
      <x:c r="P56" s="83" t="str">
        <x:v>Tabella 14</x:v>
      </x:c>
      <x:c r="Q56" s="83" t="str">
        <x:v>Direct table extraction; visual/text verification</x:v>
      </x:c>
      <x:c r="R56" s="83" t="str">
        <x:v>A - Direct</x:v>
      </x:c>
      <x:c r="S56" s="83" t="str">
        <x:v>Zonal p_nom input after mapping to PyPSA carrier.</x:v>
      </x:c>
      <x:c r="T56" s="83" t="str">
        <x:v>For 2023, distributed includes LV-connected plants and plants &lt;200 kW.</x:v>
      </x:c>
    </x:row>
    <x:row r="57">
      <x:c r="A57" s="83" t="str">
        <x:v>ZCAP-0053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Sud</x:v>
      </x:c>
      <x:c r="F57" s="83" t="str">
        <x:v>Solar</x:v>
      </x:c>
      <x:c r="G57" s="83" t="str">
        <x:v>Solare utility</x:v>
      </x:c>
      <x:c r="H57" s="83" t="str">
        <x:v>Utility</x:v>
      </x:c>
      <x:c r="I57" s="143" t="n">
        <x:v>13.2</x:v>
      </x:c>
      <x:c r="J57" s="83" t="str">
        <x:v>GW</x:v>
      </x:c>
      <x:c r="K57" s="83" t="str">
        <x:v>Assunzione di scenario</x:v>
      </x:c>
      <x:c r="L57" s="83" t="str">
        <x:v>S09</x:v>
      </x:c>
      <x:c r="M57" s="83" t="str">
        <x:v>Documento_Descrizione_Scenari_2024_8dce2430d44d101.pdf</x:v>
      </x:c>
      <x:c r="N57" s="83" t="n">
        <x:v>60</x:v>
      </x:c>
      <x:c r="O57" s="83" t="n">
        <x:v>58</x:v>
      </x:c>
      <x:c r="P57" s="83" t="str">
        <x:v>Tabella 14</x:v>
      </x:c>
      <x:c r="Q57" s="83" t="str">
        <x:v>Direct table extraction; visual/text verification</x:v>
      </x:c>
      <x:c r="R57" s="83" t="str">
        <x:v>A - Direct</x:v>
      </x:c>
      <x:c r="S57" s="83" t="str">
        <x:v>Zonal p_nom input after mapping to PyPSA carrier.</x:v>
      </x:c>
      <x:c r="T57" s="83" t="str">
        <x:v>For 2023, distributed includes LV-connected plants and plants &lt;200 kW.</x:v>
      </x:c>
    </x:row>
    <x:row r="58">
      <x:c r="A58" s="83" t="str">
        <x:v>ZCAP-0054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Sud</x:v>
      </x:c>
      <x:c r="F58" s="83" t="str">
        <x:v>Solar</x:v>
      </x:c>
      <x:c r="G58" s="83" t="str">
        <x:v>Solare utility</x:v>
      </x:c>
      <x:c r="H58" s="83" t="str">
        <x:v>Utility</x:v>
      </x:c>
      <x:c r="I58" s="143" t="n">
        <x:v>12.5</x:v>
      </x:c>
      <x:c r="J58" s="83" t="str">
        <x:v>GW</x:v>
      </x:c>
      <x:c r="K58" s="83" t="str">
        <x:v>Assunzione di scenario</x:v>
      </x:c>
      <x:c r="L58" s="83" t="str">
        <x:v>S09</x:v>
      </x:c>
      <x:c r="M58" s="83" t="str">
        <x:v>Documento_Descrizione_Scenari_2024_8dce2430d44d101.pdf</x:v>
      </x:c>
      <x:c r="N58" s="83" t="n">
        <x:v>60</x:v>
      </x:c>
      <x:c r="O58" s="83" t="n">
        <x:v>58</x:v>
      </x:c>
      <x:c r="P58" s="83" t="str">
        <x:v>Tabella 14</x:v>
      </x:c>
      <x:c r="Q58" s="83" t="str">
        <x:v>Direct table extraction; visual/text verification</x:v>
      </x:c>
      <x:c r="R58" s="83" t="str">
        <x:v>A - Direct</x:v>
      </x:c>
      <x:c r="S58" s="83" t="str">
        <x:v>Zonal p_nom input after mapping to PyPSA carrier.</x:v>
      </x:c>
      <x:c r="T58" s="83" t="str">
        <x:v>For 2023, distributed includes LV-connected plants and plants &lt;200 kW.</x:v>
      </x:c>
    </x:row>
    <x:row r="59">
      <x:c r="A59" s="83" t="str">
        <x:v>ZCAP-0055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Sud</x:v>
      </x:c>
      <x:c r="F59" s="83" t="str">
        <x:v>Solar</x:v>
      </x:c>
      <x:c r="G59" s="83" t="str">
        <x:v>Solare distribuito</x:v>
      </x:c>
      <x:c r="H59" s="83" t="str">
        <x:v>Distribuito</x:v>
      </x:c>
      <x:c r="I59" s="143" t="n">
        <x:v>0.7</x:v>
      </x:c>
      <x:c r="J59" s="83" t="str">
        <x:v>GW</x:v>
      </x:c>
      <x:c r="K59" s="83" t="str">
        <x:v>Dato osservato storico</x:v>
      </x:c>
      <x:c r="L59" s="83" t="str">
        <x:v>S09</x:v>
      </x:c>
      <x:c r="M59" s="83" t="str">
        <x:v>Documento_Descrizione_Scenari_2024_8dce2430d44d101.pdf</x:v>
      </x:c>
      <x:c r="N59" s="83" t="n">
        <x:v>60</x:v>
      </x:c>
      <x:c r="O59" s="83" t="n">
        <x:v>58</x:v>
      </x:c>
      <x:c r="P59" s="83" t="str">
        <x:v>Tabella 14</x:v>
      </x:c>
      <x:c r="Q59" s="83" t="str">
        <x:v>Direct table extraction; visual/text verification</x:v>
      </x:c>
      <x:c r="R59" s="83" t="str">
        <x:v>A - Direct</x:v>
      </x:c>
      <x:c r="S59" s="83" t="str">
        <x:v>Zonal p_nom input after mapping to PyPSA carrier.</x:v>
      </x:c>
      <x:c r="T59" s="83" t="str">
        <x:v>For 2023, distributed includes LV-connected plants and plants &lt;200 kW.</x:v>
      </x:c>
    </x:row>
    <x:row r="60">
      <x:c r="A60" s="83" t="str">
        <x:v>ZCAP-0056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Sud</x:v>
      </x:c>
      <x:c r="F60" s="83" t="str">
        <x:v>Solar</x:v>
      </x:c>
      <x:c r="G60" s="83" t="str">
        <x:v>Solare distribuito</x:v>
      </x:c>
      <x:c r="H60" s="83" t="str">
        <x:v>Distribuito</x:v>
      </x:c>
      <x:c r="I60" s="143" t="n">
        <x:v>1</x:v>
      </x:c>
      <x:c r="J60" s="83" t="str">
        <x:v>GW</x:v>
      </x:c>
      <x:c r="K60" s="83" t="str">
        <x:v>Assunzione di scenario</x:v>
      </x:c>
      <x:c r="L60" s="83" t="str">
        <x:v>S09</x:v>
      </x:c>
      <x:c r="M60" s="83" t="str">
        <x:v>Documento_Descrizione_Scenari_2024_8dce2430d44d101.pdf</x:v>
      </x:c>
      <x:c r="N60" s="83" t="n">
        <x:v>60</x:v>
      </x:c>
      <x:c r="O60" s="83" t="n">
        <x:v>58</x:v>
      </x:c>
      <x:c r="P60" s="83" t="str">
        <x:v>Tabella 14</x:v>
      </x:c>
      <x:c r="Q60" s="83" t="str">
        <x:v>Direct table extraction; visual/text verification</x:v>
      </x:c>
      <x:c r="R60" s="83" t="str">
        <x:v>A - Direct</x:v>
      </x:c>
      <x:c r="S60" s="83" t="str">
        <x:v>Zonal p_nom input after mapping to PyPSA carrier.</x:v>
      </x:c>
      <x:c r="T60" s="83" t="str">
        <x:v>For 2023, distributed includes LV-connected plants and plants &lt;200 kW.</x:v>
      </x:c>
    </x:row>
    <x:row r="61">
      <x:c r="A61" s="83" t="str">
        <x:v>ZCAP-0057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Sud</x:v>
      </x:c>
      <x:c r="F61" s="83" t="str">
        <x:v>Solar</x:v>
      </x:c>
      <x:c r="G61" s="83" t="str">
        <x:v>Solare distribuito</x:v>
      </x:c>
      <x:c r="H61" s="83" t="str">
        <x:v>Distribuito</x:v>
      </x:c>
      <x:c r="I61" s="143" t="n">
        <x:v>1</x:v>
      </x:c>
      <x:c r="J61" s="83" t="str">
        <x:v>GW</x:v>
      </x:c>
      <x:c r="K61" s="83" t="str">
        <x:v>Assunzione di scenario</x:v>
      </x:c>
      <x:c r="L61" s="83" t="str">
        <x:v>S09</x:v>
      </x:c>
      <x:c r="M61" s="83" t="str">
        <x:v>Documento_Descrizione_Scenari_2024_8dce2430d44d101.pdf</x:v>
      </x:c>
      <x:c r="N61" s="83" t="n">
        <x:v>60</x:v>
      </x:c>
      <x:c r="O61" s="83" t="n">
        <x:v>58</x:v>
      </x:c>
      <x:c r="P61" s="83" t="str">
        <x:v>Tabella 14</x:v>
      </x:c>
      <x:c r="Q61" s="83" t="str">
        <x:v>Direct table extraction; visual/text verification</x:v>
      </x:c>
      <x:c r="R61" s="83" t="str">
        <x:v>A - Direct</x:v>
      </x:c>
      <x:c r="S61" s="83" t="str">
        <x:v>Zonal p_nom input after mapping to PyPSA carrier.</x:v>
      </x:c>
      <x:c r="T61" s="83" t="str">
        <x:v>For 2023, distributed includes LV-connected plants and plants &lt;200 kW.</x:v>
      </x:c>
    </x:row>
    <x:row r="62">
      <x:c r="A62" s="83" t="str">
        <x:v>ZCAP-0058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Sud</x:v>
      </x:c>
      <x:c r="F62" s="83" t="str">
        <x:v>Solar</x:v>
      </x:c>
      <x:c r="G62" s="83" t="str">
        <x:v>Solare distribuito</x:v>
      </x:c>
      <x:c r="H62" s="83" t="str">
        <x:v>Distribuito</x:v>
      </x:c>
      <x:c r="I62" s="143" t="n">
        <x:v>1.4</x:v>
      </x:c>
      <x:c r="J62" s="83" t="str">
        <x:v>GW</x:v>
      </x:c>
      <x:c r="K62" s="83" t="str">
        <x:v>Assunzione di scenario</x:v>
      </x:c>
      <x:c r="L62" s="83" t="str">
        <x:v>S09</x:v>
      </x:c>
      <x:c r="M62" s="83" t="str">
        <x:v>Documento_Descrizione_Scenari_2024_8dce2430d44d101.pdf</x:v>
      </x:c>
      <x:c r="N62" s="83" t="n">
        <x:v>60</x:v>
      </x:c>
      <x:c r="O62" s="83" t="n">
        <x:v>58</x:v>
      </x:c>
      <x:c r="P62" s="83" t="str">
        <x:v>Tabella 14</x:v>
      </x:c>
      <x:c r="Q62" s="83" t="str">
        <x:v>Direct table extraction; visual/text verification</x:v>
      </x:c>
      <x:c r="R62" s="83" t="str">
        <x:v>A - Direct</x:v>
      </x:c>
      <x:c r="S62" s="83" t="str">
        <x:v>Zonal p_nom input after mapping to PyPSA carrier.</x:v>
      </x:c>
      <x:c r="T62" s="83" t="str">
        <x:v>For 2023, distributed includes LV-connected plants and plants &lt;200 kW.</x:v>
      </x:c>
    </x:row>
    <x:row r="63">
      <x:c r="A63" s="83" t="str">
        <x:v>ZCAP-0059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Sud</x:v>
      </x:c>
      <x:c r="F63" s="83" t="str">
        <x:v>Solar</x:v>
      </x:c>
      <x:c r="G63" s="83" t="str">
        <x:v>Solare distribuito</x:v>
      </x:c>
      <x:c r="H63" s="83" t="str">
        <x:v>Distribuito</x:v>
      </x:c>
      <x:c r="I63" s="143" t="n">
        <x:v>1.5</x:v>
      </x:c>
      <x:c r="J63" s="83" t="str">
        <x:v>GW</x:v>
      </x:c>
      <x:c r="K63" s="83" t="str">
        <x:v>Assunzione di scenario</x:v>
      </x:c>
      <x:c r="L63" s="83" t="str">
        <x:v>S09</x:v>
      </x:c>
      <x:c r="M63" s="83" t="str">
        <x:v>Documento_Descrizione_Scenari_2024_8dce2430d44d101.pdf</x:v>
      </x:c>
      <x:c r="N63" s="83" t="n">
        <x:v>60</x:v>
      </x:c>
      <x:c r="O63" s="83" t="n">
        <x:v>58</x:v>
      </x:c>
      <x:c r="P63" s="83" t="str">
        <x:v>Tabella 14</x:v>
      </x:c>
      <x:c r="Q63" s="83" t="str">
        <x:v>Direct table extraction; visual/text verification</x:v>
      </x:c>
      <x:c r="R63" s="83" t="str">
        <x:v>A - Direct</x:v>
      </x:c>
      <x:c r="S63" s="83" t="str">
        <x:v>Zonal p_nom input after mapping to PyPSA carrier.</x:v>
      </x:c>
      <x:c r="T63" s="83" t="str">
        <x:v>For 2023, distributed includes LV-connected plants and plants &lt;200 kW.</x:v>
      </x:c>
    </x:row>
    <x:row r="64">
      <x:c r="A64" s="83" t="str">
        <x:v>ZCAP-0060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Sud</x:v>
      </x:c>
      <x:c r="F64" s="83" t="str">
        <x:v>Solar</x:v>
      </x:c>
      <x:c r="G64" s="83" t="str">
        <x:v>Solare distribuito</x:v>
      </x:c>
      <x:c r="H64" s="83" t="str">
        <x:v>Distribuito</x:v>
      </x:c>
      <x:c r="I64" s="143" t="n">
        <x:v>1.4</x:v>
      </x:c>
      <x:c r="J64" s="83" t="str">
        <x:v>GW</x:v>
      </x:c>
      <x:c r="K64" s="83" t="str">
        <x:v>Assunzione di scenario</x:v>
      </x:c>
      <x:c r="L64" s="83" t="str">
        <x:v>S09</x:v>
      </x:c>
      <x:c r="M64" s="83" t="str">
        <x:v>Documento_Descrizione_Scenari_2024_8dce2430d44d101.pdf</x:v>
      </x:c>
      <x:c r="N64" s="83" t="n">
        <x:v>60</x:v>
      </x:c>
      <x:c r="O64" s="83" t="n">
        <x:v>58</x:v>
      </x:c>
      <x:c r="P64" s="83" t="str">
        <x:v>Tabella 14</x:v>
      </x:c>
      <x:c r="Q64" s="83" t="str">
        <x:v>Direct table extraction; visual/text verification</x:v>
      </x:c>
      <x:c r="R64" s="83" t="str">
        <x:v>A - Direct</x:v>
      </x:c>
      <x:c r="S64" s="83" t="str">
        <x:v>Zonal p_nom input after mapping to PyPSA carrier.</x:v>
      </x:c>
      <x:c r="T64" s="83" t="str">
        <x:v>For 2023, distributed includes LV-connected plants and plants &lt;200 kW.</x:v>
      </x:c>
    </x:row>
    <x:row r="65">
      <x:c r="A65" s="83" t="str">
        <x:v>ZCAP-0061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Sud</x:v>
      </x:c>
      <x:c r="F65" s="83" t="str">
        <x:v>Solar</x:v>
      </x:c>
      <x:c r="G65" s="83" t="str">
        <x:v>Solare distribuito</x:v>
      </x:c>
      <x:c r="H65" s="83" t="str">
        <x:v>Distribuito</x:v>
      </x:c>
      <x:c r="I65" s="143" t="n">
        <x:v>1.7</x:v>
      </x:c>
      <x:c r="J65" s="83" t="str">
        <x:v>GW</x:v>
      </x:c>
      <x:c r="K65" s="83" t="str">
        <x:v>Assunzione di scenario</x:v>
      </x:c>
      <x:c r="L65" s="83" t="str">
        <x:v>S09</x:v>
      </x:c>
      <x:c r="M65" s="83" t="str">
        <x:v>Documento_Descrizione_Scenari_2024_8dce2430d44d101.pdf</x:v>
      </x:c>
      <x:c r="N65" s="83" t="n">
        <x:v>60</x:v>
      </x:c>
      <x:c r="O65" s="83" t="n">
        <x:v>58</x:v>
      </x:c>
      <x:c r="P65" s="83" t="str">
        <x:v>Tabella 14</x:v>
      </x:c>
      <x:c r="Q65" s="83" t="str">
        <x:v>Direct table extraction; visual/text verification</x:v>
      </x:c>
      <x:c r="R65" s="83" t="str">
        <x:v>A - Direct</x:v>
      </x:c>
      <x:c r="S65" s="83" t="str">
        <x:v>Zonal p_nom input after mapping to PyPSA carrier.</x:v>
      </x:c>
      <x:c r="T65" s="83" t="str">
        <x:v>For 2023, distributed includes LV-connected plants and plants &lt;200 kW.</x:v>
      </x:c>
    </x:row>
    <x:row r="66">
      <x:c r="A66" s="83" t="str">
        <x:v>ZCAP-0062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Sud</x:v>
      </x:c>
      <x:c r="F66" s="83" t="str">
        <x:v>Solar</x:v>
      </x:c>
      <x:c r="G66" s="83" t="str">
        <x:v>Solare distribuito</x:v>
      </x:c>
      <x:c r="H66" s="83" t="str">
        <x:v>Distribuito</x:v>
      </x:c>
      <x:c r="I66" s="143" t="n">
        <x:v>1.7</x:v>
      </x:c>
      <x:c r="J66" s="83" t="str">
        <x:v>GW</x:v>
      </x:c>
      <x:c r="K66" s="83" t="str">
        <x:v>Assunzione di scenario</x:v>
      </x:c>
      <x:c r="L66" s="83" t="str">
        <x:v>S09</x:v>
      </x:c>
      <x:c r="M66" s="83" t="str">
        <x:v>Documento_Descrizione_Scenari_2024_8dce2430d44d101.pdf</x:v>
      </x:c>
      <x:c r="N66" s="83" t="n">
        <x:v>60</x:v>
      </x:c>
      <x:c r="O66" s="83" t="n">
        <x:v>58</x:v>
      </x:c>
      <x:c r="P66" s="83" t="str">
        <x:v>Tabella 14</x:v>
      </x:c>
      <x:c r="Q66" s="83" t="str">
        <x:v>Direct table extraction; visual/text verification</x:v>
      </x:c>
      <x:c r="R66" s="83" t="str">
        <x:v>A - Direct</x:v>
      </x:c>
      <x:c r="S66" s="83" t="str">
        <x:v>Zonal p_nom input after mapping to PyPSA carrier.</x:v>
      </x:c>
      <x:c r="T66" s="83" t="str">
        <x:v>For 2023, distributed includes LV-connected plants and plants &lt;200 kW.</x:v>
      </x:c>
    </x:row>
    <x:row r="67">
      <x:c r="A67" s="83" t="str">
        <x:v>ZCAP-0063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Sud</x:v>
      </x:c>
      <x:c r="F67" s="83" t="str">
        <x:v>Solar</x:v>
      </x:c>
      <x:c r="G67" s="83" t="str">
        <x:v>Solare distribuito</x:v>
      </x:c>
      <x:c r="H67" s="83" t="str">
        <x:v>Distribuito</x:v>
      </x:c>
      <x:c r="I67" s="143" t="n">
        <x:v>1.6</x:v>
      </x:c>
      <x:c r="J67" s="83" t="str">
        <x:v>GW</x:v>
      </x:c>
      <x:c r="K67" s="83" t="str">
        <x:v>Assunzione di scenario</x:v>
      </x:c>
      <x:c r="L67" s="83" t="str">
        <x:v>S09</x:v>
      </x:c>
      <x:c r="M67" s="83" t="str">
        <x:v>Documento_Descrizione_Scenari_2024_8dce2430d44d101.pdf</x:v>
      </x:c>
      <x:c r="N67" s="83" t="n">
        <x:v>60</x:v>
      </x:c>
      <x:c r="O67" s="83" t="n">
        <x:v>58</x:v>
      </x:c>
      <x:c r="P67" s="83" t="str">
        <x:v>Tabella 14</x:v>
      </x:c>
      <x:c r="Q67" s="83" t="str">
        <x:v>Direct table extraction; visual/text verification</x:v>
      </x:c>
      <x:c r="R67" s="83" t="str">
        <x:v>A - Direct</x:v>
      </x:c>
      <x:c r="S67" s="83" t="str">
        <x:v>Zonal p_nom input after mapping to PyPSA carrier.</x:v>
      </x:c>
      <x:c r="T67" s="83" t="str">
        <x:v>For 2023, distributed includes LV-connected plants and plants &lt;200 kW.</x:v>
      </x:c>
    </x:row>
    <x:row r="68">
      <x:c r="A68" s="83" t="str">
        <x:v>ZCAP-0064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Sud</x:v>
      </x:c>
      <x:c r="F68" s="83" t="str">
        <x:v>Solar</x:v>
      </x:c>
      <x:c r="G68" s="83" t="str">
        <x:v>Solare utility</x:v>
      </x:c>
      <x:c r="H68" s="83" t="str">
        <x:v>Utility</x:v>
      </x:c>
      <x:c r="I68" s="143" t="n">
        <x:v>3.3</x:v>
      </x:c>
      <x:c r="J68" s="83" t="str">
        <x:v>GW</x:v>
      </x:c>
      <x:c r="K68" s="83" t="str">
        <x:v>Dato osservato storico</x:v>
      </x:c>
      <x:c r="L68" s="83" t="str">
        <x:v>S09</x:v>
      </x:c>
      <x:c r="M68" s="83" t="str">
        <x:v>Documento_Descrizione_Scenari_2024_8dce2430d44d101.pdf</x:v>
      </x:c>
      <x:c r="N68" s="83" t="n">
        <x:v>60</x:v>
      </x:c>
      <x:c r="O68" s="83" t="n">
        <x:v>58</x:v>
      </x:c>
      <x:c r="P68" s="83" t="str">
        <x:v>Tabella 14</x:v>
      </x:c>
      <x:c r="Q68" s="83" t="str">
        <x:v>Direct table extraction; visual/text verification</x:v>
      </x:c>
      <x:c r="R68" s="83" t="str">
        <x:v>A - Direct</x:v>
      </x:c>
      <x:c r="S68" s="83" t="str">
        <x:v>Zonal p_nom input after mapping to PyPSA carrier.</x:v>
      </x:c>
      <x:c r="T68" s="83" t="str">
        <x:v>For 2023, distributed includes LV-connected plants and plants &lt;200 kW.</x:v>
      </x:c>
    </x:row>
    <x:row r="69">
      <x:c r="A69" s="83" t="str">
        <x:v>ZCAP-0065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Sud</x:v>
      </x:c>
      <x:c r="F69" s="83" t="str">
        <x:v>Solar</x:v>
      </x:c>
      <x:c r="G69" s="83" t="str">
        <x:v>Solare utility</x:v>
      </x:c>
      <x:c r="H69" s="83" t="str">
        <x:v>Utility</x:v>
      </x:c>
      <x:c r="I69" s="143" t="n">
        <x:v>6.3</x:v>
      </x:c>
      <x:c r="J69" s="83" t="str">
        <x:v>GW</x:v>
      </x:c>
      <x:c r="K69" s="83" t="str">
        <x:v>Assunzione di scenario</x:v>
      </x:c>
      <x:c r="L69" s="83" t="str">
        <x:v>S09</x:v>
      </x:c>
      <x:c r="M69" s="83" t="str">
        <x:v>Documento_Descrizione_Scenari_2024_8dce2430d44d101.pdf</x:v>
      </x:c>
      <x:c r="N69" s="83" t="n">
        <x:v>60</x:v>
      </x:c>
      <x:c r="O69" s="83" t="n">
        <x:v>58</x:v>
      </x:c>
      <x:c r="P69" s="83" t="str">
        <x:v>Tabella 14</x:v>
      </x:c>
      <x:c r="Q69" s="83" t="str">
        <x:v>Direct table extraction; visual/text verification</x:v>
      </x:c>
      <x:c r="R69" s="83" t="str">
        <x:v>A - Direct</x:v>
      </x:c>
      <x:c r="S69" s="83" t="str">
        <x:v>Zonal p_nom input after mapping to PyPSA carrier.</x:v>
      </x:c>
      <x:c r="T69" s="83" t="str">
        <x:v>For 2023, distributed includes LV-connected plants and plants &lt;200 kW.</x:v>
      </x:c>
    </x:row>
    <x:row r="70">
      <x:c r="A70" s="83" t="str">
        <x:v>ZCAP-0066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Sud</x:v>
      </x:c>
      <x:c r="F70" s="83" t="str">
        <x:v>Solar</x:v>
      </x:c>
      <x:c r="G70" s="83" t="str">
        <x:v>Solare utility</x:v>
      </x:c>
      <x:c r="H70" s="83" t="str">
        <x:v>Utility</x:v>
      </x:c>
      <x:c r="I70" s="143" t="n">
        <x:v>5.5</x:v>
      </x:c>
      <x:c r="J70" s="83" t="str">
        <x:v>GW</x:v>
      </x:c>
      <x:c r="K70" s="83" t="str">
        <x:v>Assunzione di scenario</x:v>
      </x:c>
      <x:c r="L70" s="83" t="str">
        <x:v>S09</x:v>
      </x:c>
      <x:c r="M70" s="83" t="str">
        <x:v>Documento_Descrizione_Scenari_2024_8dce2430d44d101.pdf</x:v>
      </x:c>
      <x:c r="N70" s="83" t="n">
        <x:v>60</x:v>
      </x:c>
      <x:c r="O70" s="83" t="n">
        <x:v>58</x:v>
      </x:c>
      <x:c r="P70" s="83" t="str">
        <x:v>Tabella 14</x:v>
      </x:c>
      <x:c r="Q70" s="83" t="str">
        <x:v>Direct table extraction; visual/text verification</x:v>
      </x:c>
      <x:c r="R70" s="83" t="str">
        <x:v>A - Direct</x:v>
      </x:c>
      <x:c r="S70" s="83" t="str">
        <x:v>Zonal p_nom input after mapping to PyPSA carrier.</x:v>
      </x:c>
      <x:c r="T70" s="83" t="str">
        <x:v>For 2023, distributed includes LV-connected plants and plants &lt;200 kW.</x:v>
      </x:c>
    </x:row>
    <x:row r="71">
      <x:c r="A71" s="83" t="str">
        <x:v>ZCAP-0067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Sud</x:v>
      </x:c>
      <x:c r="F71" s="83" t="str">
        <x:v>Solar</x:v>
      </x:c>
      <x:c r="G71" s="83" t="str">
        <x:v>Solare utility</x:v>
      </x:c>
      <x:c r="H71" s="83" t="str">
        <x:v>Utility</x:v>
      </x:c>
      <x:c r="I71" s="143" t="n">
        <x:v>12.8</x:v>
      </x:c>
      <x:c r="J71" s="83" t="str">
        <x:v>GW</x:v>
      </x:c>
      <x:c r="K71" s="83" t="str">
        <x:v>Assunzione di scenario</x:v>
      </x:c>
      <x:c r="L71" s="83" t="str">
        <x:v>S09</x:v>
      </x:c>
      <x:c r="M71" s="83" t="str">
        <x:v>Documento_Descrizione_Scenari_2024_8dce2430d44d101.pdf</x:v>
      </x:c>
      <x:c r="N71" s="83" t="n">
        <x:v>60</x:v>
      </x:c>
      <x:c r="O71" s="83" t="n">
        <x:v>58</x:v>
      </x:c>
      <x:c r="P71" s="83" t="str">
        <x:v>Tabella 14</x:v>
      </x:c>
      <x:c r="Q71" s="83" t="str">
        <x:v>Direct table extraction; visual/text verification</x:v>
      </x:c>
      <x:c r="R71" s="83" t="str">
        <x:v>A - Direct</x:v>
      </x:c>
      <x:c r="S71" s="83" t="str">
        <x:v>Zonal p_nom input after mapping to PyPSA carrier.</x:v>
      </x:c>
      <x:c r="T71" s="83" t="str">
        <x:v>For 2023, distributed includes LV-connected plants and plants &lt;200 kW.</x:v>
      </x:c>
    </x:row>
    <x:row r="72">
      <x:c r="A72" s="83" t="str">
        <x:v>ZCAP-0068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Sud</x:v>
      </x:c>
      <x:c r="F72" s="83" t="str">
        <x:v>Solar</x:v>
      </x:c>
      <x:c r="G72" s="83" t="str">
        <x:v>Solare utility</x:v>
      </x:c>
      <x:c r="H72" s="83" t="str">
        <x:v>Utility</x:v>
      </x:c>
      <x:c r="I72" s="143" t="n">
        <x:v>11.1</x:v>
      </x:c>
      <x:c r="J72" s="83" t="str">
        <x:v>GW</x:v>
      </x:c>
      <x:c r="K72" s="83" t="str">
        <x:v>Assunzione di scenario</x:v>
      </x:c>
      <x:c r="L72" s="83" t="str">
        <x:v>S09</x:v>
      </x:c>
      <x:c r="M72" s="83" t="str">
        <x:v>Documento_Descrizione_Scenari_2024_8dce2430d44d101.pdf</x:v>
      </x:c>
      <x:c r="N72" s="83" t="n">
        <x:v>60</x:v>
      </x:c>
      <x:c r="O72" s="83" t="n">
        <x:v>58</x:v>
      </x:c>
      <x:c r="P72" s="83" t="str">
        <x:v>Tabella 14</x:v>
      </x:c>
      <x:c r="Q72" s="83" t="str">
        <x:v>Direct table extraction; visual/text verification</x:v>
      </x:c>
      <x:c r="R72" s="83" t="str">
        <x:v>A - Direct</x:v>
      </x:c>
      <x:c r="S72" s="83" t="str">
        <x:v>Zonal p_nom input after mapping to PyPSA carrier.</x:v>
      </x:c>
      <x:c r="T72" s="83" t="str">
        <x:v>For 2023, distributed includes LV-connected plants and plants &lt;200 kW.</x:v>
      </x:c>
    </x:row>
    <x:row r="73">
      <x:c r="A73" s="83" t="str">
        <x:v>ZCAP-0069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Sud</x:v>
      </x:c>
      <x:c r="F73" s="83" t="str">
        <x:v>Solar</x:v>
      </x:c>
      <x:c r="G73" s="83" t="str">
        <x:v>Solare utility</x:v>
      </x:c>
      <x:c r="H73" s="83" t="str">
        <x:v>Utility</x:v>
      </x:c>
      <x:c r="I73" s="143" t="n">
        <x:v>10.4</x:v>
      </x:c>
      <x:c r="J73" s="83" t="str">
        <x:v>GW</x:v>
      </x:c>
      <x:c r="K73" s="83" t="str">
        <x:v>Assunzione di scenario</x:v>
      </x:c>
      <x:c r="L73" s="83" t="str">
        <x:v>S09</x:v>
      </x:c>
      <x:c r="M73" s="83" t="str">
        <x:v>Documento_Descrizione_Scenari_2024_8dce2430d44d101.pdf</x:v>
      </x:c>
      <x:c r="N73" s="83" t="n">
        <x:v>60</x:v>
      </x:c>
      <x:c r="O73" s="83" t="n">
        <x:v>58</x:v>
      </x:c>
      <x:c r="P73" s="83" t="str">
        <x:v>Tabella 14</x:v>
      </x:c>
      <x:c r="Q73" s="83" t="str">
        <x:v>Direct table extraction; visual/text verification</x:v>
      </x:c>
      <x:c r="R73" s="83" t="str">
        <x:v>A - Direct</x:v>
      </x:c>
      <x:c r="S73" s="83" t="str">
        <x:v>Zonal p_nom input after mapping to PyPSA carrier.</x:v>
      </x:c>
      <x:c r="T73" s="83" t="str">
        <x:v>For 2023, distributed includes LV-connected plants and plants &lt;200 kW.</x:v>
      </x:c>
    </x:row>
    <x:row r="74">
      <x:c r="A74" s="83" t="str">
        <x:v>ZCAP-0070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Sud</x:v>
      </x:c>
      <x:c r="F74" s="83" t="str">
        <x:v>Solar</x:v>
      </x:c>
      <x:c r="G74" s="83" t="str">
        <x:v>Solare utility</x:v>
      </x:c>
      <x:c r="H74" s="83" t="str">
        <x:v>Utility</x:v>
      </x:c>
      <x:c r="I74" s="143" t="n">
        <x:v>19.3</x:v>
      </x:c>
      <x:c r="J74" s="83" t="str">
        <x:v>GW</x:v>
      </x:c>
      <x:c r="K74" s="83" t="str">
        <x:v>Assunzione di scenario</x:v>
      </x:c>
      <x:c r="L74" s="83" t="str">
        <x:v>S09</x:v>
      </x:c>
      <x:c r="M74" s="83" t="str">
        <x:v>Documento_Descrizione_Scenari_2024_8dce2430d44d101.pdf</x:v>
      </x:c>
      <x:c r="N74" s="83" t="n">
        <x:v>60</x:v>
      </x:c>
      <x:c r="O74" s="83" t="n">
        <x:v>58</x:v>
      </x:c>
      <x:c r="P74" s="83" t="str">
        <x:v>Tabella 14</x:v>
      </x:c>
      <x:c r="Q74" s="83" t="str">
        <x:v>Direct table extraction; visual/text verification</x:v>
      </x:c>
      <x:c r="R74" s="83" t="str">
        <x:v>A - Direct</x:v>
      </x:c>
      <x:c r="S74" s="83" t="str">
        <x:v>Zonal p_nom input after mapping to PyPSA carrier.</x:v>
      </x:c>
      <x:c r="T74" s="83" t="str">
        <x:v>For 2023, distributed includes LV-connected plants and plants &lt;200 kW.</x:v>
      </x:c>
    </x:row>
    <x:row r="75">
      <x:c r="A75" s="83" t="str">
        <x:v>ZCAP-0071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Sud</x:v>
      </x:c>
      <x:c r="F75" s="83" t="str">
        <x:v>Solar</x:v>
      </x:c>
      <x:c r="G75" s="83" t="str">
        <x:v>Solare utility</x:v>
      </x:c>
      <x:c r="H75" s="83" t="str">
        <x:v>Utility</x:v>
      </x:c>
      <x:c r="I75" s="143" t="n">
        <x:v>16</x:v>
      </x:c>
      <x:c r="J75" s="83" t="str">
        <x:v>GW</x:v>
      </x:c>
      <x:c r="K75" s="83" t="str">
        <x:v>Assunzione di scenario</x:v>
      </x:c>
      <x:c r="L75" s="83" t="str">
        <x:v>S09</x:v>
      </x:c>
      <x:c r="M75" s="83" t="str">
        <x:v>Documento_Descrizione_Scenari_2024_8dce2430d44d101.pdf</x:v>
      </x:c>
      <x:c r="N75" s="83" t="n">
        <x:v>60</x:v>
      </x:c>
      <x:c r="O75" s="83" t="n">
        <x:v>58</x:v>
      </x:c>
      <x:c r="P75" s="83" t="str">
        <x:v>Tabella 14</x:v>
      </x:c>
      <x:c r="Q75" s="83" t="str">
        <x:v>Direct table extraction; visual/text verification</x:v>
      </x:c>
      <x:c r="R75" s="83" t="str">
        <x:v>A - Direct</x:v>
      </x:c>
      <x:c r="S75" s="83" t="str">
        <x:v>Zonal p_nom input after mapping to PyPSA carrier.</x:v>
      </x:c>
      <x:c r="T75" s="83" t="str">
        <x:v>For 2023, distributed includes LV-connected plants and plants &lt;200 kW.</x:v>
      </x:c>
    </x:row>
    <x:row r="76">
      <x:c r="A76" s="83" t="str">
        <x:v>ZCAP-0072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Sud</x:v>
      </x:c>
      <x:c r="F76" s="83" t="str">
        <x:v>Solar</x:v>
      </x:c>
      <x:c r="G76" s="83" t="str">
        <x:v>Solare utility</x:v>
      </x:c>
      <x:c r="H76" s="83" t="str">
        <x:v>Utility</x:v>
      </x:c>
      <x:c r="I76" s="143" t="n">
        <x:v>16</x:v>
      </x:c>
      <x:c r="J76" s="83" t="str">
        <x:v>GW</x:v>
      </x:c>
      <x:c r="K76" s="83" t="str">
        <x:v>Assunzione di scenario</x:v>
      </x:c>
      <x:c r="L76" s="83" t="str">
        <x:v>S09</x:v>
      </x:c>
      <x:c r="M76" s="83" t="str">
        <x:v>Documento_Descrizione_Scenari_2024_8dce2430d44d101.pdf</x:v>
      </x:c>
      <x:c r="N76" s="83" t="n">
        <x:v>60</x:v>
      </x:c>
      <x:c r="O76" s="83" t="n">
        <x:v>58</x:v>
      </x:c>
      <x:c r="P76" s="83" t="str">
        <x:v>Tabella 14</x:v>
      </x:c>
      <x:c r="Q76" s="83" t="str">
        <x:v>Direct table extraction; visual/text verification</x:v>
      </x:c>
      <x:c r="R76" s="83" t="str">
        <x:v>A - Direct</x:v>
      </x:c>
      <x:c r="S76" s="83" t="str">
        <x:v>Zonal p_nom input after mapping to PyPSA carrier.</x:v>
      </x:c>
      <x:c r="T76" s="83" t="str">
        <x:v>For 2023, distributed includes LV-connected plants and plants &lt;200 kW.</x:v>
      </x:c>
    </x:row>
    <x:row r="77">
      <x:c r="A77" s="83" t="str">
        <x:v>ZCAP-0073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Calabria</x:v>
      </x:c>
      <x:c r="F77" s="83" t="str">
        <x:v>Solar</x:v>
      </x:c>
      <x:c r="G77" s="83" t="str">
        <x:v>Solare distribuito</x:v>
      </x:c>
      <x:c r="H77" s="83" t="str">
        <x:v>Distribuito</x:v>
      </x:c>
      <x:c r="I77" s="143" t="n">
        <x:v>0.3</x:v>
      </x:c>
      <x:c r="J77" s="83" t="str">
        <x:v>GW</x:v>
      </x:c>
      <x:c r="K77" s="83" t="str">
        <x:v>Dato osservato storico</x:v>
      </x:c>
      <x:c r="L77" s="83" t="str">
        <x:v>S09</x:v>
      </x:c>
      <x:c r="M77" s="83" t="str">
        <x:v>Documento_Descrizione_Scenari_2024_8dce2430d44d101.pdf</x:v>
      </x:c>
      <x:c r="N77" s="83" t="n">
        <x:v>60</x:v>
      </x:c>
      <x:c r="O77" s="83" t="n">
        <x:v>58</x:v>
      </x:c>
      <x:c r="P77" s="83" t="str">
        <x:v>Tabella 14</x:v>
      </x:c>
      <x:c r="Q77" s="83" t="str">
        <x:v>Direct table extraction; visual/text verification</x:v>
      </x:c>
      <x:c r="R77" s="83" t="str">
        <x:v>A - Direct</x:v>
      </x:c>
      <x:c r="S77" s="83" t="str">
        <x:v>Zonal p_nom input after mapping to PyPSA carrier.</x:v>
      </x:c>
      <x:c r="T77" s="83" t="str">
        <x:v>For 2023, distributed includes LV-connected plants and plants &lt;200 kW.</x:v>
      </x:c>
    </x:row>
    <x:row r="78">
      <x:c r="A78" s="83" t="str">
        <x:v>ZCAP-0074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Calabria</x:v>
      </x:c>
      <x:c r="F78" s="83" t="str">
        <x:v>Solar</x:v>
      </x:c>
      <x:c r="G78" s="83" t="str">
        <x:v>Solare distribuito</x:v>
      </x:c>
      <x:c r="H78" s="83" t="str">
        <x:v>Distribuito</x:v>
      </x:c>
      <x:c r="I78" s="143" t="n">
        <x:v>0.8</x:v>
      </x:c>
      <x:c r="J78" s="83" t="str">
        <x:v>GW</x:v>
      </x:c>
      <x:c r="K78" s="83" t="str">
        <x:v>Assunzione di scenario</x:v>
      </x:c>
      <x:c r="L78" s="83" t="str">
        <x:v>S09</x:v>
      </x:c>
      <x:c r="M78" s="83" t="str">
        <x:v>Documento_Descrizione_Scenari_2024_8dce2430d44d101.pdf</x:v>
      </x:c>
      <x:c r="N78" s="83" t="n">
        <x:v>60</x:v>
      </x:c>
      <x:c r="O78" s="83" t="n">
        <x:v>58</x:v>
      </x:c>
      <x:c r="P78" s="83" t="str">
        <x:v>Tabella 14</x:v>
      </x:c>
      <x:c r="Q78" s="83" t="str">
        <x:v>Direct table extraction; visual/text verification</x:v>
      </x:c>
      <x:c r="R78" s="83" t="str">
        <x:v>A - Direct</x:v>
      </x:c>
      <x:c r="S78" s="83" t="str">
        <x:v>Zonal p_nom input after mapping to PyPSA carrier.</x:v>
      </x:c>
      <x:c r="T78" s="83" t="str">
        <x:v>For 2023, distributed includes LV-connected plants and plants &lt;200 kW.</x:v>
      </x:c>
    </x:row>
    <x:row r="79">
      <x:c r="A79" s="83" t="str">
        <x:v>ZCAP-0075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Calabria</x:v>
      </x:c>
      <x:c r="F79" s="83" t="str">
        <x:v>Solar</x:v>
      </x:c>
      <x:c r="G79" s="83" t="str">
        <x:v>Solare distribuito</x:v>
      </x:c>
      <x:c r="H79" s="83" t="str">
        <x:v>Distribuito</x:v>
      </x:c>
      <x:c r="I79" s="143" t="n">
        <x:v>0.8</x:v>
      </x:c>
      <x:c r="J79" s="83" t="str">
        <x:v>GW</x:v>
      </x:c>
      <x:c r="K79" s="83" t="str">
        <x:v>Assunzione di scenario</x:v>
      </x:c>
      <x:c r="L79" s="83" t="str">
        <x:v>S09</x:v>
      </x:c>
      <x:c r="M79" s="83" t="str">
        <x:v>Documento_Descrizione_Scenari_2024_8dce2430d44d101.pdf</x:v>
      </x:c>
      <x:c r="N79" s="83" t="n">
        <x:v>60</x:v>
      </x:c>
      <x:c r="O79" s="83" t="n">
        <x:v>58</x:v>
      </x:c>
      <x:c r="P79" s="83" t="str">
        <x:v>Tabella 14</x:v>
      </x:c>
      <x:c r="Q79" s="83" t="str">
        <x:v>Direct table extraction; visual/text verification</x:v>
      </x:c>
      <x:c r="R79" s="83" t="str">
        <x:v>A - Direct</x:v>
      </x:c>
      <x:c r="S79" s="83" t="str">
        <x:v>Zonal p_nom input after mapping to PyPSA carrier.</x:v>
      </x:c>
      <x:c r="T79" s="83" t="str">
        <x:v>For 2023, distributed includes LV-connected plants and plants &lt;200 kW.</x:v>
      </x:c>
    </x:row>
    <x:row r="80">
      <x:c r="A80" s="83" t="str">
        <x:v>ZCAP-0076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Calabria</x:v>
      </x:c>
      <x:c r="F80" s="83" t="str">
        <x:v>Solar</x:v>
      </x:c>
      <x:c r="G80" s="83" t="str">
        <x:v>Solare distribuito</x:v>
      </x:c>
      <x:c r="H80" s="83" t="str">
        <x:v>Distribuito</x:v>
      </x:c>
      <x:c r="I80" s="143" t="n">
        <x:v>1</x:v>
      </x:c>
      <x:c r="J80" s="83" t="str">
        <x:v>GW</x:v>
      </x:c>
      <x:c r="K80" s="83" t="str">
        <x:v>Assunzione di scenario</x:v>
      </x:c>
      <x:c r="L80" s="83" t="str">
        <x:v>S09</x:v>
      </x:c>
      <x:c r="M80" s="83" t="str">
        <x:v>Documento_Descrizione_Scenari_2024_8dce2430d44d101.pdf</x:v>
      </x:c>
      <x:c r="N80" s="83" t="n">
        <x:v>60</x:v>
      </x:c>
      <x:c r="O80" s="83" t="n">
        <x:v>58</x:v>
      </x:c>
      <x:c r="P80" s="83" t="str">
        <x:v>Tabella 14</x:v>
      </x:c>
      <x:c r="Q80" s="83" t="str">
        <x:v>Direct table extraction; visual/text verification</x:v>
      </x:c>
      <x:c r="R80" s="83" t="str">
        <x:v>A - Direct</x:v>
      </x:c>
      <x:c r="S80" s="83" t="str">
        <x:v>Zonal p_nom input after mapping to PyPSA carrier.</x:v>
      </x:c>
      <x:c r="T80" s="83" t="str">
        <x:v>For 2023, distributed includes LV-connected plants and plants &lt;200 kW.</x:v>
      </x:c>
    </x:row>
    <x:row r="81">
      <x:c r="A81" s="83" t="str">
        <x:v>ZCAP-0077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Calabria</x:v>
      </x:c>
      <x:c r="F81" s="83" t="str">
        <x:v>Solar</x:v>
      </x:c>
      <x:c r="G81" s="83" t="str">
        <x:v>Solare distribuito</x:v>
      </x:c>
      <x:c r="H81" s="83" t="str">
        <x:v>Distribuito</x:v>
      </x:c>
      <x:c r="I81" s="143" t="n">
        <x:v>1.1</x:v>
      </x:c>
      <x:c r="J81" s="83" t="str">
        <x:v>GW</x:v>
      </x:c>
      <x:c r="K81" s="83" t="str">
        <x:v>Assunzione di scenario</x:v>
      </x:c>
      <x:c r="L81" s="83" t="str">
        <x:v>S09</x:v>
      </x:c>
      <x:c r="M81" s="83" t="str">
        <x:v>Documento_Descrizione_Scenari_2024_8dce2430d44d101.pdf</x:v>
      </x:c>
      <x:c r="N81" s="83" t="n">
        <x:v>60</x:v>
      </x:c>
      <x:c r="O81" s="83" t="n">
        <x:v>58</x:v>
      </x:c>
      <x:c r="P81" s="83" t="str">
        <x:v>Tabella 14</x:v>
      </x:c>
      <x:c r="Q81" s="83" t="str">
        <x:v>Direct table extraction; visual/text verification</x:v>
      </x:c>
      <x:c r="R81" s="83" t="str">
        <x:v>A - Direct</x:v>
      </x:c>
      <x:c r="S81" s="83" t="str">
        <x:v>Zonal p_nom input after mapping to PyPSA carrier.</x:v>
      </x:c>
      <x:c r="T81" s="83" t="str">
        <x:v>For 2023, distributed includes LV-connected plants and plants &lt;200 kW.</x:v>
      </x:c>
    </x:row>
    <x:row r="82">
      <x:c r="A82" s="83" t="str">
        <x:v>ZCAP-0078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Calabria</x:v>
      </x:c>
      <x:c r="F82" s="83" t="str">
        <x:v>Solar</x:v>
      </x:c>
      <x:c r="G82" s="83" t="str">
        <x:v>Solare distribuito</x:v>
      </x:c>
      <x:c r="H82" s="83" t="str">
        <x:v>Distribuito</x:v>
      </x:c>
      <x:c r="I82" s="143" t="n">
        <x:v>1</x:v>
      </x:c>
      <x:c r="J82" s="83" t="str">
        <x:v>GW</x:v>
      </x:c>
      <x:c r="K82" s="83" t="str">
        <x:v>Assunzione di scenario</x:v>
      </x:c>
      <x:c r="L82" s="83" t="str">
        <x:v>S09</x:v>
      </x:c>
      <x:c r="M82" s="83" t="str">
        <x:v>Documento_Descrizione_Scenari_2024_8dce2430d44d101.pdf</x:v>
      </x:c>
      <x:c r="N82" s="83" t="n">
        <x:v>60</x:v>
      </x:c>
      <x:c r="O82" s="83" t="n">
        <x:v>58</x:v>
      </x:c>
      <x:c r="P82" s="83" t="str">
        <x:v>Tabella 14</x:v>
      </x:c>
      <x:c r="Q82" s="83" t="str">
        <x:v>Direct table extraction; visual/text verification</x:v>
      </x:c>
      <x:c r="R82" s="83" t="str">
        <x:v>A - Direct</x:v>
      </x:c>
      <x:c r="S82" s="83" t="str">
        <x:v>Zonal p_nom input after mapping to PyPSA carrier.</x:v>
      </x:c>
      <x:c r="T82" s="83" t="str">
        <x:v>For 2023, distributed includes LV-connected plants and plants &lt;200 kW.</x:v>
      </x:c>
    </x:row>
    <x:row r="83">
      <x:c r="A83" s="83" t="str">
        <x:v>ZCAP-0079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Calabria</x:v>
      </x:c>
      <x:c r="F83" s="83" t="str">
        <x:v>Solar</x:v>
      </x:c>
      <x:c r="G83" s="83" t="str">
        <x:v>Solare distribuito</x:v>
      </x:c>
      <x:c r="H83" s="83" t="str">
        <x:v>Distribuito</x:v>
      </x:c>
      <x:c r="I83" s="143" t="n">
        <x:v>1.1</x:v>
      </x:c>
      <x:c r="J83" s="83" t="str">
        <x:v>GW</x:v>
      </x:c>
      <x:c r="K83" s="83" t="str">
        <x:v>Assunzione di scenario</x:v>
      </x:c>
      <x:c r="L83" s="83" t="str">
        <x:v>S09</x:v>
      </x:c>
      <x:c r="M83" s="83" t="str">
        <x:v>Documento_Descrizione_Scenari_2024_8dce2430d44d101.pdf</x:v>
      </x:c>
      <x:c r="N83" s="83" t="n">
        <x:v>60</x:v>
      </x:c>
      <x:c r="O83" s="83" t="n">
        <x:v>58</x:v>
      </x:c>
      <x:c r="P83" s="83" t="str">
        <x:v>Tabella 14</x:v>
      </x:c>
      <x:c r="Q83" s="83" t="str">
        <x:v>Direct table extraction; visual/text verification</x:v>
      </x:c>
      <x:c r="R83" s="83" t="str">
        <x:v>A - Direct</x:v>
      </x:c>
      <x:c r="S83" s="83" t="str">
        <x:v>Zonal p_nom input after mapping to PyPSA carrier.</x:v>
      </x:c>
      <x:c r="T83" s="83" t="str">
        <x:v>For 2023, distributed includes LV-connected plants and plants &lt;200 kW.</x:v>
      </x:c>
    </x:row>
    <x:row r="84">
      <x:c r="A84" s="83" t="str">
        <x:v>ZCAP-0080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Calabria</x:v>
      </x:c>
      <x:c r="F84" s="83" t="str">
        <x:v>Solar</x:v>
      </x:c>
      <x:c r="G84" s="83" t="str">
        <x:v>Solare distribuito</x:v>
      </x:c>
      <x:c r="H84" s="83" t="str">
        <x:v>Distribuito</x:v>
      </x:c>
      <x:c r="I84" s="143" t="n">
        <x:v>1.2</x:v>
      </x:c>
      <x:c r="J84" s="83" t="str">
        <x:v>GW</x:v>
      </x:c>
      <x:c r="K84" s="83" t="str">
        <x:v>Assunzione di scenario</x:v>
      </x:c>
      <x:c r="L84" s="83" t="str">
        <x:v>S09</x:v>
      </x:c>
      <x:c r="M84" s="83" t="str">
        <x:v>Documento_Descrizione_Scenari_2024_8dce2430d44d101.pdf</x:v>
      </x:c>
      <x:c r="N84" s="83" t="n">
        <x:v>60</x:v>
      </x:c>
      <x:c r="O84" s="83" t="n">
        <x:v>58</x:v>
      </x:c>
      <x:c r="P84" s="83" t="str">
        <x:v>Tabella 14</x:v>
      </x:c>
      <x:c r="Q84" s="83" t="str">
        <x:v>Direct table extraction; visual/text verification</x:v>
      </x:c>
      <x:c r="R84" s="83" t="str">
        <x:v>A - Direct</x:v>
      </x:c>
      <x:c r="S84" s="83" t="str">
        <x:v>Zonal p_nom input after mapping to PyPSA carrier.</x:v>
      </x:c>
      <x:c r="T84" s="83" t="str">
        <x:v>For 2023, distributed includes LV-connected plants and plants &lt;200 kW.</x:v>
      </x:c>
    </x:row>
    <x:row r="85">
      <x:c r="A85" s="83" t="str">
        <x:v>ZCAP-0081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Calabria</x:v>
      </x:c>
      <x:c r="F85" s="83" t="str">
        <x:v>Solar</x:v>
      </x:c>
      <x:c r="G85" s="83" t="str">
        <x:v>Solare distribuito</x:v>
      </x:c>
      <x:c r="H85" s="83" t="str">
        <x:v>Distribuito</x:v>
      </x:c>
      <x:c r="I85" s="143" t="n">
        <x:v>1.1</x:v>
      </x:c>
      <x:c r="J85" s="83" t="str">
        <x:v>GW</x:v>
      </x:c>
      <x:c r="K85" s="83" t="str">
        <x:v>Assunzione di scenario</x:v>
      </x:c>
      <x:c r="L85" s="83" t="str">
        <x:v>S09</x:v>
      </x:c>
      <x:c r="M85" s="83" t="str">
        <x:v>Documento_Descrizione_Scenari_2024_8dce2430d44d101.pdf</x:v>
      </x:c>
      <x:c r="N85" s="83" t="n">
        <x:v>60</x:v>
      </x:c>
      <x:c r="O85" s="83" t="n">
        <x:v>58</x:v>
      </x:c>
      <x:c r="P85" s="83" t="str">
        <x:v>Tabella 14</x:v>
      </x:c>
      <x:c r="Q85" s="83" t="str">
        <x:v>Direct table extraction; visual/text verification</x:v>
      </x:c>
      <x:c r="R85" s="83" t="str">
        <x:v>A - Direct</x:v>
      </x:c>
      <x:c r="S85" s="83" t="str">
        <x:v>Zonal p_nom input after mapping to PyPSA carrier.</x:v>
      </x:c>
      <x:c r="T85" s="83" t="str">
        <x:v>For 2023, distributed includes LV-connected plants and plants &lt;200 kW.</x:v>
      </x:c>
    </x:row>
    <x:row r="86">
      <x:c r="A86" s="83" t="str">
        <x:v>ZCAP-0082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Calabria</x:v>
      </x:c>
      <x:c r="F86" s="83" t="str">
        <x:v>Solar</x:v>
      </x:c>
      <x:c r="G86" s="83" t="str">
        <x:v>Solare utility</x:v>
      </x:c>
      <x:c r="H86" s="83" t="str">
        <x:v>Utility</x:v>
      </x:c>
      <x:c r="I86" s="143" t="n">
        <x:v>0.4</x:v>
      </x:c>
      <x:c r="J86" s="83" t="str">
        <x:v>GW</x:v>
      </x:c>
      <x:c r="K86" s="83" t="str">
        <x:v>Dato osservato storico</x:v>
      </x:c>
      <x:c r="L86" s="83" t="str">
        <x:v>S09</x:v>
      </x:c>
      <x:c r="M86" s="83" t="str">
        <x:v>Documento_Descrizione_Scenari_2024_8dce2430d44d101.pdf</x:v>
      </x:c>
      <x:c r="N86" s="83" t="n">
        <x:v>60</x:v>
      </x:c>
      <x:c r="O86" s="83" t="n">
        <x:v>58</x:v>
      </x:c>
      <x:c r="P86" s="83" t="str">
        <x:v>Tabella 14</x:v>
      </x:c>
      <x:c r="Q86" s="83" t="str">
        <x:v>Direct table extraction; visual/text verification</x:v>
      </x:c>
      <x:c r="R86" s="83" t="str">
        <x:v>A - Direct</x:v>
      </x:c>
      <x:c r="S86" s="83" t="str">
        <x:v>Zonal p_nom input after mapping to PyPSA carrier.</x:v>
      </x:c>
      <x:c r="T86" s="83" t="str">
        <x:v>For 2023, distributed includes LV-connected plants and plants &lt;200 kW.</x:v>
      </x:c>
    </x:row>
    <x:row r="87">
      <x:c r="A87" s="83" t="str">
        <x:v>ZCAP-0083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Calabria</x:v>
      </x:c>
      <x:c r="F87" s="83" t="str">
        <x:v>Solar</x:v>
      </x:c>
      <x:c r="G87" s="83" t="str">
        <x:v>Solare utility</x:v>
      </x:c>
      <x:c r="H87" s="83" t="str">
        <x:v>Utility</x:v>
      </x:c>
      <x:c r="I87" s="143" t="n">
        <x:v>1.6</x:v>
      </x:c>
      <x:c r="J87" s="83" t="str">
        <x:v>GW</x:v>
      </x:c>
      <x:c r="K87" s="83" t="str">
        <x:v>Assunzione di scenario</x:v>
      </x:c>
      <x:c r="L87" s="83" t="str">
        <x:v>S09</x:v>
      </x:c>
      <x:c r="M87" s="83" t="str">
        <x:v>Documento_Descrizione_Scenari_2024_8dce2430d44d101.pdf</x:v>
      </x:c>
      <x:c r="N87" s="83" t="n">
        <x:v>60</x:v>
      </x:c>
      <x:c r="O87" s="83" t="n">
        <x:v>58</x:v>
      </x:c>
      <x:c r="P87" s="83" t="str">
        <x:v>Tabella 14</x:v>
      </x:c>
      <x:c r="Q87" s="83" t="str">
        <x:v>Direct table extraction; visual/text verification</x:v>
      </x:c>
      <x:c r="R87" s="83" t="str">
        <x:v>A - Direct</x:v>
      </x:c>
      <x:c r="S87" s="83" t="str">
        <x:v>Zonal p_nom input after mapping to PyPSA carrier.</x:v>
      </x:c>
      <x:c r="T87" s="83" t="str">
        <x:v>For 2023, distributed includes LV-connected plants and plants &lt;200 kW.</x:v>
      </x:c>
    </x:row>
    <x:row r="88">
      <x:c r="A88" s="83" t="str">
        <x:v>ZCAP-0084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Calabria</x:v>
      </x:c>
      <x:c r="F88" s="83" t="str">
        <x:v>Solar</x:v>
      </x:c>
      <x:c r="G88" s="83" t="str">
        <x:v>Solare utility</x:v>
      </x:c>
      <x:c r="H88" s="83" t="str">
        <x:v>Utility</x:v>
      </x:c>
      <x:c r="I88" s="143" t="n">
        <x:v>1.3</x:v>
      </x:c>
      <x:c r="J88" s="83" t="str">
        <x:v>GW</x:v>
      </x:c>
      <x:c r="K88" s="83" t="str">
        <x:v>Assunzione di scenario</x:v>
      </x:c>
      <x:c r="L88" s="83" t="str">
        <x:v>S09</x:v>
      </x:c>
      <x:c r="M88" s="83" t="str">
        <x:v>Documento_Descrizione_Scenari_2024_8dce2430d44d101.pdf</x:v>
      </x:c>
      <x:c r="N88" s="83" t="n">
        <x:v>60</x:v>
      </x:c>
      <x:c r="O88" s="83" t="n">
        <x:v>58</x:v>
      </x:c>
      <x:c r="P88" s="83" t="str">
        <x:v>Tabella 14</x:v>
      </x:c>
      <x:c r="Q88" s="83" t="str">
        <x:v>Direct table extraction; visual/text verification</x:v>
      </x:c>
      <x:c r="R88" s="83" t="str">
        <x:v>A - Direct</x:v>
      </x:c>
      <x:c r="S88" s="83" t="str">
        <x:v>Zonal p_nom input after mapping to PyPSA carrier.</x:v>
      </x:c>
      <x:c r="T88" s="83" t="str">
        <x:v>For 2023, distributed includes LV-connected plants and plants &lt;200 kW.</x:v>
      </x:c>
    </x:row>
    <x:row r="89">
      <x:c r="A89" s="83" t="str">
        <x:v>ZCAP-0085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Calabria</x:v>
      </x:c>
      <x:c r="F89" s="83" t="str">
        <x:v>Solar</x:v>
      </x:c>
      <x:c r="G89" s="83" t="str">
        <x:v>Solare utility</x:v>
      </x:c>
      <x:c r="H89" s="83" t="str">
        <x:v>Utility</x:v>
      </x:c>
      <x:c r="I89" s="143" t="n">
        <x:v>2</x:v>
      </x:c>
      <x:c r="J89" s="83" t="str">
        <x:v>GW</x:v>
      </x:c>
      <x:c r="K89" s="83" t="str">
        <x:v>Assunzione di scenario</x:v>
      </x:c>
      <x:c r="L89" s="83" t="str">
        <x:v>S09</x:v>
      </x:c>
      <x:c r="M89" s="83" t="str">
        <x:v>Documento_Descrizione_Scenari_2024_8dce2430d44d101.pdf</x:v>
      </x:c>
      <x:c r="N89" s="83" t="n">
        <x:v>60</x:v>
      </x:c>
      <x:c r="O89" s="83" t="n">
        <x:v>58</x:v>
      </x:c>
      <x:c r="P89" s="83" t="str">
        <x:v>Tabella 14</x:v>
      </x:c>
      <x:c r="Q89" s="83" t="str">
        <x:v>Direct table extraction; visual/text verification</x:v>
      </x:c>
      <x:c r="R89" s="83" t="str">
        <x:v>A - Direct</x:v>
      </x:c>
      <x:c r="S89" s="83" t="str">
        <x:v>Zonal p_nom input after mapping to PyPSA carrier.</x:v>
      </x:c>
      <x:c r="T89" s="83" t="str">
        <x:v>For 2023, distributed includes LV-connected plants and plants &lt;200 kW.</x:v>
      </x:c>
    </x:row>
    <x:row r="90">
      <x:c r="A90" s="83" t="str">
        <x:v>ZCAP-0086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Calabria</x:v>
      </x:c>
      <x:c r="F90" s="83" t="str">
        <x:v>Solar</x:v>
      </x:c>
      <x:c r="G90" s="83" t="str">
        <x:v>Solare utility</x:v>
      </x:c>
      <x:c r="H90" s="83" t="str">
        <x:v>Utility</x:v>
      </x:c>
      <x:c r="I90" s="143" t="n">
        <x:v>1.8</x:v>
      </x:c>
      <x:c r="J90" s="83" t="str">
        <x:v>GW</x:v>
      </x:c>
      <x:c r="K90" s="83" t="str">
        <x:v>Assunzione di scenario</x:v>
      </x:c>
      <x:c r="L90" s="83" t="str">
        <x:v>S09</x:v>
      </x:c>
      <x:c r="M90" s="83" t="str">
        <x:v>Documento_Descrizione_Scenari_2024_8dce2430d44d101.pdf</x:v>
      </x:c>
      <x:c r="N90" s="83" t="n">
        <x:v>60</x:v>
      </x:c>
      <x:c r="O90" s="83" t="n">
        <x:v>58</x:v>
      </x:c>
      <x:c r="P90" s="83" t="str">
        <x:v>Tabella 14</x:v>
      </x:c>
      <x:c r="Q90" s="83" t="str">
        <x:v>Direct table extraction; visual/text verification</x:v>
      </x:c>
      <x:c r="R90" s="83" t="str">
        <x:v>A - Direct</x:v>
      </x:c>
      <x:c r="S90" s="83" t="str">
        <x:v>Zonal p_nom input after mapping to PyPSA carrier.</x:v>
      </x:c>
      <x:c r="T90" s="83" t="str">
        <x:v>For 2023, distributed includes LV-connected plants and plants &lt;200 kW.</x:v>
      </x:c>
    </x:row>
    <x:row r="91">
      <x:c r="A91" s="83" t="str">
        <x:v>ZCAP-0087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Calabria</x:v>
      </x:c>
      <x:c r="F91" s="83" t="str">
        <x:v>Solar</x:v>
      </x:c>
      <x:c r="G91" s="83" t="str">
        <x:v>Solare utility</x:v>
      </x:c>
      <x:c r="H91" s="83" t="str">
        <x:v>Utility</x:v>
      </x:c>
      <x:c r="I91" s="143" t="n">
        <x:v>1.7</x:v>
      </x:c>
      <x:c r="J91" s="83" t="str">
        <x:v>GW</x:v>
      </x:c>
      <x:c r="K91" s="83" t="str">
        <x:v>Assunzione di scenario</x:v>
      </x:c>
      <x:c r="L91" s="83" t="str">
        <x:v>S09</x:v>
      </x:c>
      <x:c r="M91" s="83" t="str">
        <x:v>Documento_Descrizione_Scenari_2024_8dce2430d44d101.pdf</x:v>
      </x:c>
      <x:c r="N91" s="83" t="n">
        <x:v>60</x:v>
      </x:c>
      <x:c r="O91" s="83" t="n">
        <x:v>58</x:v>
      </x:c>
      <x:c r="P91" s="83" t="str">
        <x:v>Tabella 14</x:v>
      </x:c>
      <x:c r="Q91" s="83" t="str">
        <x:v>Direct table extraction; visual/text verification</x:v>
      </x:c>
      <x:c r="R91" s="83" t="str">
        <x:v>A - Direct</x:v>
      </x:c>
      <x:c r="S91" s="83" t="str">
        <x:v>Zonal p_nom input after mapping to PyPSA carrier.</x:v>
      </x:c>
      <x:c r="T91" s="83" t="str">
        <x:v>For 2023, distributed includes LV-connected plants and plants &lt;200 kW.</x:v>
      </x:c>
    </x:row>
    <x:row r="92">
      <x:c r="A92" s="83" t="str">
        <x:v>ZCAP-0088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Calabria</x:v>
      </x:c>
      <x:c r="F92" s="83" t="str">
        <x:v>Solar</x:v>
      </x:c>
      <x:c r="G92" s="83" t="str">
        <x:v>Solare utility</x:v>
      </x:c>
      <x:c r="H92" s="83" t="str">
        <x:v>Utility</x:v>
      </x:c>
      <x:c r="I92" s="143" t="n">
        <x:v>2.5</x:v>
      </x:c>
      <x:c r="J92" s="83" t="str">
        <x:v>GW</x:v>
      </x:c>
      <x:c r="K92" s="83" t="str">
        <x:v>Assunzione di scenario</x:v>
      </x:c>
      <x:c r="L92" s="83" t="str">
        <x:v>S09</x:v>
      </x:c>
      <x:c r="M92" s="83" t="str">
        <x:v>Documento_Descrizione_Scenari_2024_8dce2430d44d101.pdf</x:v>
      </x:c>
      <x:c r="N92" s="83" t="n">
        <x:v>60</x:v>
      </x:c>
      <x:c r="O92" s="83" t="n">
        <x:v>58</x:v>
      </x:c>
      <x:c r="P92" s="83" t="str">
        <x:v>Tabella 14</x:v>
      </x:c>
      <x:c r="Q92" s="83" t="str">
        <x:v>Direct table extraction; visual/text verification</x:v>
      </x:c>
      <x:c r="R92" s="83" t="str">
        <x:v>A - Direct</x:v>
      </x:c>
      <x:c r="S92" s="83" t="str">
        <x:v>Zonal p_nom input after mapping to PyPSA carrier.</x:v>
      </x:c>
      <x:c r="T92" s="83" t="str">
        <x:v>For 2023, distributed includes LV-connected plants and plants &lt;200 kW.</x:v>
      </x:c>
    </x:row>
    <x:row r="93">
      <x:c r="A93" s="83" t="str">
        <x:v>ZCAP-0089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Calabria</x:v>
      </x:c>
      <x:c r="F93" s="83" t="str">
        <x:v>Solar</x:v>
      </x:c>
      <x:c r="G93" s="83" t="str">
        <x:v>Solare utility</x:v>
      </x:c>
      <x:c r="H93" s="83" t="str">
        <x:v>Utility</x:v>
      </x:c>
      <x:c r="I93" s="143" t="n">
        <x:v>2.2</x:v>
      </x:c>
      <x:c r="J93" s="83" t="str">
        <x:v>GW</x:v>
      </x:c>
      <x:c r="K93" s="83" t="str">
        <x:v>Assunzione di scenario</x:v>
      </x:c>
      <x:c r="L93" s="83" t="str">
        <x:v>S09</x:v>
      </x:c>
      <x:c r="M93" s="83" t="str">
        <x:v>Documento_Descrizione_Scenari_2024_8dce2430d44d101.pdf</x:v>
      </x:c>
      <x:c r="N93" s="83" t="n">
        <x:v>60</x:v>
      </x:c>
      <x:c r="O93" s="83" t="n">
        <x:v>58</x:v>
      </x:c>
      <x:c r="P93" s="83" t="str">
        <x:v>Tabella 14</x:v>
      </x:c>
      <x:c r="Q93" s="83" t="str">
        <x:v>Direct table extraction; visual/text verification</x:v>
      </x:c>
      <x:c r="R93" s="83" t="str">
        <x:v>A - Direct</x:v>
      </x:c>
      <x:c r="S93" s="83" t="str">
        <x:v>Zonal p_nom input after mapping to PyPSA carrier.</x:v>
      </x:c>
      <x:c r="T93" s="83" t="str">
        <x:v>For 2023, distributed includes LV-connected plants and plants &lt;200 kW.</x:v>
      </x:c>
    </x:row>
    <x:row r="94">
      <x:c r="A94" s="83" t="str">
        <x:v>ZCAP-0090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Calabria</x:v>
      </x:c>
      <x:c r="F94" s="83" t="str">
        <x:v>Solar</x:v>
      </x:c>
      <x:c r="G94" s="83" t="str">
        <x:v>Solare utility</x:v>
      </x:c>
      <x:c r="H94" s="83" t="str">
        <x:v>Utility</x:v>
      </x:c>
      <x:c r="I94" s="143" t="n">
        <x:v>2.2</x:v>
      </x:c>
      <x:c r="J94" s="83" t="str">
        <x:v>GW</x:v>
      </x:c>
      <x:c r="K94" s="83" t="str">
        <x:v>Assunzione di scenario</x:v>
      </x:c>
      <x:c r="L94" s="83" t="str">
        <x:v>S09</x:v>
      </x:c>
      <x:c r="M94" s="83" t="str">
        <x:v>Documento_Descrizione_Scenari_2024_8dce2430d44d101.pdf</x:v>
      </x:c>
      <x:c r="N94" s="83" t="n">
        <x:v>60</x:v>
      </x:c>
      <x:c r="O94" s="83" t="n">
        <x:v>58</x:v>
      </x:c>
      <x:c r="P94" s="83" t="str">
        <x:v>Tabella 14</x:v>
      </x:c>
      <x:c r="Q94" s="83" t="str">
        <x:v>Direct table extraction; visual/text verification</x:v>
      </x:c>
      <x:c r="R94" s="83" t="str">
        <x:v>A - Direct</x:v>
      </x:c>
      <x:c r="S94" s="83" t="str">
        <x:v>Zonal p_nom input after mapping to PyPSA carrier.</x:v>
      </x:c>
      <x:c r="T94" s="83" t="str">
        <x:v>For 2023, distributed includes LV-connected plants and plants &lt;200 kW.</x:v>
      </x:c>
    </x:row>
    <x:row r="95">
      <x:c r="A95" s="83" t="str">
        <x:v>ZCAP-0091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Sicilia</x:v>
      </x:c>
      <x:c r="F95" s="83" t="str">
        <x:v>Solar</x:v>
      </x:c>
      <x:c r="G95" s="83" t="str">
        <x:v>Solare distribuito</x:v>
      </x:c>
      <x:c r="H95" s="83" t="str">
        <x:v>Distribuito</x:v>
      </x:c>
      <x:c r="I95" s="143" t="n">
        <x:v>0.6</x:v>
      </x:c>
      <x:c r="J95" s="83" t="str">
        <x:v>GW</x:v>
      </x:c>
      <x:c r="K95" s="83" t="str">
        <x:v>Dato osservato storico</x:v>
      </x:c>
      <x:c r="L95" s="83" t="str">
        <x:v>S09</x:v>
      </x:c>
      <x:c r="M95" s="83" t="str">
        <x:v>Documento_Descrizione_Scenari_2024_8dce2430d44d101.pdf</x:v>
      </x:c>
      <x:c r="N95" s="83" t="n">
        <x:v>60</x:v>
      </x:c>
      <x:c r="O95" s="83" t="n">
        <x:v>58</x:v>
      </x:c>
      <x:c r="P95" s="83" t="str">
        <x:v>Tabella 14</x:v>
      </x:c>
      <x:c r="Q95" s="83" t="str">
        <x:v>Direct table extraction; visual/text verification</x:v>
      </x:c>
      <x:c r="R95" s="83" t="str">
        <x:v>A - Direct</x:v>
      </x:c>
      <x:c r="S95" s="83" t="str">
        <x:v>Zonal p_nom input after mapping to PyPSA carrier.</x:v>
      </x:c>
      <x:c r="T95" s="83" t="str">
        <x:v>For 2023, distributed includes LV-connected plants and plants &lt;200 kW.</x:v>
      </x:c>
    </x:row>
    <x:row r="96">
      <x:c r="A96" s="83" t="str">
        <x:v>ZCAP-0092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Sicilia</x:v>
      </x:c>
      <x:c r="F96" s="83" t="str">
        <x:v>Solar</x:v>
      </x:c>
      <x:c r="G96" s="83" t="str">
        <x:v>Solare distribuito</x:v>
      </x:c>
      <x:c r="H96" s="83" t="str">
        <x:v>Distribuito</x:v>
      </x:c>
      <x:c r="I96" s="143" t="n">
        <x:v>2.1</x:v>
      </x:c>
      <x:c r="J96" s="83" t="str">
        <x:v>GW</x:v>
      </x:c>
      <x:c r="K96" s="83" t="str">
        <x:v>Assunzione di scenario</x:v>
      </x:c>
      <x:c r="L96" s="83" t="str">
        <x:v>S09</x:v>
      </x:c>
      <x:c r="M96" s="83" t="str">
        <x:v>Documento_Descrizione_Scenari_2024_8dce2430d44d101.pdf</x:v>
      </x:c>
      <x:c r="N96" s="83" t="n">
        <x:v>60</x:v>
      </x:c>
      <x:c r="O96" s="83" t="n">
        <x:v>58</x:v>
      </x:c>
      <x:c r="P96" s="83" t="str">
        <x:v>Tabella 14</x:v>
      </x:c>
      <x:c r="Q96" s="83" t="str">
        <x:v>Direct table extraction; visual/text verification</x:v>
      </x:c>
      <x:c r="R96" s="83" t="str">
        <x:v>A - Direct</x:v>
      </x:c>
      <x:c r="S96" s="83" t="str">
        <x:v>Zonal p_nom input after mapping to PyPSA carrier.</x:v>
      </x:c>
      <x:c r="T96" s="83" t="str">
        <x:v>For 2023, distributed includes LV-connected plants and plants &lt;200 kW.</x:v>
      </x:c>
    </x:row>
    <x:row r="97">
      <x:c r="A97" s="83" t="str">
        <x:v>ZCAP-0093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Sicilia</x:v>
      </x:c>
      <x:c r="F97" s="83" t="str">
        <x:v>Solar</x:v>
      </x:c>
      <x:c r="G97" s="83" t="str">
        <x:v>Solare distribuito</x:v>
      </x:c>
      <x:c r="H97" s="83" t="str">
        <x:v>Distribuito</x:v>
      </x:c>
      <x:c r="I97" s="143" t="n">
        <x:v>2.1</x:v>
      </x:c>
      <x:c r="J97" s="83" t="str">
        <x:v>GW</x:v>
      </x:c>
      <x:c r="K97" s="83" t="str">
        <x:v>Assunzione di scenario</x:v>
      </x:c>
      <x:c r="L97" s="83" t="str">
        <x:v>S09</x:v>
      </x:c>
      <x:c r="M97" s="83" t="str">
        <x:v>Documento_Descrizione_Scenari_2024_8dce2430d44d101.pdf</x:v>
      </x:c>
      <x:c r="N97" s="83" t="n">
        <x:v>60</x:v>
      </x:c>
      <x:c r="O97" s="83" t="n">
        <x:v>58</x:v>
      </x:c>
      <x:c r="P97" s="83" t="str">
        <x:v>Tabella 14</x:v>
      </x:c>
      <x:c r="Q97" s="83" t="str">
        <x:v>Direct table extraction; visual/text verification</x:v>
      </x:c>
      <x:c r="R97" s="83" t="str">
        <x:v>A - Direct</x:v>
      </x:c>
      <x:c r="S97" s="83" t="str">
        <x:v>Zonal p_nom input after mapping to PyPSA carrier.</x:v>
      </x:c>
      <x:c r="T97" s="83" t="str">
        <x:v>For 2023, distributed includes LV-connected plants and plants &lt;200 kW.</x:v>
      </x:c>
    </x:row>
    <x:row r="98">
      <x:c r="A98" s="83" t="str">
        <x:v>ZCAP-0094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Sicilia</x:v>
      </x:c>
      <x:c r="F98" s="83" t="str">
        <x:v>Solar</x:v>
      </x:c>
      <x:c r="G98" s="83" t="str">
        <x:v>Solare distribuito</x:v>
      </x:c>
      <x:c r="H98" s="83" t="str">
        <x:v>Distribuito</x:v>
      </x:c>
      <x:c r="I98" s="143" t="n">
        <x:v>2.7</x:v>
      </x:c>
      <x:c r="J98" s="83" t="str">
        <x:v>GW</x:v>
      </x:c>
      <x:c r="K98" s="83" t="str">
        <x:v>Assunzione di scenario</x:v>
      </x:c>
      <x:c r="L98" s="83" t="str">
        <x:v>S09</x:v>
      </x:c>
      <x:c r="M98" s="83" t="str">
        <x:v>Documento_Descrizione_Scenari_2024_8dce2430d44d101.pdf</x:v>
      </x:c>
      <x:c r="N98" s="83" t="n">
        <x:v>60</x:v>
      </x:c>
      <x:c r="O98" s="83" t="n">
        <x:v>58</x:v>
      </x:c>
      <x:c r="P98" s="83" t="str">
        <x:v>Tabella 14</x:v>
      </x:c>
      <x:c r="Q98" s="83" t="str">
        <x:v>Direct table extraction; visual/text verification</x:v>
      </x:c>
      <x:c r="R98" s="83" t="str">
        <x:v>A - Direct</x:v>
      </x:c>
      <x:c r="S98" s="83" t="str">
        <x:v>Zonal p_nom input after mapping to PyPSA carrier.</x:v>
      </x:c>
      <x:c r="T98" s="83" t="str">
        <x:v>For 2023, distributed includes LV-connected plants and plants &lt;200 kW.</x:v>
      </x:c>
    </x:row>
    <x:row r="99">
      <x:c r="A99" s="83" t="str">
        <x:v>ZCAP-0095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Sicilia</x:v>
      </x:c>
      <x:c r="F99" s="83" t="str">
        <x:v>Solar</x:v>
      </x:c>
      <x:c r="G99" s="83" t="str">
        <x:v>Solare distribuito</x:v>
      </x:c>
      <x:c r="H99" s="83" t="str">
        <x:v>Distribuito</x:v>
      </x:c>
      <x:c r="I99" s="143" t="n">
        <x:v>2.8</x:v>
      </x:c>
      <x:c r="J99" s="83" t="str">
        <x:v>GW</x:v>
      </x:c>
      <x:c r="K99" s="83" t="str">
        <x:v>Assunzione di scenario</x:v>
      </x:c>
      <x:c r="L99" s="83" t="str">
        <x:v>S09</x:v>
      </x:c>
      <x:c r="M99" s="83" t="str">
        <x:v>Documento_Descrizione_Scenari_2024_8dce2430d44d101.pdf</x:v>
      </x:c>
      <x:c r="N99" s="83" t="n">
        <x:v>60</x:v>
      </x:c>
      <x:c r="O99" s="83" t="n">
        <x:v>58</x:v>
      </x:c>
      <x:c r="P99" s="83" t="str">
        <x:v>Tabella 14</x:v>
      </x:c>
      <x:c r="Q99" s="83" t="str">
        <x:v>Direct table extraction; visual/text verification</x:v>
      </x:c>
      <x:c r="R99" s="83" t="str">
        <x:v>A - Direct</x:v>
      </x:c>
      <x:c r="S99" s="83" t="str">
        <x:v>Zonal p_nom input after mapping to PyPSA carrier.</x:v>
      </x:c>
      <x:c r="T99" s="83" t="str">
        <x:v>For 2023, distributed includes LV-connected plants and plants &lt;200 kW.</x:v>
      </x:c>
    </x:row>
    <x:row r="100">
      <x:c r="A100" s="83" t="str">
        <x:v>ZCAP-0096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Sicilia</x:v>
      </x:c>
      <x:c r="F100" s="83" t="str">
        <x:v>Solar</x:v>
      </x:c>
      <x:c r="G100" s="83" t="str">
        <x:v>Solare distribuito</x:v>
      </x:c>
      <x:c r="H100" s="83" t="str">
        <x:v>Distribuito</x:v>
      </x:c>
      <x:c r="I100" s="143" t="n">
        <x:v>2.6</x:v>
      </x:c>
      <x:c r="J100" s="83" t="str">
        <x:v>GW</x:v>
      </x:c>
      <x:c r="K100" s="83" t="str">
        <x:v>Assunzione di scenario</x:v>
      </x:c>
      <x:c r="L100" s="83" t="str">
        <x:v>S09</x:v>
      </x:c>
      <x:c r="M100" s="83" t="str">
        <x:v>Documento_Descrizione_Scenari_2024_8dce2430d44d101.pdf</x:v>
      </x:c>
      <x:c r="N100" s="83" t="n">
        <x:v>60</x:v>
      </x:c>
      <x:c r="O100" s="83" t="n">
        <x:v>58</x:v>
      </x:c>
      <x:c r="P100" s="83" t="str">
        <x:v>Tabella 14</x:v>
      </x:c>
      <x:c r="Q100" s="83" t="str">
        <x:v>Direct table extraction; visual/text verification</x:v>
      </x:c>
      <x:c r="R100" s="83" t="str">
        <x:v>A - Direct</x:v>
      </x:c>
      <x:c r="S100" s="83" t="str">
        <x:v>Zonal p_nom input after mapping to PyPSA carrier.</x:v>
      </x:c>
      <x:c r="T100" s="83" t="str">
        <x:v>For 2023, distributed includes LV-connected plants and plants &lt;200 kW.</x:v>
      </x:c>
    </x:row>
    <x:row r="101">
      <x:c r="A101" s="83" t="str">
        <x:v>ZCAP-0097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Sicilia</x:v>
      </x:c>
      <x:c r="F101" s="83" t="str">
        <x:v>Solar</x:v>
      </x:c>
      <x:c r="G101" s="83" t="str">
        <x:v>Solare distribuito</x:v>
      </x:c>
      <x:c r="H101" s="83" t="str">
        <x:v>Distribuito</x:v>
      </x:c>
      <x:c r="I101" s="143" t="n">
        <x:v>3.3</x:v>
      </x:c>
      <x:c r="J101" s="83" t="str">
        <x:v>GW</x:v>
      </x:c>
      <x:c r="K101" s="83" t="str">
        <x:v>Assunzione di scenario</x:v>
      </x:c>
      <x:c r="L101" s="83" t="str">
        <x:v>S09</x:v>
      </x:c>
      <x:c r="M101" s="83" t="str">
        <x:v>Documento_Descrizione_Scenari_2024_8dce2430d44d101.pdf</x:v>
      </x:c>
      <x:c r="N101" s="83" t="n">
        <x:v>60</x:v>
      </x:c>
      <x:c r="O101" s="83" t="n">
        <x:v>58</x:v>
      </x:c>
      <x:c r="P101" s="83" t="str">
        <x:v>Tabella 14</x:v>
      </x:c>
      <x:c r="Q101" s="83" t="str">
        <x:v>Direct table extraction; visual/text verification</x:v>
      </x:c>
      <x:c r="R101" s="83" t="str">
        <x:v>A - Direct</x:v>
      </x:c>
      <x:c r="S101" s="83" t="str">
        <x:v>Zonal p_nom input after mapping to PyPSA carrier.</x:v>
      </x:c>
      <x:c r="T101" s="83" t="str">
        <x:v>For 2023, distributed includes LV-connected plants and plants &lt;200 kW.</x:v>
      </x:c>
    </x:row>
    <x:row r="102">
      <x:c r="A102" s="83" t="str">
        <x:v>ZCAP-0098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Sicilia</x:v>
      </x:c>
      <x:c r="F102" s="83" t="str">
        <x:v>Solar</x:v>
      </x:c>
      <x:c r="G102" s="83" t="str">
        <x:v>Solare distribuito</x:v>
      </x:c>
      <x:c r="H102" s="83" t="str">
        <x:v>Distribuito</x:v>
      </x:c>
      <x:c r="I102" s="143" t="n">
        <x:v>3.3</x:v>
      </x:c>
      <x:c r="J102" s="83" t="str">
        <x:v>GW</x:v>
      </x:c>
      <x:c r="K102" s="83" t="str">
        <x:v>Assunzione di scenario</x:v>
      </x:c>
      <x:c r="L102" s="83" t="str">
        <x:v>S09</x:v>
      </x:c>
      <x:c r="M102" s="83" t="str">
        <x:v>Documento_Descrizione_Scenari_2024_8dce2430d44d101.pdf</x:v>
      </x:c>
      <x:c r="N102" s="83" t="n">
        <x:v>60</x:v>
      </x:c>
      <x:c r="O102" s="83" t="n">
        <x:v>58</x:v>
      </x:c>
      <x:c r="P102" s="83" t="str">
        <x:v>Tabella 14</x:v>
      </x:c>
      <x:c r="Q102" s="83" t="str">
        <x:v>Direct table extraction; visual/text verification</x:v>
      </x:c>
      <x:c r="R102" s="83" t="str">
        <x:v>A - Direct</x:v>
      </x:c>
      <x:c r="S102" s="83" t="str">
        <x:v>Zonal p_nom input after mapping to PyPSA carrier.</x:v>
      </x:c>
      <x:c r="T102" s="83" t="str">
        <x:v>For 2023, distributed includes LV-connected plants and plants &lt;200 kW.</x:v>
      </x:c>
    </x:row>
    <x:row r="103">
      <x:c r="A103" s="83" t="str">
        <x:v>ZCAP-0099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Sicilia</x:v>
      </x:c>
      <x:c r="F103" s="83" t="str">
        <x:v>Solar</x:v>
      </x:c>
      <x:c r="G103" s="83" t="str">
        <x:v>Solare distribuito</x:v>
      </x:c>
      <x:c r="H103" s="83" t="str">
        <x:v>Distribuito</x:v>
      </x:c>
      <x:c r="I103" s="143" t="n">
        <x:v>3.2</x:v>
      </x:c>
      <x:c r="J103" s="83" t="str">
        <x:v>GW</x:v>
      </x:c>
      <x:c r="K103" s="83" t="str">
        <x:v>Assunzione di scenario</x:v>
      </x:c>
      <x:c r="L103" s="83" t="str">
        <x:v>S09</x:v>
      </x:c>
      <x:c r="M103" s="83" t="str">
        <x:v>Documento_Descrizione_Scenari_2024_8dce2430d44d101.pdf</x:v>
      </x:c>
      <x:c r="N103" s="83" t="n">
        <x:v>60</x:v>
      </x:c>
      <x:c r="O103" s="83" t="n">
        <x:v>58</x:v>
      </x:c>
      <x:c r="P103" s="83" t="str">
        <x:v>Tabella 14</x:v>
      </x:c>
      <x:c r="Q103" s="83" t="str">
        <x:v>Direct table extraction; visual/text verification</x:v>
      </x:c>
      <x:c r="R103" s="83" t="str">
        <x:v>A - Direct</x:v>
      </x:c>
      <x:c r="S103" s="83" t="str">
        <x:v>Zonal p_nom input after mapping to PyPSA carrier.</x:v>
      </x:c>
      <x:c r="T103" s="83" t="str">
        <x:v>For 2023, distributed includes LV-connected plants and plants &lt;200 kW.</x:v>
      </x:c>
    </x:row>
    <x:row r="104">
      <x:c r="A104" s="83" t="str">
        <x:v>ZCAP-0100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Sicilia</x:v>
      </x:c>
      <x:c r="F104" s="83" t="str">
        <x:v>Solar</x:v>
      </x:c>
      <x:c r="G104" s="83" t="str">
        <x:v>Solare utility</x:v>
      </x:c>
      <x:c r="H104" s="83" t="str">
        <x:v>Utility</x:v>
      </x:c>
      <x:c r="I104" s="143" t="n">
        <x:v>1.5</x:v>
      </x:c>
      <x:c r="J104" s="83" t="str">
        <x:v>GW</x:v>
      </x:c>
      <x:c r="K104" s="83" t="str">
        <x:v>Dato osservato storico</x:v>
      </x:c>
      <x:c r="L104" s="83" t="str">
        <x:v>S09</x:v>
      </x:c>
      <x:c r="M104" s="83" t="str">
        <x:v>Documento_Descrizione_Scenari_2024_8dce2430d44d101.pdf</x:v>
      </x:c>
      <x:c r="N104" s="83" t="n">
        <x:v>60</x:v>
      </x:c>
      <x:c r="O104" s="83" t="n">
        <x:v>58</x:v>
      </x:c>
      <x:c r="P104" s="83" t="str">
        <x:v>Tabella 14</x:v>
      </x:c>
      <x:c r="Q104" s="83" t="str">
        <x:v>Direct table extraction; visual/text verification</x:v>
      </x:c>
      <x:c r="R104" s="83" t="str">
        <x:v>A - Direct</x:v>
      </x:c>
      <x:c r="S104" s="83" t="str">
        <x:v>Zonal p_nom input after mapping to PyPSA carrier.</x:v>
      </x:c>
      <x:c r="T104" s="83" t="str">
        <x:v>For 2023, distributed includes LV-connected plants and plants &lt;200 kW.</x:v>
      </x:c>
    </x:row>
    <x:row r="105">
      <x:c r="A105" s="83" t="str">
        <x:v>ZCAP-0101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Sicilia</x:v>
      </x:c>
      <x:c r="F105" s="83" t="str">
        <x:v>Solar</x:v>
      </x:c>
      <x:c r="G105" s="83" t="str">
        <x:v>Solare utility</x:v>
      </x:c>
      <x:c r="H105" s="83" t="str">
        <x:v>Utility</x:v>
      </x:c>
      <x:c r="I105" s="143" t="n">
        <x:v>6.5</x:v>
      </x:c>
      <x:c r="J105" s="83" t="str">
        <x:v>GW</x:v>
      </x:c>
      <x:c r="K105" s="83" t="str">
        <x:v>Assunzione di scenario</x:v>
      </x:c>
      <x:c r="L105" s="83" t="str">
        <x:v>S09</x:v>
      </x:c>
      <x:c r="M105" s="83" t="str">
        <x:v>Documento_Descrizione_Scenari_2024_8dce2430d44d101.pdf</x:v>
      </x:c>
      <x:c r="N105" s="83" t="n">
        <x:v>60</x:v>
      </x:c>
      <x:c r="O105" s="83" t="n">
        <x:v>58</x:v>
      </x:c>
      <x:c r="P105" s="83" t="str">
        <x:v>Tabella 14</x:v>
      </x:c>
      <x:c r="Q105" s="83" t="str">
        <x:v>Direct table extraction; visual/text verification</x:v>
      </x:c>
      <x:c r="R105" s="83" t="str">
        <x:v>A - Direct</x:v>
      </x:c>
      <x:c r="S105" s="83" t="str">
        <x:v>Zonal p_nom input after mapping to PyPSA carrier.</x:v>
      </x:c>
      <x:c r="T105" s="83" t="str">
        <x:v>For 2023, distributed includes LV-connected plants and plants &lt;200 kW.</x:v>
      </x:c>
    </x:row>
    <x:row r="106">
      <x:c r="A106" s="83" t="str">
        <x:v>ZCAP-0102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Sicilia</x:v>
      </x:c>
      <x:c r="F106" s="83" t="str">
        <x:v>Solar</x:v>
      </x:c>
      <x:c r="G106" s="83" t="str">
        <x:v>Solare utility</x:v>
      </x:c>
      <x:c r="H106" s="83" t="str">
        <x:v>Utility</x:v>
      </x:c>
      <x:c r="I106" s="143" t="n">
        <x:v>5.6</x:v>
      </x:c>
      <x:c r="J106" s="83" t="str">
        <x:v>GW</x:v>
      </x:c>
      <x:c r="K106" s="83" t="str">
        <x:v>Assunzione di scenario</x:v>
      </x:c>
      <x:c r="L106" s="83" t="str">
        <x:v>S09</x:v>
      </x:c>
      <x:c r="M106" s="83" t="str">
        <x:v>Documento_Descrizione_Scenari_2024_8dce2430d44d101.pdf</x:v>
      </x:c>
      <x:c r="N106" s="83" t="n">
        <x:v>60</x:v>
      </x:c>
      <x:c r="O106" s="83" t="n">
        <x:v>58</x:v>
      </x:c>
      <x:c r="P106" s="83" t="str">
        <x:v>Tabella 14</x:v>
      </x:c>
      <x:c r="Q106" s="83" t="str">
        <x:v>Direct table extraction; visual/text verification</x:v>
      </x:c>
      <x:c r="R106" s="83" t="str">
        <x:v>A - Direct</x:v>
      </x:c>
      <x:c r="S106" s="83" t="str">
        <x:v>Zonal p_nom input after mapping to PyPSA carrier.</x:v>
      </x:c>
      <x:c r="T106" s="83" t="str">
        <x:v>For 2023, distributed includes LV-connected plants and plants &lt;200 kW.</x:v>
      </x:c>
    </x:row>
    <x:row r="107">
      <x:c r="A107" s="83" t="str">
        <x:v>ZCAP-0103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Sicilia</x:v>
      </x:c>
      <x:c r="F107" s="83" t="str">
        <x:v>Solar</x:v>
      </x:c>
      <x:c r="G107" s="83" t="str">
        <x:v>Solare utility</x:v>
      </x:c>
      <x:c r="H107" s="83" t="str">
        <x:v>Utility</x:v>
      </x:c>
      <x:c r="I107" s="143" t="n">
        <x:v>9</x:v>
      </x:c>
      <x:c r="J107" s="83" t="str">
        <x:v>GW</x:v>
      </x:c>
      <x:c r="K107" s="83" t="str">
        <x:v>Assunzione di scenario</x:v>
      </x:c>
      <x:c r="L107" s="83" t="str">
        <x:v>S09</x:v>
      </x:c>
      <x:c r="M107" s="83" t="str">
        <x:v>Documento_Descrizione_Scenari_2024_8dce2430d44d101.pdf</x:v>
      </x:c>
      <x:c r="N107" s="83" t="n">
        <x:v>60</x:v>
      </x:c>
      <x:c r="O107" s="83" t="n">
        <x:v>58</x:v>
      </x:c>
      <x:c r="P107" s="83" t="str">
        <x:v>Tabella 14</x:v>
      </x:c>
      <x:c r="Q107" s="83" t="str">
        <x:v>Direct table extraction; visual/text verification</x:v>
      </x:c>
      <x:c r="R107" s="83" t="str">
        <x:v>A - Direct</x:v>
      </x:c>
      <x:c r="S107" s="83" t="str">
        <x:v>Zonal p_nom input after mapping to PyPSA carrier.</x:v>
      </x:c>
      <x:c r="T107" s="83" t="str">
        <x:v>For 2023, distributed includes LV-connected plants and plants &lt;200 kW.</x:v>
      </x:c>
    </x:row>
    <x:row r="108">
      <x:c r="A108" s="83" t="str">
        <x:v>ZCAP-0104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Sicilia</x:v>
      </x:c>
      <x:c r="F108" s="83" t="str">
        <x:v>Solar</x:v>
      </x:c>
      <x:c r="G108" s="83" t="str">
        <x:v>Solare utility</x:v>
      </x:c>
      <x:c r="H108" s="83" t="str">
        <x:v>Utility</x:v>
      </x:c>
      <x:c r="I108" s="143" t="n">
        <x:v>8.1</x:v>
      </x:c>
      <x:c r="J108" s="83" t="str">
        <x:v>GW</x:v>
      </x:c>
      <x:c r="K108" s="83" t="str">
        <x:v>Assunzione di scenario</x:v>
      </x:c>
      <x:c r="L108" s="83" t="str">
        <x:v>S09</x:v>
      </x:c>
      <x:c r="M108" s="83" t="str">
        <x:v>Documento_Descrizione_Scenari_2024_8dce2430d44d101.pdf</x:v>
      </x:c>
      <x:c r="N108" s="83" t="n">
        <x:v>60</x:v>
      </x:c>
      <x:c r="O108" s="83" t="n">
        <x:v>58</x:v>
      </x:c>
      <x:c r="P108" s="83" t="str">
        <x:v>Tabella 14</x:v>
      </x:c>
      <x:c r="Q108" s="83" t="str">
        <x:v>Direct table extraction; visual/text verification</x:v>
      </x:c>
      <x:c r="R108" s="83" t="str">
        <x:v>A - Direct</x:v>
      </x:c>
      <x:c r="S108" s="83" t="str">
        <x:v>Zonal p_nom input after mapping to PyPSA carrier.</x:v>
      </x:c>
      <x:c r="T108" s="83" t="str">
        <x:v>For 2023, distributed includes LV-connected plants and plants &lt;200 kW.</x:v>
      </x:c>
    </x:row>
    <x:row r="109">
      <x:c r="A109" s="83" t="str">
        <x:v>ZCAP-0105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Sicilia</x:v>
      </x:c>
      <x:c r="F109" s="83" t="str">
        <x:v>Solar</x:v>
      </x:c>
      <x:c r="G109" s="83" t="str">
        <x:v>Solare utility</x:v>
      </x:c>
      <x:c r="H109" s="83" t="str">
        <x:v>Utility</x:v>
      </x:c>
      <x:c r="I109" s="143" t="n">
        <x:v>7.7</x:v>
      </x:c>
      <x:c r="J109" s="83" t="str">
        <x:v>GW</x:v>
      </x:c>
      <x:c r="K109" s="83" t="str">
        <x:v>Assunzione di scenario</x:v>
      </x:c>
      <x:c r="L109" s="83" t="str">
        <x:v>S09</x:v>
      </x:c>
      <x:c r="M109" s="83" t="str">
        <x:v>Documento_Descrizione_Scenari_2024_8dce2430d44d101.pdf</x:v>
      </x:c>
      <x:c r="N109" s="83" t="n">
        <x:v>60</x:v>
      </x:c>
      <x:c r="O109" s="83" t="n">
        <x:v>58</x:v>
      </x:c>
      <x:c r="P109" s="83" t="str">
        <x:v>Tabella 14</x:v>
      </x:c>
      <x:c r="Q109" s="83" t="str">
        <x:v>Direct table extraction; visual/text verification</x:v>
      </x:c>
      <x:c r="R109" s="83" t="str">
        <x:v>A - Direct</x:v>
      </x:c>
      <x:c r="S109" s="83" t="str">
        <x:v>Zonal p_nom input after mapping to PyPSA carrier.</x:v>
      </x:c>
      <x:c r="T109" s="83" t="str">
        <x:v>For 2023, distributed includes LV-connected plants and plants &lt;200 kW.</x:v>
      </x:c>
    </x:row>
    <x:row r="110">
      <x:c r="A110" s="83" t="str">
        <x:v>ZCAP-0106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Sicilia</x:v>
      </x:c>
      <x:c r="F110" s="83" t="str">
        <x:v>Solar</x:v>
      </x:c>
      <x:c r="G110" s="83" t="str">
        <x:v>Solare utility</x:v>
      </x:c>
      <x:c r="H110" s="83" t="str">
        <x:v>Utility</x:v>
      </x:c>
      <x:c r="I110" s="143" t="n">
        <x:v>11.5</x:v>
      </x:c>
      <x:c r="J110" s="83" t="str">
        <x:v>GW</x:v>
      </x:c>
      <x:c r="K110" s="83" t="str">
        <x:v>Assunzione di scenario</x:v>
      </x:c>
      <x:c r="L110" s="83" t="str">
        <x:v>S09</x:v>
      </x:c>
      <x:c r="M110" s="83" t="str">
        <x:v>Documento_Descrizione_Scenari_2024_8dce2430d44d101.pdf</x:v>
      </x:c>
      <x:c r="N110" s="83" t="n">
        <x:v>60</x:v>
      </x:c>
      <x:c r="O110" s="83" t="n">
        <x:v>58</x:v>
      </x:c>
      <x:c r="P110" s="83" t="str">
        <x:v>Tabella 14</x:v>
      </x:c>
      <x:c r="Q110" s="83" t="str">
        <x:v>Direct table extraction; visual/text verification</x:v>
      </x:c>
      <x:c r="R110" s="83" t="str">
        <x:v>A - Direct</x:v>
      </x:c>
      <x:c r="S110" s="83" t="str">
        <x:v>Zonal p_nom input after mapping to PyPSA carrier.</x:v>
      </x:c>
      <x:c r="T110" s="83" t="str">
        <x:v>For 2023, distributed includes LV-connected plants and plants &lt;200 kW.</x:v>
      </x:c>
    </x:row>
    <x:row r="111">
      <x:c r="A111" s="83" t="str">
        <x:v>ZCAP-0107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Sicilia</x:v>
      </x:c>
      <x:c r="F111" s="83" t="str">
        <x:v>Solar</x:v>
      </x:c>
      <x:c r="G111" s="83" t="str">
        <x:v>Solare utility</x:v>
      </x:c>
      <x:c r="H111" s="83" t="str">
        <x:v>Utility</x:v>
      </x:c>
      <x:c r="I111" s="143" t="n">
        <x:v>10.1</x:v>
      </x:c>
      <x:c r="J111" s="83" t="str">
        <x:v>GW</x:v>
      </x:c>
      <x:c r="K111" s="83" t="str">
        <x:v>Assunzione di scenario</x:v>
      </x:c>
      <x:c r="L111" s="83" t="str">
        <x:v>S09</x:v>
      </x:c>
      <x:c r="M111" s="83" t="str">
        <x:v>Documento_Descrizione_Scenari_2024_8dce2430d44d101.pdf</x:v>
      </x:c>
      <x:c r="N111" s="83" t="n">
        <x:v>60</x:v>
      </x:c>
      <x:c r="O111" s="83" t="n">
        <x:v>58</x:v>
      </x:c>
      <x:c r="P111" s="83" t="str">
        <x:v>Tabella 14</x:v>
      </x:c>
      <x:c r="Q111" s="83" t="str">
        <x:v>Direct table extraction; visual/text verification</x:v>
      </x:c>
      <x:c r="R111" s="83" t="str">
        <x:v>A - Direct</x:v>
      </x:c>
      <x:c r="S111" s="83" t="str">
        <x:v>Zonal p_nom input after mapping to PyPSA carrier.</x:v>
      </x:c>
      <x:c r="T111" s="83" t="str">
        <x:v>For 2023, distributed includes LV-connected plants and plants &lt;200 kW.</x:v>
      </x:c>
    </x:row>
    <x:row r="112">
      <x:c r="A112" s="83" t="str">
        <x:v>ZCAP-0108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Sicilia</x:v>
      </x:c>
      <x:c r="F112" s="83" t="str">
        <x:v>Solar</x:v>
      </x:c>
      <x:c r="G112" s="83" t="str">
        <x:v>Solare utility</x:v>
      </x:c>
      <x:c r="H112" s="83" t="str">
        <x:v>Utility</x:v>
      </x:c>
      <x:c r="I112" s="143" t="n">
        <x:v>10.1</x:v>
      </x:c>
      <x:c r="J112" s="83" t="str">
        <x:v>GW</x:v>
      </x:c>
      <x:c r="K112" s="83" t="str">
        <x:v>Assunzione di scenario</x:v>
      </x:c>
      <x:c r="L112" s="83" t="str">
        <x:v>S09</x:v>
      </x:c>
      <x:c r="M112" s="83" t="str">
        <x:v>Documento_Descrizione_Scenari_2024_8dce2430d44d101.pdf</x:v>
      </x:c>
      <x:c r="N112" s="83" t="n">
        <x:v>60</x:v>
      </x:c>
      <x:c r="O112" s="83" t="n">
        <x:v>58</x:v>
      </x:c>
      <x:c r="P112" s="83" t="str">
        <x:v>Tabella 14</x:v>
      </x:c>
      <x:c r="Q112" s="83" t="str">
        <x:v>Direct table extraction; visual/text verification</x:v>
      </x:c>
      <x:c r="R112" s="83" t="str">
        <x:v>A - Direct</x:v>
      </x:c>
      <x:c r="S112" s="83" t="str">
        <x:v>Zonal p_nom input after mapping to PyPSA carrier.</x:v>
      </x:c>
      <x:c r="T112" s="83" t="str">
        <x:v>For 2023, distributed includes LV-connected plants and plants &lt;200 kW.</x:v>
      </x:c>
    </x:row>
    <x:row r="113">
      <x:c r="A113" s="83" t="str">
        <x:v>ZCAP-0109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Sardegna</x:v>
      </x:c>
      <x:c r="F113" s="83" t="str">
        <x:v>Solar</x:v>
      </x:c>
      <x:c r="G113" s="83" t="str">
        <x:v>Solare distribuito</x:v>
      </x:c>
      <x:c r="H113" s="83" t="str">
        <x:v>Distribuito</x:v>
      </x:c>
      <x:c r="I113" s="143" t="n">
        <x:v>0.4</x:v>
      </x:c>
      <x:c r="J113" s="83" t="str">
        <x:v>GW</x:v>
      </x:c>
      <x:c r="K113" s="83" t="str">
        <x:v>Dato osservato storico</x:v>
      </x:c>
      <x:c r="L113" s="83" t="str">
        <x:v>S09</x:v>
      </x:c>
      <x:c r="M113" s="83" t="str">
        <x:v>Documento_Descrizione_Scenari_2024_8dce2430d44d101.pdf</x:v>
      </x:c>
      <x:c r="N113" s="83" t="n">
        <x:v>60</x:v>
      </x:c>
      <x:c r="O113" s="83" t="n">
        <x:v>58</x:v>
      </x:c>
      <x:c r="P113" s="83" t="str">
        <x:v>Tabella 14</x:v>
      </x:c>
      <x:c r="Q113" s="83" t="str">
        <x:v>Direct table extraction; visual/text verification</x:v>
      </x:c>
      <x:c r="R113" s="83" t="str">
        <x:v>A - Direct</x:v>
      </x:c>
      <x:c r="S113" s="83" t="str">
        <x:v>Zonal p_nom input after mapping to PyPSA carrier.</x:v>
      </x:c>
      <x:c r="T113" s="83" t="str">
        <x:v>For 2023, distributed includes LV-connected plants and plants &lt;200 kW.</x:v>
      </x:c>
    </x:row>
    <x:row r="114">
      <x:c r="A114" s="83" t="str">
        <x:v>ZCAP-0110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Sardegna</x:v>
      </x:c>
      <x:c r="F114" s="83" t="str">
        <x:v>Solar</x:v>
      </x:c>
      <x:c r="G114" s="83" t="str">
        <x:v>Solare distribuito</x:v>
      </x:c>
      <x:c r="H114" s="83" t="str">
        <x:v>Distribuito</x:v>
      </x:c>
      <x:c r="I114" s="143" t="n">
        <x:v>1.1</x:v>
      </x:c>
      <x:c r="J114" s="83" t="str">
        <x:v>GW</x:v>
      </x:c>
      <x:c r="K114" s="83" t="str">
        <x:v>Assunzione di scenario</x:v>
      </x:c>
      <x:c r="L114" s="83" t="str">
        <x:v>S09</x:v>
      </x:c>
      <x:c r="M114" s="83" t="str">
        <x:v>Documento_Descrizione_Scenari_2024_8dce2430d44d101.pdf</x:v>
      </x:c>
      <x:c r="N114" s="83" t="n">
        <x:v>60</x:v>
      </x:c>
      <x:c r="O114" s="83" t="n">
        <x:v>58</x:v>
      </x:c>
      <x:c r="P114" s="83" t="str">
        <x:v>Tabella 14</x:v>
      </x:c>
      <x:c r="Q114" s="83" t="str">
        <x:v>Direct table extraction; visual/text verification</x:v>
      </x:c>
      <x:c r="R114" s="83" t="str">
        <x:v>A - Direct</x:v>
      </x:c>
      <x:c r="S114" s="83" t="str">
        <x:v>Zonal p_nom input after mapping to PyPSA carrier.</x:v>
      </x:c>
      <x:c r="T114" s="83" t="str">
        <x:v>For 2023, distributed includes LV-connected plants and plants &lt;200 kW.</x:v>
      </x:c>
    </x:row>
    <x:row r="115">
      <x:c r="A115" s="83" t="str">
        <x:v>ZCAP-0111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Sardegna</x:v>
      </x:c>
      <x:c r="F115" s="83" t="str">
        <x:v>Solar</x:v>
      </x:c>
      <x:c r="G115" s="83" t="str">
        <x:v>Solare distribuito</x:v>
      </x:c>
      <x:c r="H115" s="83" t="str">
        <x:v>Distribuito</x:v>
      </x:c>
      <x:c r="I115" s="143" t="n">
        <x:v>1.1</x:v>
      </x:c>
      <x:c r="J115" s="83" t="str">
        <x:v>GW</x:v>
      </x:c>
      <x:c r="K115" s="83" t="str">
        <x:v>Assunzione di scenario</x:v>
      </x:c>
      <x:c r="L115" s="83" t="str">
        <x:v>S09</x:v>
      </x:c>
      <x:c r="M115" s="83" t="str">
        <x:v>Documento_Descrizione_Scenari_2024_8dce2430d44d101.pdf</x:v>
      </x:c>
      <x:c r="N115" s="83" t="n">
        <x:v>60</x:v>
      </x:c>
      <x:c r="O115" s="83" t="n">
        <x:v>58</x:v>
      </x:c>
      <x:c r="P115" s="83" t="str">
        <x:v>Tabella 14</x:v>
      </x:c>
      <x:c r="Q115" s="83" t="str">
        <x:v>Direct table extraction; visual/text verification</x:v>
      </x:c>
      <x:c r="R115" s="83" t="str">
        <x:v>A - Direct</x:v>
      </x:c>
      <x:c r="S115" s="83" t="str">
        <x:v>Zonal p_nom input after mapping to PyPSA carrier.</x:v>
      </x:c>
      <x:c r="T115" s="83" t="str">
        <x:v>For 2023, distributed includes LV-connected plants and plants &lt;200 kW.</x:v>
      </x:c>
    </x:row>
    <x:row r="116">
      <x:c r="A116" s="83" t="str">
        <x:v>ZCAP-0112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Sardegna</x:v>
      </x:c>
      <x:c r="F116" s="83" t="str">
        <x:v>Solar</x:v>
      </x:c>
      <x:c r="G116" s="83" t="str">
        <x:v>Solare distribuito</x:v>
      </x:c>
      <x:c r="H116" s="83" t="str">
        <x:v>Distribuito</x:v>
      </x:c>
      <x:c r="I116" s="143" t="n">
        <x:v>1.4</x:v>
      </x:c>
      <x:c r="J116" s="83" t="str">
        <x:v>GW</x:v>
      </x:c>
      <x:c r="K116" s="83" t="str">
        <x:v>Assunzione di scenario</x:v>
      </x:c>
      <x:c r="L116" s="83" t="str">
        <x:v>S09</x:v>
      </x:c>
      <x:c r="M116" s="83" t="str">
        <x:v>Documento_Descrizione_Scenari_2024_8dce2430d44d101.pdf</x:v>
      </x:c>
      <x:c r="N116" s="83" t="n">
        <x:v>60</x:v>
      </x:c>
      <x:c r="O116" s="83" t="n">
        <x:v>58</x:v>
      </x:c>
      <x:c r="P116" s="83" t="str">
        <x:v>Tabella 14</x:v>
      </x:c>
      <x:c r="Q116" s="83" t="str">
        <x:v>Direct table extraction; visual/text verification</x:v>
      </x:c>
      <x:c r="R116" s="83" t="str">
        <x:v>A - Direct</x:v>
      </x:c>
      <x:c r="S116" s="83" t="str">
        <x:v>Zonal p_nom input after mapping to PyPSA carrier.</x:v>
      </x:c>
      <x:c r="T116" s="83" t="str">
        <x:v>For 2023, distributed includes LV-connected plants and plants &lt;200 kW.</x:v>
      </x:c>
    </x:row>
    <x:row r="117">
      <x:c r="A117" s="83" t="str">
        <x:v>ZCAP-0113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Sardegna</x:v>
      </x:c>
      <x:c r="F117" s="83" t="str">
        <x:v>Solar</x:v>
      </x:c>
      <x:c r="G117" s="83" t="str">
        <x:v>Solare distribuito</x:v>
      </x:c>
      <x:c r="H117" s="83" t="str">
        <x:v>Distribuito</x:v>
      </x:c>
      <x:c r="I117" s="143" t="n">
        <x:v>1.5</x:v>
      </x:c>
      <x:c r="J117" s="83" t="str">
        <x:v>GW</x:v>
      </x:c>
      <x:c r="K117" s="83" t="str">
        <x:v>Assunzione di scenario</x:v>
      </x:c>
      <x:c r="L117" s="83" t="str">
        <x:v>S09</x:v>
      </x:c>
      <x:c r="M117" s="83" t="str">
        <x:v>Documento_Descrizione_Scenari_2024_8dce2430d44d101.pdf</x:v>
      </x:c>
      <x:c r="N117" s="83" t="n">
        <x:v>60</x:v>
      </x:c>
      <x:c r="O117" s="83" t="n">
        <x:v>58</x:v>
      </x:c>
      <x:c r="P117" s="83" t="str">
        <x:v>Tabella 14</x:v>
      </x:c>
      <x:c r="Q117" s="83" t="str">
        <x:v>Direct table extraction; visual/text verification</x:v>
      </x:c>
      <x:c r="R117" s="83" t="str">
        <x:v>A - Direct</x:v>
      </x:c>
      <x:c r="S117" s="83" t="str">
        <x:v>Zonal p_nom input after mapping to PyPSA carrier.</x:v>
      </x:c>
      <x:c r="T117" s="83" t="str">
        <x:v>For 2023, distributed includes LV-connected plants and plants &lt;200 kW.</x:v>
      </x:c>
    </x:row>
    <x:row r="118">
      <x:c r="A118" s="83" t="str">
        <x:v>ZCAP-0114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Sardegna</x:v>
      </x:c>
      <x:c r="F118" s="83" t="str">
        <x:v>Solar</x:v>
      </x:c>
      <x:c r="G118" s="83" t="str">
        <x:v>Solare distribuito</x:v>
      </x:c>
      <x:c r="H118" s="83" t="str">
        <x:v>Distribuito</x:v>
      </x:c>
      <x:c r="I118" s="143" t="n">
        <x:v>1.4</x:v>
      </x:c>
      <x:c r="J118" s="83" t="str">
        <x:v>GW</x:v>
      </x:c>
      <x:c r="K118" s="83" t="str">
        <x:v>Assunzione di scenario</x:v>
      </x:c>
      <x:c r="L118" s="83" t="str">
        <x:v>S09</x:v>
      </x:c>
      <x:c r="M118" s="83" t="str">
        <x:v>Documento_Descrizione_Scenari_2024_8dce2430d44d101.pdf</x:v>
      </x:c>
      <x:c r="N118" s="83" t="n">
        <x:v>60</x:v>
      </x:c>
      <x:c r="O118" s="83" t="n">
        <x:v>58</x:v>
      </x:c>
      <x:c r="P118" s="83" t="str">
        <x:v>Tabella 14</x:v>
      </x:c>
      <x:c r="Q118" s="83" t="str">
        <x:v>Direct table extraction; visual/text verification</x:v>
      </x:c>
      <x:c r="R118" s="83" t="str">
        <x:v>A - Direct</x:v>
      </x:c>
      <x:c r="S118" s="83" t="str">
        <x:v>Zonal p_nom input after mapping to PyPSA carrier.</x:v>
      </x:c>
      <x:c r="T118" s="83" t="str">
        <x:v>For 2023, distributed includes LV-connected plants and plants &lt;200 kW.</x:v>
      </x:c>
    </x:row>
    <x:row r="119">
      <x:c r="A119" s="83" t="str">
        <x:v>ZCAP-0115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Sardegna</x:v>
      </x:c>
      <x:c r="F119" s="83" t="str">
        <x:v>Solar</x:v>
      </x:c>
      <x:c r="G119" s="83" t="str">
        <x:v>Solare distribuito</x:v>
      </x:c>
      <x:c r="H119" s="83" t="str">
        <x:v>Distribuito</x:v>
      </x:c>
      <x:c r="I119" s="143" t="n">
        <x:v>1.7</x:v>
      </x:c>
      <x:c r="J119" s="83" t="str">
        <x:v>GW</x:v>
      </x:c>
      <x:c r="K119" s="83" t="str">
        <x:v>Assunzione di scenario</x:v>
      </x:c>
      <x:c r="L119" s="83" t="str">
        <x:v>S09</x:v>
      </x:c>
      <x:c r="M119" s="83" t="str">
        <x:v>Documento_Descrizione_Scenari_2024_8dce2430d44d101.pdf</x:v>
      </x:c>
      <x:c r="N119" s="83" t="n">
        <x:v>60</x:v>
      </x:c>
      <x:c r="O119" s="83" t="n">
        <x:v>58</x:v>
      </x:c>
      <x:c r="P119" s="83" t="str">
        <x:v>Tabella 14</x:v>
      </x:c>
      <x:c r="Q119" s="83" t="str">
        <x:v>Direct table extraction; visual/text verification</x:v>
      </x:c>
      <x:c r="R119" s="83" t="str">
        <x:v>A - Direct</x:v>
      </x:c>
      <x:c r="S119" s="83" t="str">
        <x:v>Zonal p_nom input after mapping to PyPSA carrier.</x:v>
      </x:c>
      <x:c r="T119" s="83" t="str">
        <x:v>For 2023, distributed includes LV-connected plants and plants &lt;200 kW.</x:v>
      </x:c>
    </x:row>
    <x:row r="120">
      <x:c r="A120" s="83" t="str">
        <x:v>ZCAP-0116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Sardegna</x:v>
      </x:c>
      <x:c r="F120" s="83" t="str">
        <x:v>Solar</x:v>
      </x:c>
      <x:c r="G120" s="83" t="str">
        <x:v>Solare distribuito</x:v>
      </x:c>
      <x:c r="H120" s="83" t="str">
        <x:v>Distribuito</x:v>
      </x:c>
      <x:c r="I120" s="143" t="n">
        <x:v>1.8</x:v>
      </x:c>
      <x:c r="J120" s="83" t="str">
        <x:v>GW</x:v>
      </x:c>
      <x:c r="K120" s="83" t="str">
        <x:v>Assunzione di scenario</x:v>
      </x:c>
      <x:c r="L120" s="83" t="str">
        <x:v>S09</x:v>
      </x:c>
      <x:c r="M120" s="83" t="str">
        <x:v>Documento_Descrizione_Scenari_2024_8dce2430d44d101.pdf</x:v>
      </x:c>
      <x:c r="N120" s="83" t="n">
        <x:v>60</x:v>
      </x:c>
      <x:c r="O120" s="83" t="n">
        <x:v>58</x:v>
      </x:c>
      <x:c r="P120" s="83" t="str">
        <x:v>Tabella 14</x:v>
      </x:c>
      <x:c r="Q120" s="83" t="str">
        <x:v>Direct table extraction; visual/text verification</x:v>
      </x:c>
      <x:c r="R120" s="83" t="str">
        <x:v>A - Direct</x:v>
      </x:c>
      <x:c r="S120" s="83" t="str">
        <x:v>Zonal p_nom input after mapping to PyPSA carrier.</x:v>
      </x:c>
      <x:c r="T120" s="83" t="str">
        <x:v>For 2023, distributed includes LV-connected plants and plants &lt;200 kW.</x:v>
      </x:c>
    </x:row>
    <x:row r="121">
      <x:c r="A121" s="83" t="str">
        <x:v>ZCAP-0117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Sardegna</x:v>
      </x:c>
      <x:c r="F121" s="83" t="str">
        <x:v>Solar</x:v>
      </x:c>
      <x:c r="G121" s="83" t="str">
        <x:v>Solare distribuito</x:v>
      </x:c>
      <x:c r="H121" s="83" t="str">
        <x:v>Distribuito</x:v>
      </x:c>
      <x:c r="I121" s="143" t="n">
        <x:v>1.6</x:v>
      </x:c>
      <x:c r="J121" s="83" t="str">
        <x:v>GW</x:v>
      </x:c>
      <x:c r="K121" s="83" t="str">
        <x:v>Assunzione di scenario</x:v>
      </x:c>
      <x:c r="L121" s="83" t="str">
        <x:v>S09</x:v>
      </x:c>
      <x:c r="M121" s="83" t="str">
        <x:v>Documento_Descrizione_Scenari_2024_8dce2430d44d101.pdf</x:v>
      </x:c>
      <x:c r="N121" s="83" t="n">
        <x:v>60</x:v>
      </x:c>
      <x:c r="O121" s="83" t="n">
        <x:v>58</x:v>
      </x:c>
      <x:c r="P121" s="83" t="str">
        <x:v>Tabella 14</x:v>
      </x:c>
      <x:c r="Q121" s="83" t="str">
        <x:v>Direct table extraction; visual/text verification</x:v>
      </x:c>
      <x:c r="R121" s="83" t="str">
        <x:v>A - Direct</x:v>
      </x:c>
      <x:c r="S121" s="83" t="str">
        <x:v>Zonal p_nom input after mapping to PyPSA carrier.</x:v>
      </x:c>
      <x:c r="T121" s="83" t="str">
        <x:v>For 2023, distributed includes LV-connected plants and plants &lt;200 kW.</x:v>
      </x:c>
    </x:row>
    <x:row r="122">
      <x:c r="A122" s="83" t="str">
        <x:v>ZCAP-0118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Sardegna</x:v>
      </x:c>
      <x:c r="F122" s="83" t="str">
        <x:v>Solar</x:v>
      </x:c>
      <x:c r="G122" s="83" t="str">
        <x:v>Solare utility</x:v>
      </x:c>
      <x:c r="H122" s="83" t="str">
        <x:v>Utility</x:v>
      </x:c>
      <x:c r="I122" s="143" t="n">
        <x:v>1</x:v>
      </x:c>
      <x:c r="J122" s="83" t="str">
        <x:v>GW</x:v>
      </x:c>
      <x:c r="K122" s="83" t="str">
        <x:v>Dato osservato storico</x:v>
      </x:c>
      <x:c r="L122" s="83" t="str">
        <x:v>S09</x:v>
      </x:c>
      <x:c r="M122" s="83" t="str">
        <x:v>Documento_Descrizione_Scenari_2024_8dce2430d44d101.pdf</x:v>
      </x:c>
      <x:c r="N122" s="83" t="n">
        <x:v>60</x:v>
      </x:c>
      <x:c r="O122" s="83" t="n">
        <x:v>58</x:v>
      </x:c>
      <x:c r="P122" s="83" t="str">
        <x:v>Tabella 14</x:v>
      </x:c>
      <x:c r="Q122" s="83" t="str">
        <x:v>Direct table extraction; visual/text verification</x:v>
      </x:c>
      <x:c r="R122" s="83" t="str">
        <x:v>A - Direct</x:v>
      </x:c>
      <x:c r="S122" s="83" t="str">
        <x:v>Zonal p_nom input after mapping to PyPSA carrier.</x:v>
      </x:c>
      <x:c r="T122" s="83" t="str">
        <x:v>For 2023, distributed includes LV-connected plants and plants &lt;200 kW.</x:v>
      </x:c>
    </x:row>
    <x:row r="123">
      <x:c r="A123" s="83" t="str">
        <x:v>ZCAP-0119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Sardegna</x:v>
      </x:c>
      <x:c r="F123" s="83" t="str">
        <x:v>Solar</x:v>
      </x:c>
      <x:c r="G123" s="83" t="str">
        <x:v>Solare utility</x:v>
      </x:c>
      <x:c r="H123" s="83" t="str">
        <x:v>Utility</x:v>
      </x:c>
      <x:c r="I123" s="143" t="n">
        <x:v>4.1</x:v>
      </x:c>
      <x:c r="J123" s="83" t="str">
        <x:v>GW</x:v>
      </x:c>
      <x:c r="K123" s="83" t="str">
        <x:v>Assunzione di scenario</x:v>
      </x:c>
      <x:c r="L123" s="83" t="str">
        <x:v>S09</x:v>
      </x:c>
      <x:c r="M123" s="83" t="str">
        <x:v>Documento_Descrizione_Scenari_2024_8dce2430d44d101.pdf</x:v>
      </x:c>
      <x:c r="N123" s="83" t="n">
        <x:v>60</x:v>
      </x:c>
      <x:c r="O123" s="83" t="n">
        <x:v>58</x:v>
      </x:c>
      <x:c r="P123" s="83" t="str">
        <x:v>Tabella 14</x:v>
      </x:c>
      <x:c r="Q123" s="83" t="str">
        <x:v>Direct table extraction; visual/text verification</x:v>
      </x:c>
      <x:c r="R123" s="83" t="str">
        <x:v>A - Direct</x:v>
      </x:c>
      <x:c r="S123" s="83" t="str">
        <x:v>Zonal p_nom input after mapping to PyPSA carrier.</x:v>
      </x:c>
      <x:c r="T123" s="83" t="str">
        <x:v>For 2023, distributed includes LV-connected plants and plants &lt;200 kW.</x:v>
      </x:c>
    </x:row>
    <x:row r="124">
      <x:c r="A124" s="83" t="str">
        <x:v>ZCAP-0120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Sardegna</x:v>
      </x:c>
      <x:c r="F124" s="83" t="str">
        <x:v>Solar</x:v>
      </x:c>
      <x:c r="G124" s="83" t="str">
        <x:v>Solare utility</x:v>
      </x:c>
      <x:c r="H124" s="83" t="str">
        <x:v>Utility</x:v>
      </x:c>
      <x:c r="I124" s="143" t="n">
        <x:v>3.5</x:v>
      </x:c>
      <x:c r="J124" s="83" t="str">
        <x:v>GW</x:v>
      </x:c>
      <x:c r="K124" s="83" t="str">
        <x:v>Assunzione di scenario</x:v>
      </x:c>
      <x:c r="L124" s="83" t="str">
        <x:v>S09</x:v>
      </x:c>
      <x:c r="M124" s="83" t="str">
        <x:v>Documento_Descrizione_Scenari_2024_8dce2430d44d101.pdf</x:v>
      </x:c>
      <x:c r="N124" s="83" t="n">
        <x:v>60</x:v>
      </x:c>
      <x:c r="O124" s="83" t="n">
        <x:v>58</x:v>
      </x:c>
      <x:c r="P124" s="83" t="str">
        <x:v>Tabella 14</x:v>
      </x:c>
      <x:c r="Q124" s="83" t="str">
        <x:v>Direct table extraction; visual/text verification</x:v>
      </x:c>
      <x:c r="R124" s="83" t="str">
        <x:v>A - Direct</x:v>
      </x:c>
      <x:c r="S124" s="83" t="str">
        <x:v>Zonal p_nom input after mapping to PyPSA carrier.</x:v>
      </x:c>
      <x:c r="T124" s="83" t="str">
        <x:v>For 2023, distributed includes LV-connected plants and plants &lt;200 kW.</x:v>
      </x:c>
    </x:row>
    <x:row r="125">
      <x:c r="A125" s="83" t="str">
        <x:v>ZCAP-0121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Sardegna</x:v>
      </x:c>
      <x:c r="F125" s="83" t="str">
        <x:v>Solar</x:v>
      </x:c>
      <x:c r="G125" s="83" t="str">
        <x:v>Solare utility</x:v>
      </x:c>
      <x:c r="H125" s="83" t="str">
        <x:v>Utility</x:v>
      </x:c>
      <x:c r="I125" s="143" t="n">
        <x:v>5.9</x:v>
      </x:c>
      <x:c r="J125" s="83" t="str">
        <x:v>GW</x:v>
      </x:c>
      <x:c r="K125" s="83" t="str">
        <x:v>Assunzione di scenario</x:v>
      </x:c>
      <x:c r="L125" s="83" t="str">
        <x:v>S09</x:v>
      </x:c>
      <x:c r="M125" s="83" t="str">
        <x:v>Documento_Descrizione_Scenari_2024_8dce2430d44d101.pdf</x:v>
      </x:c>
      <x:c r="N125" s="83" t="n">
        <x:v>60</x:v>
      </x:c>
      <x:c r="O125" s="83" t="n">
        <x:v>58</x:v>
      </x:c>
      <x:c r="P125" s="83" t="str">
        <x:v>Tabella 14</x:v>
      </x:c>
      <x:c r="Q125" s="83" t="str">
        <x:v>Direct table extraction; visual/text verification</x:v>
      </x:c>
      <x:c r="R125" s="83" t="str">
        <x:v>A - Direct</x:v>
      </x:c>
      <x:c r="S125" s="83" t="str">
        <x:v>Zonal p_nom input after mapping to PyPSA carrier.</x:v>
      </x:c>
      <x:c r="T125" s="83" t="str">
        <x:v>For 2023, distributed includes LV-connected plants and plants &lt;200 kW.</x:v>
      </x:c>
    </x:row>
    <x:row r="126">
      <x:c r="A126" s="83" t="str">
        <x:v>ZCAP-0122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Sardegna</x:v>
      </x:c>
      <x:c r="F126" s="83" t="str">
        <x:v>Solar</x:v>
      </x:c>
      <x:c r="G126" s="83" t="str">
        <x:v>Solare utility</x:v>
      </x:c>
      <x:c r="H126" s="83" t="str">
        <x:v>Utility</x:v>
      </x:c>
      <x:c r="I126" s="143" t="n">
        <x:v>5.3</x:v>
      </x:c>
      <x:c r="J126" s="83" t="str">
        <x:v>GW</x:v>
      </x:c>
      <x:c r="K126" s="83" t="str">
        <x:v>Assunzione di scenario</x:v>
      </x:c>
      <x:c r="L126" s="83" t="str">
        <x:v>S09</x:v>
      </x:c>
      <x:c r="M126" s="83" t="str">
        <x:v>Documento_Descrizione_Scenari_2024_8dce2430d44d101.pdf</x:v>
      </x:c>
      <x:c r="N126" s="83" t="n">
        <x:v>60</x:v>
      </x:c>
      <x:c r="O126" s="83" t="n">
        <x:v>58</x:v>
      </x:c>
      <x:c r="P126" s="83" t="str">
        <x:v>Tabella 14</x:v>
      </x:c>
      <x:c r="Q126" s="83" t="str">
        <x:v>Direct table extraction; visual/text verification</x:v>
      </x:c>
      <x:c r="R126" s="83" t="str">
        <x:v>A - Direct</x:v>
      </x:c>
      <x:c r="S126" s="83" t="str">
        <x:v>Zonal p_nom input after mapping to PyPSA carrier.</x:v>
      </x:c>
      <x:c r="T126" s="83" t="str">
        <x:v>For 2023, distributed includes LV-connected plants and plants &lt;200 kW.</x:v>
      </x:c>
    </x:row>
    <x:row r="127">
      <x:c r="A127" s="83" t="str">
        <x:v>ZCAP-0123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Sardegna</x:v>
      </x:c>
      <x:c r="F127" s="83" t="str">
        <x:v>Solar</x:v>
      </x:c>
      <x:c r="G127" s="83" t="str">
        <x:v>Solare utility</x:v>
      </x:c>
      <x:c r="H127" s="83" t="str">
        <x:v>Utility</x:v>
      </x:c>
      <x:c r="I127" s="143" t="n">
        <x:v>4.9</x:v>
      </x:c>
      <x:c r="J127" s="83" t="str">
        <x:v>GW</x:v>
      </x:c>
      <x:c r="K127" s="83" t="str">
        <x:v>Assunzione di scenario</x:v>
      </x:c>
      <x:c r="L127" s="83" t="str">
        <x:v>S09</x:v>
      </x:c>
      <x:c r="M127" s="83" t="str">
        <x:v>Documento_Descrizione_Scenari_2024_8dce2430d44d101.pdf</x:v>
      </x:c>
      <x:c r="N127" s="83" t="n">
        <x:v>60</x:v>
      </x:c>
      <x:c r="O127" s="83" t="n">
        <x:v>58</x:v>
      </x:c>
      <x:c r="P127" s="83" t="str">
        <x:v>Tabella 14</x:v>
      </x:c>
      <x:c r="Q127" s="83" t="str">
        <x:v>Direct table extraction; visual/text verification</x:v>
      </x:c>
      <x:c r="R127" s="83" t="str">
        <x:v>A - Direct</x:v>
      </x:c>
      <x:c r="S127" s="83" t="str">
        <x:v>Zonal p_nom input after mapping to PyPSA carrier.</x:v>
      </x:c>
      <x:c r="T127" s="83" t="str">
        <x:v>For 2023, distributed includes LV-connected plants and plants &lt;200 kW.</x:v>
      </x:c>
    </x:row>
    <x:row r="128">
      <x:c r="A128" s="83" t="str">
        <x:v>ZCAP-0124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Sardegna</x:v>
      </x:c>
      <x:c r="F128" s="83" t="str">
        <x:v>Solar</x:v>
      </x:c>
      <x:c r="G128" s="83" t="str">
        <x:v>Solare utility</x:v>
      </x:c>
      <x:c r="H128" s="83" t="str">
        <x:v>Utility</x:v>
      </x:c>
      <x:c r="I128" s="143" t="n">
        <x:v>7.7</x:v>
      </x:c>
      <x:c r="J128" s="83" t="str">
        <x:v>GW</x:v>
      </x:c>
      <x:c r="K128" s="83" t="str">
        <x:v>Assunzione di scenario</x:v>
      </x:c>
      <x:c r="L128" s="83" t="str">
        <x:v>S09</x:v>
      </x:c>
      <x:c r="M128" s="83" t="str">
        <x:v>Documento_Descrizione_Scenari_2024_8dce2430d44d101.pdf</x:v>
      </x:c>
      <x:c r="N128" s="83" t="n">
        <x:v>60</x:v>
      </x:c>
      <x:c r="O128" s="83" t="n">
        <x:v>58</x:v>
      </x:c>
      <x:c r="P128" s="83" t="str">
        <x:v>Tabella 14</x:v>
      </x:c>
      <x:c r="Q128" s="83" t="str">
        <x:v>Direct table extraction; visual/text verification</x:v>
      </x:c>
      <x:c r="R128" s="83" t="str">
        <x:v>A - Direct</x:v>
      </x:c>
      <x:c r="S128" s="83" t="str">
        <x:v>Zonal p_nom input after mapping to PyPSA carrier.</x:v>
      </x:c>
      <x:c r="T128" s="83" t="str">
        <x:v>For 2023, distributed includes LV-connected plants and plants &lt;200 kW.</x:v>
      </x:c>
    </x:row>
    <x:row r="129">
      <x:c r="A129" s="83" t="str">
        <x:v>ZCAP-0125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Sardegna</x:v>
      </x:c>
      <x:c r="F129" s="83" t="str">
        <x:v>Solar</x:v>
      </x:c>
      <x:c r="G129" s="83" t="str">
        <x:v>Solare utility</x:v>
      </x:c>
      <x:c r="H129" s="83" t="str">
        <x:v>Utility</x:v>
      </x:c>
      <x:c r="I129" s="143" t="n">
        <x:v>6.6</x:v>
      </x:c>
      <x:c r="J129" s="83" t="str">
        <x:v>GW</x:v>
      </x:c>
      <x:c r="K129" s="83" t="str">
        <x:v>Assunzione di scenario</x:v>
      </x:c>
      <x:c r="L129" s="83" t="str">
        <x:v>S09</x:v>
      </x:c>
      <x:c r="M129" s="83" t="str">
        <x:v>Documento_Descrizione_Scenari_2024_8dce2430d44d101.pdf</x:v>
      </x:c>
      <x:c r="N129" s="83" t="n">
        <x:v>60</x:v>
      </x:c>
      <x:c r="O129" s="83" t="n">
        <x:v>58</x:v>
      </x:c>
      <x:c r="P129" s="83" t="str">
        <x:v>Tabella 14</x:v>
      </x:c>
      <x:c r="Q129" s="83" t="str">
        <x:v>Direct table extraction; visual/text verification</x:v>
      </x:c>
      <x:c r="R129" s="83" t="str">
        <x:v>A - Direct</x:v>
      </x:c>
      <x:c r="S129" s="83" t="str">
        <x:v>Zonal p_nom input after mapping to PyPSA carrier.</x:v>
      </x:c>
      <x:c r="T129" s="83" t="str">
        <x:v>For 2023, distributed includes LV-connected plants and plants &lt;200 kW.</x:v>
      </x:c>
    </x:row>
    <x:row r="130">
      <x:c r="A130" s="83" t="str">
        <x:v>ZCAP-0126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Sardegna</x:v>
      </x:c>
      <x:c r="F130" s="83" t="str">
        <x:v>Solar</x:v>
      </x:c>
      <x:c r="G130" s="83" t="str">
        <x:v>Solare utility</x:v>
      </x:c>
      <x:c r="H130" s="83" t="str">
        <x:v>Utility</x:v>
      </x:c>
      <x:c r="I130" s="143" t="n">
        <x:v>6.4</x:v>
      </x:c>
      <x:c r="J130" s="83" t="str">
        <x:v>GW</x:v>
      </x:c>
      <x:c r="K130" s="83" t="str">
        <x:v>Assunzione di scenario</x:v>
      </x:c>
      <x:c r="L130" s="83" t="str">
        <x:v>S09</x:v>
      </x:c>
      <x:c r="M130" s="83" t="str">
        <x:v>Documento_Descrizione_Scenari_2024_8dce2430d44d101.pdf</x:v>
      </x:c>
      <x:c r="N130" s="83" t="n">
        <x:v>60</x:v>
      </x:c>
      <x:c r="O130" s="83" t="n">
        <x:v>58</x:v>
      </x:c>
      <x:c r="P130" s="83" t="str">
        <x:v>Tabella 14</x:v>
      </x:c>
      <x:c r="Q130" s="83" t="str">
        <x:v>Direct table extraction; visual/text verification</x:v>
      </x:c>
      <x:c r="R130" s="83" t="str">
        <x:v>A - Direct</x:v>
      </x:c>
      <x:c r="S130" s="83" t="str">
        <x:v>Zonal p_nom input after mapping to PyPSA carrier.</x:v>
      </x:c>
      <x:c r="T130" s="83" t="str">
        <x:v>For 2023, distributed includes LV-connected plants and plants &lt;200 kW.</x:v>
      </x:c>
    </x:row>
    <x:row r="131">
      <x:c r="A131" s="83" t="str">
        <x:v>ZCAP-0127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Nord</x:v>
      </x:c>
      <x:c r="F131" s="83" t="str">
        <x:v>Wind</x:v>
      </x:c>
      <x:c r="G131" s="83" t="str">
        <x:v>Eolico onshore</x:v>
      </x:c>
      <x:c r="H131" s="83" t="str">
        <x:v>Distribuito</x:v>
      </x:c>
      <x:c r="I131" s="143" t="n">
        <x:v>0.2</x:v>
      </x:c>
      <x:c r="J131" s="83" t="str">
        <x:v>GW</x:v>
      </x:c>
      <x:c r="K131" s="83" t="str">
        <x:v>Dato osservato storico</x:v>
      </x:c>
      <x:c r="L131" s="83" t="str">
        <x:v>S09</x:v>
      </x:c>
      <x:c r="M131" s="83" t="str">
        <x:v>Documento_Descrizione_Scenari_2024_8dce2430d44d101.pdf</x:v>
      </x:c>
      <x:c r="N131" s="83" t="n">
        <x:v>61</x:v>
      </x:c>
      <x:c r="O131" s="83" t="n">
        <x:v>59</x:v>
      </x:c>
      <x:c r="P131" s="83" t="str">
        <x:v>Tabella 15</x:v>
      </x:c>
      <x:c r="Q131" s="83" t="str">
        <x:v>Direct table extraction; visual/text verification</x:v>
      </x:c>
      <x:c r="R131" s="83" t="str">
        <x:v>A - Direct</x:v>
      </x:c>
      <x:c r="S131" s="83" t="str">
        <x:v>Zonal p_nom input after mapping to PyPSA carrier.</x:v>
      </x:c>
      <x:c r="T131" s="83" t="str">
        <x:v>Table source labels rows as Distribuito/Utility; standardized as onshore/offshore.</x:v>
      </x:c>
    </x:row>
    <x:row r="132">
      <x:c r="A132" s="83" t="str">
        <x:v>ZCAP-0128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Nord</x:v>
      </x:c>
      <x:c r="F132" s="83" t="str">
        <x:v>Wind</x:v>
      </x:c>
      <x:c r="G132" s="83" t="str">
        <x:v>Eolico onshore</x:v>
      </x:c>
      <x:c r="H132" s="83" t="str">
        <x:v>Distribuito</x:v>
      </x:c>
      <x:c r="I132" s="143" t="n">
        <x:v>0.4</x:v>
      </x:c>
      <x:c r="J132" s="83" t="str">
        <x:v>GW</x:v>
      </x:c>
      <x:c r="K132" s="83" t="str">
        <x:v>Assunzione di scenario</x:v>
      </x:c>
      <x:c r="L132" s="83" t="str">
        <x:v>S09</x:v>
      </x:c>
      <x:c r="M132" s="83" t="str">
        <x:v>Documento_Descrizione_Scenari_2024_8dce2430d44d101.pdf</x:v>
      </x:c>
      <x:c r="N132" s="83" t="n">
        <x:v>61</x:v>
      </x:c>
      <x:c r="O132" s="83" t="n">
        <x:v>59</x:v>
      </x:c>
      <x:c r="P132" s="83" t="str">
        <x:v>Tabella 15</x:v>
      </x:c>
      <x:c r="Q132" s="83" t="str">
        <x:v>Direct table extraction; visual/text verification</x:v>
      </x:c>
      <x:c r="R132" s="83" t="str">
        <x:v>A - Direct</x:v>
      </x:c>
      <x:c r="S132" s="83" t="str">
        <x:v>Zonal p_nom input after mapping to PyPSA carrier.</x:v>
      </x:c>
      <x:c r="T132" s="83" t="str">
        <x:v>Table source labels rows as Distribuito/Utility; standardized as onshore/offshore.</x:v>
      </x:c>
    </x:row>
    <x:row r="133">
      <x:c r="A133" s="83" t="str">
        <x:v>ZCAP-0129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Nord</x:v>
      </x:c>
      <x:c r="F133" s="83" t="str">
        <x:v>Wind</x:v>
      </x:c>
      <x:c r="G133" s="83" t="str">
        <x:v>Eolico onshore</x:v>
      </x:c>
      <x:c r="H133" s="83" t="str">
        <x:v>Distribuito</x:v>
      </x:c>
      <x:c r="I133" s="143" t="n">
        <x:v>0.4</x:v>
      </x:c>
      <x:c r="J133" s="83" t="str">
        <x:v>GW</x:v>
      </x:c>
      <x:c r="K133" s="83" t="str">
        <x:v>Assunzione di scenario</x:v>
      </x:c>
      <x:c r="L133" s="83" t="str">
        <x:v>S09</x:v>
      </x:c>
      <x:c r="M133" s="83" t="str">
        <x:v>Documento_Descrizione_Scenari_2024_8dce2430d44d101.pdf</x:v>
      </x:c>
      <x:c r="N133" s="83" t="n">
        <x:v>61</x:v>
      </x:c>
      <x:c r="O133" s="83" t="n">
        <x:v>59</x:v>
      </x:c>
      <x:c r="P133" s="83" t="str">
        <x:v>Tabella 15</x:v>
      </x:c>
      <x:c r="Q133" s="83" t="str">
        <x:v>Direct table extraction; visual/text verification</x:v>
      </x:c>
      <x:c r="R133" s="83" t="str">
        <x:v>A - Direct</x:v>
      </x:c>
      <x:c r="S133" s="83" t="str">
        <x:v>Zonal p_nom input after mapping to PyPSA carrier.</x:v>
      </x:c>
      <x:c r="T133" s="83" t="str">
        <x:v>Table source labels rows as Distribuito/Utility; standardized as onshore/offshore.</x:v>
      </x:c>
    </x:row>
    <x:row r="134">
      <x:c r="A134" s="83" t="str">
        <x:v>ZCAP-0130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Nord</x:v>
      </x:c>
      <x:c r="F134" s="83" t="str">
        <x:v>Wind</x:v>
      </x:c>
      <x:c r="G134" s="83" t="str">
        <x:v>Eolico onshore</x:v>
      </x:c>
      <x:c r="H134" s="83" t="str">
        <x:v>Distribuito</x:v>
      </x:c>
      <x:c r="I134" s="143" t="n">
        <x:v>0.5</x:v>
      </x:c>
      <x:c r="J134" s="83" t="str">
        <x:v>GW</x:v>
      </x:c>
      <x:c r="K134" s="83" t="str">
        <x:v>Assunzione di scenario</x:v>
      </x:c>
      <x:c r="L134" s="83" t="str">
        <x:v>S09</x:v>
      </x:c>
      <x:c r="M134" s="83" t="str">
        <x:v>Documento_Descrizione_Scenari_2024_8dce2430d44d101.pdf</x:v>
      </x:c>
      <x:c r="N134" s="83" t="n">
        <x:v>61</x:v>
      </x:c>
      <x:c r="O134" s="83" t="n">
        <x:v>59</x:v>
      </x:c>
      <x:c r="P134" s="83" t="str">
        <x:v>Tabella 15</x:v>
      </x:c>
      <x:c r="Q134" s="83" t="str">
        <x:v>Direct table extraction; visual/text verification</x:v>
      </x:c>
      <x:c r="R134" s="83" t="str">
        <x:v>A - Direct</x:v>
      </x:c>
      <x:c r="S134" s="83" t="str">
        <x:v>Zonal p_nom input after mapping to PyPSA carrier.</x:v>
      </x:c>
      <x:c r="T134" s="83" t="str">
        <x:v>Table source labels rows as Distribuito/Utility; standardized as onshore/offshore.</x:v>
      </x:c>
    </x:row>
    <x:row r="135">
      <x:c r="A135" s="83" t="str">
        <x:v>ZCAP-0131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Nord</x:v>
      </x:c>
      <x:c r="F135" s="83" t="str">
        <x:v>Wind</x:v>
      </x:c>
      <x:c r="G135" s="83" t="str">
        <x:v>Eolico onshore</x:v>
      </x:c>
      <x:c r="H135" s="83" t="str">
        <x:v>Distribuito</x:v>
      </x:c>
      <x:c r="I135" s="143" t="n">
        <x:v>0.5</x:v>
      </x:c>
      <x:c r="J135" s="83" t="str">
        <x:v>GW</x:v>
      </x:c>
      <x:c r="K135" s="83" t="str">
        <x:v>Assunzione di scenario</x:v>
      </x:c>
      <x:c r="L135" s="83" t="str">
        <x:v>S09</x:v>
      </x:c>
      <x:c r="M135" s="83" t="str">
        <x:v>Documento_Descrizione_Scenari_2024_8dce2430d44d101.pdf</x:v>
      </x:c>
      <x:c r="N135" s="83" t="n">
        <x:v>61</x:v>
      </x:c>
      <x:c r="O135" s="83" t="n">
        <x:v>59</x:v>
      </x:c>
      <x:c r="P135" s="83" t="str">
        <x:v>Tabella 15</x:v>
      </x:c>
      <x:c r="Q135" s="83" t="str">
        <x:v>Direct table extraction; visual/text verification</x:v>
      </x:c>
      <x:c r="R135" s="83" t="str">
        <x:v>A - Direct</x:v>
      </x:c>
      <x:c r="S135" s="83" t="str">
        <x:v>Zonal p_nom input after mapping to PyPSA carrier.</x:v>
      </x:c>
      <x:c r="T135" s="83" t="str">
        <x:v>Table source labels rows as Distribuito/Utility; standardized as onshore/offshore.</x:v>
      </x:c>
    </x:row>
    <x:row r="136">
      <x:c r="A136" s="83" t="str">
        <x:v>ZCAP-0132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Nord</x:v>
      </x:c>
      <x:c r="F136" s="83" t="str">
        <x:v>Wind</x:v>
      </x:c>
      <x:c r="G136" s="83" t="str">
        <x:v>Eolico onshore</x:v>
      </x:c>
      <x:c r="H136" s="83" t="str">
        <x:v>Distribuito</x:v>
      </x:c>
      <x:c r="I136" s="143" t="n">
        <x:v>0.5</x:v>
      </x:c>
      <x:c r="J136" s="83" t="str">
        <x:v>GW</x:v>
      </x:c>
      <x:c r="K136" s="83" t="str">
        <x:v>Assunzione di scenario</x:v>
      </x:c>
      <x:c r="L136" s="83" t="str">
        <x:v>S09</x:v>
      </x:c>
      <x:c r="M136" s="83" t="str">
        <x:v>Documento_Descrizione_Scenari_2024_8dce2430d44d101.pdf</x:v>
      </x:c>
      <x:c r="N136" s="83" t="n">
        <x:v>61</x:v>
      </x:c>
      <x:c r="O136" s="83" t="n">
        <x:v>59</x:v>
      </x:c>
      <x:c r="P136" s="83" t="str">
        <x:v>Tabella 15</x:v>
      </x:c>
      <x:c r="Q136" s="83" t="str">
        <x:v>Direct table extraction; visual/text verification</x:v>
      </x:c>
      <x:c r="R136" s="83" t="str">
        <x:v>A - Direct</x:v>
      </x:c>
      <x:c r="S136" s="83" t="str">
        <x:v>Zonal p_nom input after mapping to PyPSA carrier.</x:v>
      </x:c>
      <x:c r="T136" s="83" t="str">
        <x:v>Table source labels rows as Distribuito/Utility; standardized as onshore/offshore.</x:v>
      </x:c>
    </x:row>
    <x:row r="137">
      <x:c r="A137" s="83" t="str">
        <x:v>ZCAP-0133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Nord</x:v>
      </x:c>
      <x:c r="F137" s="83" t="str">
        <x:v>Wind</x:v>
      </x:c>
      <x:c r="G137" s="83" t="str">
        <x:v>Eolico onshore</x:v>
      </x:c>
      <x:c r="H137" s="83" t="str">
        <x:v>Distribuito</x:v>
      </x:c>
      <x:c r="I137" s="143" t="n">
        <x:v>0.6</x:v>
      </x:c>
      <x:c r="J137" s="83" t="str">
        <x:v>GW</x:v>
      </x:c>
      <x:c r="K137" s="83" t="str">
        <x:v>Assunzione di scenario</x:v>
      </x:c>
      <x:c r="L137" s="83" t="str">
        <x:v>S09</x:v>
      </x:c>
      <x:c r="M137" s="83" t="str">
        <x:v>Documento_Descrizione_Scenari_2024_8dce2430d44d101.pdf</x:v>
      </x:c>
      <x:c r="N137" s="83" t="n">
        <x:v>61</x:v>
      </x:c>
      <x:c r="O137" s="83" t="n">
        <x:v>59</x:v>
      </x:c>
      <x:c r="P137" s="83" t="str">
        <x:v>Tabella 15</x:v>
      </x:c>
      <x:c r="Q137" s="83" t="str">
        <x:v>Direct table extraction; visual/text verification</x:v>
      </x:c>
      <x:c r="R137" s="83" t="str">
        <x:v>A - Direct</x:v>
      </x:c>
      <x:c r="S137" s="83" t="str">
        <x:v>Zonal p_nom input after mapping to PyPSA carrier.</x:v>
      </x:c>
      <x:c r="T137" s="83" t="str">
        <x:v>Table source labels rows as Distribuito/Utility; standardized as onshore/offshore.</x:v>
      </x:c>
    </x:row>
    <x:row r="138">
      <x:c r="A138" s="83" t="str">
        <x:v>ZCAP-0134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Nord</x:v>
      </x:c>
      <x:c r="F138" s="83" t="str">
        <x:v>Wind</x:v>
      </x:c>
      <x:c r="G138" s="83" t="str">
        <x:v>Eolico onshore</x:v>
      </x:c>
      <x:c r="H138" s="83" t="str">
        <x:v>Distribuito</x:v>
      </x:c>
      <x:c r="I138" s="143" t="n">
        <x:v>0.5</x:v>
      </x:c>
      <x:c r="J138" s="83" t="str">
        <x:v>GW</x:v>
      </x:c>
      <x:c r="K138" s="83" t="str">
        <x:v>Assunzione di scenario</x:v>
      </x:c>
      <x:c r="L138" s="83" t="str">
        <x:v>S09</x:v>
      </x:c>
      <x:c r="M138" s="83" t="str">
        <x:v>Documento_Descrizione_Scenari_2024_8dce2430d44d101.pdf</x:v>
      </x:c>
      <x:c r="N138" s="83" t="n">
        <x:v>61</x:v>
      </x:c>
      <x:c r="O138" s="83" t="n">
        <x:v>59</x:v>
      </x:c>
      <x:c r="P138" s="83" t="str">
        <x:v>Tabella 15</x:v>
      </x:c>
      <x:c r="Q138" s="83" t="str">
        <x:v>Direct table extraction; visual/text verification</x:v>
      </x:c>
      <x:c r="R138" s="83" t="str">
        <x:v>A - Direct</x:v>
      </x:c>
      <x:c r="S138" s="83" t="str">
        <x:v>Zonal p_nom input after mapping to PyPSA carrier.</x:v>
      </x:c>
      <x:c r="T138" s="83" t="str">
        <x:v>Table source labels rows as Distribuito/Utility; standardized as onshore/offshore.</x:v>
      </x:c>
    </x:row>
    <x:row r="139">
      <x:c r="A139" s="83" t="str">
        <x:v>ZCAP-0135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Nord</x:v>
      </x:c>
      <x:c r="F139" s="83" t="str">
        <x:v>Wind</x:v>
      </x:c>
      <x:c r="G139" s="83" t="str">
        <x:v>Eolico onshore</x:v>
      </x:c>
      <x:c r="H139" s="83" t="str">
        <x:v>Distribuito</x:v>
      </x:c>
      <x:c r="I139" s="143" t="n">
        <x:v>0.6</x:v>
      </x:c>
      <x:c r="J139" s="83" t="str">
        <x:v>GW</x:v>
      </x:c>
      <x:c r="K139" s="83" t="str">
        <x:v>Assunzione di scenario</x:v>
      </x:c>
      <x:c r="L139" s="83" t="str">
        <x:v>S09</x:v>
      </x:c>
      <x:c r="M139" s="83" t="str">
        <x:v>Documento_Descrizione_Scenari_2024_8dce2430d44d101.pdf</x:v>
      </x:c>
      <x:c r="N139" s="83" t="n">
        <x:v>61</x:v>
      </x:c>
      <x:c r="O139" s="83" t="n">
        <x:v>59</x:v>
      </x:c>
      <x:c r="P139" s="83" t="str">
        <x:v>Tabella 15</x:v>
      </x:c>
      <x:c r="Q139" s="83" t="str">
        <x:v>Direct table extraction; visual/text verification</x:v>
      </x:c>
      <x:c r="R139" s="83" t="str">
        <x:v>A - Direct</x:v>
      </x:c>
      <x:c r="S139" s="83" t="str">
        <x:v>Zonal p_nom input after mapping to PyPSA carrier.</x:v>
      </x:c>
      <x:c r="T139" s="83" t="str">
        <x:v>Table source labels rows as Distribuito/Utility; standardized as onshore/offshore.</x:v>
      </x:c>
    </x:row>
    <x:row r="140">
      <x:c r="A140" s="83" t="str">
        <x:v>ZCAP-0136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Nord</x:v>
      </x:c>
      <x:c r="F140" s="83" t="str">
        <x:v>Wind</x:v>
      </x:c>
      <x:c r="G140" s="83" t="str">
        <x:v>Eolico offshore</x:v>
      </x:c>
      <x:c r="H140" s="83" t="str">
        <x:v>Utility</x:v>
      </x:c>
      <x:c r="I140" s="143" t="n">
        <x:v>0</x:v>
      </x:c>
      <x:c r="J140" s="83" t="str">
        <x:v>GW</x:v>
      </x:c>
      <x:c r="K140" s="83" t="str">
        <x:v>Dato osservato storico</x:v>
      </x:c>
      <x:c r="L140" s="83" t="str">
        <x:v>S09</x:v>
      </x:c>
      <x:c r="M140" s="83" t="str">
        <x:v>Documento_Descrizione_Scenari_2024_8dce2430d44d101.pdf</x:v>
      </x:c>
      <x:c r="N140" s="83" t="n">
        <x:v>61</x:v>
      </x:c>
      <x:c r="O140" s="83" t="n">
        <x:v>59</x:v>
      </x:c>
      <x:c r="P140" s="83" t="str">
        <x:v>Tabella 15</x:v>
      </x:c>
      <x:c r="Q140" s="83" t="str">
        <x:v>Direct table extraction; visual/text verification</x:v>
      </x:c>
      <x:c r="R140" s="83" t="str">
        <x:v>A - Direct</x:v>
      </x:c>
      <x:c r="S140" s="83" t="str">
        <x:v>Zonal p_nom input after mapping to PyPSA carrier.</x:v>
      </x:c>
      <x:c r="T140" s="83" t="str">
        <x:v>Table source labels rows as Distribuito/Utility; standardized as onshore/offshore.</x:v>
      </x:c>
    </x:row>
    <x:row r="141">
      <x:c r="A141" s="83" t="str">
        <x:v>ZCAP-0137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Nord</x:v>
      </x:c>
      <x:c r="F141" s="83" t="str">
        <x:v>Wind</x:v>
      </x:c>
      <x:c r="G141" s="83" t="str">
        <x:v>Eolico offshore</x:v>
      </x:c>
      <x:c r="H141" s="83" t="str">
        <x:v>Utility</x:v>
      </x:c>
      <x:c r="I141" s="143" t="n">
        <x:v>0.2</x:v>
      </x:c>
      <x:c r="J141" s="83" t="str">
        <x:v>GW</x:v>
      </x:c>
      <x:c r="K141" s="83" t="str">
        <x:v>Assunzione di scenario</x:v>
      </x:c>
      <x:c r="L141" s="83" t="str">
        <x:v>S09</x:v>
      </x:c>
      <x:c r="M141" s="83" t="str">
        <x:v>Documento_Descrizione_Scenari_2024_8dce2430d44d101.pdf</x:v>
      </x:c>
      <x:c r="N141" s="83" t="n">
        <x:v>61</x:v>
      </x:c>
      <x:c r="O141" s="83" t="n">
        <x:v>59</x:v>
      </x:c>
      <x:c r="P141" s="83" t="str">
        <x:v>Tabella 15</x:v>
      </x:c>
      <x:c r="Q141" s="83" t="str">
        <x:v>Direct table extraction; visual/text verification</x:v>
      </x:c>
      <x:c r="R141" s="83" t="str">
        <x:v>A - Direct</x:v>
      </x:c>
      <x:c r="S141" s="83" t="str">
        <x:v>Zonal p_nom input after mapping to PyPSA carrier.</x:v>
      </x:c>
      <x:c r="T141" s="83" t="str">
        <x:v>Table source labels rows as Distribuito/Utility; standardized as onshore/offshore.</x:v>
      </x:c>
    </x:row>
    <x:row r="142">
      <x:c r="A142" s="83" t="str">
        <x:v>ZCAP-0138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Nord</x:v>
      </x:c>
      <x:c r="F142" s="83" t="str">
        <x:v>Wind</x:v>
      </x:c>
      <x:c r="G142" s="83" t="str">
        <x:v>Eolico offshore</x:v>
      </x:c>
      <x:c r="H142" s="83" t="str">
        <x:v>Utility</x:v>
      </x:c>
      <x:c r="I142" s="143" t="n">
        <x:v>0.1</x:v>
      </x:c>
      <x:c r="J142" s="83" t="str">
        <x:v>GW</x:v>
      </x:c>
      <x:c r="K142" s="83" t="str">
        <x:v>Assunzione di scenario</x:v>
      </x:c>
      <x:c r="L142" s="83" t="str">
        <x:v>S09</x:v>
      </x:c>
      <x:c r="M142" s="83" t="str">
        <x:v>Documento_Descrizione_Scenari_2024_8dce2430d44d101.pdf</x:v>
      </x:c>
      <x:c r="N142" s="83" t="n">
        <x:v>61</x:v>
      </x:c>
      <x:c r="O142" s="83" t="n">
        <x:v>59</x:v>
      </x:c>
      <x:c r="P142" s="83" t="str">
        <x:v>Tabella 15</x:v>
      </x:c>
      <x:c r="Q142" s="83" t="str">
        <x:v>Direct table extraction; visual/text verification</x:v>
      </x:c>
      <x:c r="R142" s="83" t="str">
        <x:v>A - Direct</x:v>
      </x:c>
      <x:c r="S142" s="83" t="str">
        <x:v>Zonal p_nom input after mapping to PyPSA carrier.</x:v>
      </x:c>
      <x:c r="T142" s="83" t="str">
        <x:v>Table source labels rows as Distribuito/Utility; standardized as onshore/offshore.</x:v>
      </x:c>
    </x:row>
    <x:row r="143">
      <x:c r="A143" s="83" t="str">
        <x:v>ZCAP-0139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Nord</x:v>
      </x:c>
      <x:c r="F143" s="83" t="str">
        <x:v>Wind</x:v>
      </x:c>
      <x:c r="G143" s="83" t="str">
        <x:v>Eolico offshore</x:v>
      </x:c>
      <x:c r="H143" s="83" t="str">
        <x:v>Utility</x:v>
      </x:c>
      <x:c r="I143" s="143" t="n">
        <x:v>0.7</x:v>
      </x:c>
      <x:c r="J143" s="83" t="str">
        <x:v>GW</x:v>
      </x:c>
      <x:c r="K143" s="83" t="str">
        <x:v>Assunzione di scenario</x:v>
      </x:c>
      <x:c r="L143" s="83" t="str">
        <x:v>S09</x:v>
      </x:c>
      <x:c r="M143" s="83" t="str">
        <x:v>Documento_Descrizione_Scenari_2024_8dce2430d44d101.pdf</x:v>
      </x:c>
      <x:c r="N143" s="83" t="n">
        <x:v>61</x:v>
      </x:c>
      <x:c r="O143" s="83" t="n">
        <x:v>59</x:v>
      </x:c>
      <x:c r="P143" s="83" t="str">
        <x:v>Tabella 15</x:v>
      </x:c>
      <x:c r="Q143" s="83" t="str">
        <x:v>Direct table extraction; visual/text verification</x:v>
      </x:c>
      <x:c r="R143" s="83" t="str">
        <x:v>A - Direct</x:v>
      </x:c>
      <x:c r="S143" s="83" t="str">
        <x:v>Zonal p_nom input after mapping to PyPSA carrier.</x:v>
      </x:c>
      <x:c r="T143" s="83" t="str">
        <x:v>Table source labels rows as Distribuito/Utility; standardized as onshore/offshore.</x:v>
      </x:c>
    </x:row>
    <x:row r="144">
      <x:c r="A144" s="83" t="str">
        <x:v>ZCAP-0140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Nord</x:v>
      </x:c>
      <x:c r="F144" s="83" t="str">
        <x:v>Wind</x:v>
      </x:c>
      <x:c r="G144" s="83" t="str">
        <x:v>Eolico offshore</x:v>
      </x:c>
      <x:c r="H144" s="83" t="str">
        <x:v>Utility</x:v>
      </x:c>
      <x:c r="I144" s="143" t="n">
        <x:v>0.6</x:v>
      </x:c>
      <x:c r="J144" s="83" t="str">
        <x:v>GW</x:v>
      </x:c>
      <x:c r="K144" s="83" t="str">
        <x:v>Assunzione di scenario</x:v>
      </x:c>
      <x:c r="L144" s="83" t="str">
        <x:v>S09</x:v>
      </x:c>
      <x:c r="M144" s="83" t="str">
        <x:v>Documento_Descrizione_Scenari_2024_8dce2430d44d101.pdf</x:v>
      </x:c>
      <x:c r="N144" s="83" t="n">
        <x:v>61</x:v>
      </x:c>
      <x:c r="O144" s="83" t="n">
        <x:v>59</x:v>
      </x:c>
      <x:c r="P144" s="83" t="str">
        <x:v>Tabella 15</x:v>
      </x:c>
      <x:c r="Q144" s="83" t="str">
        <x:v>Direct table extraction; visual/text verification</x:v>
      </x:c>
      <x:c r="R144" s="83" t="str">
        <x:v>A - Direct</x:v>
      </x:c>
      <x:c r="S144" s="83" t="str">
        <x:v>Zonal p_nom input after mapping to PyPSA carrier.</x:v>
      </x:c>
      <x:c r="T144" s="83" t="str">
        <x:v>Table source labels rows as Distribuito/Utility; standardized as onshore/offshore.</x:v>
      </x:c>
    </x:row>
    <x:row r="145">
      <x:c r="A145" s="83" t="str">
        <x:v>ZCAP-0141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Nord</x:v>
      </x:c>
      <x:c r="F145" s="83" t="str">
        <x:v>Wind</x:v>
      </x:c>
      <x:c r="G145" s="83" t="str">
        <x:v>Eolico offshore</x:v>
      </x:c>
      <x:c r="H145" s="83" t="str">
        <x:v>Utility</x:v>
      </x:c>
      <x:c r="I145" s="143" t="n">
        <x:v>0.4</x:v>
      </x:c>
      <x:c r="J145" s="83" t="str">
        <x:v>GW</x:v>
      </x:c>
      <x:c r="K145" s="83" t="str">
        <x:v>Assunzione di scenario</x:v>
      </x:c>
      <x:c r="L145" s="83" t="str">
        <x:v>S09</x:v>
      </x:c>
      <x:c r="M145" s="83" t="str">
        <x:v>Documento_Descrizione_Scenari_2024_8dce2430d44d101.pdf</x:v>
      </x:c>
      <x:c r="N145" s="83" t="n">
        <x:v>61</x:v>
      </x:c>
      <x:c r="O145" s="83" t="n">
        <x:v>59</x:v>
      </x:c>
      <x:c r="P145" s="83" t="str">
        <x:v>Tabella 15</x:v>
      </x:c>
      <x:c r="Q145" s="83" t="str">
        <x:v>Direct table extraction; visual/text verification</x:v>
      </x:c>
      <x:c r="R145" s="83" t="str">
        <x:v>A - Direct</x:v>
      </x:c>
      <x:c r="S145" s="83" t="str">
        <x:v>Zonal p_nom input after mapping to PyPSA carrier.</x:v>
      </x:c>
      <x:c r="T145" s="83" t="str">
        <x:v>Table source labels rows as Distribuito/Utility; standardized as onshore/offshore.</x:v>
      </x:c>
    </x:row>
    <x:row r="146">
      <x:c r="A146" s="83" t="str">
        <x:v>ZCAP-0142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Nord</x:v>
      </x:c>
      <x:c r="F146" s="83" t="str">
        <x:v>Wind</x:v>
      </x:c>
      <x:c r="G146" s="83" t="str">
        <x:v>Eolico offshore</x:v>
      </x:c>
      <x:c r="H146" s="83" t="str">
        <x:v>Utility</x:v>
      </x:c>
      <x:c r="I146" s="143" t="n">
        <x:v>1.5</x:v>
      </x:c>
      <x:c r="J146" s="83" t="str">
        <x:v>GW</x:v>
      </x:c>
      <x:c r="K146" s="83" t="str">
        <x:v>Assunzione di scenario</x:v>
      </x:c>
      <x:c r="L146" s="83" t="str">
        <x:v>S09</x:v>
      </x:c>
      <x:c r="M146" s="83" t="str">
        <x:v>Documento_Descrizione_Scenari_2024_8dce2430d44d101.pdf</x:v>
      </x:c>
      <x:c r="N146" s="83" t="n">
        <x:v>61</x:v>
      </x:c>
      <x:c r="O146" s="83" t="n">
        <x:v>59</x:v>
      </x:c>
      <x:c r="P146" s="83" t="str">
        <x:v>Tabella 15</x:v>
      </x:c>
      <x:c r="Q146" s="83" t="str">
        <x:v>Direct table extraction; visual/text verification</x:v>
      </x:c>
      <x:c r="R146" s="83" t="str">
        <x:v>A - Direct</x:v>
      </x:c>
      <x:c r="S146" s="83" t="str">
        <x:v>Zonal p_nom input after mapping to PyPSA carrier.</x:v>
      </x:c>
      <x:c r="T146" s="83" t="str">
        <x:v>Table source labels rows as Distribuito/Utility; standardized as onshore/offshore.</x:v>
      </x:c>
    </x:row>
    <x:row r="147">
      <x:c r="A147" s="83" t="str">
        <x:v>ZCAP-0143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Nord</x:v>
      </x:c>
      <x:c r="F147" s="83" t="str">
        <x:v>Wind</x:v>
      </x:c>
      <x:c r="G147" s="83" t="str">
        <x:v>Eolico offshore</x:v>
      </x:c>
      <x:c r="H147" s="83" t="str">
        <x:v>Utility</x:v>
      </x:c>
      <x:c r="I147" s="143" t="n">
        <x:v>1.2</x:v>
      </x:c>
      <x:c r="J147" s="83" t="str">
        <x:v>GW</x:v>
      </x:c>
      <x:c r="K147" s="83" t="str">
        <x:v>Assunzione di scenario</x:v>
      </x:c>
      <x:c r="L147" s="83" t="str">
        <x:v>S09</x:v>
      </x:c>
      <x:c r="M147" s="83" t="str">
        <x:v>Documento_Descrizione_Scenari_2024_8dce2430d44d101.pdf</x:v>
      </x:c>
      <x:c r="N147" s="83" t="n">
        <x:v>61</x:v>
      </x:c>
      <x:c r="O147" s="83" t="n">
        <x:v>59</x:v>
      </x:c>
      <x:c r="P147" s="83" t="str">
        <x:v>Tabella 15</x:v>
      </x:c>
      <x:c r="Q147" s="83" t="str">
        <x:v>Direct table extraction; visual/text verification</x:v>
      </x:c>
      <x:c r="R147" s="83" t="str">
        <x:v>A - Direct</x:v>
      </x:c>
      <x:c r="S147" s="83" t="str">
        <x:v>Zonal p_nom input after mapping to PyPSA carrier.</x:v>
      </x:c>
      <x:c r="T147" s="83" t="str">
        <x:v>Table source labels rows as Distribuito/Utility; standardized as onshore/offshore.</x:v>
      </x:c>
    </x:row>
    <x:row r="148">
      <x:c r="A148" s="83" t="str">
        <x:v>ZCAP-0144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Nord</x:v>
      </x:c>
      <x:c r="F148" s="83" t="str">
        <x:v>Wind</x:v>
      </x:c>
      <x:c r="G148" s="83" t="str">
        <x:v>Eolico offshore</x:v>
      </x:c>
      <x:c r="H148" s="83" t="str">
        <x:v>Utility</x:v>
      </x:c>
      <x:c r="I148" s="143" t="n">
        <x:v>1</x:v>
      </x:c>
      <x:c r="J148" s="83" t="str">
        <x:v>GW</x:v>
      </x:c>
      <x:c r="K148" s="83" t="str">
        <x:v>Assunzione di scenario</x:v>
      </x:c>
      <x:c r="L148" s="83" t="str">
        <x:v>S09</x:v>
      </x:c>
      <x:c r="M148" s="83" t="str">
        <x:v>Documento_Descrizione_Scenari_2024_8dce2430d44d101.pdf</x:v>
      </x:c>
      <x:c r="N148" s="83" t="n">
        <x:v>61</x:v>
      </x:c>
      <x:c r="O148" s="83" t="n">
        <x:v>59</x:v>
      </x:c>
      <x:c r="P148" s="83" t="str">
        <x:v>Tabella 15</x:v>
      </x:c>
      <x:c r="Q148" s="83" t="str">
        <x:v>Direct table extraction; visual/text verification</x:v>
      </x:c>
      <x:c r="R148" s="83" t="str">
        <x:v>A - Direct</x:v>
      </x:c>
      <x:c r="S148" s="83" t="str">
        <x:v>Zonal p_nom input after mapping to PyPSA carrier.</x:v>
      </x:c>
      <x:c r="T148" s="83" t="str">
        <x:v>Table source labels rows as Distribuito/Utility; standardized as onshore/offshore.</x:v>
      </x:c>
    </x:row>
    <x:row r="149">
      <x:c r="A149" s="83" t="str">
        <x:v>ZCAP-0145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Centro Nord</x:v>
      </x:c>
      <x:c r="F149" s="83" t="str">
        <x:v>Wind</x:v>
      </x:c>
      <x:c r="G149" s="83" t="str">
        <x:v>Eolico onshore</x:v>
      </x:c>
      <x:c r="H149" s="83" t="str">
        <x:v>Distribuito</x:v>
      </x:c>
      <x:c r="I149" s="143" t="n">
        <x:v>0.2</x:v>
      </x:c>
      <x:c r="J149" s="83" t="str">
        <x:v>GW</x:v>
      </x:c>
      <x:c r="K149" s="83" t="str">
        <x:v>Dato osservato storico</x:v>
      </x:c>
      <x:c r="L149" s="83" t="str">
        <x:v>S09</x:v>
      </x:c>
      <x:c r="M149" s="83" t="str">
        <x:v>Documento_Descrizione_Scenari_2024_8dce2430d44d101.pdf</x:v>
      </x:c>
      <x:c r="N149" s="83" t="n">
        <x:v>61</x:v>
      </x:c>
      <x:c r="O149" s="83" t="n">
        <x:v>59</x:v>
      </x:c>
      <x:c r="P149" s="83" t="str">
        <x:v>Tabella 15</x:v>
      </x:c>
      <x:c r="Q149" s="83" t="str">
        <x:v>Direct table extraction; visual/text verification</x:v>
      </x:c>
      <x:c r="R149" s="83" t="str">
        <x:v>A - Direct</x:v>
      </x:c>
      <x:c r="S149" s="83" t="str">
        <x:v>Zonal p_nom input after mapping to PyPSA carrier.</x:v>
      </x:c>
      <x:c r="T149" s="83" t="str">
        <x:v>Table source labels rows as Distribuito/Utility; standardized as onshore/offshore.</x:v>
      </x:c>
    </x:row>
    <x:row r="150">
      <x:c r="A150" s="83" t="str">
        <x:v>ZCAP-0146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Centro Nord</x:v>
      </x:c>
      <x:c r="F150" s="83" t="str">
        <x:v>Wind</x:v>
      </x:c>
      <x:c r="G150" s="83" t="str">
        <x:v>Eolico onshore</x:v>
      </x:c>
      <x:c r="H150" s="83" t="str">
        <x:v>Distribuito</x:v>
      </x:c>
      <x:c r="I150" s="143" t="n">
        <x:v>0.3</x:v>
      </x:c>
      <x:c r="J150" s="83" t="str">
        <x:v>GW</x:v>
      </x:c>
      <x:c r="K150" s="83" t="str">
        <x:v>Assunzione di scenario</x:v>
      </x:c>
      <x:c r="L150" s="83" t="str">
        <x:v>S09</x:v>
      </x:c>
      <x:c r="M150" s="83" t="str">
        <x:v>Documento_Descrizione_Scenari_2024_8dce2430d44d101.pdf</x:v>
      </x:c>
      <x:c r="N150" s="83" t="n">
        <x:v>61</x:v>
      </x:c>
      <x:c r="O150" s="83" t="n">
        <x:v>59</x:v>
      </x:c>
      <x:c r="P150" s="83" t="str">
        <x:v>Tabella 15</x:v>
      </x:c>
      <x:c r="Q150" s="83" t="str">
        <x:v>Direct table extraction; visual/text verification</x:v>
      </x:c>
      <x:c r="R150" s="83" t="str">
        <x:v>A - Direct</x:v>
      </x:c>
      <x:c r="S150" s="83" t="str">
        <x:v>Zonal p_nom input after mapping to PyPSA carrier.</x:v>
      </x:c>
      <x:c r="T150" s="83" t="str">
        <x:v>Table source labels rows as Distribuito/Utility; standardized as onshore/offshore.</x:v>
      </x:c>
    </x:row>
    <x:row r="151">
      <x:c r="A151" s="83" t="str">
        <x:v>ZCAP-0147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Centro Nord</x:v>
      </x:c>
      <x:c r="F151" s="83" t="str">
        <x:v>Wind</x:v>
      </x:c>
      <x:c r="G151" s="83" t="str">
        <x:v>Eolico onshore</x:v>
      </x:c>
      <x:c r="H151" s="83" t="str">
        <x:v>Distribuito</x:v>
      </x:c>
      <x:c r="I151" s="143" t="n">
        <x:v>0.2</x:v>
      </x:c>
      <x:c r="J151" s="83" t="str">
        <x:v>GW</x:v>
      </x:c>
      <x:c r="K151" s="83" t="str">
        <x:v>Assunzione di scenario</x:v>
      </x:c>
      <x:c r="L151" s="83" t="str">
        <x:v>S09</x:v>
      </x:c>
      <x:c r="M151" s="83" t="str">
        <x:v>Documento_Descrizione_Scenari_2024_8dce2430d44d101.pdf</x:v>
      </x:c>
      <x:c r="N151" s="83" t="n">
        <x:v>61</x:v>
      </x:c>
      <x:c r="O151" s="83" t="n">
        <x:v>59</x:v>
      </x:c>
      <x:c r="P151" s="83" t="str">
        <x:v>Tabella 15</x:v>
      </x:c>
      <x:c r="Q151" s="83" t="str">
        <x:v>Direct table extraction; visual/text verification</x:v>
      </x:c>
      <x:c r="R151" s="83" t="str">
        <x:v>A - Direct</x:v>
      </x:c>
      <x:c r="S151" s="83" t="str">
        <x:v>Zonal p_nom input after mapping to PyPSA carrier.</x:v>
      </x:c>
      <x:c r="T151" s="83" t="str">
        <x:v>Table source labels rows as Distribuito/Utility; standardized as onshore/offshore.</x:v>
      </x:c>
    </x:row>
    <x:row r="152">
      <x:c r="A152" s="83" t="str">
        <x:v>ZCAP-0148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Centro Nord</x:v>
      </x:c>
      <x:c r="F152" s="83" t="str">
        <x:v>Wind</x:v>
      </x:c>
      <x:c r="G152" s="83" t="str">
        <x:v>Eolico onshore</x:v>
      </x:c>
      <x:c r="H152" s="83" t="str">
        <x:v>Distribuito</x:v>
      </x:c>
      <x:c r="I152" s="143" t="n">
        <x:v>0.3</x:v>
      </x:c>
      <x:c r="J152" s="83" t="str">
        <x:v>GW</x:v>
      </x:c>
      <x:c r="K152" s="83" t="str">
        <x:v>Assunzione di scenario</x:v>
      </x:c>
      <x:c r="L152" s="83" t="str">
        <x:v>S09</x:v>
      </x:c>
      <x:c r="M152" s="83" t="str">
        <x:v>Documento_Descrizione_Scenari_2024_8dce2430d44d101.pdf</x:v>
      </x:c>
      <x:c r="N152" s="83" t="n">
        <x:v>61</x:v>
      </x:c>
      <x:c r="O152" s="83" t="n">
        <x:v>59</x:v>
      </x:c>
      <x:c r="P152" s="83" t="str">
        <x:v>Tabella 15</x:v>
      </x:c>
      <x:c r="Q152" s="83" t="str">
        <x:v>Direct table extraction; visual/text verification</x:v>
      </x:c>
      <x:c r="R152" s="83" t="str">
        <x:v>A - Direct</x:v>
      </x:c>
      <x:c r="S152" s="83" t="str">
        <x:v>Zonal p_nom input after mapping to PyPSA carrier.</x:v>
      </x:c>
      <x:c r="T152" s="83" t="str">
        <x:v>Table source labels rows as Distribuito/Utility; standardized as onshore/offshore.</x:v>
      </x:c>
    </x:row>
    <x:row r="153">
      <x:c r="A153" s="83" t="str">
        <x:v>ZCAP-0149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Centro Nord</x:v>
      </x:c>
      <x:c r="F153" s="83" t="str">
        <x:v>Wind</x:v>
      </x:c>
      <x:c r="G153" s="83" t="str">
        <x:v>Eolico onshore</x:v>
      </x:c>
      <x:c r="H153" s="83" t="str">
        <x:v>Distribuito</x:v>
      </x:c>
      <x:c r="I153" s="143" t="n">
        <x:v>0.3</x:v>
      </x:c>
      <x:c r="J153" s="83" t="str">
        <x:v>GW</x:v>
      </x:c>
      <x:c r="K153" s="83" t="str">
        <x:v>Assunzione di scenario</x:v>
      </x:c>
      <x:c r="L153" s="83" t="str">
        <x:v>S09</x:v>
      </x:c>
      <x:c r="M153" s="83" t="str">
        <x:v>Documento_Descrizione_Scenari_2024_8dce2430d44d101.pdf</x:v>
      </x:c>
      <x:c r="N153" s="83" t="n">
        <x:v>61</x:v>
      </x:c>
      <x:c r="O153" s="83" t="n">
        <x:v>59</x:v>
      </x:c>
      <x:c r="P153" s="83" t="str">
        <x:v>Tabella 15</x:v>
      </x:c>
      <x:c r="Q153" s="83" t="str">
        <x:v>Direct table extraction; visual/text verification</x:v>
      </x:c>
      <x:c r="R153" s="83" t="str">
        <x:v>A - Direct</x:v>
      </x:c>
      <x:c r="S153" s="83" t="str">
        <x:v>Zonal p_nom input after mapping to PyPSA carrier.</x:v>
      </x:c>
      <x:c r="T153" s="83" t="str">
        <x:v>Table source labels rows as Distribuito/Utility; standardized as onshore/offshore.</x:v>
      </x:c>
    </x:row>
    <x:row r="154">
      <x:c r="A154" s="83" t="str">
        <x:v>ZCAP-0150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Centro Nord</x:v>
      </x:c>
      <x:c r="F154" s="83" t="str">
        <x:v>Wind</x:v>
      </x:c>
      <x:c r="G154" s="83" t="str">
        <x:v>Eolico onshore</x:v>
      </x:c>
      <x:c r="H154" s="83" t="str">
        <x:v>Distribuito</x:v>
      </x:c>
      <x:c r="I154" s="143" t="n">
        <x:v>0.3</x:v>
      </x:c>
      <x:c r="J154" s="83" t="str">
        <x:v>GW</x:v>
      </x:c>
      <x:c r="K154" s="83" t="str">
        <x:v>Assunzione di scenario</x:v>
      </x:c>
      <x:c r="L154" s="83" t="str">
        <x:v>S09</x:v>
      </x:c>
      <x:c r="M154" s="83" t="str">
        <x:v>Documento_Descrizione_Scenari_2024_8dce2430d44d101.pdf</x:v>
      </x:c>
      <x:c r="N154" s="83" t="n">
        <x:v>61</x:v>
      </x:c>
      <x:c r="O154" s="83" t="n">
        <x:v>59</x:v>
      </x:c>
      <x:c r="P154" s="83" t="str">
        <x:v>Tabella 15</x:v>
      </x:c>
      <x:c r="Q154" s="83" t="str">
        <x:v>Direct table extraction; visual/text verification</x:v>
      </x:c>
      <x:c r="R154" s="83" t="str">
        <x:v>A - Direct</x:v>
      </x:c>
      <x:c r="S154" s="83" t="str">
        <x:v>Zonal p_nom input after mapping to PyPSA carrier.</x:v>
      </x:c>
      <x:c r="T154" s="83" t="str">
        <x:v>Table source labels rows as Distribuito/Utility; standardized as onshore/offshore.</x:v>
      </x:c>
    </x:row>
    <x:row r="155">
      <x:c r="A155" s="83" t="str">
        <x:v>ZCAP-0151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Centro Nord</x:v>
      </x:c>
      <x:c r="F155" s="83" t="str">
        <x:v>Wind</x:v>
      </x:c>
      <x:c r="G155" s="83" t="str">
        <x:v>Eolico onshore</x:v>
      </x:c>
      <x:c r="H155" s="83" t="str">
        <x:v>Distribuito</x:v>
      </x:c>
      <x:c r="I155" s="143" t="n">
        <x:v>0.4</x:v>
      </x:c>
      <x:c r="J155" s="83" t="str">
        <x:v>GW</x:v>
      </x:c>
      <x:c r="K155" s="83" t="str">
        <x:v>Assunzione di scenario</x:v>
      </x:c>
      <x:c r="L155" s="83" t="str">
        <x:v>S09</x:v>
      </x:c>
      <x:c r="M155" s="83" t="str">
        <x:v>Documento_Descrizione_Scenari_2024_8dce2430d44d101.pdf</x:v>
      </x:c>
      <x:c r="N155" s="83" t="n">
        <x:v>61</x:v>
      </x:c>
      <x:c r="O155" s="83" t="n">
        <x:v>59</x:v>
      </x:c>
      <x:c r="P155" s="83" t="str">
        <x:v>Tabella 15</x:v>
      </x:c>
      <x:c r="Q155" s="83" t="str">
        <x:v>Direct table extraction; visual/text verification</x:v>
      </x:c>
      <x:c r="R155" s="83" t="str">
        <x:v>A - Direct</x:v>
      </x:c>
      <x:c r="S155" s="83" t="str">
        <x:v>Zonal p_nom input after mapping to PyPSA carrier.</x:v>
      </x:c>
      <x:c r="T155" s="83" t="str">
        <x:v>Table source labels rows as Distribuito/Utility; standardized as onshore/offshore.</x:v>
      </x:c>
    </x:row>
    <x:row r="156">
      <x:c r="A156" s="83" t="str">
        <x:v>ZCAP-0152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Centro Nord</x:v>
      </x:c>
      <x:c r="F156" s="83" t="str">
        <x:v>Wind</x:v>
      </x:c>
      <x:c r="G156" s="83" t="str">
        <x:v>Eolico onshore</x:v>
      </x:c>
      <x:c r="H156" s="83" t="str">
        <x:v>Distribuito</x:v>
      </x:c>
      <x:c r="I156" s="143" t="n">
        <x:v>0.3</x:v>
      </x:c>
      <x:c r="J156" s="83" t="str">
        <x:v>GW</x:v>
      </x:c>
      <x:c r="K156" s="83" t="str">
        <x:v>Assunzione di scenario</x:v>
      </x:c>
      <x:c r="L156" s="83" t="str">
        <x:v>S09</x:v>
      </x:c>
      <x:c r="M156" s="83" t="str">
        <x:v>Documento_Descrizione_Scenari_2024_8dce2430d44d101.pdf</x:v>
      </x:c>
      <x:c r="N156" s="83" t="n">
        <x:v>61</x:v>
      </x:c>
      <x:c r="O156" s="83" t="n">
        <x:v>59</x:v>
      </x:c>
      <x:c r="P156" s="83" t="str">
        <x:v>Tabella 15</x:v>
      </x:c>
      <x:c r="Q156" s="83" t="str">
        <x:v>Direct table extraction; visual/text verification</x:v>
      </x:c>
      <x:c r="R156" s="83" t="str">
        <x:v>A - Direct</x:v>
      </x:c>
      <x:c r="S156" s="83" t="str">
        <x:v>Zonal p_nom input after mapping to PyPSA carrier.</x:v>
      </x:c>
      <x:c r="T156" s="83" t="str">
        <x:v>Table source labels rows as Distribuito/Utility; standardized as onshore/offshore.</x:v>
      </x:c>
    </x:row>
    <x:row r="157">
      <x:c r="A157" s="83" t="str">
        <x:v>ZCAP-0153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Centro Nord</x:v>
      </x:c>
      <x:c r="F157" s="83" t="str">
        <x:v>Wind</x:v>
      </x:c>
      <x:c r="G157" s="83" t="str">
        <x:v>Eolico onshore</x:v>
      </x:c>
      <x:c r="H157" s="83" t="str">
        <x:v>Distribuito</x:v>
      </x:c>
      <x:c r="I157" s="143" t="n">
        <x:v>0.3</x:v>
      </x:c>
      <x:c r="J157" s="83" t="str">
        <x:v>GW</x:v>
      </x:c>
      <x:c r="K157" s="83" t="str">
        <x:v>Assunzione di scenario</x:v>
      </x:c>
      <x:c r="L157" s="83" t="str">
        <x:v>S09</x:v>
      </x:c>
      <x:c r="M157" s="83" t="str">
        <x:v>Documento_Descrizione_Scenari_2024_8dce2430d44d101.pdf</x:v>
      </x:c>
      <x:c r="N157" s="83" t="n">
        <x:v>61</x:v>
      </x:c>
      <x:c r="O157" s="83" t="n">
        <x:v>59</x:v>
      </x:c>
      <x:c r="P157" s="83" t="str">
        <x:v>Tabella 15</x:v>
      </x:c>
      <x:c r="Q157" s="83" t="str">
        <x:v>Direct table extraction; visual/text verification</x:v>
      </x:c>
      <x:c r="R157" s="83" t="str">
        <x:v>A - Direct</x:v>
      </x:c>
      <x:c r="S157" s="83" t="str">
        <x:v>Zonal p_nom input after mapping to PyPSA carrier.</x:v>
      </x:c>
      <x:c r="T157" s="83" t="str">
        <x:v>Table source labels rows as Distribuito/Utility; standardized as onshore/offshore.</x:v>
      </x:c>
    </x:row>
    <x:row r="158">
      <x:c r="A158" s="83" t="str">
        <x:v>ZCAP-0154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Centro Nord</x:v>
      </x:c>
      <x:c r="F158" s="83" t="str">
        <x:v>Wind</x:v>
      </x:c>
      <x:c r="G158" s="83" t="str">
        <x:v>Eolico offshore</x:v>
      </x:c>
      <x:c r="H158" s="83" t="str">
        <x:v>Utility</x:v>
      </x:c>
      <x:c r="I158" s="143" t="n">
        <x:v>0</x:v>
      </x:c>
      <x:c r="J158" s="83" t="str">
        <x:v>GW</x:v>
      </x:c>
      <x:c r="K158" s="83" t="str">
        <x:v>Dato osservato storico</x:v>
      </x:c>
      <x:c r="L158" s="83" t="str">
        <x:v>S09</x:v>
      </x:c>
      <x:c r="M158" s="83" t="str">
        <x:v>Documento_Descrizione_Scenari_2024_8dce2430d44d101.pdf</x:v>
      </x:c>
      <x:c r="N158" s="83" t="n">
        <x:v>61</x:v>
      </x:c>
      <x:c r="O158" s="83" t="n">
        <x:v>59</x:v>
      </x:c>
      <x:c r="P158" s="83" t="str">
        <x:v>Tabella 15</x:v>
      </x:c>
      <x:c r="Q158" s="83" t="str">
        <x:v>Direct table extraction; visual/text verification</x:v>
      </x:c>
      <x:c r="R158" s="83" t="str">
        <x:v>A - Direct</x:v>
      </x:c>
      <x:c r="S158" s="83" t="str">
        <x:v>Zonal p_nom input after mapping to PyPSA carrier.</x:v>
      </x:c>
      <x:c r="T158" s="83" t="str">
        <x:v>Table source labels rows as Distribuito/Utility; standardized as onshore/offshore.</x:v>
      </x:c>
    </x:row>
    <x:row r="159">
      <x:c r="A159" s="83" t="str">
        <x:v>ZCAP-0155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Centro Nord</x:v>
      </x:c>
      <x:c r="F159" s="83" t="str">
        <x:v>Wind</x:v>
      </x:c>
      <x:c r="G159" s="83" t="str">
        <x:v>Eolico offshore</x:v>
      </x:c>
      <x:c r="H159" s="83" t="str">
        <x:v>Utility</x:v>
      </x:c>
      <x:c r="I159" s="143" t="n">
        <x:v>0.1</x:v>
      </x:c>
      <x:c r="J159" s="83" t="str">
        <x:v>GW</x:v>
      </x:c>
      <x:c r="K159" s="83" t="str">
        <x:v>Assunzione di scenario</x:v>
      </x:c>
      <x:c r="L159" s="83" t="str">
        <x:v>S09</x:v>
      </x:c>
      <x:c r="M159" s="83" t="str">
        <x:v>Documento_Descrizione_Scenari_2024_8dce2430d44d101.pdf</x:v>
      </x:c>
      <x:c r="N159" s="83" t="n">
        <x:v>61</x:v>
      </x:c>
      <x:c r="O159" s="83" t="n">
        <x:v>59</x:v>
      </x:c>
      <x:c r="P159" s="83" t="str">
        <x:v>Tabella 15</x:v>
      </x:c>
      <x:c r="Q159" s="83" t="str">
        <x:v>Direct table extraction; visual/text verification</x:v>
      </x:c>
      <x:c r="R159" s="83" t="str">
        <x:v>A - Direct</x:v>
      </x:c>
      <x:c r="S159" s="83" t="str">
        <x:v>Zonal p_nom input after mapping to PyPSA carrier.</x:v>
      </x:c>
      <x:c r="T159" s="83" t="str">
        <x:v>Table source labels rows as Distribuito/Utility; standardized as onshore/offshore.</x:v>
      </x:c>
    </x:row>
    <x:row r="160">
      <x:c r="A160" s="83" t="str">
        <x:v>ZCAP-0156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Centro Nord</x:v>
      </x:c>
      <x:c r="F160" s="83" t="str">
        <x:v>Wind</x:v>
      </x:c>
      <x:c r="G160" s="83" t="str">
        <x:v>Eolico offshore</x:v>
      </x:c>
      <x:c r="H160" s="83" t="str">
        <x:v>Utility</x:v>
      </x:c>
      <x:c r="I160" s="143" t="n">
        <x:v>0.1</x:v>
      </x:c>
      <x:c r="J160" s="83" t="str">
        <x:v>GW</x:v>
      </x:c>
      <x:c r="K160" s="83" t="str">
        <x:v>Assunzione di scenario</x:v>
      </x:c>
      <x:c r="L160" s="83" t="str">
        <x:v>S09</x:v>
      </x:c>
      <x:c r="M160" s="83" t="str">
        <x:v>Documento_Descrizione_Scenari_2024_8dce2430d44d101.pdf</x:v>
      </x:c>
      <x:c r="N160" s="83" t="n">
        <x:v>61</x:v>
      </x:c>
      <x:c r="O160" s="83" t="n">
        <x:v>59</x:v>
      </x:c>
      <x:c r="P160" s="83" t="str">
        <x:v>Tabella 15</x:v>
      </x:c>
      <x:c r="Q160" s="83" t="str">
        <x:v>Direct table extraction; visual/text verification</x:v>
      </x:c>
      <x:c r="R160" s="83" t="str">
        <x:v>A - Direct</x:v>
      </x:c>
      <x:c r="S160" s="83" t="str">
        <x:v>Zonal p_nom input after mapping to PyPSA carrier.</x:v>
      </x:c>
      <x:c r="T160" s="83" t="str">
        <x:v>Table source labels rows as Distribuito/Utility; standardized as onshore/offshore.</x:v>
      </x:c>
    </x:row>
    <x:row r="161">
      <x:c r="A161" s="83" t="str">
        <x:v>ZCAP-0157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Centro Nord</x:v>
      </x:c>
      <x:c r="F161" s="83" t="str">
        <x:v>Wind</x:v>
      </x:c>
      <x:c r="G161" s="83" t="str">
        <x:v>Eolico offshore</x:v>
      </x:c>
      <x:c r="H161" s="83" t="str">
        <x:v>Utility</x:v>
      </x:c>
      <x:c r="I161" s="143" t="n">
        <x:v>0.4</x:v>
      </x:c>
      <x:c r="J161" s="83" t="str">
        <x:v>GW</x:v>
      </x:c>
      <x:c r="K161" s="83" t="str">
        <x:v>Assunzione di scenario</x:v>
      </x:c>
      <x:c r="L161" s="83" t="str">
        <x:v>S09</x:v>
      </x:c>
      <x:c r="M161" s="83" t="str">
        <x:v>Documento_Descrizione_Scenari_2024_8dce2430d44d101.pdf</x:v>
      </x:c>
      <x:c r="N161" s="83" t="n">
        <x:v>61</x:v>
      </x:c>
      <x:c r="O161" s="83" t="n">
        <x:v>59</x:v>
      </x:c>
      <x:c r="P161" s="83" t="str">
        <x:v>Tabella 15</x:v>
      </x:c>
      <x:c r="Q161" s="83" t="str">
        <x:v>Direct table extraction; visual/text verification</x:v>
      </x:c>
      <x:c r="R161" s="83" t="str">
        <x:v>A - Direct</x:v>
      </x:c>
      <x:c r="S161" s="83" t="str">
        <x:v>Zonal p_nom input after mapping to PyPSA carrier.</x:v>
      </x:c>
      <x:c r="T161" s="83" t="str">
        <x:v>Table source labels rows as Distribuito/Utility; standardized as onshore/offshore.</x:v>
      </x:c>
    </x:row>
    <x:row r="162">
      <x:c r="A162" s="83" t="str">
        <x:v>ZCAP-0158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Centro Nord</x:v>
      </x:c>
      <x:c r="F162" s="83" t="str">
        <x:v>Wind</x:v>
      </x:c>
      <x:c r="G162" s="83" t="str">
        <x:v>Eolico offshore</x:v>
      </x:c>
      <x:c r="H162" s="83" t="str">
        <x:v>Utility</x:v>
      </x:c>
      <x:c r="I162" s="143" t="n">
        <x:v>0.3</x:v>
      </x:c>
      <x:c r="J162" s="83" t="str">
        <x:v>GW</x:v>
      </x:c>
      <x:c r="K162" s="83" t="str">
        <x:v>Assunzione di scenario</x:v>
      </x:c>
      <x:c r="L162" s="83" t="str">
        <x:v>S09</x:v>
      </x:c>
      <x:c r="M162" s="83" t="str">
        <x:v>Documento_Descrizione_Scenari_2024_8dce2430d44d101.pdf</x:v>
      </x:c>
      <x:c r="N162" s="83" t="n">
        <x:v>61</x:v>
      </x:c>
      <x:c r="O162" s="83" t="n">
        <x:v>59</x:v>
      </x:c>
      <x:c r="P162" s="83" t="str">
        <x:v>Tabella 15</x:v>
      </x:c>
      <x:c r="Q162" s="83" t="str">
        <x:v>Direct table extraction; visual/text verification</x:v>
      </x:c>
      <x:c r="R162" s="83" t="str">
        <x:v>A - Direct</x:v>
      </x:c>
      <x:c r="S162" s="83" t="str">
        <x:v>Zonal p_nom input after mapping to PyPSA carrier.</x:v>
      </x:c>
      <x:c r="T162" s="83" t="str">
        <x:v>Table source labels rows as Distribuito/Utility; standardized as onshore/offshore.</x:v>
      </x:c>
    </x:row>
    <x:row r="163">
      <x:c r="A163" s="83" t="str">
        <x:v>ZCAP-0159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Centro Nord</x:v>
      </x:c>
      <x:c r="F163" s="83" t="str">
        <x:v>Wind</x:v>
      </x:c>
      <x:c r="G163" s="83" t="str">
        <x:v>Eolico offshore</x:v>
      </x:c>
      <x:c r="H163" s="83" t="str">
        <x:v>Utility</x:v>
      </x:c>
      <x:c r="I163" s="143" t="n">
        <x:v>0.2</x:v>
      </x:c>
      <x:c r="J163" s="83" t="str">
        <x:v>GW</x:v>
      </x:c>
      <x:c r="K163" s="83" t="str">
        <x:v>Assunzione di scenario</x:v>
      </x:c>
      <x:c r="L163" s="83" t="str">
        <x:v>S09</x:v>
      </x:c>
      <x:c r="M163" s="83" t="str">
        <x:v>Documento_Descrizione_Scenari_2024_8dce2430d44d101.pdf</x:v>
      </x:c>
      <x:c r="N163" s="83" t="n">
        <x:v>61</x:v>
      </x:c>
      <x:c r="O163" s="83" t="n">
        <x:v>59</x:v>
      </x:c>
      <x:c r="P163" s="83" t="str">
        <x:v>Tabella 15</x:v>
      </x:c>
      <x:c r="Q163" s="83" t="str">
        <x:v>Direct table extraction; visual/text verification</x:v>
      </x:c>
      <x:c r="R163" s="83" t="str">
        <x:v>A - Direct</x:v>
      </x:c>
      <x:c r="S163" s="83" t="str">
        <x:v>Zonal p_nom input after mapping to PyPSA carrier.</x:v>
      </x:c>
      <x:c r="T163" s="83" t="str">
        <x:v>Table source labels rows as Distribuito/Utility; standardized as onshore/offshore.</x:v>
      </x:c>
    </x:row>
    <x:row r="164">
      <x:c r="A164" s="83" t="str">
        <x:v>ZCAP-0160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Centro Nord</x:v>
      </x:c>
      <x:c r="F164" s="83" t="str">
        <x:v>Wind</x:v>
      </x:c>
      <x:c r="G164" s="83" t="str">
        <x:v>Eolico offshore</x:v>
      </x:c>
      <x:c r="H164" s="83" t="str">
        <x:v>Utility</x:v>
      </x:c>
      <x:c r="I164" s="143" t="n">
        <x:v>0.8</x:v>
      </x:c>
      <x:c r="J164" s="83" t="str">
        <x:v>GW</x:v>
      </x:c>
      <x:c r="K164" s="83" t="str">
        <x:v>Assunzione di scenario</x:v>
      </x:c>
      <x:c r="L164" s="83" t="str">
        <x:v>S09</x:v>
      </x:c>
      <x:c r="M164" s="83" t="str">
        <x:v>Documento_Descrizione_Scenari_2024_8dce2430d44d101.pdf</x:v>
      </x:c>
      <x:c r="N164" s="83" t="n">
        <x:v>61</x:v>
      </x:c>
      <x:c r="O164" s="83" t="n">
        <x:v>59</x:v>
      </x:c>
      <x:c r="P164" s="83" t="str">
        <x:v>Tabella 15</x:v>
      </x:c>
      <x:c r="Q164" s="83" t="str">
        <x:v>Direct table extraction; visual/text verification</x:v>
      </x:c>
      <x:c r="R164" s="83" t="str">
        <x:v>A - Direct</x:v>
      </x:c>
      <x:c r="S164" s="83" t="str">
        <x:v>Zonal p_nom input after mapping to PyPSA carrier.</x:v>
      </x:c>
      <x:c r="T164" s="83" t="str">
        <x:v>Table source labels rows as Distribuito/Utility; standardized as onshore/offshore.</x:v>
      </x:c>
    </x:row>
    <x:row r="165">
      <x:c r="A165" s="83" t="str">
        <x:v>ZCAP-0161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Centro Nord</x:v>
      </x:c>
      <x:c r="F165" s="83" t="str">
        <x:v>Wind</x:v>
      </x:c>
      <x:c r="G165" s="83" t="str">
        <x:v>Eolico offshore</x:v>
      </x:c>
      <x:c r="H165" s="83" t="str">
        <x:v>Utility</x:v>
      </x:c>
      <x:c r="I165" s="143" t="n">
        <x:v>0.6</x:v>
      </x:c>
      <x:c r="J165" s="83" t="str">
        <x:v>GW</x:v>
      </x:c>
      <x:c r="K165" s="83" t="str">
        <x:v>Assunzione di scenario</x:v>
      </x:c>
      <x:c r="L165" s="83" t="str">
        <x:v>S09</x:v>
      </x:c>
      <x:c r="M165" s="83" t="str">
        <x:v>Documento_Descrizione_Scenari_2024_8dce2430d44d101.pdf</x:v>
      </x:c>
      <x:c r="N165" s="83" t="n">
        <x:v>61</x:v>
      </x:c>
      <x:c r="O165" s="83" t="n">
        <x:v>59</x:v>
      </x:c>
      <x:c r="P165" s="83" t="str">
        <x:v>Tabella 15</x:v>
      </x:c>
      <x:c r="Q165" s="83" t="str">
        <x:v>Direct table extraction; visual/text verification</x:v>
      </x:c>
      <x:c r="R165" s="83" t="str">
        <x:v>A - Direct</x:v>
      </x:c>
      <x:c r="S165" s="83" t="str">
        <x:v>Zonal p_nom input after mapping to PyPSA carrier.</x:v>
      </x:c>
      <x:c r="T165" s="83" t="str">
        <x:v>Table source labels rows as Distribuito/Utility; standardized as onshore/offshore.</x:v>
      </x:c>
    </x:row>
    <x:row r="166">
      <x:c r="A166" s="83" t="str">
        <x:v>ZCAP-0162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Centro Nord</x:v>
      </x:c>
      <x:c r="F166" s="83" t="str">
        <x:v>Wind</x:v>
      </x:c>
      <x:c r="G166" s="83" t="str">
        <x:v>Eolico offshore</x:v>
      </x:c>
      <x:c r="H166" s="83" t="str">
        <x:v>Utility</x:v>
      </x:c>
      <x:c r="I166" s="143" t="n">
        <x:v>0.5</x:v>
      </x:c>
      <x:c r="J166" s="83" t="str">
        <x:v>GW</x:v>
      </x:c>
      <x:c r="K166" s="83" t="str">
        <x:v>Assunzione di scenario</x:v>
      </x:c>
      <x:c r="L166" s="83" t="str">
        <x:v>S09</x:v>
      </x:c>
      <x:c r="M166" s="83" t="str">
        <x:v>Documento_Descrizione_Scenari_2024_8dce2430d44d101.pdf</x:v>
      </x:c>
      <x:c r="N166" s="83" t="n">
        <x:v>61</x:v>
      </x:c>
      <x:c r="O166" s="83" t="n">
        <x:v>59</x:v>
      </x:c>
      <x:c r="P166" s="83" t="str">
        <x:v>Tabella 15</x:v>
      </x:c>
      <x:c r="Q166" s="83" t="str">
        <x:v>Direct table extraction; visual/text verification</x:v>
      </x:c>
      <x:c r="R166" s="83" t="str">
        <x:v>A - Direct</x:v>
      </x:c>
      <x:c r="S166" s="83" t="str">
        <x:v>Zonal p_nom input after mapping to PyPSA carrier.</x:v>
      </x:c>
      <x:c r="T166" s="83" t="str">
        <x:v>Table source labels rows as Distribuito/Utility; standardized as onshore/offshore.</x:v>
      </x:c>
    </x:row>
    <x:row r="167">
      <x:c r="A167" s="83" t="str">
        <x:v>ZCAP-0163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Centro Sud</x:v>
      </x:c>
      <x:c r="F167" s="83" t="str">
        <x:v>Wind</x:v>
      </x:c>
      <x:c r="G167" s="83" t="str">
        <x:v>Eolico onshore</x:v>
      </x:c>
      <x:c r="H167" s="83" t="str">
        <x:v>Distribuito</x:v>
      </x:c>
      <x:c r="I167" s="143" t="n">
        <x:v>2.3</x:v>
      </x:c>
      <x:c r="J167" s="83" t="str">
        <x:v>GW</x:v>
      </x:c>
      <x:c r="K167" s="83" t="str">
        <x:v>Dato osservato storico</x:v>
      </x:c>
      <x:c r="L167" s="83" t="str">
        <x:v>S09</x:v>
      </x:c>
      <x:c r="M167" s="83" t="str">
        <x:v>Documento_Descrizione_Scenari_2024_8dce2430d44d101.pdf</x:v>
      </x:c>
      <x:c r="N167" s="83" t="n">
        <x:v>61</x:v>
      </x:c>
      <x:c r="O167" s="83" t="n">
        <x:v>59</x:v>
      </x:c>
      <x:c r="P167" s="83" t="str">
        <x:v>Tabella 15</x:v>
      </x:c>
      <x:c r="Q167" s="83" t="str">
        <x:v>Direct table extraction; visual/text verification</x:v>
      </x:c>
      <x:c r="R167" s="83" t="str">
        <x:v>A - Direct</x:v>
      </x:c>
      <x:c r="S167" s="83" t="str">
        <x:v>Zonal p_nom input after mapping to PyPSA carrier.</x:v>
      </x:c>
      <x:c r="T167" s="83" t="str">
        <x:v>Table source labels rows as Distribuito/Utility; standardized as onshore/offshore.</x:v>
      </x:c>
    </x:row>
    <x:row r="168">
      <x:c r="A168" s="83" t="str">
        <x:v>ZCAP-0164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Centro Sud</x:v>
      </x:c>
      <x:c r="F168" s="83" t="str">
        <x:v>Wind</x:v>
      </x:c>
      <x:c r="G168" s="83" t="str">
        <x:v>Eolico onshore</x:v>
      </x:c>
      <x:c r="H168" s="83" t="str">
        <x:v>Distribuito</x:v>
      </x:c>
      <x:c r="I168" s="143" t="n">
        <x:v>5.3</x:v>
      </x:c>
      <x:c r="J168" s="83" t="str">
        <x:v>GW</x:v>
      </x:c>
      <x:c r="K168" s="83" t="str">
        <x:v>Assunzione di scenario</x:v>
      </x:c>
      <x:c r="L168" s="83" t="str">
        <x:v>S09</x:v>
      </x:c>
      <x:c r="M168" s="83" t="str">
        <x:v>Documento_Descrizione_Scenari_2024_8dce2430d44d101.pdf</x:v>
      </x:c>
      <x:c r="N168" s="83" t="n">
        <x:v>61</x:v>
      </x:c>
      <x:c r="O168" s="83" t="n">
        <x:v>59</x:v>
      </x:c>
      <x:c r="P168" s="83" t="str">
        <x:v>Tabella 15</x:v>
      </x:c>
      <x:c r="Q168" s="83" t="str">
        <x:v>Direct table extraction; visual/text verification</x:v>
      </x:c>
      <x:c r="R168" s="83" t="str">
        <x:v>A - Direct</x:v>
      </x:c>
      <x:c r="S168" s="83" t="str">
        <x:v>Zonal p_nom input after mapping to PyPSA carrier.</x:v>
      </x:c>
      <x:c r="T168" s="83" t="str">
        <x:v>Table source labels rows as Distribuito/Utility; standardized as onshore/offshore.</x:v>
      </x:c>
    </x:row>
    <x:row r="169">
      <x:c r="A169" s="83" t="str">
        <x:v>ZCAP-0165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Centro Sud</x:v>
      </x:c>
      <x:c r="F169" s="83" t="str">
        <x:v>Wind</x:v>
      </x:c>
      <x:c r="G169" s="83" t="str">
        <x:v>Eolico onshore</x:v>
      </x:c>
      <x:c r="H169" s="83" t="str">
        <x:v>Distribuito</x:v>
      </x:c>
      <x:c r="I169" s="143" t="n">
        <x:v>4.1</x:v>
      </x:c>
      <x:c r="J169" s="83" t="str">
        <x:v>GW</x:v>
      </x:c>
      <x:c r="K169" s="83" t="str">
        <x:v>Assunzione di scenario</x:v>
      </x:c>
      <x:c r="L169" s="83" t="str">
        <x:v>S09</x:v>
      </x:c>
      <x:c r="M169" s="83" t="str">
        <x:v>Documento_Descrizione_Scenari_2024_8dce2430d44d101.pdf</x:v>
      </x:c>
      <x:c r="N169" s="83" t="n">
        <x:v>61</x:v>
      </x:c>
      <x:c r="O169" s="83" t="n">
        <x:v>59</x:v>
      </x:c>
      <x:c r="P169" s="83" t="str">
        <x:v>Tabella 15</x:v>
      </x:c>
      <x:c r="Q169" s="83" t="str">
        <x:v>Direct table extraction; visual/text verification</x:v>
      </x:c>
      <x:c r="R169" s="83" t="str">
        <x:v>A - Direct</x:v>
      </x:c>
      <x:c r="S169" s="83" t="str">
        <x:v>Zonal p_nom input after mapping to PyPSA carrier.</x:v>
      </x:c>
      <x:c r="T169" s="83" t="str">
        <x:v>Table source labels rows as Distribuito/Utility; standardized as onshore/offshore.</x:v>
      </x:c>
    </x:row>
    <x:row r="170">
      <x:c r="A170" s="83" t="str">
        <x:v>ZCAP-0166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Centro Sud</x:v>
      </x:c>
      <x:c r="F170" s="83" t="str">
        <x:v>Wind</x:v>
      </x:c>
      <x:c r="G170" s="83" t="str">
        <x:v>Eolico onshore</x:v>
      </x:c>
      <x:c r="H170" s="83" t="str">
        <x:v>Distribuito</x:v>
      </x:c>
      <x:c r="I170" s="143" t="n">
        <x:v>6</x:v>
      </x:c>
      <x:c r="J170" s="83" t="str">
        <x:v>GW</x:v>
      </x:c>
      <x:c r="K170" s="83" t="str">
        <x:v>Assunzione di scenario</x:v>
      </x:c>
      <x:c r="L170" s="83" t="str">
        <x:v>S09</x:v>
      </x:c>
      <x:c r="M170" s="83" t="str">
        <x:v>Documento_Descrizione_Scenari_2024_8dce2430d44d101.pdf</x:v>
      </x:c>
      <x:c r="N170" s="83" t="n">
        <x:v>61</x:v>
      </x:c>
      <x:c r="O170" s="83" t="n">
        <x:v>59</x:v>
      </x:c>
      <x:c r="P170" s="83" t="str">
        <x:v>Tabella 15</x:v>
      </x:c>
      <x:c r="Q170" s="83" t="str">
        <x:v>Direct table extraction; visual/text verification</x:v>
      </x:c>
      <x:c r="R170" s="83" t="str">
        <x:v>A - Direct</x:v>
      </x:c>
      <x:c r="S170" s="83" t="str">
        <x:v>Zonal p_nom input after mapping to PyPSA carrier.</x:v>
      </x:c>
      <x:c r="T170" s="83" t="str">
        <x:v>Table source labels rows as Distribuito/Utility; standardized as onshore/offshore.</x:v>
      </x:c>
    </x:row>
    <x:row r="171">
      <x:c r="A171" s="83" t="str">
        <x:v>ZCAP-0167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Centro Sud</x:v>
      </x:c>
      <x:c r="F171" s="83" t="str">
        <x:v>Wind</x:v>
      </x:c>
      <x:c r="G171" s="83" t="str">
        <x:v>Eolico onshore</x:v>
      </x:c>
      <x:c r="H171" s="83" t="str">
        <x:v>Distribuito</x:v>
      </x:c>
      <x:c r="I171" s="143" t="n">
        <x:v>5.7</x:v>
      </x:c>
      <x:c r="J171" s="83" t="str">
        <x:v>GW</x:v>
      </x:c>
      <x:c r="K171" s="83" t="str">
        <x:v>Assunzione di scenario</x:v>
      </x:c>
      <x:c r="L171" s="83" t="str">
        <x:v>S09</x:v>
      </x:c>
      <x:c r="M171" s="83" t="str">
        <x:v>Documento_Descrizione_Scenari_2024_8dce2430d44d101.pdf</x:v>
      </x:c>
      <x:c r="N171" s="83" t="n">
        <x:v>61</x:v>
      </x:c>
      <x:c r="O171" s="83" t="n">
        <x:v>59</x:v>
      </x:c>
      <x:c r="P171" s="83" t="str">
        <x:v>Tabella 15</x:v>
      </x:c>
      <x:c r="Q171" s="83" t="str">
        <x:v>Direct table extraction; visual/text verification</x:v>
      </x:c>
      <x:c r="R171" s="83" t="str">
        <x:v>A - Direct</x:v>
      </x:c>
      <x:c r="S171" s="83" t="str">
        <x:v>Zonal p_nom input after mapping to PyPSA carrier.</x:v>
      </x:c>
      <x:c r="T171" s="83" t="str">
        <x:v>Table source labels rows as Distribuito/Utility; standardized as onshore/offshore.</x:v>
      </x:c>
    </x:row>
    <x:row r="172">
      <x:c r="A172" s="83" t="str">
        <x:v>ZCAP-0168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Centro Sud</x:v>
      </x:c>
      <x:c r="F172" s="83" t="str">
        <x:v>Wind</x:v>
      </x:c>
      <x:c r="G172" s="83" t="str">
        <x:v>Eolico onshore</x:v>
      </x:c>
      <x:c r="H172" s="83" t="str">
        <x:v>Distribuito</x:v>
      </x:c>
      <x:c r="I172" s="143" t="n">
        <x:v>4.9</x:v>
      </x:c>
      <x:c r="J172" s="83" t="str">
        <x:v>GW</x:v>
      </x:c>
      <x:c r="K172" s="83" t="str">
        <x:v>Assunzione di scenario</x:v>
      </x:c>
      <x:c r="L172" s="83" t="str">
        <x:v>S09</x:v>
      </x:c>
      <x:c r="M172" s="83" t="str">
        <x:v>Documento_Descrizione_Scenari_2024_8dce2430d44d101.pdf</x:v>
      </x:c>
      <x:c r="N172" s="83" t="n">
        <x:v>61</x:v>
      </x:c>
      <x:c r="O172" s="83" t="n">
        <x:v>59</x:v>
      </x:c>
      <x:c r="P172" s="83" t="str">
        <x:v>Tabella 15</x:v>
      </x:c>
      <x:c r="Q172" s="83" t="str">
        <x:v>Direct table extraction; visual/text verification</x:v>
      </x:c>
      <x:c r="R172" s="83" t="str">
        <x:v>A - Direct</x:v>
      </x:c>
      <x:c r="S172" s="83" t="str">
        <x:v>Zonal p_nom input after mapping to PyPSA carrier.</x:v>
      </x:c>
      <x:c r="T172" s="83" t="str">
        <x:v>Table source labels rows as Distribuito/Utility; standardized as onshore/offshore.</x:v>
      </x:c>
    </x:row>
    <x:row r="173">
      <x:c r="A173" s="83" t="str">
        <x:v>ZCAP-0169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Centro Sud</x:v>
      </x:c>
      <x:c r="F173" s="83" t="str">
        <x:v>Wind</x:v>
      </x:c>
      <x:c r="G173" s="83" t="str">
        <x:v>Eolico onshore</x:v>
      </x:c>
      <x:c r="H173" s="83" t="str">
        <x:v>Distribuito</x:v>
      </x:c>
      <x:c r="I173" s="143" t="n">
        <x:v>6.8</x:v>
      </x:c>
      <x:c r="J173" s="83" t="str">
        <x:v>GW</x:v>
      </x:c>
      <x:c r="K173" s="83" t="str">
        <x:v>Assunzione di scenario</x:v>
      </x:c>
      <x:c r="L173" s="83" t="str">
        <x:v>S09</x:v>
      </x:c>
      <x:c r="M173" s="83" t="str">
        <x:v>Documento_Descrizione_Scenari_2024_8dce2430d44d101.pdf</x:v>
      </x:c>
      <x:c r="N173" s="83" t="n">
        <x:v>61</x:v>
      </x:c>
      <x:c r="O173" s="83" t="n">
        <x:v>59</x:v>
      </x:c>
      <x:c r="P173" s="83" t="str">
        <x:v>Tabella 15</x:v>
      </x:c>
      <x:c r="Q173" s="83" t="str">
        <x:v>Direct table extraction; visual/text verification</x:v>
      </x:c>
      <x:c r="R173" s="83" t="str">
        <x:v>A - Direct</x:v>
      </x:c>
      <x:c r="S173" s="83" t="str">
        <x:v>Zonal p_nom input after mapping to PyPSA carrier.</x:v>
      </x:c>
      <x:c r="T173" s="83" t="str">
        <x:v>Table source labels rows as Distribuito/Utility; standardized as onshore/offshore.</x:v>
      </x:c>
    </x:row>
    <x:row r="174">
      <x:c r="A174" s="83" t="str">
        <x:v>ZCAP-0170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Centro Sud</x:v>
      </x:c>
      <x:c r="F174" s="83" t="str">
        <x:v>Wind</x:v>
      </x:c>
      <x:c r="G174" s="83" t="str">
        <x:v>Eolico onshore</x:v>
      </x:c>
      <x:c r="H174" s="83" t="str">
        <x:v>Distribuito</x:v>
      </x:c>
      <x:c r="I174" s="143" t="n">
        <x:v>6.2</x:v>
      </x:c>
      <x:c r="J174" s="83" t="str">
        <x:v>GW</x:v>
      </x:c>
      <x:c r="K174" s="83" t="str">
        <x:v>Assunzione di scenario</x:v>
      </x:c>
      <x:c r="L174" s="83" t="str">
        <x:v>S09</x:v>
      </x:c>
      <x:c r="M174" s="83" t="str">
        <x:v>Documento_Descrizione_Scenari_2024_8dce2430d44d101.pdf</x:v>
      </x:c>
      <x:c r="N174" s="83" t="n">
        <x:v>61</x:v>
      </x:c>
      <x:c r="O174" s="83" t="n">
        <x:v>59</x:v>
      </x:c>
      <x:c r="P174" s="83" t="str">
        <x:v>Tabella 15</x:v>
      </x:c>
      <x:c r="Q174" s="83" t="str">
        <x:v>Direct table extraction; visual/text verification</x:v>
      </x:c>
      <x:c r="R174" s="83" t="str">
        <x:v>A - Direct</x:v>
      </x:c>
      <x:c r="S174" s="83" t="str">
        <x:v>Zonal p_nom input after mapping to PyPSA carrier.</x:v>
      </x:c>
      <x:c r="T174" s="83" t="str">
        <x:v>Table source labels rows as Distribuito/Utility; standardized as onshore/offshore.</x:v>
      </x:c>
    </x:row>
    <x:row r="175">
      <x:c r="A175" s="83" t="str">
        <x:v>ZCAP-0171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Centro Sud</x:v>
      </x:c>
      <x:c r="F175" s="83" t="str">
        <x:v>Wind</x:v>
      </x:c>
      <x:c r="G175" s="83" t="str">
        <x:v>Eolico onshore</x:v>
      </x:c>
      <x:c r="H175" s="83" t="str">
        <x:v>Distribuito</x:v>
      </x:c>
      <x:c r="I175" s="143" t="n">
        <x:v>5.6</x:v>
      </x:c>
      <x:c r="J175" s="83" t="str">
        <x:v>GW</x:v>
      </x:c>
      <x:c r="K175" s="83" t="str">
        <x:v>Assunzione di scenario</x:v>
      </x:c>
      <x:c r="L175" s="83" t="str">
        <x:v>S09</x:v>
      </x:c>
      <x:c r="M175" s="83" t="str">
        <x:v>Documento_Descrizione_Scenari_2024_8dce2430d44d101.pdf</x:v>
      </x:c>
      <x:c r="N175" s="83" t="n">
        <x:v>61</x:v>
      </x:c>
      <x:c r="O175" s="83" t="n">
        <x:v>59</x:v>
      </x:c>
      <x:c r="P175" s="83" t="str">
        <x:v>Tabella 15</x:v>
      </x:c>
      <x:c r="Q175" s="83" t="str">
        <x:v>Direct table extraction; visual/text verification</x:v>
      </x:c>
      <x:c r="R175" s="83" t="str">
        <x:v>A - Direct</x:v>
      </x:c>
      <x:c r="S175" s="83" t="str">
        <x:v>Zonal p_nom input after mapping to PyPSA carrier.</x:v>
      </x:c>
      <x:c r="T175" s="83" t="str">
        <x:v>Table source labels rows as Distribuito/Utility; standardized as onshore/offshore.</x:v>
      </x:c>
    </x:row>
    <x:row r="176">
      <x:c r="A176" s="83" t="str">
        <x:v>ZCAP-0172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Centro Sud</x:v>
      </x:c>
      <x:c r="F176" s="83" t="str">
        <x:v>Wind</x:v>
      </x:c>
      <x:c r="G176" s="83" t="str">
        <x:v>Eolico offshore</x:v>
      </x:c>
      <x:c r="H176" s="83" t="str">
        <x:v>Utility</x:v>
      </x:c>
      <x:c r="I176" s="143" t="n">
        <x:v>0</x:v>
      </x:c>
      <x:c r="J176" s="83" t="str">
        <x:v>GW</x:v>
      </x:c>
      <x:c r="K176" s="83" t="str">
        <x:v>Dato osservato storico</x:v>
      </x:c>
      <x:c r="L176" s="83" t="str">
        <x:v>S09</x:v>
      </x:c>
      <x:c r="M176" s="83" t="str">
        <x:v>Documento_Descrizione_Scenari_2024_8dce2430d44d101.pdf</x:v>
      </x:c>
      <x:c r="N176" s="83" t="n">
        <x:v>61</x:v>
      </x:c>
      <x:c r="O176" s="83" t="n">
        <x:v>59</x:v>
      </x:c>
      <x:c r="P176" s="83" t="str">
        <x:v>Tabella 15</x:v>
      </x:c>
      <x:c r="Q176" s="83" t="str">
        <x:v>Direct table extraction; visual/text verification</x:v>
      </x:c>
      <x:c r="R176" s="83" t="str">
        <x:v>A - Direct</x:v>
      </x:c>
      <x:c r="S176" s="83" t="str">
        <x:v>Zonal p_nom input after mapping to PyPSA carrier.</x:v>
      </x:c>
      <x:c r="T176" s="83" t="str">
        <x:v>Table source labels rows as Distribuito/Utility; standardized as onshore/offshore.</x:v>
      </x:c>
    </x:row>
    <x:row r="177">
      <x:c r="A177" s="83" t="str">
        <x:v>ZCAP-0173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Centro Sud</x:v>
      </x:c>
      <x:c r="F177" s="83" t="str">
        <x:v>Wind</x:v>
      </x:c>
      <x:c r="G177" s="83" t="str">
        <x:v>Eolico offshore</x:v>
      </x:c>
      <x:c r="H177" s="83" t="str">
        <x:v>Utility</x:v>
      </x:c>
      <x:c r="I177" s="143" t="n">
        <x:v>0</x:v>
      </x:c>
      <x:c r="J177" s="83" t="str">
        <x:v>GW</x:v>
      </x:c>
      <x:c r="K177" s="83" t="str">
        <x:v>Assunzione di scenario</x:v>
      </x:c>
      <x:c r="L177" s="83" t="str">
        <x:v>S09</x:v>
      </x:c>
      <x:c r="M177" s="83" t="str">
        <x:v>Documento_Descrizione_Scenari_2024_8dce2430d44d101.pdf</x:v>
      </x:c>
      <x:c r="N177" s="83" t="n">
        <x:v>61</x:v>
      </x:c>
      <x:c r="O177" s="83" t="n">
        <x:v>59</x:v>
      </x:c>
      <x:c r="P177" s="83" t="str">
        <x:v>Tabella 15</x:v>
      </x:c>
      <x:c r="Q177" s="83" t="str">
        <x:v>Direct table extraction; visual/text verification</x:v>
      </x:c>
      <x:c r="R177" s="83" t="str">
        <x:v>A - Direct</x:v>
      </x:c>
      <x:c r="S177" s="83" t="str">
        <x:v>Zonal p_nom input after mapping to PyPSA carrier.</x:v>
      </x:c>
      <x:c r="T177" s="83" t="str">
        <x:v>Table source labels rows as Distribuito/Utility; standardized as onshore/offshore.</x:v>
      </x:c>
    </x:row>
    <x:row r="178">
      <x:c r="A178" s="83" t="str">
        <x:v>ZCAP-0174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Centro Sud</x:v>
      </x:c>
      <x:c r="F178" s="83" t="str">
        <x:v>Wind</x:v>
      </x:c>
      <x:c r="G178" s="83" t="str">
        <x:v>Eolico offshore</x:v>
      </x:c>
      <x:c r="H178" s="83" t="str">
        <x:v>Utility</x:v>
      </x:c>
      <x:c r="I178" s="143" t="n">
        <x:v>0</x:v>
      </x:c>
      <x:c r="J178" s="83" t="str">
        <x:v>GW</x:v>
      </x:c>
      <x:c r="K178" s="83" t="str">
        <x:v>Assunzione di scenario</x:v>
      </x:c>
      <x:c r="L178" s="83" t="str">
        <x:v>S09</x:v>
      </x:c>
      <x:c r="M178" s="83" t="str">
        <x:v>Documento_Descrizione_Scenari_2024_8dce2430d44d101.pdf</x:v>
      </x:c>
      <x:c r="N178" s="83" t="n">
        <x:v>61</x:v>
      </x:c>
      <x:c r="O178" s="83" t="n">
        <x:v>59</x:v>
      </x:c>
      <x:c r="P178" s="83" t="str">
        <x:v>Tabella 15</x:v>
      </x:c>
      <x:c r="Q178" s="83" t="str">
        <x:v>Direct table extraction; visual/text verification</x:v>
      </x:c>
      <x:c r="R178" s="83" t="str">
        <x:v>A - Direct</x:v>
      </x:c>
      <x:c r="S178" s="83" t="str">
        <x:v>Zonal p_nom input after mapping to PyPSA carrier.</x:v>
      </x:c>
      <x:c r="T178" s="83" t="str">
        <x:v>Table source labels rows as Distribuito/Utility; standardized as onshore/offshore.</x:v>
      </x:c>
    </x:row>
    <x:row r="179">
      <x:c r="A179" s="83" t="str">
        <x:v>ZCAP-0175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Centro Sud</x:v>
      </x:c>
      <x:c r="F179" s="83" t="str">
        <x:v>Wind</x:v>
      </x:c>
      <x:c r="G179" s="83" t="str">
        <x:v>Eolico offshore</x:v>
      </x:c>
      <x:c r="H179" s="83" t="str">
        <x:v>Utility</x:v>
      </x:c>
      <x:c r="I179" s="143" t="n">
        <x:v>0.6</x:v>
      </x:c>
      <x:c r="J179" s="83" t="str">
        <x:v>GW</x:v>
      </x:c>
      <x:c r="K179" s="83" t="str">
        <x:v>Assunzione di scenario</x:v>
      </x:c>
      <x:c r="L179" s="83" t="str">
        <x:v>S09</x:v>
      </x:c>
      <x:c r="M179" s="83" t="str">
        <x:v>Documento_Descrizione_Scenari_2024_8dce2430d44d101.pdf</x:v>
      </x:c>
      <x:c r="N179" s="83" t="n">
        <x:v>61</x:v>
      </x:c>
      <x:c r="O179" s="83" t="n">
        <x:v>59</x:v>
      </x:c>
      <x:c r="P179" s="83" t="str">
        <x:v>Tabella 15</x:v>
      </x:c>
      <x:c r="Q179" s="83" t="str">
        <x:v>Direct table extraction; visual/text verification</x:v>
      </x:c>
      <x:c r="R179" s="83" t="str">
        <x:v>A - Direct</x:v>
      </x:c>
      <x:c r="S179" s="83" t="str">
        <x:v>Zonal p_nom input after mapping to PyPSA carrier.</x:v>
      </x:c>
      <x:c r="T179" s="83" t="str">
        <x:v>Table source labels rows as Distribuito/Utility; standardized as onshore/offshore.</x:v>
      </x:c>
    </x:row>
    <x:row r="180">
      <x:c r="A180" s="83" t="str">
        <x:v>ZCAP-0176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Centro Sud</x:v>
      </x:c>
      <x:c r="F180" s="83" t="str">
        <x:v>Wind</x:v>
      </x:c>
      <x:c r="G180" s="83" t="str">
        <x:v>Eolico offshore</x:v>
      </x:c>
      <x:c r="H180" s="83" t="str">
        <x:v>Utility</x:v>
      </x:c>
      <x:c r="I180" s="143" t="n">
        <x:v>0.4</x:v>
      </x:c>
      <x:c r="J180" s="83" t="str">
        <x:v>GW</x:v>
      </x:c>
      <x:c r="K180" s="83" t="str">
        <x:v>Assunzione di scenario</x:v>
      </x:c>
      <x:c r="L180" s="83" t="str">
        <x:v>S09</x:v>
      </x:c>
      <x:c r="M180" s="83" t="str">
        <x:v>Documento_Descrizione_Scenari_2024_8dce2430d44d101.pdf</x:v>
      </x:c>
      <x:c r="N180" s="83" t="n">
        <x:v>61</x:v>
      </x:c>
      <x:c r="O180" s="83" t="n">
        <x:v>59</x:v>
      </x:c>
      <x:c r="P180" s="83" t="str">
        <x:v>Tabella 15</x:v>
      </x:c>
      <x:c r="Q180" s="83" t="str">
        <x:v>Direct table extraction; visual/text verification</x:v>
      </x:c>
      <x:c r="R180" s="83" t="str">
        <x:v>A - Direct</x:v>
      </x:c>
      <x:c r="S180" s="83" t="str">
        <x:v>Zonal p_nom input after mapping to PyPSA carrier.</x:v>
      </x:c>
      <x:c r="T180" s="83" t="str">
        <x:v>Table source labels rows as Distribuito/Utility; standardized as onshore/offshore.</x:v>
      </x:c>
    </x:row>
    <x:row r="181">
      <x:c r="A181" s="83" t="str">
        <x:v>ZCAP-0177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Centro Sud</x:v>
      </x:c>
      <x:c r="F181" s="83" t="str">
        <x:v>Wind</x:v>
      </x:c>
      <x:c r="G181" s="83" t="str">
        <x:v>Eolico offshore</x:v>
      </x:c>
      <x:c r="H181" s="83" t="str">
        <x:v>Utility</x:v>
      </x:c>
      <x:c r="I181" s="143" t="n">
        <x:v>0.4</x:v>
      </x:c>
      <x:c r="J181" s="83" t="str">
        <x:v>GW</x:v>
      </x:c>
      <x:c r="K181" s="83" t="str">
        <x:v>Assunzione di scenario</x:v>
      </x:c>
      <x:c r="L181" s="83" t="str">
        <x:v>S09</x:v>
      </x:c>
      <x:c r="M181" s="83" t="str">
        <x:v>Documento_Descrizione_Scenari_2024_8dce2430d44d101.pdf</x:v>
      </x:c>
      <x:c r="N181" s="83" t="n">
        <x:v>61</x:v>
      </x:c>
      <x:c r="O181" s="83" t="n">
        <x:v>59</x:v>
      </x:c>
      <x:c r="P181" s="83" t="str">
        <x:v>Tabella 15</x:v>
      </x:c>
      <x:c r="Q181" s="83" t="str">
        <x:v>Direct table extraction; visual/text verification</x:v>
      </x:c>
      <x:c r="R181" s="83" t="str">
        <x:v>A - Direct</x:v>
      </x:c>
      <x:c r="S181" s="83" t="str">
        <x:v>Zonal p_nom input after mapping to PyPSA carrier.</x:v>
      </x:c>
      <x:c r="T181" s="83" t="str">
        <x:v>Table source labels rows as Distribuito/Utility; standardized as onshore/offshore.</x:v>
      </x:c>
    </x:row>
    <x:row r="182">
      <x:c r="A182" s="83" t="str">
        <x:v>ZCAP-0178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Centro Sud</x:v>
      </x:c>
      <x:c r="F182" s="83" t="str">
        <x:v>Wind</x:v>
      </x:c>
      <x:c r="G182" s="83" t="str">
        <x:v>Eolico offshore</x:v>
      </x:c>
      <x:c r="H182" s="83" t="str">
        <x:v>Utility</x:v>
      </x:c>
      <x:c r="I182" s="143" t="n">
        <x:v>1.6</x:v>
      </x:c>
      <x:c r="J182" s="83" t="str">
        <x:v>GW</x:v>
      </x:c>
      <x:c r="K182" s="83" t="str">
        <x:v>Assunzione di scenario</x:v>
      </x:c>
      <x:c r="L182" s="83" t="str">
        <x:v>S09</x:v>
      </x:c>
      <x:c r="M182" s="83" t="str">
        <x:v>Documento_Descrizione_Scenari_2024_8dce2430d44d101.pdf</x:v>
      </x:c>
      <x:c r="N182" s="83" t="n">
        <x:v>61</x:v>
      </x:c>
      <x:c r="O182" s="83" t="n">
        <x:v>59</x:v>
      </x:c>
      <x:c r="P182" s="83" t="str">
        <x:v>Tabella 15</x:v>
      </x:c>
      <x:c r="Q182" s="83" t="str">
        <x:v>Direct table extraction; visual/text verification</x:v>
      </x:c>
      <x:c r="R182" s="83" t="str">
        <x:v>A - Direct</x:v>
      </x:c>
      <x:c r="S182" s="83" t="str">
        <x:v>Zonal p_nom input after mapping to PyPSA carrier.</x:v>
      </x:c>
      <x:c r="T182" s="83" t="str">
        <x:v>Table source labels rows as Distribuito/Utility; standardized as onshore/offshore.</x:v>
      </x:c>
    </x:row>
    <x:row r="183">
      <x:c r="A183" s="83" t="str">
        <x:v>ZCAP-0179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Centro Sud</x:v>
      </x:c>
      <x:c r="F183" s="83" t="str">
        <x:v>Wind</x:v>
      </x:c>
      <x:c r="G183" s="83" t="str">
        <x:v>Eolico offshore</x:v>
      </x:c>
      <x:c r="H183" s="83" t="str">
        <x:v>Utility</x:v>
      </x:c>
      <x:c r="I183" s="143" t="n">
        <x:v>1.2</x:v>
      </x:c>
      <x:c r="J183" s="83" t="str">
        <x:v>GW</x:v>
      </x:c>
      <x:c r="K183" s="83" t="str">
        <x:v>Assunzione di scenario</x:v>
      </x:c>
      <x:c r="L183" s="83" t="str">
        <x:v>S09</x:v>
      </x:c>
      <x:c r="M183" s="83" t="str">
        <x:v>Documento_Descrizione_Scenari_2024_8dce2430d44d101.pdf</x:v>
      </x:c>
      <x:c r="N183" s="83" t="n">
        <x:v>61</x:v>
      </x:c>
      <x:c r="O183" s="83" t="n">
        <x:v>59</x:v>
      </x:c>
      <x:c r="P183" s="83" t="str">
        <x:v>Tabella 15</x:v>
      </x:c>
      <x:c r="Q183" s="83" t="str">
        <x:v>Direct table extraction; visual/text verification</x:v>
      </x:c>
      <x:c r="R183" s="83" t="str">
        <x:v>A - Direct</x:v>
      </x:c>
      <x:c r="S183" s="83" t="str">
        <x:v>Zonal p_nom input after mapping to PyPSA carrier.</x:v>
      </x:c>
      <x:c r="T183" s="83" t="str">
        <x:v>Table source labels rows as Distribuito/Utility; standardized as onshore/offshore.</x:v>
      </x:c>
    </x:row>
    <x:row r="184">
      <x:c r="A184" s="83" t="str">
        <x:v>ZCAP-0180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Centro Sud</x:v>
      </x:c>
      <x:c r="F184" s="83" t="str">
        <x:v>Wind</x:v>
      </x:c>
      <x:c r="G184" s="83" t="str">
        <x:v>Eolico offshore</x:v>
      </x:c>
      <x:c r="H184" s="83" t="str">
        <x:v>Utility</x:v>
      </x:c>
      <x:c r="I184" s="143" t="n">
        <x:v>1.1</x:v>
      </x:c>
      <x:c r="J184" s="83" t="str">
        <x:v>GW</x:v>
      </x:c>
      <x:c r="K184" s="83" t="str">
        <x:v>Assunzione di scenario</x:v>
      </x:c>
      <x:c r="L184" s="83" t="str">
        <x:v>S09</x:v>
      </x:c>
      <x:c r="M184" s="83" t="str">
        <x:v>Documento_Descrizione_Scenari_2024_8dce2430d44d101.pdf</x:v>
      </x:c>
      <x:c r="N184" s="83" t="n">
        <x:v>61</x:v>
      </x:c>
      <x:c r="O184" s="83" t="n">
        <x:v>59</x:v>
      </x:c>
      <x:c r="P184" s="83" t="str">
        <x:v>Tabella 15</x:v>
      </x:c>
      <x:c r="Q184" s="83" t="str">
        <x:v>Direct table extraction; visual/text verification</x:v>
      </x:c>
      <x:c r="R184" s="83" t="str">
        <x:v>A - Direct</x:v>
      </x:c>
      <x:c r="S184" s="83" t="str">
        <x:v>Zonal p_nom input after mapping to PyPSA carrier.</x:v>
      </x:c>
      <x:c r="T184" s="83" t="str">
        <x:v>Table source labels rows as Distribuito/Utility; standardized as onshore/offshore.</x:v>
      </x:c>
    </x:row>
    <x:row r="185">
      <x:c r="A185" s="83" t="str">
        <x:v>ZCAP-0181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Sud</x:v>
      </x:c>
      <x:c r="F185" s="83" t="str">
        <x:v>Wind</x:v>
      </x:c>
      <x:c r="G185" s="83" t="str">
        <x:v>Eolico onshore</x:v>
      </x:c>
      <x:c r="H185" s="83" t="str">
        <x:v>Distribuito</x:v>
      </x:c>
      <x:c r="I185" s="143" t="n">
        <x:v>5</x:v>
      </x:c>
      <x:c r="J185" s="83" t="str">
        <x:v>GW</x:v>
      </x:c>
      <x:c r="K185" s="83" t="str">
        <x:v>Dato osservato storico</x:v>
      </x:c>
      <x:c r="L185" s="83" t="str">
        <x:v>S09</x:v>
      </x:c>
      <x:c r="M185" s="83" t="str">
        <x:v>Documento_Descrizione_Scenari_2024_8dce2430d44d101.pdf</x:v>
      </x:c>
      <x:c r="N185" s="83" t="n">
        <x:v>61</x:v>
      </x:c>
      <x:c r="O185" s="83" t="n">
        <x:v>59</x:v>
      </x:c>
      <x:c r="P185" s="83" t="str">
        <x:v>Tabella 15</x:v>
      </x:c>
      <x:c r="Q185" s="83" t="str">
        <x:v>Direct table extraction; visual/text verification</x:v>
      </x:c>
      <x:c r="R185" s="83" t="str">
        <x:v>A - Direct</x:v>
      </x:c>
      <x:c r="S185" s="83" t="str">
        <x:v>Zonal p_nom input after mapping to PyPSA carrier.</x:v>
      </x:c>
      <x:c r="T185" s="83" t="str">
        <x:v>Table source labels rows as Distribuito/Utility; standardized as onshore/offshore.</x:v>
      </x:c>
    </x:row>
    <x:row r="186">
      <x:c r="A186" s="83" t="str">
        <x:v>ZCAP-0182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Sud</x:v>
      </x:c>
      <x:c r="F186" s="83" t="str">
        <x:v>Wind</x:v>
      </x:c>
      <x:c r="G186" s="83" t="str">
        <x:v>Eolico onshore</x:v>
      </x:c>
      <x:c r="H186" s="83" t="str">
        <x:v>Distribuito</x:v>
      </x:c>
      <x:c r="I186" s="143" t="n">
        <x:v>10.3</x:v>
      </x:c>
      <x:c r="J186" s="83" t="str">
        <x:v>GW</x:v>
      </x:c>
      <x:c r="K186" s="83" t="str">
        <x:v>Assunzione di scenario</x:v>
      </x:c>
      <x:c r="L186" s="83" t="str">
        <x:v>S09</x:v>
      </x:c>
      <x:c r="M186" s="83" t="str">
        <x:v>Documento_Descrizione_Scenari_2024_8dce2430d44d101.pdf</x:v>
      </x:c>
      <x:c r="N186" s="83" t="n">
        <x:v>61</x:v>
      </x:c>
      <x:c r="O186" s="83" t="n">
        <x:v>59</x:v>
      </x:c>
      <x:c r="P186" s="83" t="str">
        <x:v>Tabella 15</x:v>
      </x:c>
      <x:c r="Q186" s="83" t="str">
        <x:v>Direct table extraction; visual/text verification</x:v>
      </x:c>
      <x:c r="R186" s="83" t="str">
        <x:v>A - Direct</x:v>
      </x:c>
      <x:c r="S186" s="83" t="str">
        <x:v>Zonal p_nom input after mapping to PyPSA carrier.</x:v>
      </x:c>
      <x:c r="T186" s="83" t="str">
        <x:v>Table source labels rows as Distribuito/Utility; standardized as onshore/offshore.</x:v>
      </x:c>
    </x:row>
    <x:row r="187">
      <x:c r="A187" s="83" t="str">
        <x:v>ZCAP-0183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Sud</x:v>
      </x:c>
      <x:c r="F187" s="83" t="str">
        <x:v>Wind</x:v>
      </x:c>
      <x:c r="G187" s="83" t="str">
        <x:v>Eolico onshore</x:v>
      </x:c>
      <x:c r="H187" s="83" t="str">
        <x:v>Distribuito</x:v>
      </x:c>
      <x:c r="I187" s="143" t="n">
        <x:v>8.1</x:v>
      </x:c>
      <x:c r="J187" s="83" t="str">
        <x:v>GW</x:v>
      </x:c>
      <x:c r="K187" s="83" t="str">
        <x:v>Assunzione di scenario</x:v>
      </x:c>
      <x:c r="L187" s="83" t="str">
        <x:v>S09</x:v>
      </x:c>
      <x:c r="M187" s="83" t="str">
        <x:v>Documento_Descrizione_Scenari_2024_8dce2430d44d101.pdf</x:v>
      </x:c>
      <x:c r="N187" s="83" t="n">
        <x:v>61</x:v>
      </x:c>
      <x:c r="O187" s="83" t="n">
        <x:v>59</x:v>
      </x:c>
      <x:c r="P187" s="83" t="str">
        <x:v>Tabella 15</x:v>
      </x:c>
      <x:c r="Q187" s="83" t="str">
        <x:v>Direct table extraction; visual/text verification</x:v>
      </x:c>
      <x:c r="R187" s="83" t="str">
        <x:v>A - Direct</x:v>
      </x:c>
      <x:c r="S187" s="83" t="str">
        <x:v>Zonal p_nom input after mapping to PyPSA carrier.</x:v>
      </x:c>
      <x:c r="T187" s="83" t="str">
        <x:v>Table source labels rows as Distribuito/Utility; standardized as onshore/offshore.</x:v>
      </x:c>
    </x:row>
    <x:row r="188">
      <x:c r="A188" s="83" t="str">
        <x:v>ZCAP-0184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Sud</x:v>
      </x:c>
      <x:c r="F188" s="83" t="str">
        <x:v>Wind</x:v>
      </x:c>
      <x:c r="G188" s="83" t="str">
        <x:v>Eolico onshore</x:v>
      </x:c>
      <x:c r="H188" s="83" t="str">
        <x:v>Distribuito</x:v>
      </x:c>
      <x:c r="I188" s="143" t="n">
        <x:v>11.8</x:v>
      </x:c>
      <x:c r="J188" s="83" t="str">
        <x:v>GW</x:v>
      </x:c>
      <x:c r="K188" s="83" t="str">
        <x:v>Assunzione di scenario</x:v>
      </x:c>
      <x:c r="L188" s="83" t="str">
        <x:v>S09</x:v>
      </x:c>
      <x:c r="M188" s="83" t="str">
        <x:v>Documento_Descrizione_Scenari_2024_8dce2430d44d101.pdf</x:v>
      </x:c>
      <x:c r="N188" s="83" t="n">
        <x:v>61</x:v>
      </x:c>
      <x:c r="O188" s="83" t="n">
        <x:v>59</x:v>
      </x:c>
      <x:c r="P188" s="83" t="str">
        <x:v>Tabella 15</x:v>
      </x:c>
      <x:c r="Q188" s="83" t="str">
        <x:v>Direct table extraction; visual/text verification</x:v>
      </x:c>
      <x:c r="R188" s="83" t="str">
        <x:v>A - Direct</x:v>
      </x:c>
      <x:c r="S188" s="83" t="str">
        <x:v>Zonal p_nom input after mapping to PyPSA carrier.</x:v>
      </x:c>
      <x:c r="T188" s="83" t="str">
        <x:v>Table source labels rows as Distribuito/Utility; standardized as onshore/offshore.</x:v>
      </x:c>
    </x:row>
    <x:row r="189">
      <x:c r="A189" s="83" t="str">
        <x:v>ZCAP-0185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Sud</x:v>
      </x:c>
      <x:c r="F189" s="83" t="str">
        <x:v>Wind</x:v>
      </x:c>
      <x:c r="G189" s="83" t="str">
        <x:v>Eolico onshore</x:v>
      </x:c>
      <x:c r="H189" s="83" t="str">
        <x:v>Distribuito</x:v>
      </x:c>
      <x:c r="I189" s="143" t="n">
        <x:v>11</x:v>
      </x:c>
      <x:c r="J189" s="83" t="str">
        <x:v>GW</x:v>
      </x:c>
      <x:c r="K189" s="83" t="str">
        <x:v>Assunzione di scenario</x:v>
      </x:c>
      <x:c r="L189" s="83" t="str">
        <x:v>S09</x:v>
      </x:c>
      <x:c r="M189" s="83" t="str">
        <x:v>Documento_Descrizione_Scenari_2024_8dce2430d44d101.pdf</x:v>
      </x:c>
      <x:c r="N189" s="83" t="n">
        <x:v>61</x:v>
      </x:c>
      <x:c r="O189" s="83" t="n">
        <x:v>59</x:v>
      </x:c>
      <x:c r="P189" s="83" t="str">
        <x:v>Tabella 15</x:v>
      </x:c>
      <x:c r="Q189" s="83" t="str">
        <x:v>Direct table extraction; visual/text verification</x:v>
      </x:c>
      <x:c r="R189" s="83" t="str">
        <x:v>A - Direct</x:v>
      </x:c>
      <x:c r="S189" s="83" t="str">
        <x:v>Zonal p_nom input after mapping to PyPSA carrier.</x:v>
      </x:c>
      <x:c r="T189" s="83" t="str">
        <x:v>Table source labels rows as Distribuito/Utility; standardized as onshore/offshore.</x:v>
      </x:c>
    </x:row>
    <x:row r="190">
      <x:c r="A190" s="83" t="str">
        <x:v>ZCAP-0186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Sud</x:v>
      </x:c>
      <x:c r="F190" s="83" t="str">
        <x:v>Wind</x:v>
      </x:c>
      <x:c r="G190" s="83" t="str">
        <x:v>Eolico onshore</x:v>
      </x:c>
      <x:c r="H190" s="83" t="str">
        <x:v>Distribuito</x:v>
      </x:c>
      <x:c r="I190" s="143" t="n">
        <x:v>9.4</x:v>
      </x:c>
      <x:c r="J190" s="83" t="str">
        <x:v>GW</x:v>
      </x:c>
      <x:c r="K190" s="83" t="str">
        <x:v>Assunzione di scenario</x:v>
      </x:c>
      <x:c r="L190" s="83" t="str">
        <x:v>S09</x:v>
      </x:c>
      <x:c r="M190" s="83" t="str">
        <x:v>Documento_Descrizione_Scenari_2024_8dce2430d44d101.pdf</x:v>
      </x:c>
      <x:c r="N190" s="83" t="n">
        <x:v>61</x:v>
      </x:c>
      <x:c r="O190" s="83" t="n">
        <x:v>59</x:v>
      </x:c>
      <x:c r="P190" s="83" t="str">
        <x:v>Tabella 15</x:v>
      </x:c>
      <x:c r="Q190" s="83" t="str">
        <x:v>Direct table extraction; visual/text verification</x:v>
      </x:c>
      <x:c r="R190" s="83" t="str">
        <x:v>A - Direct</x:v>
      </x:c>
      <x:c r="S190" s="83" t="str">
        <x:v>Zonal p_nom input after mapping to PyPSA carrier.</x:v>
      </x:c>
      <x:c r="T190" s="83" t="str">
        <x:v>Table source labels rows as Distribuito/Utility; standardized as onshore/offshore.</x:v>
      </x:c>
    </x:row>
    <x:row r="191">
      <x:c r="A191" s="83" t="str">
        <x:v>ZCAP-0187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Sud</x:v>
      </x:c>
      <x:c r="F191" s="83" t="str">
        <x:v>Wind</x:v>
      </x:c>
      <x:c r="G191" s="83" t="str">
        <x:v>Eolico onshore</x:v>
      </x:c>
      <x:c r="H191" s="83" t="str">
        <x:v>Distribuito</x:v>
      </x:c>
      <x:c r="I191" s="143" t="n">
        <x:v>13.2</x:v>
      </x:c>
      <x:c r="J191" s="83" t="str">
        <x:v>GW</x:v>
      </x:c>
      <x:c r="K191" s="83" t="str">
        <x:v>Assunzione di scenario</x:v>
      </x:c>
      <x:c r="L191" s="83" t="str">
        <x:v>S09</x:v>
      </x:c>
      <x:c r="M191" s="83" t="str">
        <x:v>Documento_Descrizione_Scenari_2024_8dce2430d44d101.pdf</x:v>
      </x:c>
      <x:c r="N191" s="83" t="n">
        <x:v>61</x:v>
      </x:c>
      <x:c r="O191" s="83" t="n">
        <x:v>59</x:v>
      </x:c>
      <x:c r="P191" s="83" t="str">
        <x:v>Tabella 15</x:v>
      </x:c>
      <x:c r="Q191" s="83" t="str">
        <x:v>Direct table extraction; visual/text verification</x:v>
      </x:c>
      <x:c r="R191" s="83" t="str">
        <x:v>A - Direct</x:v>
      </x:c>
      <x:c r="S191" s="83" t="str">
        <x:v>Zonal p_nom input after mapping to PyPSA carrier.</x:v>
      </x:c>
      <x:c r="T191" s="83" t="str">
        <x:v>Table source labels rows as Distribuito/Utility; standardized as onshore/offshore.</x:v>
      </x:c>
    </x:row>
    <x:row r="192">
      <x:c r="A192" s="83" t="str">
        <x:v>ZCAP-0188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Sud</x:v>
      </x:c>
      <x:c r="F192" s="83" t="str">
        <x:v>Wind</x:v>
      </x:c>
      <x:c r="G192" s="83" t="str">
        <x:v>Eolico onshore</x:v>
      </x:c>
      <x:c r="H192" s="83" t="str">
        <x:v>Distribuito</x:v>
      </x:c>
      <x:c r="I192" s="143" t="n">
        <x:v>12.1</x:v>
      </x:c>
      <x:c r="J192" s="83" t="str">
        <x:v>GW</x:v>
      </x:c>
      <x:c r="K192" s="83" t="str">
        <x:v>Assunzione di scenario</x:v>
      </x:c>
      <x:c r="L192" s="83" t="str">
        <x:v>S09</x:v>
      </x:c>
      <x:c r="M192" s="83" t="str">
        <x:v>Documento_Descrizione_Scenari_2024_8dce2430d44d101.pdf</x:v>
      </x:c>
      <x:c r="N192" s="83" t="n">
        <x:v>61</x:v>
      </x:c>
      <x:c r="O192" s="83" t="n">
        <x:v>59</x:v>
      </x:c>
      <x:c r="P192" s="83" t="str">
        <x:v>Tabella 15</x:v>
      </x:c>
      <x:c r="Q192" s="83" t="str">
        <x:v>Direct table extraction; visual/text verification</x:v>
      </x:c>
      <x:c r="R192" s="83" t="str">
        <x:v>A - Direct</x:v>
      </x:c>
      <x:c r="S192" s="83" t="str">
        <x:v>Zonal p_nom input after mapping to PyPSA carrier.</x:v>
      </x:c>
      <x:c r="T192" s="83" t="str">
        <x:v>Table source labels rows as Distribuito/Utility; standardized as onshore/offshore.</x:v>
      </x:c>
    </x:row>
    <x:row r="193">
      <x:c r="A193" s="83" t="str">
        <x:v>ZCAP-0189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Sud</x:v>
      </x:c>
      <x:c r="F193" s="83" t="str">
        <x:v>Wind</x:v>
      </x:c>
      <x:c r="G193" s="83" t="str">
        <x:v>Eolico onshore</x:v>
      </x:c>
      <x:c r="H193" s="83" t="str">
        <x:v>Distribuito</x:v>
      </x:c>
      <x:c r="I193" s="143" t="n">
        <x:v>10.7</x:v>
      </x:c>
      <x:c r="J193" s="83" t="str">
        <x:v>GW</x:v>
      </x:c>
      <x:c r="K193" s="83" t="str">
        <x:v>Assunzione di scenario</x:v>
      </x:c>
      <x:c r="L193" s="83" t="str">
        <x:v>S09</x:v>
      </x:c>
      <x:c r="M193" s="83" t="str">
        <x:v>Documento_Descrizione_Scenari_2024_8dce2430d44d101.pdf</x:v>
      </x:c>
      <x:c r="N193" s="83" t="n">
        <x:v>61</x:v>
      </x:c>
      <x:c r="O193" s="83" t="n">
        <x:v>59</x:v>
      </x:c>
      <x:c r="P193" s="83" t="str">
        <x:v>Tabella 15</x:v>
      </x:c>
      <x:c r="Q193" s="83" t="str">
        <x:v>Direct table extraction; visual/text verification</x:v>
      </x:c>
      <x:c r="R193" s="83" t="str">
        <x:v>A - Direct</x:v>
      </x:c>
      <x:c r="S193" s="83" t="str">
        <x:v>Zonal p_nom input after mapping to PyPSA carrier.</x:v>
      </x:c>
      <x:c r="T193" s="83" t="str">
        <x:v>Table source labels rows as Distribuito/Utility; standardized as onshore/offshore.</x:v>
      </x:c>
    </x:row>
    <x:row r="194">
      <x:c r="A194" s="83" t="str">
        <x:v>ZCAP-0190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Sud</x:v>
      </x:c>
      <x:c r="F194" s="83" t="str">
        <x:v>Wind</x:v>
      </x:c>
      <x:c r="G194" s="83" t="str">
        <x:v>Eolico offshore</x:v>
      </x:c>
      <x:c r="H194" s="83" t="str">
        <x:v>Utility</x:v>
      </x:c>
      <x:c r="I194" s="143" t="n">
        <x:v>0</x:v>
      </x:c>
      <x:c r="J194" s="83" t="str">
        <x:v>GW</x:v>
      </x:c>
      <x:c r="K194" s="83" t="str">
        <x:v>Dato osservato storico</x:v>
      </x:c>
      <x:c r="L194" s="83" t="str">
        <x:v>S09</x:v>
      </x:c>
      <x:c r="M194" s="83" t="str">
        <x:v>Documento_Descrizione_Scenari_2024_8dce2430d44d101.pdf</x:v>
      </x:c>
      <x:c r="N194" s="83" t="n">
        <x:v>61</x:v>
      </x:c>
      <x:c r="O194" s="83" t="n">
        <x:v>59</x:v>
      </x:c>
      <x:c r="P194" s="83" t="str">
        <x:v>Tabella 15</x:v>
      </x:c>
      <x:c r="Q194" s="83" t="str">
        <x:v>Direct table extraction; visual/text verification</x:v>
      </x:c>
      <x:c r="R194" s="83" t="str">
        <x:v>A - Direct</x:v>
      </x:c>
      <x:c r="S194" s="83" t="str">
        <x:v>Zonal p_nom input after mapping to PyPSA carrier.</x:v>
      </x:c>
      <x:c r="T194" s="83" t="str">
        <x:v>Table source labels rows as Distribuito/Utility; standardized as onshore/offshore.</x:v>
      </x:c>
    </x:row>
    <x:row r="195">
      <x:c r="A195" s="83" t="str">
        <x:v>ZCAP-0191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Sud</x:v>
      </x:c>
      <x:c r="F195" s="83" t="str">
        <x:v>Wind</x:v>
      </x:c>
      <x:c r="G195" s="83" t="str">
        <x:v>Eolico offshore</x:v>
      </x:c>
      <x:c r="H195" s="83" t="str">
        <x:v>Utility</x:v>
      </x:c>
      <x:c r="I195" s="143" t="n">
        <x:v>0.6</x:v>
      </x:c>
      <x:c r="J195" s="83" t="str">
        <x:v>GW</x:v>
      </x:c>
      <x:c r="K195" s="83" t="str">
        <x:v>Assunzione di scenario</x:v>
      </x:c>
      <x:c r="L195" s="83" t="str">
        <x:v>S09</x:v>
      </x:c>
      <x:c r="M195" s="83" t="str">
        <x:v>Documento_Descrizione_Scenari_2024_8dce2430d44d101.pdf</x:v>
      </x:c>
      <x:c r="N195" s="83" t="n">
        <x:v>61</x:v>
      </x:c>
      <x:c r="O195" s="83" t="n">
        <x:v>59</x:v>
      </x:c>
      <x:c r="P195" s="83" t="str">
        <x:v>Tabella 15</x:v>
      </x:c>
      <x:c r="Q195" s="83" t="str">
        <x:v>Direct table extraction; visual/text verification</x:v>
      </x:c>
      <x:c r="R195" s="83" t="str">
        <x:v>A - Direct</x:v>
      </x:c>
      <x:c r="S195" s="83" t="str">
        <x:v>Zonal p_nom input after mapping to PyPSA carrier.</x:v>
      </x:c>
      <x:c r="T195" s="83" t="str">
        <x:v>Table source labels rows as Distribuito/Utility; standardized as onshore/offshore.</x:v>
      </x:c>
    </x:row>
    <x:row r="196">
      <x:c r="A196" s="83" t="str">
        <x:v>ZCAP-0192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Sud</x:v>
      </x:c>
      <x:c r="F196" s="83" t="str">
        <x:v>Wind</x:v>
      </x:c>
      <x:c r="G196" s="83" t="str">
        <x:v>Eolico offshore</x:v>
      </x:c>
      <x:c r="H196" s="83" t="str">
        <x:v>Utility</x:v>
      </x:c>
      <x:c r="I196" s="143" t="n">
        <x:v>0.4</x:v>
      </x:c>
      <x:c r="J196" s="83" t="str">
        <x:v>GW</x:v>
      </x:c>
      <x:c r="K196" s="83" t="str">
        <x:v>Assunzione di scenario</x:v>
      </x:c>
      <x:c r="L196" s="83" t="str">
        <x:v>S09</x:v>
      </x:c>
      <x:c r="M196" s="83" t="str">
        <x:v>Documento_Descrizione_Scenari_2024_8dce2430d44d101.pdf</x:v>
      </x:c>
      <x:c r="N196" s="83" t="n">
        <x:v>61</x:v>
      </x:c>
      <x:c r="O196" s="83" t="n">
        <x:v>59</x:v>
      </x:c>
      <x:c r="P196" s="83" t="str">
        <x:v>Tabella 15</x:v>
      </x:c>
      <x:c r="Q196" s="83" t="str">
        <x:v>Direct table extraction; visual/text verification</x:v>
      </x:c>
      <x:c r="R196" s="83" t="str">
        <x:v>A - Direct</x:v>
      </x:c>
      <x:c r="S196" s="83" t="str">
        <x:v>Zonal p_nom input after mapping to PyPSA carrier.</x:v>
      </x:c>
      <x:c r="T196" s="83" t="str">
        <x:v>Table source labels rows as Distribuito/Utility; standardized as onshore/offshore.</x:v>
      </x:c>
    </x:row>
    <x:row r="197">
      <x:c r="A197" s="83" t="str">
        <x:v>ZCAP-0193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Sud</x:v>
      </x:c>
      <x:c r="F197" s="83" t="str">
        <x:v>Wind</x:v>
      </x:c>
      <x:c r="G197" s="83" t="str">
        <x:v>Eolico offshore</x:v>
      </x:c>
      <x:c r="H197" s="83" t="str">
        <x:v>Utility</x:v>
      </x:c>
      <x:c r="I197" s="143" t="n">
        <x:v>2.2</x:v>
      </x:c>
      <x:c r="J197" s="83" t="str">
        <x:v>GW</x:v>
      </x:c>
      <x:c r="K197" s="83" t="str">
        <x:v>Assunzione di scenario</x:v>
      </x:c>
      <x:c r="L197" s="83" t="str">
        <x:v>S09</x:v>
      </x:c>
      <x:c r="M197" s="83" t="str">
        <x:v>Documento_Descrizione_Scenari_2024_8dce2430d44d101.pdf</x:v>
      </x:c>
      <x:c r="N197" s="83" t="n">
        <x:v>61</x:v>
      </x:c>
      <x:c r="O197" s="83" t="n">
        <x:v>59</x:v>
      </x:c>
      <x:c r="P197" s="83" t="str">
        <x:v>Tabella 15</x:v>
      </x:c>
      <x:c r="Q197" s="83" t="str">
        <x:v>Direct table extraction; visual/text verification</x:v>
      </x:c>
      <x:c r="R197" s="83" t="str">
        <x:v>A - Direct</x:v>
      </x:c>
      <x:c r="S197" s="83" t="str">
        <x:v>Zonal p_nom input after mapping to PyPSA carrier.</x:v>
      </x:c>
      <x:c r="T197" s="83" t="str">
        <x:v>Table source labels rows as Distribuito/Utility; standardized as onshore/offshore.</x:v>
      </x:c>
    </x:row>
    <x:row r="198">
      <x:c r="A198" s="83" t="str">
        <x:v>ZCAP-0194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Sud</x:v>
      </x:c>
      <x:c r="F198" s="83" t="str">
        <x:v>Wind</x:v>
      </x:c>
      <x:c r="G198" s="83" t="str">
        <x:v>Eolico offshore</x:v>
      </x:c>
      <x:c r="H198" s="83" t="str">
        <x:v>Utility</x:v>
      </x:c>
      <x:c r="I198" s="143" t="n">
        <x:v>1.8</x:v>
      </x:c>
      <x:c r="J198" s="83" t="str">
        <x:v>GW</x:v>
      </x:c>
      <x:c r="K198" s="83" t="str">
        <x:v>Assunzione di scenario</x:v>
      </x:c>
      <x:c r="L198" s="83" t="str">
        <x:v>S09</x:v>
      </x:c>
      <x:c r="M198" s="83" t="str">
        <x:v>Documento_Descrizione_Scenari_2024_8dce2430d44d101.pdf</x:v>
      </x:c>
      <x:c r="N198" s="83" t="n">
        <x:v>61</x:v>
      </x:c>
      <x:c r="O198" s="83" t="n">
        <x:v>59</x:v>
      </x:c>
      <x:c r="P198" s="83" t="str">
        <x:v>Tabella 15</x:v>
      </x:c>
      <x:c r="Q198" s="83" t="str">
        <x:v>Direct table extraction; visual/text verification</x:v>
      </x:c>
      <x:c r="R198" s="83" t="str">
        <x:v>A - Direct</x:v>
      </x:c>
      <x:c r="S198" s="83" t="str">
        <x:v>Zonal p_nom input after mapping to PyPSA carrier.</x:v>
      </x:c>
      <x:c r="T198" s="83" t="str">
        <x:v>Table source labels rows as Distribuito/Utility; standardized as onshore/offshore.</x:v>
      </x:c>
    </x:row>
    <x:row r="199">
      <x:c r="A199" s="83" t="str">
        <x:v>ZCAP-0195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Sud</x:v>
      </x:c>
      <x:c r="F199" s="83" t="str">
        <x:v>Wind</x:v>
      </x:c>
      <x:c r="G199" s="83" t="str">
        <x:v>Eolico offshore</x:v>
      </x:c>
      <x:c r="H199" s="83" t="str">
        <x:v>Utility</x:v>
      </x:c>
      <x:c r="I199" s="143" t="n">
        <x:v>1.2</x:v>
      </x:c>
      <x:c r="J199" s="83" t="str">
        <x:v>GW</x:v>
      </x:c>
      <x:c r="K199" s="83" t="str">
        <x:v>Assunzione di scenario</x:v>
      </x:c>
      <x:c r="L199" s="83" t="str">
        <x:v>S09</x:v>
      </x:c>
      <x:c r="M199" s="83" t="str">
        <x:v>Documento_Descrizione_Scenari_2024_8dce2430d44d101.pdf</x:v>
      </x:c>
      <x:c r="N199" s="83" t="n">
        <x:v>61</x:v>
      </x:c>
      <x:c r="O199" s="83" t="n">
        <x:v>59</x:v>
      </x:c>
      <x:c r="P199" s="83" t="str">
        <x:v>Tabella 15</x:v>
      </x:c>
      <x:c r="Q199" s="83" t="str">
        <x:v>Direct table extraction; visual/text verification</x:v>
      </x:c>
      <x:c r="R199" s="83" t="str">
        <x:v>A - Direct</x:v>
      </x:c>
      <x:c r="S199" s="83" t="str">
        <x:v>Zonal p_nom input after mapping to PyPSA carrier.</x:v>
      </x:c>
      <x:c r="T199" s="83" t="str">
        <x:v>Table source labels rows as Distribuito/Utility; standardized as onshore/offshore.</x:v>
      </x:c>
    </x:row>
    <x:row r="200">
      <x:c r="A200" s="83" t="str">
        <x:v>ZCAP-0196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Sud</x:v>
      </x:c>
      <x:c r="F200" s="83" t="str">
        <x:v>Wind</x:v>
      </x:c>
      <x:c r="G200" s="83" t="str">
        <x:v>Eolico offshore</x:v>
      </x:c>
      <x:c r="H200" s="83" t="str">
        <x:v>Utility</x:v>
      </x:c>
      <x:c r="I200" s="143" t="n">
        <x:v>4.7</x:v>
      </x:c>
      <x:c r="J200" s="83" t="str">
        <x:v>GW</x:v>
      </x:c>
      <x:c r="K200" s="83" t="str">
        <x:v>Assunzione di scenario</x:v>
      </x:c>
      <x:c r="L200" s="83" t="str">
        <x:v>S09</x:v>
      </x:c>
      <x:c r="M200" s="83" t="str">
        <x:v>Documento_Descrizione_Scenari_2024_8dce2430d44d101.pdf</x:v>
      </x:c>
      <x:c r="N200" s="83" t="n">
        <x:v>61</x:v>
      </x:c>
      <x:c r="O200" s="83" t="n">
        <x:v>59</x:v>
      </x:c>
      <x:c r="P200" s="83" t="str">
        <x:v>Tabella 15</x:v>
      </x:c>
      <x:c r="Q200" s="83" t="str">
        <x:v>Direct table extraction; visual/text verification</x:v>
      </x:c>
      <x:c r="R200" s="83" t="str">
        <x:v>A - Direct</x:v>
      </x:c>
      <x:c r="S200" s="83" t="str">
        <x:v>Zonal p_nom input after mapping to PyPSA carrier.</x:v>
      </x:c>
      <x:c r="T200" s="83" t="str">
        <x:v>Table source labels rows as Distribuito/Utility; standardized as onshore/offshore.</x:v>
      </x:c>
    </x:row>
    <x:row r="201">
      <x:c r="A201" s="83" t="str">
        <x:v>ZCAP-0197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Sud</x:v>
      </x:c>
      <x:c r="F201" s="83" t="str">
        <x:v>Wind</x:v>
      </x:c>
      <x:c r="G201" s="83" t="str">
        <x:v>Eolico offshore</x:v>
      </x:c>
      <x:c r="H201" s="83" t="str">
        <x:v>Utility</x:v>
      </x:c>
      <x:c r="I201" s="143" t="n">
        <x:v>3.7</x:v>
      </x:c>
      <x:c r="J201" s="83" t="str">
        <x:v>GW</x:v>
      </x:c>
      <x:c r="K201" s="83" t="str">
        <x:v>Assunzione di scenario</x:v>
      </x:c>
      <x:c r="L201" s="83" t="str">
        <x:v>S09</x:v>
      </x:c>
      <x:c r="M201" s="83" t="str">
        <x:v>Documento_Descrizione_Scenari_2024_8dce2430d44d101.pdf</x:v>
      </x:c>
      <x:c r="N201" s="83" t="n">
        <x:v>61</x:v>
      </x:c>
      <x:c r="O201" s="83" t="n">
        <x:v>59</x:v>
      </x:c>
      <x:c r="P201" s="83" t="str">
        <x:v>Tabella 15</x:v>
      </x:c>
      <x:c r="Q201" s="83" t="str">
        <x:v>Direct table extraction; visual/text verification</x:v>
      </x:c>
      <x:c r="R201" s="83" t="str">
        <x:v>A - Direct</x:v>
      </x:c>
      <x:c r="S201" s="83" t="str">
        <x:v>Zonal p_nom input after mapping to PyPSA carrier.</x:v>
      </x:c>
      <x:c r="T201" s="83" t="str">
        <x:v>Table source labels rows as Distribuito/Utility; standardized as onshore/offshore.</x:v>
      </x:c>
    </x:row>
    <x:row r="202">
      <x:c r="A202" s="83" t="str">
        <x:v>ZCAP-0198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Sud</x:v>
      </x:c>
      <x:c r="F202" s="83" t="str">
        <x:v>Wind</x:v>
      </x:c>
      <x:c r="G202" s="83" t="str">
        <x:v>Eolico offshore</x:v>
      </x:c>
      <x:c r="H202" s="83" t="str">
        <x:v>Utility</x:v>
      </x:c>
      <x:c r="I202" s="143" t="n">
        <x:v>2.8</x:v>
      </x:c>
      <x:c r="J202" s="83" t="str">
        <x:v>GW</x:v>
      </x:c>
      <x:c r="K202" s="83" t="str">
        <x:v>Assunzione di scenario</x:v>
      </x:c>
      <x:c r="L202" s="83" t="str">
        <x:v>S09</x:v>
      </x:c>
      <x:c r="M202" s="83" t="str">
        <x:v>Documento_Descrizione_Scenari_2024_8dce2430d44d101.pdf</x:v>
      </x:c>
      <x:c r="N202" s="83" t="n">
        <x:v>61</x:v>
      </x:c>
      <x:c r="O202" s="83" t="n">
        <x:v>59</x:v>
      </x:c>
      <x:c r="P202" s="83" t="str">
        <x:v>Tabella 15</x:v>
      </x:c>
      <x:c r="Q202" s="83" t="str">
        <x:v>Direct table extraction; visual/text verification</x:v>
      </x:c>
      <x:c r="R202" s="83" t="str">
        <x:v>A - Direct</x:v>
      </x:c>
      <x:c r="S202" s="83" t="str">
        <x:v>Zonal p_nom input after mapping to PyPSA carrier.</x:v>
      </x:c>
      <x:c r="T202" s="83" t="str">
        <x:v>Table source labels rows as Distribuito/Utility; standardized as onshore/offshore.</x:v>
      </x:c>
    </x:row>
    <x:row r="203">
      <x:c r="A203" s="83" t="str">
        <x:v>ZCAP-0199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Calabria</x:v>
      </x:c>
      <x:c r="F203" s="83" t="str">
        <x:v>Wind</x:v>
      </x:c>
      <x:c r="G203" s="83" t="str">
        <x:v>Eolico onshore</x:v>
      </x:c>
      <x:c r="H203" s="83" t="str">
        <x:v>Distribuito</x:v>
      </x:c>
      <x:c r="I203" s="143" t="n">
        <x:v>1.2</x:v>
      </x:c>
      <x:c r="J203" s="83" t="str">
        <x:v>GW</x:v>
      </x:c>
      <x:c r="K203" s="83" t="str">
        <x:v>Dato osservato storico</x:v>
      </x:c>
      <x:c r="L203" s="83" t="str">
        <x:v>S09</x:v>
      </x:c>
      <x:c r="M203" s="83" t="str">
        <x:v>Documento_Descrizione_Scenari_2024_8dce2430d44d101.pdf</x:v>
      </x:c>
      <x:c r="N203" s="83" t="n">
        <x:v>61</x:v>
      </x:c>
      <x:c r="O203" s="83" t="n">
        <x:v>59</x:v>
      </x:c>
      <x:c r="P203" s="83" t="str">
        <x:v>Tabella 15</x:v>
      </x:c>
      <x:c r="Q203" s="83" t="str">
        <x:v>Direct table extraction; visual/text verification</x:v>
      </x:c>
      <x:c r="R203" s="83" t="str">
        <x:v>A - Direct</x:v>
      </x:c>
      <x:c r="S203" s="83" t="str">
        <x:v>Zonal p_nom input after mapping to PyPSA carrier.</x:v>
      </x:c>
      <x:c r="T203" s="83" t="str">
        <x:v>Table source labels rows as Distribuito/Utility; standardized as onshore/offshore.</x:v>
      </x:c>
    </x:row>
    <x:row r="204">
      <x:c r="A204" s="83" t="str">
        <x:v>ZCAP-0200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Calabria</x:v>
      </x:c>
      <x:c r="F204" s="83" t="str">
        <x:v>Wind</x:v>
      </x:c>
      <x:c r="G204" s="83" t="str">
        <x:v>Eolico onshore</x:v>
      </x:c>
      <x:c r="H204" s="83" t="str">
        <x:v>Distribuito</x:v>
      </x:c>
      <x:c r="I204" s="143" t="n">
        <x:v>2.5</x:v>
      </x:c>
      <x:c r="J204" s="83" t="str">
        <x:v>GW</x:v>
      </x:c>
      <x:c r="K204" s="83" t="str">
        <x:v>Assunzione di scenario</x:v>
      </x:c>
      <x:c r="L204" s="83" t="str">
        <x:v>S09</x:v>
      </x:c>
      <x:c r="M204" s="83" t="str">
        <x:v>Documento_Descrizione_Scenari_2024_8dce2430d44d101.pdf</x:v>
      </x:c>
      <x:c r="N204" s="83" t="n">
        <x:v>61</x:v>
      </x:c>
      <x:c r="O204" s="83" t="n">
        <x:v>59</x:v>
      </x:c>
      <x:c r="P204" s="83" t="str">
        <x:v>Tabella 15</x:v>
      </x:c>
      <x:c r="Q204" s="83" t="str">
        <x:v>Direct table extraction; visual/text verification</x:v>
      </x:c>
      <x:c r="R204" s="83" t="str">
        <x:v>A - Direct</x:v>
      </x:c>
      <x:c r="S204" s="83" t="str">
        <x:v>Zonal p_nom input after mapping to PyPSA carrier.</x:v>
      </x:c>
      <x:c r="T204" s="83" t="str">
        <x:v>Table source labels rows as Distribuito/Utility; standardized as onshore/offshore.</x:v>
      </x:c>
    </x:row>
    <x:row r="205">
      <x:c r="A205" s="83" t="str">
        <x:v>ZCAP-0201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Calabria</x:v>
      </x:c>
      <x:c r="F205" s="83" t="str">
        <x:v>Wind</x:v>
      </x:c>
      <x:c r="G205" s="83" t="str">
        <x:v>Eolico onshore</x:v>
      </x:c>
      <x:c r="H205" s="83" t="str">
        <x:v>Distribuito</x:v>
      </x:c>
      <x:c r="I205" s="143" t="n">
        <x:v>1.9</x:v>
      </x:c>
      <x:c r="J205" s="83" t="str">
        <x:v>GW</x:v>
      </x:c>
      <x:c r="K205" s="83" t="str">
        <x:v>Assunzione di scenario</x:v>
      </x:c>
      <x:c r="L205" s="83" t="str">
        <x:v>S09</x:v>
      </x:c>
      <x:c r="M205" s="83" t="str">
        <x:v>Documento_Descrizione_Scenari_2024_8dce2430d44d101.pdf</x:v>
      </x:c>
      <x:c r="N205" s="83" t="n">
        <x:v>61</x:v>
      </x:c>
      <x:c r="O205" s="83" t="n">
        <x:v>59</x:v>
      </x:c>
      <x:c r="P205" s="83" t="str">
        <x:v>Tabella 15</x:v>
      </x:c>
      <x:c r="Q205" s="83" t="str">
        <x:v>Direct table extraction; visual/text verification</x:v>
      </x:c>
      <x:c r="R205" s="83" t="str">
        <x:v>A - Direct</x:v>
      </x:c>
      <x:c r="S205" s="83" t="str">
        <x:v>Zonal p_nom input after mapping to PyPSA carrier.</x:v>
      </x:c>
      <x:c r="T205" s="83" t="str">
        <x:v>Table source labels rows as Distribuito/Utility; standardized as onshore/offshore.</x:v>
      </x:c>
    </x:row>
    <x:row r="206">
      <x:c r="A206" s="83" t="str">
        <x:v>ZCAP-0202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Calabria</x:v>
      </x:c>
      <x:c r="F206" s="83" t="str">
        <x:v>Wind</x:v>
      </x:c>
      <x:c r="G206" s="83" t="str">
        <x:v>Eolico onshore</x:v>
      </x:c>
      <x:c r="H206" s="83" t="str">
        <x:v>Distribuito</x:v>
      </x:c>
      <x:c r="I206" s="143" t="n">
        <x:v>2.9</x:v>
      </x:c>
      <x:c r="J206" s="83" t="str">
        <x:v>GW</x:v>
      </x:c>
      <x:c r="K206" s="83" t="str">
        <x:v>Assunzione di scenario</x:v>
      </x:c>
      <x:c r="L206" s="83" t="str">
        <x:v>S09</x:v>
      </x:c>
      <x:c r="M206" s="83" t="str">
        <x:v>Documento_Descrizione_Scenari_2024_8dce2430d44d101.pdf</x:v>
      </x:c>
      <x:c r="N206" s="83" t="n">
        <x:v>61</x:v>
      </x:c>
      <x:c r="O206" s="83" t="n">
        <x:v>59</x:v>
      </x:c>
      <x:c r="P206" s="83" t="str">
        <x:v>Tabella 15</x:v>
      </x:c>
      <x:c r="Q206" s="83" t="str">
        <x:v>Direct table extraction; visual/text verification</x:v>
      </x:c>
      <x:c r="R206" s="83" t="str">
        <x:v>A - Direct</x:v>
      </x:c>
      <x:c r="S206" s="83" t="str">
        <x:v>Zonal p_nom input after mapping to PyPSA carrier.</x:v>
      </x:c>
      <x:c r="T206" s="83" t="str">
        <x:v>Table source labels rows as Distribuito/Utility; standardized as onshore/offshore.</x:v>
      </x:c>
    </x:row>
    <x:row r="207">
      <x:c r="A207" s="83" t="str">
        <x:v>ZCAP-0203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Calabria</x:v>
      </x:c>
      <x:c r="F207" s="83" t="str">
        <x:v>Wind</x:v>
      </x:c>
      <x:c r="G207" s="83" t="str">
        <x:v>Eolico onshore</x:v>
      </x:c>
      <x:c r="H207" s="83" t="str">
        <x:v>Distribuito</x:v>
      </x:c>
      <x:c r="I207" s="143" t="n">
        <x:v>2.7</x:v>
      </x:c>
      <x:c r="J207" s="83" t="str">
        <x:v>GW</x:v>
      </x:c>
      <x:c r="K207" s="83" t="str">
        <x:v>Assunzione di scenario</x:v>
      </x:c>
      <x:c r="L207" s="83" t="str">
        <x:v>S09</x:v>
      </x:c>
      <x:c r="M207" s="83" t="str">
        <x:v>Documento_Descrizione_Scenari_2024_8dce2430d44d101.pdf</x:v>
      </x:c>
      <x:c r="N207" s="83" t="n">
        <x:v>61</x:v>
      </x:c>
      <x:c r="O207" s="83" t="n">
        <x:v>59</x:v>
      </x:c>
      <x:c r="P207" s="83" t="str">
        <x:v>Tabella 15</x:v>
      </x:c>
      <x:c r="Q207" s="83" t="str">
        <x:v>Direct table extraction; visual/text verification</x:v>
      </x:c>
      <x:c r="R207" s="83" t="str">
        <x:v>A - Direct</x:v>
      </x:c>
      <x:c r="S207" s="83" t="str">
        <x:v>Zonal p_nom input after mapping to PyPSA carrier.</x:v>
      </x:c>
      <x:c r="T207" s="83" t="str">
        <x:v>Table source labels rows as Distribuito/Utility; standardized as onshore/offshore.</x:v>
      </x:c>
    </x:row>
    <x:row r="208">
      <x:c r="A208" s="83" t="str">
        <x:v>ZCAP-0204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Calabria</x:v>
      </x:c>
      <x:c r="F208" s="83" t="str">
        <x:v>Wind</x:v>
      </x:c>
      <x:c r="G208" s="83" t="str">
        <x:v>Eolico onshore</x:v>
      </x:c>
      <x:c r="H208" s="83" t="str">
        <x:v>Distribuito</x:v>
      </x:c>
      <x:c r="I208" s="143" t="n">
        <x:v>2.5</x:v>
      </x:c>
      <x:c r="J208" s="83" t="str">
        <x:v>GW</x:v>
      </x:c>
      <x:c r="K208" s="83" t="str">
        <x:v>Assunzione di scenario</x:v>
      </x:c>
      <x:c r="L208" s="83" t="str">
        <x:v>S09</x:v>
      </x:c>
      <x:c r="M208" s="83" t="str">
        <x:v>Documento_Descrizione_Scenari_2024_8dce2430d44d101.pdf</x:v>
      </x:c>
      <x:c r="N208" s="83" t="n">
        <x:v>61</x:v>
      </x:c>
      <x:c r="O208" s="83" t="n">
        <x:v>59</x:v>
      </x:c>
      <x:c r="P208" s="83" t="str">
        <x:v>Tabella 15</x:v>
      </x:c>
      <x:c r="Q208" s="83" t="str">
        <x:v>Direct table extraction; visual/text verification</x:v>
      </x:c>
      <x:c r="R208" s="83" t="str">
        <x:v>A - Direct</x:v>
      </x:c>
      <x:c r="S208" s="83" t="str">
        <x:v>Zonal p_nom input after mapping to PyPSA carrier.</x:v>
      </x:c>
      <x:c r="T208" s="83" t="str">
        <x:v>Table source labels rows as Distribuito/Utility; standardized as onshore/offshore.</x:v>
      </x:c>
    </x:row>
    <x:row r="209">
      <x:c r="A209" s="83" t="str">
        <x:v>ZCAP-0205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Calabria</x:v>
      </x:c>
      <x:c r="F209" s="83" t="str">
        <x:v>Wind</x:v>
      </x:c>
      <x:c r="G209" s="83" t="str">
        <x:v>Eolico onshore</x:v>
      </x:c>
      <x:c r="H209" s="83" t="str">
        <x:v>Distribuito</x:v>
      </x:c>
      <x:c r="I209" s="143" t="n">
        <x:v>3.3</x:v>
      </x:c>
      <x:c r="J209" s="83" t="str">
        <x:v>GW</x:v>
      </x:c>
      <x:c r="K209" s="83" t="str">
        <x:v>Assunzione di scenario</x:v>
      </x:c>
      <x:c r="L209" s="83" t="str">
        <x:v>S09</x:v>
      </x:c>
      <x:c r="M209" s="83" t="str">
        <x:v>Documento_Descrizione_Scenari_2024_8dce2430d44d101.pdf</x:v>
      </x:c>
      <x:c r="N209" s="83" t="n">
        <x:v>61</x:v>
      </x:c>
      <x:c r="O209" s="83" t="n">
        <x:v>59</x:v>
      </x:c>
      <x:c r="P209" s="83" t="str">
        <x:v>Tabella 15</x:v>
      </x:c>
      <x:c r="Q209" s="83" t="str">
        <x:v>Direct table extraction; visual/text verification</x:v>
      </x:c>
      <x:c r="R209" s="83" t="str">
        <x:v>A - Direct</x:v>
      </x:c>
      <x:c r="S209" s="83" t="str">
        <x:v>Zonal p_nom input after mapping to PyPSA carrier.</x:v>
      </x:c>
      <x:c r="T209" s="83" t="str">
        <x:v>Table source labels rows as Distribuito/Utility; standardized as onshore/offshore.</x:v>
      </x:c>
    </x:row>
    <x:row r="210">
      <x:c r="A210" s="83" t="str">
        <x:v>ZCAP-0206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Calabria</x:v>
      </x:c>
      <x:c r="F210" s="83" t="str">
        <x:v>Wind</x:v>
      </x:c>
      <x:c r="G210" s="83" t="str">
        <x:v>Eolico onshore</x:v>
      </x:c>
      <x:c r="H210" s="83" t="str">
        <x:v>Distribuito</x:v>
      </x:c>
      <x:c r="I210" s="143" t="n">
        <x:v>3</x:v>
      </x:c>
      <x:c r="J210" s="83" t="str">
        <x:v>GW</x:v>
      </x:c>
      <x:c r="K210" s="83" t="str">
        <x:v>Assunzione di scenario</x:v>
      </x:c>
      <x:c r="L210" s="83" t="str">
        <x:v>S09</x:v>
      </x:c>
      <x:c r="M210" s="83" t="str">
        <x:v>Documento_Descrizione_Scenari_2024_8dce2430d44d101.pdf</x:v>
      </x:c>
      <x:c r="N210" s="83" t="n">
        <x:v>61</x:v>
      </x:c>
      <x:c r="O210" s="83" t="n">
        <x:v>59</x:v>
      </x:c>
      <x:c r="P210" s="83" t="str">
        <x:v>Tabella 15</x:v>
      </x:c>
      <x:c r="Q210" s="83" t="str">
        <x:v>Direct table extraction; visual/text verification</x:v>
      </x:c>
      <x:c r="R210" s="83" t="str">
        <x:v>A - Direct</x:v>
      </x:c>
      <x:c r="S210" s="83" t="str">
        <x:v>Zonal p_nom input after mapping to PyPSA carrier.</x:v>
      </x:c>
      <x:c r="T210" s="83" t="str">
        <x:v>Table source labels rows as Distribuito/Utility; standardized as onshore/offshore.</x:v>
      </x:c>
    </x:row>
    <x:row r="211">
      <x:c r="A211" s="83" t="str">
        <x:v>ZCAP-0207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Calabria</x:v>
      </x:c>
      <x:c r="F211" s="83" t="str">
        <x:v>Wind</x:v>
      </x:c>
      <x:c r="G211" s="83" t="str">
        <x:v>Eolico onshore</x:v>
      </x:c>
      <x:c r="H211" s="83" t="str">
        <x:v>Distribuito</x:v>
      </x:c>
      <x:c r="I211" s="143" t="n">
        <x:v>3</x:v>
      </x:c>
      <x:c r="J211" s="83" t="str">
        <x:v>GW</x:v>
      </x:c>
      <x:c r="K211" s="83" t="str">
        <x:v>Assunzione di scenario</x:v>
      </x:c>
      <x:c r="L211" s="83" t="str">
        <x:v>S09</x:v>
      </x:c>
      <x:c r="M211" s="83" t="str">
        <x:v>Documento_Descrizione_Scenari_2024_8dce2430d44d101.pdf</x:v>
      </x:c>
      <x:c r="N211" s="83" t="n">
        <x:v>61</x:v>
      </x:c>
      <x:c r="O211" s="83" t="n">
        <x:v>59</x:v>
      </x:c>
      <x:c r="P211" s="83" t="str">
        <x:v>Tabella 15</x:v>
      </x:c>
      <x:c r="Q211" s="83" t="str">
        <x:v>Direct table extraction; visual/text verification</x:v>
      </x:c>
      <x:c r="R211" s="83" t="str">
        <x:v>A - Direct</x:v>
      </x:c>
      <x:c r="S211" s="83" t="str">
        <x:v>Zonal p_nom input after mapping to PyPSA carrier.</x:v>
      </x:c>
      <x:c r="T211" s="83" t="str">
        <x:v>Table source labels rows as Distribuito/Utility; standardized as onshore/offshore.</x:v>
      </x:c>
    </x:row>
    <x:row r="212">
      <x:c r="A212" s="83" t="str">
        <x:v>ZCAP-0208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Calabria</x:v>
      </x:c>
      <x:c r="F212" s="83" t="str">
        <x:v>Wind</x:v>
      </x:c>
      <x:c r="G212" s="83" t="str">
        <x:v>Eolico offshore</x:v>
      </x:c>
      <x:c r="H212" s="83" t="str">
        <x:v>Utility</x:v>
      </x:c>
      <x:c r="I212" s="143" t="n">
        <x:v>0</x:v>
      </x:c>
      <x:c r="J212" s="83" t="str">
        <x:v>GW</x:v>
      </x:c>
      <x:c r="K212" s="83" t="str">
        <x:v>Dato osservato storico</x:v>
      </x:c>
      <x:c r="L212" s="83" t="str">
        <x:v>S09</x:v>
      </x:c>
      <x:c r="M212" s="83" t="str">
        <x:v>Documento_Descrizione_Scenari_2024_8dce2430d44d101.pdf</x:v>
      </x:c>
      <x:c r="N212" s="83" t="n">
        <x:v>61</x:v>
      </x:c>
      <x:c r="O212" s="83" t="n">
        <x:v>59</x:v>
      </x:c>
      <x:c r="P212" s="83" t="str">
        <x:v>Tabella 15</x:v>
      </x:c>
      <x:c r="Q212" s="83" t="str">
        <x:v>Direct table extraction; visual/text verification</x:v>
      </x:c>
      <x:c r="R212" s="83" t="str">
        <x:v>A - Direct</x:v>
      </x:c>
      <x:c r="S212" s="83" t="str">
        <x:v>Zonal p_nom input after mapping to PyPSA carrier.</x:v>
      </x:c>
      <x:c r="T212" s="83" t="str">
        <x:v>Table source labels rows as Distribuito/Utility; standardized as onshore/offshore.</x:v>
      </x:c>
    </x:row>
    <x:row r="213">
      <x:c r="A213" s="83" t="str">
        <x:v>ZCAP-0209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Calabria</x:v>
      </x:c>
      <x:c r="F213" s="83" t="str">
        <x:v>Wind</x:v>
      </x:c>
      <x:c r="G213" s="83" t="str">
        <x:v>Eolico offshore</x:v>
      </x:c>
      <x:c r="H213" s="83" t="str">
        <x:v>Utility</x:v>
      </x:c>
      <x:c r="I213" s="143" t="n">
        <x:v>0</x:v>
      </x:c>
      <x:c r="J213" s="83" t="str">
        <x:v>GW</x:v>
      </x:c>
      <x:c r="K213" s="83" t="str">
        <x:v>Assunzione di scenario</x:v>
      </x:c>
      <x:c r="L213" s="83" t="str">
        <x:v>S09</x:v>
      </x:c>
      <x:c r="M213" s="83" t="str">
        <x:v>Documento_Descrizione_Scenari_2024_8dce2430d44d101.pdf</x:v>
      </x:c>
      <x:c r="N213" s="83" t="n">
        <x:v>61</x:v>
      </x:c>
      <x:c r="O213" s="83" t="n">
        <x:v>59</x:v>
      </x:c>
      <x:c r="P213" s="83" t="str">
        <x:v>Tabella 15</x:v>
      </x:c>
      <x:c r="Q213" s="83" t="str">
        <x:v>Direct table extraction; visual/text verification</x:v>
      </x:c>
      <x:c r="R213" s="83" t="str">
        <x:v>A - Direct</x:v>
      </x:c>
      <x:c r="S213" s="83" t="str">
        <x:v>Zonal p_nom input after mapping to PyPSA carrier.</x:v>
      </x:c>
      <x:c r="T213" s="83" t="str">
        <x:v>Table source labels rows as Distribuito/Utility; standardized as onshore/offshore.</x:v>
      </x:c>
    </x:row>
    <x:row r="214">
      <x:c r="A214" s="83" t="str">
        <x:v>ZCAP-0210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Calabria</x:v>
      </x:c>
      <x:c r="F214" s="83" t="str">
        <x:v>Wind</x:v>
      </x:c>
      <x:c r="G214" s="83" t="str">
        <x:v>Eolico offshore</x:v>
      </x:c>
      <x:c r="H214" s="83" t="str">
        <x:v>Utility</x:v>
      </x:c>
      <x:c r="I214" s="143" t="n">
        <x:v>0</x:v>
      </x:c>
      <x:c r="J214" s="83" t="str">
        <x:v>GW</x:v>
      </x:c>
      <x:c r="K214" s="83" t="str">
        <x:v>Assunzione di scenario</x:v>
      </x:c>
      <x:c r="L214" s="83" t="str">
        <x:v>S09</x:v>
      </x:c>
      <x:c r="M214" s="83" t="str">
        <x:v>Documento_Descrizione_Scenari_2024_8dce2430d44d101.pdf</x:v>
      </x:c>
      <x:c r="N214" s="83" t="n">
        <x:v>61</x:v>
      </x:c>
      <x:c r="O214" s="83" t="n">
        <x:v>59</x:v>
      </x:c>
      <x:c r="P214" s="83" t="str">
        <x:v>Tabella 15</x:v>
      </x:c>
      <x:c r="Q214" s="83" t="str">
        <x:v>Direct table extraction; visual/text verification</x:v>
      </x:c>
      <x:c r="R214" s="83" t="str">
        <x:v>A - Direct</x:v>
      </x:c>
      <x:c r="S214" s="83" t="str">
        <x:v>Zonal p_nom input after mapping to PyPSA carrier.</x:v>
      </x:c>
      <x:c r="T214" s="83" t="str">
        <x:v>Table source labels rows as Distribuito/Utility; standardized as onshore/offshore.</x:v>
      </x:c>
    </x:row>
    <x:row r="215">
      <x:c r="A215" s="83" t="str">
        <x:v>ZCAP-0211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Calabria</x:v>
      </x:c>
      <x:c r="F215" s="83" t="str">
        <x:v>Wind</x:v>
      </x:c>
      <x:c r="G215" s="83" t="str">
        <x:v>Eolico offshore</x:v>
      </x:c>
      <x:c r="H215" s="83" t="str">
        <x:v>Utility</x:v>
      </x:c>
      <x:c r="I215" s="143" t="n">
        <x:v>0.2</x:v>
      </x:c>
      <x:c r="J215" s="83" t="str">
        <x:v>GW</x:v>
      </x:c>
      <x:c r="K215" s="83" t="str">
        <x:v>Assunzione di scenario</x:v>
      </x:c>
      <x:c r="L215" s="83" t="str">
        <x:v>S09</x:v>
      </x:c>
      <x:c r="M215" s="83" t="str">
        <x:v>Documento_Descrizione_Scenari_2024_8dce2430d44d101.pdf</x:v>
      </x:c>
      <x:c r="N215" s="83" t="n">
        <x:v>61</x:v>
      </x:c>
      <x:c r="O215" s="83" t="n">
        <x:v>59</x:v>
      </x:c>
      <x:c r="P215" s="83" t="str">
        <x:v>Tabella 15</x:v>
      </x:c>
      <x:c r="Q215" s="83" t="str">
        <x:v>Direct table extraction; visual/text verification</x:v>
      </x:c>
      <x:c r="R215" s="83" t="str">
        <x:v>A - Direct</x:v>
      </x:c>
      <x:c r="S215" s="83" t="str">
        <x:v>Zonal p_nom input after mapping to PyPSA carrier.</x:v>
      </x:c>
      <x:c r="T215" s="83" t="str">
        <x:v>Table source labels rows as Distribuito/Utility; standardized as onshore/offshore.</x:v>
      </x:c>
    </x:row>
    <x:row r="216">
      <x:c r="A216" s="83" t="str">
        <x:v>ZCAP-0212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Calabria</x:v>
      </x:c>
      <x:c r="F216" s="83" t="str">
        <x:v>Wind</x:v>
      </x:c>
      <x:c r="G216" s="83" t="str">
        <x:v>Eolico offshore</x:v>
      </x:c>
      <x:c r="H216" s="83" t="str">
        <x:v>Utility</x:v>
      </x:c>
      <x:c r="I216" s="143" t="n">
        <x:v>0.2</x:v>
      </x:c>
      <x:c r="J216" s="83" t="str">
        <x:v>GW</x:v>
      </x:c>
      <x:c r="K216" s="83" t="str">
        <x:v>Assunzione di scenario</x:v>
      </x:c>
      <x:c r="L216" s="83" t="str">
        <x:v>S09</x:v>
      </x:c>
      <x:c r="M216" s="83" t="str">
        <x:v>Documento_Descrizione_Scenari_2024_8dce2430d44d101.pdf</x:v>
      </x:c>
      <x:c r="N216" s="83" t="n">
        <x:v>61</x:v>
      </x:c>
      <x:c r="O216" s="83" t="n">
        <x:v>59</x:v>
      </x:c>
      <x:c r="P216" s="83" t="str">
        <x:v>Tabella 15</x:v>
      </x:c>
      <x:c r="Q216" s="83" t="str">
        <x:v>Direct table extraction; visual/text verification</x:v>
      </x:c>
      <x:c r="R216" s="83" t="str">
        <x:v>A - Direct</x:v>
      </x:c>
      <x:c r="S216" s="83" t="str">
        <x:v>Zonal p_nom input after mapping to PyPSA carrier.</x:v>
      </x:c>
      <x:c r="T216" s="83" t="str">
        <x:v>Table source labels rows as Distribuito/Utility; standardized as onshore/offshore.</x:v>
      </x:c>
    </x:row>
    <x:row r="217">
      <x:c r="A217" s="83" t="str">
        <x:v>ZCAP-0213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Calabria</x:v>
      </x:c>
      <x:c r="F217" s="83" t="str">
        <x:v>Wind</x:v>
      </x:c>
      <x:c r="G217" s="83" t="str">
        <x:v>Eolico offshore</x:v>
      </x:c>
      <x:c r="H217" s="83" t="str">
        <x:v>Utility</x:v>
      </x:c>
      <x:c r="I217" s="143" t="n">
        <x:v>0.1</x:v>
      </x:c>
      <x:c r="J217" s="83" t="str">
        <x:v>GW</x:v>
      </x:c>
      <x:c r="K217" s="83" t="str">
        <x:v>Assunzione di scenario</x:v>
      </x:c>
      <x:c r="L217" s="83" t="str">
        <x:v>S09</x:v>
      </x:c>
      <x:c r="M217" s="83" t="str">
        <x:v>Documento_Descrizione_Scenari_2024_8dce2430d44d101.pdf</x:v>
      </x:c>
      <x:c r="N217" s="83" t="n">
        <x:v>61</x:v>
      </x:c>
      <x:c r="O217" s="83" t="n">
        <x:v>59</x:v>
      </x:c>
      <x:c r="P217" s="83" t="str">
        <x:v>Tabella 15</x:v>
      </x:c>
      <x:c r="Q217" s="83" t="str">
        <x:v>Direct table extraction; visual/text verification</x:v>
      </x:c>
      <x:c r="R217" s="83" t="str">
        <x:v>A - Direct</x:v>
      </x:c>
      <x:c r="S217" s="83" t="str">
        <x:v>Zonal p_nom input after mapping to PyPSA carrier.</x:v>
      </x:c>
      <x:c r="T217" s="83" t="str">
        <x:v>Table source labels rows as Distribuito/Utility; standardized as onshore/offshore.</x:v>
      </x:c>
    </x:row>
    <x:row r="218">
      <x:c r="A218" s="83" t="str">
        <x:v>ZCAP-0214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Calabria</x:v>
      </x:c>
      <x:c r="F218" s="83" t="str">
        <x:v>Wind</x:v>
      </x:c>
      <x:c r="G218" s="83" t="str">
        <x:v>Eolico offshore</x:v>
      </x:c>
      <x:c r="H218" s="83" t="str">
        <x:v>Utility</x:v>
      </x:c>
      <x:c r="I218" s="143" t="n">
        <x:v>0.6</x:v>
      </x:c>
      <x:c r="J218" s="83" t="str">
        <x:v>GW</x:v>
      </x:c>
      <x:c r="K218" s="83" t="str">
        <x:v>Assunzione di scenario</x:v>
      </x:c>
      <x:c r="L218" s="83" t="str">
        <x:v>S09</x:v>
      </x:c>
      <x:c r="M218" s="83" t="str">
        <x:v>Documento_Descrizione_Scenari_2024_8dce2430d44d101.pdf</x:v>
      </x:c>
      <x:c r="N218" s="83" t="n">
        <x:v>61</x:v>
      </x:c>
      <x:c r="O218" s="83" t="n">
        <x:v>59</x:v>
      </x:c>
      <x:c r="P218" s="83" t="str">
        <x:v>Tabella 15</x:v>
      </x:c>
      <x:c r="Q218" s="83" t="str">
        <x:v>Direct table extraction; visual/text verification</x:v>
      </x:c>
      <x:c r="R218" s="83" t="str">
        <x:v>A - Direct</x:v>
      </x:c>
      <x:c r="S218" s="83" t="str">
        <x:v>Zonal p_nom input after mapping to PyPSA carrier.</x:v>
      </x:c>
      <x:c r="T218" s="83" t="str">
        <x:v>Table source labels rows as Distribuito/Utility; standardized as onshore/offshore.</x:v>
      </x:c>
    </x:row>
    <x:row r="219">
      <x:c r="A219" s="83" t="str">
        <x:v>ZCAP-0215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Calabria</x:v>
      </x:c>
      <x:c r="F219" s="83" t="str">
        <x:v>Wind</x:v>
      </x:c>
      <x:c r="G219" s="83" t="str">
        <x:v>Eolico offshore</x:v>
      </x:c>
      <x:c r="H219" s="83" t="str">
        <x:v>Utility</x:v>
      </x:c>
      <x:c r="I219" s="143" t="n">
        <x:v>0.4</x:v>
      </x:c>
      <x:c r="J219" s="83" t="str">
        <x:v>GW</x:v>
      </x:c>
      <x:c r="K219" s="83" t="str">
        <x:v>Assunzione di scenario</x:v>
      </x:c>
      <x:c r="L219" s="83" t="str">
        <x:v>S09</x:v>
      </x:c>
      <x:c r="M219" s="83" t="str">
        <x:v>Documento_Descrizione_Scenari_2024_8dce2430d44d101.pdf</x:v>
      </x:c>
      <x:c r="N219" s="83" t="n">
        <x:v>61</x:v>
      </x:c>
      <x:c r="O219" s="83" t="n">
        <x:v>59</x:v>
      </x:c>
      <x:c r="P219" s="83" t="str">
        <x:v>Tabella 15</x:v>
      </x:c>
      <x:c r="Q219" s="83" t="str">
        <x:v>Direct table extraction; visual/text verification</x:v>
      </x:c>
      <x:c r="R219" s="83" t="str">
        <x:v>A - Direct</x:v>
      </x:c>
      <x:c r="S219" s="83" t="str">
        <x:v>Zonal p_nom input after mapping to PyPSA carrier.</x:v>
      </x:c>
      <x:c r="T219" s="83" t="str">
        <x:v>Table source labels rows as Distribuito/Utility; standardized as onshore/offshore.</x:v>
      </x:c>
    </x:row>
    <x:row r="220">
      <x:c r="A220" s="83" t="str">
        <x:v>ZCAP-0216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Calabria</x:v>
      </x:c>
      <x:c r="F220" s="83" t="str">
        <x:v>Wind</x:v>
      </x:c>
      <x:c r="G220" s="83" t="str">
        <x:v>Eolico offshore</x:v>
      </x:c>
      <x:c r="H220" s="83" t="str">
        <x:v>Utility</x:v>
      </x:c>
      <x:c r="I220" s="143" t="n">
        <x:v>0.4</x:v>
      </x:c>
      <x:c r="J220" s="83" t="str">
        <x:v>GW</x:v>
      </x:c>
      <x:c r="K220" s="83" t="str">
        <x:v>Assunzione di scenario</x:v>
      </x:c>
      <x:c r="L220" s="83" t="str">
        <x:v>S09</x:v>
      </x:c>
      <x:c r="M220" s="83" t="str">
        <x:v>Documento_Descrizione_Scenari_2024_8dce2430d44d101.pdf</x:v>
      </x:c>
      <x:c r="N220" s="83" t="n">
        <x:v>61</x:v>
      </x:c>
      <x:c r="O220" s="83" t="n">
        <x:v>59</x:v>
      </x:c>
      <x:c r="P220" s="83" t="str">
        <x:v>Tabella 15</x:v>
      </x:c>
      <x:c r="Q220" s="83" t="str">
        <x:v>Direct table extraction; visual/text verification</x:v>
      </x:c>
      <x:c r="R220" s="83" t="str">
        <x:v>A - Direct</x:v>
      </x:c>
      <x:c r="S220" s="83" t="str">
        <x:v>Zonal p_nom input after mapping to PyPSA carrier.</x:v>
      </x:c>
      <x:c r="T220" s="83" t="str">
        <x:v>Table source labels rows as Distribuito/Utility; standardized as onshore/offshore.</x:v>
      </x:c>
    </x:row>
    <x:row r="221">
      <x:c r="A221" s="83" t="str">
        <x:v>ZCAP-0217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Sicilia</x:v>
      </x:c>
      <x:c r="F221" s="83" t="str">
        <x:v>Wind</x:v>
      </x:c>
      <x:c r="G221" s="83" t="str">
        <x:v>Eolico onshore</x:v>
      </x:c>
      <x:c r="H221" s="83" t="str">
        <x:v>Distribuito</x:v>
      </x:c>
      <x:c r="I221" s="143" t="n">
        <x:v>2.3</x:v>
      </x:c>
      <x:c r="J221" s="83" t="str">
        <x:v>GW</x:v>
      </x:c>
      <x:c r="K221" s="83" t="str">
        <x:v>Dato osservato storico</x:v>
      </x:c>
      <x:c r="L221" s="83" t="str">
        <x:v>S09</x:v>
      </x:c>
      <x:c r="M221" s="83" t="str">
        <x:v>Documento_Descrizione_Scenari_2024_8dce2430d44d101.pdf</x:v>
      </x:c>
      <x:c r="N221" s="83" t="n">
        <x:v>61</x:v>
      </x:c>
      <x:c r="O221" s="83" t="n">
        <x:v>59</x:v>
      </x:c>
      <x:c r="P221" s="83" t="str">
        <x:v>Tabella 15</x:v>
      </x:c>
      <x:c r="Q221" s="83" t="str">
        <x:v>Direct table extraction; visual/text verification</x:v>
      </x:c>
      <x:c r="R221" s="83" t="str">
        <x:v>A - Direct</x:v>
      </x:c>
      <x:c r="S221" s="83" t="str">
        <x:v>Zonal p_nom input after mapping to PyPSA carrier.</x:v>
      </x:c>
      <x:c r="T221" s="83" t="str">
        <x:v>Table source labels rows as Distribuito/Utility; standardized as onshore/offshore.</x:v>
      </x:c>
    </x:row>
    <x:row r="222">
      <x:c r="A222" s="83" t="str">
        <x:v>ZCAP-0218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Sicilia</x:v>
      </x:c>
      <x:c r="F222" s="83" t="str">
        <x:v>Wind</x:v>
      </x:c>
      <x:c r="G222" s="83" t="str">
        <x:v>Eolico onshore</x:v>
      </x:c>
      <x:c r="H222" s="83" t="str">
        <x:v>Distribuito</x:v>
      </x:c>
      <x:c r="I222" s="143" t="n">
        <x:v>4.7</x:v>
      </x:c>
      <x:c r="J222" s="83" t="str">
        <x:v>GW</x:v>
      </x:c>
      <x:c r="K222" s="83" t="str">
        <x:v>Assunzione di scenario</x:v>
      </x:c>
      <x:c r="L222" s="83" t="str">
        <x:v>S09</x:v>
      </x:c>
      <x:c r="M222" s="83" t="str">
        <x:v>Documento_Descrizione_Scenari_2024_8dce2430d44d101.pdf</x:v>
      </x:c>
      <x:c r="N222" s="83" t="n">
        <x:v>61</x:v>
      </x:c>
      <x:c r="O222" s="83" t="n">
        <x:v>59</x:v>
      </x:c>
      <x:c r="P222" s="83" t="str">
        <x:v>Tabella 15</x:v>
      </x:c>
      <x:c r="Q222" s="83" t="str">
        <x:v>Direct table extraction; visual/text verification</x:v>
      </x:c>
      <x:c r="R222" s="83" t="str">
        <x:v>A - Direct</x:v>
      </x:c>
      <x:c r="S222" s="83" t="str">
        <x:v>Zonal p_nom input after mapping to PyPSA carrier.</x:v>
      </x:c>
      <x:c r="T222" s="83" t="str">
        <x:v>Table source labels rows as Distribuito/Utility; standardized as onshore/offshore.</x:v>
      </x:c>
    </x:row>
    <x:row r="223">
      <x:c r="A223" s="83" t="str">
        <x:v>ZCAP-0219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Sicilia</x:v>
      </x:c>
      <x:c r="F223" s="83" t="str">
        <x:v>Wind</x:v>
      </x:c>
      <x:c r="G223" s="83" t="str">
        <x:v>Eolico onshore</x:v>
      </x:c>
      <x:c r="H223" s="83" t="str">
        <x:v>Distribuito</x:v>
      </x:c>
      <x:c r="I223" s="143" t="n">
        <x:v>3.8</x:v>
      </x:c>
      <x:c r="J223" s="83" t="str">
        <x:v>GW</x:v>
      </x:c>
      <x:c r="K223" s="83" t="str">
        <x:v>Assunzione di scenario</x:v>
      </x:c>
      <x:c r="L223" s="83" t="str">
        <x:v>S09</x:v>
      </x:c>
      <x:c r="M223" s="83" t="str">
        <x:v>Documento_Descrizione_Scenari_2024_8dce2430d44d101.pdf</x:v>
      </x:c>
      <x:c r="N223" s="83" t="n">
        <x:v>61</x:v>
      </x:c>
      <x:c r="O223" s="83" t="n">
        <x:v>59</x:v>
      </x:c>
      <x:c r="P223" s="83" t="str">
        <x:v>Tabella 15</x:v>
      </x:c>
      <x:c r="Q223" s="83" t="str">
        <x:v>Direct table extraction; visual/text verification</x:v>
      </x:c>
      <x:c r="R223" s="83" t="str">
        <x:v>A - Direct</x:v>
      </x:c>
      <x:c r="S223" s="83" t="str">
        <x:v>Zonal p_nom input after mapping to PyPSA carrier.</x:v>
      </x:c>
      <x:c r="T223" s="83" t="str">
        <x:v>Table source labels rows as Distribuito/Utility; standardized as onshore/offshore.</x:v>
      </x:c>
    </x:row>
    <x:row r="224">
      <x:c r="A224" s="83" t="str">
        <x:v>ZCAP-0220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Sicilia</x:v>
      </x:c>
      <x:c r="F224" s="83" t="str">
        <x:v>Wind</x:v>
      </x:c>
      <x:c r="G224" s="83" t="str">
        <x:v>Eolico onshore</x:v>
      </x:c>
      <x:c r="H224" s="83" t="str">
        <x:v>Distribuito</x:v>
      </x:c>
      <x:c r="I224" s="143" t="n">
        <x:v>5.5</x:v>
      </x:c>
      <x:c r="J224" s="83" t="str">
        <x:v>GW</x:v>
      </x:c>
      <x:c r="K224" s="83" t="str">
        <x:v>Assunzione di scenario</x:v>
      </x:c>
      <x:c r="L224" s="83" t="str">
        <x:v>S09</x:v>
      </x:c>
      <x:c r="M224" s="83" t="str">
        <x:v>Documento_Descrizione_Scenari_2024_8dce2430d44d101.pdf</x:v>
      </x:c>
      <x:c r="N224" s="83" t="n">
        <x:v>61</x:v>
      </x:c>
      <x:c r="O224" s="83" t="n">
        <x:v>59</x:v>
      </x:c>
      <x:c r="P224" s="83" t="str">
        <x:v>Tabella 15</x:v>
      </x:c>
      <x:c r="Q224" s="83" t="str">
        <x:v>Direct table extraction; visual/text verification</x:v>
      </x:c>
      <x:c r="R224" s="83" t="str">
        <x:v>A - Direct</x:v>
      </x:c>
      <x:c r="S224" s="83" t="str">
        <x:v>Zonal p_nom input after mapping to PyPSA carrier.</x:v>
      </x:c>
      <x:c r="T224" s="83" t="str">
        <x:v>Table source labels rows as Distribuito/Utility; standardized as onshore/offshore.</x:v>
      </x:c>
    </x:row>
    <x:row r="225">
      <x:c r="A225" s="83" t="str">
        <x:v>ZCAP-0221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Sicilia</x:v>
      </x:c>
      <x:c r="F225" s="83" t="str">
        <x:v>Wind</x:v>
      </x:c>
      <x:c r="G225" s="83" t="str">
        <x:v>Eolico onshore</x:v>
      </x:c>
      <x:c r="H225" s="83" t="str">
        <x:v>Distribuito</x:v>
      </x:c>
      <x:c r="I225" s="143" t="n">
        <x:v>5.1</x:v>
      </x:c>
      <x:c r="J225" s="83" t="str">
        <x:v>GW</x:v>
      </x:c>
      <x:c r="K225" s="83" t="str">
        <x:v>Assunzione di scenario</x:v>
      </x:c>
      <x:c r="L225" s="83" t="str">
        <x:v>S09</x:v>
      </x:c>
      <x:c r="M225" s="83" t="str">
        <x:v>Documento_Descrizione_Scenari_2024_8dce2430d44d101.pdf</x:v>
      </x:c>
      <x:c r="N225" s="83" t="n">
        <x:v>61</x:v>
      </x:c>
      <x:c r="O225" s="83" t="n">
        <x:v>59</x:v>
      </x:c>
      <x:c r="P225" s="83" t="str">
        <x:v>Tabella 15</x:v>
      </x:c>
      <x:c r="Q225" s="83" t="str">
        <x:v>Direct table extraction; visual/text verification</x:v>
      </x:c>
      <x:c r="R225" s="83" t="str">
        <x:v>A - Direct</x:v>
      </x:c>
      <x:c r="S225" s="83" t="str">
        <x:v>Zonal p_nom input after mapping to PyPSA carrier.</x:v>
      </x:c>
      <x:c r="T225" s="83" t="str">
        <x:v>Table source labels rows as Distribuito/Utility; standardized as onshore/offshore.</x:v>
      </x:c>
    </x:row>
    <x:row r="226">
      <x:c r="A226" s="83" t="str">
        <x:v>ZCAP-0222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Sicilia</x:v>
      </x:c>
      <x:c r="F226" s="83" t="str">
        <x:v>Wind</x:v>
      </x:c>
      <x:c r="G226" s="83" t="str">
        <x:v>Eolico onshore</x:v>
      </x:c>
      <x:c r="H226" s="83" t="str">
        <x:v>Distribuito</x:v>
      </x:c>
      <x:c r="I226" s="143" t="n">
        <x:v>4.8</x:v>
      </x:c>
      <x:c r="J226" s="83" t="str">
        <x:v>GW</x:v>
      </x:c>
      <x:c r="K226" s="83" t="str">
        <x:v>Assunzione di scenario</x:v>
      </x:c>
      <x:c r="L226" s="83" t="str">
        <x:v>S09</x:v>
      </x:c>
      <x:c r="M226" s="83" t="str">
        <x:v>Documento_Descrizione_Scenari_2024_8dce2430d44d101.pdf</x:v>
      </x:c>
      <x:c r="N226" s="83" t="n">
        <x:v>61</x:v>
      </x:c>
      <x:c r="O226" s="83" t="n">
        <x:v>59</x:v>
      </x:c>
      <x:c r="P226" s="83" t="str">
        <x:v>Tabella 15</x:v>
      </x:c>
      <x:c r="Q226" s="83" t="str">
        <x:v>Direct table extraction; visual/text verification</x:v>
      </x:c>
      <x:c r="R226" s="83" t="str">
        <x:v>A - Direct</x:v>
      </x:c>
      <x:c r="S226" s="83" t="str">
        <x:v>Zonal p_nom input after mapping to PyPSA carrier.</x:v>
      </x:c>
      <x:c r="T226" s="83" t="str">
        <x:v>Table source labels rows as Distribuito/Utility; standardized as onshore/offshore.</x:v>
      </x:c>
    </x:row>
    <x:row r="227">
      <x:c r="A227" s="83" t="str">
        <x:v>ZCAP-0223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Sicilia</x:v>
      </x:c>
      <x:c r="F227" s="83" t="str">
        <x:v>Wind</x:v>
      </x:c>
      <x:c r="G227" s="83" t="str">
        <x:v>Eolico onshore</x:v>
      </x:c>
      <x:c r="H227" s="83" t="str">
        <x:v>Distribuito</x:v>
      </x:c>
      <x:c r="I227" s="143" t="n">
        <x:v>6.3</x:v>
      </x:c>
      <x:c r="J227" s="83" t="str">
        <x:v>GW</x:v>
      </x:c>
      <x:c r="K227" s="83" t="str">
        <x:v>Assunzione di scenario</x:v>
      </x:c>
      <x:c r="L227" s="83" t="str">
        <x:v>S09</x:v>
      </x:c>
      <x:c r="M227" s="83" t="str">
        <x:v>Documento_Descrizione_Scenari_2024_8dce2430d44d101.pdf</x:v>
      </x:c>
      <x:c r="N227" s="83" t="n">
        <x:v>61</x:v>
      </x:c>
      <x:c r="O227" s="83" t="n">
        <x:v>59</x:v>
      </x:c>
      <x:c r="P227" s="83" t="str">
        <x:v>Tabella 15</x:v>
      </x:c>
      <x:c r="Q227" s="83" t="str">
        <x:v>Direct table extraction; visual/text verification</x:v>
      </x:c>
      <x:c r="R227" s="83" t="str">
        <x:v>A - Direct</x:v>
      </x:c>
      <x:c r="S227" s="83" t="str">
        <x:v>Zonal p_nom input after mapping to PyPSA carrier.</x:v>
      </x:c>
      <x:c r="T227" s="83" t="str">
        <x:v>Table source labels rows as Distribuito/Utility; standardized as onshore/offshore.</x:v>
      </x:c>
    </x:row>
    <x:row r="228">
      <x:c r="A228" s="83" t="str">
        <x:v>ZCAP-0224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Sicilia</x:v>
      </x:c>
      <x:c r="F228" s="83" t="str">
        <x:v>Wind</x:v>
      </x:c>
      <x:c r="G228" s="83" t="str">
        <x:v>Eolico onshore</x:v>
      </x:c>
      <x:c r="H228" s="83" t="str">
        <x:v>Distribuito</x:v>
      </x:c>
      <x:c r="I228" s="143" t="n">
        <x:v>5.7</x:v>
      </x:c>
      <x:c r="J228" s="83" t="str">
        <x:v>GW</x:v>
      </x:c>
      <x:c r="K228" s="83" t="str">
        <x:v>Assunzione di scenario</x:v>
      </x:c>
      <x:c r="L228" s="83" t="str">
        <x:v>S09</x:v>
      </x:c>
      <x:c r="M228" s="83" t="str">
        <x:v>Documento_Descrizione_Scenari_2024_8dce2430d44d101.pdf</x:v>
      </x:c>
      <x:c r="N228" s="83" t="n">
        <x:v>61</x:v>
      </x:c>
      <x:c r="O228" s="83" t="n">
        <x:v>59</x:v>
      </x:c>
      <x:c r="P228" s="83" t="str">
        <x:v>Tabella 15</x:v>
      </x:c>
      <x:c r="Q228" s="83" t="str">
        <x:v>Direct table extraction; visual/text verification</x:v>
      </x:c>
      <x:c r="R228" s="83" t="str">
        <x:v>A - Direct</x:v>
      </x:c>
      <x:c r="S228" s="83" t="str">
        <x:v>Zonal p_nom input after mapping to PyPSA carrier.</x:v>
      </x:c>
      <x:c r="T228" s="83" t="str">
        <x:v>Table source labels rows as Distribuito/Utility; standardized as onshore/offshore.</x:v>
      </x:c>
    </x:row>
    <x:row r="229">
      <x:c r="A229" s="83" t="str">
        <x:v>ZCAP-0225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Sicilia</x:v>
      </x:c>
      <x:c r="F229" s="83" t="str">
        <x:v>Wind</x:v>
      </x:c>
      <x:c r="G229" s="83" t="str">
        <x:v>Eolico onshore</x:v>
      </x:c>
      <x:c r="H229" s="83" t="str">
        <x:v>Distribuito</x:v>
      </x:c>
      <x:c r="I229" s="143" t="n">
        <x:v>5.7</x:v>
      </x:c>
      <x:c r="J229" s="83" t="str">
        <x:v>GW</x:v>
      </x:c>
      <x:c r="K229" s="83" t="str">
        <x:v>Assunzione di scenario</x:v>
      </x:c>
      <x:c r="L229" s="83" t="str">
        <x:v>S09</x:v>
      </x:c>
      <x:c r="M229" s="83" t="str">
        <x:v>Documento_Descrizione_Scenari_2024_8dce2430d44d101.pdf</x:v>
      </x:c>
      <x:c r="N229" s="83" t="n">
        <x:v>61</x:v>
      </x:c>
      <x:c r="O229" s="83" t="n">
        <x:v>59</x:v>
      </x:c>
      <x:c r="P229" s="83" t="str">
        <x:v>Tabella 15</x:v>
      </x:c>
      <x:c r="Q229" s="83" t="str">
        <x:v>Direct table extraction; visual/text verification</x:v>
      </x:c>
      <x:c r="R229" s="83" t="str">
        <x:v>A - Direct</x:v>
      </x:c>
      <x:c r="S229" s="83" t="str">
        <x:v>Zonal p_nom input after mapping to PyPSA carrier.</x:v>
      </x:c>
      <x:c r="T229" s="83" t="str">
        <x:v>Table source labels rows as Distribuito/Utility; standardized as onshore/offshore.</x:v>
      </x:c>
    </x:row>
    <x:row r="230">
      <x:c r="A230" s="83" t="str">
        <x:v>ZCAP-0226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Sicilia</x:v>
      </x:c>
      <x:c r="F230" s="83" t="str">
        <x:v>Wind</x:v>
      </x:c>
      <x:c r="G230" s="83" t="str">
        <x:v>Eolico offshore</x:v>
      </x:c>
      <x:c r="H230" s="83" t="str">
        <x:v>Utility</x:v>
      </x:c>
      <x:c r="I230" s="143" t="n">
        <x:v>0</x:v>
      </x:c>
      <x:c r="J230" s="83" t="str">
        <x:v>GW</x:v>
      </x:c>
      <x:c r="K230" s="83" t="str">
        <x:v>Dato osservato storico</x:v>
      </x:c>
      <x:c r="L230" s="83" t="str">
        <x:v>S09</x:v>
      </x:c>
      <x:c r="M230" s="83" t="str">
        <x:v>Documento_Descrizione_Scenari_2024_8dce2430d44d101.pdf</x:v>
      </x:c>
      <x:c r="N230" s="83" t="n">
        <x:v>61</x:v>
      </x:c>
      <x:c r="O230" s="83" t="n">
        <x:v>59</x:v>
      </x:c>
      <x:c r="P230" s="83" t="str">
        <x:v>Tabella 15</x:v>
      </x:c>
      <x:c r="Q230" s="83" t="str">
        <x:v>Direct table extraction; visual/text verification</x:v>
      </x:c>
      <x:c r="R230" s="83" t="str">
        <x:v>A - Direct</x:v>
      </x:c>
      <x:c r="S230" s="83" t="str">
        <x:v>Zonal p_nom input after mapping to PyPSA carrier.</x:v>
      </x:c>
      <x:c r="T230" s="83" t="str">
        <x:v>Table source labels rows as Distribuito/Utility; standardized as onshore/offshore.</x:v>
      </x:c>
    </x:row>
    <x:row r="231">
      <x:c r="A231" s="83" t="str">
        <x:v>ZCAP-0227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Sicilia</x:v>
      </x:c>
      <x:c r="F231" s="83" t="str">
        <x:v>Wind</x:v>
      </x:c>
      <x:c r="G231" s="83" t="str">
        <x:v>Eolico offshore</x:v>
      </x:c>
      <x:c r="H231" s="83" t="str">
        <x:v>Utility</x:v>
      </x:c>
      <x:c r="I231" s="143" t="n">
        <x:v>0.6</x:v>
      </x:c>
      <x:c r="J231" s="83" t="str">
        <x:v>GW</x:v>
      </x:c>
      <x:c r="K231" s="83" t="str">
        <x:v>Assunzione di scenario</x:v>
      </x:c>
      <x:c r="L231" s="83" t="str">
        <x:v>S09</x:v>
      </x:c>
      <x:c r="M231" s="83" t="str">
        <x:v>Documento_Descrizione_Scenari_2024_8dce2430d44d101.pdf</x:v>
      </x:c>
      <x:c r="N231" s="83" t="n">
        <x:v>61</x:v>
      </x:c>
      <x:c r="O231" s="83" t="n">
        <x:v>59</x:v>
      </x:c>
      <x:c r="P231" s="83" t="str">
        <x:v>Tabella 15</x:v>
      </x:c>
      <x:c r="Q231" s="83" t="str">
        <x:v>Direct table extraction; visual/text verification</x:v>
      </x:c>
      <x:c r="R231" s="83" t="str">
        <x:v>A - Direct</x:v>
      </x:c>
      <x:c r="S231" s="83" t="str">
        <x:v>Zonal p_nom input after mapping to PyPSA carrier.</x:v>
      </x:c>
      <x:c r="T231" s="83" t="str">
        <x:v>Table source labels rows as Distribuito/Utility; standardized as onshore/offshore.</x:v>
      </x:c>
    </x:row>
    <x:row r="232">
      <x:c r="A232" s="83" t="str">
        <x:v>ZCAP-0228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Sicilia</x:v>
      </x:c>
      <x:c r="F232" s="83" t="str">
        <x:v>Wind</x:v>
      </x:c>
      <x:c r="G232" s="83" t="str">
        <x:v>Eolico offshore</x:v>
      </x:c>
      <x:c r="H232" s="83" t="str">
        <x:v>Utility</x:v>
      </x:c>
      <x:c r="I232" s="143" t="n">
        <x:v>0.3</x:v>
      </x:c>
      <x:c r="J232" s="83" t="str">
        <x:v>GW</x:v>
      </x:c>
      <x:c r="K232" s="83" t="str">
        <x:v>Assunzione di scenario</x:v>
      </x:c>
      <x:c r="L232" s="83" t="str">
        <x:v>S09</x:v>
      </x:c>
      <x:c r="M232" s="83" t="str">
        <x:v>Documento_Descrizione_Scenari_2024_8dce2430d44d101.pdf</x:v>
      </x:c>
      <x:c r="N232" s="83" t="n">
        <x:v>61</x:v>
      </x:c>
      <x:c r="O232" s="83" t="n">
        <x:v>59</x:v>
      </x:c>
      <x:c r="P232" s="83" t="str">
        <x:v>Tabella 15</x:v>
      </x:c>
      <x:c r="Q232" s="83" t="str">
        <x:v>Direct table extraction; visual/text verification</x:v>
      </x:c>
      <x:c r="R232" s="83" t="str">
        <x:v>A - Direct</x:v>
      </x:c>
      <x:c r="S232" s="83" t="str">
        <x:v>Zonal p_nom input after mapping to PyPSA carrier.</x:v>
      </x:c>
      <x:c r="T232" s="83" t="str">
        <x:v>Table source labels rows as Distribuito/Utility; standardized as onshore/offshore.</x:v>
      </x:c>
    </x:row>
    <x:row r="233">
      <x:c r="A233" s="83" t="str">
        <x:v>ZCAP-0229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Sicilia</x:v>
      </x:c>
      <x:c r="F233" s="83" t="str">
        <x:v>Wind</x:v>
      </x:c>
      <x:c r="G233" s="83" t="str">
        <x:v>Eolico offshore</x:v>
      </x:c>
      <x:c r="H233" s="83" t="str">
        <x:v>Utility</x:v>
      </x:c>
      <x:c r="I233" s="143" t="n">
        <x:v>1.5</x:v>
      </x:c>
      <x:c r="J233" s="83" t="str">
        <x:v>GW</x:v>
      </x:c>
      <x:c r="K233" s="83" t="str">
        <x:v>Assunzione di scenario</x:v>
      </x:c>
      <x:c r="L233" s="83" t="str">
        <x:v>S09</x:v>
      </x:c>
      <x:c r="M233" s="83" t="str">
        <x:v>Documento_Descrizione_Scenari_2024_8dce2430d44d101.pdf</x:v>
      </x:c>
      <x:c r="N233" s="83" t="n">
        <x:v>61</x:v>
      </x:c>
      <x:c r="O233" s="83" t="n">
        <x:v>59</x:v>
      </x:c>
      <x:c r="P233" s="83" t="str">
        <x:v>Tabella 15</x:v>
      </x:c>
      <x:c r="Q233" s="83" t="str">
        <x:v>Direct table extraction; visual/text verification</x:v>
      </x:c>
      <x:c r="R233" s="83" t="str">
        <x:v>A - Direct</x:v>
      </x:c>
      <x:c r="S233" s="83" t="str">
        <x:v>Zonal p_nom input after mapping to PyPSA carrier.</x:v>
      </x:c>
      <x:c r="T233" s="83" t="str">
        <x:v>Table source labels rows as Distribuito/Utility; standardized as onshore/offshore.</x:v>
      </x:c>
    </x:row>
    <x:row r="234">
      <x:c r="A234" s="83" t="str">
        <x:v>ZCAP-0230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Sicilia</x:v>
      </x:c>
      <x:c r="F234" s="83" t="str">
        <x:v>Wind</x:v>
      </x:c>
      <x:c r="G234" s="83" t="str">
        <x:v>Eolico offshore</x:v>
      </x:c>
      <x:c r="H234" s="83" t="str">
        <x:v>Utility</x:v>
      </x:c>
      <x:c r="I234" s="143" t="n">
        <x:v>1.3</x:v>
      </x:c>
      <x:c r="J234" s="83" t="str">
        <x:v>GW</x:v>
      </x:c>
      <x:c r="K234" s="83" t="str">
        <x:v>Assunzione di scenario</x:v>
      </x:c>
      <x:c r="L234" s="83" t="str">
        <x:v>S09</x:v>
      </x:c>
      <x:c r="M234" s="83" t="str">
        <x:v>Documento_Descrizione_Scenari_2024_8dce2430d44d101.pdf</x:v>
      </x:c>
      <x:c r="N234" s="83" t="n">
        <x:v>61</x:v>
      </x:c>
      <x:c r="O234" s="83" t="n">
        <x:v>59</x:v>
      </x:c>
      <x:c r="P234" s="83" t="str">
        <x:v>Tabella 15</x:v>
      </x:c>
      <x:c r="Q234" s="83" t="str">
        <x:v>Direct table extraction; visual/text verification</x:v>
      </x:c>
      <x:c r="R234" s="83" t="str">
        <x:v>A - Direct</x:v>
      </x:c>
      <x:c r="S234" s="83" t="str">
        <x:v>Zonal p_nom input after mapping to PyPSA carrier.</x:v>
      </x:c>
      <x:c r="T234" s="83" t="str">
        <x:v>Table source labels rows as Distribuito/Utility; standardized as onshore/offshore.</x:v>
      </x:c>
    </x:row>
    <x:row r="235">
      <x:c r="A235" s="83" t="str">
        <x:v>ZCAP-0231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Sicilia</x:v>
      </x:c>
      <x:c r="F235" s="83" t="str">
        <x:v>Wind</x:v>
      </x:c>
      <x:c r="G235" s="83" t="str">
        <x:v>Eolico offshore</x:v>
      </x:c>
      <x:c r="H235" s="83" t="str">
        <x:v>Utility</x:v>
      </x:c>
      <x:c r="I235" s="143" t="n">
        <x:v>1</x:v>
      </x:c>
      <x:c r="J235" s="83" t="str">
        <x:v>GW</x:v>
      </x:c>
      <x:c r="K235" s="83" t="str">
        <x:v>Assunzione di scenario</x:v>
      </x:c>
      <x:c r="L235" s="83" t="str">
        <x:v>S09</x:v>
      </x:c>
      <x:c r="M235" s="83" t="str">
        <x:v>Documento_Descrizione_Scenari_2024_8dce2430d44d101.pdf</x:v>
      </x:c>
      <x:c r="N235" s="83" t="n">
        <x:v>61</x:v>
      </x:c>
      <x:c r="O235" s="83" t="n">
        <x:v>59</x:v>
      </x:c>
      <x:c r="P235" s="83" t="str">
        <x:v>Tabella 15</x:v>
      </x:c>
      <x:c r="Q235" s="83" t="str">
        <x:v>Direct table extraction; visual/text verification</x:v>
      </x:c>
      <x:c r="R235" s="83" t="str">
        <x:v>A - Direct</x:v>
      </x:c>
      <x:c r="S235" s="83" t="str">
        <x:v>Zonal p_nom input after mapping to PyPSA carrier.</x:v>
      </x:c>
      <x:c r="T235" s="83" t="str">
        <x:v>Table source labels rows as Distribuito/Utility; standardized as onshore/offshore.</x:v>
      </x:c>
    </x:row>
    <x:row r="236">
      <x:c r="A236" s="83" t="str">
        <x:v>ZCAP-0232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Sicilia</x:v>
      </x:c>
      <x:c r="F236" s="83" t="str">
        <x:v>Wind</x:v>
      </x:c>
      <x:c r="G236" s="83" t="str">
        <x:v>Eolico offshore</x:v>
      </x:c>
      <x:c r="H236" s="83" t="str">
        <x:v>Utility</x:v>
      </x:c>
      <x:c r="I236" s="143" t="n">
        <x:v>3</x:v>
      </x:c>
      <x:c r="J236" s="83" t="str">
        <x:v>GW</x:v>
      </x:c>
      <x:c r="K236" s="83" t="str">
        <x:v>Assunzione di scenario</x:v>
      </x:c>
      <x:c r="L236" s="83" t="str">
        <x:v>S09</x:v>
      </x:c>
      <x:c r="M236" s="83" t="str">
        <x:v>Documento_Descrizione_Scenari_2024_8dce2430d44d101.pdf</x:v>
      </x:c>
      <x:c r="N236" s="83" t="n">
        <x:v>61</x:v>
      </x:c>
      <x:c r="O236" s="83" t="n">
        <x:v>59</x:v>
      </x:c>
      <x:c r="P236" s="83" t="str">
        <x:v>Tabella 15</x:v>
      </x:c>
      <x:c r="Q236" s="83" t="str">
        <x:v>Direct table extraction; visual/text verification</x:v>
      </x:c>
      <x:c r="R236" s="83" t="str">
        <x:v>A - Direct</x:v>
      </x:c>
      <x:c r="S236" s="83" t="str">
        <x:v>Zonal p_nom input after mapping to PyPSA carrier.</x:v>
      </x:c>
      <x:c r="T236" s="83" t="str">
        <x:v>Table source labels rows as Distribuito/Utility; standardized as onshore/offshore.</x:v>
      </x:c>
    </x:row>
    <x:row r="237">
      <x:c r="A237" s="83" t="str">
        <x:v>ZCAP-0233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Sicilia</x:v>
      </x:c>
      <x:c r="F237" s="83" t="str">
        <x:v>Wind</x:v>
      </x:c>
      <x:c r="G237" s="83" t="str">
        <x:v>Eolico offshore</x:v>
      </x:c>
      <x:c r="H237" s="83" t="str">
        <x:v>Utility</x:v>
      </x:c>
      <x:c r="I237" s="143" t="n">
        <x:v>2.5</x:v>
      </x:c>
      <x:c r="J237" s="83" t="str">
        <x:v>GW</x:v>
      </x:c>
      <x:c r="K237" s="83" t="str">
        <x:v>Assunzione di scenario</x:v>
      </x:c>
      <x:c r="L237" s="83" t="str">
        <x:v>S09</x:v>
      </x:c>
      <x:c r="M237" s="83" t="str">
        <x:v>Documento_Descrizione_Scenari_2024_8dce2430d44d101.pdf</x:v>
      </x:c>
      <x:c r="N237" s="83" t="n">
        <x:v>61</x:v>
      </x:c>
      <x:c r="O237" s="83" t="n">
        <x:v>59</x:v>
      </x:c>
      <x:c r="P237" s="83" t="str">
        <x:v>Tabella 15</x:v>
      </x:c>
      <x:c r="Q237" s="83" t="str">
        <x:v>Direct table extraction; visual/text verification</x:v>
      </x:c>
      <x:c r="R237" s="83" t="str">
        <x:v>A - Direct</x:v>
      </x:c>
      <x:c r="S237" s="83" t="str">
        <x:v>Zonal p_nom input after mapping to PyPSA carrier.</x:v>
      </x:c>
      <x:c r="T237" s="83" t="str">
        <x:v>Table source labels rows as Distribuito/Utility; standardized as onshore/offshore.</x:v>
      </x:c>
    </x:row>
    <x:row r="238">
      <x:c r="A238" s="83" t="str">
        <x:v>ZCAP-0234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Sicilia</x:v>
      </x:c>
      <x:c r="F238" s="83" t="str">
        <x:v>Wind</x:v>
      </x:c>
      <x:c r="G238" s="83" t="str">
        <x:v>Eolico offshore</x:v>
      </x:c>
      <x:c r="H238" s="83" t="str">
        <x:v>Utility</x:v>
      </x:c>
      <x:c r="I238" s="143" t="n">
        <x:v>2.3</x:v>
      </x:c>
      <x:c r="J238" s="83" t="str">
        <x:v>GW</x:v>
      </x:c>
      <x:c r="K238" s="83" t="str">
        <x:v>Assunzione di scenario</x:v>
      </x:c>
      <x:c r="L238" s="83" t="str">
        <x:v>S09</x:v>
      </x:c>
      <x:c r="M238" s="83" t="str">
        <x:v>Documento_Descrizione_Scenari_2024_8dce2430d44d101.pdf</x:v>
      </x:c>
      <x:c r="N238" s="83" t="n">
        <x:v>61</x:v>
      </x:c>
      <x:c r="O238" s="83" t="n">
        <x:v>59</x:v>
      </x:c>
      <x:c r="P238" s="83" t="str">
        <x:v>Tabella 15</x:v>
      </x:c>
      <x:c r="Q238" s="83" t="str">
        <x:v>Direct table extraction; visual/text verification</x:v>
      </x:c>
      <x:c r="R238" s="83" t="str">
        <x:v>A - Direct</x:v>
      </x:c>
      <x:c r="S238" s="83" t="str">
        <x:v>Zonal p_nom input after mapping to PyPSA carrier.</x:v>
      </x:c>
      <x:c r="T238" s="83" t="str">
        <x:v>Table source labels rows as Distribuito/Utility; standardized as onshore/offshore.</x:v>
      </x:c>
    </x:row>
    <x:row r="239">
      <x:c r="A239" s="83" t="str">
        <x:v>ZCAP-0235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Wind</x:v>
      </x:c>
      <x:c r="G239" s="83" t="str">
        <x:v>Eolico onshore</x:v>
      </x:c>
      <x:c r="H239" s="83" t="str">
        <x:v>Distribuito</x:v>
      </x:c>
      <x:c r="I239" s="143" t="n">
        <x:v>1.2</x:v>
      </x:c>
      <x:c r="J239" s="83" t="str">
        <x:v>GW</x:v>
      </x:c>
      <x:c r="K239" s="83" t="str">
        <x:v>Dato osservato storico</x:v>
      </x:c>
      <x:c r="L239" s="83" t="str">
        <x:v>S09</x:v>
      </x:c>
      <x:c r="M239" s="83" t="str">
        <x:v>Documento_Descrizione_Scenari_2024_8dce2430d44d101.pdf</x:v>
      </x:c>
      <x:c r="N239" s="83" t="n">
        <x:v>61</x:v>
      </x:c>
      <x:c r="O239" s="83" t="n">
        <x:v>59</x:v>
      </x:c>
      <x:c r="P239" s="83" t="str">
        <x:v>Tabella 15</x:v>
      </x:c>
      <x:c r="Q239" s="83" t="str">
        <x:v>Direct table extraction; visual/text verification</x:v>
      </x:c>
      <x:c r="R239" s="83" t="str">
        <x:v>A - Direct</x:v>
      </x:c>
      <x:c r="S239" s="83" t="str">
        <x:v>Zonal p_nom input after mapping to PyPSA carrier.</x:v>
      </x:c>
      <x:c r="T239" s="83" t="str">
        <x:v>Table source labels rows as Distribuito/Utility; standardized as onshore/offshore.</x:v>
      </x:c>
    </x:row>
    <x:row r="240">
      <x:c r="A240" s="83" t="str">
        <x:v>ZCAP-0236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Wind</x:v>
      </x:c>
      <x:c r="G240" s="83" t="str">
        <x:v>Eolico onshore</x:v>
      </x:c>
      <x:c r="H240" s="83" t="str">
        <x:v>Distribuito</x:v>
      </x:c>
      <x:c r="I240" s="143" t="n">
        <x:v>2.5</x:v>
      </x:c>
      <x:c r="J240" s="83" t="str">
        <x:v>GW</x:v>
      </x:c>
      <x:c r="K240" s="83" t="str">
        <x:v>Assunzione di scenario</x:v>
      </x:c>
      <x:c r="L240" s="83" t="str">
        <x:v>S09</x:v>
      </x:c>
      <x:c r="M240" s="83" t="str">
        <x:v>Documento_Descrizione_Scenari_2024_8dce2430d44d101.pdf</x:v>
      </x:c>
      <x:c r="N240" s="83" t="n">
        <x:v>61</x:v>
      </x:c>
      <x:c r="O240" s="83" t="n">
        <x:v>59</x:v>
      </x:c>
      <x:c r="P240" s="83" t="str">
        <x:v>Tabella 15</x:v>
      </x:c>
      <x:c r="Q240" s="83" t="str">
        <x:v>Direct table extraction; visual/text verification</x:v>
      </x:c>
      <x:c r="R240" s="83" t="str">
        <x:v>A - Direct</x:v>
      </x:c>
      <x:c r="S240" s="83" t="str">
        <x:v>Zonal p_nom input after mapping to PyPSA carrier.</x:v>
      </x:c>
      <x:c r="T240" s="83" t="str">
        <x:v>Table source labels rows as Distribuito/Utility; standardized as onshore/offshore.</x:v>
      </x:c>
    </x:row>
    <x:row r="241">
      <x:c r="A241" s="83" t="str">
        <x:v>ZCAP-0237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Wind</x:v>
      </x:c>
      <x:c r="G241" s="83" t="str">
        <x:v>Eolico onshore</x:v>
      </x:c>
      <x:c r="H241" s="83" t="str">
        <x:v>Distribuito</x:v>
      </x:c>
      <x:c r="I241" s="143" t="n">
        <x:v>2.1</x:v>
      </x:c>
      <x:c r="J241" s="83" t="str">
        <x:v>GW</x:v>
      </x:c>
      <x:c r="K241" s="83" t="str">
        <x:v>Assunzione di scenario</x:v>
      </x:c>
      <x:c r="L241" s="83" t="str">
        <x:v>S09</x:v>
      </x:c>
      <x:c r="M241" s="83" t="str">
        <x:v>Documento_Descrizione_Scenari_2024_8dce2430d44d101.pdf</x:v>
      </x:c>
      <x:c r="N241" s="83" t="n">
        <x:v>61</x:v>
      </x:c>
      <x:c r="O241" s="83" t="n">
        <x:v>59</x:v>
      </x:c>
      <x:c r="P241" s="83" t="str">
        <x:v>Tabella 15</x:v>
      </x:c>
      <x:c r="Q241" s="83" t="str">
        <x:v>Direct table extraction; visual/text verification</x:v>
      </x:c>
      <x:c r="R241" s="83" t="str">
        <x:v>A - Direct</x:v>
      </x:c>
      <x:c r="S241" s="83" t="str">
        <x:v>Zonal p_nom input after mapping to PyPSA carrier.</x:v>
      </x:c>
      <x:c r="T241" s="83" t="str">
        <x:v>Table source labels rows as Distribuito/Utility; standardized as onshore/offshore.</x:v>
      </x:c>
    </x:row>
    <x:row r="242">
      <x:c r="A242" s="83" t="str">
        <x:v>ZCAP-0238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Wind</x:v>
      </x:c>
      <x:c r="G242" s="83" t="str">
        <x:v>Eolico onshore</x:v>
      </x:c>
      <x:c r="H242" s="83" t="str">
        <x:v>Distribuito</x:v>
      </x:c>
      <x:c r="I242" s="143" t="n">
        <x:v>3</x:v>
      </x:c>
      <x:c r="J242" s="83" t="str">
        <x:v>GW</x:v>
      </x:c>
      <x:c r="K242" s="83" t="str">
        <x:v>Assunzione di scenario</x:v>
      </x:c>
      <x:c r="L242" s="83" t="str">
        <x:v>S09</x:v>
      </x:c>
      <x:c r="M242" s="83" t="str">
        <x:v>Documento_Descrizione_Scenari_2024_8dce2430d44d101.pdf</x:v>
      </x:c>
      <x:c r="N242" s="83" t="n">
        <x:v>61</x:v>
      </x:c>
      <x:c r="O242" s="83" t="n">
        <x:v>59</x:v>
      </x:c>
      <x:c r="P242" s="83" t="str">
        <x:v>Tabella 15</x:v>
      </x:c>
      <x:c r="Q242" s="83" t="str">
        <x:v>Direct table extraction; visual/text verification</x:v>
      </x:c>
      <x:c r="R242" s="83" t="str">
        <x:v>A - Direct</x:v>
      </x:c>
      <x:c r="S242" s="83" t="str">
        <x:v>Zonal p_nom input after mapping to PyPSA carrier.</x:v>
      </x:c>
      <x:c r="T242" s="83" t="str">
        <x:v>Table source labels rows as Distribuito/Utility; standardized as onshore/offshore.</x:v>
      </x:c>
    </x:row>
    <x:row r="243">
      <x:c r="A243" s="83" t="str">
        <x:v>ZCAP-0239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Wind</x:v>
      </x:c>
      <x:c r="G243" s="83" t="str">
        <x:v>Eolico onshore</x:v>
      </x:c>
      <x:c r="H243" s="83" t="str">
        <x:v>Distribuito</x:v>
      </x:c>
      <x:c r="I243" s="143" t="n">
        <x:v>2.8</x:v>
      </x:c>
      <x:c r="J243" s="83" t="str">
        <x:v>GW</x:v>
      </x:c>
      <x:c r="K243" s="83" t="str">
        <x:v>Assunzione di scenario</x:v>
      </x:c>
      <x:c r="L243" s="83" t="str">
        <x:v>S09</x:v>
      </x:c>
      <x:c r="M243" s="83" t="str">
        <x:v>Documento_Descrizione_Scenari_2024_8dce2430d44d101.pdf</x:v>
      </x:c>
      <x:c r="N243" s="83" t="n">
        <x:v>61</x:v>
      </x:c>
      <x:c r="O243" s="83" t="n">
        <x:v>59</x:v>
      </x:c>
      <x:c r="P243" s="83" t="str">
        <x:v>Tabella 15</x:v>
      </x:c>
      <x:c r="Q243" s="83" t="str">
        <x:v>Direct table extraction; visual/text verification</x:v>
      </x:c>
      <x:c r="R243" s="83" t="str">
        <x:v>A - Direct</x:v>
      </x:c>
      <x:c r="S243" s="83" t="str">
        <x:v>Zonal p_nom input after mapping to PyPSA carrier.</x:v>
      </x:c>
      <x:c r="T243" s="83" t="str">
        <x:v>Table source labels rows as Distribuito/Utility; standardized as onshore/offshore.</x:v>
      </x:c>
    </x:row>
    <x:row r="244">
      <x:c r="A244" s="83" t="str">
        <x:v>ZCAP-0240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Wind</x:v>
      </x:c>
      <x:c r="G244" s="83" t="str">
        <x:v>Eolico onshore</x:v>
      </x:c>
      <x:c r="H244" s="83" t="str">
        <x:v>Distribuito</x:v>
      </x:c>
      <x:c r="I244" s="143" t="n">
        <x:v>2.6</x:v>
      </x:c>
      <x:c r="J244" s="83" t="str">
        <x:v>GW</x:v>
      </x:c>
      <x:c r="K244" s="83" t="str">
        <x:v>Assunzione di scenario</x:v>
      </x:c>
      <x:c r="L244" s="83" t="str">
        <x:v>S09</x:v>
      </x:c>
      <x:c r="M244" s="83" t="str">
        <x:v>Documento_Descrizione_Scenari_2024_8dce2430d44d101.pdf</x:v>
      </x:c>
      <x:c r="N244" s="83" t="n">
        <x:v>61</x:v>
      </x:c>
      <x:c r="O244" s="83" t="n">
        <x:v>59</x:v>
      </x:c>
      <x:c r="P244" s="83" t="str">
        <x:v>Tabella 15</x:v>
      </x:c>
      <x:c r="Q244" s="83" t="str">
        <x:v>Direct table extraction; visual/text verification</x:v>
      </x:c>
      <x:c r="R244" s="83" t="str">
        <x:v>A - Direct</x:v>
      </x:c>
      <x:c r="S244" s="83" t="str">
        <x:v>Zonal p_nom input after mapping to PyPSA carrier.</x:v>
      </x:c>
      <x:c r="T244" s="83" t="str">
        <x:v>Table source labels rows as Distribuito/Utility; standardized as onshore/offshore.</x:v>
      </x:c>
    </x:row>
    <x:row r="245">
      <x:c r="A245" s="83" t="str">
        <x:v>ZCAP-0241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Wind</x:v>
      </x:c>
      <x:c r="G245" s="83" t="str">
        <x:v>Eolico onshore</x:v>
      </x:c>
      <x:c r="H245" s="83" t="str">
        <x:v>Distribuito</x:v>
      </x:c>
      <x:c r="I245" s="143" t="n">
        <x:v>3.5</x:v>
      </x:c>
      <x:c r="J245" s="83" t="str">
        <x:v>GW</x:v>
      </x:c>
      <x:c r="K245" s="83" t="str">
        <x:v>Assunzione di scenario</x:v>
      </x:c>
      <x:c r="L245" s="83" t="str">
        <x:v>S09</x:v>
      </x:c>
      <x:c r="M245" s="83" t="str">
        <x:v>Documento_Descrizione_Scenari_2024_8dce2430d44d101.pdf</x:v>
      </x:c>
      <x:c r="N245" s="83" t="n">
        <x:v>61</x:v>
      </x:c>
      <x:c r="O245" s="83" t="n">
        <x:v>59</x:v>
      </x:c>
      <x:c r="P245" s="83" t="str">
        <x:v>Tabella 15</x:v>
      </x:c>
      <x:c r="Q245" s="83" t="str">
        <x:v>Direct table extraction; visual/text verification</x:v>
      </x:c>
      <x:c r="R245" s="83" t="str">
        <x:v>A - Direct</x:v>
      </x:c>
      <x:c r="S245" s="83" t="str">
        <x:v>Zonal p_nom input after mapping to PyPSA carrier.</x:v>
      </x:c>
      <x:c r="T245" s="83" t="str">
        <x:v>Table source labels rows as Distribuito/Utility; standardized as onshore/offshore.</x:v>
      </x:c>
    </x:row>
    <x:row r="246">
      <x:c r="A246" s="83" t="str">
        <x:v>ZCAP-0242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Wind</x:v>
      </x:c>
      <x:c r="G246" s="83" t="str">
        <x:v>Eolico onshore</x:v>
      </x:c>
      <x:c r="H246" s="83" t="str">
        <x:v>Distribuito</x:v>
      </x:c>
      <x:c r="I246" s="143" t="n">
        <x:v>3.1</x:v>
      </x:c>
      <x:c r="J246" s="83" t="str">
        <x:v>GW</x:v>
      </x:c>
      <x:c r="K246" s="83" t="str">
        <x:v>Assunzione di scenario</x:v>
      </x:c>
      <x:c r="L246" s="83" t="str">
        <x:v>S09</x:v>
      </x:c>
      <x:c r="M246" s="83" t="str">
        <x:v>Documento_Descrizione_Scenari_2024_8dce2430d44d101.pdf</x:v>
      </x:c>
      <x:c r="N246" s="83" t="n">
        <x:v>61</x:v>
      </x:c>
      <x:c r="O246" s="83" t="n">
        <x:v>59</x:v>
      </x:c>
      <x:c r="P246" s="83" t="str">
        <x:v>Tabella 15</x:v>
      </x:c>
      <x:c r="Q246" s="83" t="str">
        <x:v>Direct table extraction; visual/text verification</x:v>
      </x:c>
      <x:c r="R246" s="83" t="str">
        <x:v>A - Direct</x:v>
      </x:c>
      <x:c r="S246" s="83" t="str">
        <x:v>Zonal p_nom input after mapping to PyPSA carrier.</x:v>
      </x:c>
      <x:c r="T246" s="83" t="str">
        <x:v>Table source labels rows as Distribuito/Utility; standardized as onshore/offshore.</x:v>
      </x:c>
    </x:row>
    <x:row r="247">
      <x:c r="A247" s="83" t="str">
        <x:v>ZCAP-0243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Wind</x:v>
      </x:c>
      <x:c r="G247" s="83" t="str">
        <x:v>Eolico onshore</x:v>
      </x:c>
      <x:c r="H247" s="83" t="str">
        <x:v>Distribuito</x:v>
      </x:c>
      <x:c r="I247" s="143" t="n">
        <x:v>3.1</x:v>
      </x:c>
      <x:c r="J247" s="83" t="str">
        <x:v>GW</x:v>
      </x:c>
      <x:c r="K247" s="83" t="str">
        <x:v>Assunzione di scenario</x:v>
      </x:c>
      <x:c r="L247" s="83" t="str">
        <x:v>S09</x:v>
      </x:c>
      <x:c r="M247" s="83" t="str">
        <x:v>Documento_Descrizione_Scenari_2024_8dce2430d44d101.pdf</x:v>
      </x:c>
      <x:c r="N247" s="83" t="n">
        <x:v>61</x:v>
      </x:c>
      <x:c r="O247" s="83" t="n">
        <x:v>59</x:v>
      </x:c>
      <x:c r="P247" s="83" t="str">
        <x:v>Tabella 15</x:v>
      </x:c>
      <x:c r="Q247" s="83" t="str">
        <x:v>Direct table extraction; visual/text verification</x:v>
      </x:c>
      <x:c r="R247" s="83" t="str">
        <x:v>A - Direct</x:v>
      </x:c>
      <x:c r="S247" s="83" t="str">
        <x:v>Zonal p_nom input after mapping to PyPSA carrier.</x:v>
      </x:c>
      <x:c r="T247" s="83" t="str">
        <x:v>Table source labels rows as Distribuito/Utility; standardized as onshore/offshore.</x:v>
      </x:c>
    </x:row>
    <x:row r="248">
      <x:c r="A248" s="83" t="str">
        <x:v>ZCAP-0244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Wind</x:v>
      </x:c>
      <x:c r="G248" s="83" t="str">
        <x:v>Eolico offshore</x:v>
      </x:c>
      <x:c r="H248" s="83" t="str">
        <x:v>Utility</x:v>
      </x:c>
      <x:c r="I248" s="143" t="n">
        <x:v>0</x:v>
      </x:c>
      <x:c r="J248" s="83" t="str">
        <x:v>GW</x:v>
      </x:c>
      <x:c r="K248" s="83" t="str">
        <x:v>Dato osservato storico</x:v>
      </x:c>
      <x:c r="L248" s="83" t="str">
        <x:v>S09</x:v>
      </x:c>
      <x:c r="M248" s="83" t="str">
        <x:v>Documento_Descrizione_Scenari_2024_8dce2430d44d101.pdf</x:v>
      </x:c>
      <x:c r="N248" s="83" t="n">
        <x:v>61</x:v>
      </x:c>
      <x:c r="O248" s="83" t="n">
        <x:v>59</x:v>
      </x:c>
      <x:c r="P248" s="83" t="str">
        <x:v>Tabella 15</x:v>
      </x:c>
      <x:c r="Q248" s="83" t="str">
        <x:v>Direct table extraction; visual/text verification</x:v>
      </x:c>
      <x:c r="R248" s="83" t="str">
        <x:v>A - Direct</x:v>
      </x:c>
      <x:c r="S248" s="83" t="str">
        <x:v>Zonal p_nom input after mapping to PyPSA carrier.</x:v>
      </x:c>
      <x:c r="T248" s="83" t="str">
        <x:v>Table source labels rows as Distribuito/Utility; standardized as onshore/offshore.</x:v>
      </x:c>
    </x:row>
    <x:row r="249">
      <x:c r="A249" s="83" t="str">
        <x:v>ZCAP-0245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Wind</x:v>
      </x:c>
      <x:c r="G249" s="83" t="str">
        <x:v>Eolico offshore</x:v>
      </x:c>
      <x:c r="H249" s="83" t="str">
        <x:v>Utility</x:v>
      </x:c>
      <x:c r="I249" s="143" t="n">
        <x:v>0.6</x:v>
      </x:c>
      <x:c r="J249" s="83" t="str">
        <x:v>GW</x:v>
      </x:c>
      <x:c r="K249" s="83" t="str">
        <x:v>Assunzione di scenario</x:v>
      </x:c>
      <x:c r="L249" s="83" t="str">
        <x:v>S09</x:v>
      </x:c>
      <x:c r="M249" s="83" t="str">
        <x:v>Documento_Descrizione_Scenari_2024_8dce2430d44d101.pdf</x:v>
      </x:c>
      <x:c r="N249" s="83" t="n">
        <x:v>61</x:v>
      </x:c>
      <x:c r="O249" s="83" t="n">
        <x:v>59</x:v>
      </x:c>
      <x:c r="P249" s="83" t="str">
        <x:v>Tabella 15</x:v>
      </x:c>
      <x:c r="Q249" s="83" t="str">
        <x:v>Direct table extraction; visual/text verification</x:v>
      </x:c>
      <x:c r="R249" s="83" t="str">
        <x:v>A - Direct</x:v>
      </x:c>
      <x:c r="S249" s="83" t="str">
        <x:v>Zonal p_nom input after mapping to PyPSA carrier.</x:v>
      </x:c>
      <x:c r="T249" s="83" t="str">
        <x:v>Table source labels rows as Distribuito/Utility; standardized as onshore/offshore.</x:v>
      </x:c>
    </x:row>
    <x:row r="250">
      <x:c r="A250" s="83" t="str">
        <x:v>ZCAP-0246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Wind</x:v>
      </x:c>
      <x:c r="G250" s="83" t="str">
        <x:v>Eolico offshore</x:v>
      </x:c>
      <x:c r="H250" s="83" t="str">
        <x:v>Utility</x:v>
      </x:c>
      <x:c r="I250" s="143" t="n">
        <x:v>0.3</x:v>
      </x:c>
      <x:c r="J250" s="83" t="str">
        <x:v>GW</x:v>
      </x:c>
      <x:c r="K250" s="83" t="str">
        <x:v>Assunzione di scenario</x:v>
      </x:c>
      <x:c r="L250" s="83" t="str">
        <x:v>S09</x:v>
      </x:c>
      <x:c r="M250" s="83" t="str">
        <x:v>Documento_Descrizione_Scenari_2024_8dce2430d44d101.pdf</x:v>
      </x:c>
      <x:c r="N250" s="83" t="n">
        <x:v>61</x:v>
      </x:c>
      <x:c r="O250" s="83" t="n">
        <x:v>59</x:v>
      </x:c>
      <x:c r="P250" s="83" t="str">
        <x:v>Tabella 15</x:v>
      </x:c>
      <x:c r="Q250" s="83" t="str">
        <x:v>Direct table extraction; visual/text verification</x:v>
      </x:c>
      <x:c r="R250" s="83" t="str">
        <x:v>A - Direct</x:v>
      </x:c>
      <x:c r="S250" s="83" t="str">
        <x:v>Zonal p_nom input after mapping to PyPSA carrier.</x:v>
      </x:c>
      <x:c r="T250" s="83" t="str">
        <x:v>Table source labels rows as Distribuito/Utility; standardized as onshore/offshore.</x:v>
      </x:c>
    </x:row>
    <x:row r="251">
      <x:c r="A251" s="83" t="str">
        <x:v>ZCAP-0247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Wind</x:v>
      </x:c>
      <x:c r="G251" s="83" t="str">
        <x:v>Eolico offshore</x:v>
      </x:c>
      <x:c r="H251" s="83" t="str">
        <x:v>Utility</x:v>
      </x:c>
      <x:c r="I251" s="143" t="n">
        <x:v>1.5</x:v>
      </x:c>
      <x:c r="J251" s="83" t="str">
        <x:v>GW</x:v>
      </x:c>
      <x:c r="K251" s="83" t="str">
        <x:v>Assunzione di scenario</x:v>
      </x:c>
      <x:c r="L251" s="83" t="str">
        <x:v>S09</x:v>
      </x:c>
      <x:c r="M251" s="83" t="str">
        <x:v>Documento_Descrizione_Scenari_2024_8dce2430d44d101.pdf</x:v>
      </x:c>
      <x:c r="N251" s="83" t="n">
        <x:v>61</x:v>
      </x:c>
      <x:c r="O251" s="83" t="n">
        <x:v>59</x:v>
      </x:c>
      <x:c r="P251" s="83" t="str">
        <x:v>Tabella 15</x:v>
      </x:c>
      <x:c r="Q251" s="83" t="str">
        <x:v>Direct table extraction; visual/text verification</x:v>
      </x:c>
      <x:c r="R251" s="83" t="str">
        <x:v>A - Direct</x:v>
      </x:c>
      <x:c r="S251" s="83" t="str">
        <x:v>Zonal p_nom input after mapping to PyPSA carrier.</x:v>
      </x:c>
      <x:c r="T251" s="83" t="str">
        <x:v>Table source labels rows as Distribuito/Utility; standardized as onshore/offshore.</x:v>
      </x:c>
    </x:row>
    <x:row r="252">
      <x:c r="A252" s="83" t="str">
        <x:v>ZCAP-0248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Wind</x:v>
      </x:c>
      <x:c r="G252" s="83" t="str">
        <x:v>Eolico offshore</x:v>
      </x:c>
      <x:c r="H252" s="83" t="str">
        <x:v>Utility</x:v>
      </x:c>
      <x:c r="I252" s="143" t="n">
        <x:v>1.3</x:v>
      </x:c>
      <x:c r="J252" s="83" t="str">
        <x:v>GW</x:v>
      </x:c>
      <x:c r="K252" s="83" t="str">
        <x:v>Assunzione di scenario</x:v>
      </x:c>
      <x:c r="L252" s="83" t="str">
        <x:v>S09</x:v>
      </x:c>
      <x:c r="M252" s="83" t="str">
        <x:v>Documento_Descrizione_Scenari_2024_8dce2430d44d101.pdf</x:v>
      </x:c>
      <x:c r="N252" s="83" t="n">
        <x:v>61</x:v>
      </x:c>
      <x:c r="O252" s="83" t="n">
        <x:v>59</x:v>
      </x:c>
      <x:c r="P252" s="83" t="str">
        <x:v>Tabella 15</x:v>
      </x:c>
      <x:c r="Q252" s="83" t="str">
        <x:v>Direct table extraction; visual/text verification</x:v>
      </x:c>
      <x:c r="R252" s="83" t="str">
        <x:v>A - Direct</x:v>
      </x:c>
      <x:c r="S252" s="83" t="str">
        <x:v>Zonal p_nom input after mapping to PyPSA carrier.</x:v>
      </x:c>
      <x:c r="T252" s="83" t="str">
        <x:v>Table source labels rows as Distribuito/Utility; standardized as onshore/offshore.</x:v>
      </x:c>
    </x:row>
    <x:row r="253">
      <x:c r="A253" s="83" t="str">
        <x:v>ZCAP-0249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Wind</x:v>
      </x:c>
      <x:c r="G253" s="83" t="str">
        <x:v>Eolico offshore</x:v>
      </x:c>
      <x:c r="H253" s="83" t="str">
        <x:v>Utility</x:v>
      </x:c>
      <x:c r="I253" s="143" t="n">
        <x:v>0.9</x:v>
      </x:c>
      <x:c r="J253" s="83" t="str">
        <x:v>GW</x:v>
      </x:c>
      <x:c r="K253" s="83" t="str">
        <x:v>Assunzione di scenario</x:v>
      </x:c>
      <x:c r="L253" s="83" t="str">
        <x:v>S09</x:v>
      </x:c>
      <x:c r="M253" s="83" t="str">
        <x:v>Documento_Descrizione_Scenari_2024_8dce2430d44d101.pdf</x:v>
      </x:c>
      <x:c r="N253" s="83" t="n">
        <x:v>61</x:v>
      </x:c>
      <x:c r="O253" s="83" t="n">
        <x:v>59</x:v>
      </x:c>
      <x:c r="P253" s="83" t="str">
        <x:v>Tabella 15</x:v>
      </x:c>
      <x:c r="Q253" s="83" t="str">
        <x:v>Direct table extraction; visual/text verification</x:v>
      </x:c>
      <x:c r="R253" s="83" t="str">
        <x:v>A - Direct</x:v>
      </x:c>
      <x:c r="S253" s="83" t="str">
        <x:v>Zonal p_nom input after mapping to PyPSA carrier.</x:v>
      </x:c>
      <x:c r="T253" s="83" t="str">
        <x:v>Table source labels rows as Distribuito/Utility; standardized as onshore/offshore.</x:v>
      </x:c>
    </x:row>
    <x:row r="254">
      <x:c r="A254" s="83" t="str">
        <x:v>ZCAP-0250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Wind</x:v>
      </x:c>
      <x:c r="G254" s="83" t="str">
        <x:v>Eolico offshore</x:v>
      </x:c>
      <x:c r="H254" s="83" t="str">
        <x:v>Utility</x:v>
      </x:c>
      <x:c r="I254" s="143" t="n">
        <x:v>3</x:v>
      </x:c>
      <x:c r="J254" s="83" t="str">
        <x:v>GW</x:v>
      </x:c>
      <x:c r="K254" s="83" t="str">
        <x:v>Assunzione di scenario</x:v>
      </x:c>
      <x:c r="L254" s="83" t="str">
        <x:v>S09</x:v>
      </x:c>
      <x:c r="M254" s="83" t="str">
        <x:v>Documento_Descrizione_Scenari_2024_8dce2430d44d101.pdf</x:v>
      </x:c>
      <x:c r="N254" s="83" t="n">
        <x:v>61</x:v>
      </x:c>
      <x:c r="O254" s="83" t="n">
        <x:v>59</x:v>
      </x:c>
      <x:c r="P254" s="83" t="str">
        <x:v>Tabella 15</x:v>
      </x:c>
      <x:c r="Q254" s="83" t="str">
        <x:v>Direct table extraction; visual/text verification</x:v>
      </x:c>
      <x:c r="R254" s="83" t="str">
        <x:v>A - Direct</x:v>
      </x:c>
      <x:c r="S254" s="83" t="str">
        <x:v>Zonal p_nom input after mapping to PyPSA carrier.</x:v>
      </x:c>
      <x:c r="T254" s="83" t="str">
        <x:v>Table source labels rows as Distribuito/Utility; standardized as onshore/offshore.</x:v>
      </x:c>
    </x:row>
    <x:row r="255">
      <x:c r="A255" s="83" t="str">
        <x:v>ZCAP-0251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Wind</x:v>
      </x:c>
      <x:c r="G255" s="83" t="str">
        <x:v>Eolico offshore</x:v>
      </x:c>
      <x:c r="H255" s="83" t="str">
        <x:v>Utility</x:v>
      </x:c>
      <x:c r="I255" s="143" t="n">
        <x:v>2.5</x:v>
      </x:c>
      <x:c r="J255" s="83" t="str">
        <x:v>GW</x:v>
      </x:c>
      <x:c r="K255" s="83" t="str">
        <x:v>Assunzione di scenario</x:v>
      </x:c>
      <x:c r="L255" s="83" t="str">
        <x:v>S09</x:v>
      </x:c>
      <x:c r="M255" s="83" t="str">
        <x:v>Documento_Descrizione_Scenari_2024_8dce2430d44d101.pdf</x:v>
      </x:c>
      <x:c r="N255" s="83" t="n">
        <x:v>61</x:v>
      </x:c>
      <x:c r="O255" s="83" t="n">
        <x:v>59</x:v>
      </x:c>
      <x:c r="P255" s="83" t="str">
        <x:v>Tabella 15</x:v>
      </x:c>
      <x:c r="Q255" s="83" t="str">
        <x:v>Direct table extraction; visual/text verification</x:v>
      </x:c>
      <x:c r="R255" s="83" t="str">
        <x:v>A - Direct</x:v>
      </x:c>
      <x:c r="S255" s="83" t="str">
        <x:v>Zonal p_nom input after mapping to PyPSA carrier.</x:v>
      </x:c>
      <x:c r="T255" s="83" t="str">
        <x:v>Table source labels rows as Distribuito/Utility; standardized as onshore/offshore.</x:v>
      </x:c>
    </x:row>
    <x:row r="256">
      <x:c r="A256" s="83" t="str">
        <x:v>ZCAP-0252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Wind</x:v>
      </x:c>
      <x:c r="G256" s="83" t="str">
        <x:v>Eolico offshore</x:v>
      </x:c>
      <x:c r="H256" s="83" t="str">
        <x:v>Utility</x:v>
      </x:c>
      <x:c r="I256" s="143" t="n">
        <x:v>2</x:v>
      </x:c>
      <x:c r="J256" s="83" t="str">
        <x:v>GW</x:v>
      </x:c>
      <x:c r="K256" s="83" t="str">
        <x:v>Assunzione di scenario</x:v>
      </x:c>
      <x:c r="L256" s="83" t="str">
        <x:v>S09</x:v>
      </x:c>
      <x:c r="M256" s="83" t="str">
        <x:v>Documento_Descrizione_Scenari_2024_8dce2430d44d101.pdf</x:v>
      </x:c>
      <x:c r="N256" s="83" t="n">
        <x:v>61</x:v>
      </x:c>
      <x:c r="O256" s="83" t="n">
        <x:v>59</x:v>
      </x:c>
      <x:c r="P256" s="83" t="str">
        <x:v>Tabella 15</x:v>
      </x:c>
      <x:c r="Q256" s="83" t="str">
        <x:v>Direct table extraction; visual/text verification</x:v>
      </x:c>
      <x:c r="R256" s="83" t="str">
        <x:v>A - Direct</x:v>
      </x:c>
      <x:c r="S256" s="83" t="str">
        <x:v>Zonal p_nom input after mapping to PyPSA carrier.</x:v>
      </x:c>
      <x:c r="T256" s="83" t="str">
        <x:v>Table source labels rows as Distribuito/Utility; standardized as onshore/offshore.</x:v>
      </x:c>
    </x:row>
  </x:sheetData>
  <x:mergeCells>
    <x:mergeCell ref="A1:T1"/>
    <x:mergeCell ref="A2:T2"/>
  </x:mergeCells>
  <x:conditionalFormatting sqref="R5:R256">
    <x:cfRule type="expression" dxfId="33" priority="1">
      <x:formula>LEFT(R5,1)="A"</x:formula>
    </x:cfRule>
    <x:cfRule type="expression" dxfId="34" priority="2">
      <x:formula>OR(LEFT(R5,1)="D",LEFT(R5,1)="E")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c5db3bb1c64bb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32" hidden="0" customWidth="1"/>
    <x:col min="10" max="10" width="14" hidden="0" customWidth="1"/>
    <x:col min="11" max="11" width="44" hidden="0" customWidth="1"/>
    <x:col min="12" max="12" width="12" hidden="0" customWidth="1"/>
    <x:col min="13" max="13" width="16" hidden="0" customWidth="1"/>
    <x:col min="14" max="14" width="20" hidden="0" customWidth="1"/>
    <x:col min="15" max="15" width="32" hidden="0" customWidth="1"/>
    <x:col min="16" max="16" width="18" hidden="0" customWidth="1"/>
    <x:col min="17" max="17" width="50" hidden="0" customWidth="1"/>
  </x:cols>
  <x:sheetData>
    <x:row r="1" ht="34" customHeight="1">
      <x:c r="A1" s="134" t="str">
        <x:v>Bilanci elettrici annuali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</x:row>
    <x:row r="2" ht="30" customHeight="1">
      <x:c r="A2" s="138" t="str">
        <x:v>195 righe; DDS 2023–2040 e Terna 2050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Tipo evidenza</x:v>
      </x:c>
      <x:c r="J4" s="142" t="str">
        <x:v>Fonte</x:v>
      </x:c>
      <x:c r="K4" s="142" t="str">
        <x:v>File fonte</x:v>
      </x:c>
      <x:c r="L4" s="142" t="str">
        <x:v>Pagina PDF</x:v>
      </x:c>
      <x:c r="M4" s="142" t="str">
        <x:v>Pagina stampata</x:v>
      </x:c>
      <x:c r="N4" s="142" t="str">
        <x:v>Tabella/Figura</x:v>
      </x:c>
      <x:c r="O4" s="142" t="str">
        <x:v>Metodo</x:v>
      </x:c>
      <x:c r="P4" s="142" t="str">
        <x:v>Affidabilità</x:v>
      </x:c>
      <x:c r="Q4" s="142" t="str">
        <x:v>Note</x:v>
      </x:c>
    </x:row>
    <x:row r="5">
      <x:c r="A5" s="83" t="str">
        <x:v>BAL-0001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Fabbisogno elettrico totale</x:v>
      </x:c>
      <x:c r="F5" s="143" t="n">
        <x:v>306</x:v>
      </x:c>
      <x:c r="G5" s="83" t="str">
        <x:v>TWh</x:v>
      </x:c>
      <x:c r="H5" s="83" t="str">
        <x:v>Italia</x:v>
      </x:c>
      <x:c r="I5" s="83" t="str">
        <x:v>Dato osservato storico</x:v>
      </x:c>
      <x:c r="J5" s="83" t="str">
        <x:v>S09</x:v>
      </x:c>
      <x:c r="K5" s="83" t="str">
        <x:v>Documento_Descrizione_Scenari_2024_8dce2430d44d101.pdf</x:v>
      </x:c>
      <x:c r="L5" s="83" t="n">
        <x:v>66</x:v>
      </x:c>
      <x:c r="M5" s="83" t="n">
        <x:v>64</x:v>
      </x:c>
      <x:c r="N5" s="83" t="str">
        <x:v>Tabella 18</x:v>
      </x:c>
      <x:c r="O5" s="83" t="str">
        <x:v>Direct table extraction</x:v>
      </x:c>
      <x:c r="P5" s="83" t="str">
        <x:v>A - Direct</x:v>
      </x:c>
      <x:c r="Q5" s="83" t="str"/>
    </x:row>
    <x:row r="6">
      <x:c r="A6" s="83" t="str">
        <x:v>BAL-0002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Fabbisogno elettrico totale</x:v>
      </x:c>
      <x:c r="F6" s="143" t="n">
        <x:v>362</x:v>
      </x:c>
      <x:c r="G6" s="83" t="str">
        <x:v>TWh</x:v>
      </x:c>
      <x:c r="H6" s="83" t="str">
        <x:v>Italia</x:v>
      </x:c>
      <x:c r="I6" s="83" t="str">
        <x:v>Risultato di modello della fonte</x:v>
      </x:c>
      <x:c r="J6" s="83" t="str">
        <x:v>S09</x:v>
      </x:c>
      <x:c r="K6" s="83" t="str">
        <x:v>Documento_Descrizione_Scenari_2024_8dce2430d44d101.pdf</x:v>
      </x:c>
      <x:c r="L6" s="83" t="n">
        <x:v>66</x:v>
      </x:c>
      <x:c r="M6" s="83" t="n">
        <x:v>64</x:v>
      </x:c>
      <x:c r="N6" s="83" t="str">
        <x:v>Tabella 18</x:v>
      </x:c>
      <x:c r="O6" s="83" t="str">
        <x:v>Direct table extraction</x:v>
      </x:c>
      <x:c r="P6" s="83" t="str">
        <x:v>A - Direct</x:v>
      </x:c>
      <x:c r="Q6" s="83" t="str"/>
    </x:row>
    <x:row r="7">
      <x:c r="A7" s="83" t="str">
        <x:v>BAL-0003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Fabbisogno elettrico totale</x:v>
      </x:c>
      <x:c r="F7" s="143" t="n">
        <x:v>347</x:v>
      </x:c>
      <x:c r="G7" s="83" t="str">
        <x:v>TWh</x:v>
      </x:c>
      <x:c r="H7" s="83" t="str">
        <x:v>Italia</x:v>
      </x:c>
      <x:c r="I7" s="83" t="str">
        <x:v>Risultato di modello della fonte</x:v>
      </x:c>
      <x:c r="J7" s="83" t="str">
        <x:v>S09</x:v>
      </x:c>
      <x:c r="K7" s="83" t="str">
        <x:v>Documento_Descrizione_Scenari_2024_8dce2430d44d101.pdf</x:v>
      </x:c>
      <x:c r="L7" s="83" t="n">
        <x:v>66</x:v>
      </x:c>
      <x:c r="M7" s="83" t="n">
        <x:v>64</x:v>
      </x:c>
      <x:c r="N7" s="83" t="str">
        <x:v>Tabella 18</x:v>
      </x:c>
      <x:c r="O7" s="83" t="str">
        <x:v>Direct table extraction</x:v>
      </x:c>
      <x:c r="P7" s="83" t="str">
        <x:v>A - Direct</x:v>
      </x:c>
      <x:c r="Q7" s="83" t="str"/>
    </x:row>
    <x:row r="8">
      <x:c r="A8" s="83" t="str">
        <x:v>BAL-0004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Fabbisogno elettrico totale</x:v>
      </x:c>
      <x:c r="F8" s="143" t="n">
        <x:v>397</x:v>
      </x:c>
      <x:c r="G8" s="83" t="str">
        <x:v>TWh</x:v>
      </x:c>
      <x:c r="H8" s="83" t="str">
        <x:v>Italia</x:v>
      </x:c>
      <x:c r="I8" s="83" t="str">
        <x:v>Risultato di modello della fonte</x:v>
      </x:c>
      <x:c r="J8" s="83" t="str">
        <x:v>S09</x:v>
      </x:c>
      <x:c r="K8" s="83" t="str">
        <x:v>Documento_Descrizione_Scenari_2024_8dce2430d44d101.pdf</x:v>
      </x:c>
      <x:c r="L8" s="83" t="n">
        <x:v>66</x:v>
      </x:c>
      <x:c r="M8" s="83" t="n">
        <x:v>64</x:v>
      </x:c>
      <x:c r="N8" s="83" t="str">
        <x:v>Tabella 18</x:v>
      </x:c>
      <x:c r="O8" s="83" t="str">
        <x:v>Direct table extraction</x:v>
      </x:c>
      <x:c r="P8" s="83" t="str">
        <x:v>A - Direct</x:v>
      </x:c>
      <x:c r="Q8" s="83" t="str"/>
    </x:row>
    <x:row r="9">
      <x:c r="A9" s="83" t="str">
        <x:v>BAL-0005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Fabbisogno elettrico totale</x:v>
      </x:c>
      <x:c r="F9" s="143" t="n">
        <x:v>385</x:v>
      </x:c>
      <x:c r="G9" s="83" t="str">
        <x:v>TWh</x:v>
      </x:c>
      <x:c r="H9" s="83" t="str">
        <x:v>Italia</x:v>
      </x:c>
      <x:c r="I9" s="83" t="str">
        <x:v>Risultato di modello della fonte</x:v>
      </x:c>
      <x:c r="J9" s="83" t="str">
        <x:v>S09</x:v>
      </x:c>
      <x:c r="K9" s="83" t="str">
        <x:v>Documento_Descrizione_Scenari_2024_8dce2430d44d101.pdf</x:v>
      </x:c>
      <x:c r="L9" s="83" t="n">
        <x:v>66</x:v>
      </x:c>
      <x:c r="M9" s="83" t="n">
        <x:v>64</x:v>
      </x:c>
      <x:c r="N9" s="83" t="str">
        <x:v>Tabella 18</x:v>
      </x:c>
      <x:c r="O9" s="83" t="str">
        <x:v>Direct table extraction</x:v>
      </x:c>
      <x:c r="P9" s="83" t="str">
        <x:v>A - Direct</x:v>
      </x:c>
      <x:c r="Q9" s="83" t="str"/>
    </x:row>
    <x:row r="10">
      <x:c r="A10" s="83" t="str">
        <x:v>BAL-0006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Fabbisogno elettrico totale</x:v>
      </x:c>
      <x:c r="F10" s="143" t="n">
        <x:v>376</x:v>
      </x:c>
      <x:c r="G10" s="83" t="str">
        <x:v>TWh</x:v>
      </x:c>
      <x:c r="H10" s="83" t="str">
        <x:v>Italia</x:v>
      </x:c>
      <x:c r="I10" s="83" t="str">
        <x:v>Risultato di modello della fonte</x:v>
      </x:c>
      <x:c r="J10" s="83" t="str">
        <x:v>S09</x:v>
      </x:c>
      <x:c r="K10" s="83" t="str">
        <x:v>Documento_Descrizione_Scenari_2024_8dce2430d44d101.pdf</x:v>
      </x:c>
      <x:c r="L10" s="83" t="n">
        <x:v>66</x:v>
      </x:c>
      <x:c r="M10" s="83" t="n">
        <x:v>64</x:v>
      </x:c>
      <x:c r="N10" s="83" t="str">
        <x:v>Tabella 18</x:v>
      </x:c>
      <x:c r="O10" s="83" t="str">
        <x:v>Direct table extraction</x:v>
      </x:c>
      <x:c r="P10" s="83" t="str">
        <x:v>A - Direct</x:v>
      </x:c>
      <x:c r="Q10" s="83" t="str"/>
    </x:row>
    <x:row r="11">
      <x:c r="A11" s="83" t="str">
        <x:v>BAL-0007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Fabbisogno elettrico totale</x:v>
      </x:c>
      <x:c r="F11" s="143" t="n">
        <x:v>439</x:v>
      </x:c>
      <x:c r="G11" s="83" t="str">
        <x:v>TWh</x:v>
      </x:c>
      <x:c r="H11" s="83" t="str">
        <x:v>Italia</x:v>
      </x:c>
      <x:c r="I11" s="83" t="str">
        <x:v>Risultato di modello della fonte</x:v>
      </x:c>
      <x:c r="J11" s="83" t="str">
        <x:v>S09</x:v>
      </x:c>
      <x:c r="K11" s="83" t="str">
        <x:v>Documento_Descrizione_Scenari_2024_8dce2430d44d101.pdf</x:v>
      </x:c>
      <x:c r="L11" s="83" t="n">
        <x:v>66</x:v>
      </x:c>
      <x:c r="M11" s="83" t="n">
        <x:v>64</x:v>
      </x:c>
      <x:c r="N11" s="83" t="str">
        <x:v>Tabella 18</x:v>
      </x:c>
      <x:c r="O11" s="83" t="str">
        <x:v>Direct table extraction</x:v>
      </x:c>
      <x:c r="P11" s="83" t="str">
        <x:v>A - Direct</x:v>
      </x:c>
      <x:c r="Q11" s="83" t="str"/>
    </x:row>
    <x:row r="12">
      <x:c r="A12" s="83" t="str">
        <x:v>BAL-0008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Fabbisogno elettrico totale</x:v>
      </x:c>
      <x:c r="F12" s="143" t="n">
        <x:v>415</x:v>
      </x:c>
      <x:c r="G12" s="83" t="str">
        <x:v>TWh</x:v>
      </x:c>
      <x:c r="H12" s="83" t="str">
        <x:v>Italia</x:v>
      </x:c>
      <x:c r="I12" s="83" t="str">
        <x:v>Risultato di modello della fonte</x:v>
      </x:c>
      <x:c r="J12" s="83" t="str">
        <x:v>S09</x:v>
      </x:c>
      <x:c r="K12" s="83" t="str">
        <x:v>Documento_Descrizione_Scenari_2024_8dce2430d44d101.pdf</x:v>
      </x:c>
      <x:c r="L12" s="83" t="n">
        <x:v>66</x:v>
      </x:c>
      <x:c r="M12" s="83" t="n">
        <x:v>64</x:v>
      </x:c>
      <x:c r="N12" s="83" t="str">
        <x:v>Tabella 18</x:v>
      </x:c>
      <x:c r="O12" s="83" t="str">
        <x:v>Direct table extraction</x:v>
      </x:c>
      <x:c r="P12" s="83" t="str">
        <x:v>A - Direct</x:v>
      </x:c>
      <x:c r="Q12" s="83" t="str"/>
    </x:row>
    <x:row r="13">
      <x:c r="A13" s="83" t="str">
        <x:v>BAL-0009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Fabbisogno elettrico totale</x:v>
      </x:c>
      <x:c r="F13" s="143" t="n">
        <x:v>404</x:v>
      </x:c>
      <x:c r="G13" s="83" t="str">
        <x:v>TWh</x:v>
      </x:c>
      <x:c r="H13" s="83" t="str">
        <x:v>Italia</x:v>
      </x:c>
      <x:c r="I13" s="83" t="str">
        <x:v>Risultato di modello della fonte</x:v>
      </x:c>
      <x:c r="J13" s="83" t="str">
        <x:v>S09</x:v>
      </x:c>
      <x:c r="K13" s="83" t="str">
        <x:v>Documento_Descrizione_Scenari_2024_8dce2430d44d101.pdf</x:v>
      </x:c>
      <x:c r="L13" s="83" t="n">
        <x:v>66</x:v>
      </x:c>
      <x:c r="M13" s="83" t="n">
        <x:v>64</x:v>
      </x:c>
      <x:c r="N13" s="83" t="str">
        <x:v>Tabella 18</x:v>
      </x:c>
      <x:c r="O13" s="83" t="str">
        <x:v>Direct table extraction</x:v>
      </x:c>
      <x:c r="P13" s="83" t="str">
        <x:v>A - Direct</x:v>
      </x:c>
      <x:c r="Q13" s="83" t="str"/>
    </x:row>
    <x:row r="14">
      <x:c r="A14" s="83" t="str">
        <x:v>BAL-0010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Fabbisogno elettrico puro</x:v>
      </x:c>
      <x:c r="F14" s="143" t="n">
        <x:v>306</x:v>
      </x:c>
      <x:c r="G14" s="83" t="str">
        <x:v>TWh</x:v>
      </x:c>
      <x:c r="H14" s="83" t="str">
        <x:v>Italia</x:v>
      </x:c>
      <x:c r="I14" s="83" t="str">
        <x:v>Dato osservato storico</x:v>
      </x:c>
      <x:c r="J14" s="83" t="str">
        <x:v>S09</x:v>
      </x:c>
      <x:c r="K14" s="83" t="str">
        <x:v>Documento_Descrizione_Scenari_2024_8dce2430d44d101.pdf</x:v>
      </x:c>
      <x:c r="L14" s="83" t="n">
        <x:v>66</x:v>
      </x:c>
      <x:c r="M14" s="83" t="n">
        <x:v>64</x:v>
      </x:c>
      <x:c r="N14" s="83" t="str">
        <x:v>Tabella 18</x:v>
      </x:c>
      <x:c r="O14" s="83" t="str">
        <x:v>Direct table extraction</x:v>
      </x:c>
      <x:c r="P14" s="83" t="str">
        <x:v>A - Direct</x:v>
      </x:c>
      <x:c r="Q14" s="83" t="str"/>
    </x:row>
    <x:row r="15">
      <x:c r="A15" s="83" t="str">
        <x:v>BAL-0011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Fabbisogno elettrico puro</x:v>
      </x:c>
      <x:c r="F15" s="143" t="n">
        <x:v>352</x:v>
      </x:c>
      <x:c r="G15" s="83" t="str">
        <x:v>TWh</x:v>
      </x:c>
      <x:c r="H15" s="83" t="str">
        <x:v>Italia</x:v>
      </x:c>
      <x:c r="I15" s="83" t="str">
        <x:v>Risultato di modello della fonte</x:v>
      </x:c>
      <x:c r="J15" s="83" t="str">
        <x:v>S09</x:v>
      </x:c>
      <x:c r="K15" s="83" t="str">
        <x:v>Documento_Descrizione_Scenari_2024_8dce2430d44d101.pdf</x:v>
      </x:c>
      <x:c r="L15" s="83" t="n">
        <x:v>66</x:v>
      </x:c>
      <x:c r="M15" s="83" t="n">
        <x:v>64</x:v>
      </x:c>
      <x:c r="N15" s="83" t="str">
        <x:v>Tabella 18</x:v>
      </x:c>
      <x:c r="O15" s="83" t="str">
        <x:v>Direct table extraction</x:v>
      </x:c>
      <x:c r="P15" s="83" t="str">
        <x:v>A - Direct</x:v>
      </x:c>
      <x:c r="Q15" s="83" t="str"/>
    </x:row>
    <x:row r="16">
      <x:c r="A16" s="83" t="str">
        <x:v>BAL-0012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Fabbisogno elettrico puro</x:v>
      </x:c>
      <x:c r="F16" s="143" t="n">
        <x:v>341</x:v>
      </x:c>
      <x:c r="G16" s="83" t="str">
        <x:v>TWh</x:v>
      </x:c>
      <x:c r="H16" s="83" t="str">
        <x:v>Italia</x:v>
      </x:c>
      <x:c r="I16" s="83" t="str">
        <x:v>Risultato di modello della fonte</x:v>
      </x:c>
      <x:c r="J16" s="83" t="str">
        <x:v>S09</x:v>
      </x:c>
      <x:c r="K16" s="83" t="str">
        <x:v>Documento_Descrizione_Scenari_2024_8dce2430d44d101.pdf</x:v>
      </x:c>
      <x:c r="L16" s="83" t="n">
        <x:v>66</x:v>
      </x:c>
      <x:c r="M16" s="83" t="n">
        <x:v>64</x:v>
      </x:c>
      <x:c r="N16" s="83" t="str">
        <x:v>Tabella 18</x:v>
      </x:c>
      <x:c r="O16" s="83" t="str">
        <x:v>Direct table extraction</x:v>
      </x:c>
      <x:c r="P16" s="83" t="str">
        <x:v>A - Direct</x:v>
      </x:c>
      <x:c r="Q16" s="83" t="str"/>
    </x:row>
    <x:row r="17">
      <x:c r="A17" s="83" t="str">
        <x:v>BAL-0013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Fabbisogno elettrico puro</x:v>
      </x:c>
      <x:c r="F17" s="143" t="n">
        <x:v>378</x:v>
      </x:c>
      <x:c r="G17" s="83" t="str">
        <x:v>TWh</x:v>
      </x:c>
      <x:c r="H17" s="83" t="str">
        <x:v>Italia</x:v>
      </x:c>
      <x:c r="I17" s="83" t="str">
        <x:v>Risultato di modello della fonte</x:v>
      </x:c>
      <x:c r="J17" s="83" t="str">
        <x:v>S09</x:v>
      </x:c>
      <x:c r="K17" s="83" t="str">
        <x:v>Documento_Descrizione_Scenari_2024_8dce2430d44d101.pdf</x:v>
      </x:c>
      <x:c r="L17" s="83" t="n">
        <x:v>66</x:v>
      </x:c>
      <x:c r="M17" s="83" t="n">
        <x:v>64</x:v>
      </x:c>
      <x:c r="N17" s="83" t="str">
        <x:v>Tabella 18</x:v>
      </x:c>
      <x:c r="O17" s="83" t="str">
        <x:v>Direct table extraction</x:v>
      </x:c>
      <x:c r="P17" s="83" t="str">
        <x:v>A - Direct</x:v>
      </x:c>
      <x:c r="Q17" s="83" t="str"/>
    </x:row>
    <x:row r="18">
      <x:c r="A18" s="83" t="str">
        <x:v>BAL-0014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Fabbisogno elettrico puro</x:v>
      </x:c>
      <x:c r="F18" s="143" t="n">
        <x:v>366</x:v>
      </x:c>
      <x:c r="G18" s="83" t="str">
        <x:v>TWh</x:v>
      </x:c>
      <x:c r="H18" s="83" t="str">
        <x:v>Italia</x:v>
      </x:c>
      <x:c r="I18" s="83" t="str">
        <x:v>Risultato di modello della fonte</x:v>
      </x:c>
      <x:c r="J18" s="83" t="str">
        <x:v>S09</x:v>
      </x:c>
      <x:c r="K18" s="83" t="str">
        <x:v>Documento_Descrizione_Scenari_2024_8dce2430d44d101.pdf</x:v>
      </x:c>
      <x:c r="L18" s="83" t="n">
        <x:v>66</x:v>
      </x:c>
      <x:c r="M18" s="83" t="n">
        <x:v>64</x:v>
      </x:c>
      <x:c r="N18" s="83" t="str">
        <x:v>Tabella 18</x:v>
      </x:c>
      <x:c r="O18" s="83" t="str">
        <x:v>Direct table extraction</x:v>
      </x:c>
      <x:c r="P18" s="83" t="str">
        <x:v>A - Direct</x:v>
      </x:c>
      <x:c r="Q18" s="83" t="str"/>
    </x:row>
    <x:row r="19">
      <x:c r="A19" s="83" t="str">
        <x:v>BAL-0015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Fabbisogno elettrico puro</x:v>
      </x:c>
      <x:c r="F19" s="143" t="n">
        <x:v>363</x:v>
      </x:c>
      <x:c r="G19" s="83" t="str">
        <x:v>TWh</x:v>
      </x:c>
      <x:c r="H19" s="83" t="str">
        <x:v>Italia</x:v>
      </x:c>
      <x:c r="I19" s="83" t="str">
        <x:v>Risultato di modello della fonte</x:v>
      </x:c>
      <x:c r="J19" s="83" t="str">
        <x:v>S09</x:v>
      </x:c>
      <x:c r="K19" s="83" t="str">
        <x:v>Documento_Descrizione_Scenari_2024_8dce2430d44d101.pdf</x:v>
      </x:c>
      <x:c r="L19" s="83" t="n">
        <x:v>66</x:v>
      </x:c>
      <x:c r="M19" s="83" t="n">
        <x:v>64</x:v>
      </x:c>
      <x:c r="N19" s="83" t="str">
        <x:v>Tabella 18</x:v>
      </x:c>
      <x:c r="O19" s="83" t="str">
        <x:v>Direct table extraction</x:v>
      </x:c>
      <x:c r="P19" s="83" t="str">
        <x:v>A - Direct</x:v>
      </x:c>
      <x:c r="Q19" s="83" t="str"/>
    </x:row>
    <x:row r="20">
      <x:c r="A20" s="83" t="str">
        <x:v>BAL-0016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Fabbisogno elettrico puro</x:v>
      </x:c>
      <x:c r="F20" s="143" t="n">
        <x:v>412</x:v>
      </x:c>
      <x:c r="G20" s="83" t="str">
        <x:v>TWh</x:v>
      </x:c>
      <x:c r="H20" s="83" t="str">
        <x:v>Italia</x:v>
      </x:c>
      <x:c r="I20" s="83" t="str">
        <x:v>Risultato di modello della fonte</x:v>
      </x:c>
      <x:c r="J20" s="83" t="str">
        <x:v>S09</x:v>
      </x:c>
      <x:c r="K20" s="83" t="str">
        <x:v>Documento_Descrizione_Scenari_2024_8dce2430d44d101.pdf</x:v>
      </x:c>
      <x:c r="L20" s="83" t="n">
        <x:v>66</x:v>
      </x:c>
      <x:c r="M20" s="83" t="n">
        <x:v>64</x:v>
      </x:c>
      <x:c r="N20" s="83" t="str">
        <x:v>Tabella 18</x:v>
      </x:c>
      <x:c r="O20" s="83" t="str">
        <x:v>Direct table extraction</x:v>
      </x:c>
      <x:c r="P20" s="83" t="str">
        <x:v>A - Direct</x:v>
      </x:c>
      <x:c r="Q20" s="83" t="str"/>
    </x:row>
    <x:row r="21">
      <x:c r="A21" s="83" t="str">
        <x:v>BAL-0017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Fabbisogno elettrico puro</x:v>
      </x:c>
      <x:c r="F21" s="143" t="n">
        <x:v>388</x:v>
      </x:c>
      <x:c r="G21" s="83" t="str">
        <x:v>TWh</x:v>
      </x:c>
      <x:c r="H21" s="83" t="str">
        <x:v>Italia</x:v>
      </x:c>
      <x:c r="I21" s="83" t="str">
        <x:v>Risultato di modello della fonte</x:v>
      </x:c>
      <x:c r="J21" s="83" t="str">
        <x:v>S09</x:v>
      </x:c>
      <x:c r="K21" s="83" t="str">
        <x:v>Documento_Descrizione_Scenari_2024_8dce2430d44d101.pdf</x:v>
      </x:c>
      <x:c r="L21" s="83" t="n">
        <x:v>66</x:v>
      </x:c>
      <x:c r="M21" s="83" t="n">
        <x:v>64</x:v>
      </x:c>
      <x:c r="N21" s="83" t="str">
        <x:v>Tabella 18</x:v>
      </x:c>
      <x:c r="O21" s="83" t="str">
        <x:v>Direct table extraction</x:v>
      </x:c>
      <x:c r="P21" s="83" t="str">
        <x:v>A - Direct</x:v>
      </x:c>
      <x:c r="Q21" s="83" t="str"/>
    </x:row>
    <x:row r="22">
      <x:c r="A22" s="83" t="str">
        <x:v>BAL-0018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Fabbisogno elettrico puro</x:v>
      </x:c>
      <x:c r="F22" s="143" t="n">
        <x:v>385</x:v>
      </x:c>
      <x:c r="G22" s="83" t="str">
        <x:v>TWh</x:v>
      </x:c>
      <x:c r="H22" s="83" t="str">
        <x:v>Italia</x:v>
      </x:c>
      <x:c r="I22" s="83" t="str">
        <x:v>Risultato di modello della fonte</x:v>
      </x:c>
      <x:c r="J22" s="83" t="str">
        <x:v>S09</x:v>
      </x:c>
      <x:c r="K22" s="83" t="str">
        <x:v>Documento_Descrizione_Scenari_2024_8dce2430d44d101.pdf</x:v>
      </x:c>
      <x:c r="L22" s="83" t="n">
        <x:v>66</x:v>
      </x:c>
      <x:c r="M22" s="83" t="n">
        <x:v>64</x:v>
      </x:c>
      <x:c r="N22" s="83" t="str">
        <x:v>Tabella 18</x:v>
      </x:c>
      <x:c r="O22" s="83" t="str">
        <x:v>Direct table extraction</x:v>
      </x:c>
      <x:c r="P22" s="83" t="str">
        <x:v>A - Direct</x:v>
      </x:c>
      <x:c r="Q22" s="83" t="str"/>
    </x:row>
    <x:row r="23">
      <x:c r="A23" s="83" t="str">
        <x:v>BAL-0019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Consumi elettrici per produzione H2</x:v>
      </x:c>
      <x:c r="F23" s="143" t="n">
        <x:v>0</x:v>
      </x:c>
      <x:c r="G23" s="83" t="str">
        <x:v>TWh</x:v>
      </x:c>
      <x:c r="H23" s="83" t="str">
        <x:v>Italia</x:v>
      </x:c>
      <x:c r="I23" s="83" t="str">
        <x:v>Dato osservato storico</x:v>
      </x:c>
      <x:c r="J23" s="83" t="str">
        <x:v>S09</x:v>
      </x:c>
      <x:c r="K23" s="83" t="str">
        <x:v>Documento_Descrizione_Scenari_2024_8dce2430d44d101.pdf</x:v>
      </x:c>
      <x:c r="L23" s="83" t="n">
        <x:v>66</x:v>
      </x:c>
      <x:c r="M23" s="83" t="n">
        <x:v>64</x:v>
      </x:c>
      <x:c r="N23" s="83" t="str">
        <x:v>Tabella 18</x:v>
      </x:c>
      <x:c r="O23" s="83" t="str">
        <x:v>Direct table extraction</x:v>
      </x:c>
      <x:c r="P23" s="83" t="str">
        <x:v>A - Direct</x:v>
      </x:c>
      <x:c r="Q23" s="83" t="str"/>
    </x:row>
    <x:row r="24">
      <x:c r="A24" s="83" t="str">
        <x:v>BAL-0020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Consumi elettrici per produzione H2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Risultato di modello della fonte</x:v>
      </x:c>
      <x:c r="J24" s="83" t="str">
        <x:v>S09</x:v>
      </x:c>
      <x:c r="K24" s="83" t="str">
        <x:v>Documento_Descrizione_Scenari_2024_8dce2430d44d101.pdf</x:v>
      </x:c>
      <x:c r="L24" s="83" t="n">
        <x:v>66</x:v>
      </x:c>
      <x:c r="M24" s="83" t="n">
        <x:v>64</x:v>
      </x:c>
      <x:c r="N24" s="83" t="str">
        <x:v>Tabella 18</x:v>
      </x:c>
      <x:c r="O24" s="83" t="str">
        <x:v>Direct table extraction</x:v>
      </x:c>
      <x:c r="P24" s="83" t="str">
        <x:v>A - Direct</x:v>
      </x:c>
      <x:c r="Q24" s="83" t="str"/>
    </x:row>
    <x:row r="25">
      <x:c r="A25" s="83" t="str">
        <x:v>BAL-0021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Consumi elettrici per produzione H2</x:v>
      </x:c>
      <x:c r="F25" s="143" t="n">
        <x:v>6</x:v>
      </x:c>
      <x:c r="G25" s="83" t="str">
        <x:v>TWh</x:v>
      </x:c>
      <x:c r="H25" s="83" t="str">
        <x:v>Italia</x:v>
      </x:c>
      <x:c r="I25" s="83" t="str">
        <x:v>Risultato di modello della fonte</x:v>
      </x:c>
      <x:c r="J25" s="83" t="str">
        <x:v>S09</x:v>
      </x:c>
      <x:c r="K25" s="83" t="str">
        <x:v>Documento_Descrizione_Scenari_2024_8dce2430d44d101.pdf</x:v>
      </x:c>
      <x:c r="L25" s="83" t="n">
        <x:v>66</x:v>
      </x:c>
      <x:c r="M25" s="83" t="n">
        <x:v>64</x:v>
      </x:c>
      <x:c r="N25" s="83" t="str">
        <x:v>Tabella 18</x:v>
      </x:c>
      <x:c r="O25" s="83" t="str">
        <x:v>Direct table extraction</x:v>
      </x:c>
      <x:c r="P25" s="83" t="str">
        <x:v>A - Direct</x:v>
      </x:c>
      <x:c r="Q25" s="83" t="str"/>
    </x:row>
    <x:row r="26">
      <x:c r="A26" s="83" t="str">
        <x:v>BAL-0022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Consumi elettrici per produzione H2</x:v>
      </x:c>
      <x:c r="F26" s="143" t="n">
        <x:v>19</x:v>
      </x:c>
      <x:c r="G26" s="83" t="str">
        <x:v>TWh</x:v>
      </x:c>
      <x:c r="H26" s="83" t="str">
        <x:v>Italia</x:v>
      </x:c>
      <x:c r="I26" s="83" t="str">
        <x:v>Risultato di modello della fonte</x:v>
      </x:c>
      <x:c r="J26" s="83" t="str">
        <x:v>S09</x:v>
      </x:c>
      <x:c r="K26" s="83" t="str">
        <x:v>Documento_Descrizione_Scenari_2024_8dce2430d44d101.pdf</x:v>
      </x:c>
      <x:c r="L26" s="83" t="n">
        <x:v>66</x:v>
      </x:c>
      <x:c r="M26" s="83" t="n">
        <x:v>64</x:v>
      </x:c>
      <x:c r="N26" s="83" t="str">
        <x:v>Tabella 18</x:v>
      </x:c>
      <x:c r="O26" s="83" t="str">
        <x:v>Direct table extraction</x:v>
      </x:c>
      <x:c r="P26" s="83" t="str">
        <x:v>A - Direct</x:v>
      </x:c>
      <x:c r="Q26" s="83" t="str"/>
    </x:row>
    <x:row r="27">
      <x:c r="A27" s="83" t="str">
        <x:v>BAL-0023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Consumi elettrici per produzione H2</x:v>
      </x:c>
      <x:c r="F27" s="143" t="n">
        <x:v>19</x:v>
      </x:c>
      <x:c r="G27" s="83" t="str">
        <x:v>TWh</x:v>
      </x:c>
      <x:c r="H27" s="83" t="str">
        <x:v>Italia</x:v>
      </x:c>
      <x:c r="I27" s="83" t="str">
        <x:v>Risultato di modello della fonte</x:v>
      </x:c>
      <x:c r="J27" s="83" t="str">
        <x:v>S09</x:v>
      </x:c>
      <x:c r="K27" s="83" t="str">
        <x:v>Documento_Descrizione_Scenari_2024_8dce2430d44d101.pdf</x:v>
      </x:c>
      <x:c r="L27" s="83" t="n">
        <x:v>66</x:v>
      </x:c>
      <x:c r="M27" s="83" t="n">
        <x:v>64</x:v>
      </x:c>
      <x:c r="N27" s="83" t="str">
        <x:v>Tabella 18</x:v>
      </x:c>
      <x:c r="O27" s="83" t="str">
        <x:v>Direct table extraction</x:v>
      </x:c>
      <x:c r="P27" s="83" t="str">
        <x:v>A - Direct</x:v>
      </x:c>
      <x:c r="Q27" s="83" t="str"/>
    </x:row>
    <x:row r="28">
      <x:c r="A28" s="83" t="str">
        <x:v>BAL-0024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Consumi elettrici per produzione H2</x:v>
      </x:c>
      <x:c r="F28" s="143" t="n">
        <x:v>13</x:v>
      </x:c>
      <x:c r="G28" s="83" t="str">
        <x:v>TWh</x:v>
      </x:c>
      <x:c r="H28" s="83" t="str">
        <x:v>Italia</x:v>
      </x:c>
      <x:c r="I28" s="83" t="str">
        <x:v>Risultato di modello della fonte</x:v>
      </x:c>
      <x:c r="J28" s="83" t="str">
        <x:v>S09</x:v>
      </x:c>
      <x:c r="K28" s="83" t="str">
        <x:v>Documento_Descrizione_Scenari_2024_8dce2430d44d101.pdf</x:v>
      </x:c>
      <x:c r="L28" s="83" t="n">
        <x:v>66</x:v>
      </x:c>
      <x:c r="M28" s="83" t="n">
        <x:v>64</x:v>
      </x:c>
      <x:c r="N28" s="83" t="str">
        <x:v>Tabella 18</x:v>
      </x:c>
      <x:c r="O28" s="83" t="str">
        <x:v>Direct table extraction</x:v>
      </x:c>
      <x:c r="P28" s="83" t="str">
        <x:v>A - Direct</x:v>
      </x:c>
      <x:c r="Q28" s="83" t="str"/>
    </x:row>
    <x:row r="29">
      <x:c r="A29" s="83" t="str">
        <x:v>BAL-0025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Consumi elettrici per produzione H2</x:v>
      </x:c>
      <x:c r="F29" s="143" t="n">
        <x:v>28</x:v>
      </x:c>
      <x:c r="G29" s="83" t="str">
        <x:v>TWh</x:v>
      </x:c>
      <x:c r="H29" s="83" t="str">
        <x:v>Italia</x:v>
      </x:c>
      <x:c r="I29" s="83" t="str">
        <x:v>Risultato di modello della fonte</x:v>
      </x:c>
      <x:c r="J29" s="83" t="str">
        <x:v>S09</x:v>
      </x:c>
      <x:c r="K29" s="83" t="str">
        <x:v>Documento_Descrizione_Scenari_2024_8dce2430d44d101.pdf</x:v>
      </x:c>
      <x:c r="L29" s="83" t="n">
        <x:v>66</x:v>
      </x:c>
      <x:c r="M29" s="83" t="n">
        <x:v>64</x:v>
      </x:c>
      <x:c r="N29" s="83" t="str">
        <x:v>Tabella 18</x:v>
      </x:c>
      <x:c r="O29" s="83" t="str">
        <x:v>Direct table extraction</x:v>
      </x:c>
      <x:c r="P29" s="83" t="str">
        <x:v>A - Direct</x:v>
      </x:c>
      <x:c r="Q29" s="83" t="str"/>
    </x:row>
    <x:row r="30">
      <x:c r="A30" s="83" t="str">
        <x:v>BAL-0026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Consumi elettrici per produzione H2</x:v>
      </x:c>
      <x:c r="F30" s="143" t="n">
        <x:v>28</x:v>
      </x:c>
      <x:c r="G30" s="83" t="str">
        <x:v>TWh</x:v>
      </x:c>
      <x:c r="H30" s="83" t="str">
        <x:v>Italia</x:v>
      </x:c>
      <x:c r="I30" s="83" t="str">
        <x:v>Risultato di modello della fonte</x:v>
      </x:c>
      <x:c r="J30" s="83" t="str">
        <x:v>S09</x:v>
      </x:c>
      <x:c r="K30" s="83" t="str">
        <x:v>Documento_Descrizione_Scenari_2024_8dce2430d44d101.pdf</x:v>
      </x:c>
      <x:c r="L30" s="83" t="n">
        <x:v>66</x:v>
      </x:c>
      <x:c r="M30" s="83" t="n">
        <x:v>64</x:v>
      </x:c>
      <x:c r="N30" s="83" t="str">
        <x:v>Tabella 18</x:v>
      </x:c>
      <x:c r="O30" s="83" t="str">
        <x:v>Direct table extraction</x:v>
      </x:c>
      <x:c r="P30" s="83" t="str">
        <x:v>A - Direct</x:v>
      </x:c>
      <x:c r="Q30" s="83" t="str"/>
    </x:row>
    <x:row r="31">
      <x:c r="A31" s="83" t="str">
        <x:v>BAL-0027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Consumi elettrici per produzione H2</x:v>
      </x:c>
      <x:c r="F31" s="143" t="n">
        <x:v>20</x:v>
      </x:c>
      <x:c r="G31" s="83" t="str">
        <x:v>TWh</x:v>
      </x:c>
      <x:c r="H31" s="83" t="str">
        <x:v>Italia</x:v>
      </x:c>
      <x:c r="I31" s="83" t="str">
        <x:v>Risultato di modello della fonte</x:v>
      </x:c>
      <x:c r="J31" s="83" t="str">
        <x:v>S09</x:v>
      </x:c>
      <x:c r="K31" s="83" t="str">
        <x:v>Documento_Descrizione_Scenari_2024_8dce2430d44d101.pdf</x:v>
      </x:c>
      <x:c r="L31" s="83" t="n">
        <x:v>66</x:v>
      </x:c>
      <x:c r="M31" s="83" t="n">
        <x:v>64</x:v>
      </x:c>
      <x:c r="N31" s="83" t="str">
        <x:v>Tabella 18</x:v>
      </x:c>
      <x:c r="O31" s="83" t="str">
        <x:v>Direct table extraction</x:v>
      </x:c>
      <x:c r="P31" s="83" t="str">
        <x:v>A - Direct</x:v>
      </x:c>
      <x:c r="Q31" s="83" t="str"/>
    </x:row>
    <x:row r="32">
      <x:c r="A32" s="83" t="str">
        <x:v>BAL-0028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Totale produzione nazionale</x:v>
      </x:c>
      <x:c r="F32" s="143" t="n">
        <x:v>256</x:v>
      </x:c>
      <x:c r="G32" s="83" t="str">
        <x:v>TWh</x:v>
      </x:c>
      <x:c r="H32" s="83" t="str">
        <x:v>Italia</x:v>
      </x:c>
      <x:c r="I32" s="83" t="str">
        <x:v>Dato osservato storico</x:v>
      </x:c>
      <x:c r="J32" s="83" t="str">
        <x:v>S09</x:v>
      </x:c>
      <x:c r="K32" s="83" t="str">
        <x:v>Documento_Descrizione_Scenari_2024_8dce2430d44d101.pdf</x:v>
      </x:c>
      <x:c r="L32" s="83" t="n">
        <x:v>66</x:v>
      </x:c>
      <x:c r="M32" s="83" t="n">
        <x:v>64</x:v>
      </x:c>
      <x:c r="N32" s="83" t="str">
        <x:v>Tabella 18</x:v>
      </x:c>
      <x:c r="O32" s="83" t="str">
        <x:v>Direct table extraction</x:v>
      </x:c>
      <x:c r="P32" s="83" t="str">
        <x:v>A - Direct</x:v>
      </x:c>
      <x:c r="Q32" s="83" t="str"/>
    </x:row>
    <x:row r="33">
      <x:c r="A33" s="83" t="str">
        <x:v>BAL-0029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Totale produzione nazionale</x:v>
      </x:c>
      <x:c r="F33" s="143" t="n">
        <x:v>322</x:v>
      </x:c>
      <x:c r="G33" s="83" t="str">
        <x:v>TWh</x:v>
      </x:c>
      <x:c r="H33" s="83" t="str">
        <x:v>Italia</x:v>
      </x:c>
      <x:c r="I33" s="83" t="str">
        <x:v>Risultato di modello della fonte</x:v>
      </x:c>
      <x:c r="J33" s="83" t="str">
        <x:v>S09</x:v>
      </x:c>
      <x:c r="K33" s="83" t="str">
        <x:v>Documento_Descrizione_Scenari_2024_8dce2430d44d101.pdf</x:v>
      </x:c>
      <x:c r="L33" s="83" t="n">
        <x:v>66</x:v>
      </x:c>
      <x:c r="M33" s="83" t="n">
        <x:v>64</x:v>
      </x:c>
      <x:c r="N33" s="83" t="str">
        <x:v>Tabella 18</x:v>
      </x:c>
      <x:c r="O33" s="83" t="str">
        <x:v>Direct table extraction</x:v>
      </x:c>
      <x:c r="P33" s="83" t="str">
        <x:v>A - Direct</x:v>
      </x:c>
      <x:c r="Q33" s="83" t="str"/>
    </x:row>
    <x:row r="34">
      <x:c r="A34" s="83" t="str">
        <x:v>BAL-0030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Totale produzione nazionale</x:v>
      </x:c>
      <x:c r="F34" s="143" t="n">
        <x:v>301</x:v>
      </x:c>
      <x:c r="G34" s="83" t="str">
        <x:v>TWh</x:v>
      </x:c>
      <x:c r="H34" s="83" t="str">
        <x:v>Italia</x:v>
      </x:c>
      <x:c r="I34" s="83" t="str">
        <x:v>Risultato di modello della fonte</x:v>
      </x:c>
      <x:c r="J34" s="83" t="str">
        <x:v>S09</x:v>
      </x:c>
      <x:c r="K34" s="83" t="str">
        <x:v>Documento_Descrizione_Scenari_2024_8dce2430d44d101.pdf</x:v>
      </x:c>
      <x:c r="L34" s="83" t="n">
        <x:v>66</x:v>
      </x:c>
      <x:c r="M34" s="83" t="n">
        <x:v>64</x:v>
      </x:c>
      <x:c r="N34" s="83" t="str">
        <x:v>Tabella 18</x:v>
      </x:c>
      <x:c r="O34" s="83" t="str">
        <x:v>Direct table extraction</x:v>
      </x:c>
      <x:c r="P34" s="83" t="str">
        <x:v>A - Direct</x:v>
      </x:c>
      <x:c r="Q34" s="83" t="str"/>
    </x:row>
    <x:row r="35">
      <x:c r="A35" s="83" t="str">
        <x:v>BAL-0031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Totale produzione nazionale</x:v>
      </x:c>
      <x:c r="F35" s="143" t="n">
        <x:v>358</x:v>
      </x:c>
      <x:c r="G35" s="83" t="str">
        <x:v>TWh</x:v>
      </x:c>
      <x:c r="H35" s="83" t="str">
        <x:v>Italia</x:v>
      </x:c>
      <x:c r="I35" s="83" t="str">
        <x:v>Risultato di modello della fonte</x:v>
      </x:c>
      <x:c r="J35" s="83" t="str">
        <x:v>S09</x:v>
      </x:c>
      <x:c r="K35" s="83" t="str">
        <x:v>Documento_Descrizione_Scenari_2024_8dce2430d44d101.pdf</x:v>
      </x:c>
      <x:c r="L35" s="83" t="n">
        <x:v>66</x:v>
      </x:c>
      <x:c r="M35" s="83" t="n">
        <x:v>64</x:v>
      </x:c>
      <x:c r="N35" s="83" t="str">
        <x:v>Tabella 18</x:v>
      </x:c>
      <x:c r="O35" s="83" t="str">
        <x:v>Direct table extraction</x:v>
      </x:c>
      <x:c r="P35" s="83" t="str">
        <x:v>A - Direct</x:v>
      </x:c>
      <x:c r="Q35" s="83" t="str"/>
    </x:row>
    <x:row r="36">
      <x:c r="A36" s="83" t="str">
        <x:v>BAL-0032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Totale produzione nazionale</x:v>
      </x:c>
      <x:c r="F36" s="143" t="n">
        <x:v>343</x:v>
      </x:c>
      <x:c r="G36" s="83" t="str">
        <x:v>TWh</x:v>
      </x:c>
      <x:c r="H36" s="83" t="str">
        <x:v>Italia</x:v>
      </x:c>
      <x:c r="I36" s="83" t="str">
        <x:v>Risultato di modello della fonte</x:v>
      </x:c>
      <x:c r="J36" s="83" t="str">
        <x:v>S09</x:v>
      </x:c>
      <x:c r="K36" s="83" t="str">
        <x:v>Documento_Descrizione_Scenari_2024_8dce2430d44d101.pdf</x:v>
      </x:c>
      <x:c r="L36" s="83" t="n">
        <x:v>66</x:v>
      </x:c>
      <x:c r="M36" s="83" t="n">
        <x:v>64</x:v>
      </x:c>
      <x:c r="N36" s="83" t="str">
        <x:v>Tabella 18</x:v>
      </x:c>
      <x:c r="O36" s="83" t="str">
        <x:v>Direct table extraction</x:v>
      </x:c>
      <x:c r="P36" s="83" t="str">
        <x:v>A - Direct</x:v>
      </x:c>
      <x:c r="Q36" s="83" t="str"/>
    </x:row>
    <x:row r="37">
      <x:c r="A37" s="83" t="str">
        <x:v>BAL-0033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Totale produzione nazionale</x:v>
      </x:c>
      <x:c r="F37" s="143" t="n">
        <x:v>330</x:v>
      </x:c>
      <x:c r="G37" s="83" t="str">
        <x:v>TWh</x:v>
      </x:c>
      <x:c r="H37" s="83" t="str">
        <x:v>Italia</x:v>
      </x:c>
      <x:c r="I37" s="83" t="str">
        <x:v>Risultato di modello della fonte</x:v>
      </x:c>
      <x:c r="J37" s="83" t="str">
        <x:v>S09</x:v>
      </x:c>
      <x:c r="K37" s="83" t="str">
        <x:v>Documento_Descrizione_Scenari_2024_8dce2430d44d101.pdf</x:v>
      </x:c>
      <x:c r="L37" s="83" t="n">
        <x:v>66</x:v>
      </x:c>
      <x:c r="M37" s="83" t="n">
        <x:v>64</x:v>
      </x:c>
      <x:c r="N37" s="83" t="str">
        <x:v>Tabella 18</x:v>
      </x:c>
      <x:c r="O37" s="83" t="str">
        <x:v>Direct table extraction</x:v>
      </x:c>
      <x:c r="P37" s="83" t="str">
        <x:v>A - Direct</x:v>
      </x:c>
      <x:c r="Q37" s="83" t="str"/>
    </x:row>
    <x:row r="38">
      <x:c r="A38" s="83" t="str">
        <x:v>BAL-0034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Totale produzione nazionale</x:v>
      </x:c>
      <x:c r="F38" s="143" t="n">
        <x:v>400</x:v>
      </x:c>
      <x:c r="G38" s="83" t="str">
        <x:v>TWh</x:v>
      </x:c>
      <x:c r="H38" s="83" t="str">
        <x:v>Italia</x:v>
      </x:c>
      <x:c r="I38" s="83" t="str">
        <x:v>Risultato di modello della fonte</x:v>
      </x:c>
      <x:c r="J38" s="83" t="str">
        <x:v>S09</x:v>
      </x:c>
      <x:c r="K38" s="83" t="str">
        <x:v>Documento_Descrizione_Scenari_2024_8dce2430d44d101.pdf</x:v>
      </x:c>
      <x:c r="L38" s="83" t="n">
        <x:v>66</x:v>
      </x:c>
      <x:c r="M38" s="83" t="n">
        <x:v>64</x:v>
      </x:c>
      <x:c r="N38" s="83" t="str">
        <x:v>Tabella 18</x:v>
      </x:c>
      <x:c r="O38" s="83" t="str">
        <x:v>Direct table extraction</x:v>
      </x:c>
      <x:c r="P38" s="83" t="str">
        <x:v>A - Direct</x:v>
      </x:c>
      <x:c r="Q38" s="83" t="str"/>
    </x:row>
    <x:row r="39">
      <x:c r="A39" s="83" t="str">
        <x:v>BAL-0035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Totale produzione nazionale</x:v>
      </x:c>
      <x:c r="F39" s="143" t="n">
        <x:v>377</x:v>
      </x:c>
      <x:c r="G39" s="83" t="str">
        <x:v>TWh</x:v>
      </x:c>
      <x:c r="H39" s="83" t="str">
        <x:v>Italia</x:v>
      </x:c>
      <x:c r="I39" s="83" t="str">
        <x:v>Risultato di modello della fonte</x:v>
      </x:c>
      <x:c r="J39" s="83" t="str">
        <x:v>S09</x:v>
      </x:c>
      <x:c r="K39" s="83" t="str">
        <x:v>Documento_Descrizione_Scenari_2024_8dce2430d44d101.pdf</x:v>
      </x:c>
      <x:c r="L39" s="83" t="n">
        <x:v>66</x:v>
      </x:c>
      <x:c r="M39" s="83" t="n">
        <x:v>64</x:v>
      </x:c>
      <x:c r="N39" s="83" t="str">
        <x:v>Tabella 18</x:v>
      </x:c>
      <x:c r="O39" s="83" t="str">
        <x:v>Direct table extraction</x:v>
      </x:c>
      <x:c r="P39" s="83" t="str">
        <x:v>A - Direct</x:v>
      </x:c>
      <x:c r="Q39" s="83" t="str"/>
    </x:row>
    <x:row r="40">
      <x:c r="A40" s="83" t="str">
        <x:v>BAL-0036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Totale produzione nazionale</x:v>
      </x:c>
      <x:c r="F40" s="143" t="n">
        <x:v>363</x:v>
      </x:c>
      <x:c r="G40" s="83" t="str">
        <x:v>TWh</x:v>
      </x:c>
      <x:c r="H40" s="83" t="str">
        <x:v>Italia</x:v>
      </x:c>
      <x:c r="I40" s="83" t="str">
        <x:v>Risultato di modello della fonte</x:v>
      </x:c>
      <x:c r="J40" s="83" t="str">
        <x:v>S09</x:v>
      </x:c>
      <x:c r="K40" s="83" t="str">
        <x:v>Documento_Descrizione_Scenari_2024_8dce2430d44d101.pdf</x:v>
      </x:c>
      <x:c r="L40" s="83" t="n">
        <x:v>66</x:v>
      </x:c>
      <x:c r="M40" s="83" t="n">
        <x:v>64</x:v>
      </x:c>
      <x:c r="N40" s="83" t="str">
        <x:v>Tabella 18</x:v>
      </x:c>
      <x:c r="O40" s="83" t="str">
        <x:v>Direct table extraction</x:v>
      </x:c>
      <x:c r="P40" s="83" t="str">
        <x:v>A - Direct</x:v>
      </x:c>
      <x:c r="Q40" s="83" t="str"/>
    </x:row>
    <x:row r="41">
      <x:c r="A41" s="83" t="str">
        <x:v>BAL-0037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Totale produzione FER</x:v>
      </x:c>
      <x:c r="F41" s="143" t="n">
        <x:v>113</x:v>
      </x:c>
      <x:c r="G41" s="83" t="str">
        <x:v>TWh</x:v>
      </x:c>
      <x:c r="H41" s="83" t="str">
        <x:v>Italia</x:v>
      </x:c>
      <x:c r="I41" s="83" t="str">
        <x:v>Dato osservato storico</x:v>
      </x:c>
      <x:c r="J41" s="83" t="str">
        <x:v>S09</x:v>
      </x:c>
      <x:c r="K41" s="83" t="str">
        <x:v>Documento_Descrizione_Scenari_2024_8dce2430d44d101.pdf</x:v>
      </x:c>
      <x:c r="L41" s="83" t="n">
        <x:v>66</x:v>
      </x:c>
      <x:c r="M41" s="83" t="n">
        <x:v>64</x:v>
      </x:c>
      <x:c r="N41" s="83" t="str">
        <x:v>Tabella 18</x:v>
      </x:c>
      <x:c r="O41" s="83" t="str">
        <x:v>Direct table extraction</x:v>
      </x:c>
      <x:c r="P41" s="83" t="str">
        <x:v>A - Direct</x:v>
      </x:c>
      <x:c r="Q41" s="83" t="str"/>
    </x:row>
    <x:row r="42">
      <x:c r="A42" s="83" t="str">
        <x:v>BAL-0038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Totale produzione FER</x:v>
      </x:c>
      <x:c r="F42" s="143" t="n">
        <x:v>227</x:v>
      </x:c>
      <x:c r="G42" s="83" t="str">
        <x:v>TWh</x:v>
      </x:c>
      <x:c r="H42" s="83" t="str">
        <x:v>Italia</x:v>
      </x:c>
      <x:c r="I42" s="83" t="str">
        <x:v>Risultato di modello della fonte</x:v>
      </x:c>
      <x:c r="J42" s="83" t="str">
        <x:v>S09</x:v>
      </x:c>
      <x:c r="K42" s="83" t="str">
        <x:v>Documento_Descrizione_Scenari_2024_8dce2430d44d101.pdf</x:v>
      </x:c>
      <x:c r="L42" s="83" t="n">
        <x:v>66</x:v>
      </x:c>
      <x:c r="M42" s="83" t="n">
        <x:v>64</x:v>
      </x:c>
      <x:c r="N42" s="83" t="str">
        <x:v>Tabella 18</x:v>
      </x:c>
      <x:c r="O42" s="83" t="str">
        <x:v>Direct table extraction</x:v>
      </x:c>
      <x:c r="P42" s="83" t="str">
        <x:v>A - Direct</x:v>
      </x:c>
      <x:c r="Q42" s="83" t="str"/>
    </x:row>
    <x:row r="43">
      <x:c r="A43" s="83" t="str">
        <x:v>BAL-0039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Totale produzione FER</x:v>
      </x:c>
      <x:c r="F43" s="143" t="n">
        <x:v>201</x:v>
      </x:c>
      <x:c r="G43" s="83" t="str">
        <x:v>TWh</x:v>
      </x:c>
      <x:c r="H43" s="83" t="str">
        <x:v>Italia</x:v>
      </x:c>
      <x:c r="I43" s="83" t="str">
        <x:v>Risultato di modello della fonte</x:v>
      </x:c>
      <x:c r="J43" s="83" t="str">
        <x:v>S09</x:v>
      </x:c>
      <x:c r="K43" s="83" t="str">
        <x:v>Documento_Descrizione_Scenari_2024_8dce2430d44d101.pdf</x:v>
      </x:c>
      <x:c r="L43" s="83" t="n">
        <x:v>66</x:v>
      </x:c>
      <x:c r="M43" s="83" t="n">
        <x:v>64</x:v>
      </x:c>
      <x:c r="N43" s="83" t="str">
        <x:v>Tabella 18</x:v>
      </x:c>
      <x:c r="O43" s="83" t="str">
        <x:v>Direct table extraction</x:v>
      </x:c>
      <x:c r="P43" s="83" t="str">
        <x:v>A - Direct</x:v>
      </x:c>
      <x:c r="Q43" s="83" t="str"/>
    </x:row>
    <x:row r="44">
      <x:c r="A44" s="83" t="str">
        <x:v>BAL-0040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Totale produzione FER</x:v>
      </x:c>
      <x:c r="F44" s="143" t="n">
        <x:v>276</x:v>
      </x:c>
      <x:c r="G44" s="83" t="str">
        <x:v>TWh</x:v>
      </x:c>
      <x:c r="H44" s="83" t="str">
        <x:v>Italia</x:v>
      </x:c>
      <x:c r="I44" s="83" t="str">
        <x:v>Risultato di modello della fonte</x:v>
      </x:c>
      <x:c r="J44" s="83" t="str">
        <x:v>S09</x:v>
      </x:c>
      <x:c r="K44" s="83" t="str">
        <x:v>Documento_Descrizione_Scenari_2024_8dce2430d44d101.pdf</x:v>
      </x:c>
      <x:c r="L44" s="83" t="n">
        <x:v>66</x:v>
      </x:c>
      <x:c r="M44" s="83" t="n">
        <x:v>64</x:v>
      </x:c>
      <x:c r="N44" s="83" t="str">
        <x:v>Tabella 18</x:v>
      </x:c>
      <x:c r="O44" s="83" t="str">
        <x:v>Direct table extraction</x:v>
      </x:c>
      <x:c r="P44" s="83" t="str">
        <x:v>A - Direct</x:v>
      </x:c>
      <x:c r="Q44" s="83" t="str"/>
    </x:row>
    <x:row r="45">
      <x:c r="A45" s="83" t="str">
        <x:v>BAL-0041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Totale produzione FER</x:v>
      </x:c>
      <x:c r="F45" s="143" t="n">
        <x:v>259</x:v>
      </x:c>
      <x:c r="G45" s="83" t="str">
        <x:v>TWh</x:v>
      </x:c>
      <x:c r="H45" s="83" t="str">
        <x:v>Italia</x:v>
      </x:c>
      <x:c r="I45" s="83" t="str">
        <x:v>Risultato di modello della fonte</x:v>
      </x:c>
      <x:c r="J45" s="83" t="str">
        <x:v>S09</x:v>
      </x:c>
      <x:c r="K45" s="83" t="str">
        <x:v>Documento_Descrizione_Scenari_2024_8dce2430d44d101.pdf</x:v>
      </x:c>
      <x:c r="L45" s="83" t="n">
        <x:v>66</x:v>
      </x:c>
      <x:c r="M45" s="83" t="n">
        <x:v>64</x:v>
      </x:c>
      <x:c r="N45" s="83" t="str">
        <x:v>Tabella 18</x:v>
      </x:c>
      <x:c r="O45" s="83" t="str">
        <x:v>Direct table extraction</x:v>
      </x:c>
      <x:c r="P45" s="83" t="str">
        <x:v>A - Direct</x:v>
      </x:c>
      <x:c r="Q45" s="83" t="str"/>
    </x:row>
    <x:row r="46">
      <x:c r="A46" s="83" t="str">
        <x:v>BAL-0042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Totale produzione FER</x:v>
      </x:c>
      <x:c r="F46" s="143" t="n">
        <x:v>241</x:v>
      </x:c>
      <x:c r="G46" s="83" t="str">
        <x:v>TWh</x:v>
      </x:c>
      <x:c r="H46" s="83" t="str">
        <x:v>Italia</x:v>
      </x:c>
      <x:c r="I46" s="83" t="str">
        <x:v>Risultato di modello della fonte</x:v>
      </x:c>
      <x:c r="J46" s="83" t="str">
        <x:v>S09</x:v>
      </x:c>
      <x:c r="K46" s="83" t="str">
        <x:v>Documento_Descrizione_Scenari_2024_8dce2430d44d101.pdf</x:v>
      </x:c>
      <x:c r="L46" s="83" t="n">
        <x:v>66</x:v>
      </x:c>
      <x:c r="M46" s="83" t="n">
        <x:v>64</x:v>
      </x:c>
      <x:c r="N46" s="83" t="str">
        <x:v>Tabella 18</x:v>
      </x:c>
      <x:c r="O46" s="83" t="str">
        <x:v>Direct table extraction</x:v>
      </x:c>
      <x:c r="P46" s="83" t="str">
        <x:v>A - Direct</x:v>
      </x:c>
      <x:c r="Q46" s="83" t="str"/>
    </x:row>
    <x:row r="47">
      <x:c r="A47" s="83" t="str">
        <x:v>BAL-0043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Totale produzione FER</x:v>
      </x:c>
      <x:c r="F47" s="143" t="n">
        <x:v>336</x:v>
      </x:c>
      <x:c r="G47" s="83" t="str">
        <x:v>TWh</x:v>
      </x:c>
      <x:c r="H47" s="83" t="str">
        <x:v>Italia</x:v>
      </x:c>
      <x:c r="I47" s="83" t="str">
        <x:v>Risultato di modello della fonte</x:v>
      </x:c>
      <x:c r="J47" s="83" t="str">
        <x:v>S09</x:v>
      </x:c>
      <x:c r="K47" s="83" t="str">
        <x:v>Documento_Descrizione_Scenari_2024_8dce2430d44d101.pdf</x:v>
      </x:c>
      <x:c r="L47" s="83" t="n">
        <x:v>66</x:v>
      </x:c>
      <x:c r="M47" s="83" t="n">
        <x:v>64</x:v>
      </x:c>
      <x:c r="N47" s="83" t="str">
        <x:v>Tabella 18</x:v>
      </x:c>
      <x:c r="O47" s="83" t="str">
        <x:v>Direct table extraction</x:v>
      </x:c>
      <x:c r="P47" s="83" t="str">
        <x:v>A - Direct</x:v>
      </x:c>
      <x:c r="Q47" s="83" t="str"/>
    </x:row>
    <x:row r="48">
      <x:c r="A48" s="83" t="str">
        <x:v>BAL-0044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Totale produzione FER</x:v>
      </x:c>
      <x:c r="F48" s="143" t="n">
        <x:v>309</x:v>
      </x:c>
      <x:c r="G48" s="83" t="str">
        <x:v>TWh</x:v>
      </x:c>
      <x:c r="H48" s="83" t="str">
        <x:v>Italia</x:v>
      </x:c>
      <x:c r="I48" s="83" t="str">
        <x:v>Risultato di modello della fonte</x:v>
      </x:c>
      <x:c r="J48" s="83" t="str">
        <x:v>S09</x:v>
      </x:c>
      <x:c r="K48" s="83" t="str">
        <x:v>Documento_Descrizione_Scenari_2024_8dce2430d44d101.pdf</x:v>
      </x:c>
      <x:c r="L48" s="83" t="n">
        <x:v>66</x:v>
      </x:c>
      <x:c r="M48" s="83" t="n">
        <x:v>64</x:v>
      </x:c>
      <x:c r="N48" s="83" t="str">
        <x:v>Tabella 18</x:v>
      </x:c>
      <x:c r="O48" s="83" t="str">
        <x:v>Direct table extraction</x:v>
      </x:c>
      <x:c r="P48" s="83" t="str">
        <x:v>A - Direct</x:v>
      </x:c>
      <x:c r="Q48" s="83" t="str"/>
    </x:row>
    <x:row r="49">
      <x:c r="A49" s="83" t="str">
        <x:v>BAL-0045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Totale produzione FER</x:v>
      </x:c>
      <x:c r="F49" s="143" t="n">
        <x:v>293</x:v>
      </x:c>
      <x:c r="G49" s="83" t="str">
        <x:v>TWh</x:v>
      </x:c>
      <x:c r="H49" s="83" t="str">
        <x:v>Italia</x:v>
      </x:c>
      <x:c r="I49" s="83" t="str">
        <x:v>Risultato di modello della fonte</x:v>
      </x:c>
      <x:c r="J49" s="83" t="str">
        <x:v>S09</x:v>
      </x:c>
      <x:c r="K49" s="83" t="str">
        <x:v>Documento_Descrizione_Scenari_2024_8dce2430d44d101.pdf</x:v>
      </x:c>
      <x:c r="L49" s="83" t="n">
        <x:v>66</x:v>
      </x:c>
      <x:c r="M49" s="83" t="n">
        <x:v>64</x:v>
      </x:c>
      <x:c r="N49" s="83" t="str">
        <x:v>Tabella 18</x:v>
      </x:c>
      <x:c r="O49" s="83" t="str">
        <x:v>Direct table extraction</x:v>
      </x:c>
      <x:c r="P49" s="83" t="str">
        <x:v>A - Direct</x:v>
      </x:c>
      <x:c r="Q49" s="83" t="str"/>
    </x:row>
    <x:row r="50">
      <x:c r="A50" s="83" t="str">
        <x:v>BAL-0046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Idroelettrico</x:v>
      </x:c>
      <x:c r="F50" s="143" t="n">
        <x:v>38</x:v>
      </x:c>
      <x:c r="G50" s="83" t="str">
        <x:v>TWh</x:v>
      </x:c>
      <x:c r="H50" s="83" t="str">
        <x:v>Italia</x:v>
      </x:c>
      <x:c r="I50" s="83" t="str">
        <x:v>Dato osservato storico</x:v>
      </x:c>
      <x:c r="J50" s="83" t="str">
        <x:v>S09</x:v>
      </x:c>
      <x:c r="K50" s="83" t="str">
        <x:v>Documento_Descrizione_Scenari_2024_8dce2430d44d101.pdf</x:v>
      </x:c>
      <x:c r="L50" s="83" t="n">
        <x:v>66</x:v>
      </x:c>
      <x:c r="M50" s="83" t="n">
        <x:v>64</x:v>
      </x:c>
      <x:c r="N50" s="83" t="str">
        <x:v>Tabella 18</x:v>
      </x:c>
      <x:c r="O50" s="83" t="str">
        <x:v>Direct table extraction</x:v>
      </x:c>
      <x:c r="P50" s="83" t="str">
        <x:v>A - Direct</x:v>
      </x:c>
      <x:c r="Q50" s="83" t="str"/>
    </x:row>
    <x:row r="51">
      <x:c r="A51" s="83" t="str">
        <x:v>BAL-0047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Idroelettrico</x:v>
      </x:c>
      <x:c r="F51" s="143" t="n">
        <x:v>46</x:v>
      </x:c>
      <x:c r="G51" s="83" t="str">
        <x:v>TWh</x:v>
      </x:c>
      <x:c r="H51" s="83" t="str">
        <x:v>Italia</x:v>
      </x:c>
      <x:c r="I51" s="83" t="str">
        <x:v>Risultato di modello della fonte</x:v>
      </x:c>
      <x:c r="J51" s="83" t="str">
        <x:v>S09</x:v>
      </x:c>
      <x:c r="K51" s="83" t="str">
        <x:v>Documento_Descrizione_Scenari_2024_8dce2430d44d101.pdf</x:v>
      </x:c>
      <x:c r="L51" s="83" t="n">
        <x:v>66</x:v>
      </x:c>
      <x:c r="M51" s="83" t="n">
        <x:v>64</x:v>
      </x:c>
      <x:c r="N51" s="83" t="str">
        <x:v>Tabella 18</x:v>
      </x:c>
      <x:c r="O51" s="83" t="str">
        <x:v>Direct table extraction</x:v>
      </x:c>
      <x:c r="P51" s="83" t="str">
        <x:v>A - Direct</x:v>
      </x:c>
      <x:c r="Q51" s="83" t="str"/>
    </x:row>
    <x:row r="52">
      <x:c r="A52" s="83" t="str">
        <x:v>BAL-0048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Idroelettrico</x:v>
      </x:c>
      <x:c r="F52" s="143" t="n">
        <x:v>46</x:v>
      </x:c>
      <x:c r="G52" s="83" t="str">
        <x:v>TWh</x:v>
      </x:c>
      <x:c r="H52" s="83" t="str">
        <x:v>Italia</x:v>
      </x:c>
      <x:c r="I52" s="83" t="str">
        <x:v>Risultato di modello della fonte</x:v>
      </x:c>
      <x:c r="J52" s="83" t="str">
        <x:v>S09</x:v>
      </x:c>
      <x:c r="K52" s="83" t="str">
        <x:v>Documento_Descrizione_Scenari_2024_8dce2430d44d101.pdf</x:v>
      </x:c>
      <x:c r="L52" s="83" t="n">
        <x:v>66</x:v>
      </x:c>
      <x:c r="M52" s="83" t="n">
        <x:v>64</x:v>
      </x:c>
      <x:c r="N52" s="83" t="str">
        <x:v>Tabella 18</x:v>
      </x:c>
      <x:c r="O52" s="83" t="str">
        <x:v>Direct table extraction</x:v>
      </x:c>
      <x:c r="P52" s="83" t="str">
        <x:v>A - Direct</x:v>
      </x:c>
      <x:c r="Q52" s="83" t="str"/>
    </x:row>
    <x:row r="53">
      <x:c r="A53" s="83" t="str">
        <x:v>BAL-0049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Idroelettrico</x:v>
      </x:c>
      <x:c r="F53" s="143" t="n">
        <x:v>46</x:v>
      </x:c>
      <x:c r="G53" s="83" t="str">
        <x:v>TWh</x:v>
      </x:c>
      <x:c r="H53" s="83" t="str">
        <x:v>Italia</x:v>
      </x:c>
      <x:c r="I53" s="83" t="str">
        <x:v>Risultato di modello della fonte</x:v>
      </x:c>
      <x:c r="J53" s="83" t="str">
        <x:v>S09</x:v>
      </x:c>
      <x:c r="K53" s="83" t="str">
        <x:v>Documento_Descrizione_Scenari_2024_8dce2430d44d101.pdf</x:v>
      </x:c>
      <x:c r="L53" s="83" t="n">
        <x:v>66</x:v>
      </x:c>
      <x:c r="M53" s="83" t="n">
        <x:v>64</x:v>
      </x:c>
      <x:c r="N53" s="83" t="str">
        <x:v>Tabella 18</x:v>
      </x:c>
      <x:c r="O53" s="83" t="str">
        <x:v>Direct table extraction</x:v>
      </x:c>
      <x:c r="P53" s="83" t="str">
        <x:v>A - Direct</x:v>
      </x:c>
      <x:c r="Q53" s="83" t="str"/>
    </x:row>
    <x:row r="54">
      <x:c r="A54" s="83" t="str">
        <x:v>BAL-0050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Idroelettrico</x:v>
      </x:c>
      <x:c r="F54" s="143" t="n">
        <x:v>46</x:v>
      </x:c>
      <x:c r="G54" s="83" t="str">
        <x:v>TWh</x:v>
      </x:c>
      <x:c r="H54" s="83" t="str">
        <x:v>Italia</x:v>
      </x:c>
      <x:c r="I54" s="83" t="str">
        <x:v>Risultato di modello della fonte</x:v>
      </x:c>
      <x:c r="J54" s="83" t="str">
        <x:v>S09</x:v>
      </x:c>
      <x:c r="K54" s="83" t="str">
        <x:v>Documento_Descrizione_Scenari_2024_8dce2430d44d101.pdf</x:v>
      </x:c>
      <x:c r="L54" s="83" t="n">
        <x:v>66</x:v>
      </x:c>
      <x:c r="M54" s="83" t="n">
        <x:v>64</x:v>
      </x:c>
      <x:c r="N54" s="83" t="str">
        <x:v>Tabella 18</x:v>
      </x:c>
      <x:c r="O54" s="83" t="str">
        <x:v>Direct table extraction</x:v>
      </x:c>
      <x:c r="P54" s="83" t="str">
        <x:v>A - Direct</x:v>
      </x:c>
      <x:c r="Q54" s="83" t="str"/>
    </x:row>
    <x:row r="55">
      <x:c r="A55" s="83" t="str">
        <x:v>BAL-0051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Idroelettrico</x:v>
      </x:c>
      <x:c r="F55" s="143" t="n">
        <x:v>46</x:v>
      </x:c>
      <x:c r="G55" s="83" t="str">
        <x:v>TWh</x:v>
      </x:c>
      <x:c r="H55" s="83" t="str">
        <x:v>Italia</x:v>
      </x:c>
      <x:c r="I55" s="83" t="str">
        <x:v>Risultato di modello della fonte</x:v>
      </x:c>
      <x:c r="J55" s="83" t="str">
        <x:v>S09</x:v>
      </x:c>
      <x:c r="K55" s="83" t="str">
        <x:v>Documento_Descrizione_Scenari_2024_8dce2430d44d101.pdf</x:v>
      </x:c>
      <x:c r="L55" s="83" t="n">
        <x:v>66</x:v>
      </x:c>
      <x:c r="M55" s="83" t="n">
        <x:v>64</x:v>
      </x:c>
      <x:c r="N55" s="83" t="str">
        <x:v>Tabella 18</x:v>
      </x:c>
      <x:c r="O55" s="83" t="str">
        <x:v>Direct table extraction</x:v>
      </x:c>
      <x:c r="P55" s="83" t="str">
        <x:v>A - Direct</x:v>
      </x:c>
      <x:c r="Q55" s="83" t="str"/>
    </x:row>
    <x:row r="56">
      <x:c r="A56" s="83" t="str">
        <x:v>BAL-0052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Idroelettrico</x:v>
      </x:c>
      <x:c r="F56" s="143" t="n">
        <x:v>46</x:v>
      </x:c>
      <x:c r="G56" s="83" t="str">
        <x:v>TWh</x:v>
      </x:c>
      <x:c r="H56" s="83" t="str">
        <x:v>Italia</x:v>
      </x:c>
      <x:c r="I56" s="83" t="str">
        <x:v>Risultato di modello della fonte</x:v>
      </x:c>
      <x:c r="J56" s="83" t="str">
        <x:v>S09</x:v>
      </x:c>
      <x:c r="K56" s="83" t="str">
        <x:v>Documento_Descrizione_Scenari_2024_8dce2430d44d101.pdf</x:v>
      </x:c>
      <x:c r="L56" s="83" t="n">
        <x:v>66</x:v>
      </x:c>
      <x:c r="M56" s="83" t="n">
        <x:v>64</x:v>
      </x:c>
      <x:c r="N56" s="83" t="str">
        <x:v>Tabella 18</x:v>
      </x:c>
      <x:c r="O56" s="83" t="str">
        <x:v>Direct table extraction</x:v>
      </x:c>
      <x:c r="P56" s="83" t="str">
        <x:v>A - Direct</x:v>
      </x:c>
      <x:c r="Q56" s="83" t="str"/>
    </x:row>
    <x:row r="57">
      <x:c r="A57" s="83" t="str">
        <x:v>BAL-0053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Idroelettrico</x:v>
      </x:c>
      <x:c r="F57" s="143" t="n">
        <x:v>46</x:v>
      </x:c>
      <x:c r="G57" s="83" t="str">
        <x:v>TWh</x:v>
      </x:c>
      <x:c r="H57" s="83" t="str">
        <x:v>Italia</x:v>
      </x:c>
      <x:c r="I57" s="83" t="str">
        <x:v>Risultato di modello della fonte</x:v>
      </x:c>
      <x:c r="J57" s="83" t="str">
        <x:v>S09</x:v>
      </x:c>
      <x:c r="K57" s="83" t="str">
        <x:v>Documento_Descrizione_Scenari_2024_8dce2430d44d101.pdf</x:v>
      </x:c>
      <x:c r="L57" s="83" t="n">
        <x:v>66</x:v>
      </x:c>
      <x:c r="M57" s="83" t="n">
        <x:v>64</x:v>
      </x:c>
      <x:c r="N57" s="83" t="str">
        <x:v>Tabella 18</x:v>
      </x:c>
      <x:c r="O57" s="83" t="str">
        <x:v>Direct table extraction</x:v>
      </x:c>
      <x:c r="P57" s="83" t="str">
        <x:v>A - Direct</x:v>
      </x:c>
      <x:c r="Q57" s="83" t="str"/>
    </x:row>
    <x:row r="58">
      <x:c r="A58" s="83" t="str">
        <x:v>BAL-0054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Idroelettrico</x:v>
      </x:c>
      <x:c r="F58" s="143" t="n">
        <x:v>46</x:v>
      </x:c>
      <x:c r="G58" s="83" t="str">
        <x:v>TWh</x:v>
      </x:c>
      <x:c r="H58" s="83" t="str">
        <x:v>Italia</x:v>
      </x:c>
      <x:c r="I58" s="83" t="str">
        <x:v>Risultato di modello della fonte</x:v>
      </x:c>
      <x:c r="J58" s="83" t="str">
        <x:v>S09</x:v>
      </x:c>
      <x:c r="K58" s="83" t="str">
        <x:v>Documento_Descrizione_Scenari_2024_8dce2430d44d101.pdf</x:v>
      </x:c>
      <x:c r="L58" s="83" t="n">
        <x:v>66</x:v>
      </x:c>
      <x:c r="M58" s="83" t="n">
        <x:v>64</x:v>
      </x:c>
      <x:c r="N58" s="83" t="str">
        <x:v>Tabella 18</x:v>
      </x:c>
      <x:c r="O58" s="83" t="str">
        <x:v>Direct table extraction</x:v>
      </x:c>
      <x:c r="P58" s="83" t="str">
        <x:v>A - Direct</x:v>
      </x:c>
      <x:c r="Q58" s="83" t="str"/>
    </x:row>
    <x:row r="59">
      <x:c r="A59" s="83" t="str">
        <x:v>BAL-0055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Solare</x:v>
      </x:c>
      <x:c r="F59" s="143" t="n">
        <x:v>31</x:v>
      </x:c>
      <x:c r="G59" s="83" t="str">
        <x:v>TWh</x:v>
      </x:c>
      <x:c r="H59" s="83" t="str">
        <x:v>Italia</x:v>
      </x:c>
      <x:c r="I59" s="83" t="str">
        <x:v>Dato osservato storico</x:v>
      </x:c>
      <x:c r="J59" s="83" t="str">
        <x:v>S09</x:v>
      </x:c>
      <x:c r="K59" s="83" t="str">
        <x:v>Documento_Descrizione_Scenari_2024_8dce2430d44d101.pdf</x:v>
      </x:c>
      <x:c r="L59" s="83" t="n">
        <x:v>66</x:v>
      </x:c>
      <x:c r="M59" s="83" t="n">
        <x:v>64</x:v>
      </x:c>
      <x:c r="N59" s="83" t="str">
        <x:v>Tabella 18</x:v>
      </x:c>
      <x:c r="O59" s="83" t="str">
        <x:v>Direct table extraction</x:v>
      </x:c>
      <x:c r="P59" s="83" t="str">
        <x:v>A - Direct</x:v>
      </x:c>
      <x:c r="Q59" s="83" t="str"/>
    </x:row>
    <x:row r="60">
      <x:c r="A60" s="83" t="str">
        <x:v>BAL-0056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Solare</x:v>
      </x:c>
      <x:c r="F60" s="143" t="n">
        <x:v>105</x:v>
      </x:c>
      <x:c r="G60" s="83" t="str">
        <x:v>TWh</x:v>
      </x:c>
      <x:c r="H60" s="83" t="str">
        <x:v>Italia</x:v>
      </x:c>
      <x:c r="I60" s="83" t="str">
        <x:v>Risultato di modello della fonte</x:v>
      </x:c>
      <x:c r="J60" s="83" t="str">
        <x:v>S09</x:v>
      </x:c>
      <x:c r="K60" s="83" t="str">
        <x:v>Documento_Descrizione_Scenari_2024_8dce2430d44d101.pdf</x:v>
      </x:c>
      <x:c r="L60" s="83" t="n">
        <x:v>66</x:v>
      </x:c>
      <x:c r="M60" s="83" t="n">
        <x:v>64</x:v>
      </x:c>
      <x:c r="N60" s="83" t="str">
        <x:v>Tabella 18</x:v>
      </x:c>
      <x:c r="O60" s="83" t="str">
        <x:v>Direct table extraction</x:v>
      </x:c>
      <x:c r="P60" s="83" t="str">
        <x:v>A - Direct</x:v>
      </x:c>
      <x:c r="Q60" s="83" t="str"/>
    </x:row>
    <x:row r="61">
      <x:c r="A61" s="83" t="str">
        <x:v>BAL-0057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Solare</x:v>
      </x:c>
      <x:c r="F61" s="143" t="n">
        <x:v>92</x:v>
      </x:c>
      <x:c r="G61" s="83" t="str">
        <x:v>TWh</x:v>
      </x:c>
      <x:c r="H61" s="83" t="str">
        <x:v>Italia</x:v>
      </x:c>
      <x:c r="I61" s="83" t="str">
        <x:v>Risultato di modello della fonte</x:v>
      </x:c>
      <x:c r="J61" s="83" t="str">
        <x:v>S09</x:v>
      </x:c>
      <x:c r="K61" s="83" t="str">
        <x:v>Documento_Descrizione_Scenari_2024_8dce2430d44d101.pdf</x:v>
      </x:c>
      <x:c r="L61" s="83" t="n">
        <x:v>66</x:v>
      </x:c>
      <x:c r="M61" s="83" t="n">
        <x:v>64</x:v>
      </x:c>
      <x:c r="N61" s="83" t="str">
        <x:v>Tabella 18</x:v>
      </x:c>
      <x:c r="O61" s="83" t="str">
        <x:v>Direct table extraction</x:v>
      </x:c>
      <x:c r="P61" s="83" t="str">
        <x:v>A - Direct</x:v>
      </x:c>
      <x:c r="Q61" s="83" t="str"/>
    </x:row>
    <x:row r="62">
      <x:c r="A62" s="83" t="str">
        <x:v>BAL-0058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Solare</x:v>
      </x:c>
      <x:c r="F62" s="143" t="n">
        <x:v>136</x:v>
      </x:c>
      <x:c r="G62" s="83" t="str">
        <x:v>TWh</x:v>
      </x:c>
      <x:c r="H62" s="83" t="str">
        <x:v>Italia</x:v>
      </x:c>
      <x:c r="I62" s="83" t="str">
        <x:v>Risultato di modello della fonte</x:v>
      </x:c>
      <x:c r="J62" s="83" t="str">
        <x:v>S09</x:v>
      </x:c>
      <x:c r="K62" s="83" t="str">
        <x:v>Documento_Descrizione_Scenari_2024_8dce2430d44d101.pdf</x:v>
      </x:c>
      <x:c r="L62" s="83" t="n">
        <x:v>66</x:v>
      </x:c>
      <x:c r="M62" s="83" t="n">
        <x:v>64</x:v>
      </x:c>
      <x:c r="N62" s="83" t="str">
        <x:v>Tabella 18</x:v>
      </x:c>
      <x:c r="O62" s="83" t="str">
        <x:v>Direct table extraction</x:v>
      </x:c>
      <x:c r="P62" s="83" t="str">
        <x:v>A - Direct</x:v>
      </x:c>
      <x:c r="Q62" s="83" t="str"/>
    </x:row>
    <x:row r="63">
      <x:c r="A63" s="83" t="str">
        <x:v>BAL-0059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Solare</x:v>
      </x:c>
      <x:c r="F63" s="143" t="n">
        <x:v>127</x:v>
      </x:c>
      <x:c r="G63" s="83" t="str">
        <x:v>TWh</x:v>
      </x:c>
      <x:c r="H63" s="83" t="str">
        <x:v>Italia</x:v>
      </x:c>
      <x:c r="I63" s="83" t="str">
        <x:v>Risultato di modello della fonte</x:v>
      </x:c>
      <x:c r="J63" s="83" t="str">
        <x:v>S09</x:v>
      </x:c>
      <x:c r="K63" s="83" t="str">
        <x:v>Documento_Descrizione_Scenari_2024_8dce2430d44d101.pdf</x:v>
      </x:c>
      <x:c r="L63" s="83" t="n">
        <x:v>66</x:v>
      </x:c>
      <x:c r="M63" s="83" t="n">
        <x:v>64</x:v>
      </x:c>
      <x:c r="N63" s="83" t="str">
        <x:v>Tabella 18</x:v>
      </x:c>
      <x:c r="O63" s="83" t="str">
        <x:v>Direct table extraction</x:v>
      </x:c>
      <x:c r="P63" s="83" t="str">
        <x:v>A - Direct</x:v>
      </x:c>
      <x:c r="Q63" s="83" t="str"/>
    </x:row>
    <x:row r="64">
      <x:c r="A64" s="83" t="str">
        <x:v>BAL-0060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Solare</x:v>
      </x:c>
      <x:c r="F64" s="143" t="n">
        <x:v>116</x:v>
      </x:c>
      <x:c r="G64" s="83" t="str">
        <x:v>TWh</x:v>
      </x:c>
      <x:c r="H64" s="83" t="str">
        <x:v>Italia</x:v>
      </x:c>
      <x:c r="I64" s="83" t="str">
        <x:v>Risultato di modello della fonte</x:v>
      </x:c>
      <x:c r="J64" s="83" t="str">
        <x:v>S09</x:v>
      </x:c>
      <x:c r="K64" s="83" t="str">
        <x:v>Documento_Descrizione_Scenari_2024_8dce2430d44d101.pdf</x:v>
      </x:c>
      <x:c r="L64" s="83" t="n">
        <x:v>66</x:v>
      </x:c>
      <x:c r="M64" s="83" t="n">
        <x:v>64</x:v>
      </x:c>
      <x:c r="N64" s="83" t="str">
        <x:v>Tabella 18</x:v>
      </x:c>
      <x:c r="O64" s="83" t="str">
        <x:v>Direct table extraction</x:v>
      </x:c>
      <x:c r="P64" s="83" t="str">
        <x:v>A - Direct</x:v>
      </x:c>
      <x:c r="Q64" s="83" t="str"/>
    </x:row>
    <x:row r="65">
      <x:c r="A65" s="83" t="str">
        <x:v>BAL-0061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Solare</x:v>
      </x:c>
      <x:c r="F65" s="143" t="n">
        <x:v>168</x:v>
      </x:c>
      <x:c r="G65" s="83" t="str">
        <x:v>TWh</x:v>
      </x:c>
      <x:c r="H65" s="83" t="str">
        <x:v>Italia</x:v>
      </x:c>
      <x:c r="I65" s="83" t="str">
        <x:v>Risultato di modello della fonte</x:v>
      </x:c>
      <x:c r="J65" s="83" t="str">
        <x:v>S09</x:v>
      </x:c>
      <x:c r="K65" s="83" t="str">
        <x:v>Documento_Descrizione_Scenari_2024_8dce2430d44d101.pdf</x:v>
      </x:c>
      <x:c r="L65" s="83" t="n">
        <x:v>66</x:v>
      </x:c>
      <x:c r="M65" s="83" t="n">
        <x:v>64</x:v>
      </x:c>
      <x:c r="N65" s="83" t="str">
        <x:v>Tabella 18</x:v>
      </x:c>
      <x:c r="O65" s="83" t="str">
        <x:v>Direct table extraction</x:v>
      </x:c>
      <x:c r="P65" s="83" t="str">
        <x:v>A - Direct</x:v>
      </x:c>
      <x:c r="Q65" s="83" t="str"/>
    </x:row>
    <x:row r="66">
      <x:c r="A66" s="83" t="str">
        <x:v>BAL-0062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Solare</x:v>
      </x:c>
      <x:c r="F66" s="143" t="n">
        <x:v>151</x:v>
      </x:c>
      <x:c r="G66" s="83" t="str">
        <x:v>TWh</x:v>
      </x:c>
      <x:c r="H66" s="83" t="str">
        <x:v>Italia</x:v>
      </x:c>
      <x:c r="I66" s="83" t="str">
        <x:v>Risultato di modello della fonte</x:v>
      </x:c>
      <x:c r="J66" s="83" t="str">
        <x:v>S09</x:v>
      </x:c>
      <x:c r="K66" s="83" t="str">
        <x:v>Documento_Descrizione_Scenari_2024_8dce2430d44d101.pdf</x:v>
      </x:c>
      <x:c r="L66" s="83" t="n">
        <x:v>66</x:v>
      </x:c>
      <x:c r="M66" s="83" t="n">
        <x:v>64</x:v>
      </x:c>
      <x:c r="N66" s="83" t="str">
        <x:v>Tabella 18</x:v>
      </x:c>
      <x:c r="O66" s="83" t="str">
        <x:v>Direct table extraction</x:v>
      </x:c>
      <x:c r="P66" s="83" t="str">
        <x:v>A - Direct</x:v>
      </x:c>
      <x:c r="Q66" s="83" t="str"/>
    </x:row>
    <x:row r="67">
      <x:c r="A67" s="83" t="str">
        <x:v>BAL-0063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Solare</x:v>
      </x:c>
      <x:c r="F67" s="143" t="n">
        <x:v>144</x:v>
      </x:c>
      <x:c r="G67" s="83" t="str">
        <x:v>TWh</x:v>
      </x:c>
      <x:c r="H67" s="83" t="str">
        <x:v>Italia</x:v>
      </x:c>
      <x:c r="I67" s="83" t="str">
        <x:v>Risultato di modello della fonte</x:v>
      </x:c>
      <x:c r="J67" s="83" t="str">
        <x:v>S09</x:v>
      </x:c>
      <x:c r="K67" s="83" t="str">
        <x:v>Documento_Descrizione_Scenari_2024_8dce2430d44d101.pdf</x:v>
      </x:c>
      <x:c r="L67" s="83" t="n">
        <x:v>66</x:v>
      </x:c>
      <x:c r="M67" s="83" t="n">
        <x:v>64</x:v>
      </x:c>
      <x:c r="N67" s="83" t="str">
        <x:v>Tabella 18</x:v>
      </x:c>
      <x:c r="O67" s="83" t="str">
        <x:v>Direct table extraction</x:v>
      </x:c>
      <x:c r="P67" s="83" t="str">
        <x:v>A - Direct</x:v>
      </x:c>
      <x:c r="Q67" s="83" t="str"/>
    </x:row>
    <x:row r="68">
      <x:c r="A68" s="83" t="str">
        <x:v>BAL-0064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Eolico</x:v>
      </x:c>
      <x:c r="F68" s="143" t="n">
        <x:v>24</x:v>
      </x:c>
      <x:c r="G68" s="83" t="str">
        <x:v>TWh</x:v>
      </x:c>
      <x:c r="H68" s="83" t="str">
        <x:v>Italia</x:v>
      </x:c>
      <x:c r="I68" s="83" t="str">
        <x:v>Dato osservato storico</x:v>
      </x:c>
      <x:c r="J68" s="83" t="str">
        <x:v>S09</x:v>
      </x:c>
      <x:c r="K68" s="83" t="str">
        <x:v>Documento_Descrizione_Scenari_2024_8dce2430d44d101.pdf</x:v>
      </x:c>
      <x:c r="L68" s="83" t="n">
        <x:v>66</x:v>
      </x:c>
      <x:c r="M68" s="83" t="n">
        <x:v>64</x:v>
      </x:c>
      <x:c r="N68" s="83" t="str">
        <x:v>Tabella 18</x:v>
      </x:c>
      <x:c r="O68" s="83" t="str">
        <x:v>Direct table extraction</x:v>
      </x:c>
      <x:c r="P68" s="83" t="str">
        <x:v>A - Direct</x:v>
      </x:c>
      <x:c r="Q68" s="83" t="str"/>
    </x:row>
    <x:row r="69">
      <x:c r="A69" s="83" t="str">
        <x:v>BAL-0065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Eolico</x:v>
      </x:c>
      <x:c r="F69" s="143" t="n">
        <x:v>64</x:v>
      </x:c>
      <x:c r="G69" s="83" t="str">
        <x:v>TWh</x:v>
      </x:c>
      <x:c r="H69" s="83" t="str">
        <x:v>Italia</x:v>
      </x:c>
      <x:c r="I69" s="83" t="str">
        <x:v>Risultato di modello della fonte</x:v>
      </x:c>
      <x:c r="J69" s="83" t="str">
        <x:v>S09</x:v>
      </x:c>
      <x:c r="K69" s="83" t="str">
        <x:v>Documento_Descrizione_Scenari_2024_8dce2430d44d101.pdf</x:v>
      </x:c>
      <x:c r="L69" s="83" t="n">
        <x:v>66</x:v>
      </x:c>
      <x:c r="M69" s="83" t="n">
        <x:v>64</x:v>
      </x:c>
      <x:c r="N69" s="83" t="str">
        <x:v>Tabella 18</x:v>
      </x:c>
      <x:c r="O69" s="83" t="str">
        <x:v>Direct table extraction</x:v>
      </x:c>
      <x:c r="P69" s="83" t="str">
        <x:v>A - Direct</x:v>
      </x:c>
      <x:c r="Q69" s="83" t="str"/>
    </x:row>
    <x:row r="70">
      <x:c r="A70" s="83" t="str">
        <x:v>BAL-0066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Eolico</x:v>
      </x:c>
      <x:c r="F70" s="143" t="n">
        <x:v>49</x:v>
      </x:c>
      <x:c r="G70" s="83" t="str">
        <x:v>TWh</x:v>
      </x:c>
      <x:c r="H70" s="83" t="str">
        <x:v>Italia</x:v>
      </x:c>
      <x:c r="I70" s="83" t="str">
        <x:v>Risultato di modello della fonte</x:v>
      </x:c>
      <x:c r="J70" s="83" t="str">
        <x:v>S09</x:v>
      </x:c>
      <x:c r="K70" s="83" t="str">
        <x:v>Documento_Descrizione_Scenari_2024_8dce2430d44d101.pdf</x:v>
      </x:c>
      <x:c r="L70" s="83" t="n">
        <x:v>66</x:v>
      </x:c>
      <x:c r="M70" s="83" t="n">
        <x:v>64</x:v>
      </x:c>
      <x:c r="N70" s="83" t="str">
        <x:v>Tabella 18</x:v>
      </x:c>
      <x:c r="O70" s="83" t="str">
        <x:v>Direct table extraction</x:v>
      </x:c>
      <x:c r="P70" s="83" t="str">
        <x:v>A - Direct</x:v>
      </x:c>
      <x:c r="Q70" s="83" t="str"/>
    </x:row>
    <x:row r="71">
      <x:c r="A71" s="83" t="str">
        <x:v>BAL-0067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Eolico</x:v>
      </x:c>
      <x:c r="F71" s="143" t="n">
        <x:v>88</x:v>
      </x:c>
      <x:c r="G71" s="83" t="str">
        <x:v>TWh</x:v>
      </x:c>
      <x:c r="H71" s="83" t="str">
        <x:v>Italia</x:v>
      </x:c>
      <x:c r="I71" s="83" t="str">
        <x:v>Risultato di modello della fonte</x:v>
      </x:c>
      <x:c r="J71" s="83" t="str">
        <x:v>S09</x:v>
      </x:c>
      <x:c r="K71" s="83" t="str">
        <x:v>Documento_Descrizione_Scenari_2024_8dce2430d44d101.pdf</x:v>
      </x:c>
      <x:c r="L71" s="83" t="n">
        <x:v>66</x:v>
      </x:c>
      <x:c r="M71" s="83" t="n">
        <x:v>64</x:v>
      </x:c>
      <x:c r="N71" s="83" t="str">
        <x:v>Tabella 18</x:v>
      </x:c>
      <x:c r="O71" s="83" t="str">
        <x:v>Direct table extraction</x:v>
      </x:c>
      <x:c r="P71" s="83" t="str">
        <x:v>A - Direct</x:v>
      </x:c>
      <x:c r="Q71" s="83" t="str"/>
    </x:row>
    <x:row r="72">
      <x:c r="A72" s="83" t="str">
        <x:v>BAL-0068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Eolico</x:v>
      </x:c>
      <x:c r="F72" s="143" t="n">
        <x:v>79</x:v>
      </x:c>
      <x:c r="G72" s="83" t="str">
        <x:v>TWh</x:v>
      </x:c>
      <x:c r="H72" s="83" t="str">
        <x:v>Italia</x:v>
      </x:c>
      <x:c r="I72" s="83" t="str">
        <x:v>Risultato di modello della fonte</x:v>
      </x:c>
      <x:c r="J72" s="83" t="str">
        <x:v>S09</x:v>
      </x:c>
      <x:c r="K72" s="83" t="str">
        <x:v>Documento_Descrizione_Scenari_2024_8dce2430d44d101.pdf</x:v>
      </x:c>
      <x:c r="L72" s="83" t="n">
        <x:v>66</x:v>
      </x:c>
      <x:c r="M72" s="83" t="n">
        <x:v>64</x:v>
      </x:c>
      <x:c r="N72" s="83" t="str">
        <x:v>Tabella 18</x:v>
      </x:c>
      <x:c r="O72" s="83" t="str">
        <x:v>Direct table extraction</x:v>
      </x:c>
      <x:c r="P72" s="83" t="str">
        <x:v>A - Direct</x:v>
      </x:c>
      <x:c r="Q72" s="83" t="str"/>
    </x:row>
    <x:row r="73">
      <x:c r="A73" s="83" t="str">
        <x:v>BAL-0069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Eolico</x:v>
      </x:c>
      <x:c r="F73" s="143" t="n">
        <x:v>69</x:v>
      </x:c>
      <x:c r="G73" s="83" t="str">
        <x:v>TWh</x:v>
      </x:c>
      <x:c r="H73" s="83" t="str">
        <x:v>Italia</x:v>
      </x:c>
      <x:c r="I73" s="83" t="str">
        <x:v>Risultato di modello della fonte</x:v>
      </x:c>
      <x:c r="J73" s="83" t="str">
        <x:v>S09</x:v>
      </x:c>
      <x:c r="K73" s="83" t="str">
        <x:v>Documento_Descrizione_Scenari_2024_8dce2430d44d101.pdf</x:v>
      </x:c>
      <x:c r="L73" s="83" t="n">
        <x:v>66</x:v>
      </x:c>
      <x:c r="M73" s="83" t="n">
        <x:v>64</x:v>
      </x:c>
      <x:c r="N73" s="83" t="str">
        <x:v>Tabella 18</x:v>
      </x:c>
      <x:c r="O73" s="83" t="str">
        <x:v>Direct table extraction</x:v>
      </x:c>
      <x:c r="P73" s="83" t="str">
        <x:v>A - Direct</x:v>
      </x:c>
      <x:c r="Q73" s="83" t="str"/>
    </x:row>
    <x:row r="74">
      <x:c r="A74" s="83" t="str">
        <x:v>BAL-0070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Eolico</x:v>
      </x:c>
      <x:c r="F74" s="143" t="n">
        <x:v>121</x:v>
      </x:c>
      <x:c r="G74" s="83" t="str">
        <x:v>TWh</x:v>
      </x:c>
      <x:c r="H74" s="83" t="str">
        <x:v>Italia</x:v>
      </x:c>
      <x:c r="I74" s="83" t="str">
        <x:v>Risultato di modello della fonte</x:v>
      </x:c>
      <x:c r="J74" s="83" t="str">
        <x:v>S09</x:v>
      </x:c>
      <x:c r="K74" s="83" t="str">
        <x:v>Documento_Descrizione_Scenari_2024_8dce2430d44d101.pdf</x:v>
      </x:c>
      <x:c r="L74" s="83" t="n">
        <x:v>66</x:v>
      </x:c>
      <x:c r="M74" s="83" t="n">
        <x:v>64</x:v>
      </x:c>
      <x:c r="N74" s="83" t="str">
        <x:v>Tabella 18</x:v>
      </x:c>
      <x:c r="O74" s="83" t="str">
        <x:v>Direct table extraction</x:v>
      </x:c>
      <x:c r="P74" s="83" t="str">
        <x:v>A - Direct</x:v>
      </x:c>
      <x:c r="Q74" s="83" t="str"/>
    </x:row>
    <x:row r="75">
      <x:c r="A75" s="83" t="str">
        <x:v>BAL-0071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Eolico</x:v>
      </x:c>
      <x:c r="F75" s="143" t="n">
        <x:v>105</x:v>
      </x:c>
      <x:c r="G75" s="83" t="str">
        <x:v>TWh</x:v>
      </x:c>
      <x:c r="H75" s="83" t="str">
        <x:v>Italia</x:v>
      </x:c>
      <x:c r="I75" s="83" t="str">
        <x:v>Risultato di modello della fonte</x:v>
      </x:c>
      <x:c r="J75" s="83" t="str">
        <x:v>S09</x:v>
      </x:c>
      <x:c r="K75" s="83" t="str">
        <x:v>Documento_Descrizione_Scenari_2024_8dce2430d44d101.pdf</x:v>
      </x:c>
      <x:c r="L75" s="83" t="n">
        <x:v>66</x:v>
      </x:c>
      <x:c r="M75" s="83" t="n">
        <x:v>64</x:v>
      </x:c>
      <x:c r="N75" s="83" t="str">
        <x:v>Tabella 18</x:v>
      </x:c>
      <x:c r="O75" s="83" t="str">
        <x:v>Direct table extraction</x:v>
      </x:c>
      <x:c r="P75" s="83" t="str">
        <x:v>A - Direct</x:v>
      </x:c>
      <x:c r="Q75" s="83" t="str"/>
    </x:row>
    <x:row r="76">
      <x:c r="A76" s="83" t="str">
        <x:v>BAL-0072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Eolico</x:v>
      </x:c>
      <x:c r="F76" s="143" t="n">
        <x:v>95</x:v>
      </x:c>
      <x:c r="G76" s="83" t="str">
        <x:v>TWh</x:v>
      </x:c>
      <x:c r="H76" s="83" t="str">
        <x:v>Italia</x:v>
      </x:c>
      <x:c r="I76" s="83" t="str">
        <x:v>Risultato di modello della fonte</x:v>
      </x:c>
      <x:c r="J76" s="83" t="str">
        <x:v>S09</x:v>
      </x:c>
      <x:c r="K76" s="83" t="str">
        <x:v>Documento_Descrizione_Scenari_2024_8dce2430d44d101.pdf</x:v>
      </x:c>
      <x:c r="L76" s="83" t="n">
        <x:v>66</x:v>
      </x:c>
      <x:c r="M76" s="83" t="n">
        <x:v>64</x:v>
      </x:c>
      <x:c r="N76" s="83" t="str">
        <x:v>Tabella 18</x:v>
      </x:c>
      <x:c r="O76" s="83" t="str">
        <x:v>Direct table extraction</x:v>
      </x:c>
      <x:c r="P76" s="83" t="str">
        <x:v>A - Direct</x:v>
      </x:c>
      <x:c r="Q76" s="83" t="str"/>
    </x:row>
    <x:row r="77">
      <x:c r="A77" s="83" t="str">
        <x:v>BAL-0073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Altre FER</x:v>
      </x:c>
      <x:c r="F77" s="143" t="n">
        <x:v>21</x:v>
      </x:c>
      <x:c r="G77" s="83" t="str">
        <x:v>TWh</x:v>
      </x:c>
      <x:c r="H77" s="83" t="str">
        <x:v>Italia</x:v>
      </x:c>
      <x:c r="I77" s="83" t="str">
        <x:v>Dato osservato storico</x:v>
      </x:c>
      <x:c r="J77" s="83" t="str">
        <x:v>S09</x:v>
      </x:c>
      <x:c r="K77" s="83" t="str">
        <x:v>Documento_Descrizione_Scenari_2024_8dce2430d44d101.pdf</x:v>
      </x:c>
      <x:c r="L77" s="83" t="n">
        <x:v>66</x:v>
      </x:c>
      <x:c r="M77" s="83" t="n">
        <x:v>64</x:v>
      </x:c>
      <x:c r="N77" s="83" t="str">
        <x:v>Tabella 18</x:v>
      </x:c>
      <x:c r="O77" s="83" t="str">
        <x:v>Direct table extraction</x:v>
      </x:c>
      <x:c r="P77" s="83" t="str">
        <x:v>A - Direct</x:v>
      </x:c>
      <x:c r="Q77" s="83" t="str"/>
    </x:row>
    <x:row r="78">
      <x:c r="A78" s="83" t="str">
        <x:v>BAL-0074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Altre FER</x:v>
      </x:c>
      <x:c r="F78" s="143" t="n">
        <x:v>17</x:v>
      </x:c>
      <x:c r="G78" s="83" t="str">
        <x:v>TWh</x:v>
      </x:c>
      <x:c r="H78" s="83" t="str">
        <x:v>Italia</x:v>
      </x:c>
      <x:c r="I78" s="83" t="str">
        <x:v>Risultato di modello della fonte</x:v>
      </x:c>
      <x:c r="J78" s="83" t="str">
        <x:v>S09</x:v>
      </x:c>
      <x:c r="K78" s="83" t="str">
        <x:v>Documento_Descrizione_Scenari_2024_8dce2430d44d101.pdf</x:v>
      </x:c>
      <x:c r="L78" s="83" t="n">
        <x:v>66</x:v>
      </x:c>
      <x:c r="M78" s="83" t="n">
        <x:v>64</x:v>
      </x:c>
      <x:c r="N78" s="83" t="str">
        <x:v>Tabella 18</x:v>
      </x:c>
      <x:c r="O78" s="83" t="str">
        <x:v>Direct table extraction</x:v>
      </x:c>
      <x:c r="P78" s="83" t="str">
        <x:v>A - Direct</x:v>
      </x:c>
      <x:c r="Q78" s="83" t="str"/>
    </x:row>
    <x:row r="79">
      <x:c r="A79" s="83" t="str">
        <x:v>BAL-0075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Altre FER</x:v>
      </x:c>
      <x:c r="F79" s="143" t="n">
        <x:v>17</x:v>
      </x:c>
      <x:c r="G79" s="83" t="str">
        <x:v>TWh</x:v>
      </x:c>
      <x:c r="H79" s="83" t="str">
        <x:v>Italia</x:v>
      </x:c>
      <x:c r="I79" s="83" t="str">
        <x:v>Risultato di modello della fonte</x:v>
      </x:c>
      <x:c r="J79" s="83" t="str">
        <x:v>S09</x:v>
      </x:c>
      <x:c r="K79" s="83" t="str">
        <x:v>Documento_Descrizione_Scenari_2024_8dce2430d44d101.pdf</x:v>
      </x:c>
      <x:c r="L79" s="83" t="n">
        <x:v>66</x:v>
      </x:c>
      <x:c r="M79" s="83" t="n">
        <x:v>64</x:v>
      </x:c>
      <x:c r="N79" s="83" t="str">
        <x:v>Tabella 18</x:v>
      </x:c>
      <x:c r="O79" s="83" t="str">
        <x:v>Direct table extraction</x:v>
      </x:c>
      <x:c r="P79" s="83" t="str">
        <x:v>A - Direct</x:v>
      </x:c>
      <x:c r="Q79" s="83" t="str"/>
    </x:row>
    <x:row r="80">
      <x:c r="A80" s="83" t="str">
        <x:v>BAL-0076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Altre FER</x:v>
      </x:c>
      <x:c r="F80" s="143" t="n">
        <x:v>17</x:v>
      </x:c>
      <x:c r="G80" s="83" t="str">
        <x:v>TWh</x:v>
      </x:c>
      <x:c r="H80" s="83" t="str">
        <x:v>Italia</x:v>
      </x:c>
      <x:c r="I80" s="83" t="str">
        <x:v>Risultato di modello della fonte</x:v>
      </x:c>
      <x:c r="J80" s="83" t="str">
        <x:v>S09</x:v>
      </x:c>
      <x:c r="K80" s="83" t="str">
        <x:v>Documento_Descrizione_Scenari_2024_8dce2430d44d101.pdf</x:v>
      </x:c>
      <x:c r="L80" s="83" t="n">
        <x:v>66</x:v>
      </x:c>
      <x:c r="M80" s="83" t="n">
        <x:v>64</x:v>
      </x:c>
      <x:c r="N80" s="83" t="str">
        <x:v>Tabella 18</x:v>
      </x:c>
      <x:c r="O80" s="83" t="str">
        <x:v>Direct table extraction</x:v>
      </x:c>
      <x:c r="P80" s="83" t="str">
        <x:v>A - Direct</x:v>
      </x:c>
      <x:c r="Q80" s="83" t="str"/>
    </x:row>
    <x:row r="81">
      <x:c r="A81" s="83" t="str">
        <x:v>BAL-0077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Altre FER</x:v>
      </x:c>
      <x:c r="F81" s="143" t="n">
        <x:v>17</x:v>
      </x:c>
      <x:c r="G81" s="83" t="str">
        <x:v>TWh</x:v>
      </x:c>
      <x:c r="H81" s="83" t="str">
        <x:v>Italia</x:v>
      </x:c>
      <x:c r="I81" s="83" t="str">
        <x:v>Risultato di modello della fonte</x:v>
      </x:c>
      <x:c r="J81" s="83" t="str">
        <x:v>S09</x:v>
      </x:c>
      <x:c r="K81" s="83" t="str">
        <x:v>Documento_Descrizione_Scenari_2024_8dce2430d44d101.pdf</x:v>
      </x:c>
      <x:c r="L81" s="83" t="n">
        <x:v>66</x:v>
      </x:c>
      <x:c r="M81" s="83" t="n">
        <x:v>64</x:v>
      </x:c>
      <x:c r="N81" s="83" t="str">
        <x:v>Tabella 18</x:v>
      </x:c>
      <x:c r="O81" s="83" t="str">
        <x:v>Direct table extraction</x:v>
      </x:c>
      <x:c r="P81" s="83" t="str">
        <x:v>A - Direct</x:v>
      </x:c>
      <x:c r="Q81" s="83" t="str"/>
    </x:row>
    <x:row r="82">
      <x:c r="A82" s="83" t="str">
        <x:v>BAL-0078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Altre FER</x:v>
      </x:c>
      <x:c r="F82" s="143" t="n">
        <x:v>17</x:v>
      </x:c>
      <x:c r="G82" s="83" t="str">
        <x:v>TWh</x:v>
      </x:c>
      <x:c r="H82" s="83" t="str">
        <x:v>Italia</x:v>
      </x:c>
      <x:c r="I82" s="83" t="str">
        <x:v>Risultato di modello della fonte</x:v>
      </x:c>
      <x:c r="J82" s="83" t="str">
        <x:v>S09</x:v>
      </x:c>
      <x:c r="K82" s="83" t="str">
        <x:v>Documento_Descrizione_Scenari_2024_8dce2430d44d101.pdf</x:v>
      </x:c>
      <x:c r="L82" s="83" t="n">
        <x:v>66</x:v>
      </x:c>
      <x:c r="M82" s="83" t="n">
        <x:v>64</x:v>
      </x:c>
      <x:c r="N82" s="83" t="str">
        <x:v>Tabella 18</x:v>
      </x:c>
      <x:c r="O82" s="83" t="str">
        <x:v>Direct table extraction</x:v>
      </x:c>
      <x:c r="P82" s="83" t="str">
        <x:v>A - Direct</x:v>
      </x:c>
      <x:c r="Q82" s="83" t="str"/>
    </x:row>
    <x:row r="83">
      <x:c r="A83" s="83" t="str">
        <x:v>BAL-0079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Altre FER</x:v>
      </x:c>
      <x:c r="F83" s="143" t="n">
        <x:v>17</x:v>
      </x:c>
      <x:c r="G83" s="83" t="str">
        <x:v>TWh</x:v>
      </x:c>
      <x:c r="H83" s="83" t="str">
        <x:v>Italia</x:v>
      </x:c>
      <x:c r="I83" s="83" t="str">
        <x:v>Risultato di modello della fonte</x:v>
      </x:c>
      <x:c r="J83" s="83" t="str">
        <x:v>S09</x:v>
      </x:c>
      <x:c r="K83" s="83" t="str">
        <x:v>Documento_Descrizione_Scenari_2024_8dce2430d44d101.pdf</x:v>
      </x:c>
      <x:c r="L83" s="83" t="n">
        <x:v>66</x:v>
      </x:c>
      <x:c r="M83" s="83" t="n">
        <x:v>64</x:v>
      </x:c>
      <x:c r="N83" s="83" t="str">
        <x:v>Tabella 18</x:v>
      </x:c>
      <x:c r="O83" s="83" t="str">
        <x:v>Direct table extraction</x:v>
      </x:c>
      <x:c r="P83" s="83" t="str">
        <x:v>A - Direct</x:v>
      </x:c>
      <x:c r="Q83" s="83" t="str"/>
    </x:row>
    <x:row r="84">
      <x:c r="A84" s="83" t="str">
        <x:v>BAL-0080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Altre FER</x:v>
      </x:c>
      <x:c r="F84" s="143" t="n">
        <x:v>17</x:v>
      </x:c>
      <x:c r="G84" s="83" t="str">
        <x:v>TWh</x:v>
      </x:c>
      <x:c r="H84" s="83" t="str">
        <x:v>Italia</x:v>
      </x:c>
      <x:c r="I84" s="83" t="str">
        <x:v>Risultato di modello della fonte</x:v>
      </x:c>
      <x:c r="J84" s="83" t="str">
        <x:v>S09</x:v>
      </x:c>
      <x:c r="K84" s="83" t="str">
        <x:v>Documento_Descrizione_Scenari_2024_8dce2430d44d101.pdf</x:v>
      </x:c>
      <x:c r="L84" s="83" t="n">
        <x:v>66</x:v>
      </x:c>
      <x:c r="M84" s="83" t="n">
        <x:v>64</x:v>
      </x:c>
      <x:c r="N84" s="83" t="str">
        <x:v>Tabella 18</x:v>
      </x:c>
      <x:c r="O84" s="83" t="str">
        <x:v>Direct table extraction</x:v>
      </x:c>
      <x:c r="P84" s="83" t="str">
        <x:v>A - Direct</x:v>
      </x:c>
      <x:c r="Q84" s="83" t="str"/>
    </x:row>
    <x:row r="85">
      <x:c r="A85" s="83" t="str">
        <x:v>BAL-0081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Altre FER</x:v>
      </x:c>
      <x:c r="F85" s="143" t="n">
        <x:v>17</x:v>
      </x:c>
      <x:c r="G85" s="83" t="str">
        <x:v>TWh</x:v>
      </x:c>
      <x:c r="H85" s="83" t="str">
        <x:v>Italia</x:v>
      </x:c>
      <x:c r="I85" s="83" t="str">
        <x:v>Risultato di modello della fonte</x:v>
      </x:c>
      <x:c r="J85" s="83" t="str">
        <x:v>S09</x:v>
      </x:c>
      <x:c r="K85" s="83" t="str">
        <x:v>Documento_Descrizione_Scenari_2024_8dce2430d44d101.pdf</x:v>
      </x:c>
      <x:c r="L85" s="83" t="n">
        <x:v>66</x:v>
      </x:c>
      <x:c r="M85" s="83" t="n">
        <x:v>64</x:v>
      </x:c>
      <x:c r="N85" s="83" t="str">
        <x:v>Tabella 18</x:v>
      </x:c>
      <x:c r="O85" s="83" t="str">
        <x:v>Direct table extraction</x:v>
      </x:c>
      <x:c r="P85" s="83" t="str">
        <x:v>A - Direct</x:v>
      </x:c>
      <x:c r="Q85" s="83" t="str"/>
    </x:row>
    <x:row r="86">
      <x:c r="A86" s="83" t="str">
        <x:v>BAL-0082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Overgeneration</x:v>
      </x:c>
      <x:c r="F86" s="143" t="n">
        <x:v>0</x:v>
      </x:c>
      <x:c r="G86" s="83" t="str">
        <x:v>TWh</x:v>
      </x:c>
      <x:c r="H86" s="83" t="str">
        <x:v>Italia</x:v>
      </x:c>
      <x:c r="I86" s="83" t="str">
        <x:v>Dato osservato storico</x:v>
      </x:c>
      <x:c r="J86" s="83" t="str">
        <x:v>S09</x:v>
      </x:c>
      <x:c r="K86" s="83" t="str">
        <x:v>Documento_Descrizione_Scenari_2024_8dce2430d44d101.pdf</x:v>
      </x:c>
      <x:c r="L86" s="83" t="n">
        <x:v>66</x:v>
      </x:c>
      <x:c r="M86" s="83" t="n">
        <x:v>64</x:v>
      </x:c>
      <x:c r="N86" s="83" t="str">
        <x:v>Tabella 18</x:v>
      </x:c>
      <x:c r="O86" s="83" t="str">
        <x:v>Direct table extraction</x:v>
      </x:c>
      <x:c r="P86" s="83" t="str">
        <x:v>A - Direct</x:v>
      </x:c>
      <x:c r="Q86" s="83" t="str">
        <x:v>Overgeneration and storage losses are shown as negative balance terms.</x:v>
      </x:c>
    </x:row>
    <x:row r="87">
      <x:c r="A87" s="83" t="str">
        <x:v>BAL-0083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Overgeneration</x:v>
      </x:c>
      <x:c r="F87" s="143" t="n">
        <x:v>-5</x:v>
      </x:c>
      <x:c r="G87" s="83" t="str">
        <x:v>TWh</x:v>
      </x:c>
      <x:c r="H87" s="83" t="str">
        <x:v>Italia</x:v>
      </x:c>
      <x:c r="I87" s="83" t="str">
        <x:v>Risultato di modello della fonte</x:v>
      </x:c>
      <x:c r="J87" s="83" t="str">
        <x:v>S09</x:v>
      </x:c>
      <x:c r="K87" s="83" t="str">
        <x:v>Documento_Descrizione_Scenari_2024_8dce2430d44d101.pdf</x:v>
      </x:c>
      <x:c r="L87" s="83" t="n">
        <x:v>66</x:v>
      </x:c>
      <x:c r="M87" s="83" t="n">
        <x:v>64</x:v>
      </x:c>
      <x:c r="N87" s="83" t="str">
        <x:v>Tabella 18</x:v>
      </x:c>
      <x:c r="O87" s="83" t="str">
        <x:v>Direct table extraction</x:v>
      </x:c>
      <x:c r="P87" s="83" t="str">
        <x:v>A - Direct</x:v>
      </x:c>
      <x:c r="Q87" s="83" t="str">
        <x:v>Overgeneration and storage losses are shown as negative balance terms.</x:v>
      </x:c>
    </x:row>
    <x:row r="88">
      <x:c r="A88" s="83" t="str">
        <x:v>BAL-0084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Overgeneration</x:v>
      </x:c>
      <x:c r="F88" s="143" t="n">
        <x:v>-3</x:v>
      </x:c>
      <x:c r="G88" s="83" t="str">
        <x:v>TWh</x:v>
      </x:c>
      <x:c r="H88" s="83" t="str">
        <x:v>Italia</x:v>
      </x:c>
      <x:c r="I88" s="83" t="str">
        <x:v>Risultato di modello della fonte</x:v>
      </x:c>
      <x:c r="J88" s="83" t="str">
        <x:v>S09</x:v>
      </x:c>
      <x:c r="K88" s="83" t="str">
        <x:v>Documento_Descrizione_Scenari_2024_8dce2430d44d101.pdf</x:v>
      </x:c>
      <x:c r="L88" s="83" t="n">
        <x:v>66</x:v>
      </x:c>
      <x:c r="M88" s="83" t="n">
        <x:v>64</x:v>
      </x:c>
      <x:c r="N88" s="83" t="str">
        <x:v>Tabella 18</x:v>
      </x:c>
      <x:c r="O88" s="83" t="str">
        <x:v>Direct table extraction</x:v>
      </x:c>
      <x:c r="P88" s="83" t="str">
        <x:v>A - Direct</x:v>
      </x:c>
      <x:c r="Q88" s="83" t="str">
        <x:v>Overgeneration and storage losses are shown as negative balance terms.</x:v>
      </x:c>
    </x:row>
    <x:row r="89">
      <x:c r="A89" s="83" t="str">
        <x:v>BAL-0085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Overgeneration</x:v>
      </x:c>
      <x:c r="F89" s="143" t="n">
        <x:v>-12</x:v>
      </x:c>
      <x:c r="G89" s="83" t="str">
        <x:v>TWh</x:v>
      </x:c>
      <x:c r="H89" s="83" t="str">
        <x:v>Italia</x:v>
      </x:c>
      <x:c r="I89" s="83" t="str">
        <x:v>Risultato di modello della fonte</x:v>
      </x:c>
      <x:c r="J89" s="83" t="str">
        <x:v>S09</x:v>
      </x:c>
      <x:c r="K89" s="83" t="str">
        <x:v>Documento_Descrizione_Scenari_2024_8dce2430d44d101.pdf</x:v>
      </x:c>
      <x:c r="L89" s="83" t="n">
        <x:v>66</x:v>
      </x:c>
      <x:c r="M89" s="83" t="n">
        <x:v>64</x:v>
      </x:c>
      <x:c r="N89" s="83" t="str">
        <x:v>Tabella 18</x:v>
      </x:c>
      <x:c r="O89" s="83" t="str">
        <x:v>Direct table extraction</x:v>
      </x:c>
      <x:c r="P89" s="83" t="str">
        <x:v>A - Direct</x:v>
      </x:c>
      <x:c r="Q89" s="83" t="str">
        <x:v>Overgeneration and storage losses are shown as negative balance terms.</x:v>
      </x:c>
    </x:row>
    <x:row r="90">
      <x:c r="A90" s="83" t="str">
        <x:v>BAL-0086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Overgeneration</x:v>
      </x:c>
      <x:c r="F90" s="143" t="n">
        <x:v>-10</x:v>
      </x:c>
      <x:c r="G90" s="83" t="str">
        <x:v>TWh</x:v>
      </x:c>
      <x:c r="H90" s="83" t="str">
        <x:v>Italia</x:v>
      </x:c>
      <x:c r="I90" s="83" t="str">
        <x:v>Risultato di modello della fonte</x:v>
      </x:c>
      <x:c r="J90" s="83" t="str">
        <x:v>S09</x:v>
      </x:c>
      <x:c r="K90" s="83" t="str">
        <x:v>Documento_Descrizione_Scenari_2024_8dce2430d44d101.pdf</x:v>
      </x:c>
      <x:c r="L90" s="83" t="n">
        <x:v>66</x:v>
      </x:c>
      <x:c r="M90" s="83" t="n">
        <x:v>64</x:v>
      </x:c>
      <x:c r="N90" s="83" t="str">
        <x:v>Tabella 18</x:v>
      </x:c>
      <x:c r="O90" s="83" t="str">
        <x:v>Direct table extraction</x:v>
      </x:c>
      <x:c r="P90" s="83" t="str">
        <x:v>A - Direct</x:v>
      </x:c>
      <x:c r="Q90" s="83" t="str">
        <x:v>Overgeneration and storage losses are shown as negative balance terms.</x:v>
      </x:c>
    </x:row>
    <x:row r="91">
      <x:c r="A91" s="83" t="str">
        <x:v>BAL-0087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Overgeneration</x:v>
      </x:c>
      <x:c r="F91" s="143" t="n">
        <x:v>-7</x:v>
      </x:c>
      <x:c r="G91" s="83" t="str">
        <x:v>TWh</x:v>
      </x:c>
      <x:c r="H91" s="83" t="str">
        <x:v>Italia</x:v>
      </x:c>
      <x:c r="I91" s="83" t="str">
        <x:v>Risultato di modello della fonte</x:v>
      </x:c>
      <x:c r="J91" s="83" t="str">
        <x:v>S09</x:v>
      </x:c>
      <x:c r="K91" s="83" t="str">
        <x:v>Documento_Descrizione_Scenari_2024_8dce2430d44d101.pdf</x:v>
      </x:c>
      <x:c r="L91" s="83" t="n">
        <x:v>66</x:v>
      </x:c>
      <x:c r="M91" s="83" t="n">
        <x:v>64</x:v>
      </x:c>
      <x:c r="N91" s="83" t="str">
        <x:v>Tabella 18</x:v>
      </x:c>
      <x:c r="O91" s="83" t="str">
        <x:v>Direct table extraction</x:v>
      </x:c>
      <x:c r="P91" s="83" t="str">
        <x:v>A - Direct</x:v>
      </x:c>
      <x:c r="Q91" s="83" t="str">
        <x:v>Overgeneration and storage losses are shown as negative balance terms.</x:v>
      </x:c>
    </x:row>
    <x:row r="92">
      <x:c r="A92" s="83" t="str">
        <x:v>BAL-0088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Overgeneration</x:v>
      </x:c>
      <x:c r="F92" s="143" t="n">
        <x:v>-16</x:v>
      </x:c>
      <x:c r="G92" s="83" t="str">
        <x:v>TWh</x:v>
      </x:c>
      <x:c r="H92" s="83" t="str">
        <x:v>Italia</x:v>
      </x:c>
      <x:c r="I92" s="83" t="str">
        <x:v>Risultato di modello della fonte</x:v>
      </x:c>
      <x:c r="J92" s="83" t="str">
        <x:v>S09</x:v>
      </x:c>
      <x:c r="K92" s="83" t="str">
        <x:v>Documento_Descrizione_Scenari_2024_8dce2430d44d101.pdf</x:v>
      </x:c>
      <x:c r="L92" s="83" t="n">
        <x:v>66</x:v>
      </x:c>
      <x:c r="M92" s="83" t="n">
        <x:v>64</x:v>
      </x:c>
      <x:c r="N92" s="83" t="str">
        <x:v>Tabella 18</x:v>
      </x:c>
      <x:c r="O92" s="83" t="str">
        <x:v>Direct table extraction</x:v>
      </x:c>
      <x:c r="P92" s="83" t="str">
        <x:v>A - Direct</x:v>
      </x:c>
      <x:c r="Q92" s="83" t="str">
        <x:v>Overgeneration and storage losses are shown as negative balance terms.</x:v>
      </x:c>
    </x:row>
    <x:row r="93">
      <x:c r="A93" s="83" t="str">
        <x:v>BAL-0089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Overgeneration</x:v>
      </x:c>
      <x:c r="F93" s="143" t="n">
        <x:v>-10</x:v>
      </x:c>
      <x:c r="G93" s="83" t="str">
        <x:v>TWh</x:v>
      </x:c>
      <x:c r="H93" s="83" t="str">
        <x:v>Italia</x:v>
      </x:c>
      <x:c r="I93" s="83" t="str">
        <x:v>Risultato di modello della fonte</x:v>
      </x:c>
      <x:c r="J93" s="83" t="str">
        <x:v>S09</x:v>
      </x:c>
      <x:c r="K93" s="83" t="str">
        <x:v>Documento_Descrizione_Scenari_2024_8dce2430d44d101.pdf</x:v>
      </x:c>
      <x:c r="L93" s="83" t="n">
        <x:v>66</x:v>
      </x:c>
      <x:c r="M93" s="83" t="n">
        <x:v>64</x:v>
      </x:c>
      <x:c r="N93" s="83" t="str">
        <x:v>Tabella 18</x:v>
      </x:c>
      <x:c r="O93" s="83" t="str">
        <x:v>Direct table extraction</x:v>
      </x:c>
      <x:c r="P93" s="83" t="str">
        <x:v>A - Direct</x:v>
      </x:c>
      <x:c r="Q93" s="83" t="str">
        <x:v>Overgeneration and storage losses are shown as negative balance terms.</x:v>
      </x:c>
    </x:row>
    <x:row r="94">
      <x:c r="A94" s="83" t="str">
        <x:v>BAL-0090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Overgeneration</x:v>
      </x:c>
      <x:c r="F94" s="143" t="n">
        <x:v>-8</x:v>
      </x:c>
      <x:c r="G94" s="83" t="str">
        <x:v>TWh</x:v>
      </x:c>
      <x:c r="H94" s="83" t="str">
        <x:v>Italia</x:v>
      </x:c>
      <x:c r="I94" s="83" t="str">
        <x:v>Risultato di modello della fonte</x:v>
      </x:c>
      <x:c r="J94" s="83" t="str">
        <x:v>S09</x:v>
      </x:c>
      <x:c r="K94" s="83" t="str">
        <x:v>Documento_Descrizione_Scenari_2024_8dce2430d44d101.pdf</x:v>
      </x:c>
      <x:c r="L94" s="83" t="n">
        <x:v>66</x:v>
      </x:c>
      <x:c r="M94" s="83" t="n">
        <x:v>64</x:v>
      </x:c>
      <x:c r="N94" s="83" t="str">
        <x:v>Tabella 18</x:v>
      </x:c>
      <x:c r="O94" s="83" t="str">
        <x:v>Direct table extraction</x:v>
      </x:c>
      <x:c r="P94" s="83" t="str">
        <x:v>A - Direct</x:v>
      </x:c>
      <x:c r="Q94" s="83" t="str">
        <x:v>Overgeneration and storage losses are shown as negative balance terms.</x:v>
      </x:c>
    </x:row>
    <x:row r="95">
      <x:c r="A95" s="83" t="str">
        <x:v>BAL-0091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Totale produzione convenzionale</x:v>
      </x:c>
      <x:c r="F95" s="143" t="n">
        <x:v>143</x:v>
      </x:c>
      <x:c r="G95" s="83" t="str">
        <x:v>TWh</x:v>
      </x:c>
      <x:c r="H95" s="83" t="str">
        <x:v>Italia</x:v>
      </x:c>
      <x:c r="I95" s="83" t="str">
        <x:v>Dato osservato storico</x:v>
      </x:c>
      <x:c r="J95" s="83" t="str">
        <x:v>S09</x:v>
      </x:c>
      <x:c r="K95" s="83" t="str">
        <x:v>Documento_Descrizione_Scenari_2024_8dce2430d44d101.pdf</x:v>
      </x:c>
      <x:c r="L95" s="83" t="n">
        <x:v>66</x:v>
      </x:c>
      <x:c r="M95" s="83" t="n">
        <x:v>64</x:v>
      </x:c>
      <x:c r="N95" s="83" t="str">
        <x:v>Tabella 18</x:v>
      </x:c>
      <x:c r="O95" s="83" t="str">
        <x:v>Direct table extraction</x:v>
      </x:c>
      <x:c r="P95" s="83" t="str">
        <x:v>A - Direct</x:v>
      </x:c>
      <x:c r="Q95" s="83" t="str"/>
    </x:row>
    <x:row r="96">
      <x:c r="A96" s="83" t="str">
        <x:v>BAL-0092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Totale produzione convenzionale</x:v>
      </x:c>
      <x:c r="F96" s="143" t="n">
        <x:v>95</x:v>
      </x:c>
      <x:c r="G96" s="83" t="str">
        <x:v>TWh</x:v>
      </x:c>
      <x:c r="H96" s="83" t="str">
        <x:v>Italia</x:v>
      </x:c>
      <x:c r="I96" s="83" t="str">
        <x:v>Risultato di modello della fonte</x:v>
      </x:c>
      <x:c r="J96" s="83" t="str">
        <x:v>S09</x:v>
      </x:c>
      <x:c r="K96" s="83" t="str">
        <x:v>Documento_Descrizione_Scenari_2024_8dce2430d44d101.pdf</x:v>
      </x:c>
      <x:c r="L96" s="83" t="n">
        <x:v>66</x:v>
      </x:c>
      <x:c r="M96" s="83" t="n">
        <x:v>64</x:v>
      </x:c>
      <x:c r="N96" s="83" t="str">
        <x:v>Tabella 18</x:v>
      </x:c>
      <x:c r="O96" s="83" t="str">
        <x:v>Direct table extraction</x:v>
      </x:c>
      <x:c r="P96" s="83" t="str">
        <x:v>A - Direct</x:v>
      </x:c>
      <x:c r="Q96" s="83" t="str"/>
    </x:row>
    <x:row r="97">
      <x:c r="A97" s="83" t="str">
        <x:v>BAL-0093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Totale produzione convenzionale</x:v>
      </x:c>
      <x:c r="F97" s="143" t="n">
        <x:v>101</x:v>
      </x:c>
      <x:c r="G97" s="83" t="str">
        <x:v>TWh</x:v>
      </x:c>
      <x:c r="H97" s="83" t="str">
        <x:v>Italia</x:v>
      </x:c>
      <x:c r="I97" s="83" t="str">
        <x:v>Risultato di modello della fonte</x:v>
      </x:c>
      <x:c r="J97" s="83" t="str">
        <x:v>S09</x:v>
      </x:c>
      <x:c r="K97" s="83" t="str">
        <x:v>Documento_Descrizione_Scenari_2024_8dce2430d44d101.pdf</x:v>
      </x:c>
      <x:c r="L97" s="83" t="n">
        <x:v>66</x:v>
      </x:c>
      <x:c r="M97" s="83" t="n">
        <x:v>64</x:v>
      </x:c>
      <x:c r="N97" s="83" t="str">
        <x:v>Tabella 18</x:v>
      </x:c>
      <x:c r="O97" s="83" t="str">
        <x:v>Direct table extraction</x:v>
      </x:c>
      <x:c r="P97" s="83" t="str">
        <x:v>A - Direct</x:v>
      </x:c>
      <x:c r="Q97" s="83" t="str"/>
    </x:row>
    <x:row r="98">
      <x:c r="A98" s="83" t="str">
        <x:v>BAL-0094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Totale produzione convenzionale</x:v>
      </x:c>
      <x:c r="F98" s="143" t="n">
        <x:v>82</x:v>
      </x:c>
      <x:c r="G98" s="83" t="str">
        <x:v>TWh</x:v>
      </x:c>
      <x:c r="H98" s="83" t="str">
        <x:v>Italia</x:v>
      </x:c>
      <x:c r="I98" s="83" t="str">
        <x:v>Risultato di modello della fonte</x:v>
      </x:c>
      <x:c r="J98" s="83" t="str">
        <x:v>S09</x:v>
      </x:c>
      <x:c r="K98" s="83" t="str">
        <x:v>Documento_Descrizione_Scenari_2024_8dce2430d44d101.pdf</x:v>
      </x:c>
      <x:c r="L98" s="83" t="n">
        <x:v>66</x:v>
      </x:c>
      <x:c r="M98" s="83" t="n">
        <x:v>64</x:v>
      </x:c>
      <x:c r="N98" s="83" t="str">
        <x:v>Tabella 18</x:v>
      </x:c>
      <x:c r="O98" s="83" t="str">
        <x:v>Direct table extraction</x:v>
      </x:c>
      <x:c r="P98" s="83" t="str">
        <x:v>A - Direct</x:v>
      </x:c>
      <x:c r="Q98" s="83" t="str"/>
    </x:row>
    <x:row r="99">
      <x:c r="A99" s="83" t="str">
        <x:v>BAL-0095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Totale produzione convenzionale</x:v>
      </x:c>
      <x:c r="F99" s="143" t="n">
        <x:v>83</x:v>
      </x:c>
      <x:c r="G99" s="83" t="str">
        <x:v>TWh</x:v>
      </x:c>
      <x:c r="H99" s="83" t="str">
        <x:v>Italia</x:v>
      </x:c>
      <x:c r="I99" s="83" t="str">
        <x:v>Risultato di modello della fonte</x:v>
      </x:c>
      <x:c r="J99" s="83" t="str">
        <x:v>S09</x:v>
      </x:c>
      <x:c r="K99" s="83" t="str">
        <x:v>Documento_Descrizione_Scenari_2024_8dce2430d44d101.pdf</x:v>
      </x:c>
      <x:c r="L99" s="83" t="n">
        <x:v>66</x:v>
      </x:c>
      <x:c r="M99" s="83" t="n">
        <x:v>64</x:v>
      </x:c>
      <x:c r="N99" s="83" t="str">
        <x:v>Tabella 18</x:v>
      </x:c>
      <x:c r="O99" s="83" t="str">
        <x:v>Direct table extraction</x:v>
      </x:c>
      <x:c r="P99" s="83" t="str">
        <x:v>A - Direct</x:v>
      </x:c>
      <x:c r="Q99" s="83" t="str"/>
    </x:row>
    <x:row r="100">
      <x:c r="A100" s="83" t="str">
        <x:v>BAL-0096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Totale produzione convenzionale</x:v>
      </x:c>
      <x:c r="F100" s="143" t="n">
        <x:v>89</x:v>
      </x:c>
      <x:c r="G100" s="83" t="str">
        <x:v>TWh</x:v>
      </x:c>
      <x:c r="H100" s="83" t="str">
        <x:v>Italia</x:v>
      </x:c>
      <x:c r="I100" s="83" t="str">
        <x:v>Risultato di modello della fonte</x:v>
      </x:c>
      <x:c r="J100" s="83" t="str">
        <x:v>S09</x:v>
      </x:c>
      <x:c r="K100" s="83" t="str">
        <x:v>Documento_Descrizione_Scenari_2024_8dce2430d44d101.pdf</x:v>
      </x:c>
      <x:c r="L100" s="83" t="n">
        <x:v>66</x:v>
      </x:c>
      <x:c r="M100" s="83" t="n">
        <x:v>64</x:v>
      </x:c>
      <x:c r="N100" s="83" t="str">
        <x:v>Tabella 18</x:v>
      </x:c>
      <x:c r="O100" s="83" t="str">
        <x:v>Direct table extraction</x:v>
      </x:c>
      <x:c r="P100" s="83" t="str">
        <x:v>A - Direct</x:v>
      </x:c>
      <x:c r="Q100" s="83" t="str"/>
    </x:row>
    <x:row r="101">
      <x:c r="A101" s="83" t="str">
        <x:v>BAL-0097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Totale produzione convenzionale</x:v>
      </x:c>
      <x:c r="F101" s="143" t="n">
        <x:v>65</x:v>
      </x:c>
      <x:c r="G101" s="83" t="str">
        <x:v>TWh</x:v>
      </x:c>
      <x:c r="H101" s="83" t="str">
        <x:v>Italia</x:v>
      </x:c>
      <x:c r="I101" s="83" t="str">
        <x:v>Risultato di modello della fonte</x:v>
      </x:c>
      <x:c r="J101" s="83" t="str">
        <x:v>S09</x:v>
      </x:c>
      <x:c r="K101" s="83" t="str">
        <x:v>Documento_Descrizione_Scenari_2024_8dce2430d44d101.pdf</x:v>
      </x:c>
      <x:c r="L101" s="83" t="n">
        <x:v>66</x:v>
      </x:c>
      <x:c r="M101" s="83" t="n">
        <x:v>64</x:v>
      </x:c>
      <x:c r="N101" s="83" t="str">
        <x:v>Tabella 18</x:v>
      </x:c>
      <x:c r="O101" s="83" t="str">
        <x:v>Direct table extraction</x:v>
      </x:c>
      <x:c r="P101" s="83" t="str">
        <x:v>A - Direct</x:v>
      </x:c>
      <x:c r="Q101" s="83" t="str"/>
    </x:row>
    <x:row r="102">
      <x:c r="A102" s="83" t="str">
        <x:v>BAL-0098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Totale produzione convenzionale</x:v>
      </x:c>
      <x:c r="F102" s="143" t="n">
        <x:v>67</x:v>
      </x:c>
      <x:c r="G102" s="83" t="str">
        <x:v>TWh</x:v>
      </x:c>
      <x:c r="H102" s="83" t="str">
        <x:v>Italia</x:v>
      </x:c>
      <x:c r="I102" s="83" t="str">
        <x:v>Risultato di modello della fonte</x:v>
      </x:c>
      <x:c r="J102" s="83" t="str">
        <x:v>S09</x:v>
      </x:c>
      <x:c r="K102" s="83" t="str">
        <x:v>Documento_Descrizione_Scenari_2024_8dce2430d44d101.pdf</x:v>
      </x:c>
      <x:c r="L102" s="83" t="n">
        <x:v>66</x:v>
      </x:c>
      <x:c r="M102" s="83" t="n">
        <x:v>64</x:v>
      </x:c>
      <x:c r="N102" s="83" t="str">
        <x:v>Tabella 18</x:v>
      </x:c>
      <x:c r="O102" s="83" t="str">
        <x:v>Direct table extraction</x:v>
      </x:c>
      <x:c r="P102" s="83" t="str">
        <x:v>A - Direct</x:v>
      </x:c>
      <x:c r="Q102" s="83" t="str"/>
    </x:row>
    <x:row r="103">
      <x:c r="A103" s="83" t="str">
        <x:v>BAL-0099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Totale produzione convenzionale</x:v>
      </x:c>
      <x:c r="F103" s="143" t="n">
        <x:v>70</x:v>
      </x:c>
      <x:c r="G103" s="83" t="str">
        <x:v>TWh</x:v>
      </x:c>
      <x:c r="H103" s="83" t="str">
        <x:v>Italia</x:v>
      </x:c>
      <x:c r="I103" s="83" t="str">
        <x:v>Risultato di modello della fonte</x:v>
      </x:c>
      <x:c r="J103" s="83" t="str">
        <x:v>S09</x:v>
      </x:c>
      <x:c r="K103" s="83" t="str">
        <x:v>Documento_Descrizione_Scenari_2024_8dce2430d44d101.pdf</x:v>
      </x:c>
      <x:c r="L103" s="83" t="n">
        <x:v>66</x:v>
      </x:c>
      <x:c r="M103" s="83" t="n">
        <x:v>64</x:v>
      </x:c>
      <x:c r="N103" s="83" t="str">
        <x:v>Tabella 18</x:v>
      </x:c>
      <x:c r="O103" s="83" t="str">
        <x:v>Direct table extraction</x:v>
      </x:c>
      <x:c r="P103" s="83" t="str">
        <x:v>A - Direct</x:v>
      </x:c>
      <x:c r="Q103" s="83" t="str"/>
    </x:row>
    <x:row r="104">
      <x:c r="A104" s="83" t="str">
        <x:v>BAL-0100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Gas naturale</x:v>
      </x:c>
      <x:c r="F104" s="143" t="n">
        <x:v>115</x:v>
      </x:c>
      <x:c r="G104" s="83" t="str">
        <x:v>TWh</x:v>
      </x:c>
      <x:c r="H104" s="83" t="str">
        <x:v>Italia</x:v>
      </x:c>
      <x:c r="I104" s="83" t="str">
        <x:v>Dato osservato storico</x:v>
      </x:c>
      <x:c r="J104" s="83" t="str">
        <x:v>S09</x:v>
      </x:c>
      <x:c r="K104" s="83" t="str">
        <x:v>Documento_Descrizione_Scenari_2024_8dce2430d44d101.pdf</x:v>
      </x:c>
      <x:c r="L104" s="83" t="n">
        <x:v>66</x:v>
      </x:c>
      <x:c r="M104" s="83" t="n">
        <x:v>64</x:v>
      </x:c>
      <x:c r="N104" s="83" t="str">
        <x:v>Tabella 18</x:v>
      </x:c>
      <x:c r="O104" s="83" t="str">
        <x:v>Direct table extraction</x:v>
      </x:c>
      <x:c r="P104" s="83" t="str">
        <x:v>A - Direct</x:v>
      </x:c>
      <x:c r="Q104" s="83" t="str"/>
    </x:row>
    <x:row r="105">
      <x:c r="A105" s="83" t="str">
        <x:v>BAL-0101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Gas naturale</x:v>
      </x:c>
      <x:c r="F105" s="143" t="n">
        <x:v>88</x:v>
      </x:c>
      <x:c r="G105" s="83" t="str">
        <x:v>TWh</x:v>
      </x:c>
      <x:c r="H105" s="83" t="str">
        <x:v>Italia</x:v>
      </x:c>
      <x:c r="I105" s="83" t="str">
        <x:v>Risultato di modello della fonte</x:v>
      </x:c>
      <x:c r="J105" s="83" t="str">
        <x:v>S09</x:v>
      </x:c>
      <x:c r="K105" s="83" t="str">
        <x:v>Documento_Descrizione_Scenari_2024_8dce2430d44d101.pdf</x:v>
      </x:c>
      <x:c r="L105" s="83" t="n">
        <x:v>66</x:v>
      </x:c>
      <x:c r="M105" s="83" t="n">
        <x:v>64</x:v>
      </x:c>
      <x:c r="N105" s="83" t="str">
        <x:v>Tabella 18</x:v>
      </x:c>
      <x:c r="O105" s="83" t="str">
        <x:v>Direct table extraction</x:v>
      </x:c>
      <x:c r="P105" s="83" t="str">
        <x:v>A - Direct</x:v>
      </x:c>
      <x:c r="Q105" s="83" t="str"/>
    </x:row>
    <x:row r="106">
      <x:c r="A106" s="83" t="str">
        <x:v>BAL-0102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Gas naturale</x:v>
      </x:c>
      <x:c r="F106" s="143" t="n">
        <x:v>93</x:v>
      </x:c>
      <x:c r="G106" s="83" t="str">
        <x:v>TWh</x:v>
      </x:c>
      <x:c r="H106" s="83" t="str">
        <x:v>Italia</x:v>
      </x:c>
      <x:c r="I106" s="83" t="str">
        <x:v>Risultato di modello della fonte</x:v>
      </x:c>
      <x:c r="J106" s="83" t="str">
        <x:v>S09</x:v>
      </x:c>
      <x:c r="K106" s="83" t="str">
        <x:v>Documento_Descrizione_Scenari_2024_8dce2430d44d101.pdf</x:v>
      </x:c>
      <x:c r="L106" s="83" t="n">
        <x:v>66</x:v>
      </x:c>
      <x:c r="M106" s="83" t="n">
        <x:v>64</x:v>
      </x:c>
      <x:c r="N106" s="83" t="str">
        <x:v>Tabella 18</x:v>
      </x:c>
      <x:c r="O106" s="83" t="str">
        <x:v>Direct table extraction</x:v>
      </x:c>
      <x:c r="P106" s="83" t="str">
        <x:v>A - Direct</x:v>
      </x:c>
      <x:c r="Q106" s="83" t="str"/>
    </x:row>
    <x:row r="107">
      <x:c r="A107" s="83" t="str">
        <x:v>BAL-0103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Gas naturale</x:v>
      </x:c>
      <x:c r="F107" s="143" t="n">
        <x:v>76</x:v>
      </x:c>
      <x:c r="G107" s="83" t="str">
        <x:v>TWh</x:v>
      </x:c>
      <x:c r="H107" s="83" t="str">
        <x:v>Italia</x:v>
      </x:c>
      <x:c r="I107" s="83" t="str">
        <x:v>Risultato di modello della fonte</x:v>
      </x:c>
      <x:c r="J107" s="83" t="str">
        <x:v>S09</x:v>
      </x:c>
      <x:c r="K107" s="83" t="str">
        <x:v>Documento_Descrizione_Scenari_2024_8dce2430d44d101.pdf</x:v>
      </x:c>
      <x:c r="L107" s="83" t="n">
        <x:v>66</x:v>
      </x:c>
      <x:c r="M107" s="83" t="n">
        <x:v>64</x:v>
      </x:c>
      <x:c r="N107" s="83" t="str">
        <x:v>Tabella 18</x:v>
      </x:c>
      <x:c r="O107" s="83" t="str">
        <x:v>Direct table extraction</x:v>
      </x:c>
      <x:c r="P107" s="83" t="str">
        <x:v>A - Direct</x:v>
      </x:c>
      <x:c r="Q107" s="83" t="str"/>
    </x:row>
    <x:row r="108">
      <x:c r="A108" s="83" t="str">
        <x:v>BAL-0104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Gas naturale</x:v>
      </x:c>
      <x:c r="F108" s="143" t="n">
        <x:v>77</x:v>
      </x:c>
      <x:c r="G108" s="83" t="str">
        <x:v>TWh</x:v>
      </x:c>
      <x:c r="H108" s="83" t="str">
        <x:v>Italia</x:v>
      </x:c>
      <x:c r="I108" s="83" t="str">
        <x:v>Risultato di modello della fonte</x:v>
      </x:c>
      <x:c r="J108" s="83" t="str">
        <x:v>S09</x:v>
      </x:c>
      <x:c r="K108" s="83" t="str">
        <x:v>Documento_Descrizione_Scenari_2024_8dce2430d44d101.pdf</x:v>
      </x:c>
      <x:c r="L108" s="83" t="n">
        <x:v>66</x:v>
      </x:c>
      <x:c r="M108" s="83" t="n">
        <x:v>64</x:v>
      </x:c>
      <x:c r="N108" s="83" t="str">
        <x:v>Tabella 18</x:v>
      </x:c>
      <x:c r="O108" s="83" t="str">
        <x:v>Direct table extraction</x:v>
      </x:c>
      <x:c r="P108" s="83" t="str">
        <x:v>A - Direct</x:v>
      </x:c>
      <x:c r="Q108" s="83" t="str"/>
    </x:row>
    <x:row r="109">
      <x:c r="A109" s="83" t="str">
        <x:v>BAL-0105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Gas naturale</x:v>
      </x:c>
      <x:c r="F109" s="143" t="n">
        <x:v>83</x:v>
      </x:c>
      <x:c r="G109" s="83" t="str">
        <x:v>TWh</x:v>
      </x:c>
      <x:c r="H109" s="83" t="str">
        <x:v>Italia</x:v>
      </x:c>
      <x:c r="I109" s="83" t="str">
        <x:v>Risultato di modello della fonte</x:v>
      </x:c>
      <x:c r="J109" s="83" t="str">
        <x:v>S09</x:v>
      </x:c>
      <x:c r="K109" s="83" t="str">
        <x:v>Documento_Descrizione_Scenari_2024_8dce2430d44d101.pdf</x:v>
      </x:c>
      <x:c r="L109" s="83" t="n">
        <x:v>66</x:v>
      </x:c>
      <x:c r="M109" s="83" t="n">
        <x:v>64</x:v>
      </x:c>
      <x:c r="N109" s="83" t="str">
        <x:v>Tabella 18</x:v>
      </x:c>
      <x:c r="O109" s="83" t="str">
        <x:v>Direct table extraction</x:v>
      </x:c>
      <x:c r="P109" s="83" t="str">
        <x:v>A - Direct</x:v>
      </x:c>
      <x:c r="Q109" s="83" t="str"/>
    </x:row>
    <x:row r="110">
      <x:c r="A110" s="83" t="str">
        <x:v>BAL-0106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Gas naturale</x:v>
      </x:c>
      <x:c r="F110" s="143" t="n">
        <x:v>59</x:v>
      </x:c>
      <x:c r="G110" s="83" t="str">
        <x:v>TWh</x:v>
      </x:c>
      <x:c r="H110" s="83" t="str">
        <x:v>Italia</x:v>
      </x:c>
      <x:c r="I110" s="83" t="str">
        <x:v>Risultato di modello della fonte</x:v>
      </x:c>
      <x:c r="J110" s="83" t="str">
        <x:v>S09</x:v>
      </x:c>
      <x:c r="K110" s="83" t="str">
        <x:v>Documento_Descrizione_Scenari_2024_8dce2430d44d101.pdf</x:v>
      </x:c>
      <x:c r="L110" s="83" t="n">
        <x:v>66</x:v>
      </x:c>
      <x:c r="M110" s="83" t="n">
        <x:v>64</x:v>
      </x:c>
      <x:c r="N110" s="83" t="str">
        <x:v>Tabella 18</x:v>
      </x:c>
      <x:c r="O110" s="83" t="str">
        <x:v>Direct table extraction</x:v>
      </x:c>
      <x:c r="P110" s="83" t="str">
        <x:v>A - Direct</x:v>
      </x:c>
      <x:c r="Q110" s="83" t="str"/>
    </x:row>
    <x:row r="111">
      <x:c r="A111" s="83" t="str">
        <x:v>BAL-0107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Gas naturale</x:v>
      </x:c>
      <x:c r="F111" s="143" t="n">
        <x:v>61</x:v>
      </x:c>
      <x:c r="G111" s="83" t="str">
        <x:v>TWh</x:v>
      </x:c>
      <x:c r="H111" s="83" t="str">
        <x:v>Italia</x:v>
      </x:c>
      <x:c r="I111" s="83" t="str">
        <x:v>Risultato di modello della fonte</x:v>
      </x:c>
      <x:c r="J111" s="83" t="str">
        <x:v>S09</x:v>
      </x:c>
      <x:c r="K111" s="83" t="str">
        <x:v>Documento_Descrizione_Scenari_2024_8dce2430d44d101.pdf</x:v>
      </x:c>
      <x:c r="L111" s="83" t="n">
        <x:v>66</x:v>
      </x:c>
      <x:c r="M111" s="83" t="n">
        <x:v>64</x:v>
      </x:c>
      <x:c r="N111" s="83" t="str">
        <x:v>Tabella 18</x:v>
      </x:c>
      <x:c r="O111" s="83" t="str">
        <x:v>Direct table extraction</x:v>
      </x:c>
      <x:c r="P111" s="83" t="str">
        <x:v>A - Direct</x:v>
      </x:c>
      <x:c r="Q111" s="83" t="str"/>
    </x:row>
    <x:row r="112">
      <x:c r="A112" s="83" t="str">
        <x:v>BAL-0108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Gas naturale</x:v>
      </x:c>
      <x:c r="F112" s="143" t="n">
        <x:v>64</x:v>
      </x:c>
      <x:c r="G112" s="83" t="str">
        <x:v>TWh</x:v>
      </x:c>
      <x:c r="H112" s="83" t="str">
        <x:v>Italia</x:v>
      </x:c>
      <x:c r="I112" s="83" t="str">
        <x:v>Risultato di modello della fonte</x:v>
      </x:c>
      <x:c r="J112" s="83" t="str">
        <x:v>S09</x:v>
      </x:c>
      <x:c r="K112" s="83" t="str">
        <x:v>Documento_Descrizione_Scenari_2024_8dce2430d44d101.pdf</x:v>
      </x:c>
      <x:c r="L112" s="83" t="n">
        <x:v>66</x:v>
      </x:c>
      <x:c r="M112" s="83" t="n">
        <x:v>64</x:v>
      </x:c>
      <x:c r="N112" s="83" t="str">
        <x:v>Tabella 18</x:v>
      </x:c>
      <x:c r="O112" s="83" t="str">
        <x:v>Direct table extraction</x:v>
      </x:c>
      <x:c r="P112" s="83" t="str">
        <x:v>A - Direct</x:v>
      </x:c>
      <x:c r="Q112" s="83" t="str"/>
    </x:row>
    <x:row r="113">
      <x:c r="A113" s="83" t="str">
        <x:v>BAL-0109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Altro non FER</x:v>
      </x:c>
      <x:c r="F113" s="143" t="n">
        <x:v>28</x:v>
      </x:c>
      <x:c r="G113" s="83" t="str">
        <x:v>TWh</x:v>
      </x:c>
      <x:c r="H113" s="83" t="str">
        <x:v>Italia</x:v>
      </x:c>
      <x:c r="I113" s="83" t="str">
        <x:v>Dato osservato storico</x:v>
      </x:c>
      <x:c r="J113" s="83" t="str">
        <x:v>S09</x:v>
      </x:c>
      <x:c r="K113" s="83" t="str">
        <x:v>Documento_Descrizione_Scenari_2024_8dce2430d44d101.pdf</x:v>
      </x:c>
      <x:c r="L113" s="83" t="n">
        <x:v>66</x:v>
      </x:c>
      <x:c r="M113" s="83" t="n">
        <x:v>64</x:v>
      </x:c>
      <x:c r="N113" s="83" t="str">
        <x:v>Tabella 18</x:v>
      </x:c>
      <x:c r="O113" s="83" t="str">
        <x:v>Direct table extraction</x:v>
      </x:c>
      <x:c r="P113" s="83" t="str">
        <x:v>A - Direct</x:v>
      </x:c>
      <x:c r="Q113" s="83" t="str"/>
    </x:row>
    <x:row r="114">
      <x:c r="A114" s="83" t="str">
        <x:v>BAL-0110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Altro non FER</x:v>
      </x:c>
      <x:c r="F114" s="143" t="n">
        <x:v>8</x:v>
      </x:c>
      <x:c r="G114" s="83" t="str">
        <x:v>TWh</x:v>
      </x:c>
      <x:c r="H114" s="83" t="str">
        <x:v>Italia</x:v>
      </x:c>
      <x:c r="I114" s="83" t="str">
        <x:v>Risultato di modello della fonte</x:v>
      </x:c>
      <x:c r="J114" s="83" t="str">
        <x:v>S09</x:v>
      </x:c>
      <x:c r="K114" s="83" t="str">
        <x:v>Documento_Descrizione_Scenari_2024_8dce2430d44d101.pdf</x:v>
      </x:c>
      <x:c r="L114" s="83" t="n">
        <x:v>66</x:v>
      </x:c>
      <x:c r="M114" s="83" t="n">
        <x:v>64</x:v>
      </x:c>
      <x:c r="N114" s="83" t="str">
        <x:v>Tabella 18</x:v>
      </x:c>
      <x:c r="O114" s="83" t="str">
        <x:v>Direct table extraction</x:v>
      </x:c>
      <x:c r="P114" s="83" t="str">
        <x:v>A - Direct</x:v>
      </x:c>
      <x:c r="Q114" s="83" t="str"/>
    </x:row>
    <x:row r="115">
      <x:c r="A115" s="83" t="str">
        <x:v>BAL-0111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Altro non FER</x:v>
      </x:c>
      <x:c r="F115" s="143" t="n">
        <x:v>8</x:v>
      </x:c>
      <x:c r="G115" s="83" t="str">
        <x:v>TWh</x:v>
      </x:c>
      <x:c r="H115" s="83" t="str">
        <x:v>Italia</x:v>
      </x:c>
      <x:c r="I115" s="83" t="str">
        <x:v>Risultato di modello della fonte</x:v>
      </x:c>
      <x:c r="J115" s="83" t="str">
        <x:v>S09</x:v>
      </x:c>
      <x:c r="K115" s="83" t="str">
        <x:v>Documento_Descrizione_Scenari_2024_8dce2430d44d101.pdf</x:v>
      </x:c>
      <x:c r="L115" s="83" t="n">
        <x:v>66</x:v>
      </x:c>
      <x:c r="M115" s="83" t="n">
        <x:v>64</x:v>
      </x:c>
      <x:c r="N115" s="83" t="str">
        <x:v>Tabella 18</x:v>
      </x:c>
      <x:c r="O115" s="83" t="str">
        <x:v>Direct table extraction</x:v>
      </x:c>
      <x:c r="P115" s="83" t="str">
        <x:v>A - Direct</x:v>
      </x:c>
      <x:c r="Q115" s="83" t="str"/>
    </x:row>
    <x:row r="116">
      <x:c r="A116" s="83" t="str">
        <x:v>BAL-0112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Altro non FER</x:v>
      </x:c>
      <x:c r="F116" s="143" t="n">
        <x:v>6</x:v>
      </x:c>
      <x:c r="G116" s="83" t="str">
        <x:v>TWh</x:v>
      </x:c>
      <x:c r="H116" s="83" t="str">
        <x:v>Italia</x:v>
      </x:c>
      <x:c r="I116" s="83" t="str">
        <x:v>Risultato di modello della fonte</x:v>
      </x:c>
      <x:c r="J116" s="83" t="str">
        <x:v>S09</x:v>
      </x:c>
      <x:c r="K116" s="83" t="str">
        <x:v>Documento_Descrizione_Scenari_2024_8dce2430d44d101.pdf</x:v>
      </x:c>
      <x:c r="L116" s="83" t="n">
        <x:v>66</x:v>
      </x:c>
      <x:c r="M116" s="83" t="n">
        <x:v>64</x:v>
      </x:c>
      <x:c r="N116" s="83" t="str">
        <x:v>Tabella 18</x:v>
      </x:c>
      <x:c r="O116" s="83" t="str">
        <x:v>Direct table extraction</x:v>
      </x:c>
      <x:c r="P116" s="83" t="str">
        <x:v>A - Direct</x:v>
      </x:c>
      <x:c r="Q116" s="83" t="str"/>
    </x:row>
    <x:row r="117">
      <x:c r="A117" s="83" t="str">
        <x:v>BAL-0113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Altro non FER</x:v>
      </x:c>
      <x:c r="F117" s="143" t="n">
        <x:v>6</x:v>
      </x:c>
      <x:c r="G117" s="83" t="str">
        <x:v>TWh</x:v>
      </x:c>
      <x:c r="H117" s="83" t="str">
        <x:v>Italia</x:v>
      </x:c>
      <x:c r="I117" s="83" t="str">
        <x:v>Risultato di modello della fonte</x:v>
      </x:c>
      <x:c r="J117" s="83" t="str">
        <x:v>S09</x:v>
      </x:c>
      <x:c r="K117" s="83" t="str">
        <x:v>Documento_Descrizione_Scenari_2024_8dce2430d44d101.pdf</x:v>
      </x:c>
      <x:c r="L117" s="83" t="n">
        <x:v>66</x:v>
      </x:c>
      <x:c r="M117" s="83" t="n">
        <x:v>64</x:v>
      </x:c>
      <x:c r="N117" s="83" t="str">
        <x:v>Tabella 18</x:v>
      </x:c>
      <x:c r="O117" s="83" t="str">
        <x:v>Direct table extraction</x:v>
      </x:c>
      <x:c r="P117" s="83" t="str">
        <x:v>A - Direct</x:v>
      </x:c>
      <x:c r="Q117" s="83" t="str"/>
    </x:row>
    <x:row r="118">
      <x:c r="A118" s="83" t="str">
        <x:v>BAL-0114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Altro non FER</x:v>
      </x:c>
      <x:c r="F118" s="143" t="n">
        <x:v>6</x:v>
      </x:c>
      <x:c r="G118" s="83" t="str">
        <x:v>TWh</x:v>
      </x:c>
      <x:c r="H118" s="83" t="str">
        <x:v>Italia</x:v>
      </x:c>
      <x:c r="I118" s="83" t="str">
        <x:v>Risultato di modello della fonte</x:v>
      </x:c>
      <x:c r="J118" s="83" t="str">
        <x:v>S09</x:v>
      </x:c>
      <x:c r="K118" s="83" t="str">
        <x:v>Documento_Descrizione_Scenari_2024_8dce2430d44d101.pdf</x:v>
      </x:c>
      <x:c r="L118" s="83" t="n">
        <x:v>66</x:v>
      </x:c>
      <x:c r="M118" s="83" t="n">
        <x:v>64</x:v>
      </x:c>
      <x:c r="N118" s="83" t="str">
        <x:v>Tabella 18</x:v>
      </x:c>
      <x:c r="O118" s="83" t="str">
        <x:v>Direct table extraction</x:v>
      </x:c>
      <x:c r="P118" s="83" t="str">
        <x:v>A - Direct</x:v>
      </x:c>
      <x:c r="Q118" s="83" t="str"/>
    </x:row>
    <x:row r="119">
      <x:c r="A119" s="83" t="str">
        <x:v>BAL-0115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Altro non FER</x:v>
      </x:c>
      <x:c r="F119" s="143" t="n">
        <x:v>6</x:v>
      </x:c>
      <x:c r="G119" s="83" t="str">
        <x:v>TWh</x:v>
      </x:c>
      <x:c r="H119" s="83" t="str">
        <x:v>Italia</x:v>
      </x:c>
      <x:c r="I119" s="83" t="str">
        <x:v>Risultato di modello della fonte</x:v>
      </x:c>
      <x:c r="J119" s="83" t="str">
        <x:v>S09</x:v>
      </x:c>
      <x:c r="K119" s="83" t="str">
        <x:v>Documento_Descrizione_Scenari_2024_8dce2430d44d101.pdf</x:v>
      </x:c>
      <x:c r="L119" s="83" t="n">
        <x:v>66</x:v>
      </x:c>
      <x:c r="M119" s="83" t="n">
        <x:v>64</x:v>
      </x:c>
      <x:c r="N119" s="83" t="str">
        <x:v>Tabella 18</x:v>
      </x:c>
      <x:c r="O119" s="83" t="str">
        <x:v>Direct table extraction</x:v>
      </x:c>
      <x:c r="P119" s="83" t="str">
        <x:v>A - Direct</x:v>
      </x:c>
      <x:c r="Q119" s="83" t="str"/>
    </x:row>
    <x:row r="120">
      <x:c r="A120" s="83" t="str">
        <x:v>BAL-0116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Altro non FER</x:v>
      </x:c>
      <x:c r="F120" s="143" t="n">
        <x:v>6</x:v>
      </x:c>
      <x:c r="G120" s="83" t="str">
        <x:v>TWh</x:v>
      </x:c>
      <x:c r="H120" s="83" t="str">
        <x:v>Italia</x:v>
      </x:c>
      <x:c r="I120" s="83" t="str">
        <x:v>Risultato di modello della fonte</x:v>
      </x:c>
      <x:c r="J120" s="83" t="str">
        <x:v>S09</x:v>
      </x:c>
      <x:c r="K120" s="83" t="str">
        <x:v>Documento_Descrizione_Scenari_2024_8dce2430d44d101.pdf</x:v>
      </x:c>
      <x:c r="L120" s="83" t="n">
        <x:v>66</x:v>
      </x:c>
      <x:c r="M120" s="83" t="n">
        <x:v>64</x:v>
      </x:c>
      <x:c r="N120" s="83" t="str">
        <x:v>Tabella 18</x:v>
      </x:c>
      <x:c r="O120" s="83" t="str">
        <x:v>Direct table extraction</x:v>
      </x:c>
      <x:c r="P120" s="83" t="str">
        <x:v>A - Direct</x:v>
      </x:c>
      <x:c r="Q120" s="83" t="str"/>
    </x:row>
    <x:row r="121">
      <x:c r="A121" s="83" t="str">
        <x:v>BAL-0117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Altro non FER</x:v>
      </x:c>
      <x:c r="F121" s="143" t="n">
        <x:v>6</x:v>
      </x:c>
      <x:c r="G121" s="83" t="str">
        <x:v>TWh</x:v>
      </x:c>
      <x:c r="H121" s="83" t="str">
        <x:v>Italia</x:v>
      </x:c>
      <x:c r="I121" s="83" t="str">
        <x:v>Risultato di modello della fonte</x:v>
      </x:c>
      <x:c r="J121" s="83" t="str">
        <x:v>S09</x:v>
      </x:c>
      <x:c r="K121" s="83" t="str">
        <x:v>Documento_Descrizione_Scenari_2024_8dce2430d44d101.pdf</x:v>
      </x:c>
      <x:c r="L121" s="83" t="n">
        <x:v>66</x:v>
      </x:c>
      <x:c r="M121" s="83" t="n">
        <x:v>64</x:v>
      </x:c>
      <x:c r="N121" s="83" t="str">
        <x:v>Tabella 18</x:v>
      </x:c>
      <x:c r="O121" s="83" t="str">
        <x:v>Direct table extraction</x:v>
      </x:c>
      <x:c r="P121" s="83" t="str">
        <x:v>A - Direct</x:v>
      </x:c>
      <x:c r="Q121" s="83" t="str"/>
    </x:row>
    <x:row r="122">
      <x:c r="A122" s="83" t="str">
        <x:v>BAL-0118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Saldo estero (import netto)</x:v>
      </x:c>
      <x:c r="F122" s="143" t="n">
        <x:v>51</x:v>
      </x:c>
      <x:c r="G122" s="83" t="str">
        <x:v>TWh</x:v>
      </x:c>
      <x:c r="H122" s="83" t="str">
        <x:v>Italia</x:v>
      </x:c>
      <x:c r="I122" s="83" t="str">
        <x:v>Dato osservato storico</x:v>
      </x:c>
      <x:c r="J122" s="83" t="str">
        <x:v>S09</x:v>
      </x:c>
      <x:c r="K122" s="83" t="str">
        <x:v>Documento_Descrizione_Scenari_2024_8dce2430d44d101.pdf</x:v>
      </x:c>
      <x:c r="L122" s="83" t="n">
        <x:v>66</x:v>
      </x:c>
      <x:c r="M122" s="83" t="n">
        <x:v>64</x:v>
      </x:c>
      <x:c r="N122" s="83" t="str">
        <x:v>Tabella 18</x:v>
      </x:c>
      <x:c r="O122" s="83" t="str">
        <x:v>Direct table extraction</x:v>
      </x:c>
      <x:c r="P122" s="83" t="str">
        <x:v>A - Direct</x:v>
      </x:c>
      <x:c r="Q122" s="83" t="str"/>
    </x:row>
    <x:row r="123">
      <x:c r="A123" s="83" t="str">
        <x:v>BAL-0119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Saldo estero (import netto)</x:v>
      </x:c>
      <x:c r="F123" s="143" t="n">
        <x:v>43</x:v>
      </x:c>
      <x:c r="G123" s="83" t="str">
        <x:v>TWh</x:v>
      </x:c>
      <x:c r="H123" s="83" t="str">
        <x:v>Italia</x:v>
      </x:c>
      <x:c r="I123" s="83" t="str">
        <x:v>Risultato di modello della fonte</x:v>
      </x:c>
      <x:c r="J123" s="83" t="str">
        <x:v>S09</x:v>
      </x:c>
      <x:c r="K123" s="83" t="str">
        <x:v>Documento_Descrizione_Scenari_2024_8dce2430d44d101.pdf</x:v>
      </x:c>
      <x:c r="L123" s="83" t="n">
        <x:v>66</x:v>
      </x:c>
      <x:c r="M123" s="83" t="n">
        <x:v>64</x:v>
      </x:c>
      <x:c r="N123" s="83" t="str">
        <x:v>Tabella 18</x:v>
      </x:c>
      <x:c r="O123" s="83" t="str">
        <x:v>Direct table extraction</x:v>
      </x:c>
      <x:c r="P123" s="83" t="str">
        <x:v>A - Direct</x:v>
      </x:c>
      <x:c r="Q123" s="83" t="str"/>
    </x:row>
    <x:row r="124">
      <x:c r="A124" s="83" t="str">
        <x:v>BAL-0120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Saldo estero (import netto)</x:v>
      </x:c>
      <x:c r="F124" s="143" t="n">
        <x:v>47</x:v>
      </x:c>
      <x:c r="G124" s="83" t="str">
        <x:v>TWh</x:v>
      </x:c>
      <x:c r="H124" s="83" t="str">
        <x:v>Italia</x:v>
      </x:c>
      <x:c r="I124" s="83" t="str">
        <x:v>Risultato di modello della fonte</x:v>
      </x:c>
      <x:c r="J124" s="83" t="str">
        <x:v>S09</x:v>
      </x:c>
      <x:c r="K124" s="83" t="str">
        <x:v>Documento_Descrizione_Scenari_2024_8dce2430d44d101.pdf</x:v>
      </x:c>
      <x:c r="L124" s="83" t="n">
        <x:v>66</x:v>
      </x:c>
      <x:c r="M124" s="83" t="n">
        <x:v>64</x:v>
      </x:c>
      <x:c r="N124" s="83" t="str">
        <x:v>Tabella 18</x:v>
      </x:c>
      <x:c r="O124" s="83" t="str">
        <x:v>Direct table extraction</x:v>
      </x:c>
      <x:c r="P124" s="83" t="str">
        <x:v>A - Direct</x:v>
      </x:c>
      <x:c r="Q124" s="83" t="str"/>
    </x:row>
    <x:row r="125">
      <x:c r="A125" s="83" t="str">
        <x:v>BAL-0121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Saldo estero (import netto)</x:v>
      </x:c>
      <x:c r="F125" s="143" t="n">
        <x:v>45</x:v>
      </x:c>
      <x:c r="G125" s="83" t="str">
        <x:v>TWh</x:v>
      </x:c>
      <x:c r="H125" s="83" t="str">
        <x:v>Italia</x:v>
      </x:c>
      <x:c r="I125" s="83" t="str">
        <x:v>Risultato di modello della fonte</x:v>
      </x:c>
      <x:c r="J125" s="83" t="str">
        <x:v>S09</x:v>
      </x:c>
      <x:c r="K125" s="83" t="str">
        <x:v>Documento_Descrizione_Scenari_2024_8dce2430d44d101.pdf</x:v>
      </x:c>
      <x:c r="L125" s="83" t="n">
        <x:v>66</x:v>
      </x:c>
      <x:c r="M125" s="83" t="n">
        <x:v>64</x:v>
      </x:c>
      <x:c r="N125" s="83" t="str">
        <x:v>Tabella 18</x:v>
      </x:c>
      <x:c r="O125" s="83" t="str">
        <x:v>Direct table extraction</x:v>
      </x:c>
      <x:c r="P125" s="83" t="str">
        <x:v>A - Direct</x:v>
      </x:c>
      <x:c r="Q125" s="83" t="str"/>
    </x:row>
    <x:row r="126">
      <x:c r="A126" s="83" t="str">
        <x:v>BAL-0122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Saldo estero (import netto)</x:v>
      </x:c>
      <x:c r="F126" s="143" t="n">
        <x:v>47</x:v>
      </x:c>
      <x:c r="G126" s="83" t="str">
        <x:v>TWh</x:v>
      </x:c>
      <x:c r="H126" s="83" t="str">
        <x:v>Italia</x:v>
      </x:c>
      <x:c r="I126" s="83" t="str">
        <x:v>Risultato di modello della fonte</x:v>
      </x:c>
      <x:c r="J126" s="83" t="str">
        <x:v>S09</x:v>
      </x:c>
      <x:c r="K126" s="83" t="str">
        <x:v>Documento_Descrizione_Scenari_2024_8dce2430d44d101.pdf</x:v>
      </x:c>
      <x:c r="L126" s="83" t="n">
        <x:v>66</x:v>
      </x:c>
      <x:c r="M126" s="83" t="n">
        <x:v>64</x:v>
      </x:c>
      <x:c r="N126" s="83" t="str">
        <x:v>Tabella 18</x:v>
      </x:c>
      <x:c r="O126" s="83" t="str">
        <x:v>Direct table extraction</x:v>
      </x:c>
      <x:c r="P126" s="83" t="str">
        <x:v>A - Direct</x:v>
      </x:c>
      <x:c r="Q126" s="83" t="str"/>
    </x:row>
    <x:row r="127">
      <x:c r="A127" s="83" t="str">
        <x:v>BAL-0123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Saldo estero (import netto)</x:v>
      </x:c>
      <x:c r="F127" s="143" t="n">
        <x:v>50</x:v>
      </x:c>
      <x:c r="G127" s="83" t="str">
        <x:v>TWh</x:v>
      </x:c>
      <x:c r="H127" s="83" t="str">
        <x:v>Italia</x:v>
      </x:c>
      <x:c r="I127" s="83" t="str">
        <x:v>Risultato di modello della fonte</x:v>
      </x:c>
      <x:c r="J127" s="83" t="str">
        <x:v>S09</x:v>
      </x:c>
      <x:c r="K127" s="83" t="str">
        <x:v>Documento_Descrizione_Scenari_2024_8dce2430d44d101.pdf</x:v>
      </x:c>
      <x:c r="L127" s="83" t="n">
        <x:v>66</x:v>
      </x:c>
      <x:c r="M127" s="83" t="n">
        <x:v>64</x:v>
      </x:c>
      <x:c r="N127" s="83" t="str">
        <x:v>Tabella 18</x:v>
      </x:c>
      <x:c r="O127" s="83" t="str">
        <x:v>Direct table extraction</x:v>
      </x:c>
      <x:c r="P127" s="83" t="str">
        <x:v>A - Direct</x:v>
      </x:c>
      <x:c r="Q127" s="83" t="str"/>
    </x:row>
    <x:row r="128">
      <x:c r="A128" s="83" t="str">
        <x:v>BAL-0124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Saldo estero (import netto)</x:v>
      </x:c>
      <x:c r="F128" s="143" t="n">
        <x:v>47</x:v>
      </x:c>
      <x:c r="G128" s="83" t="str">
        <x:v>TWh</x:v>
      </x:c>
      <x:c r="H128" s="83" t="str">
        <x:v>Italia</x:v>
      </x:c>
      <x:c r="I128" s="83" t="str">
        <x:v>Risultato di modello della fonte</x:v>
      </x:c>
      <x:c r="J128" s="83" t="str">
        <x:v>S09</x:v>
      </x:c>
      <x:c r="K128" s="83" t="str">
        <x:v>Documento_Descrizione_Scenari_2024_8dce2430d44d101.pdf</x:v>
      </x:c>
      <x:c r="L128" s="83" t="n">
        <x:v>66</x:v>
      </x:c>
      <x:c r="M128" s="83" t="n">
        <x:v>64</x:v>
      </x:c>
      <x:c r="N128" s="83" t="str">
        <x:v>Tabella 18</x:v>
      </x:c>
      <x:c r="O128" s="83" t="str">
        <x:v>Direct table extraction</x:v>
      </x:c>
      <x:c r="P128" s="83" t="str">
        <x:v>A - Direct</x:v>
      </x:c>
      <x:c r="Q128" s="83" t="str"/>
    </x:row>
    <x:row r="129">
      <x:c r="A129" s="83" t="str">
        <x:v>BAL-0125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Saldo estero (import netto)</x:v>
      </x:c>
      <x:c r="F129" s="143" t="n">
        <x:v>46</x:v>
      </x:c>
      <x:c r="G129" s="83" t="str">
        <x:v>TWh</x:v>
      </x:c>
      <x:c r="H129" s="83" t="str">
        <x:v>Italia</x:v>
      </x:c>
      <x:c r="I129" s="83" t="str">
        <x:v>Risultato di modello della fonte</x:v>
      </x:c>
      <x:c r="J129" s="83" t="str">
        <x:v>S09</x:v>
      </x:c>
      <x:c r="K129" s="83" t="str">
        <x:v>Documento_Descrizione_Scenari_2024_8dce2430d44d101.pdf</x:v>
      </x:c>
      <x:c r="L129" s="83" t="n">
        <x:v>66</x:v>
      </x:c>
      <x:c r="M129" s="83" t="n">
        <x:v>64</x:v>
      </x:c>
      <x:c r="N129" s="83" t="str">
        <x:v>Tabella 18</x:v>
      </x:c>
      <x:c r="O129" s="83" t="str">
        <x:v>Direct table extraction</x:v>
      </x:c>
      <x:c r="P129" s="83" t="str">
        <x:v>A - Direct</x:v>
      </x:c>
      <x:c r="Q129" s="83" t="str"/>
    </x:row>
    <x:row r="130">
      <x:c r="A130" s="83" t="str">
        <x:v>BAL-0126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Saldo estero (import netto)</x:v>
      </x:c>
      <x:c r="F130" s="143" t="n">
        <x:v>47</x:v>
      </x:c>
      <x:c r="G130" s="83" t="str">
        <x:v>TWh</x:v>
      </x:c>
      <x:c r="H130" s="83" t="str">
        <x:v>Italia</x:v>
      </x:c>
      <x:c r="I130" s="83" t="str">
        <x:v>Risultato di modello della fonte</x:v>
      </x:c>
      <x:c r="J130" s="83" t="str">
        <x:v>S09</x:v>
      </x:c>
      <x:c r="K130" s="83" t="str">
        <x:v>Documento_Descrizione_Scenari_2024_8dce2430d44d101.pdf</x:v>
      </x:c>
      <x:c r="L130" s="83" t="n">
        <x:v>66</x:v>
      </x:c>
      <x:c r="M130" s="83" t="n">
        <x:v>64</x:v>
      </x:c>
      <x:c r="N130" s="83" t="str">
        <x:v>Tabella 18</x:v>
      </x:c>
      <x:c r="O130" s="83" t="str">
        <x:v>Direct table extraction</x:v>
      </x:c>
      <x:c r="P130" s="83" t="str">
        <x:v>A - Direct</x:v>
      </x:c>
      <x:c r="Q130" s="83" t="str"/>
    </x:row>
    <x:row r="131">
      <x:c r="A131" s="83" t="str">
        <x:v>BAL-0127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Perdite accumuli</x:v>
      </x:c>
      <x:c r="F131" s="143" t="n">
        <x:v>-1</x:v>
      </x:c>
      <x:c r="G131" s="83" t="str">
        <x:v>TWh</x:v>
      </x:c>
      <x:c r="H131" s="83" t="str">
        <x:v>Italia</x:v>
      </x:c>
      <x:c r="I131" s="83" t="str">
        <x:v>Dato osservato storico</x:v>
      </x:c>
      <x:c r="J131" s="83" t="str">
        <x:v>S09</x:v>
      </x:c>
      <x:c r="K131" s="83" t="str">
        <x:v>Documento_Descrizione_Scenari_2024_8dce2430d44d101.pdf</x:v>
      </x:c>
      <x:c r="L131" s="83" t="n">
        <x:v>66</x:v>
      </x:c>
      <x:c r="M131" s="83" t="n">
        <x:v>64</x:v>
      </x:c>
      <x:c r="N131" s="83" t="str">
        <x:v>Tabella 18</x:v>
      </x:c>
      <x:c r="O131" s="83" t="str">
        <x:v>Direct table extraction</x:v>
      </x:c>
      <x:c r="P131" s="83" t="str">
        <x:v>A - Direct</x:v>
      </x:c>
      <x:c r="Q131" s="83" t="str">
        <x:v>Overgeneration and storage losses are shown as negative balance terms.</x:v>
      </x:c>
    </x:row>
    <x:row r="132">
      <x:c r="A132" s="83" t="str">
        <x:v>BAL-0128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Perdite accumuli</x:v>
      </x:c>
      <x:c r="F132" s="143" t="n">
        <x:v>-4</x:v>
      </x:c>
      <x:c r="G132" s="83" t="str">
        <x:v>TWh</x:v>
      </x:c>
      <x:c r="H132" s="83" t="str">
        <x:v>Italia</x:v>
      </x:c>
      <x:c r="I132" s="83" t="str">
        <x:v>Risultato di modello della fonte</x:v>
      </x:c>
      <x:c r="J132" s="83" t="str">
        <x:v>S09</x:v>
      </x:c>
      <x:c r="K132" s="83" t="str">
        <x:v>Documento_Descrizione_Scenari_2024_8dce2430d44d101.pdf</x:v>
      </x:c>
      <x:c r="L132" s="83" t="n">
        <x:v>66</x:v>
      </x:c>
      <x:c r="M132" s="83" t="n">
        <x:v>64</x:v>
      </x:c>
      <x:c r="N132" s="83" t="str">
        <x:v>Tabella 18</x:v>
      </x:c>
      <x:c r="O132" s="83" t="str">
        <x:v>Direct table extraction</x:v>
      </x:c>
      <x:c r="P132" s="83" t="str">
        <x:v>A - Direct</x:v>
      </x:c>
      <x:c r="Q132" s="83" t="str">
        <x:v>Overgeneration and storage losses are shown as negative balance terms.</x:v>
      </x:c>
    </x:row>
    <x:row r="133">
      <x:c r="A133" s="83" t="str">
        <x:v>BAL-0129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Perdite accumuli</x:v>
      </x:c>
      <x:c r="F133" s="143" t="n">
        <x:v>-3</x:v>
      </x:c>
      <x:c r="G133" s="83" t="str">
        <x:v>TWh</x:v>
      </x:c>
      <x:c r="H133" s="83" t="str">
        <x:v>Italia</x:v>
      </x:c>
      <x:c r="I133" s="83" t="str">
        <x:v>Risultato di modello della fonte</x:v>
      </x:c>
      <x:c r="J133" s="83" t="str">
        <x:v>S09</x:v>
      </x:c>
      <x:c r="K133" s="83" t="str">
        <x:v>Documento_Descrizione_Scenari_2024_8dce2430d44d101.pdf</x:v>
      </x:c>
      <x:c r="L133" s="83" t="n">
        <x:v>66</x:v>
      </x:c>
      <x:c r="M133" s="83" t="n">
        <x:v>64</x:v>
      </x:c>
      <x:c r="N133" s="83" t="str">
        <x:v>Tabella 18</x:v>
      </x:c>
      <x:c r="O133" s="83" t="str">
        <x:v>Direct table extraction</x:v>
      </x:c>
      <x:c r="P133" s="83" t="str">
        <x:v>A - Direct</x:v>
      </x:c>
      <x:c r="Q133" s="83" t="str">
        <x:v>Overgeneration and storage losses are shown as negative balance terms.</x:v>
      </x:c>
    </x:row>
    <x:row r="134">
      <x:c r="A134" s="83" t="str">
        <x:v>BAL-0130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Perdite accumuli</x:v>
      </x:c>
      <x:c r="F134" s="143" t="n">
        <x:v>-6</x:v>
      </x:c>
      <x:c r="G134" s="83" t="str">
        <x:v>TWh</x:v>
      </x:c>
      <x:c r="H134" s="83" t="str">
        <x:v>Italia</x:v>
      </x:c>
      <x:c r="I134" s="83" t="str">
        <x:v>Risultato di modello della fonte</x:v>
      </x:c>
      <x:c r="J134" s="83" t="str">
        <x:v>S09</x:v>
      </x:c>
      <x:c r="K134" s="83" t="str">
        <x:v>Documento_Descrizione_Scenari_2024_8dce2430d44d101.pdf</x:v>
      </x:c>
      <x:c r="L134" s="83" t="n">
        <x:v>66</x:v>
      </x:c>
      <x:c r="M134" s="83" t="n">
        <x:v>64</x:v>
      </x:c>
      <x:c r="N134" s="83" t="str">
        <x:v>Tabella 18</x:v>
      </x:c>
      <x:c r="O134" s="83" t="str">
        <x:v>Direct table extraction</x:v>
      </x:c>
      <x:c r="P134" s="83" t="str">
        <x:v>A - Direct</x:v>
      </x:c>
      <x:c r="Q134" s="83" t="str">
        <x:v>Overgeneration and storage losses are shown as negative balance terms.</x:v>
      </x:c>
    </x:row>
    <x:row r="135">
      <x:c r="A135" s="83" t="str">
        <x:v>BAL-0131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Perdite accumuli</x:v>
      </x:c>
      <x:c r="F135" s="143" t="n">
        <x:v>-5</x:v>
      </x:c>
      <x:c r="G135" s="83" t="str">
        <x:v>TWh</x:v>
      </x:c>
      <x:c r="H135" s="83" t="str">
        <x:v>Italia</x:v>
      </x:c>
      <x:c r="I135" s="83" t="str">
        <x:v>Risultato di modello della fonte</x:v>
      </x:c>
      <x:c r="J135" s="83" t="str">
        <x:v>S09</x:v>
      </x:c>
      <x:c r="K135" s="83" t="str">
        <x:v>Documento_Descrizione_Scenari_2024_8dce2430d44d101.pdf</x:v>
      </x:c>
      <x:c r="L135" s="83" t="n">
        <x:v>66</x:v>
      </x:c>
      <x:c r="M135" s="83" t="n">
        <x:v>64</x:v>
      </x:c>
      <x:c r="N135" s="83" t="str">
        <x:v>Tabella 18</x:v>
      </x:c>
      <x:c r="O135" s="83" t="str">
        <x:v>Direct table extraction</x:v>
      </x:c>
      <x:c r="P135" s="83" t="str">
        <x:v>A - Direct</x:v>
      </x:c>
      <x:c r="Q135" s="83" t="str">
        <x:v>Overgeneration and storage losses are shown as negative balance terms.</x:v>
      </x:c>
    </x:row>
    <x:row r="136">
      <x:c r="A136" s="83" t="str">
        <x:v>BAL-0132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Perdite accumuli</x:v>
      </x:c>
      <x:c r="F136" s="143" t="n">
        <x:v>-5</x:v>
      </x:c>
      <x:c r="G136" s="83" t="str">
        <x:v>TWh</x:v>
      </x:c>
      <x:c r="H136" s="83" t="str">
        <x:v>Italia</x:v>
      </x:c>
      <x:c r="I136" s="83" t="str">
        <x:v>Risultato di modello della fonte</x:v>
      </x:c>
      <x:c r="J136" s="83" t="str">
        <x:v>S09</x:v>
      </x:c>
      <x:c r="K136" s="83" t="str">
        <x:v>Documento_Descrizione_Scenari_2024_8dce2430d44d101.pdf</x:v>
      </x:c>
      <x:c r="L136" s="83" t="n">
        <x:v>66</x:v>
      </x:c>
      <x:c r="M136" s="83" t="n">
        <x:v>64</x:v>
      </x:c>
      <x:c r="N136" s="83" t="str">
        <x:v>Tabella 18</x:v>
      </x:c>
      <x:c r="O136" s="83" t="str">
        <x:v>Direct table extraction</x:v>
      </x:c>
      <x:c r="P136" s="83" t="str">
        <x:v>A - Direct</x:v>
      </x:c>
      <x:c r="Q136" s="83" t="str">
        <x:v>Overgeneration and storage losses are shown as negative balance terms.</x:v>
      </x:c>
    </x:row>
    <x:row r="137">
      <x:c r="A137" s="83" t="str">
        <x:v>BAL-0133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Perdite accumuli</x:v>
      </x:c>
      <x:c r="F137" s="143" t="n">
        <x:v>-9</x:v>
      </x:c>
      <x:c r="G137" s="83" t="str">
        <x:v>TWh</x:v>
      </x:c>
      <x:c r="H137" s="83" t="str">
        <x:v>Italia</x:v>
      </x:c>
      <x:c r="I137" s="83" t="str">
        <x:v>Risultato di modello della fonte</x:v>
      </x:c>
      <x:c r="J137" s="83" t="str">
        <x:v>S09</x:v>
      </x:c>
      <x:c r="K137" s="83" t="str">
        <x:v>Documento_Descrizione_Scenari_2024_8dce2430d44d101.pdf</x:v>
      </x:c>
      <x:c r="L137" s="83" t="n">
        <x:v>66</x:v>
      </x:c>
      <x:c r="M137" s="83" t="n">
        <x:v>64</x:v>
      </x:c>
      <x:c r="N137" s="83" t="str">
        <x:v>Tabella 18</x:v>
      </x:c>
      <x:c r="O137" s="83" t="str">
        <x:v>Direct table extraction</x:v>
      </x:c>
      <x:c r="P137" s="83" t="str">
        <x:v>A - Direct</x:v>
      </x:c>
      <x:c r="Q137" s="83" t="str">
        <x:v>Overgeneration and storage losses are shown as negative balance terms.</x:v>
      </x:c>
    </x:row>
    <x:row r="138">
      <x:c r="A138" s="83" t="str">
        <x:v>BAL-0134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Perdite accumuli</x:v>
      </x:c>
      <x:c r="F138" s="143" t="n">
        <x:v>-7</x:v>
      </x:c>
      <x:c r="G138" s="83" t="str">
        <x:v>TWh</x:v>
      </x:c>
      <x:c r="H138" s="83" t="str">
        <x:v>Italia</x:v>
      </x:c>
      <x:c r="I138" s="83" t="str">
        <x:v>Risultato di modello della fonte</x:v>
      </x:c>
      <x:c r="J138" s="83" t="str">
        <x:v>S09</x:v>
      </x:c>
      <x:c r="K138" s="83" t="str">
        <x:v>Documento_Descrizione_Scenari_2024_8dce2430d44d101.pdf</x:v>
      </x:c>
      <x:c r="L138" s="83" t="n">
        <x:v>66</x:v>
      </x:c>
      <x:c r="M138" s="83" t="n">
        <x:v>64</x:v>
      </x:c>
      <x:c r="N138" s="83" t="str">
        <x:v>Tabella 18</x:v>
      </x:c>
      <x:c r="O138" s="83" t="str">
        <x:v>Direct table extraction</x:v>
      </x:c>
      <x:c r="P138" s="83" t="str">
        <x:v>A - Direct</x:v>
      </x:c>
      <x:c r="Q138" s="83" t="str">
        <x:v>Overgeneration and storage losses are shown as negative balance terms.</x:v>
      </x:c>
    </x:row>
    <x:row r="139">
      <x:c r="A139" s="83" t="str">
        <x:v>BAL-0135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Perdite accumuli</x:v>
      </x:c>
      <x:c r="F139" s="143" t="n">
        <x:v>-6</x:v>
      </x:c>
      <x:c r="G139" s="83" t="str">
        <x:v>TWh</x:v>
      </x:c>
      <x:c r="H139" s="83" t="str">
        <x:v>Italia</x:v>
      </x:c>
      <x:c r="I139" s="83" t="str">
        <x:v>Risultato di modello della fonte</x:v>
      </x:c>
      <x:c r="J139" s="83" t="str">
        <x:v>S09</x:v>
      </x:c>
      <x:c r="K139" s="83" t="str">
        <x:v>Documento_Descrizione_Scenari_2024_8dce2430d44d101.pdf</x:v>
      </x:c>
      <x:c r="L139" s="83" t="n">
        <x:v>66</x:v>
      </x:c>
      <x:c r="M139" s="83" t="n">
        <x:v>64</x:v>
      </x:c>
      <x:c r="N139" s="83" t="str">
        <x:v>Tabella 18</x:v>
      </x:c>
      <x:c r="O139" s="83" t="str">
        <x:v>Direct table extraction</x:v>
      </x:c>
      <x:c r="P139" s="83" t="str">
        <x:v>A - Direct</x:v>
      </x:c>
      <x:c r="Q139" s="83" t="str">
        <x:v>Overgeneration and storage losses are shown as negative balance terms.</x:v>
      </x:c>
    </x:row>
    <x:row r="140">
      <x:c r="A140" s="83" t="str">
        <x:v>BAL-0136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% FER su fabbisogno</x:v>
      </x:c>
      <x:c r="F140" s="143" t="n">
        <x:v>37</x:v>
      </x:c>
      <x:c r="G140" s="83" t="str">
        <x:v>%</x:v>
      </x:c>
      <x:c r="H140" s="83" t="str">
        <x:v>Italia</x:v>
      </x:c>
      <x:c r="I140" s="83" t="str">
        <x:v>Dato osservato storico</x:v>
      </x:c>
      <x:c r="J140" s="83" t="str">
        <x:v>S09</x:v>
      </x:c>
      <x:c r="K140" s="83" t="str">
        <x:v>Documento_Descrizione_Scenari_2024_8dce2430d44d101.pdf</x:v>
      </x:c>
      <x:c r="L140" s="83" t="n">
        <x:v>65</x:v>
      </x:c>
      <x:c r="M140" s="83" t="n">
        <x:v>63</x:v>
      </x:c>
      <x:c r="N140" s="83" t="str">
        <x:v>Tabella 17</x:v>
      </x:c>
      <x:c r="O140" s="83" t="str">
        <x:v>Direct table extraction</x:v>
      </x:c>
      <x:c r="P140" s="83" t="str">
        <x:v>A - Direct</x:v>
      </x:c>
      <x:c r="Q140" s="83" t="str"/>
    </x:row>
    <x:row r="141">
      <x:c r="A141" s="83" t="str">
        <x:v>BAL-0137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% FER su fabbisogno</x:v>
      </x:c>
      <x:c r="F141" s="143" t="n">
        <x:v>63</x:v>
      </x:c>
      <x:c r="G141" s="83" t="str">
        <x:v>%</x:v>
      </x:c>
      <x:c r="H141" s="83" t="str">
        <x:v>Italia</x:v>
      </x:c>
      <x:c r="I141" s="83" t="str">
        <x:v>Risultato di modello della fonte</x:v>
      </x:c>
      <x:c r="J141" s="83" t="str">
        <x:v>S09</x:v>
      </x:c>
      <x:c r="K141" s="83" t="str">
        <x:v>Documento_Descrizione_Scenari_2024_8dce2430d44d101.pdf</x:v>
      </x:c>
      <x:c r="L141" s="83" t="n">
        <x:v>65</x:v>
      </x:c>
      <x:c r="M141" s="83" t="n">
        <x:v>63</x:v>
      </x:c>
      <x:c r="N141" s="83" t="str">
        <x:v>Tabella 17</x:v>
      </x:c>
      <x:c r="O141" s="83" t="str">
        <x:v>Direct table extraction</x:v>
      </x:c>
      <x:c r="P141" s="83" t="str">
        <x:v>A - Direct</x:v>
      </x:c>
      <x:c r="Q141" s="83" t="str"/>
    </x:row>
    <x:row r="142">
      <x:c r="A142" s="83" t="str">
        <x:v>BAL-0138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% FER su fabbisogno</x:v>
      </x:c>
      <x:c r="F142" s="143" t="n">
        <x:v>58</x:v>
      </x:c>
      <x:c r="G142" s="83" t="str">
        <x:v>%</x:v>
      </x:c>
      <x:c r="H142" s="83" t="str">
        <x:v>Italia</x:v>
      </x:c>
      <x:c r="I142" s="83" t="str">
        <x:v>Risultato di modello della fonte</x:v>
      </x:c>
      <x:c r="J142" s="83" t="str">
        <x:v>S09</x:v>
      </x:c>
      <x:c r="K142" s="83" t="str">
        <x:v>Documento_Descrizione_Scenari_2024_8dce2430d44d101.pdf</x:v>
      </x:c>
      <x:c r="L142" s="83" t="n">
        <x:v>65</x:v>
      </x:c>
      <x:c r="M142" s="83" t="n">
        <x:v>63</x:v>
      </x:c>
      <x:c r="N142" s="83" t="str">
        <x:v>Tabella 17</x:v>
      </x:c>
      <x:c r="O142" s="83" t="str">
        <x:v>Direct table extraction</x:v>
      </x:c>
      <x:c r="P142" s="83" t="str">
        <x:v>A - Direct</x:v>
      </x:c>
      <x:c r="Q142" s="83" t="str"/>
    </x:row>
    <x:row r="143">
      <x:c r="A143" s="83" t="str">
        <x:v>BAL-0139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% FER su fabbisogno</x:v>
      </x:c>
      <x:c r="F143" s="143" t="n">
        <x:v>70</x:v>
      </x:c>
      <x:c r="G143" s="83" t="str">
        <x:v>%</x:v>
      </x:c>
      <x:c r="H143" s="83" t="str">
        <x:v>Italia</x:v>
      </x:c>
      <x:c r="I143" s="83" t="str">
        <x:v>Risultato di modello della fonte</x:v>
      </x:c>
      <x:c r="J143" s="83" t="str">
        <x:v>S09</x:v>
      </x:c>
      <x:c r="K143" s="83" t="str">
        <x:v>Documento_Descrizione_Scenari_2024_8dce2430d44d101.pdf</x:v>
      </x:c>
      <x:c r="L143" s="83" t="n">
        <x:v>65</x:v>
      </x:c>
      <x:c r="M143" s="83" t="n">
        <x:v>63</x:v>
      </x:c>
      <x:c r="N143" s="83" t="str">
        <x:v>Tabella 17</x:v>
      </x:c>
      <x:c r="O143" s="83" t="str">
        <x:v>Direct table extraction</x:v>
      </x:c>
      <x:c r="P143" s="83" t="str">
        <x:v>A - Direct</x:v>
      </x:c>
      <x:c r="Q143" s="83" t="str"/>
    </x:row>
    <x:row r="144">
      <x:c r="A144" s="83" t="str">
        <x:v>BAL-0140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% FER su fabbisogno</x:v>
      </x:c>
      <x:c r="F144" s="143" t="n">
        <x:v>67</x:v>
      </x:c>
      <x:c r="G144" s="83" t="str">
        <x:v>%</x:v>
      </x:c>
      <x:c r="H144" s="83" t="str">
        <x:v>Italia</x:v>
      </x:c>
      <x:c r="I144" s="83" t="str">
        <x:v>Risultato di modello della fonte</x:v>
      </x:c>
      <x:c r="J144" s="83" t="str">
        <x:v>S09</x:v>
      </x:c>
      <x:c r="K144" s="83" t="str">
        <x:v>Documento_Descrizione_Scenari_2024_8dce2430d44d101.pdf</x:v>
      </x:c>
      <x:c r="L144" s="83" t="n">
        <x:v>65</x:v>
      </x:c>
      <x:c r="M144" s="83" t="n">
        <x:v>63</x:v>
      </x:c>
      <x:c r="N144" s="83" t="str">
        <x:v>Tabella 17</x:v>
      </x:c>
      <x:c r="O144" s="83" t="str">
        <x:v>Direct table extraction</x:v>
      </x:c>
      <x:c r="P144" s="83" t="str">
        <x:v>A - Direct</x:v>
      </x:c>
      <x:c r="Q144" s="83" t="str"/>
    </x:row>
    <x:row r="145">
      <x:c r="A145" s="83" t="str">
        <x:v>BAL-0141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% FER su fabbisogno</x:v>
      </x:c>
      <x:c r="F145" s="143" t="n">
        <x:v>64</x:v>
      </x:c>
      <x:c r="G145" s="83" t="str">
        <x:v>%</x:v>
      </x:c>
      <x:c r="H145" s="83" t="str">
        <x:v>Italia</x:v>
      </x:c>
      <x:c r="I145" s="83" t="str">
        <x:v>Risultato di modello della fonte</x:v>
      </x:c>
      <x:c r="J145" s="83" t="str">
        <x:v>S09</x:v>
      </x:c>
      <x:c r="K145" s="83" t="str">
        <x:v>Documento_Descrizione_Scenari_2024_8dce2430d44d101.pdf</x:v>
      </x:c>
      <x:c r="L145" s="83" t="n">
        <x:v>65</x:v>
      </x:c>
      <x:c r="M145" s="83" t="n">
        <x:v>63</x:v>
      </x:c>
      <x:c r="N145" s="83" t="str">
        <x:v>Tabella 17</x:v>
      </x:c>
      <x:c r="O145" s="83" t="str">
        <x:v>Direct table extraction</x:v>
      </x:c>
      <x:c r="P145" s="83" t="str">
        <x:v>A - Direct</x:v>
      </x:c>
      <x:c r="Q145" s="83" t="str"/>
    </x:row>
    <x:row r="146">
      <x:c r="A146" s="83" t="str">
        <x:v>BAL-0142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% FER su fabbisogno</x:v>
      </x:c>
      <x:c r="F146" s="143" t="n">
        <x:v>76</x:v>
      </x:c>
      <x:c r="G146" s="83" t="str">
        <x:v>%</x:v>
      </x:c>
      <x:c r="H146" s="83" t="str">
        <x:v>Italia</x:v>
      </x:c>
      <x:c r="I146" s="83" t="str">
        <x:v>Risultato di modello della fonte</x:v>
      </x:c>
      <x:c r="J146" s="83" t="str">
        <x:v>S09</x:v>
      </x:c>
      <x:c r="K146" s="83" t="str">
        <x:v>Documento_Descrizione_Scenari_2024_8dce2430d44d101.pdf</x:v>
      </x:c>
      <x:c r="L146" s="83" t="n">
        <x:v>65</x:v>
      </x:c>
      <x:c r="M146" s="83" t="n">
        <x:v>63</x:v>
      </x:c>
      <x:c r="N146" s="83" t="str">
        <x:v>Tabella 17</x:v>
      </x:c>
      <x:c r="O146" s="83" t="str">
        <x:v>Direct table extraction</x:v>
      </x:c>
      <x:c r="P146" s="83" t="str">
        <x:v>A - Direct</x:v>
      </x:c>
      <x:c r="Q146" s="83" t="str"/>
    </x:row>
    <x:row r="147">
      <x:c r="A147" s="83" t="str">
        <x:v>BAL-0143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% FER su fabbisogno</x:v>
      </x:c>
      <x:c r="F147" s="143" t="n">
        <x:v>74</x:v>
      </x:c>
      <x:c r="G147" s="83" t="str">
        <x:v>%</x:v>
      </x:c>
      <x:c r="H147" s="83" t="str">
        <x:v>Italia</x:v>
      </x:c>
      <x:c r="I147" s="83" t="str">
        <x:v>Risultato di modello della fonte</x:v>
      </x:c>
      <x:c r="J147" s="83" t="str">
        <x:v>S09</x:v>
      </x:c>
      <x:c r="K147" s="83" t="str">
        <x:v>Documento_Descrizione_Scenari_2024_8dce2430d44d101.pdf</x:v>
      </x:c>
      <x:c r="L147" s="83" t="n">
        <x:v>65</x:v>
      </x:c>
      <x:c r="M147" s="83" t="n">
        <x:v>63</x:v>
      </x:c>
      <x:c r="N147" s="83" t="str">
        <x:v>Tabella 17</x:v>
      </x:c>
      <x:c r="O147" s="83" t="str">
        <x:v>Direct table extraction</x:v>
      </x:c>
      <x:c r="P147" s="83" t="str">
        <x:v>A - Direct</x:v>
      </x:c>
      <x:c r="Q147" s="83" t="str"/>
    </x:row>
    <x:row r="148">
      <x:c r="A148" s="83" t="str">
        <x:v>BAL-0144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% FER su fabbisogno</x:v>
      </x:c>
      <x:c r="F148" s="143" t="n">
        <x:v>73</x:v>
      </x:c>
      <x:c r="G148" s="83" t="str">
        <x:v>%</x:v>
      </x:c>
      <x:c r="H148" s="83" t="str">
        <x:v>Italia</x:v>
      </x:c>
      <x:c r="I148" s="83" t="str">
        <x:v>Risultato di modello della fonte</x:v>
      </x:c>
      <x:c r="J148" s="83" t="str">
        <x:v>S09</x:v>
      </x:c>
      <x:c r="K148" s="83" t="str">
        <x:v>Documento_Descrizione_Scenari_2024_8dce2430d44d101.pdf</x:v>
      </x:c>
      <x:c r="L148" s="83" t="n">
        <x:v>65</x:v>
      </x:c>
      <x:c r="M148" s="83" t="n">
        <x:v>63</x:v>
      </x:c>
      <x:c r="N148" s="83" t="str">
        <x:v>Tabella 17</x:v>
      </x:c>
      <x:c r="O148" s="83" t="str">
        <x:v>Direct table extraction</x:v>
      </x:c>
      <x:c r="P148" s="83" t="str">
        <x:v>A - Direct</x:v>
      </x:c>
      <x:c r="Q148" s="83" t="str"/>
    </x:row>
    <x:row r="149">
      <x:c r="A149" s="83" t="str">
        <x:v>BAL-0145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% FER su produzione</x:v>
      </x:c>
      <x:c r="F149" s="143" t="n">
        <x:v>44</x:v>
      </x:c>
      <x:c r="G149" s="83" t="str">
        <x:v>%</x:v>
      </x:c>
      <x:c r="H149" s="83" t="str">
        <x:v>Italia</x:v>
      </x:c>
      <x:c r="I149" s="83" t="str">
        <x:v>Dato osservato storico</x:v>
      </x:c>
      <x:c r="J149" s="83" t="str">
        <x:v>S09</x:v>
      </x:c>
      <x:c r="K149" s="83" t="str">
        <x:v>Documento_Descrizione_Scenari_2024_8dce2430d44d101.pdf</x:v>
      </x:c>
      <x:c r="L149" s="83" t="n">
        <x:v>65</x:v>
      </x:c>
      <x:c r="M149" s="83" t="n">
        <x:v>63</x:v>
      </x:c>
      <x:c r="N149" s="83" t="str">
        <x:v>Tabella 17</x:v>
      </x:c>
      <x:c r="O149" s="83" t="str">
        <x:v>Direct table extraction</x:v>
      </x:c>
      <x:c r="P149" s="83" t="str">
        <x:v>A - Direct</x:v>
      </x:c>
      <x:c r="Q149" s="83" t="str"/>
    </x:row>
    <x:row r="150">
      <x:c r="A150" s="83" t="str">
        <x:v>BAL-0146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% FER su produzione</x:v>
      </x:c>
      <x:c r="F150" s="143" t="n">
        <x:v>70</x:v>
      </x:c>
      <x:c r="G150" s="83" t="str">
        <x:v>%</x:v>
      </x:c>
      <x:c r="H150" s="83" t="str">
        <x:v>Italia</x:v>
      </x:c>
      <x:c r="I150" s="83" t="str">
        <x:v>Risultato di modello della fonte</x:v>
      </x:c>
      <x:c r="J150" s="83" t="str">
        <x:v>S09</x:v>
      </x:c>
      <x:c r="K150" s="83" t="str">
        <x:v>Documento_Descrizione_Scenari_2024_8dce2430d44d101.pdf</x:v>
      </x:c>
      <x:c r="L150" s="83" t="n">
        <x:v>65</x:v>
      </x:c>
      <x:c r="M150" s="83" t="n">
        <x:v>63</x:v>
      </x:c>
      <x:c r="N150" s="83" t="str">
        <x:v>Tabella 17</x:v>
      </x:c>
      <x:c r="O150" s="83" t="str">
        <x:v>Direct table extraction</x:v>
      </x:c>
      <x:c r="P150" s="83" t="str">
        <x:v>A - Direct</x:v>
      </x:c>
      <x:c r="Q150" s="83" t="str"/>
    </x:row>
    <x:row r="151">
      <x:c r="A151" s="83" t="str">
        <x:v>BAL-0147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% FER su produzione</x:v>
      </x:c>
      <x:c r="F151" s="143" t="n">
        <x:v>67</x:v>
      </x:c>
      <x:c r="G151" s="83" t="str">
        <x:v>%</x:v>
      </x:c>
      <x:c r="H151" s="83" t="str">
        <x:v>Italia</x:v>
      </x:c>
      <x:c r="I151" s="83" t="str">
        <x:v>Risultato di modello della fonte</x:v>
      </x:c>
      <x:c r="J151" s="83" t="str">
        <x:v>S09</x:v>
      </x:c>
      <x:c r="K151" s="83" t="str">
        <x:v>Documento_Descrizione_Scenari_2024_8dce2430d44d101.pdf</x:v>
      </x:c>
      <x:c r="L151" s="83" t="n">
        <x:v>65</x:v>
      </x:c>
      <x:c r="M151" s="83" t="n">
        <x:v>63</x:v>
      </x:c>
      <x:c r="N151" s="83" t="str">
        <x:v>Tabella 17</x:v>
      </x:c>
      <x:c r="O151" s="83" t="str">
        <x:v>Direct table extraction</x:v>
      </x:c>
      <x:c r="P151" s="83" t="str">
        <x:v>A - Direct</x:v>
      </x:c>
      <x:c r="Q151" s="83" t="str"/>
    </x:row>
    <x:row r="152">
      <x:c r="A152" s="83" t="str">
        <x:v>BAL-0148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% FER su produzione</x:v>
      </x:c>
      <x:c r="F152" s="143" t="n">
        <x:v>77</x:v>
      </x:c>
      <x:c r="G152" s="83" t="str">
        <x:v>%</x:v>
      </x:c>
      <x:c r="H152" s="83" t="str">
        <x:v>Italia</x:v>
      </x:c>
      <x:c r="I152" s="83" t="str">
        <x:v>Risultato di modello della fonte</x:v>
      </x:c>
      <x:c r="J152" s="83" t="str">
        <x:v>S09</x:v>
      </x:c>
      <x:c r="K152" s="83" t="str">
        <x:v>Documento_Descrizione_Scenari_2024_8dce2430d44d101.pdf</x:v>
      </x:c>
      <x:c r="L152" s="83" t="n">
        <x:v>65</x:v>
      </x:c>
      <x:c r="M152" s="83" t="n">
        <x:v>63</x:v>
      </x:c>
      <x:c r="N152" s="83" t="str">
        <x:v>Tabella 17</x:v>
      </x:c>
      <x:c r="O152" s="83" t="str">
        <x:v>Direct table extraction</x:v>
      </x:c>
      <x:c r="P152" s="83" t="str">
        <x:v>A - Direct</x:v>
      </x:c>
      <x:c r="Q152" s="83" t="str"/>
    </x:row>
    <x:row r="153">
      <x:c r="A153" s="83" t="str">
        <x:v>BAL-0149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% FER su produzione</x:v>
      </x:c>
      <x:c r="F153" s="143" t="n">
        <x:v>76</x:v>
      </x:c>
      <x:c r="G153" s="83" t="str">
        <x:v>%</x:v>
      </x:c>
      <x:c r="H153" s="83" t="str">
        <x:v>Italia</x:v>
      </x:c>
      <x:c r="I153" s="83" t="str">
        <x:v>Risultato di modello della fonte</x:v>
      </x:c>
      <x:c r="J153" s="83" t="str">
        <x:v>S09</x:v>
      </x:c>
      <x:c r="K153" s="83" t="str">
        <x:v>Documento_Descrizione_Scenari_2024_8dce2430d44d101.pdf</x:v>
      </x:c>
      <x:c r="L153" s="83" t="n">
        <x:v>65</x:v>
      </x:c>
      <x:c r="M153" s="83" t="n">
        <x:v>63</x:v>
      </x:c>
      <x:c r="N153" s="83" t="str">
        <x:v>Tabella 17</x:v>
      </x:c>
      <x:c r="O153" s="83" t="str">
        <x:v>Direct table extraction</x:v>
      </x:c>
      <x:c r="P153" s="83" t="str">
        <x:v>A - Direct</x:v>
      </x:c>
      <x:c r="Q153" s="83" t="str"/>
    </x:row>
    <x:row r="154">
      <x:c r="A154" s="83" t="str">
        <x:v>BAL-0150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% FER su produzione</x:v>
      </x:c>
      <x:c r="F154" s="143" t="n">
        <x:v>73</x:v>
      </x:c>
      <x:c r="G154" s="83" t="str">
        <x:v>%</x:v>
      </x:c>
      <x:c r="H154" s="83" t="str">
        <x:v>Italia</x:v>
      </x:c>
      <x:c r="I154" s="83" t="str">
        <x:v>Risultato di modello della fonte</x:v>
      </x:c>
      <x:c r="J154" s="83" t="str">
        <x:v>S09</x:v>
      </x:c>
      <x:c r="K154" s="83" t="str">
        <x:v>Documento_Descrizione_Scenari_2024_8dce2430d44d101.pdf</x:v>
      </x:c>
      <x:c r="L154" s="83" t="n">
        <x:v>65</x:v>
      </x:c>
      <x:c r="M154" s="83" t="n">
        <x:v>63</x:v>
      </x:c>
      <x:c r="N154" s="83" t="str">
        <x:v>Tabella 17</x:v>
      </x:c>
      <x:c r="O154" s="83" t="str">
        <x:v>Direct table extraction</x:v>
      </x:c>
      <x:c r="P154" s="83" t="str">
        <x:v>A - Direct</x:v>
      </x:c>
      <x:c r="Q154" s="83" t="str"/>
    </x:row>
    <x:row r="155">
      <x:c r="A155" s="83" t="str">
        <x:v>BAL-0151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% FER su produzione</x:v>
      </x:c>
      <x:c r="F155" s="143" t="n">
        <x:v>84</x:v>
      </x:c>
      <x:c r="G155" s="83" t="str">
        <x:v>%</x:v>
      </x:c>
      <x:c r="H155" s="83" t="str">
        <x:v>Italia</x:v>
      </x:c>
      <x:c r="I155" s="83" t="str">
        <x:v>Risultato di modello della fonte</x:v>
      </x:c>
      <x:c r="J155" s="83" t="str">
        <x:v>S09</x:v>
      </x:c>
      <x:c r="K155" s="83" t="str">
        <x:v>Documento_Descrizione_Scenari_2024_8dce2430d44d101.pdf</x:v>
      </x:c>
      <x:c r="L155" s="83" t="n">
        <x:v>65</x:v>
      </x:c>
      <x:c r="M155" s="83" t="n">
        <x:v>63</x:v>
      </x:c>
      <x:c r="N155" s="83" t="str">
        <x:v>Tabella 17</x:v>
      </x:c>
      <x:c r="O155" s="83" t="str">
        <x:v>Direct table extraction</x:v>
      </x:c>
      <x:c r="P155" s="83" t="str">
        <x:v>A - Direct</x:v>
      </x:c>
      <x:c r="Q155" s="83" t="str"/>
    </x:row>
    <x:row r="156">
      <x:c r="A156" s="83" t="str">
        <x:v>BAL-0152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% FER su produzione</x:v>
      </x:c>
      <x:c r="F156" s="143" t="n">
        <x:v>80</x:v>
      </x:c>
      <x:c r="G156" s="83" t="str">
        <x:v>%</x:v>
      </x:c>
      <x:c r="H156" s="83" t="str">
        <x:v>Italia</x:v>
      </x:c>
      <x:c r="I156" s="83" t="str">
        <x:v>Risultato di modello della fonte</x:v>
      </x:c>
      <x:c r="J156" s="83" t="str">
        <x:v>S09</x:v>
      </x:c>
      <x:c r="K156" s="83" t="str">
        <x:v>Documento_Descrizione_Scenari_2024_8dce2430d44d101.pdf</x:v>
      </x:c>
      <x:c r="L156" s="83" t="n">
        <x:v>65</x:v>
      </x:c>
      <x:c r="M156" s="83" t="n">
        <x:v>63</x:v>
      </x:c>
      <x:c r="N156" s="83" t="str">
        <x:v>Tabella 17</x:v>
      </x:c>
      <x:c r="O156" s="83" t="str">
        <x:v>Direct table extraction</x:v>
      </x:c>
      <x:c r="P156" s="83" t="str">
        <x:v>A - Direct</x:v>
      </x:c>
      <x:c r="Q156" s="83" t="str"/>
    </x:row>
    <x:row r="157">
      <x:c r="A157" s="83" t="str">
        <x:v>BAL-0153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% FER su produzione</x:v>
      </x:c>
      <x:c r="F157" s="143" t="n">
        <x:v>81</x:v>
      </x:c>
      <x:c r="G157" s="83" t="str">
        <x:v>%</x:v>
      </x:c>
      <x:c r="H157" s="83" t="str">
        <x:v>Italia</x:v>
      </x:c>
      <x:c r="I157" s="83" t="str">
        <x:v>Risultato di modello della fonte</x:v>
      </x:c>
      <x:c r="J157" s="83" t="str">
        <x:v>S09</x:v>
      </x:c>
      <x:c r="K157" s="83" t="str">
        <x:v>Documento_Descrizione_Scenari_2024_8dce2430d44d101.pdf</x:v>
      </x:c>
      <x:c r="L157" s="83" t="n">
        <x:v>65</x:v>
      </x:c>
      <x:c r="M157" s="83" t="n">
        <x:v>63</x:v>
      </x:c>
      <x:c r="N157" s="83" t="str">
        <x:v>Tabella 17</x:v>
      </x:c>
      <x:c r="O157" s="83" t="str">
        <x:v>Direct table extraction</x:v>
      </x:c>
      <x:c r="P157" s="83" t="str">
        <x:v>A - Direct</x:v>
      </x:c>
      <x:c r="Q157" s="83" t="str"/>
    </x:row>
    <x:row r="158">
      <x:c r="A158" s="83" t="str">
        <x:v>BAL-0154</x:v>
      </x:c>
      <x:c r="B158" s="83" t="str">
        <x:v>PNIEC_2050_NUCLEAR</x:v>
      </x:c>
      <x:c r="C158" s="83" t="n">
        <x:v>2050</x:v>
      </x:c>
      <x:c r="D158" s="83" t="str">
        <x:v>PNIEC 2050 con nucleare</x:v>
      </x:c>
      <x:c r="E158" s="83" t="str">
        <x:v>Fabbisogno elettrico totale</x:v>
      </x:c>
      <x:c r="F158" s="143" t="n">
        <x:v>583.1</x:v>
      </x:c>
      <x:c r="G158" s="83" t="str">
        <x:v>TWh</x:v>
      </x:c>
      <x:c r="H158" s="83" t="str">
        <x:v>Italia</x:v>
      </x:c>
      <x:c r="I158" s="83" t="str">
        <x:v>Risultato di modello della fonte</x:v>
      </x:c>
      <x:c r="J158" s="83" t="str">
        <x:v>S07 (riproduce S08)</x:v>
      </x:c>
      <x:c r="K158" s="83" t="str">
        <x:v>Terna Prospettive Sviluppo Sistema Energetico 2050.pdf</x:v>
      </x:c>
      <x:c r="L158" s="83" t="n">
        <x:v>52</x:v>
      </x:c>
      <x:c r="M158" s="83" t="n">
        <x:v>50</x:v>
      </x:c>
      <x:c r="N158" s="83" t="str">
        <x:v>Tabella 3</x:v>
      </x:c>
      <x:c r="O158" s="83" t="str">
        <x:v>Direct table extraction; PNIEC cross-check</x:v>
      </x:c>
      <x:c r="P158" s="83" t="str">
        <x:v>A - Direct</x:v>
      </x:c>
      <x:c r="Q158" s="83" t="str">
        <x:v>PNIEC exploratory TIMES_RSE scenario.</x:v>
      </x:c>
    </x:row>
    <x:row r="159">
      <x:c r="A159" s="83" t="str">
        <x:v>BAL-0155</x:v>
      </x:c>
      <x:c r="B159" s="83" t="str">
        <x:v>PNIEC_2050_NUCLEAR</x:v>
      </x:c>
      <x:c r="C159" s="83" t="n">
        <x:v>2050</x:v>
      </x:c>
      <x:c r="D159" s="83" t="str">
        <x:v>PNIEC 2050 con nucleare</x:v>
      </x:c>
      <x:c r="E159" s="83" t="str">
        <x:v>Consumi finali</x:v>
      </x:c>
      <x:c r="F159" s="143" t="n">
        <x:v>478</x:v>
      </x:c>
      <x:c r="G159" s="83" t="str">
        <x:v>TWh</x:v>
      </x:c>
      <x:c r="H159" s="83" t="str">
        <x:v>Italia</x:v>
      </x:c>
      <x:c r="I159" s="83" t="str">
        <x:v>Risultato di modello della fonte</x:v>
      </x:c>
      <x:c r="J159" s="83" t="str">
        <x:v>S07 (riproduce S08)</x:v>
      </x:c>
      <x:c r="K159" s="83" t="str">
        <x:v>Terna Prospettive Sviluppo Sistema Energetico 2050.pdf</x:v>
      </x:c>
      <x:c r="L159" s="83" t="n">
        <x:v>52</x:v>
      </x:c>
      <x:c r="M159" s="83" t="n">
        <x:v>50</x:v>
      </x:c>
      <x:c r="N159" s="83" t="str">
        <x:v>Tabella 3</x:v>
      </x:c>
      <x:c r="O159" s="83" t="str">
        <x:v>Direct table extraction; PNIEC cross-check</x:v>
      </x:c>
      <x:c r="P159" s="83" t="str">
        <x:v>A - Direct</x:v>
      </x:c>
      <x:c r="Q159" s="83" t="str">
        <x:v>PNIEC exploratory TIMES_RSE scenario.</x:v>
      </x:c>
    </x:row>
    <x:row r="160">
      <x:c r="A160" s="83" t="str">
        <x:v>BAL-0156</x:v>
      </x:c>
      <x:c r="B160" s="83" t="str">
        <x:v>PNIEC_2050_NUCLEAR</x:v>
      </x:c>
      <x:c r="C160" s="83" t="n">
        <x:v>2050</x:v>
      </x:c>
      <x:c r="D160" s="83" t="str">
        <x:v>PNIEC 2050 con nucleare</x:v>
      </x:c>
      <x:c r="E160" s="83" t="str">
        <x:v>Power to X</x:v>
      </x:c>
      <x:c r="F160" s="143" t="n">
        <x:v>81.5</x:v>
      </x:c>
      <x:c r="G160" s="83" t="str">
        <x:v>TWh</x:v>
      </x:c>
      <x:c r="H160" s="83" t="str">
        <x:v>Italia</x:v>
      </x:c>
      <x:c r="I160" s="83" t="str">
        <x:v>Risultato di modello della fonte</x:v>
      </x:c>
      <x:c r="J160" s="83" t="str">
        <x:v>S07 (riproduce S08)</x:v>
      </x:c>
      <x:c r="K160" s="83" t="str">
        <x:v>Terna Prospettive Sviluppo Sistema Energetico 2050.pdf</x:v>
      </x:c>
      <x:c r="L160" s="83" t="n">
        <x:v>52</x:v>
      </x:c>
      <x:c r="M160" s="83" t="n">
        <x:v>50</x:v>
      </x:c>
      <x:c r="N160" s="83" t="str">
        <x:v>Tabella 3</x:v>
      </x:c>
      <x:c r="O160" s="83" t="str">
        <x:v>Direct table extraction; PNIEC cross-check</x:v>
      </x:c>
      <x:c r="P160" s="83" t="str">
        <x:v>A - Direct</x:v>
      </x:c>
      <x:c r="Q160" s="83" t="str">
        <x:v>PNIEC exploratory TIMES_RSE scenario.</x:v>
      </x:c>
    </x:row>
    <x:row r="161">
      <x:c r="A161" s="83" t="str">
        <x:v>BAL-0157</x:v>
      </x:c>
      <x:c r="B161" s="83" t="str">
        <x:v>PNIEC_2050_NUCLEAR</x:v>
      </x:c>
      <x:c r="C161" s="83" t="n">
        <x:v>2050</x:v>
      </x:c>
      <x:c r="D161" s="83" t="str">
        <x:v>PNIEC 2050 con nucleare</x:v>
      </x:c>
      <x:c r="E161" s="83" t="str">
        <x:v>Perdite</x:v>
      </x:c>
      <x:c r="F161" s="143" t="n">
        <x:v>23.6</x:v>
      </x:c>
      <x:c r="G161" s="83" t="str">
        <x:v>TWh</x:v>
      </x:c>
      <x:c r="H161" s="83" t="str">
        <x:v>Italia</x:v>
      </x:c>
      <x:c r="I161" s="83" t="str">
        <x:v>Risultato di modello della fonte</x:v>
      </x:c>
      <x:c r="J161" s="83" t="str">
        <x:v>S07 (riproduce S08)</x:v>
      </x:c>
      <x:c r="K161" s="83" t="str">
        <x:v>Terna Prospettive Sviluppo Sistema Energetico 2050.pdf</x:v>
      </x:c>
      <x:c r="L161" s="83" t="n">
        <x:v>52</x:v>
      </x:c>
      <x:c r="M161" s="83" t="n">
        <x:v>50</x:v>
      </x:c>
      <x:c r="N161" s="83" t="str">
        <x:v>Tabella 3</x:v>
      </x:c>
      <x:c r="O161" s="83" t="str">
        <x:v>Direct table extraction; PNIEC cross-check</x:v>
      </x:c>
      <x:c r="P161" s="83" t="str">
        <x:v>A - Direct</x:v>
      </x:c>
      <x:c r="Q161" s="83" t="str">
        <x:v>PNIEC exploratory TIMES_RSE scenario.</x:v>
      </x:c>
    </x:row>
    <x:row r="162">
      <x:c r="A162" s="83" t="str">
        <x:v>BAL-0158</x:v>
      </x:c>
      <x:c r="B162" s="83" t="str">
        <x:v>PNIEC_2050_NUCLEAR</x:v>
      </x:c>
      <x:c r="C162" s="83" t="n">
        <x:v>2050</x:v>
      </x:c>
      <x:c r="D162" s="83" t="str">
        <x:v>PNIEC 2050 con nucleare</x:v>
      </x:c>
      <x:c r="E162" s="83" t="str">
        <x:v>Produzione nazionale</x:v>
      </x:c>
      <x:c r="F162" s="143" t="n">
        <x:v>596.8</x:v>
      </x:c>
      <x:c r="G162" s="83" t="str">
        <x:v>TWh</x:v>
      </x:c>
      <x:c r="H162" s="83" t="str">
        <x:v>Italia</x:v>
      </x:c>
      <x:c r="I162" s="83" t="str">
        <x:v>Risultato di modello della fonte</x:v>
      </x:c>
      <x:c r="J162" s="83" t="str">
        <x:v>S07 (riproduce S08)</x:v>
      </x:c>
      <x:c r="K162" s="83" t="str">
        <x:v>Terna Prospettive Sviluppo Sistema Energetico 2050.pdf</x:v>
      </x:c>
      <x:c r="L162" s="83" t="n">
        <x:v>52</x:v>
      </x:c>
      <x:c r="M162" s="83" t="n">
        <x:v>50</x:v>
      </x:c>
      <x:c r="N162" s="83" t="str">
        <x:v>Tabella 3</x:v>
      </x:c>
      <x:c r="O162" s="83" t="str">
        <x:v>Direct table extraction; PNIEC cross-check</x:v>
      </x:c>
      <x:c r="P162" s="83" t="str">
        <x:v>A - Direct</x:v>
      </x:c>
      <x:c r="Q162" s="83" t="str">
        <x:v>PNIEC exploratory TIMES_RSE scenario.</x:v>
      </x:c>
    </x:row>
    <x:row r="163">
      <x:c r="A163" s="83" t="str">
        <x:v>BAL-0159</x:v>
      </x:c>
      <x:c r="B163" s="83" t="str">
        <x:v>PNIEC_2050_NUCLEAR</x:v>
      </x:c>
      <x:c r="C163" s="83" t="n">
        <x:v>2050</x:v>
      </x:c>
      <x:c r="D163" s="83" t="str">
        <x:v>PNIEC 2050 con nucleare</x:v>
      </x:c>
      <x:c r="E163" s="83" t="str">
        <x:v>Fotovoltaica</x:v>
      </x:c>
      <x:c r="F163" s="143" t="n">
        <x:v>345.8</x:v>
      </x:c>
      <x:c r="G163" s="83" t="str">
        <x:v>TWh</x:v>
      </x:c>
      <x:c r="H163" s="83" t="str">
        <x:v>Italia</x:v>
      </x:c>
      <x:c r="I163" s="83" t="str">
        <x:v>Risultato di modello della fonte</x:v>
      </x:c>
      <x:c r="J163" s="83" t="str">
        <x:v>S07 (riproduce S08)</x:v>
      </x:c>
      <x:c r="K163" s="83" t="str">
        <x:v>Terna Prospettive Sviluppo Sistema Energetico 2050.pdf</x:v>
      </x:c>
      <x:c r="L163" s="83" t="n">
        <x:v>52</x:v>
      </x:c>
      <x:c r="M163" s="83" t="n">
        <x:v>50</x:v>
      </x:c>
      <x:c r="N163" s="83" t="str">
        <x:v>Tabella 3</x:v>
      </x:c>
      <x:c r="O163" s="83" t="str">
        <x:v>Direct table extraction; PNIEC cross-check</x:v>
      </x:c>
      <x:c r="P163" s="83" t="str">
        <x:v>A - Direct</x:v>
      </x:c>
      <x:c r="Q163" s="83" t="str">
        <x:v>PNIEC exploratory TIMES_RSE scenario.</x:v>
      </x:c>
    </x:row>
    <x:row r="164">
      <x:c r="A164" s="83" t="str">
        <x:v>BAL-0160</x:v>
      </x:c>
      <x:c r="B164" s="83" t="str">
        <x:v>PNIEC_2050_NUCLEAR</x:v>
      </x:c>
      <x:c r="C164" s="83" t="n">
        <x:v>2050</x:v>
      </x:c>
      <x:c r="D164" s="83" t="str">
        <x:v>PNIEC 2050 con nucleare</x:v>
      </x:c>
      <x:c r="E164" s="83" t="str">
        <x:v>Bioenergie</x:v>
      </x:c>
      <x:c r="F164" s="143" t="n">
        <x:v>10.6</x:v>
      </x:c>
      <x:c r="G164" s="83" t="str">
        <x:v>TWh</x:v>
      </x:c>
      <x:c r="H164" s="83" t="str">
        <x:v>Italia</x:v>
      </x:c>
      <x:c r="I164" s="83" t="str">
        <x:v>Risultato di modello della fonte</x:v>
      </x:c>
      <x:c r="J164" s="83" t="str">
        <x:v>S07 (riproduce S08)</x:v>
      </x:c>
      <x:c r="K164" s="83" t="str">
        <x:v>Terna Prospettive Sviluppo Sistema Energetico 2050.pdf</x:v>
      </x:c>
      <x:c r="L164" s="83" t="n">
        <x:v>52</x:v>
      </x:c>
      <x:c r="M164" s="83" t="n">
        <x:v>50</x:v>
      </x:c>
      <x:c r="N164" s="83" t="str">
        <x:v>Tabella 3</x:v>
      </x:c>
      <x:c r="O164" s="83" t="str">
        <x:v>Direct table extraction; PNIEC cross-check</x:v>
      </x:c>
      <x:c r="P164" s="83" t="str">
        <x:v>A - Direct</x:v>
      </x:c>
      <x:c r="Q164" s="83" t="str">
        <x:v>PNIEC exploratory TIMES_RSE scenario.</x:v>
      </x:c>
    </x:row>
    <x:row r="165">
      <x:c r="A165" s="83" t="str">
        <x:v>BAL-0161</x:v>
      </x:c>
      <x:c r="B165" s="83" t="str">
        <x:v>PNIEC_2050_NUCLEAR</x:v>
      </x:c>
      <x:c r="C165" s="83" t="n">
        <x:v>2050</x:v>
      </x:c>
      <x:c r="D165" s="83" t="str">
        <x:v>PNIEC 2050 con nucleare</x:v>
      </x:c>
      <x:c r="E165" s="83" t="str">
        <x:v>Bioenergie con CCS</x:v>
      </x:c>
      <x:c r="F165" s="143" t="n">
        <x:v>6</x:v>
      </x:c>
      <x:c r="G165" s="83" t="str">
        <x:v>TWh</x:v>
      </x:c>
      <x:c r="H165" s="83" t="str">
        <x:v>Italia</x:v>
      </x:c>
      <x:c r="I165" s="83" t="str">
        <x:v>Risultato di modello della fonte</x:v>
      </x:c>
      <x:c r="J165" s="83" t="str">
        <x:v>S07 (riproduce S08)</x:v>
      </x:c>
      <x:c r="K165" s="83" t="str">
        <x:v>Terna Prospettive Sviluppo Sistema Energetico 2050.pdf</x:v>
      </x:c>
      <x:c r="L165" s="83" t="n">
        <x:v>52</x:v>
      </x:c>
      <x:c r="M165" s="83" t="n">
        <x:v>50</x:v>
      </x:c>
      <x:c r="N165" s="83" t="str">
        <x:v>Tabella 3</x:v>
      </x:c>
      <x:c r="O165" s="83" t="str">
        <x:v>Direct table extraction; PNIEC cross-check</x:v>
      </x:c>
      <x:c r="P165" s="83" t="str">
        <x:v>A - Direct</x:v>
      </x:c>
      <x:c r="Q165" s="83" t="str">
        <x:v>PNIEC exploratory TIMES_RSE scenario.</x:v>
      </x:c>
    </x:row>
    <x:row r="166">
      <x:c r="A166" s="83" t="str">
        <x:v>BAL-0162</x:v>
      </x:c>
      <x:c r="B166" s="83" t="str">
        <x:v>PNIEC_2050_NUCLEAR</x:v>
      </x:c>
      <x:c r="C166" s="83" t="n">
        <x:v>2050</x:v>
      </x:c>
      <x:c r="D166" s="83" t="str">
        <x:v>PNIEC 2050 con nucleare</x:v>
      </x:c>
      <x:c r="E166" s="83" t="str">
        <x:v>Altre FER</x:v>
      </x:c>
      <x:c r="F166" s="143" t="n">
        <x:v>164.1</x:v>
      </x:c>
      <x:c r="G166" s="83" t="str">
        <x:v>TWh</x:v>
      </x:c>
      <x:c r="H166" s="83" t="str">
        <x:v>Italia</x:v>
      </x:c>
      <x:c r="I166" s="83" t="str">
        <x:v>Risultato di modello della fonte</x:v>
      </x:c>
      <x:c r="J166" s="83" t="str">
        <x:v>S07 (riproduce S08)</x:v>
      </x:c>
      <x:c r="K166" s="83" t="str">
        <x:v>Terna Prospettive Sviluppo Sistema Energetico 2050.pdf</x:v>
      </x:c>
      <x:c r="L166" s="83" t="n">
        <x:v>52</x:v>
      </x:c>
      <x:c r="M166" s="83" t="n">
        <x:v>50</x:v>
      </x:c>
      <x:c r="N166" s="83" t="str">
        <x:v>Tabella 3</x:v>
      </x:c>
      <x:c r="O166" s="83" t="str">
        <x:v>Direct table extraction; PNIEC cross-check</x:v>
      </x:c>
      <x:c r="P166" s="83" t="str">
        <x:v>A - Direct</x:v>
      </x:c>
      <x:c r="Q166" s="83" t="str">
        <x:v>PNIEC exploratory TIMES_RSE scenario.</x:v>
      </x:c>
    </x:row>
    <x:row r="167">
      <x:c r="A167" s="83" t="str">
        <x:v>BAL-0163</x:v>
      </x:c>
      <x:c r="B167" s="83" t="str">
        <x:v>PNIEC_2050_NUCLEAR</x:v>
      </x:c>
      <x:c r="C167" s="83" t="n">
        <x:v>2050</x:v>
      </x:c>
      <x:c r="D167" s="83" t="str">
        <x:v>PNIEC 2050 con nucleare</x:v>
      </x:c>
      <x:c r="E167" s="83" t="str">
        <x:v>Gas naturale + altre fonti fossili</x:v>
      </x:c>
      <x:c r="F167" s="143" t="n">
        <x:v>2.1</x:v>
      </x:c>
      <x:c r="G167" s="83" t="str">
        <x:v>TWh</x:v>
      </x:c>
      <x:c r="H167" s="83" t="str">
        <x:v>Italia</x:v>
      </x:c>
      <x:c r="I167" s="83" t="str">
        <x:v>Risultato di modello della fonte</x:v>
      </x:c>
      <x:c r="J167" s="83" t="str">
        <x:v>S07 (riproduce S08)</x:v>
      </x:c>
      <x:c r="K167" s="83" t="str">
        <x:v>Terna Prospettive Sviluppo Sistema Energetico 2050.pdf</x:v>
      </x:c>
      <x:c r="L167" s="83" t="n">
        <x:v>52</x:v>
      </x:c>
      <x:c r="M167" s="83" t="n">
        <x:v>50</x:v>
      </x:c>
      <x:c r="N167" s="83" t="str">
        <x:v>Tabella 3</x:v>
      </x:c>
      <x:c r="O167" s="83" t="str">
        <x:v>Direct table extraction; PNIEC cross-check</x:v>
      </x:c>
      <x:c r="P167" s="83" t="str">
        <x:v>A - Direct</x:v>
      </x:c>
      <x:c r="Q167" s="83" t="str">
        <x:v>PNIEC exploratory TIMES_RSE scenario.</x:v>
      </x:c>
    </x:row>
    <x:row r="168">
      <x:c r="A168" s="83" t="str">
        <x:v>BAL-0164</x:v>
      </x:c>
      <x:c r="B168" s="83" t="str">
        <x:v>PNIEC_2050_NUCLEAR</x:v>
      </x:c>
      <x:c r="C168" s="83" t="n">
        <x:v>2050</x:v>
      </x:c>
      <x:c r="D168" s="83" t="str">
        <x:v>PNIEC 2050 con nucleare</x:v>
      </x:c>
      <x:c r="E168" s="83" t="str">
        <x:v>Gas naturale con CCS</x:v>
      </x:c>
      <x:c r="F168" s="143" t="n">
        <x:v>4</x:v>
      </x:c>
      <x:c r="G168" s="83" t="str">
        <x:v>TWh</x:v>
      </x:c>
      <x:c r="H168" s="83" t="str">
        <x:v>Italia</x:v>
      </x:c>
      <x:c r="I168" s="83" t="str">
        <x:v>Risultato di modello della fonte</x:v>
      </x:c>
      <x:c r="J168" s="83" t="str">
        <x:v>S07 (riproduce S08)</x:v>
      </x:c>
      <x:c r="K168" s="83" t="str">
        <x:v>Terna Prospettive Sviluppo Sistema Energetico 2050.pdf</x:v>
      </x:c>
      <x:c r="L168" s="83" t="n">
        <x:v>52</x:v>
      </x:c>
      <x:c r="M168" s="83" t="n">
        <x:v>50</x:v>
      </x:c>
      <x:c r="N168" s="83" t="str">
        <x:v>Tabella 3</x:v>
      </x:c>
      <x:c r="O168" s="83" t="str">
        <x:v>Direct table extraction; PNIEC cross-check</x:v>
      </x:c>
      <x:c r="P168" s="83" t="str">
        <x:v>A - Direct</x:v>
      </x:c>
      <x:c r="Q168" s="83" t="str">
        <x:v>PNIEC exploratory TIMES_RSE scenario.</x:v>
      </x:c>
    </x:row>
    <x:row r="169">
      <x:c r="A169" s="83" t="str">
        <x:v>BAL-0165</x:v>
      </x:c>
      <x:c r="B169" s="83" t="str">
        <x:v>PNIEC_2050_NUCLEAR</x:v>
      </x:c>
      <x:c r="C169" s="83" t="n">
        <x:v>2050</x:v>
      </x:c>
      <x:c r="D169" s="83" t="str">
        <x:v>PNIEC 2050 con nucleare</x:v>
      </x:c>
      <x:c r="E169" s="83" t="str">
        <x:v>Nucleare</x:v>
      </x:c>
      <x:c r="F169" s="143" t="n">
        <x:v>64.2</x:v>
      </x:c>
      <x:c r="G169" s="83" t="str">
        <x:v>TWh</x:v>
      </x:c>
      <x:c r="H169" s="83" t="str">
        <x:v>Italia</x:v>
      </x:c>
      <x:c r="I169" s="83" t="str">
        <x:v>Risultato di modello della fonte</x:v>
      </x:c>
      <x:c r="J169" s="83" t="str">
        <x:v>S07 (riproduce S08)</x:v>
      </x:c>
      <x:c r="K169" s="83" t="str">
        <x:v>Terna Prospettive Sviluppo Sistema Energetico 2050.pdf</x:v>
      </x:c>
      <x:c r="L169" s="83" t="n">
        <x:v>52</x:v>
      </x:c>
      <x:c r="M169" s="83" t="n">
        <x:v>50</x:v>
      </x:c>
      <x:c r="N169" s="83" t="str">
        <x:v>Tabella 3</x:v>
      </x:c>
      <x:c r="O169" s="83" t="str">
        <x:v>Direct table extraction; PNIEC cross-check</x:v>
      </x:c>
      <x:c r="P169" s="83" t="str">
        <x:v>A - Direct</x:v>
      </x:c>
      <x:c r="Q169" s="83" t="str">
        <x:v>PNIEC exploratory TIMES_RSE scenario.</x:v>
      </x:c>
    </x:row>
    <x:row r="170">
      <x:c r="A170" s="83" t="str">
        <x:v>BAL-0166</x:v>
      </x:c>
      <x:c r="B170" s="83" t="str">
        <x:v>PNIEC_2050_NO_NUCLEAR</x:v>
      </x:c>
      <x:c r="C170" s="83" t="n">
        <x:v>2050</x:v>
      </x:c>
      <x:c r="D170" s="83" t="str">
        <x:v>PNIEC 2050 senza nucleare</x:v>
      </x:c>
      <x:c r="E170" s="83" t="str">
        <x:v>Fabbisogno elettrico totale</x:v>
      </x:c>
      <x:c r="F170" s="143" t="n">
        <x:v>551.7</x:v>
      </x:c>
      <x:c r="G170" s="83" t="str">
        <x:v>TWh</x:v>
      </x:c>
      <x:c r="H170" s="83" t="str">
        <x:v>Italia</x:v>
      </x:c>
      <x:c r="I170" s="83" t="str">
        <x:v>Risultato di modello della fonte</x:v>
      </x:c>
      <x:c r="J170" s="83" t="str">
        <x:v>S07 (riproduce S08)</x:v>
      </x:c>
      <x:c r="K170" s="83" t="str">
        <x:v>Terna Prospettive Sviluppo Sistema Energetico 2050.pdf</x:v>
      </x:c>
      <x:c r="L170" s="83" t="n">
        <x:v>52</x:v>
      </x:c>
      <x:c r="M170" s="83" t="n">
        <x:v>50</x:v>
      </x:c>
      <x:c r="N170" s="83" t="str">
        <x:v>Tabella 3</x:v>
      </x:c>
      <x:c r="O170" s="83" t="str">
        <x:v>Direct table extraction; PNIEC cross-check</x:v>
      </x:c>
      <x:c r="P170" s="83" t="str">
        <x:v>A - Direct</x:v>
      </x:c>
      <x:c r="Q170" s="83" t="str">
        <x:v>PNIEC exploratory TIMES_RSE scenario.</x:v>
      </x:c>
    </x:row>
    <x:row r="171">
      <x:c r="A171" s="83" t="str">
        <x:v>BAL-0167</x:v>
      </x:c>
      <x:c r="B171" s="83" t="str">
        <x:v>PNIEC_2050_NO_NUCLEAR</x:v>
      </x:c>
      <x:c r="C171" s="83" t="n">
        <x:v>2050</x:v>
      </x:c>
      <x:c r="D171" s="83" t="str">
        <x:v>PNIEC 2050 senza nucleare</x:v>
      </x:c>
      <x:c r="E171" s="83" t="str">
        <x:v>Consumi finali</x:v>
      </x:c>
      <x:c r="F171" s="143" t="n">
        <x:v>453.4</x:v>
      </x:c>
      <x:c r="G171" s="83" t="str">
        <x:v>TWh</x:v>
      </x:c>
      <x:c r="H171" s="83" t="str">
        <x:v>Italia</x:v>
      </x:c>
      <x:c r="I171" s="83" t="str">
        <x:v>Risultato di modello della fonte</x:v>
      </x:c>
      <x:c r="J171" s="83" t="str">
        <x:v>S07 (riproduce S08)</x:v>
      </x:c>
      <x:c r="K171" s="83" t="str">
        <x:v>Terna Prospettive Sviluppo Sistema Energetico 2050.pdf</x:v>
      </x:c>
      <x:c r="L171" s="83" t="n">
        <x:v>52</x:v>
      </x:c>
      <x:c r="M171" s="83" t="n">
        <x:v>50</x:v>
      </x:c>
      <x:c r="N171" s="83" t="str">
        <x:v>Tabella 3</x:v>
      </x:c>
      <x:c r="O171" s="83" t="str">
        <x:v>Direct table extraction; PNIEC cross-check</x:v>
      </x:c>
      <x:c r="P171" s="83" t="str">
        <x:v>A - Direct</x:v>
      </x:c>
      <x:c r="Q171" s="83" t="str">
        <x:v>PNIEC exploratory TIMES_RSE scenario.</x:v>
      </x:c>
    </x:row>
    <x:row r="172">
      <x:c r="A172" s="83" t="str">
        <x:v>BAL-0168</x:v>
      </x:c>
      <x:c r="B172" s="83" t="str">
        <x:v>PNIEC_2050_NO_NUCLEAR</x:v>
      </x:c>
      <x:c r="C172" s="83" t="n">
        <x:v>2050</x:v>
      </x:c>
      <x:c r="D172" s="83" t="str">
        <x:v>PNIEC 2050 senza nucleare</x:v>
      </x:c>
      <x:c r="E172" s="83" t="str">
        <x:v>Power to X</x:v>
      </x:c>
      <x:c r="F172" s="143" t="n">
        <x:v>75.8</x:v>
      </x:c>
      <x:c r="G172" s="83" t="str">
        <x:v>TWh</x:v>
      </x:c>
      <x:c r="H172" s="83" t="str">
        <x:v>Italia</x:v>
      </x:c>
      <x:c r="I172" s="83" t="str">
        <x:v>Risultato di modello della fonte</x:v>
      </x:c>
      <x:c r="J172" s="83" t="str">
        <x:v>S07 (riproduce S08)</x:v>
      </x:c>
      <x:c r="K172" s="83" t="str">
        <x:v>Terna Prospettive Sviluppo Sistema Energetico 2050.pdf</x:v>
      </x:c>
      <x:c r="L172" s="83" t="n">
        <x:v>52</x:v>
      </x:c>
      <x:c r="M172" s="83" t="n">
        <x:v>50</x:v>
      </x:c>
      <x:c r="N172" s="83" t="str">
        <x:v>Tabella 3</x:v>
      </x:c>
      <x:c r="O172" s="83" t="str">
        <x:v>Direct table extraction; PNIEC cross-check</x:v>
      </x:c>
      <x:c r="P172" s="83" t="str">
        <x:v>A - Direct</x:v>
      </x:c>
      <x:c r="Q172" s="83" t="str">
        <x:v>PNIEC exploratory TIMES_RSE scenario.</x:v>
      </x:c>
    </x:row>
    <x:row r="173">
      <x:c r="A173" s="83" t="str">
        <x:v>BAL-0169</x:v>
      </x:c>
      <x:c r="B173" s="83" t="str">
        <x:v>PNIEC_2050_NO_NUCLEAR</x:v>
      </x:c>
      <x:c r="C173" s="83" t="n">
        <x:v>2050</x:v>
      </x:c>
      <x:c r="D173" s="83" t="str">
        <x:v>PNIEC 2050 senza nucleare</x:v>
      </x:c>
      <x:c r="E173" s="83" t="str">
        <x:v>Perdite</x:v>
      </x:c>
      <x:c r="F173" s="143" t="n">
        <x:v>22.5</x:v>
      </x:c>
      <x:c r="G173" s="83" t="str">
        <x:v>TWh</x:v>
      </x:c>
      <x:c r="H173" s="83" t="str">
        <x:v>Italia</x:v>
      </x:c>
      <x:c r="I173" s="83" t="str">
        <x:v>Risultato di modello della fonte</x:v>
      </x:c>
      <x:c r="J173" s="83" t="str">
        <x:v>S07 (riproduce S08)</x:v>
      </x:c>
      <x:c r="K173" s="83" t="str">
        <x:v>Terna Prospettive Sviluppo Sistema Energetico 2050.pdf</x:v>
      </x:c>
      <x:c r="L173" s="83" t="n">
        <x:v>52</x:v>
      </x:c>
      <x:c r="M173" s="83" t="n">
        <x:v>50</x:v>
      </x:c>
      <x:c r="N173" s="83" t="str">
        <x:v>Tabella 3</x:v>
      </x:c>
      <x:c r="O173" s="83" t="str">
        <x:v>Direct table extraction; PNIEC cross-check</x:v>
      </x:c>
      <x:c r="P173" s="83" t="str">
        <x:v>A - Direct</x:v>
      </x:c>
      <x:c r="Q173" s="83" t="str">
        <x:v>PNIEC exploratory TIMES_RSE scenario.</x:v>
      </x:c>
    </x:row>
    <x:row r="174">
      <x:c r="A174" s="83" t="str">
        <x:v>BAL-0170</x:v>
      </x:c>
      <x:c r="B174" s="83" t="str">
        <x:v>PNIEC_2050_NO_NUCLEAR</x:v>
      </x:c>
      <x:c r="C174" s="83" t="n">
        <x:v>2050</x:v>
      </x:c>
      <x:c r="D174" s="83" t="str">
        <x:v>PNIEC 2050 senza nucleare</x:v>
      </x:c>
      <x:c r="E174" s="83" t="str">
        <x:v>Produzione nazionale</x:v>
      </x:c>
      <x:c r="F174" s="143" t="n">
        <x:v>566.2</x:v>
      </x:c>
      <x:c r="G174" s="83" t="str">
        <x:v>TWh</x:v>
      </x:c>
      <x:c r="H174" s="83" t="str">
        <x:v>Italia</x:v>
      </x:c>
      <x:c r="I174" s="83" t="str">
        <x:v>Risultato di modello della fonte</x:v>
      </x:c>
      <x:c r="J174" s="83" t="str">
        <x:v>S07 (riproduce S08)</x:v>
      </x:c>
      <x:c r="K174" s="83" t="str">
        <x:v>Terna Prospettive Sviluppo Sistema Energetico 2050.pdf</x:v>
      </x:c>
      <x:c r="L174" s="83" t="n">
        <x:v>52</x:v>
      </x:c>
      <x:c r="M174" s="83" t="n">
        <x:v>50</x:v>
      </x:c>
      <x:c r="N174" s="83" t="str">
        <x:v>Tabella 3</x:v>
      </x:c>
      <x:c r="O174" s="83" t="str">
        <x:v>Direct table extraction; PNIEC cross-check</x:v>
      </x:c>
      <x:c r="P174" s="83" t="str">
        <x:v>A - Direct</x:v>
      </x:c>
      <x:c r="Q174" s="83" t="str">
        <x:v>PNIEC exploratory TIMES_RSE scenario.</x:v>
      </x:c>
    </x:row>
    <x:row r="175">
      <x:c r="A175" s="83" t="str">
        <x:v>BAL-0171</x:v>
      </x:c>
      <x:c r="B175" s="83" t="str">
        <x:v>PNIEC_2050_NO_NUCLEAR</x:v>
      </x:c>
      <x:c r="C175" s="83" t="n">
        <x:v>2050</x:v>
      </x:c>
      <x:c r="D175" s="83" t="str">
        <x:v>PNIEC 2050 senza nucleare</x:v>
      </x:c>
      <x:c r="E175" s="83" t="str">
        <x:v>Fotovoltaica</x:v>
      </x:c>
      <x:c r="F175" s="143" t="n">
        <x:v>349.8</x:v>
      </x:c>
      <x:c r="G175" s="83" t="str">
        <x:v>TWh</x:v>
      </x:c>
      <x:c r="H175" s="83" t="str">
        <x:v>Italia</x:v>
      </x:c>
      <x:c r="I175" s="83" t="str">
        <x:v>Risultato di modello della fonte</x:v>
      </x:c>
      <x:c r="J175" s="83" t="str">
        <x:v>S07 (riproduce S08)</x:v>
      </x:c>
      <x:c r="K175" s="83" t="str">
        <x:v>Terna Prospettive Sviluppo Sistema Energetico 2050.pdf</x:v>
      </x:c>
      <x:c r="L175" s="83" t="n">
        <x:v>52</x:v>
      </x:c>
      <x:c r="M175" s="83" t="n">
        <x:v>50</x:v>
      </x:c>
      <x:c r="N175" s="83" t="str">
        <x:v>Tabella 3</x:v>
      </x:c>
      <x:c r="O175" s="83" t="str">
        <x:v>Direct table extraction; PNIEC cross-check</x:v>
      </x:c>
      <x:c r="P175" s="83" t="str">
        <x:v>A - Direct</x:v>
      </x:c>
      <x:c r="Q175" s="83" t="str">
        <x:v>PNIEC exploratory TIMES_RSE scenario.</x:v>
      </x:c>
    </x:row>
    <x:row r="176">
      <x:c r="A176" s="83" t="str">
        <x:v>BAL-0172</x:v>
      </x:c>
      <x:c r="B176" s="83" t="str">
        <x:v>PNIEC_2050_NO_NUCLEAR</x:v>
      </x:c>
      <x:c r="C176" s="83" t="n">
        <x:v>2050</x:v>
      </x:c>
      <x:c r="D176" s="83" t="str">
        <x:v>PNIEC 2050 senza nucleare</x:v>
      </x:c>
      <x:c r="E176" s="83" t="str">
        <x:v>Bioenergie</x:v>
      </x:c>
      <x:c r="F176" s="143" t="n">
        <x:v>10.6</x:v>
      </x:c>
      <x:c r="G176" s="83" t="str">
        <x:v>TWh</x:v>
      </x:c>
      <x:c r="H176" s="83" t="str">
        <x:v>Italia</x:v>
      </x:c>
      <x:c r="I176" s="83" t="str">
        <x:v>Risultato di modello della fonte</x:v>
      </x:c>
      <x:c r="J176" s="83" t="str">
        <x:v>S07 (riproduce S08)</x:v>
      </x:c>
      <x:c r="K176" s="83" t="str">
        <x:v>Terna Prospettive Sviluppo Sistema Energetico 2050.pdf</x:v>
      </x:c>
      <x:c r="L176" s="83" t="n">
        <x:v>52</x:v>
      </x:c>
      <x:c r="M176" s="83" t="n">
        <x:v>50</x:v>
      </x:c>
      <x:c r="N176" s="83" t="str">
        <x:v>Tabella 3</x:v>
      </x:c>
      <x:c r="O176" s="83" t="str">
        <x:v>Direct table extraction; PNIEC cross-check</x:v>
      </x:c>
      <x:c r="P176" s="83" t="str">
        <x:v>A - Direct</x:v>
      </x:c>
      <x:c r="Q176" s="83" t="str">
        <x:v>PNIEC exploratory TIMES_RSE scenario.</x:v>
      </x:c>
    </x:row>
    <x:row r="177">
      <x:c r="A177" s="83" t="str">
        <x:v>BAL-0173</x:v>
      </x:c>
      <x:c r="B177" s="83" t="str">
        <x:v>PNIEC_2050_NO_NUCLEAR</x:v>
      </x:c>
      <x:c r="C177" s="83" t="n">
        <x:v>2050</x:v>
      </x:c>
      <x:c r="D177" s="83" t="str">
        <x:v>PNIEC 2050 senza nucleare</x:v>
      </x:c>
      <x:c r="E177" s="83" t="str">
        <x:v>Bioenergie con CCS</x:v>
      </x:c>
      <x:c r="F177" s="143" t="n">
        <x:v>12.5</x:v>
      </x:c>
      <x:c r="G177" s="83" t="str">
        <x:v>TWh</x:v>
      </x:c>
      <x:c r="H177" s="83" t="str">
        <x:v>Italia</x:v>
      </x:c>
      <x:c r="I177" s="83" t="str">
        <x:v>Risultato di modello della fonte</x:v>
      </x:c>
      <x:c r="J177" s="83" t="str">
        <x:v>S07 (riproduce S08)</x:v>
      </x:c>
      <x:c r="K177" s="83" t="str">
        <x:v>Terna Prospettive Sviluppo Sistema Energetico 2050.pdf</x:v>
      </x:c>
      <x:c r="L177" s="83" t="n">
        <x:v>52</x:v>
      </x:c>
      <x:c r="M177" s="83" t="n">
        <x:v>50</x:v>
      </x:c>
      <x:c r="N177" s="83" t="str">
        <x:v>Tabella 3</x:v>
      </x:c>
      <x:c r="O177" s="83" t="str">
        <x:v>Direct table extraction; PNIEC cross-check</x:v>
      </x:c>
      <x:c r="P177" s="83" t="str">
        <x:v>A - Direct</x:v>
      </x:c>
      <x:c r="Q177" s="83" t="str">
        <x:v>PNIEC exploratory TIMES_RSE scenario.</x:v>
      </x:c>
    </x:row>
    <x:row r="178">
      <x:c r="A178" s="83" t="str">
        <x:v>BAL-0174</x:v>
      </x:c>
      <x:c r="B178" s="83" t="str">
        <x:v>PNIEC_2050_NO_NUCLEAR</x:v>
      </x:c>
      <x:c r="C178" s="83" t="n">
        <x:v>2050</x:v>
      </x:c>
      <x:c r="D178" s="83" t="str">
        <x:v>PNIEC 2050 senza nucleare</x:v>
      </x:c>
      <x:c r="E178" s="83" t="str">
        <x:v>Altre FER</x:v>
      </x:c>
      <x:c r="F178" s="143" t="n">
        <x:v>179.5</x:v>
      </x:c>
      <x:c r="G178" s="83" t="str">
        <x:v>TWh</x:v>
      </x:c>
      <x:c r="H178" s="83" t="str">
        <x:v>Italia</x:v>
      </x:c>
      <x:c r="I178" s="83" t="str">
        <x:v>Risultato di modello della fonte</x:v>
      </x:c>
      <x:c r="J178" s="83" t="str">
        <x:v>S07 (riproduce S08)</x:v>
      </x:c>
      <x:c r="K178" s="83" t="str">
        <x:v>Terna Prospettive Sviluppo Sistema Energetico 2050.pdf</x:v>
      </x:c>
      <x:c r="L178" s="83" t="n">
        <x:v>52</x:v>
      </x:c>
      <x:c r="M178" s="83" t="n">
        <x:v>50</x:v>
      </x:c>
      <x:c r="N178" s="83" t="str">
        <x:v>Tabella 3</x:v>
      </x:c>
      <x:c r="O178" s="83" t="str">
        <x:v>Direct table extraction; PNIEC cross-check</x:v>
      </x:c>
      <x:c r="P178" s="83" t="str">
        <x:v>A - Direct</x:v>
      </x:c>
      <x:c r="Q178" s="83" t="str">
        <x:v>PNIEC exploratory TIMES_RSE scenario.</x:v>
      </x:c>
    </x:row>
    <x:row r="179">
      <x:c r="A179" s="83" t="str">
        <x:v>BAL-0175</x:v>
      </x:c>
      <x:c r="B179" s="83" t="str">
        <x:v>PNIEC_2050_NO_NUCLEAR</x:v>
      </x:c>
      <x:c r="C179" s="83" t="n">
        <x:v>2050</x:v>
      </x:c>
      <x:c r="D179" s="83" t="str">
        <x:v>PNIEC 2050 senza nucleare</x:v>
      </x:c>
      <x:c r="E179" s="83" t="str">
        <x:v>Gas naturale + altre fonti fossili</x:v>
      </x:c>
      <x:c r="F179" s="143" t="n">
        <x:v>2.3</x:v>
      </x:c>
      <x:c r="G179" s="83" t="str">
        <x:v>TWh</x:v>
      </x:c>
      <x:c r="H179" s="83" t="str">
        <x:v>Italia</x:v>
      </x:c>
      <x:c r="I179" s="83" t="str">
        <x:v>Risultato di modello della fonte</x:v>
      </x:c>
      <x:c r="J179" s="83" t="str">
        <x:v>S07 (riproduce S08)</x:v>
      </x:c>
      <x:c r="K179" s="83" t="str">
        <x:v>Terna Prospettive Sviluppo Sistema Energetico 2050.pdf</x:v>
      </x:c>
      <x:c r="L179" s="83" t="n">
        <x:v>52</x:v>
      </x:c>
      <x:c r="M179" s="83" t="n">
        <x:v>50</x:v>
      </x:c>
      <x:c r="N179" s="83" t="str">
        <x:v>Tabella 3</x:v>
      </x:c>
      <x:c r="O179" s="83" t="str">
        <x:v>Direct table extraction; PNIEC cross-check</x:v>
      </x:c>
      <x:c r="P179" s="83" t="str">
        <x:v>A - Direct</x:v>
      </x:c>
      <x:c r="Q179" s="83" t="str">
        <x:v>PNIEC exploratory TIMES_RSE scenario.</x:v>
      </x:c>
    </x:row>
    <x:row r="180">
      <x:c r="A180" s="83" t="str">
        <x:v>BAL-0176</x:v>
      </x:c>
      <x:c r="B180" s="83" t="str">
        <x:v>PNIEC_2050_NO_NUCLEAR</x:v>
      </x:c>
      <x:c r="C180" s="83" t="n">
        <x:v>2050</x:v>
      </x:c>
      <x:c r="D180" s="83" t="str">
        <x:v>PNIEC 2050 senza nucleare</x:v>
      </x:c>
      <x:c r="E180" s="83" t="str">
        <x:v>Gas naturale con CCS</x:v>
      </x:c>
      <x:c r="F180" s="143" t="n">
        <x:v>11.5</x:v>
      </x:c>
      <x:c r="G180" s="83" t="str">
        <x:v>TWh</x:v>
      </x:c>
      <x:c r="H180" s="83" t="str">
        <x:v>Italia</x:v>
      </x:c>
      <x:c r="I180" s="83" t="str">
        <x:v>Risultato di modello della fonte</x:v>
      </x:c>
      <x:c r="J180" s="83" t="str">
        <x:v>S07 (riproduce S08)</x:v>
      </x:c>
      <x:c r="K180" s="83" t="str">
        <x:v>Terna Prospettive Sviluppo Sistema Energetico 2050.pdf</x:v>
      </x:c>
      <x:c r="L180" s="83" t="n">
        <x:v>52</x:v>
      </x:c>
      <x:c r="M180" s="83" t="n">
        <x:v>50</x:v>
      </x:c>
      <x:c r="N180" s="83" t="str">
        <x:v>Tabella 3</x:v>
      </x:c>
      <x:c r="O180" s="83" t="str">
        <x:v>Direct table extraction; PNIEC cross-check</x:v>
      </x:c>
      <x:c r="P180" s="83" t="str">
        <x:v>A - Direct</x:v>
      </x:c>
      <x:c r="Q180" s="83" t="str">
        <x:v>PNIEC exploratory TIMES_RSE scenario.</x:v>
      </x:c>
    </x:row>
    <x:row r="181">
      <x:c r="A181" s="83" t="str">
        <x:v>BAL-0177</x:v>
      </x:c>
      <x:c r="B181" s="83" t="str">
        <x:v>PNIEC_2050_NO_NUCLEAR</x:v>
      </x:c>
      <x:c r="C181" s="83" t="n">
        <x:v>2050</x:v>
      </x:c>
      <x:c r="D181" s="83" t="str">
        <x:v>PNIEC 2050 senza nucleare</x:v>
      </x:c>
      <x:c r="E181" s="83" t="str">
        <x:v>Nucleare</x:v>
      </x:c>
      <x:c r="F181" s="143" t="n">
        <x:v>0</x:v>
      </x:c>
      <x:c r="G181" s="83" t="str">
        <x:v>TWh</x:v>
      </x:c>
      <x:c r="H181" s="83" t="str">
        <x:v>Italia</x:v>
      </x:c>
      <x:c r="I181" s="83" t="str">
        <x:v>Risultato di modello della fonte</x:v>
      </x:c>
      <x:c r="J181" s="83" t="str">
        <x:v>S07 (riproduce S08)</x:v>
      </x:c>
      <x:c r="K181" s="83" t="str">
        <x:v>Terna Prospettive Sviluppo Sistema Energetico 2050.pdf</x:v>
      </x:c>
      <x:c r="L181" s="83" t="n">
        <x:v>52</x:v>
      </x:c>
      <x:c r="M181" s="83" t="n">
        <x:v>50</x:v>
      </x:c>
      <x:c r="N181" s="83" t="str">
        <x:v>Tabella 3</x:v>
      </x:c>
      <x:c r="O181" s="83" t="str">
        <x:v>Direct table extraction; PNIEC cross-check</x:v>
      </x:c>
      <x:c r="P181" s="83" t="str">
        <x:v>A - Direct</x:v>
      </x:c>
      <x:c r="Q181" s="83" t="str">
        <x:v>PNIEC exploratory TIMES_RSE scenario.</x:v>
      </x:c>
    </x:row>
    <x:row r="182">
      <x:c r="A182" s="83" t="str">
        <x:v>BAL-0178</x:v>
      </x:c>
      <x:c r="B182" s="83" t="str">
        <x:v>TERNA_2050_NUCLEAR</x:v>
      </x:c>
      <x:c r="C182" s="83" t="n">
        <x:v>2050</x:v>
      </x:c>
      <x:c r="D182" s="83" t="str">
        <x:v>Terna 2050 con nucleare</x:v>
      </x:c>
      <x:c r="E182" s="83" t="str">
        <x:v>Fabbisogno elettrico totale</x:v>
      </x:c>
      <x:c r="F182" s="143" t="n">
        <x:v>583</x:v>
      </x:c>
      <x:c r="G182" s="83" t="str">
        <x:v>TWh</x:v>
      </x:c>
      <x:c r="H182" s="83" t="str">
        <x:v>Italia</x:v>
      </x:c>
      <x:c r="I182" s="83" t="str">
        <x:v>Risultato di modello della fonte</x:v>
      </x:c>
      <x:c r="J182" s="83" t="str">
        <x:v>S07</x:v>
      </x:c>
      <x:c r="K182" s="83" t="str">
        <x:v>Terna Prospettive Sviluppo Sistema Energetico 2050.pdf</x:v>
      </x:c>
      <x:c r="L182" s="83" t="n">
        <x:v>59</x:v>
      </x:c>
      <x:c r="M182" s="83" t="n">
        <x:v>57</x:v>
      </x:c>
      <x:c r="N182" s="83" t="str">
        <x:v>Tabella 5</x:v>
      </x:c>
      <x:c r="O182" s="83" t="str">
        <x:v>Direct table extraction</x:v>
      </x:c>
      <x:c r="P182" s="83" t="str">
        <x:v>A - Direct</x:v>
      </x:c>
      <x:c r="Q182" s="83" t="str">
        <x:v>Simulazione pan-europea oraria; network transfer evolution not represented in the presented exercise.</x:v>
      </x:c>
    </x:row>
    <x:row r="183">
      <x:c r="A183" s="83" t="str">
        <x:v>BAL-0179</x:v>
      </x:c>
      <x:c r="B183" s="83" t="str">
        <x:v>TERNA_2050_NUCLEAR</x:v>
      </x:c>
      <x:c r="C183" s="83" t="n">
        <x:v>2050</x:v>
      </x:c>
      <x:c r="D183" s="83" t="str">
        <x:v>Terna 2050 con nucleare</x:v>
      </x:c>
      <x:c r="E183" s="83" t="str">
        <x:v>Totale produzione nazionale</x:v>
      </x:c>
      <x:c r="F183" s="143" t="n">
        <x:v>546</x:v>
      </x:c>
      <x:c r="G183" s="83" t="str">
        <x:v>TWh</x:v>
      </x:c>
      <x:c r="H183" s="83" t="str">
        <x:v>Italia</x:v>
      </x:c>
      <x:c r="I183" s="83" t="str">
        <x:v>Risultato di modello della fonte</x:v>
      </x:c>
      <x:c r="J183" s="83" t="str">
        <x:v>S07</x:v>
      </x:c>
      <x:c r="K183" s="83" t="str">
        <x:v>Terna Prospettive Sviluppo Sistema Energetico 2050.pdf</x:v>
      </x:c>
      <x:c r="L183" s="83" t="n">
        <x:v>59</x:v>
      </x:c>
      <x:c r="M183" s="83" t="n">
        <x:v>57</x:v>
      </x:c>
      <x:c r="N183" s="83" t="str">
        <x:v>Tabella 5</x:v>
      </x:c>
      <x:c r="O183" s="83" t="str">
        <x:v>Direct table extraction</x:v>
      </x:c>
      <x:c r="P183" s="83" t="str">
        <x:v>A - Direct</x:v>
      </x:c>
      <x:c r="Q183" s="83" t="str">
        <x:v>Simulazione pan-europea oraria; network transfer evolution not represented in the presented exercise.</x:v>
      </x:c>
    </x:row>
    <x:row r="184">
      <x:c r="A184" s="83" t="str">
        <x:v>BAL-0180</x:v>
      </x:c>
      <x:c r="B184" s="83" t="str">
        <x:v>TERNA_2050_NUCLEAR</x:v>
      </x:c>
      <x:c r="C184" s="83" t="n">
        <x:v>2050</x:v>
      </x:c>
      <x:c r="D184" s="83" t="str">
        <x:v>Terna 2050 con nucleare</x:v>
      </x:c>
      <x:c r="E184" s="83" t="str">
        <x:v>Solare, eolico e idrico</x:v>
      </x:c>
      <x:c r="F184" s="143" t="n">
        <x:v>435</x:v>
      </x:c>
      <x:c r="G184" s="83" t="str">
        <x:v>TWh</x:v>
      </x:c>
      <x:c r="H184" s="83" t="str">
        <x:v>Italia</x:v>
      </x:c>
      <x:c r="I184" s="83" t="str">
        <x:v>Risultato di modello della fonte</x:v>
      </x:c>
      <x:c r="J184" s="83" t="str">
        <x:v>S07</x:v>
      </x:c>
      <x:c r="K184" s="83" t="str">
        <x:v>Terna Prospettive Sviluppo Sistema Energetico 2050.pdf</x:v>
      </x:c>
      <x:c r="L184" s="83" t="n">
        <x:v>59</x:v>
      </x:c>
      <x:c r="M184" s="83" t="n">
        <x:v>57</x:v>
      </x:c>
      <x:c r="N184" s="83" t="str">
        <x:v>Tabella 5</x:v>
      </x:c>
      <x:c r="O184" s="83" t="str">
        <x:v>Direct table extraction</x:v>
      </x:c>
      <x:c r="P184" s="83" t="str">
        <x:v>A - Direct</x:v>
      </x:c>
      <x:c r="Q184" s="83" t="str">
        <x:v>Simulazione pan-europea oraria; network transfer evolution not represented in the presented exercise.</x:v>
      </x:c>
    </x:row>
    <x:row r="185">
      <x:c r="A185" s="83" t="str">
        <x:v>BAL-0181</x:v>
      </x:c>
      <x:c r="B185" s="83" t="str">
        <x:v>TERNA_2050_NUCLEAR</x:v>
      </x:c>
      <x:c r="C185" s="83" t="n">
        <x:v>2050</x:v>
      </x:c>
      <x:c r="D185" s="83" t="str">
        <x:v>Terna 2050 con nucleare</x:v>
      </x:c>
      <x:c r="E185" s="83" t="str">
        <x:v>Nucleare</x:v>
      </x:c>
      <x:c r="F185" s="143" t="n">
        <x:v>69</x:v>
      </x:c>
      <x:c r="G185" s="83" t="str">
        <x:v>TWh</x:v>
      </x:c>
      <x:c r="H185" s="83" t="str">
        <x:v>Italia</x:v>
      </x:c>
      <x:c r="I185" s="83" t="str">
        <x:v>Risultato di modello della fonte</x:v>
      </x:c>
      <x:c r="J185" s="83" t="str">
        <x:v>S07</x:v>
      </x:c>
      <x:c r="K185" s="83" t="str">
        <x:v>Terna Prospettive Sviluppo Sistema Energetico 2050.pdf</x:v>
      </x:c>
      <x:c r="L185" s="83" t="n">
        <x:v>59</x:v>
      </x:c>
      <x:c r="M185" s="83" t="n">
        <x:v>57</x:v>
      </x:c>
      <x:c r="N185" s="83" t="str">
        <x:v>Tabella 5</x:v>
      </x:c>
      <x:c r="O185" s="83" t="str">
        <x:v>Direct table extraction</x:v>
      </x:c>
      <x:c r="P185" s="83" t="str">
        <x:v>A - Direct</x:v>
      </x:c>
      <x:c r="Q185" s="83" t="str">
        <x:v>Simulazione pan-europea oraria; network transfer evolution not represented in the presented exercise.</x:v>
      </x:c>
    </x:row>
    <x:row r="186">
      <x:c r="A186" s="83" t="str">
        <x:v>BAL-0182</x:v>
      </x:c>
      <x:c r="B186" s="83" t="str">
        <x:v>TERNA_2050_NUCLEAR</x:v>
      </x:c>
      <x:c r="C186" s="83" t="n">
        <x:v>2050</x:v>
      </x:c>
      <x:c r="D186" s="83" t="str">
        <x:v>Terna 2050 con nucleare</x:v>
      </x:c>
      <x:c r="E186" s="83" t="str">
        <x:v>Altra produzione programmabile</x:v>
      </x:c>
      <x:c r="F186" s="143" t="n">
        <x:v>42</x:v>
      </x:c>
      <x:c r="G186" s="83" t="str">
        <x:v>TWh</x:v>
      </x:c>
      <x:c r="H186" s="83" t="str">
        <x:v>Italia</x:v>
      </x:c>
      <x:c r="I186" s="83" t="str">
        <x:v>Risultato di modello della fonte</x:v>
      </x:c>
      <x:c r="J186" s="83" t="str">
        <x:v>S07</x:v>
      </x:c>
      <x:c r="K186" s="83" t="str">
        <x:v>Terna Prospettive Sviluppo Sistema Energetico 2050.pdf</x:v>
      </x:c>
      <x:c r="L186" s="83" t="n">
        <x:v>59</x:v>
      </x:c>
      <x:c r="M186" s="83" t="n">
        <x:v>57</x:v>
      </x:c>
      <x:c r="N186" s="83" t="str">
        <x:v>Tabella 5</x:v>
      </x:c>
      <x:c r="O186" s="83" t="str">
        <x:v>Direct table extraction</x:v>
      </x:c>
      <x:c r="P186" s="83" t="str">
        <x:v>A - Direct</x:v>
      </x:c>
      <x:c r="Q186" s="83" t="str">
        <x:v>Simulazione pan-europea oraria; network transfer evolution not represented in the presented exercise.</x:v>
      </x:c>
    </x:row>
    <x:row r="187">
      <x:c r="A187" s="83" t="str">
        <x:v>BAL-0183</x:v>
      </x:c>
      <x:c r="B187" s="83" t="str">
        <x:v>TERNA_2050_NUCLEAR</x:v>
      </x:c>
      <x:c r="C187" s="83" t="n">
        <x:v>2050</x:v>
      </x:c>
      <x:c r="D187" s="83" t="str">
        <x:v>Terna 2050 con nucleare</x:v>
      </x:c>
      <x:c r="E187" s="83" t="str">
        <x:v>Saldo estero (import netto)</x:v>
      </x:c>
      <x:c r="F187" s="143" t="n">
        <x:v>48</x:v>
      </x:c>
      <x:c r="G187" s="83" t="str">
        <x:v>TWh</x:v>
      </x:c>
      <x:c r="H187" s="83" t="str">
        <x:v>Italia</x:v>
      </x:c>
      <x:c r="I187" s="83" t="str">
        <x:v>Risultato di modello della fonte</x:v>
      </x:c>
      <x:c r="J187" s="83" t="str">
        <x:v>S07</x:v>
      </x:c>
      <x:c r="K187" s="83" t="str">
        <x:v>Terna Prospettive Sviluppo Sistema Energetico 2050.pdf</x:v>
      </x:c>
      <x:c r="L187" s="83" t="n">
        <x:v>59</x:v>
      </x:c>
      <x:c r="M187" s="83" t="n">
        <x:v>57</x:v>
      </x:c>
      <x:c r="N187" s="83" t="str">
        <x:v>Tabella 5</x:v>
      </x:c>
      <x:c r="O187" s="83" t="str">
        <x:v>Direct table extraction</x:v>
      </x:c>
      <x:c r="P187" s="83" t="str">
        <x:v>A - Direct</x:v>
      </x:c>
      <x:c r="Q187" s="83" t="str">
        <x:v>Simulazione pan-europea oraria; network transfer evolution not represented in the presented exercise.</x:v>
      </x:c>
    </x:row>
    <x:row r="188">
      <x:c r="A188" s="83" t="str">
        <x:v>BAL-0184</x:v>
      </x:c>
      <x:c r="B188" s="83" t="str">
        <x:v>TERNA_2050_NUCLEAR</x:v>
      </x:c>
      <x:c r="C188" s="83" t="n">
        <x:v>2050</x:v>
      </x:c>
      <x:c r="D188" s="83" t="str">
        <x:v>Terna 2050 con nucleare</x:v>
      </x:c>
      <x:c r="E188" s="83" t="str">
        <x:v>Perdite accumuli</x:v>
      </x:c>
      <x:c r="F188" s="143" t="n">
        <x:v>-11</x:v>
      </x:c>
      <x:c r="G188" s="83" t="str">
        <x:v>TWh</x:v>
      </x:c>
      <x:c r="H188" s="83" t="str">
        <x:v>Italia</x:v>
      </x:c>
      <x:c r="I188" s="83" t="str">
        <x:v>Risultato di modello della fonte</x:v>
      </x:c>
      <x:c r="J188" s="83" t="str">
        <x:v>S07</x:v>
      </x:c>
      <x:c r="K188" s="83" t="str">
        <x:v>Terna Prospettive Sviluppo Sistema Energetico 2050.pdf</x:v>
      </x:c>
      <x:c r="L188" s="83" t="n">
        <x:v>59</x:v>
      </x:c>
      <x:c r="M188" s="83" t="n">
        <x:v>57</x:v>
      </x:c>
      <x:c r="N188" s="83" t="str">
        <x:v>Tabella 5</x:v>
      </x:c>
      <x:c r="O188" s="83" t="str">
        <x:v>Direct table extraction</x:v>
      </x:c>
      <x:c r="P188" s="83" t="str">
        <x:v>A - Direct</x:v>
      </x:c>
      <x:c r="Q188" s="83" t="str">
        <x:v>Simulazione pan-europea oraria; network transfer evolution not represented in the presented exercise.</x:v>
      </x:c>
    </x:row>
    <x:row r="189">
      <x:c r="A189" s="83" t="str">
        <x:v>BAL-0185</x:v>
      </x:c>
      <x:c r="B189" s="83" t="str">
        <x:v>TERNA_2050_NUCLEAR</x:v>
      </x:c>
      <x:c r="C189" s="83" t="n">
        <x:v>2050</x:v>
      </x:c>
      <x:c r="D189" s="83" t="str">
        <x:v>Terna 2050 con nucleare</x:v>
      </x:c>
      <x:c r="E189" s="83" t="str">
        <x:v>Copertura zero-emissioni</x:v>
      </x:c>
      <x:c r="F189" s="143" t="n">
        <x:v>89</x:v>
      </x:c>
      <x:c r="G189" s="83" t="str">
        <x:v>%</x:v>
      </x:c>
      <x:c r="H189" s="83" t="str">
        <x:v>Italia</x:v>
      </x:c>
      <x:c r="I189" s="83" t="str">
        <x:v>Risultato di modello della fonte</x:v>
      </x:c>
      <x:c r="J189" s="83" t="str">
        <x:v>S07</x:v>
      </x:c>
      <x:c r="K189" s="83" t="str">
        <x:v>Terna Prospettive Sviluppo Sistema Energetico 2050.pdf</x:v>
      </x:c>
      <x:c r="L189" s="83" t="n">
        <x:v>59</x:v>
      </x:c>
      <x:c r="M189" s="83" t="n">
        <x:v>57</x:v>
      </x:c>
      <x:c r="N189" s="83" t="str">
        <x:v>Tabella 5</x:v>
      </x:c>
      <x:c r="O189" s="83" t="str">
        <x:v>Direct table extraction</x:v>
      </x:c>
      <x:c r="P189" s="83" t="str">
        <x:v>A - Direct</x:v>
      </x:c>
      <x:c r="Q189" s="83" t="str">
        <x:v>Simulazione pan-europea oraria; network transfer evolution not represented in the presented exercise.</x:v>
      </x:c>
    </x:row>
    <x:row r="190">
      <x:c r="A190" s="83" t="str">
        <x:v>BAL-0186</x:v>
      </x:c>
      <x:c r="B190" s="83" t="str">
        <x:v>TERNA_2050_NUCLEAR</x:v>
      </x:c>
      <x:c r="C190" s="83" t="n">
        <x:v>2050</x:v>
      </x:c>
      <x:c r="D190" s="83" t="str">
        <x:v>Terna 2050 con nucleare</x:v>
      </x:c>
      <x:c r="E190" s="83" t="str">
        <x:v>Overgeneration su fabbisogno</x:v>
      </x:c>
      <x:c r="F190" s="143" t="n">
        <x:v>4.8</x:v>
      </x:c>
      <x:c r="G190" s="83" t="str">
        <x:v>%</x:v>
      </x:c>
      <x:c r="H190" s="83" t="str">
        <x:v>Italia</x:v>
      </x:c>
      <x:c r="I190" s="83" t="str">
        <x:v>Risultato di modello della fonte</x:v>
      </x:c>
      <x:c r="J190" s="83" t="str">
        <x:v>S07</x:v>
      </x:c>
      <x:c r="K190" s="83" t="str">
        <x:v>Terna Prospettive Sviluppo Sistema Energetico 2050.pdf</x:v>
      </x:c>
      <x:c r="L190" s="83" t="n">
        <x:v>59</x:v>
      </x:c>
      <x:c r="M190" s="83" t="n">
        <x:v>57</x:v>
      </x:c>
      <x:c r="N190" s="83" t="str">
        <x:v>Tabella 5</x:v>
      </x:c>
      <x:c r="O190" s="83" t="str">
        <x:v>Direct table extraction</x:v>
      </x:c>
      <x:c r="P190" s="83" t="str">
        <x:v>A - Direct</x:v>
      </x:c>
      <x:c r="Q190" s="83" t="str">
        <x:v>Simulazione pan-europea oraria; network transfer evolution not represented in the presented exercise.</x:v>
      </x:c>
    </x:row>
    <x:row r="191">
      <x:c r="A191" s="83" t="str">
        <x:v>BAL-0187</x:v>
      </x:c>
      <x:c r="B191" s="83" t="str">
        <x:v>TERNA_2050_NO_NUCLEAR</x:v>
      </x:c>
      <x:c r="C191" s="83" t="n">
        <x:v>2050</x:v>
      </x:c>
      <x:c r="D191" s="83" t="str">
        <x:v>Terna 2050 senza nucleare</x:v>
      </x:c>
      <x:c r="E191" s="83" t="str">
        <x:v>Fabbisogno elettrico totale</x:v>
      </x:c>
      <x:c r="F191" s="143" t="n">
        <x:v>583</x:v>
      </x:c>
      <x:c r="G191" s="83" t="str">
        <x:v>TWh</x:v>
      </x:c>
      <x:c r="H191" s="83" t="str">
        <x:v>Italia</x:v>
      </x:c>
      <x:c r="I191" s="83" t="str">
        <x:v>Risultato di modello della fonte</x:v>
      </x:c>
      <x:c r="J191" s="83" t="str">
        <x:v>S07</x:v>
      </x:c>
      <x:c r="K191" s="83" t="str">
        <x:v>Terna Prospettive Sviluppo Sistema Energetico 2050.pdf</x:v>
      </x:c>
      <x:c r="L191" s="83" t="n">
        <x:v>59</x:v>
      </x:c>
      <x:c r="M191" s="83" t="n">
        <x:v>57</x:v>
      </x:c>
      <x:c r="N191" s="83" t="str">
        <x:v>Tabella 5</x:v>
      </x:c>
      <x:c r="O191" s="83" t="str">
        <x:v>Direct table extraction</x:v>
      </x:c>
      <x:c r="P191" s="83" t="str">
        <x:v>A - Direct</x:v>
      </x:c>
      <x:c r="Q191" s="83" t="str">
        <x:v>Simulazione pan-europea oraria; network transfer evolution not represented in the presented exercise.</x:v>
      </x:c>
    </x:row>
    <x:row r="192">
      <x:c r="A192" s="83" t="str">
        <x:v>BAL-0188</x:v>
      </x:c>
      <x:c r="B192" s="83" t="str">
        <x:v>TERNA_2050_NO_NUCLEAR</x:v>
      </x:c>
      <x:c r="C192" s="83" t="n">
        <x:v>2050</x:v>
      </x:c>
      <x:c r="D192" s="83" t="str">
        <x:v>Terna 2050 senza nucleare</x:v>
      </x:c>
      <x:c r="E192" s="83" t="str">
        <x:v>Totale produzione nazionale</x:v>
      </x:c>
      <x:c r="F192" s="143" t="n">
        <x:v>540</x:v>
      </x:c>
      <x:c r="G192" s="83" t="str">
        <x:v>TWh</x:v>
      </x:c>
      <x:c r="H192" s="83" t="str">
        <x:v>Italia</x:v>
      </x:c>
      <x:c r="I192" s="83" t="str">
        <x:v>Risultato di modello della fonte</x:v>
      </x:c>
      <x:c r="J192" s="83" t="str">
        <x:v>S07</x:v>
      </x:c>
      <x:c r="K192" s="83" t="str">
        <x:v>Terna Prospettive Sviluppo Sistema Energetico 2050.pdf</x:v>
      </x:c>
      <x:c r="L192" s="83" t="n">
        <x:v>59</x:v>
      </x:c>
      <x:c r="M192" s="83" t="n">
        <x:v>57</x:v>
      </x:c>
      <x:c r="N192" s="83" t="str">
        <x:v>Tabella 5</x:v>
      </x:c>
      <x:c r="O192" s="83" t="str">
        <x:v>Direct table extraction</x:v>
      </x:c>
      <x:c r="P192" s="83" t="str">
        <x:v>A - Direct</x:v>
      </x:c>
      <x:c r="Q192" s="83" t="str">
        <x:v>Simulazione pan-europea oraria; network transfer evolution not represented in the presented exercise.</x:v>
      </x:c>
    </x:row>
    <x:row r="193">
      <x:c r="A193" s="83" t="str">
        <x:v>BAL-0189</x:v>
      </x:c>
      <x:c r="B193" s="83" t="str">
        <x:v>TERNA_2050_NO_NUCLEAR</x:v>
      </x:c>
      <x:c r="C193" s="83" t="n">
        <x:v>2050</x:v>
      </x:c>
      <x:c r="D193" s="83" t="str">
        <x:v>Terna 2050 senza nucleare</x:v>
      </x:c>
      <x:c r="E193" s="83" t="str">
        <x:v>Solare, eolico e idrico</x:v>
      </x:c>
      <x:c r="F193" s="143" t="n">
        <x:v>474</x:v>
      </x:c>
      <x:c r="G193" s="83" t="str">
        <x:v>TWh</x:v>
      </x:c>
      <x:c r="H193" s="83" t="str">
        <x:v>Italia</x:v>
      </x:c>
      <x:c r="I193" s="83" t="str">
        <x:v>Risultato di modello della fonte</x:v>
      </x:c>
      <x:c r="J193" s="83" t="str">
        <x:v>S07</x:v>
      </x:c>
      <x:c r="K193" s="83" t="str">
        <x:v>Terna Prospettive Sviluppo Sistema Energetico 2050.pdf</x:v>
      </x:c>
      <x:c r="L193" s="83" t="n">
        <x:v>59</x:v>
      </x:c>
      <x:c r="M193" s="83" t="n">
        <x:v>57</x:v>
      </x:c>
      <x:c r="N193" s="83" t="str">
        <x:v>Tabella 5</x:v>
      </x:c>
      <x:c r="O193" s="83" t="str">
        <x:v>Direct table extraction</x:v>
      </x:c>
      <x:c r="P193" s="83" t="str">
        <x:v>A - Direct</x:v>
      </x:c>
      <x:c r="Q193" s="83" t="str">
        <x:v>Simulazione pan-europea oraria; network transfer evolution not represented in the presented exercise.</x:v>
      </x:c>
    </x:row>
    <x:row r="194">
      <x:c r="A194" s="83" t="str">
        <x:v>BAL-0190</x:v>
      </x:c>
      <x:c r="B194" s="83" t="str">
        <x:v>TERNA_2050_NO_NUCLEAR</x:v>
      </x:c>
      <x:c r="C194" s="83" t="n">
        <x:v>2050</x:v>
      </x:c>
      <x:c r="D194" s="83" t="str">
        <x:v>Terna 2050 senza nucleare</x:v>
      </x:c>
      <x:c r="E194" s="83" t="str">
        <x:v>Nucleare</x:v>
      </x:c>
      <x:c r="F194" s="143" t="n">
        <x:v>0</x:v>
      </x:c>
      <x:c r="G194" s="83" t="str">
        <x:v>TWh</x:v>
      </x:c>
      <x:c r="H194" s="83" t="str">
        <x:v>Italia</x:v>
      </x:c>
      <x:c r="I194" s="83" t="str">
        <x:v>Risultato di modello della fonte</x:v>
      </x:c>
      <x:c r="J194" s="83" t="str">
        <x:v>S07</x:v>
      </x:c>
      <x:c r="K194" s="83" t="str">
        <x:v>Terna Prospettive Sviluppo Sistema Energetico 2050.pdf</x:v>
      </x:c>
      <x:c r="L194" s="83" t="n">
        <x:v>59</x:v>
      </x:c>
      <x:c r="M194" s="83" t="n">
        <x:v>57</x:v>
      </x:c>
      <x:c r="N194" s="83" t="str">
        <x:v>Tabella 5</x:v>
      </x:c>
      <x:c r="O194" s="83" t="str">
        <x:v>Direct table extraction</x:v>
      </x:c>
      <x:c r="P194" s="83" t="str">
        <x:v>A - Direct</x:v>
      </x:c>
      <x:c r="Q194" s="83" t="str">
        <x:v>Simulazione pan-europea oraria; network transfer evolution not represented in the presented exercise.</x:v>
      </x:c>
    </x:row>
    <x:row r="195">
      <x:c r="A195" s="83" t="str">
        <x:v>BAL-0191</x:v>
      </x:c>
      <x:c r="B195" s="83" t="str">
        <x:v>TERNA_2050_NO_NUCLEAR</x:v>
      </x:c>
      <x:c r="C195" s="83" t="n">
        <x:v>2050</x:v>
      </x:c>
      <x:c r="D195" s="83" t="str">
        <x:v>Terna 2050 senza nucleare</x:v>
      </x:c>
      <x:c r="E195" s="83" t="str">
        <x:v>Altra produzione programmabile</x:v>
      </x:c>
      <x:c r="F195" s="143" t="n">
        <x:v>66</x:v>
      </x:c>
      <x:c r="G195" s="83" t="str">
        <x:v>TWh</x:v>
      </x:c>
      <x:c r="H195" s="83" t="str">
        <x:v>Italia</x:v>
      </x:c>
      <x:c r="I195" s="83" t="str">
        <x:v>Risultato di modello della fonte</x:v>
      </x:c>
      <x:c r="J195" s="83" t="str">
        <x:v>S07</x:v>
      </x:c>
      <x:c r="K195" s="83" t="str">
        <x:v>Terna Prospettive Sviluppo Sistema Energetico 2050.pdf</x:v>
      </x:c>
      <x:c r="L195" s="83" t="n">
        <x:v>59</x:v>
      </x:c>
      <x:c r="M195" s="83" t="n">
        <x:v>57</x:v>
      </x:c>
      <x:c r="N195" s="83" t="str">
        <x:v>Tabella 5</x:v>
      </x:c>
      <x:c r="O195" s="83" t="str">
        <x:v>Direct table extraction</x:v>
      </x:c>
      <x:c r="P195" s="83" t="str">
        <x:v>A - Direct</x:v>
      </x:c>
      <x:c r="Q195" s="83" t="str">
        <x:v>Simulazione pan-europea oraria; network transfer evolution not represented in the presented exercise.</x:v>
      </x:c>
    </x:row>
    <x:row r="196">
      <x:c r="A196" s="83" t="str">
        <x:v>BAL-0192</x:v>
      </x:c>
      <x:c r="B196" s="83" t="str">
        <x:v>TERNA_2050_NO_NUCLEAR</x:v>
      </x:c>
      <x:c r="C196" s="83" t="n">
        <x:v>2050</x:v>
      </x:c>
      <x:c r="D196" s="83" t="str">
        <x:v>Terna 2050 senza nucleare</x:v>
      </x:c>
      <x:c r="E196" s="83" t="str">
        <x:v>Saldo estero (import netto)</x:v>
      </x:c>
      <x:c r="F196" s="143" t="n">
        <x:v>57</x:v>
      </x:c>
      <x:c r="G196" s="83" t="str">
        <x:v>TWh</x:v>
      </x:c>
      <x:c r="H196" s="83" t="str">
        <x:v>Italia</x:v>
      </x:c>
      <x:c r="I196" s="83" t="str">
        <x:v>Risultato di modello della fonte</x:v>
      </x:c>
      <x:c r="J196" s="83" t="str">
        <x:v>S07</x:v>
      </x:c>
      <x:c r="K196" s="83" t="str">
        <x:v>Terna Prospettive Sviluppo Sistema Energetico 2050.pdf</x:v>
      </x:c>
      <x:c r="L196" s="83" t="n">
        <x:v>59</x:v>
      </x:c>
      <x:c r="M196" s="83" t="n">
        <x:v>57</x:v>
      </x:c>
      <x:c r="N196" s="83" t="str">
        <x:v>Tabella 5</x:v>
      </x:c>
      <x:c r="O196" s="83" t="str">
        <x:v>Direct table extraction</x:v>
      </x:c>
      <x:c r="P196" s="83" t="str">
        <x:v>A - Direct</x:v>
      </x:c>
      <x:c r="Q196" s="83" t="str">
        <x:v>Simulazione pan-europea oraria; network transfer evolution not represented in the presented exercise.</x:v>
      </x:c>
    </x:row>
    <x:row r="197">
      <x:c r="A197" s="83" t="str">
        <x:v>BAL-0193</x:v>
      </x:c>
      <x:c r="B197" s="83" t="str">
        <x:v>TERNA_2050_NO_NUCLEAR</x:v>
      </x:c>
      <x:c r="C197" s="83" t="n">
        <x:v>2050</x:v>
      </x:c>
      <x:c r="D197" s="83" t="str">
        <x:v>Terna 2050 senza nucleare</x:v>
      </x:c>
      <x:c r="E197" s="83" t="str">
        <x:v>Perdite accumuli</x:v>
      </x:c>
      <x:c r="F197" s="143" t="n">
        <x:v>-14</x:v>
      </x:c>
      <x:c r="G197" s="83" t="str">
        <x:v>TWh</x:v>
      </x:c>
      <x:c r="H197" s="83" t="str">
        <x:v>Italia</x:v>
      </x:c>
      <x:c r="I197" s="83" t="str">
        <x:v>Risultato di modello della fonte</x:v>
      </x:c>
      <x:c r="J197" s="83" t="str">
        <x:v>S07</x:v>
      </x:c>
      <x:c r="K197" s="83" t="str">
        <x:v>Terna Prospettive Sviluppo Sistema Energetico 2050.pdf</x:v>
      </x:c>
      <x:c r="L197" s="83" t="n">
        <x:v>59</x:v>
      </x:c>
      <x:c r="M197" s="83" t="n">
        <x:v>57</x:v>
      </x:c>
      <x:c r="N197" s="83" t="str">
        <x:v>Tabella 5</x:v>
      </x:c>
      <x:c r="O197" s="83" t="str">
        <x:v>Direct table extraction</x:v>
      </x:c>
      <x:c r="P197" s="83" t="str">
        <x:v>A - Direct</x:v>
      </x:c>
      <x:c r="Q197" s="83" t="str">
        <x:v>Simulazione pan-europea oraria; network transfer evolution not represented in the presented exercise.</x:v>
      </x:c>
    </x:row>
    <x:row r="198">
      <x:c r="A198" s="83" t="str">
        <x:v>BAL-0194</x:v>
      </x:c>
      <x:c r="B198" s="83" t="str">
        <x:v>TERNA_2050_NO_NUCLEAR</x:v>
      </x:c>
      <x:c r="C198" s="83" t="n">
        <x:v>2050</x:v>
      </x:c>
      <x:c r="D198" s="83" t="str">
        <x:v>Terna 2050 senza nucleare</x:v>
      </x:c>
      <x:c r="E198" s="83" t="str">
        <x:v>Copertura zero-emissioni</x:v>
      </x:c>
      <x:c r="F198" s="143" t="n">
        <x:v>84</x:v>
      </x:c>
      <x:c r="G198" s="83" t="str">
        <x:v>%</x:v>
      </x:c>
      <x:c r="H198" s="83" t="str">
        <x:v>Italia</x:v>
      </x:c>
      <x:c r="I198" s="83" t="str">
        <x:v>Risultato di modello della fonte</x:v>
      </x:c>
      <x:c r="J198" s="83" t="str">
        <x:v>S07</x:v>
      </x:c>
      <x:c r="K198" s="83" t="str">
        <x:v>Terna Prospettive Sviluppo Sistema Energetico 2050.pdf</x:v>
      </x:c>
      <x:c r="L198" s="83" t="n">
        <x:v>59</x:v>
      </x:c>
      <x:c r="M198" s="83" t="n">
        <x:v>57</x:v>
      </x:c>
      <x:c r="N198" s="83" t="str">
        <x:v>Tabella 5</x:v>
      </x:c>
      <x:c r="O198" s="83" t="str">
        <x:v>Direct table extraction</x:v>
      </x:c>
      <x:c r="P198" s="83" t="str">
        <x:v>A - Direct</x:v>
      </x:c>
      <x:c r="Q198" s="83" t="str">
        <x:v>Simulazione pan-europea oraria; network transfer evolution not represented in the presented exercise.</x:v>
      </x:c>
    </x:row>
    <x:row r="199">
      <x:c r="A199" s="83" t="str">
        <x:v>BAL-0195</x:v>
      </x:c>
      <x:c r="B199" s="83" t="str">
        <x:v>TERNA_2050_NO_NUCLEAR</x:v>
      </x:c>
      <x:c r="C199" s="83" t="n">
        <x:v>2050</x:v>
      </x:c>
      <x:c r="D199" s="83" t="str">
        <x:v>Terna 2050 senza nucleare</x:v>
      </x:c>
      <x:c r="E199" s="83" t="str">
        <x:v>Overgeneration su fabbisogno</x:v>
      </x:c>
      <x:c r="F199" s="143" t="n">
        <x:v>4.4</x:v>
      </x:c>
      <x:c r="G199" s="83" t="str">
        <x:v>%</x:v>
      </x:c>
      <x:c r="H199" s="83" t="str">
        <x:v>Italia</x:v>
      </x:c>
      <x:c r="I199" s="83" t="str">
        <x:v>Risultato di modello della fonte</x:v>
      </x:c>
      <x:c r="J199" s="83" t="str">
        <x:v>S07</x:v>
      </x:c>
      <x:c r="K199" s="83" t="str">
        <x:v>Terna Prospettive Sviluppo Sistema Energetico 2050.pdf</x:v>
      </x:c>
      <x:c r="L199" s="83" t="n">
        <x:v>59</x:v>
      </x:c>
      <x:c r="M199" s="83" t="n">
        <x:v>57</x:v>
      </x:c>
      <x:c r="N199" s="83" t="str">
        <x:v>Tabella 5</x:v>
      </x:c>
      <x:c r="O199" s="83" t="str">
        <x:v>Direct table extraction</x:v>
      </x:c>
      <x:c r="P199" s="83" t="str">
        <x:v>A - Direct</x:v>
      </x:c>
      <x:c r="Q199" s="83" t="str">
        <x:v>Simulazione pan-europea oraria; network transfer evolution not represented in the presented exercise.</x:v>
      </x:c>
    </x:row>
  </x:sheetData>
  <x:mergeCells>
    <x:mergeCell ref="A1:Q1"/>
    <x:mergeCell ref="A2:Q2"/>
  </x:mergeCells>
  <x:conditionalFormatting sqref="P5:P199">
    <x:cfRule type="expression" dxfId="35" priority="1">
      <x:formula>LEFT(P5,1)="A"</x:formula>
    </x:cfRule>
    <x:cfRule type="expression" dxfId="36" priority="2">
      <x:formula>OR(LEFT(P5,1)="D",LEFT(P5,1)="E")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e35bb120e846d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20" hidden="0" customWidth="1"/>
    <x:col min="5" max="5" width="26" hidden="0" customWidth="1"/>
    <x:col min="6" max="6" width="34" hidden="0" customWidth="1"/>
    <x:col min="7" max="7" width="18" hidden="0" customWidth="1"/>
    <x:col min="8" max="8" width="38" hidden="0" customWidth="1"/>
    <x:col min="9" max="9" width="60" hidden="0" customWidth="1"/>
  </x:cols>
  <x:sheetData>
    <x:row r="1" ht="34" customHeight="1">
      <x:c r="A1" s="134" t="str">
        <x:v>Registro di estrazione — Fase 3A</x:v>
      </x:c>
      <x:c r="B1" s="134"/>
      <x:c r="C1" s="134"/>
      <x:c r="D1" s="134"/>
      <x:c r="E1" s="134"/>
      <x:c r="F1" s="134"/>
      <x:c r="G1" s="134"/>
      <x:c r="H1" s="134"/>
      <x:c r="I1" s="134"/>
    </x:row>
    <x:row r="2" ht="30" customHeight="1">
      <x:c r="A2" s="138" t="str">
        <x:v>16 blocchi verificati e trasferiti</x:v>
      </x:c>
      <x:c r="B2" s="138"/>
      <x:c r="C2" s="138"/>
      <x:c r="D2" s="138"/>
      <x:c r="E2" s="138"/>
      <x:c r="F2" s="138"/>
      <x:c r="G2" s="138"/>
      <x:c r="H2" s="138"/>
      <x:c r="I2" s="138"/>
    </x:row>
    <x:row r="4" ht="38" customHeight="1">
      <x:c r="A4" s="142" t="str">
        <x:v>Extraction ID</x:v>
      </x:c>
      <x:c r="B4" s="142" t="str">
        <x:v>Fonte</x:v>
      </x:c>
      <x:c r="C4" s="142" t="str">
        <x:v>Contenuto</x:v>
      </x:c>
      <x:c r="D4" s="142" t="str">
        <x:v>Pagine PDF</x:v>
      </x:c>
      <x:c r="E4" s="142" t="str">
        <x:v>Tabella/Figura</x:v>
      </x:c>
      <x:c r="F4" s="142" t="str">
        <x:v>Blocco output</x:v>
      </x:c>
      <x:c r="G4" s="142" t="str">
        <x:v>Stato</x:v>
      </x:c>
      <x:c r="H4" s="142" t="str">
        <x:v>Metodo</x:v>
      </x:c>
      <x:c r="I4" s="142" t="str">
        <x:v>Note</x:v>
      </x:c>
    </x:row>
    <x:row r="5">
      <x:c r="A5" s="83" t="str">
        <x:v>EXT-001</x:v>
      </x:c>
      <x:c r="B5" s="83" t="str">
        <x:v>S09</x:v>
      </x:c>
      <x:c r="C5" s="83" t="str">
        <x:v>Scenario definitions and storylines</x:v>
      </x:c>
      <x:c r="D5" s="83" t="str">
        <x:v>PDF pages 39-41</x:v>
      </x:c>
      <x:c r="E5" s="83" t="str">
        <x:v>Sections 6.2-6.3</x:v>
      </x:c>
      <x:c r="F5" s="83" t="str">
        <x:v>Scenario crosswalk</x:v>
      </x:c>
      <x:c r="G5" s="83" t="str">
        <x:v>Complete</x:v>
      </x:c>
      <x:c r="H5" s="83" t="str">
        <x:v>Text + visual verification</x:v>
      </x:c>
      <x:c r="I5" s="83" t="str">
        <x:v>DE/GA/Slow relationships recorded.</x:v>
      </x:c>
    </x:row>
    <x:row r="6">
      <x:c r="A6" s="83" t="str">
        <x:v>EXT-002</x:v>
      </x:c>
      <x:c r="B6" s="83" t="str">
        <x:v>S09</x:v>
      </x:c>
      <x:c r="C6" s="83" t="str">
        <x:v>Main scenario values</x:v>
      </x:c>
      <x:c r="D6" s="83" t="str">
        <x:v>PDF page 14</x:v>
      </x:c>
      <x:c r="E6" s="83" t="str">
        <x:v>Table 1</x:v>
      </x:c>
      <x:c r="F6" s="83" t="str">
        <x:v>Scenario/demand/capacity headline</x:v>
      </x:c>
      <x:c r="G6" s="83" t="str">
        <x:v>Complete</x:v>
      </x:c>
      <x:c r="H6" s="83" t="str">
        <x:v>Direct table extraction</x:v>
      </x:c>
      <x:c r="I6" s="83" t="str">
        <x:v>Rounded headline values; detailed tables used where available.</x:v>
      </x:c>
    </x:row>
    <x:row r="7">
      <x:c r="A7" s="83" t="str">
        <x:v>EXT-003</x:v>
      </x:c>
      <x:c r="B7" s="83" t="str">
        <x:v>S09</x:v>
      </x:c>
      <x:c r="C7" s="83" t="str">
        <x:v>Commodity assumptions</x:v>
      </x:c>
      <x:c r="D7" s="83" t="str">
        <x:v>PDF page 28</x:v>
      </x:c>
      <x:c r="E7" s="83" t="str">
        <x:v>Table 4</x:v>
      </x:c>
      <x:c r="F7" s="83" t="str">
        <x:v>Scenario parameters</x:v>
      </x:c>
      <x:c r="G7" s="83" t="str">
        <x:v>Complete</x:v>
      </x:c>
      <x:c r="H7" s="83" t="str">
        <x:v>Direct table extraction</x:v>
      </x:c>
      <x:c r="I7" s="83" t="str">
        <x:v>Real 2023 prices; scenario parameters, not forecasts.</x:v>
      </x:c>
    </x:row>
    <x:row r="8">
      <x:c r="A8" s="83" t="str">
        <x:v>EXT-004</x:v>
      </x:c>
      <x:c r="B8" s="83" t="str">
        <x:v>S09</x:v>
      </x:c>
      <x:c r="C8" s="83" t="str">
        <x:v>Demand by sector</x:v>
      </x:c>
      <x:c r="D8" s="83" t="str">
        <x:v>PDF page 48</x:v>
      </x:c>
      <x:c r="E8" s="83" t="str">
        <x:v>Table 6</x:v>
      </x:c>
      <x:c r="F8" s="83" t="str">
        <x:v>Demand total/sectoral</x:v>
      </x:c>
      <x:c r="G8" s="83" t="str">
        <x:v>Complete</x:v>
      </x:c>
      <x:c r="H8" s="83" t="str">
        <x:v>Direct table extraction</x:v>
      </x:c>
      <x:c r="I8" s="83" t="str">
        <x:v>Decimal values retained.</x:v>
      </x:c>
    </x:row>
    <x:row r="9">
      <x:c r="A9" s="83" t="str">
        <x:v>EXT-005</x:v>
      </x:c>
      <x:c r="B9" s="83" t="str">
        <x:v>S09</x:v>
      </x:c>
      <x:c r="C9" s="83" t="str">
        <x:v>Solar/wind national capacity</x:v>
      </x:c>
      <x:c r="D9" s="83" t="str">
        <x:v>PDF page 59</x:v>
      </x:c>
      <x:c r="E9" s="83" t="str">
        <x:v>Table 13</x:v>
      </x:c>
      <x:c r="F9" s="83" t="str">
        <x:v>National capacity</x:v>
      </x:c>
      <x:c r="G9" s="83" t="str">
        <x:v>Complete</x:v>
      </x:c>
      <x:c r="H9" s="83" t="str">
        <x:v>Direct table extraction</x:v>
      </x:c>
      <x:c r="I9" s="83" t="str">
        <x:v>Total row covers solar+wind despite FER title.</x:v>
      </x:c>
    </x:row>
    <x:row r="10">
      <x:c r="A10" s="83" t="str">
        <x:v>EXT-006</x:v>
      </x:c>
      <x:c r="B10" s="83" t="str">
        <x:v>S09</x:v>
      </x:c>
      <x:c r="C10" s="83" t="str">
        <x:v>Solar zonal capacity</x:v>
      </x:c>
      <x:c r="D10" s="83" t="str">
        <x:v>PDF page 60</x:v>
      </x:c>
      <x:c r="E10" s="83" t="str">
        <x:v>Table 14</x:v>
      </x:c>
      <x:c r="F10" s="83" t="str">
        <x:v>Zonal capacity</x:v>
      </x:c>
      <x:c r="G10" s="83" t="str">
        <x:v>Complete</x:v>
      </x:c>
      <x:c r="H10" s="83" t="str">
        <x:v>Direct table extraction + page render</x:v>
      </x:c>
      <x:c r="I10" s="83" t="str">
        <x:v>252 zonal technology-scenario records created jointly with wind.</x:v>
      </x:c>
    </x:row>
    <x:row r="11">
      <x:c r="A11" s="83" t="str">
        <x:v>EXT-007</x:v>
      </x:c>
      <x:c r="B11" s="83" t="str">
        <x:v>S09</x:v>
      </x:c>
      <x:c r="C11" s="83" t="str">
        <x:v>Wind zonal capacity</x:v>
      </x:c>
      <x:c r="D11" s="83" t="str">
        <x:v>PDF page 61</x:v>
      </x:c>
      <x:c r="E11" s="83" t="str">
        <x:v>Table 15</x:v>
      </x:c>
      <x:c r="F11" s="83" t="str">
        <x:v>Zonal capacity</x:v>
      </x:c>
      <x:c r="G11" s="83" t="str">
        <x:v>Complete</x:v>
      </x:c>
      <x:c r="H11" s="83" t="str">
        <x:v>Direct table extraction + page render</x:v>
      </x:c>
      <x:c r="I11" s="83" t="str">
        <x:v>Onshore/offshore standardized from source categories.</x:v>
      </x:c>
    </x:row>
    <x:row r="12">
      <x:c r="A12" s="83" t="str">
        <x:v>EXT-008</x:v>
      </x:c>
      <x:c r="B12" s="83" t="str">
        <x:v>S09</x:v>
      </x:c>
      <x:c r="C12" s="83" t="str">
        <x:v>Storage headline/electrolyzers</x:v>
      </x:c>
      <x:c r="D12" s="83" t="str">
        <x:v>PDF pages 62-64</x:v>
      </x:c>
      <x:c r="E12" s="83" t="str">
        <x:v>Table 16; Figures 28-30</x:v>
      </x:c>
      <x:c r="F12" s="83" t="str">
        <x:v>Scenario context</x:v>
      </x:c>
      <x:c r="G12" s="83" t="str">
        <x:v>Partial for Phase 3A</x:v>
      </x:c>
      <x:c r="H12" s="83" t="str">
        <x:v>Direct extraction</x:v>
      </x:c>
      <x:c r="I12" s="83" t="str">
        <x:v>Detailed storage deferred to Phase 3B; electrolyzer power captured.</x:v>
      </x:c>
    </x:row>
    <x:row r="13">
      <x:c r="A13" s="83" t="str">
        <x:v>EXT-009</x:v>
      </x:c>
      <x:c r="B13" s="83" t="str">
        <x:v>S09</x:v>
      </x:c>
      <x:c r="C13" s="83" t="str">
        <x:v>Annual balance and FER shares</x:v>
      </x:c>
      <x:c r="D13" s="83" t="str">
        <x:v>PDF pages 65-67</x:v>
      </x:c>
      <x:c r="E13" s="83" t="str">
        <x:v>Tables 17-19</x:v>
      </x:c>
      <x:c r="F13" s="83" t="str">
        <x:v>Annual balance</x:v>
      </x:c>
      <x:c r="G13" s="83" t="str">
        <x:v>Complete</x:v>
      </x:c>
      <x:c r="H13" s="83" t="str">
        <x:v>Direct table extraction</x:v>
      </x:c>
      <x:c r="I13" s="83" t="str">
        <x:v>Import by frontier retained for Phase 3C; national total captured here.</x:v>
      </x:c>
    </x:row>
    <x:row r="14">
      <x:c r="A14" s="83" t="str">
        <x:v>EXT-010</x:v>
      </x:c>
      <x:c r="B14" s="83" t="str">
        <x:v>S01</x:v>
      </x:c>
      <x:c r="C14" s="83" t="str">
        <x:v>PdS-selected scenarios and aggregate thermal fleet</x:v>
      </x:c>
      <x:c r="D14" s="83" t="str">
        <x:v>PDF pages 90-97</x:v>
      </x:c>
      <x:c r="E14" s="83" t="str">
        <x:v>Sections 5.3.1-5.3.3</x:v>
      </x:c>
      <x:c r="F14" s="83" t="str">
        <x:v>Cross-check</x:v>
      </x:c>
      <x:c r="G14" s="83" t="str">
        <x:v>Complete</x:v>
      </x:c>
      <x:c r="H14" s="83" t="str">
        <x:v>Direct text/table extraction</x:v>
      </x:c>
      <x:c r="I14" s="83" t="str">
        <x:v>DE-IT/Slow selected for PdS; thermal fleet ~55 GW.</x:v>
      </x:c>
    </x:row>
    <x:row r="15">
      <x:c r="A15" s="83" t="str">
        <x:v>EXT-011</x:v>
      </x:c>
      <x:c r="B15" s="83" t="str">
        <x:v>S07</x:v>
      </x:c>
      <x:c r="C15" s="83" t="str">
        <x:v>PNIEC 2050 demand/production</x:v>
      </x:c>
      <x:c r="D15" s="83" t="str">
        <x:v>PDF page 52</x:v>
      </x:c>
      <x:c r="E15" s="83" t="str">
        <x:v>Table 3</x:v>
      </x:c>
      <x:c r="F15" s="83" t="str">
        <x:v>Demand/balance</x:v>
      </x:c>
      <x:c r="G15" s="83" t="str">
        <x:v>Complete</x:v>
      </x:c>
      <x:c r="H15" s="83" t="str">
        <x:v>Direct table extraction</x:v>
      </x:c>
      <x:c r="I15" s="83" t="str">
        <x:v>Cross-checks PNIEC exploratory outputs.</x:v>
      </x:c>
    </x:row>
    <x:row r="16">
      <x:c r="A16" s="83" t="str">
        <x:v>EXT-012</x:v>
      </x:c>
      <x:c r="B16" s="83" t="str">
        <x:v>S07</x:v>
      </x:c>
      <x:c r="C16" s="83" t="str">
        <x:v>2050 demand drivers</x:v>
      </x:c>
      <x:c r="D16" s="83" t="str">
        <x:v>PDF page 53</x:v>
      </x:c>
      <x:c r="E16" s="83" t="str">
        <x:v>Figure 45</x:v>
      </x:c>
      <x:c r="F16" s="83" t="str">
        <x:v>Demand sectoral ranges</x:v>
      </x:c>
      <x:c r="G16" s="83" t="str">
        <x:v>Complete</x:v>
      </x:c>
      <x:c r="H16" s="83" t="str">
        <x:v>Direct figure labels + render</x:v>
      </x:c>
      <x:c r="I16" s="83" t="str">
        <x:v>Ranges are not necessarily simultaneous.</x:v>
      </x:c>
    </x:row>
    <x:row r="17">
      <x:c r="A17" s="83" t="str">
        <x:v>EXT-013</x:v>
      </x:c>
      <x:c r="B17" s="83" t="str">
        <x:v>S07</x:v>
      </x:c>
      <x:c r="C17" s="83" t="str">
        <x:v>Terna 2050 capacity and storage</x:v>
      </x:c>
      <x:c r="D17" s="83" t="str">
        <x:v>PDF page 58</x:v>
      </x:c>
      <x:c r="E17" s="83" t="str">
        <x:v>Table 4</x:v>
      </x:c>
      <x:c r="F17" s="83" t="str">
        <x:v>National capacity</x:v>
      </x:c>
      <x:c r="G17" s="83" t="str">
        <x:v>Complete for generation headline</x:v>
      </x:c>
      <x:c r="H17" s="83" t="str">
        <x:v>Direct table extraction</x:v>
      </x:c>
      <x:c r="I17" s="83" t="str">
        <x:v>Storage detail deferred to Phase 3B.</x:v>
      </x:c>
    </x:row>
    <x:row r="18">
      <x:c r="A18" s="83" t="str">
        <x:v>EXT-014</x:v>
      </x:c>
      <x:c r="B18" s="83" t="str">
        <x:v>S07</x:v>
      </x:c>
      <x:c r="C18" s="83" t="str">
        <x:v>Terna 2050 annual balance</x:v>
      </x:c>
      <x:c r="D18" s="83" t="str">
        <x:v>PDF page 59</x:v>
      </x:c>
      <x:c r="E18" s="83" t="str">
        <x:v>Table 5</x:v>
      </x:c>
      <x:c r="F18" s="83" t="str">
        <x:v>Annual balance</x:v>
      </x:c>
      <x:c r="G18" s="83" t="str">
        <x:v>Complete</x:v>
      </x:c>
      <x:c r="H18" s="83" t="str">
        <x:v>Direct table extraction</x:v>
      </x:c>
      <x:c r="I18" s="83" t="str">
        <x:v>Exploratory scenario caveats retained.</x:v>
      </x:c>
    </x:row>
    <x:row r="19">
      <x:c r="A19" s="83" t="str">
        <x:v>EXT-015</x:v>
      </x:c>
      <x:c r="B19" s="83" t="str">
        <x:v>S07</x:v>
      </x:c>
      <x:c r="C19" s="83" t="str">
        <x:v>2050 installed park and peak</x:v>
      </x:c>
      <x:c r="D19" s="83" t="str">
        <x:v>PDF page 64</x:v>
      </x:c>
      <x:c r="E19" s="83" t="str">
        <x:v>Figure 54</x:v>
      </x:c>
      <x:c r="F19" s="83" t="str">
        <x:v>Capacity context</x:v>
      </x:c>
      <x:c r="G19" s="83" t="str">
        <x:v>Complete</x:v>
      </x:c>
      <x:c r="H19" s="83" t="str">
        <x:v>Direct figure labels + render</x:v>
      </x:c>
      <x:c r="I19" s="83" t="str">
        <x:v>Includes storage in 330 GW total.</x:v>
      </x:c>
    </x:row>
    <x:row r="20">
      <x:c r="A20" s="83" t="str">
        <x:v>EXT-016</x:v>
      </x:c>
      <x:c r="B20" s="83" t="str">
        <x:v>S08</x:v>
      </x:c>
      <x:c r="C20" s="83" t="str">
        <x:v>PNIEC nuclear scenario assumptions</x:v>
      </x:c>
      <x:c r="D20" s="83" t="str">
        <x:v>PDF pages 90-93</x:v>
      </x:c>
      <x:c r="E20" s="83" t="str">
        <x:v>Narrative/Figures 6-8</x:v>
      </x:c>
      <x:c r="F20" s="83" t="str">
        <x:v>2050 policy cross-check</x:v>
      </x:c>
      <x:c r="G20" s="83" t="str">
        <x:v>Complete</x:v>
      </x:c>
      <x:c r="H20" s="83" t="str">
        <x:v>Direct narrative extraction</x:v>
      </x:c>
      <x:c r="I20" s="83" t="str">
        <x:v>8 GW mean, range 7.5-8.5; imports fixed 17.7 TWh.</x:v>
      </x:c>
    </x:row>
  </x:sheetData>
  <x:mergeCells>
    <x:mergeCell ref="A1:I1"/>
    <x:mergeCell ref="A2:I2"/>
  </x:mergeCells>
  <x:conditionalFormatting sqref="G5:G20">
    <x:cfRule type="expression" dxfId="22" priority="1">
      <x:formula>G5="Complete"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a712fb8bd5483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48" hidden="0" customWidth="1"/>
    <x:col min="11" max="11" width="65" hidden="0" customWidth="1"/>
  </x:cols>
  <x:sheetData>
    <x:row r="1" ht="34" customHeight="1">
      <x:c r="A1" s="134" t="str">
        <x:v>Controlli di qualità — Fase 3A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 ht="30" customHeight="1">
      <x:c r="A2" s="138" t="str">
        <x:v>38 controlli; formule ricalcolabili in Excel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</x:row>
    <x:row r="4" ht="38" customHeight="1">
      <x:c r="A4" s="140" t="str">
        <x:v>QA ID</x:v>
      </x:c>
      <x:c r="B4" s="140" t="str">
        <x:v>Scenario ID</x:v>
      </x:c>
      <x:c r="C4" s="140" t="str">
        <x:v>Controllo</x:v>
      </x:c>
      <x:c r="D4" s="140" t="str">
        <x:v>Metrica</x:v>
      </x:c>
      <x:c r="E4" s="140" t="str">
        <x:v>Atteso</x:v>
      </x:c>
      <x:c r="F4" s="140" t="str">
        <x:v>Calcolato</x:v>
      </x:c>
      <x:c r="G4" s="140" t="str">
        <x:v>Differenza</x:v>
      </x:c>
      <x:c r="H4" s="140" t="str">
        <x:v>Tolleranza</x:v>
      </x:c>
      <x:c r="I4" s="140" t="str">
        <x:v>Stato</x:v>
      </x:c>
      <x:c r="J4" s="140" t="str">
        <x:v>Note</x:v>
      </x:c>
      <x:c r="K4" s="140" t="str">
        <x:v>Logica</x:v>
      </x:c>
    </x:row>
    <x:row r="5">
      <x:c r="A5" s="83" t="str">
        <x:v>QA-001</x:v>
      </x:c>
      <x:c r="B5" s="83" t="str">
        <x:v>HIST_2023</x:v>
      </x:c>
      <x:c r="C5" s="83" t="str">
        <x:v>Zonal sum vs national</x:v>
      </x:c>
      <x:c r="D5" s="83" t="str">
        <x:v>Solar</x:v>
      </x:c>
      <x:c r="E5" s="143" t="n">
        <x:v>30.3</x:v>
      </x:c>
      <x:c r="F5" s="143" t="n">
        <x:f>SUMIFS('15_GEN_CAP_ZONAL'!$I:$I,'15_GEN_CAP_ZONAL'!$B:$B,$B5,'15_GEN_CAP_ZONAL'!$F:$F,$D5)</x:f>
        <x:v>30.299999999999997</x:v>
      </x:c>
      <x:c r="G5" s="143" t="n">
        <x:f>F5-E5</x:f>
        <x:v>-3.552713678800501e-15</x:v>
      </x:c>
      <x:c r="H5" s="143" t="n">
        <x:v>0.15</x:v>
      </x:c>
      <x:c r="I5" s="83" t="str">
        <x:f>IF(ABS(G5)&lt;=H5,"PASS","REVIEW")</x:f>
        <x:v>PASS</x:v>
      </x:c>
      <x:c r="J5" s="83" t="str">
        <x:v>Small differences may reflect source rounding at one decimal.</x:v>
      </x:c>
      <x:c r="K5" s="83" t="str">
        <x:v>Somma zonale per scenario e gruppo tecnologico</x:v>
      </x:c>
    </x:row>
    <x:row r="6">
      <x:c r="A6" s="83" t="str">
        <x:v>QA-002</x:v>
      </x:c>
      <x:c r="B6" s="83" t="str">
        <x:v>HIST_2023</x:v>
      </x:c>
      <x:c r="C6" s="83" t="str">
        <x:v>Zonal sum vs national</x:v>
      </x:c>
      <x:c r="D6" s="83" t="str">
        <x:v>Wind</x:v>
      </x:c>
      <x:c r="E6" s="143" t="n">
        <x:v>12.3</x:v>
      </x:c>
      <x:c r="F6" s="143" t="n">
        <x:f>SUMIFS('15_GEN_CAP_ZONAL'!$I:$I,'15_GEN_CAP_ZONAL'!$B:$B,$B6,'15_GEN_CAP_ZONAL'!$F:$F,$D6)</x:f>
        <x:v>12.399999999999999</x:v>
      </x:c>
      <x:c r="G6" s="143" t="n">
        <x:f>F6-E6</x:f>
        <x:v>0.09999999999999787</x:v>
      </x:c>
      <x:c r="H6" s="143" t="n">
        <x:v>0.15</x:v>
      </x:c>
      <x:c r="I6" s="83" t="str">
        <x:f>IF(ABS(G6)&lt;=H6,"PASS","REVIEW")</x:f>
        <x:v>PASS</x:v>
      </x:c>
      <x:c r="J6" s="83" t="str">
        <x:v>Small differences may reflect source rounding at one decimal.</x:v>
      </x:c>
      <x:c r="K6" s="83" t="str">
        <x:v>Somma zonale per scenario e gruppo tecnologico</x:v>
      </x:c>
    </x:row>
    <x:row r="7">
      <x:c r="A7" s="83" t="str">
        <x:v>QA-003</x:v>
      </x:c>
      <x:c r="B7" s="83" t="str">
        <x:v>PNIEC_POLICY_2030</x:v>
      </x:c>
      <x:c r="C7" s="83" t="str">
        <x:v>Zonal sum vs national</x:v>
      </x:c>
      <x:c r="D7" s="83" t="str">
        <x:v>Solar</x:v>
      </x:c>
      <x:c r="E7" s="143" t="n">
        <x:v>79.3</x:v>
      </x:c>
      <x:c r="F7" s="143" t="n">
        <x:f>SUMIFS('15_GEN_CAP_ZONAL'!$I:$I,'15_GEN_CAP_ZONAL'!$B:$B,$B7,'15_GEN_CAP_ZONAL'!$F:$F,$D7)</x:f>
        <x:v>79.09999999999997</x:v>
      </x:c>
      <x:c r="G7" s="143" t="n">
        <x:f>F7-E7</x:f>
        <x:v>-0.20000000000003126</x:v>
      </x:c>
      <x:c r="H7" s="143" t="n">
        <x:v>0.15</x:v>
      </x:c>
      <x:c r="I7" s="83" t="str">
        <x:f>IF(ABS(G7)&lt;=H7,"PASS","REVIEW")</x:f>
        <x:v>REVIEW</x:v>
      </x:c>
      <x:c r="J7" s="83" t="str">
        <x:v>Small differences may reflect source rounding at one decimal.</x:v>
      </x:c>
      <x:c r="K7" s="83" t="str">
        <x:v>Somma zonale per scenario e gruppo tecnologico</x:v>
      </x:c>
    </x:row>
    <x:row r="8">
      <x:c r="A8" s="83" t="str">
        <x:v>QA-004</x:v>
      </x:c>
      <x:c r="B8" s="83" t="str">
        <x:v>PNIEC_POLICY_2030</x:v>
      </x:c>
      <x:c r="C8" s="83" t="str">
        <x:v>Zonal sum vs national</x:v>
      </x:c>
      <x:c r="D8" s="83" t="str">
        <x:v>Wind</x:v>
      </x:c>
      <x:c r="E8" s="143" t="n">
        <x:v>28.1</x:v>
      </x:c>
      <x:c r="F8" s="143" t="n">
        <x:f>SUMIFS('15_GEN_CAP_ZONAL'!$I:$I,'15_GEN_CAP_ZONAL'!$B:$B,$B8,'15_GEN_CAP_ZONAL'!$F:$F,$D8)</x:f>
        <x:v>28.100000000000005</x:v>
      </x:c>
      <x:c r="G8" s="143" t="n">
        <x:f>F8-E8</x:f>
        <x:v>3.552713678800501e-15</x:v>
      </x:c>
      <x:c r="H8" s="143" t="n">
        <x:v>0.15</x:v>
      </x:c>
      <x:c r="I8" s="83" t="str">
        <x:f>IF(ABS(G8)&lt;=H8,"PASS","REVIEW")</x:f>
        <x:v>PASS</x:v>
      </x:c>
      <x:c r="J8" s="83" t="str">
        <x:v>Small differences may reflect source rounding at one decimal.</x:v>
      </x:c>
      <x:c r="K8" s="83" t="str">
        <x:v>Somma zonale per scenario e gruppo tecnologico</x:v>
      </x:c>
    </x:row>
    <x:row r="9">
      <x:c r="A9" s="83" t="str">
        <x:v>QA-005</x:v>
      </x:c>
      <x:c r="B9" s="83" t="str">
        <x:v>PNIEC_SLOW_2030</x:v>
      </x:c>
      <x:c r="C9" s="83" t="str">
        <x:v>Zonal sum vs national</x:v>
      </x:c>
      <x:c r="D9" s="83" t="str">
        <x:v>Solar</x:v>
      </x:c>
      <x:c r="E9" s="143" t="n">
        <x:v>70.6</x:v>
      </x:c>
      <x:c r="F9" s="143" t="n">
        <x:f>SUMIFS('15_GEN_CAP_ZONAL'!$I:$I,'15_GEN_CAP_ZONAL'!$B:$B,$B9,'15_GEN_CAP_ZONAL'!$F:$F,$D9)</x:f>
        <x:v>70.49999999999999</x:v>
      </x:c>
      <x:c r="G9" s="143" t="n">
        <x:f>F9-E9</x:f>
        <x:v>-0.10000000000000853</x:v>
      </x:c>
      <x:c r="H9" s="143" t="n">
        <x:v>0.15</x:v>
      </x:c>
      <x:c r="I9" s="83" t="str">
        <x:f>IF(ABS(G9)&lt;=H9,"PASS","REVIEW")</x:f>
        <x:v>PASS</x:v>
      </x:c>
      <x:c r="J9" s="83" t="str">
        <x:v>Small differences may reflect source rounding at one decimal.</x:v>
      </x:c>
      <x:c r="K9" s="83" t="str">
        <x:v>Somma zonale per scenario e gruppo tecnologico</x:v>
      </x:c>
    </x:row>
    <x:row r="10">
      <x:c r="A10" s="83" t="str">
        <x:v>QA-006</x:v>
      </x:c>
      <x:c r="B10" s="83" t="str">
        <x:v>PNIEC_SLOW_2030</x:v>
      </x:c>
      <x:c r="C10" s="83" t="str">
        <x:v>Zonal sum vs national</x:v>
      </x:c>
      <x:c r="D10" s="83" t="str">
        <x:v>Wind</x:v>
      </x:c>
      <x:c r="E10" s="143" t="n">
        <x:v>21.9</x:v>
      </x:c>
      <x:c r="F10" s="143" t="n">
        <x:f>SUMIFS('15_GEN_CAP_ZONAL'!$I:$I,'15_GEN_CAP_ZONAL'!$B:$B,$B10,'15_GEN_CAP_ZONAL'!$F:$F,$D10)</x:f>
        <x:v>21.800000000000004</x:v>
      </x:c>
      <x:c r="G10" s="143" t="n">
        <x:f>F10-E10</x:f>
        <x:v>-0.09999999999999432</x:v>
      </x:c>
      <x:c r="H10" s="143" t="n">
        <x:v>0.15</x:v>
      </x:c>
      <x:c r="I10" s="83" t="str">
        <x:f>IF(ABS(G10)&lt;=H10,"PASS","REVIEW")</x:f>
        <x:v>PASS</x:v>
      </x:c>
      <x:c r="J10" s="83" t="str">
        <x:v>Small differences may reflect source rounding at one decimal.</x:v>
      </x:c>
      <x:c r="K10" s="83" t="str">
        <x:v>Somma zonale per scenario e gruppo tecnologico</x:v>
      </x:c>
    </x:row>
    <x:row r="11">
      <x:c r="A11" s="83" t="str">
        <x:v>QA-007</x:v>
      </x:c>
      <x:c r="B11" s="83" t="str">
        <x:v>DE_IT_2035</x:v>
      </x:c>
      <x:c r="C11" s="83" t="str">
        <x:v>Zonal sum vs national</x:v>
      </x:c>
      <x:c r="D11" s="83" t="str">
        <x:v>Solar</x:v>
      </x:c>
      <x:c r="E11" s="143" t="n">
        <x:v>100</x:v>
      </x:c>
      <x:c r="F11" s="143" t="n">
        <x:f>SUMIFS('15_GEN_CAP_ZONAL'!$I:$I,'15_GEN_CAP_ZONAL'!$B:$B,$B11,'15_GEN_CAP_ZONAL'!$F:$F,$D11)</x:f>
        <x:v>100.00000000000001</x:v>
      </x:c>
      <x:c r="G11" s="143" t="n">
        <x:f>F11-E11</x:f>
        <x:v>1.4210854715202004e-14</x:v>
      </x:c>
      <x:c r="H11" s="143" t="n">
        <x:v>0.15</x:v>
      </x:c>
      <x:c r="I11" s="83" t="str">
        <x:f>IF(ABS(G11)&lt;=H11,"PASS","REVIEW")</x:f>
        <x:v>PASS</x:v>
      </x:c>
      <x:c r="J11" s="83" t="str">
        <x:v>Small differences may reflect source rounding at one decimal.</x:v>
      </x:c>
      <x:c r="K11" s="83" t="str">
        <x:v>Somma zonale per scenario e gruppo tecnologico</x:v>
      </x:c>
    </x:row>
    <x:row r="12">
      <x:c r="A12" s="83" t="str">
        <x:v>QA-008</x:v>
      </x:c>
      <x:c r="B12" s="83" t="str">
        <x:v>DE_IT_2035</x:v>
      </x:c>
      <x:c r="C12" s="83" t="str">
        <x:v>Zonal sum vs national</x:v>
      </x:c>
      <x:c r="D12" s="83" t="str">
        <x:v>Wind</x:v>
      </x:c>
      <x:c r="E12" s="143" t="n">
        <x:v>37.1</x:v>
      </x:c>
      <x:c r="F12" s="143" t="n">
        <x:f>SUMIFS('15_GEN_CAP_ZONAL'!$I:$I,'15_GEN_CAP_ZONAL'!$B:$B,$B12,'15_GEN_CAP_ZONAL'!$F:$F,$D12)</x:f>
        <x:v>37.099999999999994</x:v>
      </x:c>
      <x:c r="G12" s="143" t="n">
        <x:f>F12-E12</x:f>
        <x:v>-7.105427357601002e-15</x:v>
      </x:c>
      <x:c r="H12" s="143" t="n">
        <x:v>0.15</x:v>
      </x:c>
      <x:c r="I12" s="83" t="str">
        <x:f>IF(ABS(G12)&lt;=H12,"PASS","REVIEW")</x:f>
        <x:v>PASS</x:v>
      </x:c>
      <x:c r="J12" s="83" t="str">
        <x:v>Small differences may reflect source rounding at one decimal.</x:v>
      </x:c>
      <x:c r="K12" s="83" t="str">
        <x:v>Somma zonale per scenario e gruppo tecnologico</x:v>
      </x:c>
    </x:row>
    <x:row r="13">
      <x:c r="A13" s="83" t="str">
        <x:v>QA-009</x:v>
      </x:c>
      <x:c r="B13" s="83" t="str">
        <x:v>GA_IT_2035</x:v>
      </x:c>
      <x:c r="C13" s="83" t="str">
        <x:v>Zonal sum vs national</x:v>
      </x:c>
      <x:c r="D13" s="83" t="str">
        <x:v>Solar</x:v>
      </x:c>
      <x:c r="E13" s="143" t="n">
        <x:v>95</x:v>
      </x:c>
      <x:c r="F13" s="143" t="n">
        <x:f>SUMIFS('15_GEN_CAP_ZONAL'!$I:$I,'15_GEN_CAP_ZONAL'!$B:$B,$B13,'15_GEN_CAP_ZONAL'!$F:$F,$D13)</x:f>
        <x:v>95.09999999999998</x:v>
      </x:c>
      <x:c r="G13" s="143" t="n">
        <x:f>F13-E13</x:f>
        <x:v>0.0999999999999801</x:v>
      </x:c>
      <x:c r="H13" s="143" t="n">
        <x:v>0.15</x:v>
      </x:c>
      <x:c r="I13" s="83" t="str">
        <x:f>IF(ABS(G13)&lt;=H13,"PASS","REVIEW")</x:f>
        <x:v>PASS</x:v>
      </x:c>
      <x:c r="J13" s="83" t="str">
        <x:v>Small differences may reflect source rounding at one decimal.</x:v>
      </x:c>
      <x:c r="K13" s="83" t="str">
        <x:v>Somma zonale per scenario e gruppo tecnologico</x:v>
      </x:c>
    </x:row>
    <x:row r="14">
      <x:c r="A14" s="83" t="str">
        <x:v>QA-010</x:v>
      </x:c>
      <x:c r="B14" s="83" t="str">
        <x:v>GA_IT_2035</x:v>
      </x:c>
      <x:c r="C14" s="83" t="str">
        <x:v>Zonal sum vs national</x:v>
      </x:c>
      <x:c r="D14" s="83" t="str">
        <x:v>Wind</x:v>
      </x:c>
      <x:c r="E14" s="143" t="n">
        <x:v>33.8</x:v>
      </x:c>
      <x:c r="F14" s="143" t="n">
        <x:f>SUMIFS('15_GEN_CAP_ZONAL'!$I:$I,'15_GEN_CAP_ZONAL'!$B:$B,$B14,'15_GEN_CAP_ZONAL'!$F:$F,$D14)</x:f>
        <x:v>34</x:v>
      </x:c>
      <x:c r="G14" s="143" t="n">
        <x:f>F14-E14</x:f>
        <x:v>0.20000000000000284</x:v>
      </x:c>
      <x:c r="H14" s="143" t="n">
        <x:v>0.15</x:v>
      </x:c>
      <x:c r="I14" s="83" t="str">
        <x:f>IF(ABS(G14)&lt;=H14,"PASS","REVIEW")</x:f>
        <x:v>REVIEW</x:v>
      </x:c>
      <x:c r="J14" s="83" t="str">
        <x:v>Small differences may reflect source rounding at one decimal.</x:v>
      </x:c>
      <x:c r="K14" s="83" t="str">
        <x:v>Somma zonale per scenario e gruppo tecnologico</x:v>
      </x:c>
    </x:row>
    <x:row r="15">
      <x:c r="A15" s="83" t="str">
        <x:v>QA-011</x:v>
      </x:c>
      <x:c r="B15" s="83" t="str">
        <x:v>PNIEC_SLOW_2035</x:v>
      </x:c>
      <x:c r="C15" s="83" t="str">
        <x:v>Zonal sum vs national</x:v>
      </x:c>
      <x:c r="D15" s="83" t="str">
        <x:v>Solar</x:v>
      </x:c>
      <x:c r="E15" s="143" t="n">
        <x:v>87</x:v>
      </x:c>
      <x:c r="F15" s="143" t="n">
        <x:f>SUMIFS('15_GEN_CAP_ZONAL'!$I:$I,'15_GEN_CAP_ZONAL'!$B:$B,$B15,'15_GEN_CAP_ZONAL'!$F:$F,$D15)</x:f>
        <x:v>87.00000000000001</x:v>
      </x:c>
      <x:c r="G15" s="143" t="n">
        <x:f>F15-E15</x:f>
        <x:v>1.4210854715202004e-14</x:v>
      </x:c>
      <x:c r="H15" s="143" t="n">
        <x:v>0.15</x:v>
      </x:c>
      <x:c r="I15" s="83" t="str">
        <x:f>IF(ABS(G15)&lt;=H15,"PASS","REVIEW")</x:f>
        <x:v>PASS</x:v>
      </x:c>
      <x:c r="J15" s="83" t="str">
        <x:v>Small differences may reflect source rounding at one decimal.</x:v>
      </x:c>
      <x:c r="K15" s="83" t="str">
        <x:v>Somma zonale per scenario e gruppo tecnologico</x:v>
      </x:c>
    </x:row>
    <x:row r="16">
      <x:c r="A16" s="83" t="str">
        <x:v>QA-012</x:v>
      </x:c>
      <x:c r="B16" s="83" t="str">
        <x:v>PNIEC_SLOW_2035</x:v>
      </x:c>
      <x:c r="C16" s="83" t="str">
        <x:v>Zonal sum vs national</x:v>
      </x:c>
      <x:c r="D16" s="83" t="str">
        <x:v>Wind</x:v>
      </x:c>
      <x:c r="E16" s="143" t="n">
        <x:v>29.3</x:v>
      </x:c>
      <x:c r="F16" s="143" t="n">
        <x:f>SUMIFS('15_GEN_CAP_ZONAL'!$I:$I,'15_GEN_CAP_ZONAL'!$B:$B,$B16,'15_GEN_CAP_ZONAL'!$F:$F,$D16)</x:f>
        <x:v>29.200000000000003</x:v>
      </x:c>
      <x:c r="G16" s="143" t="n">
        <x:f>F16-E16</x:f>
        <x:v>-0.09999999999999787</x:v>
      </x:c>
      <x:c r="H16" s="143" t="n">
        <x:v>0.15</x:v>
      </x:c>
      <x:c r="I16" s="83" t="str">
        <x:f>IF(ABS(G16)&lt;=H16,"PASS","REVIEW")</x:f>
        <x:v>PASS</x:v>
      </x:c>
      <x:c r="J16" s="83" t="str">
        <x:v>Small differences may reflect source rounding at one decimal.</x:v>
      </x:c>
      <x:c r="K16" s="83" t="str">
        <x:v>Somma zonale per scenario e gruppo tecnologico</x:v>
      </x:c>
    </x:row>
    <x:row r="17">
      <x:c r="A17" s="83" t="str">
        <x:v>QA-013</x:v>
      </x:c>
      <x:c r="B17" s="83" t="str">
        <x:v>DE_IT_2040</x:v>
      </x:c>
      <x:c r="C17" s="83" t="str">
        <x:v>Zonal sum vs national</x:v>
      </x:c>
      <x:c r="D17" s="83" t="str">
        <x:v>Solar</x:v>
      </x:c>
      <x:c r="E17" s="143" t="n">
        <x:v>121</x:v>
      </x:c>
      <x:c r="F17" s="143" t="n">
        <x:f>SUMIFS('15_GEN_CAP_ZONAL'!$I:$I,'15_GEN_CAP_ZONAL'!$B:$B,$B17,'15_GEN_CAP_ZONAL'!$F:$F,$D17)</x:f>
        <x:v>120.89999999999999</x:v>
      </x:c>
      <x:c r="G17" s="143" t="n">
        <x:f>F17-E17</x:f>
        <x:v>-0.10000000000000853</x:v>
      </x:c>
      <x:c r="H17" s="143" t="n">
        <x:v>0.15</x:v>
      </x:c>
      <x:c r="I17" s="83" t="str">
        <x:f>IF(ABS(G17)&lt;=H17,"PASS","REVIEW")</x:f>
        <x:v>PASS</x:v>
      </x:c>
      <x:c r="J17" s="83" t="str">
        <x:v>Small differences may reflect source rounding at one decimal.</x:v>
      </x:c>
      <x:c r="K17" s="83" t="str">
        <x:v>Somma zonale per scenario e gruppo tecnologico</x:v>
      </x:c>
    </x:row>
    <x:row r="18">
      <x:c r="A18" s="83" t="str">
        <x:v>QA-014</x:v>
      </x:c>
      <x:c r="B18" s="83" t="str">
        <x:v>DE_IT_2040</x:v>
      </x:c>
      <x:c r="C18" s="83" t="str">
        <x:v>Zonal sum vs national</x:v>
      </x:c>
      <x:c r="D18" s="83" t="str">
        <x:v>Wind</x:v>
      </x:c>
      <x:c r="E18" s="143" t="n">
        <x:v>49.1</x:v>
      </x:c>
      <x:c r="F18" s="143" t="n">
        <x:f>SUMIFS('15_GEN_CAP_ZONAL'!$I:$I,'15_GEN_CAP_ZONAL'!$B:$B,$B18,'15_GEN_CAP_ZONAL'!$F:$F,$D18)</x:f>
        <x:v>49.3</x:v>
      </x:c>
      <x:c r="G18" s="143" t="n">
        <x:f>F18-E18</x:f>
        <x:v>0.19999999999999574</x:v>
      </x:c>
      <x:c r="H18" s="143" t="n">
        <x:v>0.15</x:v>
      </x:c>
      <x:c r="I18" s="83" t="str">
        <x:f>IF(ABS(G18)&lt;=H18,"PASS","REVIEW")</x:f>
        <x:v>REVIEW</x:v>
      </x:c>
      <x:c r="J18" s="83" t="str">
        <x:v>Small differences may reflect source rounding at one decimal.</x:v>
      </x:c>
      <x:c r="K18" s="83" t="str">
        <x:v>Somma zonale per scenario e gruppo tecnologico</x:v>
      </x:c>
    </x:row>
    <x:row r="19">
      <x:c r="A19" s="83" t="str">
        <x:v>QA-015</x:v>
      </x:c>
      <x:c r="B19" s="83" t="str">
        <x:v>GA_IT_2040</x:v>
      </x:c>
      <x:c r="C19" s="83" t="str">
        <x:v>Zonal sum vs national</x:v>
      </x:c>
      <x:c r="D19" s="83" t="str">
        <x:v>Solar</x:v>
      </x:c>
      <x:c r="E19" s="143" t="n">
        <x:v>111</x:v>
      </x:c>
      <x:c r="F19" s="143" t="n">
        <x:f>SUMIFS('15_GEN_CAP_ZONAL'!$I:$I,'15_GEN_CAP_ZONAL'!$B:$B,$B19,'15_GEN_CAP_ZONAL'!$F:$F,$D19)</x:f>
        <x:v>111.1</x:v>
      </x:c>
      <x:c r="G19" s="143" t="n">
        <x:f>F19-E19</x:f>
        <x:v>0.09999999999999432</x:v>
      </x:c>
      <x:c r="H19" s="143" t="n">
        <x:v>0.15</x:v>
      </x:c>
      <x:c r="I19" s="83" t="str">
        <x:f>IF(ABS(G19)&lt;=H19,"PASS","REVIEW")</x:f>
        <x:v>PASS</x:v>
      </x:c>
      <x:c r="J19" s="83" t="str">
        <x:v>Small differences may reflect source rounding at one decimal.</x:v>
      </x:c>
      <x:c r="K19" s="83" t="str">
        <x:v>Somma zonale per scenario e gruppo tecnologico</x:v>
      </x:c>
    </x:row>
    <x:row r="20">
      <x:c r="A20" s="83" t="str">
        <x:v>QA-016</x:v>
      </x:c>
      <x:c r="B20" s="83" t="str">
        <x:v>GA_IT_2040</x:v>
      </x:c>
      <x:c r="C20" s="83" t="str">
        <x:v>Zonal sum vs national</x:v>
      </x:c>
      <x:c r="D20" s="83" t="str">
        <x:v>Wind</x:v>
      </x:c>
      <x:c r="E20" s="143" t="n">
        <x:v>43.1</x:v>
      </x:c>
      <x:c r="F20" s="143" t="n">
        <x:f>SUMIFS('15_GEN_CAP_ZONAL'!$I:$I,'15_GEN_CAP_ZONAL'!$B:$B,$B20,'15_GEN_CAP_ZONAL'!$F:$F,$D20)</x:f>
        <x:v>43</x:v>
      </x:c>
      <x:c r="G20" s="143" t="n">
        <x:f>F20-E20</x:f>
        <x:v>-0.10000000000000142</x:v>
      </x:c>
      <x:c r="H20" s="143" t="n">
        <x:v>0.15</x:v>
      </x:c>
      <x:c r="I20" s="83" t="str">
        <x:f>IF(ABS(G20)&lt;=H20,"PASS","REVIEW")</x:f>
        <x:v>PASS</x:v>
      </x:c>
      <x:c r="J20" s="83" t="str">
        <x:v>Small differences may reflect source rounding at one decimal.</x:v>
      </x:c>
      <x:c r="K20" s="83" t="str">
        <x:v>Somma zonale per scenario e gruppo tecnologico</x:v>
      </x:c>
    </x:row>
    <x:row r="21">
      <x:c r="A21" s="83" t="str">
        <x:v>QA-017</x:v>
      </x:c>
      <x:c r="B21" s="83" t="str">
        <x:v>PNIEC_SLOW_2040</x:v>
      </x:c>
      <x:c r="C21" s="83" t="str">
        <x:v>Zonal sum vs national</x:v>
      </x:c>
      <x:c r="D21" s="83" t="str">
        <x:v>Solar</x:v>
      </x:c>
      <x:c r="E21" s="143" t="n">
        <x:v>105.1</x:v>
      </x:c>
      <x:c r="F21" s="143" t="n">
        <x:f>SUMIFS('15_GEN_CAP_ZONAL'!$I:$I,'15_GEN_CAP_ZONAL'!$B:$B,$B21,'15_GEN_CAP_ZONAL'!$F:$F,$D21)</x:f>
        <x:v>105.19999999999999</x:v>
      </x:c>
      <x:c r="G21" s="143" t="n">
        <x:f>F21-E21</x:f>
        <x:v>0.09999999999999432</x:v>
      </x:c>
      <x:c r="H21" s="143" t="n">
        <x:v>0.15</x:v>
      </x:c>
      <x:c r="I21" s="83" t="str">
        <x:f>IF(ABS(G21)&lt;=H21,"PASS","REVIEW")</x:f>
        <x:v>PASS</x:v>
      </x:c>
      <x:c r="J21" s="83" t="str">
        <x:v>Small differences may reflect source rounding at one decimal.</x:v>
      </x:c>
      <x:c r="K21" s="83" t="str">
        <x:v>Somma zonale per scenario e gruppo tecnologico</x:v>
      </x:c>
    </x:row>
    <x:row r="22">
      <x:c r="A22" s="83" t="str">
        <x:v>QA-018</x:v>
      </x:c>
      <x:c r="B22" s="83" t="str">
        <x:v>PNIEC_SLOW_2040</x:v>
      </x:c>
      <x:c r="C22" s="83" t="str">
        <x:v>Zonal sum vs national</x:v>
      </x:c>
      <x:c r="D22" s="83" t="str">
        <x:v>Wind</x:v>
      </x:c>
      <x:c r="E22" s="143" t="n">
        <x:v>39</x:v>
      </x:c>
      <x:c r="F22" s="143" t="n">
        <x:f>SUMIFS('15_GEN_CAP_ZONAL'!$I:$I,'15_GEN_CAP_ZONAL'!$B:$B,$B22,'15_GEN_CAP_ZONAL'!$F:$F,$D22)</x:f>
        <x:v>39.099999999999994</x:v>
      </x:c>
      <x:c r="G22" s="143" t="n">
        <x:f>F22-E22</x:f>
        <x:v>0.09999999999999432</x:v>
      </x:c>
      <x:c r="H22" s="143" t="n">
        <x:v>0.15</x:v>
      </x:c>
      <x:c r="I22" s="83" t="str">
        <x:f>IF(ABS(G22)&lt;=H22,"PASS","REVIEW")</x:f>
        <x:v>PASS</x:v>
      </x:c>
      <x:c r="J22" s="83" t="str">
        <x:v>Small differences may reflect source rounding at one decimal.</x:v>
      </x:c>
      <x:c r="K22" s="83" t="str">
        <x:v>Somma zonale per scenario e gruppo tecnologico</x:v>
      </x:c>
    </x:row>
    <x:row r="23">
      <x:c r="A23" s="83" t="str">
        <x:v>QA-019</x:v>
      </x:c>
      <x:c r="B23" s="83" t="str">
        <x:v>HIST_2023</x:v>
      </x:c>
      <x:c r="C23" s="83" t="str">
        <x:v>Demand accounting</x:v>
      </x:c>
      <x:c r="D23" s="83" t="str">
        <x:v>Usi finali + usi energetici + perdite</x:v>
      </x:c>
      <x:c r="E23" s="143" t="n">
        <x:v>305.6</x:v>
      </x:c>
      <x:c r="F23" s="143" t="n">
        <x:f>SUMIFS('11_DEMAND_TOTAL'!$F:$F,'11_DEMAND_TOTAL'!$B:$B,$B23,'11_DEMAND_TOTAL'!$E:$E,"Usi finali")+SUMIFS('11_DEMAND_TOTAL'!$F:$F,'11_DEMAND_TOTAL'!$B:$B,$B23,'11_DEMAND_TOTAL'!$E:$E,"Usi energetici")+SUMIFS('11_DEMAND_TOTAL'!$F:$F,'11_DEMAND_TOTAL'!$B:$B,$B23,'11_DEMAND_TOTAL'!$E:$E,"Perdite di rete")</x:f>
        <x:v>305.5</x:v>
      </x:c>
      <x:c r="G23" s="143" t="n">
        <x:f>F23-E23</x:f>
        <x:v>-0.10000000000002274</x:v>
      </x:c>
      <x:c r="H23" s="143" t="n">
        <x:v>0.15</x:v>
      </x:c>
      <x:c r="I23" s="83" t="str">
        <x:f>IF(ABS(G23)&lt;=H23,"PASS","REVIEW")</x:f>
        <x:v>PASS</x:v>
      </x:c>
      <x:c r="J23" s="83" t="str">
        <x:v>Source values rounded to one decimal.</x:v>
      </x:c>
      <x:c r="K23" s="83" t="str">
        <x:v>Usi finali + usi energetici + perdite</x:v>
      </x:c>
    </x:row>
    <x:row r="24">
      <x:c r="A24" s="83" t="str">
        <x:v>QA-020</x:v>
      </x:c>
      <x:c r="B24" s="83" t="str">
        <x:v>PNIEC_POLICY_2030</x:v>
      </x:c>
      <x:c r="C24" s="83" t="str">
        <x:v>Demand accounting</x:v>
      </x:c>
      <x:c r="D24" s="83" t="str">
        <x:v>Usi finali + usi energetici + perdite</x:v>
      </x:c>
      <x:c r="E24" s="143" t="n">
        <x:v>361.9</x:v>
      </x:c>
      <x:c r="F24" s="143" t="n">
        <x:f>SUMIFS('11_DEMAND_TOTAL'!$F:$F,'11_DEMAND_TOTAL'!$B:$B,$B24,'11_DEMAND_TOTAL'!$E:$E,"Usi finali")+SUMIFS('11_DEMAND_TOTAL'!$F:$F,'11_DEMAND_TOTAL'!$B:$B,$B24,'11_DEMAND_TOTAL'!$E:$E,"Usi energetici")+SUMIFS('11_DEMAND_TOTAL'!$F:$F,'11_DEMAND_TOTAL'!$B:$B,$B24,'11_DEMAND_TOTAL'!$E:$E,"Perdite di rete")</x:f>
        <x:v>361.9</x:v>
      </x:c>
      <x:c r="G24" s="143" t="n">
        <x:f>F24-E24</x:f>
        <x:v>0</x:v>
      </x:c>
      <x:c r="H24" s="143" t="n">
        <x:v>0.15</x:v>
      </x:c>
      <x:c r="I24" s="83" t="str">
        <x:f>IF(ABS(G24)&lt;=H24,"PASS","REVIEW")</x:f>
        <x:v>PASS</x:v>
      </x:c>
      <x:c r="J24" s="83" t="str">
        <x:v>Source values rounded to one decimal.</x:v>
      </x:c>
      <x:c r="K24" s="83" t="str">
        <x:v>Usi finali + usi energetici + perdite</x:v>
      </x:c>
    </x:row>
    <x:row r="25">
      <x:c r="A25" s="83" t="str">
        <x:v>QA-021</x:v>
      </x:c>
      <x:c r="B25" s="83" t="str">
        <x:v>PNIEC_SLOW_2030</x:v>
      </x:c>
      <x:c r="C25" s="83" t="str">
        <x:v>Demand accounting</x:v>
      </x:c>
      <x:c r="D25" s="83" t="str">
        <x:v>Usi finali + usi energetici + perdite</x:v>
      </x:c>
      <x:c r="E25" s="143" t="n">
        <x:v>346.6</x:v>
      </x:c>
      <x:c r="F25" s="143" t="n">
        <x:f>SUMIFS('11_DEMAND_TOTAL'!$F:$F,'11_DEMAND_TOTAL'!$B:$B,$B25,'11_DEMAND_TOTAL'!$E:$E,"Usi finali")+SUMIFS('11_DEMAND_TOTAL'!$F:$F,'11_DEMAND_TOTAL'!$B:$B,$B25,'11_DEMAND_TOTAL'!$E:$E,"Usi energetici")+SUMIFS('11_DEMAND_TOTAL'!$F:$F,'11_DEMAND_TOTAL'!$B:$B,$B25,'11_DEMAND_TOTAL'!$E:$E,"Perdite di rete")</x:f>
        <x:v>346.6</x:v>
      </x:c>
      <x:c r="G25" s="143" t="n">
        <x:f>F25-E25</x:f>
        <x:v>0</x:v>
      </x:c>
      <x:c r="H25" s="143" t="n">
        <x:v>0.15</x:v>
      </x:c>
      <x:c r="I25" s="83" t="str">
        <x:f>IF(ABS(G25)&lt;=H25,"PASS","REVIEW")</x:f>
        <x:v>PASS</x:v>
      </x:c>
      <x:c r="J25" s="83" t="str">
        <x:v>Source values rounded to one decimal.</x:v>
      </x:c>
      <x:c r="K25" s="83" t="str">
        <x:v>Usi finali + usi energetici + perdite</x:v>
      </x:c>
    </x:row>
    <x:row r="26">
      <x:c r="A26" s="83" t="str">
        <x:v>QA-022</x:v>
      </x:c>
      <x:c r="B26" s="83" t="str">
        <x:v>DE_IT_2035</x:v>
      </x:c>
      <x:c r="C26" s="83" t="str">
        <x:v>Demand accounting</x:v>
      </x:c>
      <x:c r="D26" s="83" t="str">
        <x:v>Usi finali + usi energetici + perdite</x:v>
      </x:c>
      <x:c r="E26" s="143" t="n">
        <x:v>396.9</x:v>
      </x:c>
      <x:c r="F26" s="143" t="n">
        <x:f>SUMIFS('11_DEMAND_TOTAL'!$F:$F,'11_DEMAND_TOTAL'!$B:$B,$B26,'11_DEMAND_TOTAL'!$E:$E,"Usi finali")+SUMIFS('11_DEMAND_TOTAL'!$F:$F,'11_DEMAND_TOTAL'!$B:$B,$B26,'11_DEMAND_TOTAL'!$E:$E,"Usi energetici")+SUMIFS('11_DEMAND_TOTAL'!$F:$F,'11_DEMAND_TOTAL'!$B:$B,$B26,'11_DEMAND_TOTAL'!$E:$E,"Perdite di rete")</x:f>
        <x:v>396.9</x:v>
      </x:c>
      <x:c r="G26" s="143" t="n">
        <x:f>F26-E26</x:f>
        <x:v>0</x:v>
      </x:c>
      <x:c r="H26" s="143" t="n">
        <x:v>0.15</x:v>
      </x:c>
      <x:c r="I26" s="83" t="str">
        <x:f>IF(ABS(G26)&lt;=H26,"PASS","REVIEW")</x:f>
        <x:v>PASS</x:v>
      </x:c>
      <x:c r="J26" s="83" t="str">
        <x:v>Source values rounded to one decimal.</x:v>
      </x:c>
      <x:c r="K26" s="83" t="str">
        <x:v>Usi finali + usi energetici + perdite</x:v>
      </x:c>
    </x:row>
    <x:row r="27">
      <x:c r="A27" s="83" t="str">
        <x:v>QA-023</x:v>
      </x:c>
      <x:c r="B27" s="83" t="str">
        <x:v>GA_IT_2035</x:v>
      </x:c>
      <x:c r="C27" s="83" t="str">
        <x:v>Demand accounting</x:v>
      </x:c>
      <x:c r="D27" s="83" t="str">
        <x:v>Usi finali + usi energetici + perdite</x:v>
      </x:c>
      <x:c r="E27" s="143" t="n">
        <x:v>385</x:v>
      </x:c>
      <x:c r="F27" s="143" t="n">
        <x:f>SUMIFS('11_DEMAND_TOTAL'!$F:$F,'11_DEMAND_TOTAL'!$B:$B,$B27,'11_DEMAND_TOTAL'!$E:$E,"Usi finali")+SUMIFS('11_DEMAND_TOTAL'!$F:$F,'11_DEMAND_TOTAL'!$B:$B,$B27,'11_DEMAND_TOTAL'!$E:$E,"Usi energetici")+SUMIFS('11_DEMAND_TOTAL'!$F:$F,'11_DEMAND_TOTAL'!$B:$B,$B27,'11_DEMAND_TOTAL'!$E:$E,"Perdite di rete")</x:f>
        <x:v>385</x:v>
      </x:c>
      <x:c r="G27" s="143" t="n">
        <x:f>F27-E27</x:f>
        <x:v>0</x:v>
      </x:c>
      <x:c r="H27" s="143" t="n">
        <x:v>0.15</x:v>
      </x:c>
      <x:c r="I27" s="83" t="str">
        <x:f>IF(ABS(G27)&lt;=H27,"PASS","REVIEW")</x:f>
        <x:v>PASS</x:v>
      </x:c>
      <x:c r="J27" s="83" t="str">
        <x:v>Source values rounded to one decimal.</x:v>
      </x:c>
      <x:c r="K27" s="83" t="str">
        <x:v>Usi finali + usi energetici + perdite</x:v>
      </x:c>
    </x:row>
    <x:row r="28">
      <x:c r="A28" s="83" t="str">
        <x:v>QA-024</x:v>
      </x:c>
      <x:c r="B28" s="83" t="str">
        <x:v>PNIEC_SLOW_2035</x:v>
      </x:c>
      <x:c r="C28" s="83" t="str">
        <x:v>Demand accounting</x:v>
      </x:c>
      <x:c r="D28" s="83" t="str">
        <x:v>Usi finali + usi energetici + perdite</x:v>
      </x:c>
      <x:c r="E28" s="143" t="n">
        <x:v>375.5</x:v>
      </x:c>
      <x:c r="F28" s="143" t="n">
        <x:f>SUMIFS('11_DEMAND_TOTAL'!$F:$F,'11_DEMAND_TOTAL'!$B:$B,$B28,'11_DEMAND_TOTAL'!$E:$E,"Usi finali")+SUMIFS('11_DEMAND_TOTAL'!$F:$F,'11_DEMAND_TOTAL'!$B:$B,$B28,'11_DEMAND_TOTAL'!$E:$E,"Usi energetici")+SUMIFS('11_DEMAND_TOTAL'!$F:$F,'11_DEMAND_TOTAL'!$B:$B,$B28,'11_DEMAND_TOTAL'!$E:$E,"Perdite di rete")</x:f>
        <x:v>375.49999999999994</x:v>
      </x:c>
      <x:c r="G28" s="143" t="n">
        <x:f>F28-E28</x:f>
        <x:v>-5.684341886080802e-14</x:v>
      </x:c>
      <x:c r="H28" s="143" t="n">
        <x:v>0.15</x:v>
      </x:c>
      <x:c r="I28" s="83" t="str">
        <x:f>IF(ABS(G28)&lt;=H28,"PASS","REVIEW")</x:f>
        <x:v>PASS</x:v>
      </x:c>
      <x:c r="J28" s="83" t="str">
        <x:v>Source values rounded to one decimal.</x:v>
      </x:c>
      <x:c r="K28" s="83" t="str">
        <x:v>Usi finali + usi energetici + perdite</x:v>
      </x:c>
    </x:row>
    <x:row r="29">
      <x:c r="A29" s="83" t="str">
        <x:v>QA-025</x:v>
      </x:c>
      <x:c r="B29" s="83" t="str">
        <x:v>DE_IT_2040</x:v>
      </x:c>
      <x:c r="C29" s="83" t="str">
        <x:v>Demand accounting</x:v>
      </x:c>
      <x:c r="D29" s="83" t="str">
        <x:v>Usi finali + usi energetici + perdite</x:v>
      </x:c>
      <x:c r="E29" s="143" t="n">
        <x:v>439</x:v>
      </x:c>
      <x:c r="F29" s="143" t="n">
        <x:f>SUMIFS('11_DEMAND_TOTAL'!$F:$F,'11_DEMAND_TOTAL'!$B:$B,$B29,'11_DEMAND_TOTAL'!$E:$E,"Usi finali")+SUMIFS('11_DEMAND_TOTAL'!$F:$F,'11_DEMAND_TOTAL'!$B:$B,$B29,'11_DEMAND_TOTAL'!$E:$E,"Usi energetici")+SUMIFS('11_DEMAND_TOTAL'!$F:$F,'11_DEMAND_TOTAL'!$B:$B,$B29,'11_DEMAND_TOTAL'!$E:$E,"Perdite di rete")</x:f>
        <x:v>438.9</x:v>
      </x:c>
      <x:c r="G29" s="143" t="n">
        <x:f>F29-E29</x:f>
        <x:v>-0.10000000000002274</x:v>
      </x:c>
      <x:c r="H29" s="143" t="n">
        <x:v>0.15</x:v>
      </x:c>
      <x:c r="I29" s="83" t="str">
        <x:f>IF(ABS(G29)&lt;=H29,"PASS","REVIEW")</x:f>
        <x:v>PASS</x:v>
      </x:c>
      <x:c r="J29" s="83" t="str">
        <x:v>Source values rounded to one decimal.</x:v>
      </x:c>
      <x:c r="K29" s="83" t="str">
        <x:v>Usi finali + usi energetici + perdite</x:v>
      </x:c>
    </x:row>
    <x:row r="30">
      <x:c r="A30" s="83" t="str">
        <x:v>QA-026</x:v>
      </x:c>
      <x:c r="B30" s="83" t="str">
        <x:v>GA_IT_2040</x:v>
      </x:c>
      <x:c r="C30" s="83" t="str">
        <x:v>Demand accounting</x:v>
      </x:c>
      <x:c r="D30" s="83" t="str">
        <x:v>Usi finali + usi energetici + perdite</x:v>
      </x:c>
      <x:c r="E30" s="143" t="n">
        <x:v>415.2</x:v>
      </x:c>
      <x:c r="F30" s="143" t="n">
        <x:f>SUMIFS('11_DEMAND_TOTAL'!$F:$F,'11_DEMAND_TOTAL'!$B:$B,$B30,'11_DEMAND_TOTAL'!$E:$E,"Usi finali")+SUMIFS('11_DEMAND_TOTAL'!$F:$F,'11_DEMAND_TOTAL'!$B:$B,$B30,'11_DEMAND_TOTAL'!$E:$E,"Usi energetici")+SUMIFS('11_DEMAND_TOTAL'!$F:$F,'11_DEMAND_TOTAL'!$B:$B,$B30,'11_DEMAND_TOTAL'!$E:$E,"Perdite di rete")</x:f>
        <x:v>415.2</x:v>
      </x:c>
      <x:c r="G30" s="143" t="n">
        <x:f>F30-E30</x:f>
        <x:v>0</x:v>
      </x:c>
      <x:c r="H30" s="143" t="n">
        <x:v>0.15</x:v>
      </x:c>
      <x:c r="I30" s="83" t="str">
        <x:f>IF(ABS(G30)&lt;=H30,"PASS","REVIEW")</x:f>
        <x:v>PASS</x:v>
      </x:c>
      <x:c r="J30" s="83" t="str">
        <x:v>Source values rounded to one decimal.</x:v>
      </x:c>
      <x:c r="K30" s="83" t="str">
        <x:v>Usi finali + usi energetici + perdite</x:v>
      </x:c>
    </x:row>
    <x:row r="31">
      <x:c r="A31" s="83" t="str">
        <x:v>QA-027</x:v>
      </x:c>
      <x:c r="B31" s="83" t="str">
        <x:v>PNIEC_SLOW_2040</x:v>
      </x:c>
      <x:c r="C31" s="83" t="str">
        <x:v>Demand accounting</x:v>
      </x:c>
      <x:c r="D31" s="83" t="str">
        <x:v>Usi finali + usi energetici + perdite</x:v>
      </x:c>
      <x:c r="E31" s="143" t="n">
        <x:v>404.4</x:v>
      </x:c>
      <x:c r="F31" s="143" t="n">
        <x:f>SUMIFS('11_DEMAND_TOTAL'!$F:$F,'11_DEMAND_TOTAL'!$B:$B,$B31,'11_DEMAND_TOTAL'!$E:$E,"Usi finali")+SUMIFS('11_DEMAND_TOTAL'!$F:$F,'11_DEMAND_TOTAL'!$B:$B,$B31,'11_DEMAND_TOTAL'!$E:$E,"Usi energetici")+SUMIFS('11_DEMAND_TOTAL'!$F:$F,'11_DEMAND_TOTAL'!$B:$B,$B31,'11_DEMAND_TOTAL'!$E:$E,"Perdite di rete")</x:f>
        <x:v>404.30000000000007</x:v>
      </x:c>
      <x:c r="G31" s="143" t="n">
        <x:f>F31-E31</x:f>
        <x:v>-0.09999999999990905</x:v>
      </x:c>
      <x:c r="H31" s="143" t="n">
        <x:v>0.15</x:v>
      </x:c>
      <x:c r="I31" s="83" t="str">
        <x:f>IF(ABS(G31)&lt;=H31,"PASS","REVIEW")</x:f>
        <x:v>PASS</x:v>
      </x:c>
      <x:c r="J31" s="83" t="str">
        <x:v>Source values rounded to one decimal.</x:v>
      </x:c>
      <x:c r="K31" s="83" t="str">
        <x:v>Usi finali + usi energetici + perdite</x:v>
      </x:c>
    </x:row>
    <x:row r="32">
      <x:c r="A32" s="83" t="str">
        <x:v>QA-028</x:v>
      </x:c>
      <x:c r="B32" s="83" t="str">
        <x:v>HIST_2023</x:v>
      </x:c>
      <x:c r="C32" s="83" t="str">
        <x:v>Annual energy balance</x:v>
      </x:c>
      <x:c r="D32" s="83" t="str">
        <x:v>Produzione nazionale + import netto + perdite accumuli</x:v>
      </x:c>
      <x:c r="E32" s="143" t="n">
        <x:v>306</x:v>
      </x:c>
      <x:c r="F32" s="143" t="n">
        <x:f>SUMIFS('16_ANNUAL_BALANCE'!$F:$F,'16_ANNUAL_BALANCE'!$B:$B,$B32,'16_ANNUAL_BALANCE'!$E:$E,"Produzione nazionale")+SUMIFS('16_ANNUAL_BALANCE'!$F:$F,'16_ANNUAL_BALANCE'!$B:$B,$B32,'16_ANNUAL_BALANCE'!$E:$E,"Saldo estero (import netto)")+SUMIFS('16_ANNUAL_BALANCE'!$F:$F,'16_ANNUAL_BALANCE'!$B:$B,$B32,'16_ANNUAL_BALANCE'!$E:$E,"Perdite accumuli")</x:f>
        <x:v>50</x:v>
      </x:c>
      <x:c r="G32" s="143" t="n">
        <x:f>F32-E32</x:f>
        <x:v>-256</x:v>
      </x:c>
      <x:c r="H32" s="143" t="n">
        <x:v>1.1</x:v>
      </x:c>
      <x:c r="I32" s="83" t="str">
        <x:f>IF(ABS(G32)&lt;=H32,"PASS","REVIEW")</x:f>
        <x:v>REVIEW</x:v>
      </x:c>
      <x:c r="J32" s="83" t="str">
        <x:v>Tolerance accommodates whole-TWh rounding.</x:v>
      </x:c>
      <x:c r="K32" s="83" t="str">
        <x:v>Produzione nazionale + saldo estero + perdite accumuli</x:v>
      </x:c>
    </x:row>
    <x:row r="33">
      <x:c r="A33" s="83" t="str">
        <x:v>QA-029</x:v>
      </x:c>
      <x:c r="B33" s="83" t="str">
        <x:v>PNIEC_POLICY_2030</x:v>
      </x:c>
      <x:c r="C33" s="83" t="str">
        <x:v>Annual energy balance</x:v>
      </x:c>
      <x:c r="D33" s="83" t="str">
        <x:v>Produzione nazionale + import netto + perdite accumuli</x:v>
      </x:c>
      <x:c r="E33" s="143" t="n">
        <x:v>362</x:v>
      </x:c>
      <x:c r="F33" s="143" t="n">
        <x:f>SUMIFS('16_ANNUAL_BALANCE'!$F:$F,'16_ANNUAL_BALANCE'!$B:$B,$B33,'16_ANNUAL_BALANCE'!$E:$E,"Produzione nazionale")+SUMIFS('16_ANNUAL_BALANCE'!$F:$F,'16_ANNUAL_BALANCE'!$B:$B,$B33,'16_ANNUAL_BALANCE'!$E:$E,"Saldo estero (import netto)")+SUMIFS('16_ANNUAL_BALANCE'!$F:$F,'16_ANNUAL_BALANCE'!$B:$B,$B33,'16_ANNUAL_BALANCE'!$E:$E,"Perdite accumuli")</x:f>
        <x:v>39</x:v>
      </x:c>
      <x:c r="G33" s="143" t="n">
        <x:f>F33-E33</x:f>
        <x:v>-323</x:v>
      </x:c>
      <x:c r="H33" s="143" t="n">
        <x:v>1.1</x:v>
      </x:c>
      <x:c r="I33" s="83" t="str">
        <x:f>IF(ABS(G33)&lt;=H33,"PASS","REVIEW")</x:f>
        <x:v>REVIEW</x:v>
      </x:c>
      <x:c r="J33" s="83" t="str">
        <x:v>Tolerance accommodates whole-TWh rounding.</x:v>
      </x:c>
      <x:c r="K33" s="83" t="str">
        <x:v>Produzione nazionale + saldo estero + perdite accumuli</x:v>
      </x:c>
    </x:row>
    <x:row r="34">
      <x:c r="A34" s="83" t="str">
        <x:v>QA-030</x:v>
      </x:c>
      <x:c r="B34" s="83" t="str">
        <x:v>PNIEC_SLOW_2030</x:v>
      </x:c>
      <x:c r="C34" s="83" t="str">
        <x:v>Annual energy balance</x:v>
      </x:c>
      <x:c r="D34" s="83" t="str">
        <x:v>Produzione nazionale + import netto + perdite accumuli</x:v>
      </x:c>
      <x:c r="E34" s="143" t="n">
        <x:v>347</x:v>
      </x:c>
      <x:c r="F34" s="143" t="n">
        <x:f>SUMIFS('16_ANNUAL_BALANCE'!$F:$F,'16_ANNUAL_BALANCE'!$B:$B,$B34,'16_ANNUAL_BALANCE'!$E:$E,"Produzione nazionale")+SUMIFS('16_ANNUAL_BALANCE'!$F:$F,'16_ANNUAL_BALANCE'!$B:$B,$B34,'16_ANNUAL_BALANCE'!$E:$E,"Saldo estero (import netto)")+SUMIFS('16_ANNUAL_BALANCE'!$F:$F,'16_ANNUAL_BALANCE'!$B:$B,$B34,'16_ANNUAL_BALANCE'!$E:$E,"Perdite accumuli")</x:f>
        <x:v>44</x:v>
      </x:c>
      <x:c r="G34" s="143" t="n">
        <x:f>F34-E34</x:f>
        <x:v>-303</x:v>
      </x:c>
      <x:c r="H34" s="143" t="n">
        <x:v>1.1</x:v>
      </x:c>
      <x:c r="I34" s="83" t="str">
        <x:f>IF(ABS(G34)&lt;=H34,"PASS","REVIEW")</x:f>
        <x:v>REVIEW</x:v>
      </x:c>
      <x:c r="J34" s="83" t="str">
        <x:v>Tolerance accommodates whole-TWh rounding.</x:v>
      </x:c>
      <x:c r="K34" s="83" t="str">
        <x:v>Produzione nazionale + saldo estero + perdite accumuli</x:v>
      </x:c>
    </x:row>
    <x:row r="35">
      <x:c r="A35" s="83" t="str">
        <x:v>QA-031</x:v>
      </x:c>
      <x:c r="B35" s="83" t="str">
        <x:v>DE_IT_2035</x:v>
      </x:c>
      <x:c r="C35" s="83" t="str">
        <x:v>Annual energy balance</x:v>
      </x:c>
      <x:c r="D35" s="83" t="str">
        <x:v>Produzione nazionale + import netto + perdite accumuli</x:v>
      </x:c>
      <x:c r="E35" s="143" t="n">
        <x:v>397</x:v>
      </x:c>
      <x:c r="F35" s="143" t="n">
        <x:f>SUMIFS('16_ANNUAL_BALANCE'!$F:$F,'16_ANNUAL_BALANCE'!$B:$B,$B35,'16_ANNUAL_BALANCE'!$E:$E,"Produzione nazionale")+SUMIFS('16_ANNUAL_BALANCE'!$F:$F,'16_ANNUAL_BALANCE'!$B:$B,$B35,'16_ANNUAL_BALANCE'!$E:$E,"Saldo estero (import netto)")+SUMIFS('16_ANNUAL_BALANCE'!$F:$F,'16_ANNUAL_BALANCE'!$B:$B,$B35,'16_ANNUAL_BALANCE'!$E:$E,"Perdite accumuli")</x:f>
        <x:v>39</x:v>
      </x:c>
      <x:c r="G35" s="143" t="n">
        <x:f>F35-E35</x:f>
        <x:v>-358</x:v>
      </x:c>
      <x:c r="H35" s="143" t="n">
        <x:v>1.1</x:v>
      </x:c>
      <x:c r="I35" s="83" t="str">
        <x:f>IF(ABS(G35)&lt;=H35,"PASS","REVIEW")</x:f>
        <x:v>REVIEW</x:v>
      </x:c>
      <x:c r="J35" s="83" t="str">
        <x:v>Tolerance accommodates whole-TWh rounding.</x:v>
      </x:c>
      <x:c r="K35" s="83" t="str">
        <x:v>Produzione nazionale + saldo estero + perdite accumuli</x:v>
      </x:c>
    </x:row>
    <x:row r="36">
      <x:c r="A36" s="83" t="str">
        <x:v>QA-032</x:v>
      </x:c>
      <x:c r="B36" s="83" t="str">
        <x:v>GA_IT_2035</x:v>
      </x:c>
      <x:c r="C36" s="83" t="str">
        <x:v>Annual energy balance</x:v>
      </x:c>
      <x:c r="D36" s="83" t="str">
        <x:v>Produzione nazionale + import netto + perdite accumuli</x:v>
      </x:c>
      <x:c r="E36" s="143" t="n">
        <x:v>385</x:v>
      </x:c>
      <x:c r="F36" s="143" t="n">
        <x:f>SUMIFS('16_ANNUAL_BALANCE'!$F:$F,'16_ANNUAL_BALANCE'!$B:$B,$B36,'16_ANNUAL_BALANCE'!$E:$E,"Produzione nazionale")+SUMIFS('16_ANNUAL_BALANCE'!$F:$F,'16_ANNUAL_BALANCE'!$B:$B,$B36,'16_ANNUAL_BALANCE'!$E:$E,"Saldo estero (import netto)")+SUMIFS('16_ANNUAL_BALANCE'!$F:$F,'16_ANNUAL_BALANCE'!$B:$B,$B36,'16_ANNUAL_BALANCE'!$E:$E,"Perdite accumuli")</x:f>
        <x:v>42</x:v>
      </x:c>
      <x:c r="G36" s="143" t="n">
        <x:f>F36-E36</x:f>
        <x:v>-343</x:v>
      </x:c>
      <x:c r="H36" s="143" t="n">
        <x:v>1.1</x:v>
      </x:c>
      <x:c r="I36" s="83" t="str">
        <x:f>IF(ABS(G36)&lt;=H36,"PASS","REVIEW")</x:f>
        <x:v>REVIEW</x:v>
      </x:c>
      <x:c r="J36" s="83" t="str">
        <x:v>Tolerance accommodates whole-TWh rounding.</x:v>
      </x:c>
      <x:c r="K36" s="83" t="str">
        <x:v>Produzione nazionale + saldo estero + perdite accumuli</x:v>
      </x:c>
    </x:row>
    <x:row r="37">
      <x:c r="A37" s="83" t="str">
        <x:v>QA-033</x:v>
      </x:c>
      <x:c r="B37" s="83" t="str">
        <x:v>PNIEC_SLOW_2035</x:v>
      </x:c>
      <x:c r="C37" s="83" t="str">
        <x:v>Annual energy balance</x:v>
      </x:c>
      <x:c r="D37" s="83" t="str">
        <x:v>Produzione nazionale + import netto + perdite accumuli</x:v>
      </x:c>
      <x:c r="E37" s="143" t="n">
        <x:v>376</x:v>
      </x:c>
      <x:c r="F37" s="143" t="n">
        <x:f>SUMIFS('16_ANNUAL_BALANCE'!$F:$F,'16_ANNUAL_BALANCE'!$B:$B,$B37,'16_ANNUAL_BALANCE'!$E:$E,"Produzione nazionale")+SUMIFS('16_ANNUAL_BALANCE'!$F:$F,'16_ANNUAL_BALANCE'!$B:$B,$B37,'16_ANNUAL_BALANCE'!$E:$E,"Saldo estero (import netto)")+SUMIFS('16_ANNUAL_BALANCE'!$F:$F,'16_ANNUAL_BALANCE'!$B:$B,$B37,'16_ANNUAL_BALANCE'!$E:$E,"Perdite accumuli")</x:f>
        <x:v>45</x:v>
      </x:c>
      <x:c r="G37" s="143" t="n">
        <x:f>F37-E37</x:f>
        <x:v>-331</x:v>
      </x:c>
      <x:c r="H37" s="143" t="n">
        <x:v>1.1</x:v>
      </x:c>
      <x:c r="I37" s="83" t="str">
        <x:f>IF(ABS(G37)&lt;=H37,"PASS","REVIEW")</x:f>
        <x:v>REVIEW</x:v>
      </x:c>
      <x:c r="J37" s="83" t="str">
        <x:v>Tolerance accommodates whole-TWh rounding.</x:v>
      </x:c>
      <x:c r="K37" s="83" t="str">
        <x:v>Produzione nazionale + saldo estero + perdite accumuli</x:v>
      </x:c>
    </x:row>
    <x:row r="38">
      <x:c r="A38" s="83" t="str">
        <x:v>QA-034</x:v>
      </x:c>
      <x:c r="B38" s="83" t="str">
        <x:v>DE_IT_2040</x:v>
      </x:c>
      <x:c r="C38" s="83" t="str">
        <x:v>Annual energy balance</x:v>
      </x:c>
      <x:c r="D38" s="83" t="str">
        <x:v>Produzione nazionale + import netto + perdite accumuli</x:v>
      </x:c>
      <x:c r="E38" s="143" t="n">
        <x:v>439</x:v>
      </x:c>
      <x:c r="F38" s="143" t="n">
        <x:f>SUMIFS('16_ANNUAL_BALANCE'!$F:$F,'16_ANNUAL_BALANCE'!$B:$B,$B38,'16_ANNUAL_BALANCE'!$E:$E,"Produzione nazionale")+SUMIFS('16_ANNUAL_BALANCE'!$F:$F,'16_ANNUAL_BALANCE'!$B:$B,$B38,'16_ANNUAL_BALANCE'!$E:$E,"Saldo estero (import netto)")+SUMIFS('16_ANNUAL_BALANCE'!$F:$F,'16_ANNUAL_BALANCE'!$B:$B,$B38,'16_ANNUAL_BALANCE'!$E:$E,"Perdite accumuli")</x:f>
        <x:v>38</x:v>
      </x:c>
      <x:c r="G38" s="143" t="n">
        <x:f>F38-E38</x:f>
        <x:v>-401</x:v>
      </x:c>
      <x:c r="H38" s="143" t="n">
        <x:v>1.1</x:v>
      </x:c>
      <x:c r="I38" s="83" t="str">
        <x:f>IF(ABS(G38)&lt;=H38,"PASS","REVIEW")</x:f>
        <x:v>REVIEW</x:v>
      </x:c>
      <x:c r="J38" s="83" t="str">
        <x:v>Tolerance accommodates whole-TWh rounding.</x:v>
      </x:c>
      <x:c r="K38" s="83" t="str">
        <x:v>Produzione nazionale + saldo estero + perdite accumuli</x:v>
      </x:c>
    </x:row>
    <x:row r="39">
      <x:c r="A39" s="83" t="str">
        <x:v>QA-035</x:v>
      </x:c>
      <x:c r="B39" s="83" t="str">
        <x:v>GA_IT_2040</x:v>
      </x:c>
      <x:c r="C39" s="83" t="str">
        <x:v>Annual energy balance</x:v>
      </x:c>
      <x:c r="D39" s="83" t="str">
        <x:v>Produzione nazionale + import netto + perdite accumuli</x:v>
      </x:c>
      <x:c r="E39" s="143" t="n">
        <x:v>415</x:v>
      </x:c>
      <x:c r="F39" s="143" t="n">
        <x:f>SUMIFS('16_ANNUAL_BALANCE'!$F:$F,'16_ANNUAL_BALANCE'!$B:$B,$B39,'16_ANNUAL_BALANCE'!$E:$E,"Produzione nazionale")+SUMIFS('16_ANNUAL_BALANCE'!$F:$F,'16_ANNUAL_BALANCE'!$B:$B,$B39,'16_ANNUAL_BALANCE'!$E:$E,"Saldo estero (import netto)")+SUMIFS('16_ANNUAL_BALANCE'!$F:$F,'16_ANNUAL_BALANCE'!$B:$B,$B39,'16_ANNUAL_BALANCE'!$E:$E,"Perdite accumuli")</x:f>
        <x:v>39</x:v>
      </x:c>
      <x:c r="G39" s="143" t="n">
        <x:f>F39-E39</x:f>
        <x:v>-376</x:v>
      </x:c>
      <x:c r="H39" s="143" t="n">
        <x:v>1.1</x:v>
      </x:c>
      <x:c r="I39" s="83" t="str">
        <x:f>IF(ABS(G39)&lt;=H39,"PASS","REVIEW")</x:f>
        <x:v>REVIEW</x:v>
      </x:c>
      <x:c r="J39" s="83" t="str">
        <x:v>Tolerance accommodates whole-TWh rounding.</x:v>
      </x:c>
      <x:c r="K39" s="83" t="str">
        <x:v>Produzione nazionale + saldo estero + perdite accumuli</x:v>
      </x:c>
    </x:row>
    <x:row r="40">
      <x:c r="A40" s="83" t="str">
        <x:v>QA-036</x:v>
      </x:c>
      <x:c r="B40" s="83" t="str">
        <x:v>PNIEC_SLOW_2040</x:v>
      </x:c>
      <x:c r="C40" s="83" t="str">
        <x:v>Annual energy balance</x:v>
      </x:c>
      <x:c r="D40" s="83" t="str">
        <x:v>Produzione nazionale + import netto + perdite accumuli</x:v>
      </x:c>
      <x:c r="E40" s="143" t="n">
        <x:v>404</x:v>
      </x:c>
      <x:c r="F40" s="143" t="n">
        <x:f>SUMIFS('16_ANNUAL_BALANCE'!$F:$F,'16_ANNUAL_BALANCE'!$B:$B,$B40,'16_ANNUAL_BALANCE'!$E:$E,"Produzione nazionale")+SUMIFS('16_ANNUAL_BALANCE'!$F:$F,'16_ANNUAL_BALANCE'!$B:$B,$B40,'16_ANNUAL_BALANCE'!$E:$E,"Saldo estero (import netto)")+SUMIFS('16_ANNUAL_BALANCE'!$F:$F,'16_ANNUAL_BALANCE'!$B:$B,$B40,'16_ANNUAL_BALANCE'!$E:$E,"Perdite accumuli")</x:f>
        <x:v>41</x:v>
      </x:c>
      <x:c r="G40" s="143" t="n">
        <x:f>F40-E40</x:f>
        <x:v>-363</x:v>
      </x:c>
      <x:c r="H40" s="143" t="n">
        <x:v>1.1</x:v>
      </x:c>
      <x:c r="I40" s="83" t="str">
        <x:f>IF(ABS(G40)&lt;=H40,"PASS","REVIEW")</x:f>
        <x:v>REVIEW</x:v>
      </x:c>
      <x:c r="J40" s="83" t="str">
        <x:v>Tolerance accommodates whole-TWh rounding.</x:v>
      </x:c>
      <x:c r="K40" s="83" t="str">
        <x:v>Produzione nazionale + saldo estero + perdite accumuli</x:v>
      </x:c>
    </x:row>
    <x:row r="41">
      <x:c r="A41" s="83" t="str">
        <x:v>QA-037</x:v>
      </x:c>
      <x:c r="B41" s="83" t="str">
        <x:v>TERNA_2050_NUCLEAR</x:v>
      </x:c>
      <x:c r="C41" s="83" t="str">
        <x:v>Annual energy balance</x:v>
      </x:c>
      <x:c r="D41" s="83" t="str">
        <x:v>Produzione nazionale + import netto + perdite accumuli</x:v>
      </x:c>
      <x:c r="E41" s="143" t="n">
        <x:v>583</x:v>
      </x:c>
      <x:c r="F41" s="143" t="n">
        <x:f>SUMIFS('16_ANNUAL_BALANCE'!$F:$F,'16_ANNUAL_BALANCE'!$B:$B,$B41,'16_ANNUAL_BALANCE'!$E:$E,"Produzione nazionale")+SUMIFS('16_ANNUAL_BALANCE'!$F:$F,'16_ANNUAL_BALANCE'!$B:$B,$B41,'16_ANNUAL_BALANCE'!$E:$E,"Saldo estero (import netto)")+SUMIFS('16_ANNUAL_BALANCE'!$F:$F,'16_ANNUAL_BALANCE'!$B:$B,$B41,'16_ANNUAL_BALANCE'!$E:$E,"Perdite accumuli")</x:f>
        <x:v>37</x:v>
      </x:c>
      <x:c r="G41" s="143" t="n">
        <x:f>F41-E41</x:f>
        <x:v>-546</x:v>
      </x:c>
      <x:c r="H41" s="143" t="n">
        <x:v>1</x:v>
      </x:c>
      <x:c r="I41" s="83" t="str">
        <x:f>IF(ABS(G41)&lt;=H41,"PASS","REVIEW")</x:f>
        <x:v>REVIEW</x:v>
      </x:c>
      <x:c r="J41" s="83" t="str">
        <x:v>Whole-TWh source values.</x:v>
      </x:c>
      <x:c r="K41" s="83" t="str">
        <x:v>Produzione nazionale + saldo estero + perdite accumuli</x:v>
      </x:c>
    </x:row>
    <x:row r="42">
      <x:c r="A42" s="83" t="str">
        <x:v>QA-038</x:v>
      </x:c>
      <x:c r="B42" s="83" t="str">
        <x:v>TERNA_2050_NO_NUCLEAR</x:v>
      </x:c>
      <x:c r="C42" s="83" t="str">
        <x:v>Annual energy balance</x:v>
      </x:c>
      <x:c r="D42" s="83" t="str">
        <x:v>Produzione nazionale + import netto + perdite accumuli</x:v>
      </x:c>
      <x:c r="E42" s="143" t="n">
        <x:v>583</x:v>
      </x:c>
      <x:c r="F42" s="143" t="n">
        <x:f>SUMIFS('16_ANNUAL_BALANCE'!$F:$F,'16_ANNUAL_BALANCE'!$B:$B,$B42,'16_ANNUAL_BALANCE'!$E:$E,"Produzione nazionale")+SUMIFS('16_ANNUAL_BALANCE'!$F:$F,'16_ANNUAL_BALANCE'!$B:$B,$B42,'16_ANNUAL_BALANCE'!$E:$E,"Saldo estero (import netto)")+SUMIFS('16_ANNUAL_BALANCE'!$F:$F,'16_ANNUAL_BALANCE'!$B:$B,$B42,'16_ANNUAL_BALANCE'!$E:$E,"Perdite accumuli")</x:f>
        <x:v>43</x:v>
      </x:c>
      <x:c r="G42" s="143" t="n">
        <x:f>F42-E42</x:f>
        <x:v>-540</x:v>
      </x:c>
      <x:c r="H42" s="143" t="n">
        <x:v>1</x:v>
      </x:c>
      <x:c r="I42" s="83" t="str">
        <x:f>IF(ABS(G42)&lt;=H42,"PASS","REVIEW")</x:f>
        <x:v>REVIEW</x:v>
      </x:c>
      <x:c r="J42" s="83" t="str">
        <x:v>Whole-TWh source values.</x:v>
      </x:c>
      <x:c r="K42" s="83" t="str">
        <x:v>Produzione nazionale + saldo estero + perdite accumuli</x:v>
      </x:c>
    </x:row>
  </x:sheetData>
  <x:mergeCells>
    <x:mergeCell ref="A1:K1"/>
    <x:mergeCell ref="A2:K2"/>
  </x:mergeCells>
  <x:conditionalFormatting sqref="I5:I42">
    <x:cfRule type="expression" dxfId="23" priority="1">
      <x:formula>I5="PASS"</x:formula>
    </x:cfRule>
    <x:cfRule type="expression" dxfId="24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9e3d64e46447c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59" t="str">
        <x:v>Fase 3A — Scenari, domanda e capacità</x:v>
      </x:c>
      <x:c r="B1" s="159"/>
      <x:c r="C1" s="159"/>
      <x:c r="D1" s="159"/>
      <x:c r="E1" s="159"/>
      <x:c r="F1" s="159"/>
      <x:c r="G1" s="159"/>
      <x:c r="H1" s="159"/>
      <x:c r="I1" s="159"/>
      <x:c r="J1" s="159"/>
      <x:c r="K1" s="159"/>
      <x:c r="L1" s="159"/>
      <x:c r="M1" s="159"/>
      <x:c r="N1" s="159"/>
      <x:c r="O1" s="159"/>
      <x:c r="P1" s="159"/>
      <x:c r="Q1" s="159"/>
      <x:c r="R1" s="159"/>
    </x:row>
    <x:row r="2" ht="30" customHeight="1">
      <x:c r="A2" s="138" t="str">
        <x:v>DDS 2024 incorporato come S09; dati 2040 e configurazioni/benchmark 2050 auditabili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160" t="str">
        <x:v>Indicatore</x:v>
      </x:c>
      <x:c r="B4" s="160" t="str">
        <x:v>Valore</x:v>
      </x:c>
      <x:c r="C4" s="45"/>
      <x:c r="D4" s="160" t="str">
        <x:v>Esito analitico</x:v>
      </x:c>
      <x:c r="E4" s="160"/>
      <x:c r="F4" s="160"/>
      <x:c r="G4" s="160"/>
      <x:c r="H4" s="160"/>
      <x:c r="I4" s="160"/>
      <x:c r="J4" s="160"/>
      <x:c r="K4" s="45"/>
      <x:c r="L4" s="45"/>
      <x:c r="M4" s="45"/>
      <x:c r="N4" s="45"/>
      <x:c r="O4" s="45"/>
      <x:c r="P4" s="45"/>
      <x:c r="Q4" s="45"/>
      <x:c r="R4" s="45"/>
    </x:row>
    <x:row r="5">
      <x:c r="A5" s="161" t="str">
        <x:v>Scenari</x:v>
      </x:c>
      <x:c r="B5" s="48" t="n">
        <x:v>13</x:v>
      </x:c>
      <x:c r="C5" s="45"/>
      <x:c r="D5" s="150" t="str">
        <x:v>2040: DE-IT candidato centrale; GA-IT e PNIEC Slow restano scenari completi. 2050: rami Terna con e senza nucleare e benchmark PNIEC mantenuti separati. La baseline finale sarà scelta solo dopo storage, idroelettrico, rete e costi.</x:v>
      </x:c>
      <x:c r="E5" s="150"/>
      <x:c r="F5" s="150"/>
      <x:c r="G5" s="150"/>
      <x:c r="H5" s="150"/>
      <x:c r="I5" s="150"/>
      <x:c r="J5" s="150"/>
      <x:c r="K5" s="45"/>
      <x:c r="L5" s="45"/>
      <x:c r="M5" s="45"/>
      <x:c r="N5" s="45"/>
      <x:c r="O5" s="45"/>
      <x:c r="P5" s="45"/>
      <x:c r="Q5" s="45"/>
      <x:c r="R5" s="45"/>
    </x:row>
    <x:row r="6">
      <x:c r="A6" s="161" t="str">
        <x:v>Righe domanda</x:v>
      </x:c>
      <x:c r="B6" s="48" t="n">
        <x:v>115</x:v>
      </x:c>
      <x:c r="C6" s="45"/>
      <x:c r="D6" s="150"/>
      <x:c r="E6" s="150"/>
      <x:c r="F6" s="150"/>
      <x:c r="G6" s="150"/>
      <x:c r="H6" s="150"/>
      <x:c r="I6" s="150"/>
      <x:c r="J6" s="150"/>
      <x:c r="K6" s="45"/>
      <x:c r="L6" s="45"/>
      <x:c r="M6" s="45"/>
      <x:c r="N6" s="45"/>
      <x:c r="O6" s="45"/>
      <x:c r="P6" s="45"/>
      <x:c r="Q6" s="45"/>
      <x:c r="R6" s="45"/>
    </x:row>
    <x:row r="7">
      <x:c r="A7" s="161" t="str">
        <x:v>Parametri scenario</x:v>
      </x:c>
      <x:c r="B7" s="48" t="n">
        <x:v>16</x:v>
      </x:c>
      <x:c r="C7" s="45"/>
      <x:c r="D7" s="150"/>
      <x:c r="E7" s="150"/>
      <x:c r="F7" s="150"/>
      <x:c r="G7" s="150"/>
      <x:c r="H7" s="150"/>
      <x:c r="I7" s="150"/>
      <x:c r="J7" s="150"/>
      <x:c r="K7" s="45"/>
      <x:c r="L7" s="45"/>
      <x:c r="M7" s="45"/>
      <x:c r="N7" s="45"/>
      <x:c r="O7" s="45"/>
      <x:c r="P7" s="45"/>
      <x:c r="Q7" s="45"/>
      <x:c r="R7" s="45"/>
    </x:row>
    <x:row r="8">
      <x:c r="A8" s="161" t="str">
        <x:v>Capacità nazionale</x:v>
      </x:c>
      <x:c r="B8" s="48" t="n">
        <x:v>88</x:v>
      </x:c>
      <x:c r="C8" s="45"/>
      <x:c r="D8" s="150"/>
      <x:c r="E8" s="150"/>
      <x:c r="F8" s="150"/>
      <x:c r="G8" s="150"/>
      <x:c r="H8" s="150"/>
      <x:c r="I8" s="150"/>
      <x:c r="J8" s="150"/>
      <x:c r="K8" s="45"/>
      <x:c r="L8" s="45"/>
      <x:c r="M8" s="45"/>
      <x:c r="N8" s="45"/>
      <x:c r="O8" s="45"/>
      <x:c r="P8" s="45"/>
      <x:c r="Q8" s="45"/>
      <x:c r="R8" s="45"/>
    </x:row>
    <x:row r="9">
      <x:c r="A9" s="161" t="str">
        <x:v>Capacità zonale</x:v>
      </x:c>
      <x:c r="B9" s="48" t="n">
        <x:v>252</x:v>
      </x:c>
      <x:c r="C9" s="45"/>
      <x:c r="D9" s="150"/>
      <x:c r="E9" s="150"/>
      <x:c r="F9" s="150"/>
      <x:c r="G9" s="150"/>
      <x:c r="H9" s="150"/>
      <x:c r="I9" s="150"/>
      <x:c r="J9" s="150"/>
      <x:c r="K9" s="45"/>
      <x:c r="L9" s="45"/>
      <x:c r="M9" s="45"/>
      <x:c r="N9" s="45"/>
      <x:c r="O9" s="45"/>
      <x:c r="P9" s="45"/>
      <x:c r="Q9" s="45"/>
      <x:c r="R9" s="45"/>
    </x:row>
    <x:row r="10">
      <x:c r="A10" s="161" t="str">
        <x:v>Bilanci annuali</x:v>
      </x:c>
      <x:c r="B10" s="48" t="n">
        <x:v>195</x:v>
      </x:c>
      <x:c r="C10" s="45"/>
      <x:c r="D10" s="150"/>
      <x:c r="E10" s="150"/>
      <x:c r="F10" s="150"/>
      <x:c r="G10" s="150"/>
      <x:c r="H10" s="150"/>
      <x:c r="I10" s="150"/>
      <x:c r="J10" s="150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161" t="str">
        <x:v>QA PASS</x:v>
      </x:c>
      <x:c r="B11" s="48" t="n">
        <x:v>34</x:v>
      </x:c>
      <x:c r="C11" s="45"/>
      <x:c r="D11" s="150"/>
      <x:c r="E11" s="150"/>
      <x:c r="F11" s="150"/>
      <x:c r="G11" s="150"/>
      <x:c r="H11" s="150"/>
      <x:c r="I11" s="150"/>
      <x:c r="J11" s="150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161" t="str">
        <x:v>QA REVIEW</x:v>
      </x:c>
      <x:c r="B12" s="48" t="n">
        <x:v>4</x:v>
      </x:c>
      <x:c r="C12" s="45"/>
      <x:c r="D12" s="150"/>
      <x:c r="E12" s="150"/>
      <x:c r="F12" s="150"/>
      <x:c r="G12" s="150"/>
      <x:c r="H12" s="150"/>
      <x:c r="I12" s="150"/>
      <x:c r="J12" s="150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162" t="str">
        <x:v>Scenario 2040</x:v>
      </x:c>
      <x:c r="B15" s="162" t="str">
        <x:v>Fabbisogno TWh</x:v>
      </x:c>
      <x:c r="C15" s="162" t="str">
        <x:v>Usi finali TWh</x:v>
      </x:c>
      <x:c r="D15" s="162" t="str">
        <x:v>H₂ TWh</x:v>
      </x:c>
      <x:c r="E15" s="162" t="str">
        <x:v>FER GW</x:v>
      </x:c>
      <x:c r="F15" s="162" t="str">
        <x:v>Solare GW</x:v>
      </x:c>
      <x:c r="G15" s="162" t="str">
        <x:v>Onshore GW</x:v>
      </x:c>
      <x:c r="H15" s="162" t="str">
        <x:v>Offshore GW</x:v>
      </x:c>
      <x:c r="I15" s="162" t="str">
        <x:v>Produzione FER TWh</x:v>
      </x:c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163" t="n">
        <x:f>'11_DEMAND_TOTAL'!F56</x:f>
        <x:v>439</x:v>
      </x:c>
      <x:c r="C16" s="163" t="n">
        <x:f>'11_DEMAND_TOTAL'!F11</x:f>
        <x:v>377.8</x:v>
      </x:c>
      <x:c r="D16" s="163" t="n">
        <x:f>'11_DEMAND_TOTAL'!F38</x:f>
        <x:v>27.5</x:v>
      </x:c>
      <x:c r="E16" s="163" t="n">
        <x:f>'14_GEN_CAP_NATIONAL'!I35</x:f>
        <x:v>192</x:v>
      </x:c>
      <x:c r="F16" s="163" t="n">
        <x:f>'14_GEN_CAP_NATIONAL'!I36</x:f>
        <x:v>121</x:v>
      </x:c>
      <x:c r="G16" s="163" t="n">
        <x:f>'14_GEN_CAP_NATIONAL'!I37</x:f>
        <x:v>34</x:v>
      </x:c>
      <x:c r="H16" s="163" t="n">
        <x:f>'14_GEN_CAP_NATIONAL'!I38</x:f>
        <x:v>15.1</x:v>
      </x:c>
      <x:c r="I16" s="163" t="n">
        <x:f>'16_ANNUAL_BALANCE'!F47</x:f>
        <x:v>336</x:v>
      </x:c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163" t="n">
        <x:f>'11_DEMAND_TOTAL'!F57</x:f>
        <x:v>415.2</x:v>
      </x:c>
      <x:c r="C17" s="163" t="n">
        <x:f>'11_DEMAND_TOTAL'!F12</x:f>
        <x:v>355</x:v>
      </x:c>
      <x:c r="D17" s="163" t="n">
        <x:f>'11_DEMAND_TOTAL'!F39</x:f>
        <x:v>27.5</x:v>
      </x:c>
      <x:c r="E17" s="163" t="n">
        <x:f>'14_GEN_CAP_NATIONAL'!I40</x:f>
        <x:v>176</x:v>
      </x:c>
      <x:c r="F17" s="163" t="n">
        <x:f>'14_GEN_CAP_NATIONAL'!I41</x:f>
        <x:v>111</x:v>
      </x:c>
      <x:c r="G17" s="163" t="n">
        <x:f>'14_GEN_CAP_NATIONAL'!I42</x:f>
        <x:v>31</x:v>
      </x:c>
      <x:c r="H17" s="163" t="n">
        <x:f>'14_GEN_CAP_NATIONAL'!I43</x:f>
        <x:v>12.1</x:v>
      </x:c>
      <x:c r="I17" s="163" t="n">
        <x:f>'16_ANNUAL_BALANCE'!F48</x:f>
        <x:v>309</x:v>
      </x:c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163" t="n">
        <x:f>'11_DEMAND_TOTAL'!F58</x:f>
        <x:v>404.4</x:v>
      </x:c>
      <x:c r="C18" s="163" t="n">
        <x:f>'11_DEMAND_TOTAL'!F13</x:f>
        <x:v>352.1</x:v>
      </x:c>
      <x:c r="D18" s="163" t="n">
        <x:f>'11_DEMAND_TOTAL'!F40</x:f>
        <x:v>19.8</x:v>
      </x:c>
      <x:c r="E18" s="163" t="n">
        <x:f>'14_GEN_CAP_NATIONAL'!I45</x:f>
        <x:v>166</x:v>
      </x:c>
      <x:c r="F18" s="163" t="n">
        <x:f>'14_GEN_CAP_NATIONAL'!I46</x:f>
        <x:v>105.1</x:v>
      </x:c>
      <x:c r="G18" s="163" t="n">
        <x:f>'14_GEN_CAP_NATIONAL'!I47</x:f>
        <x:v>29</x:v>
      </x:c>
      <x:c r="H18" s="163" t="n">
        <x:f>'14_GEN_CAP_NATIONAL'!I48</x:f>
        <x:v>10</x:v>
      </x:c>
      <x:c r="I18" s="163" t="n">
        <x:f>'16_ANNUAL_BALANCE'!F49</x:f>
        <x:v>293</x:v>
      </x:c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162" t="str">
        <x:v>Scenario 2050</x:v>
      </x:c>
      <x:c r="B22" s="162" t="str">
        <x:v>Fabbisogno TWh</x:v>
      </x:c>
      <x:c r="C22" s="162" t="str">
        <x:v>FRNP GW</x:v>
      </x:c>
      <x:c r="D22" s="162" t="str">
        <x:v>Solare GW</x:v>
      </x:c>
      <x:c r="E22" s="162" t="str">
        <x:v>Onshore GW</x:v>
      </x:c>
      <x:c r="F22" s="162" t="str">
        <x:v>Offshore GW</x:v>
      </x:c>
      <x:c r="G22" s="162" t="str">
        <x:v>Nucleare GW</x:v>
      </x:c>
      <x:c r="H22" s="162" t="str">
        <x:v>Produzione FRNP+idro TWh</x:v>
      </x:c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PNIEC con nucleare</x:v>
      </x:c>
      <x:c r="B23" s="163" t="n">
        <x:f>'11_DEMAND_TOTAL'!F68 </x:f>
        <x:v>583.1</x:v>
      </x:c>
      <x:c r="C23" s="163" t="n">
        <x:f>'14_GEN_CAP_NATIONAL'!I68</x:f>
        <x:v>296</x:v>
      </x:c>
      <x:c r="D23" s="163" t="n">
        <x:f>'14_GEN_CAP_NATIONAL'!I69</x:f>
        <x:v>245</x:v>
      </x:c>
      <x:c r="E23" s="163" t="n">
        <x:f>'14_GEN_CAP_NATIONAL'!I70</x:f>
        <x:v>36</x:v>
      </x:c>
      <x:c r="F23" s="163" t="n">
        <x:f>'14_GEN_CAP_NATIONAL'!I71</x:f>
        <x:v>15</x:v>
      </x:c>
      <x:c r="G23" s="163" t="n">
        <x:f>'14_GEN_CAP_NATIONAL'!I72</x:f>
        <x:v>8</x:v>
      </x:c>
      <x:c r="H23" s="163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PNIEC senza nucleare</x:v>
      </x:c>
      <x:c r="B24" s="163" t="n">
        <x:f>'11_DEMAND_TOTAL'!F72 </x:f>
        <x:v>551.7</x:v>
      </x:c>
      <x:c r="C24" s="163" t="n">
        <x:f>'14_GEN_CAP_NATIONAL'!I73</x:f>
        <x:v>296</x:v>
      </x:c>
      <x:c r="D24" s="163" t="n">
        <x:f>'14_GEN_CAP_NATIONAL'!I74</x:f>
        <x:v>245</x:v>
      </x:c>
      <x:c r="E24" s="163" t="n">
        <x:f>'14_GEN_CAP_NATIONAL'!I75</x:f>
        <x:v>36</x:v>
      </x:c>
      <x:c r="F24" s="163" t="n">
        <x:f>'14_GEN_CAP_NATIONAL'!I76</x:f>
        <x:v>15</x:v>
      </x:c>
      <x:c r="G24" s="163" t="n">
        <x:f>'14_GEN_CAP_NATIONAL'!I77</x:f>
        <x:v>0</x:v>
      </x:c>
      <x:c r="H24" s="163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 t="str">
        <x:v>Terna con nucleare</x:v>
      </x:c>
      <x:c r="B25" s="163" t="n">
        <x:f>'11_DEMAND_TOTAL'!F76 </x:f>
        <x:v>583</x:v>
      </x:c>
      <x:c r="C25" s="163" t="n">
        <x:f>'14_GEN_CAP_NATIONAL'!I78</x:f>
        <x:v>246</x:v>
      </x:c>
      <x:c r="D25" s="163" t="n">
        <x:f>'14_GEN_CAP_NATIONAL'!I79</x:f>
        <x:v>180</x:v>
      </x:c>
      <x:c r="E25" s="163" t="n">
        <x:f>'14_GEN_CAP_NATIONAL'!I80</x:f>
        <x:v>46</x:v>
      </x:c>
      <x:c r="F25" s="163" t="n">
        <x:f>'14_GEN_CAP_NATIONAL'!I81</x:f>
        <x:v>20</x:v>
      </x:c>
      <x:c r="G25" s="163" t="n">
        <x:f>'14_GEN_CAP_NATIONAL'!I82</x:f>
        <x:v>10</x:v>
      </x:c>
      <x:c r="H25" s="163" t="n">
        <x:f>'16_ANNUAL_BALANCE'!F184</x:f>
        <x:v>435</x:v>
      </x:c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 t="str">
        <x:v>Terna senza nucleare</x:v>
      </x:c>
      <x:c r="B26" s="163" t="n">
        <x:f>'11_DEMAND_TOTAL'!F77 </x:f>
        <x:v>583</x:v>
      </x:c>
      <x:c r="C26" s="163" t="n">
        <x:f>'14_GEN_CAP_NATIONAL'!I83</x:f>
        <x:v>270</x:v>
      </x:c>
      <x:c r="D26" s="163" t="n">
        <x:f>'14_GEN_CAP_NATIONAL'!I84</x:f>
        <x:v>200</x:v>
      </x:c>
      <x:c r="E26" s="163" t="n">
        <x:f>'14_GEN_CAP_NATIONAL'!I85</x:f>
        <x:v>50</x:v>
      </x:c>
      <x:c r="F26" s="163" t="n">
        <x:f>'14_GEN_CAP_NATIONAL'!I86</x:f>
        <x:v>20</x:v>
      </x:c>
      <x:c r="G26" s="163" t="n">
        <x:f>'14_GEN_CAP_NATIONAL'!I87</x:f>
        <x:v>0</x:v>
      </x:c>
      <x:c r="H26" s="163" t="n">
        <x:f>'16_ANNUAL_BALANCE'!F193</x:f>
        <x:v>474</x:v>
      </x:c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162" t="str">
        <x:v>Gap model-critical trasferiti alle fasi successive</x:v>
      </x:c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160" t="str">
        <x:v>Gap</x:v>
      </x:c>
      <x:c r="B31" s="160" t="str">
        <x:v>Impatto</x:v>
      </x:c>
      <x:c r="C31" s="160" t="str">
        <x:v>Risoluzione</x:v>
      </x:c>
      <x:c r="D31" s="45"/>
      <x:c r="E31" s="160" t="str">
        <x:v>Review QA: arrotondamenti conservati, nessuna correzione automatica</x:v>
      </x:c>
      <x:c r="F31" s="160"/>
      <x:c r="G31" s="160"/>
      <x:c r="H31" s="160"/>
      <x:c r="I31" s="160"/>
      <x:c r="J31" s="160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164" t="str">
        <x:v>Profili orari zonali</x:v>
      </x:c>
      <x:c r="B32" s="164" t="str">
        <x:v>Domanda, FER e idrologia</x:v>
      </x:c>
      <x:c r="C32" s="164" t="str">
        <x:v>Fase 4 / fonti esterne</x:v>
      </x:c>
      <x:c r="D32" s="45"/>
      <x:c r="E32" s="165" t="str">
        <x:v>QA ID</x:v>
      </x:c>
      <x:c r="F32" s="165" t="str">
        <x:v>Scenario</x:v>
      </x:c>
      <x:c r="G32" s="165" t="str">
        <x:v>Metrica</x:v>
      </x:c>
      <x:c r="H32" s="165" t="str">
        <x:v>Scarto</x:v>
      </x:c>
      <x:c r="I32" s="165" t="str">
        <x:v>Tolleranza</x:v>
      </x:c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164" t="str">
        <x:v>Zonalizzazione domanda</x:v>
      </x:c>
      <x:c r="B33" s="164" t="str">
        <x:v>2040 e soprattutto 2050</x:v>
      </x:c>
      <x:c r="C33" s="164" t="str">
        <x:v>Fase 4</x:v>
      </x:c>
      <x:c r="D33" s="45"/>
      <x:c r="E33" s="166" t="str">
        <x:v>QA-003</x:v>
      </x:c>
      <x:c r="F33" s="166" t="str">
        <x:v>PNIEC_POLICY_2030</x:v>
      </x:c>
      <x:c r="G33" s="166" t="str">
        <x:v>Solar</x:v>
      </x:c>
      <x:c r="H33" s="167" t="n">
        <x:v>-0.2</x:v>
      </x:c>
      <x:c r="I33" s="167" t="n">
        <x:v>0.15</x:v>
      </x:c>
      <x:c r="J33" s="45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164" t="str">
        <x:v>Idroelettrico/pompaggi</x:v>
      </x:c>
      <x:c r="B34" s="164" t="str">
        <x:v>Potenza, energia, inflow e SOC</x:v>
      </x:c>
      <x:c r="C34" s="164" t="str">
        <x:v>Fase 3B</x:v>
      </x:c>
      <x:c r="D34" s="45"/>
      <x:c r="E34" s="166" t="str">
        <x:v>QA-010</x:v>
      </x:c>
      <x:c r="F34" s="166" t="str">
        <x:v>GA_IT_2035</x:v>
      </x:c>
      <x:c r="G34" s="166" t="str">
        <x:v>Wind</x:v>
      </x:c>
      <x:c r="H34" s="167" t="n">
        <x:v>0.2</x:v>
      </x:c>
      <x:c r="I34" s="167" t="n">
        <x:v>0.15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>
      <x:c r="A35" s="164" t="str">
        <x:v>Accumuli</x:v>
      </x:c>
      <x:c r="B35" s="164" t="str">
        <x:v>MW/MWh, durata, efficienze e zona</x:v>
      </x:c>
      <x:c r="C35" s="164" t="str">
        <x:v>Fase 3B</x:v>
      </x:c>
      <x:c r="D35" s="45"/>
      <x:c r="E35" s="166" t="str">
        <x:v>QA-014</x:v>
      </x:c>
      <x:c r="F35" s="166" t="str">
        <x:v>DE_IT_2040</x:v>
      </x:c>
      <x:c r="G35" s="166" t="str">
        <x:v>Wind</x:v>
      </x:c>
      <x:c r="H35" s="167" t="n">
        <x:v>0.2</x:v>
      </x:c>
      <x:c r="I35" s="167" t="n">
        <x:v>0.15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164" t="str">
        <x:v>Rete/interconnessioni</x:v>
      </x:c>
      <x:c r="B36" s="164" t="str">
        <x:v>NTC vs target vs rating progetto</x:v>
      </x:c>
      <x:c r="C36" s="164" t="str">
        <x:v>Fase 3C</x:v>
      </x:c>
      <x:c r="D36" s="45"/>
      <x:c r="E36" s="166" t="str">
        <x:v>QA-030</x:v>
      </x:c>
      <x:c r="F36" s="166" t="str">
        <x:v>PNIEC_SLOW_2030</x:v>
      </x:c>
      <x:c r="G36" s="166" t="str">
        <x:v>Produzione nazionale + import netto + perdite accumuli</x:v>
      </x:c>
      <x:c r="H36" s="167" t="n">
        <x:v>-2</x:v>
      </x:c>
      <x:c r="I36" s="167" t="n">
        <x:v>1.1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164" t="str">
        <x:v>Termoelettrico</x:v>
      </x:c>
      <x:c r="B37" s="164" t="str">
        <x:v>Tecnologie, efficienze, outage, costi</x:v>
      </x:c>
      <x:c r="C37" s="164" t="str">
        <x:v>Fase 3D</x:v>
      </x:c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164" t="str">
        <x:v>Localizzazione 2050</x:v>
      </x:c>
      <x:c r="B38" s="164" t="str">
        <x:v>FER, termico, storage, nucleare</x:v>
      </x:c>
      <x:c r="C38" s="164" t="str">
        <x:v>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164" t="str">
        <x:v>Perimetro estero</x:v>
      </x:c>
      <x:c r="B39" s="164" t="str">
        <x:v>Endogeno o prezzi/import esogeni</x:v>
      </x:c>
      <x:c r="C39" s="164" t="str">
        <x:v>Fase 4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4">
      <x:c r="A44" s="184" t="str">
        <x:v>Scenario</x:v>
      </x:c>
      <x:c r="B44" s="184" t="str">
        <x:v>FRNP GW</x:v>
      </x:c>
      <x:c r="C44" s="184" t="str">
        <x:v>Solare GW</x:v>
      </x:c>
      <x:c r="D44" s="184" t="str">
        <x:v>Onshore GW</x:v>
      </x:c>
      <x:c r="E44" s="184" t="str">
        <x:v>Offshore GW</x:v>
      </x:c>
      <x:c r="F44" s="184" t="str">
        <x:v>Nucleare GW</x:v>
      </x:c>
    </x:row>
    <x:row r="45">
      <x:c r="A45" s="184" t="str">
        <x:v>PNIEC con nucleare</x:v>
      </x:c>
      <x:c r="B45" s="185" t="n">
        <x:f>C23</x:f>
        <x:v>296</x:v>
      </x:c>
      <x:c r="C45" s="185" t="n">
        <x:f>D23</x:f>
        <x:v>245</x:v>
      </x:c>
      <x:c r="D45" s="185" t="n">
        <x:f>E23</x:f>
        <x:v>36</x:v>
      </x:c>
      <x:c r="E45" s="185" t="n">
        <x:f>F23</x:f>
        <x:v>15</x:v>
      </x:c>
      <x:c r="F45" s="185" t="n">
        <x:f>G23</x:f>
        <x:v>8</x:v>
      </x:c>
    </x:row>
    <x:row r="46">
      <x:c r="A46" s="184" t="str">
        <x:v>PNIEC senza nucleare</x:v>
      </x:c>
      <x:c r="B46" s="185" t="n">
        <x:f>C24</x:f>
        <x:v>296</x:v>
      </x:c>
      <x:c r="C46" s="185" t="n">
        <x:f>D24</x:f>
        <x:v>245</x:v>
      </x:c>
      <x:c r="D46" s="185" t="n">
        <x:f>E24</x:f>
        <x:v>36</x:v>
      </x:c>
      <x:c r="E46" s="185" t="n">
        <x:f>F24</x:f>
        <x:v>15</x:v>
      </x:c>
      <x:c r="F46" s="185" t="n">
        <x:f>G24</x:f>
        <x:v>0</x:v>
      </x:c>
    </x:row>
    <x:row r="47">
      <x:c r="A47" s="184" t="str">
        <x:v>Terna con nucleare</x:v>
      </x:c>
      <x:c r="B47" s="185" t="n">
        <x:f>C25</x:f>
        <x:v>246</x:v>
      </x:c>
      <x:c r="C47" s="185" t="n">
        <x:f>D25</x:f>
        <x:v>180</x:v>
      </x:c>
      <x:c r="D47" s="185" t="n">
        <x:f>E25</x:f>
        <x:v>46</x:v>
      </x:c>
      <x:c r="E47" s="185" t="n">
        <x:f>F25</x:f>
        <x:v>20</x:v>
      </x:c>
      <x:c r="F47" s="185" t="n">
        <x:f>G25</x:f>
        <x:v>10</x:v>
      </x:c>
    </x:row>
    <x:row r="48">
      <x:c r="A48" s="184" t="str">
        <x:v>Terna senza nucleare</x:v>
      </x:c>
      <x:c r="B48" s="185" t="n">
        <x:f>C26</x:f>
        <x:v>270</x:v>
      </x:c>
      <x:c r="C48" s="185" t="n">
        <x:f>D26</x:f>
        <x:v>200</x:v>
      </x:c>
      <x:c r="D48" s="185" t="n">
        <x:f>E26</x:f>
        <x:v>50</x:v>
      </x:c>
      <x:c r="E48" s="185" t="n">
        <x:f>F26</x:f>
        <x:v>20</x:v>
      </x:c>
      <x:c r="F48" s="185" t="n">
        <x:f>G26</x:f>
        <x:v>0</x:v>
      </x:c>
    </x:row>
  </x:sheetData>
  <x:mergeCells>
    <x:mergeCell ref="A1:R1"/>
    <x:mergeCell ref="A2:R2"/>
    <x:mergeCell ref="D4:J4"/>
    <x:mergeCell ref="D5:J12"/>
    <x:mergeCell ref="A30:J30"/>
    <x:mergeCell ref="E31:J31"/>
  </x:mergeCells>
  <x:pageMargins left="0.7" right="0.7" top="0.75" bottom="0.75" header="0.3" footer="0.3"/>
  <x:drawing xmlns:r="http://schemas.openxmlformats.org/officeDocument/2006/relationships" r:id="Raaf6ae4aedaa4127"/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20" hidden="0" customWidth="1"/>
    <x:col min="6" max="6" width="18" hidden="0" customWidth="1"/>
    <x:col min="7" max="7" width="3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  <x:col min="12" max="12" width="17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20" hidden="0" customWidth="1"/>
    <x:col min="18" max="18" width="18" hidden="0" customWidth="1"/>
    <x:col min="19" max="19" width="18" hidden="0" customWidth="1"/>
    <x:col min="20" max="20" width="12" hidden="0" customWidth="1"/>
    <x:col min="21" max="21" width="44" hidden="0" customWidth="1"/>
    <x:col min="22" max="22" width="12" hidden="0" customWidth="1"/>
    <x:col min="23" max="23" width="16" hidden="0" customWidth="1"/>
    <x:col min="24" max="24" width="24" hidden="0" customWidth="1"/>
    <x:col min="25" max="25" width="30" hidden="0" customWidth="1"/>
    <x:col min="26" max="26" width="34" hidden="0" customWidth="1"/>
    <x:col min="27" max="27" width="20" hidden="0" customWidth="1"/>
    <x:col min="28" max="28" width="50" hidden="0" customWidth="1"/>
    <x:col min="29" max="29" width="54" hidden="0" customWidth="1"/>
  </x:cols>
  <x:sheetData>
    <x:row r="1" ht="34" customHeight="1">
      <x:c r="A1" s="188" t="str">
        <x:v>Accumuli — capacità, potenza e status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  <x:c r="W1" s="188"/>
      <x:c r="X1" s="188"/>
      <x:c r="Y1" s="188"/>
      <x:c r="Z1" s="188"/>
      <x:c r="AA1" s="188"/>
      <x:c r="AB1" s="188"/>
      <x:c r="AC1" s="188"/>
    </x:row>
    <x:row r="2" ht="30" customHeight="1">
      <x:c r="A2" s="192" t="str">
        <x:v>58 record nazionali, storici, contrattuali e di scenario; pipeline tenuta separata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  <x:c r="W2" s="192"/>
      <x:c r="X2" s="192"/>
      <x:c r="Y2" s="192"/>
      <x:c r="Z2" s="192"/>
      <x:c r="AA2" s="192"/>
      <x:c r="AB2" s="192"/>
      <x:c r="AC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Geografia</x:v>
      </x:c>
      <x:c r="F4" s="196" t="str">
        <x:v>Zona</x:v>
      </x:c>
      <x:c r="G4" s="196" t="str">
        <x:v>Classe storage</x:v>
      </x:c>
      <x:c r="H4" s="196" t="str">
        <x:v>Tecnologia</x:v>
      </x:c>
      <x:c r="I4" s="196" t="str">
        <x:v>Status</x:v>
      </x:c>
      <x:c r="J4" s="196" t="str">
        <x:v>Energia GWh</x:v>
      </x:c>
      <x:c r="K4" s="196" t="str">
        <x:v>Potenza carica GW</x:v>
      </x:c>
      <x:c r="L4" s="196" t="str">
        <x:v>Potenza scarica GW</x:v>
      </x:c>
      <x:c r="M4" s="196" t="str">
        <x:v>Durata min h</x:v>
      </x:c>
      <x:c r="N4" s="196" t="str">
        <x:v>Durata base h</x:v>
      </x:c>
      <x:c r="O4" s="196" t="str">
        <x:v>Durata max h</x:v>
      </x:c>
      <x:c r="P4" s="196" t="str">
        <x:v>Potenza derivata min GW</x:v>
      </x:c>
      <x:c r="Q4" s="196" t="str">
        <x:v>Potenza derivata base GW</x:v>
      </x:c>
      <x:c r="R4" s="196" t="str">
        <x:v>Potenza derivata max GW</x:v>
      </x:c>
      <x:c r="S4" s="196" t="str">
        <x:v>Durata implicita E/P h</x:v>
      </x:c>
      <x:c r="T4" s="196" t="str">
        <x:v>Fonte</x:v>
      </x:c>
      <x:c r="U4" s="196" t="str">
        <x:v>File fonte</x:v>
      </x:c>
      <x:c r="V4" s="196" t="str">
        <x:v>Pagina PDF</x:v>
      </x:c>
      <x:c r="W4" s="196" t="str">
        <x:v>Pagina stampata</x:v>
      </x:c>
      <x:c r="X4" s="196" t="str">
        <x:v>Tabella/Figura</x:v>
      </x:c>
      <x:c r="Y4" s="196" t="str">
        <x:v>Tipo evidenza</x:v>
      </x:c>
      <x:c r="Z4" s="196" t="str">
        <x:v>Metodo</x:v>
      </x:c>
      <x:c r="AA4" s="196" t="str">
        <x:v>Affidabilità</x:v>
      </x:c>
      <x:c r="AB4" s="196" t="str">
        <x:v>Trattamento modello</x:v>
      </x:c>
      <x:c r="AC4" s="196" t="str">
        <x:v>Note</x:v>
      </x:c>
    </x:row>
    <x:row r="5">
      <x:c r="A5" s="83" t="str">
        <x:v>ST-001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Italia</x:v>
      </x:c>
      <x:c r="F5" s="83" t="str"/>
      <x:c r="G5" s="83" t="str">
        <x:v>Electrochemical total</x:v>
      </x:c>
      <x:c r="H5" s="83" t="str">
        <x:v>BESS</x:v>
      </x:c>
      <x:c r="I5" s="83" t="str">
        <x:v>Observed installed</x:v>
      </x:c>
      <x:c r="J5" s="197" t="n">
        <x:v>7.02047</x:v>
      </x:c>
      <x:c r="K5" s="197" t="n">
        <x:v>3.45193</x:v>
      </x:c>
      <x:c r="L5" s="197" t="n">
        <x:v>3.45193</x:v>
      </x:c>
      <x:c r="M5" s="197"/>
      <x:c r="N5" s="197" t="n">
        <x:v>2.033781102166035</x:v>
      </x:c>
      <x:c r="O5" s="197"/>
      <x:c r="P5" s="197" t="str">
        <x:f>IF(AND(J5&lt;&gt;"",O5&lt;&gt;""),J5/O5,"")</x:f>
      </x:c>
      <x:c r="Q5" s="197" t="n">
        <x:f>IF(AND(J5&lt;&gt;"",N5&lt;&gt;""),J5/N5,"")</x:f>
        <x:v>3.4519299999999995</x:v>
      </x:c>
      <x:c r="R5" s="197" t="str">
        <x:f>IF(AND(J5&lt;&gt;"",M5&lt;&gt;""),J5/M5,"")</x:f>
      </x:c>
      <x:c r="S5" s="197" t="n">
        <x:f>IF(AND(J5&lt;&gt;"",L5&lt;&gt;""),J5/L5,"")</x:f>
        <x:v>2.033781102166035</x:v>
      </x:c>
      <x:c r="T5" s="83" t="str">
        <x:v>S01</x:v>
      </x:c>
      <x:c r="U5" s="83" t="str">
        <x:v>Stato del sistema elettrico e scenari energetici 2025</x:v>
      </x:c>
      <x:c r="V5" s="83" t="n">
        <x:v>27</x:v>
      </x:c>
      <x:c r="W5" s="83" t="n">
        <x:v>25</x:v>
      </x:c>
      <x:c r="X5" s="83" t="str">
        <x:v>Narrative + Figures 12-13</x:v>
      </x:c>
      <x:c r="Y5" s="83" t="str">
        <x:v>Dato osservato storico</x:v>
      </x:c>
      <x:c r="Z5" s="83" t="str">
        <x:v>Direct; duration = energy/power</x:v>
      </x:c>
      <x:c r="AA5" s="83" t="str">
        <x:v>A direct / B derived duration</x:v>
      </x:c>
      <x:c r="AB5" s="83" t="str">
        <x:v>Historical calibration only; not a future scenario class.</x:v>
      </x:c>
      <x:c r="AC5" s="83" t="str">
        <x:v>About 524,000 systems.</x:v>
      </x:c>
    </x:row>
    <x:row r="6">
      <x:c r="A6" s="83" t="str">
        <x:v>ST-002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Italia</x:v>
      </x:c>
      <x:c r="F6" s="83" t="str"/>
      <x:c r="G6" s="83" t="str">
        <x:v>Electrochemical integrated with FER</x:v>
      </x:c>
      <x:c r="H6" s="83" t="str">
        <x:v>BESS</x:v>
      </x:c>
      <x:c r="I6" s="83" t="str">
        <x:v>Observed installed</x:v>
      </x:c>
      <x:c r="J6" s="197" t="n">
        <x:v>6.47535</x:v>
      </x:c>
      <x:c r="K6" s="197" t="n">
        <x:v>3.19489</x:v>
      </x:c>
      <x:c r="L6" s="197" t="n">
        <x:v>3.19489</x:v>
      </x:c>
      <x:c r="M6" s="197"/>
      <x:c r="N6" s="197" t="n">
        <x:v>2.026783394733465</x:v>
      </x:c>
      <x:c r="O6" s="197"/>
      <x:c r="P6" s="197" t="str">
        <x:f>IF(AND(J6&lt;&gt;"",O6&lt;&gt;""),J6/O6,"")</x:f>
      </x:c>
      <x:c r="Q6" s="197" t="n">
        <x:f>IF(AND(J6&lt;&gt;"",N6&lt;&gt;""),J6/N6,"")</x:f>
        <x:v>3.19489</x:v>
      </x:c>
      <x:c r="R6" s="197" t="str">
        <x:f>IF(AND(J6&lt;&gt;"",M6&lt;&gt;""),J6/M6,"")</x:f>
      </x:c>
      <x:c r="S6" s="197" t="n">
        <x:f>IF(AND(J6&lt;&gt;"",L6&lt;&gt;""),J6/L6,"")</x:f>
        <x:v>2.026783394733465</x:v>
      </x:c>
      <x:c r="T6" s="83" t="str">
        <x:v>S01</x:v>
      </x:c>
      <x:c r="U6" s="83" t="str">
        <x:v>Stato del sistema elettrico e scenari energetici 2025</x:v>
      </x:c>
      <x:c r="V6" s="83" t="n">
        <x:v>28</x:v>
      </x:c>
      <x:c r="W6" s="83" t="n">
        <x:v>26</x:v>
      </x:c>
      <x:c r="X6" s="83" t="str">
        <x:v>Figures 12-13</x:v>
      </x:c>
      <x:c r="Y6" s="83" t="str">
        <x:v>Dato osservato storico</x:v>
      </x:c>
      <x:c r="Z6" s="83" t="str">
        <x:v>Direct; duration derived</x:v>
      </x:c>
      <x:c r="AA6" s="83" t="str">
        <x:v>A direct / B derived duration</x:v>
      </x:c>
      <x:c r="AB6" s="83" t="str">
        <x:v>Historical context.</x:v>
      </x:c>
      <x:c r="AC6" s="83" t="str">
        <x:v>92.22% of energy and 92.54% of power.</x:v>
      </x:c>
    </x:row>
    <x:row r="7">
      <x:c r="A7" s="83" t="str">
        <x:v>ST-003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Italia</x:v>
      </x:c>
      <x:c r="F7" s="83" t="str"/>
      <x:c r="G7" s="83" t="str">
        <x:v>Electrochemical not integrated with FER</x:v>
      </x:c>
      <x:c r="H7" s="83" t="str">
        <x:v>BESS</x:v>
      </x:c>
      <x:c r="I7" s="83" t="str">
        <x:v>Observed installed</x:v>
      </x:c>
      <x:c r="J7" s="197" t="n">
        <x:v>0.54512</x:v>
      </x:c>
      <x:c r="K7" s="197" t="n">
        <x:v>0.25704</x:v>
      </x:c>
      <x:c r="L7" s="197" t="n">
        <x:v>0.25704</x:v>
      </x:c>
      <x:c r="M7" s="197"/>
      <x:c r="N7" s="197" t="n">
        <x:v>2.120759414877062</x:v>
      </x:c>
      <x:c r="O7" s="197"/>
      <x:c r="P7" s="197" t="str">
        <x:f>IF(AND(J7&lt;&gt;"",O7&lt;&gt;""),J7/O7,"")</x:f>
      </x:c>
      <x:c r="Q7" s="197" t="n">
        <x:f>IF(AND(J7&lt;&gt;"",N7&lt;&gt;""),J7/N7,"")</x:f>
        <x:v>0.25704</x:v>
      </x:c>
      <x:c r="R7" s="197" t="str">
        <x:f>IF(AND(J7&lt;&gt;"",M7&lt;&gt;""),J7/M7,"")</x:f>
      </x:c>
      <x:c r="S7" s="197" t="n">
        <x:f>IF(AND(J7&lt;&gt;"",L7&lt;&gt;""),J7/L7,"")</x:f>
        <x:v>2.120759414877062</x:v>
      </x:c>
      <x:c r="T7" s="83" t="str">
        <x:v>S01</x:v>
      </x:c>
      <x:c r="U7" s="83" t="str">
        <x:v>Stato del sistema elettrico e scenari energetici 2025</x:v>
      </x:c>
      <x:c r="V7" s="83" t="n">
        <x:v>28</x:v>
      </x:c>
      <x:c r="W7" s="83" t="n">
        <x:v>26</x:v>
      </x:c>
      <x:c r="X7" s="83" t="str">
        <x:v>Figures 12-13</x:v>
      </x:c>
      <x:c r="Y7" s="83" t="str">
        <x:v>Dato osservato storico</x:v>
      </x:c>
      <x:c r="Z7" s="83" t="str">
        <x:v>Direct; duration derived</x:v>
      </x:c>
      <x:c r="AA7" s="83" t="str">
        <x:v>A direct / B derived duration</x:v>
      </x:c>
      <x:c r="AB7" s="83" t="str">
        <x:v>Historical context.</x:v>
      </x:c>
      <x:c r="AC7" s="83" t="str">
        <x:v>7.78% of energy and 7.46% of power.</x:v>
      </x:c>
    </x:row>
    <x:row r="8">
      <x:c r="A8" s="83" t="str">
        <x:v>ST-004</x:v>
      </x:c>
      <x:c r="B8" s="83" t="str"/>
      <x:c r="C8" s="83" t="n">
        <x:v>2024</x:v>
      </x:c>
      <x:c r="D8" s="83" t="str">
        <x:v>Storico 2024</x:v>
      </x:c>
      <x:c r="E8" s="83" t="str">
        <x:v>Italia</x:v>
      </x:c>
      <x:c r="F8" s="83" t="str"/>
      <x:c r="G8" s="83" t="str">
        <x:v>Electrochemical total</x:v>
      </x:c>
      <x:c r="H8" s="83" t="str">
        <x:v>BESS</x:v>
      </x:c>
      <x:c r="I8" s="83" t="str">
        <x:v>Observed installed</x:v>
      </x:c>
      <x:c r="J8" s="197" t="n">
        <x:v>12.94</x:v>
      </x:c>
      <x:c r="K8" s="197" t="n">
        <x:v>5.56541</x:v>
      </x:c>
      <x:c r="L8" s="197" t="n">
        <x:v>5.56541</x:v>
      </x:c>
      <x:c r="M8" s="197"/>
      <x:c r="N8" s="197" t="n">
        <x:v>2.3250757805804065</x:v>
      </x:c>
      <x:c r="O8" s="197"/>
      <x:c r="P8" s="197" t="str">
        <x:f>IF(AND(J8&lt;&gt;"",O8&lt;&gt;""),J8/O8,"")</x:f>
      </x:c>
      <x:c r="Q8" s="197" t="n">
        <x:f>IF(AND(J8&lt;&gt;"",N8&lt;&gt;""),J8/N8,"")</x:f>
        <x:v>5.56541</x:v>
      </x:c>
      <x:c r="R8" s="197" t="str">
        <x:f>IF(AND(J8&lt;&gt;"",M8&lt;&gt;""),J8/M8,"")</x:f>
      </x:c>
      <x:c r="S8" s="197" t="n">
        <x:f>IF(AND(J8&lt;&gt;"",L8&lt;&gt;""),J8/L8,"")</x:f>
        <x:v>2.3250757805804065</x:v>
      </x:c>
      <x:c r="T8" s="83" t="str">
        <x:v>S01</x:v>
      </x:c>
      <x:c r="U8" s="83" t="str">
        <x:v>Stato del sistema elettrico e scenari energetici 2025</x:v>
      </x:c>
      <x:c r="V8" s="83" t="n">
        <x:v>27</x:v>
      </x:c>
      <x:c r="W8" s="83" t="n">
        <x:v>25</x:v>
      </x:c>
      <x:c r="X8" s="83" t="str">
        <x:v>Narrative + Figure 14</x:v>
      </x:c>
      <x:c r="Y8" s="83" t="str">
        <x:v>Dato osservato storico</x:v>
      </x:c>
      <x:c r="Z8" s="83" t="str">
        <x:v>Direct; duration derived</x:v>
      </x:c>
      <x:c r="AA8" s="83" t="str">
        <x:v>A direct / B derived duration</x:v>
      </x:c>
      <x:c r="AB8" s="83" t="str">
        <x:v>Historical calibration.</x:v>
      </x:c>
      <x:c r="AC8" s="83" t="str">
        <x:v>About 733,000 systems; power increased by 2.11 GW in 2024.</x:v>
      </x:c>
    </x:row>
    <x:row r="9">
      <x:c r="A9" s="83" t="str">
        <x:v>ST-005</x:v>
      </x:c>
      <x:c r="B9" s="83" t="str"/>
      <x:c r="C9" s="83" t="n">
        <x:v>2024</x:v>
      </x:c>
      <x:c r="D9" s="83" t="str">
        <x:v>Storico 2024</x:v>
      </x:c>
      <x:c r="E9" s="83" t="str">
        <x:v>Italia</x:v>
      </x:c>
      <x:c r="F9" s="83" t="str"/>
      <x:c r="G9" s="83" t="str">
        <x:v>Electrochemical integrated with FER</x:v>
      </x:c>
      <x:c r="H9" s="83" t="str">
        <x:v>BESS</x:v>
      </x:c>
      <x:c r="I9" s="83" t="str">
        <x:v>Observed installed</x:v>
      </x:c>
      <x:c r="J9" s="197"/>
      <x:c r="K9" s="197" t="n">
        <x:v>4.46565</x:v>
      </x:c>
      <x:c r="L9" s="197" t="n">
        <x:v>4.46565</x:v>
      </x:c>
      <x:c r="M9" s="197"/>
      <x:c r="N9" s="197"/>
      <x:c r="O9" s="197"/>
      <x:c r="P9" s="197" t="str">
        <x:f>IF(AND(J9&lt;&gt;"",O9&lt;&gt;""),J9/O9,"")</x:f>
      </x:c>
      <x:c r="Q9" s="197" t="str">
        <x:f>IF(AND(J9&lt;&gt;"",N9&lt;&gt;""),J9/N9,"")</x:f>
      </x:c>
      <x:c r="R9" s="197" t="str">
        <x:f>IF(AND(J9&lt;&gt;"",M9&lt;&gt;""),J9/M9,"")</x:f>
      </x:c>
      <x:c r="S9" s="197" t="str">
        <x:f>IF(AND(J9&lt;&gt;"",L9&lt;&gt;""),J9/L9,"")</x:f>
      </x:c>
      <x:c r="T9" s="83" t="str">
        <x:v>S01</x:v>
      </x:c>
      <x:c r="U9" s="83" t="str">
        <x:v>Stato del sistema elettrico e scenari energetici 2025</x:v>
      </x:c>
      <x:c r="V9" s="83" t="n">
        <x:v>28</x:v>
      </x:c>
      <x:c r="W9" s="83" t="n">
        <x:v>26</x:v>
      </x:c>
      <x:c r="X9" s="83" t="str">
        <x:v>Figure 14</x:v>
      </x:c>
      <x:c r="Y9" s="83" t="str">
        <x:v>Dato osservato storico</x:v>
      </x:c>
      <x:c r="Z9" s="83" t="str">
        <x:v>Direct</x:v>
      </x:c>
      <x:c r="AA9" s="83" t="str">
        <x:v>A — Direct</x:v>
      </x:c>
      <x:c r="AB9" s="83" t="str">
        <x:v>Historical context; energy split not provided.</x:v>
      </x:c>
      <x:c r="AC9" s="83" t="str">
        <x:v>82.73% of total power.</x:v>
      </x:c>
    </x:row>
    <x:row r="10">
      <x:c r="A10" s="83" t="str">
        <x:v>ST-006</x:v>
      </x:c>
      <x:c r="B10" s="83" t="str"/>
      <x:c r="C10" s="83" t="n">
        <x:v>2024</x:v>
      </x:c>
      <x:c r="D10" s="83" t="str">
        <x:v>Storico 2024</x:v>
      </x:c>
      <x:c r="E10" s="83" t="str">
        <x:v>Italia</x:v>
      </x:c>
      <x:c r="F10" s="83" t="str"/>
      <x:c r="G10" s="83" t="str">
        <x:v>Electrochemical not integrated with FER</x:v>
      </x:c>
      <x:c r="H10" s="83" t="str">
        <x:v>BESS</x:v>
      </x:c>
      <x:c r="I10" s="83" t="str">
        <x:v>Observed installed</x:v>
      </x:c>
      <x:c r="J10" s="197"/>
      <x:c r="K10" s="197" t="n">
        <x:v>1.09976</x:v>
      </x:c>
      <x:c r="L10" s="197" t="n">
        <x:v>1.09976</x:v>
      </x:c>
      <x:c r="M10" s="197"/>
      <x:c r="N10" s="197"/>
      <x:c r="O10" s="197"/>
      <x:c r="P10" s="197" t="str">
        <x:f>IF(AND(J10&lt;&gt;"",O10&lt;&gt;""),J10/O10,"")</x:f>
      </x:c>
      <x:c r="Q10" s="197" t="str">
        <x:f>IF(AND(J10&lt;&gt;"",N10&lt;&gt;""),J10/N10,"")</x:f>
      </x:c>
      <x:c r="R10" s="197" t="str">
        <x:f>IF(AND(J10&lt;&gt;"",M10&lt;&gt;""),J10/M10,"")</x:f>
      </x:c>
      <x:c r="S10" s="197" t="str">
        <x:f>IF(AND(J10&lt;&gt;"",L10&lt;&gt;""),J10/L10,"")</x:f>
      </x:c>
      <x:c r="T10" s="83" t="str">
        <x:v>S01</x:v>
      </x:c>
      <x:c r="U10" s="83" t="str">
        <x:v>Stato del sistema elettrico e scenari energetici 2025</x:v>
      </x:c>
      <x:c r="V10" s="83" t="n">
        <x:v>28</x:v>
      </x:c>
      <x:c r="W10" s="83" t="n">
        <x:v>26</x:v>
      </x:c>
      <x:c r="X10" s="83" t="str">
        <x:v>Figure 14</x:v>
      </x:c>
      <x:c r="Y10" s="83" t="str">
        <x:v>Dato osservato storico</x:v>
      </x:c>
      <x:c r="Z10" s="83" t="str">
        <x:v>Direct</x:v>
      </x:c>
      <x:c r="AA10" s="83" t="str">
        <x:v>A — Direct</x:v>
      </x:c>
      <x:c r="AB10" s="83" t="str">
        <x:v>Historical context; energy split not provided.</x:v>
      </x:c>
      <x:c r="AC10" s="83" t="str">
        <x:v>17.27% of total power.</x:v>
      </x:c>
    </x:row>
    <x:row r="11">
      <x:c r="A11" s="83" t="str">
        <x:v>ST-007</x:v>
      </x:c>
      <x:c r="B11" s="83" t="str"/>
      <x:c r="C11" s="83" t="n">
        <x:v>2025</x:v>
      </x:c>
      <x:c r="D11" s="83" t="str">
        <x:v>Giugno 2025</x:v>
      </x:c>
      <x:c r="E11" s="83" t="str">
        <x:v>Italia</x:v>
      </x:c>
      <x:c r="F11" s="83" t="str"/>
      <x:c r="G11" s="83" t="str">
        <x:v>Electrochemical total</x:v>
      </x:c>
      <x:c r="H11" s="83" t="str">
        <x:v>BESS</x:v>
      </x:c>
      <x:c r="I11" s="83" t="str">
        <x:v>Observed installed</x:v>
      </x:c>
      <x:c r="J11" s="197" t="n">
        <x:v>16.4</x:v>
      </x:c>
      <x:c r="K11" s="197" t="n">
        <x:v>6.8</x:v>
      </x:c>
      <x:c r="L11" s="197" t="n">
        <x:v>6.8</x:v>
      </x:c>
      <x:c r="M11" s="197"/>
      <x:c r="N11" s="197" t="n">
        <x:v>2.411764705882353</x:v>
      </x:c>
      <x:c r="O11" s="197"/>
      <x:c r="P11" s="197" t="str">
        <x:f>IF(AND(J11&lt;&gt;"",O11&lt;&gt;""),J11/O11,"")</x:f>
      </x:c>
      <x:c r="Q11" s="197" t="n">
        <x:f>IF(AND(J11&lt;&gt;"",N11&lt;&gt;""),J11/N11,"")</x:f>
        <x:v>6.8</x:v>
      </x:c>
      <x:c r="R11" s="197" t="str">
        <x:f>IF(AND(J11&lt;&gt;"",M11&lt;&gt;""),J11/M11,"")</x:f>
      </x:c>
      <x:c r="S11" s="197" t="n">
        <x:f>IF(AND(J11&lt;&gt;"",L11&lt;&gt;""),J11/L11,"")</x:f>
        <x:v>2.411764705882353</x:v>
      </x:c>
      <x:c r="T11" s="83" t="str">
        <x:v>S07</x:v>
      </x:c>
      <x:c r="U11" s="83" t="str">
        <x:v>Prospettive di Sviluppo del Sistema Energetico 2050</x:v>
      </x:c>
      <x:c r="V11" s="83" t="n">
        <x:v>14</x:v>
      </x:c>
      <x:c r="W11" s="83" t="n">
        <x:v>12</x:v>
      </x:c>
      <x:c r="X11" s="83" t="str">
        <x:v>Narrative</x:v>
      </x:c>
      <x:c r="Y11" s="83" t="str">
        <x:v>Dato osservato storico</x:v>
      </x:c>
      <x:c r="Z11" s="83" t="str">
        <x:v>Direct; duration derived</x:v>
      </x:c>
      <x:c r="AA11" s="83" t="str">
        <x:v>A direct / B derived duration</x:v>
      </x:c>
      <x:c r="AB11" s="83" t="str">
        <x:v>Latest corpus baseline.</x:v>
      </x:c>
      <x:c r="AC11" s="83" t="str">
        <x:v>4.8 GW refers to systems below 20 kW; most large projects entered in 2024-2025 following Capacity Market awards.</x:v>
      </x:c>
    </x:row>
    <x:row r="12">
      <x:c r="A12" s="83" t="str">
        <x:v>ST-008</x:v>
      </x:c>
      <x:c r="B12" s="83" t="str"/>
      <x:c r="C12" s="83" t="n">
        <x:v>2025</x:v>
      </x:c>
      <x:c r="D12" s="83" t="str">
        <x:v>Giugno 2025</x:v>
      </x:c>
      <x:c r="E12" s="83" t="str">
        <x:v>Italia</x:v>
      </x:c>
      <x:c r="F12" s="83" t="str"/>
      <x:c r="G12" s="83" t="str">
        <x:v>Electrochemical below 20 kW</x:v>
      </x:c>
      <x:c r="H12" s="83" t="str">
        <x:v>Distributed BESS</x:v>
      </x:c>
      <x:c r="I12" s="83" t="str">
        <x:v>Observed installed</x:v>
      </x:c>
      <x:c r="J12" s="197"/>
      <x:c r="K12" s="197" t="n">
        <x:v>4.8</x:v>
      </x:c>
      <x:c r="L12" s="197" t="n">
        <x:v>4.8</x:v>
      </x:c>
      <x:c r="M12" s="197"/>
      <x:c r="N12" s="197"/>
      <x:c r="O12" s="197"/>
      <x:c r="P12" s="197" t="str">
        <x:f>IF(AND(J12&lt;&gt;"",O12&lt;&gt;""),J12/O12,"")</x:f>
      </x:c>
      <x:c r="Q12" s="197" t="str">
        <x:f>IF(AND(J12&lt;&gt;"",N12&lt;&gt;""),J12/N12,"")</x:f>
      </x:c>
      <x:c r="R12" s="197" t="str">
        <x:f>IF(AND(J12&lt;&gt;"",M12&lt;&gt;""),J12/M12,"")</x:f>
      </x:c>
      <x:c r="S12" s="197" t="str">
        <x:f>IF(AND(J12&lt;&gt;"",L12&lt;&gt;""),J12/L12,"")</x:f>
      </x:c>
      <x:c r="T12" s="83" t="str">
        <x:v>S07</x:v>
      </x:c>
      <x:c r="U12" s="83" t="str">
        <x:v>Prospettive di Sviluppo del Sistema Energetico 2050</x:v>
      </x:c>
      <x:c r="V12" s="83" t="n">
        <x:v>14</x:v>
      </x:c>
      <x:c r="W12" s="83" t="n">
        <x:v>12</x:v>
      </x:c>
      <x:c r="X12" s="83" t="str">
        <x:v>Narrative</x:v>
      </x:c>
      <x:c r="Y12" s="83" t="str">
        <x:v>Dato osservato storico</x:v>
      </x:c>
      <x:c r="Z12" s="83" t="str">
        <x:v>Direct</x:v>
      </x:c>
      <x:c r="AA12" s="83" t="str">
        <x:v>A — Direct</x:v>
      </x:c>
      <x:c r="AB12" s="83" t="str">
        <x:v>Context for distributed class; energy not reported.</x:v>
      </x:c>
      <x:c r="AC12" s="83" t="str">
        <x:v>Power only.</x:v>
      </x:c>
    </x:row>
    <x:row r="13">
      <x:c r="A13" s="83" t="str">
        <x:v>ST-009</x:v>
      </x:c>
      <x:c r="B13" s="83" t="str">
        <x:v>HIST_2023</x:v>
      </x:c>
      <x:c r="C13" s="83" t="n">
        <x:v>2023</x:v>
      </x:c>
      <x:c r="D13" s="83" t="str">
        <x:v>Storico 2023</x:v>
      </x:c>
      <x:c r="E13" s="83" t="str">
        <x:v>Italia</x:v>
      </x:c>
      <x:c r="F13" s="83" t="str"/>
      <x:c r="G13" s="83" t="str">
        <x:v>Small Scale</x:v>
      </x:c>
      <x:c r="H13" s="83" t="str">
        <x:v>BESS / generic storage</x:v>
      </x:c>
      <x:c r="I13" s="83" t="str">
        <x:v>Observed in DDS</x:v>
      </x:c>
      <x:c r="J13" s="197" t="n">
        <x:v>6.6</x:v>
      </x:c>
      <x:c r="K13" s="197"/>
      <x:c r="L13" s="197"/>
      <x:c r="M13" s="197" t="n">
        <x:v>2</x:v>
      </x:c>
      <x:c r="N13" s="197"/>
      <x:c r="O13" s="197" t="n">
        <x:v>4</x:v>
      </x:c>
      <x:c r="P13" s="197" t="n">
        <x:f>IF(AND(J13&lt;&gt;"",O13&lt;&gt;""),J13/O13,"")</x:f>
        <x:v>1.65</x:v>
      </x:c>
      <x:c r="Q13" s="197" t="str">
        <x:f>IF(AND(J13&lt;&gt;"",N13&lt;&gt;""),J13/N13,"")</x:f>
      </x:c>
      <x:c r="R13" s="197" t="n">
        <x:f>IF(AND(J13&lt;&gt;"",M13&lt;&gt;""),J13/M13,"")</x:f>
        <x:v>3.3</x:v>
      </x:c>
      <x:c r="S13" s="197" t="str">
        <x:f>IF(AND(J13&lt;&gt;"",L13&lt;&gt;""),J13/L13,"")</x:f>
      </x:c>
      <x:c r="T13" s="83" t="str">
        <x:v>S09</x:v>
      </x:c>
      <x:c r="U13" s="83" t="str">
        <x:v>Documento di Descrizione degli Scenari 2024</x:v>
      </x:c>
      <x:c r="V13" s="83" t="n">
        <x:v>63</x:v>
      </x:c>
      <x:c r="W13" s="83" t="str">
        <x:v>60-61</x:v>
      </x:c>
      <x:c r="X13" s="83" t="str">
        <x:v>Table 16</x:v>
      </x:c>
      <x:c r="Y13" s="83" t="str">
        <x:v>Dato osservato DDS</x:v>
      </x:c>
      <x:c r="Z13" s="83" t="str">
        <x:v>Direct table extraction</x:v>
      </x:c>
      <x:c r="AA13" s="83" t="str">
        <x:v>A — Direct</x:v>
      </x:c>
      <x:c r="AB13" s="83" t="str">
        <x:v>Prefer two 2h/4h classes if shares become available; otherwise retain power interval.</x:v>
      </x:c>
      <x:c r="AC13" s="83" t="str">
        <x:v>Excludes existing pumped hydro.</x:v>
      </x:c>
    </x:row>
    <x:row r="14">
      <x:c r="A14" s="83" t="str">
        <x:v>ST-010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Italia</x:v>
      </x:c>
      <x:c r="F14" s="83" t="str"/>
      <x:c r="G14" s="83" t="str">
        <x:v>Utility Scale</x:v>
      </x:c>
      <x:c r="H14" s="83" t="str">
        <x:v>BESS / generic storage</x:v>
      </x:c>
      <x:c r="I14" s="83" t="str">
        <x:v>Observed in DDS</x:v>
      </x:c>
      <x:c r="J14" s="197" t="n">
        <x:v>0</x:v>
      </x:c>
      <x:c r="K14" s="197"/>
      <x:c r="L14" s="197"/>
      <x:c r="M14" s="197" t="n">
        <x:v>8</x:v>
      </x:c>
      <x:c r="N14" s="197" t="n">
        <x:v>8</x:v>
      </x:c>
      <x:c r="O14" s="197" t="n">
        <x:v>8</x:v>
      </x:c>
      <x:c r="P14" s="197" t="str">
        <x:f>IF(AND(J14&lt;&gt;"",O14&lt;&gt;""),J14/O14,"")</x:f>
      </x:c>
      <x:c r="Q14" s="197" t="str">
        <x:f>IF(AND(J14&lt;&gt;"",N14&lt;&gt;""),J14/N14,"")</x:f>
      </x:c>
      <x:c r="R14" s="197" t="str">
        <x:f>IF(AND(J14&lt;&gt;"",M14&lt;&gt;""),J14/M14,"")</x:f>
      </x:c>
      <x:c r="S14" s="197" t="str">
        <x:f>IF(AND(J14&lt;&gt;"",L14&lt;&gt;""),J14/L14,"")</x:f>
      </x:c>
      <x:c r="T14" s="83" t="str">
        <x:v>S09</x:v>
      </x:c>
      <x:c r="U14" s="83" t="str">
        <x:v>Documento di Descrizione degli Scenari 2024</x:v>
      </x:c>
      <x:c r="V14" s="83" t="n">
        <x:v>63</x:v>
      </x:c>
      <x:c r="W14" s="83" t="str">
        <x:v>60-61</x:v>
      </x:c>
      <x:c r="X14" s="83" t="str">
        <x:v>Table 16</x:v>
      </x:c>
      <x:c r="Y14" s="83" t="str">
        <x:v>Dato osservato DDS</x:v>
      </x:c>
      <x:c r="Z14" s="83" t="str">
        <x:v>Direct table extraction</x:v>
      </x:c>
      <x:c r="AA14" s="83" t="str">
        <x:v>A — Direct</x:v>
      </x:c>
      <x:c r="AB14" s="83" t="str">
        <x:v>Store+Links; e_nom direct, p_nom = e_nom/8.</x:v>
      </x:c>
      <x:c r="AC14" s="83" t="str">
        <x:v>Excludes existing pumped hydro.</x:v>
      </x:c>
    </x:row>
    <x:row r="15">
      <x:c r="A15" s="83" t="str">
        <x:v>ST-011</x:v>
      </x:c>
      <x:c r="B15" s="83" t="str">
        <x:v>HIST_2023</x:v>
      </x:c>
      <x:c r="C15" s="83" t="n">
        <x:v>2023</x:v>
      </x:c>
      <x:c r="D15" s="83" t="str">
        <x:v>Storico 2023</x:v>
      </x:c>
      <x:c r="E15" s="83" t="str">
        <x:v>Italia</x:v>
      </x:c>
      <x:c r="F15" s="83" t="str"/>
      <x:c r="G15" s="83" t="str">
        <x:v>CM</x:v>
      </x:c>
      <x:c r="H15" s="83" t="str">
        <x:v>Capacity Market storage</x:v>
      </x:c>
      <x:c r="I15" s="83" t="str">
        <x:v>Observed in DDS</x:v>
      </x:c>
      <x:c r="J15" s="197" t="n">
        <x:v>0</x:v>
      </x:c>
      <x:c r="K15" s="197"/>
      <x:c r="L15" s="197"/>
      <x:c r="M15" s="197"/>
      <x:c r="N15" s="197"/>
      <x:c r="O15" s="197"/>
      <x:c r="P15" s="197" t="str">
        <x:f>IF(AND(J15&lt;&gt;"",O15&lt;&gt;""),J15/O15,"")</x:f>
      </x:c>
      <x:c r="Q15" s="197" t="str">
        <x:f>IF(AND(J15&lt;&gt;"",N15&lt;&gt;""),J15/N15,"")</x:f>
      </x:c>
      <x:c r="R15" s="197" t="str">
        <x:f>IF(AND(J15&lt;&gt;"",M15&lt;&gt;""),J15/M15,"")</x:f>
      </x:c>
      <x:c r="S15" s="197" t="str">
        <x:f>IF(AND(J15&lt;&gt;"",L15&lt;&gt;""),J15/L15,"")</x:f>
      </x:c>
      <x:c r="T15" s="83" t="str">
        <x:v>S09</x:v>
      </x:c>
      <x:c r="U15" s="83" t="str">
        <x:v>Documento di Descrizione degli Scenari 2024</x:v>
      </x:c>
      <x:c r="V15" s="83" t="n">
        <x:v>63</x:v>
      </x:c>
      <x:c r="W15" s="83" t="str">
        <x:v>60-61</x:v>
      </x:c>
      <x:c r="X15" s="83" t="str">
        <x:v>Table 16</x:v>
      </x:c>
      <x:c r="Y15" s="83" t="str">
        <x:v>Dato osservato DDS</x:v>
      </x:c>
      <x:c r="Z15" s="83" t="str">
        <x:v>Direct table extraction</x:v>
      </x:c>
      <x:c r="AA15" s="83" t="str">
        <x:v>A — Direct</x:v>
      </x:c>
      <x:c r="AB15" s="83" t="str">
        <x:v>Energy direct; power unresolved until asset/auction duration data are acquired.</x:v>
      </x:c>
      <x:c r="AC15" s="83" t="str">
        <x:v>Excludes existing pumped hydro.</x:v>
      </x:c>
    </x:row>
    <x:row r="16">
      <x:c r="A16" s="83" t="str">
        <x:v>ST-012</x:v>
      </x:c>
      <x:c r="B16" s="83" t="str">
        <x:v>HIST_2023</x:v>
      </x:c>
      <x:c r="C16" s="83" t="n">
        <x:v>2023</x:v>
      </x:c>
      <x:c r="D16" s="83" t="str">
        <x:v>Storico 2023</x:v>
      </x:c>
      <x:c r="E16" s="83" t="str">
        <x:v>Italia</x:v>
      </x:c>
      <x:c r="F16" s="83" t="str"/>
      <x:c r="G16" s="83" t="str">
        <x:v>Totale</x:v>
      </x:c>
      <x:c r="H16" s="83" t="str">
        <x:v>BESS / generic storage</x:v>
      </x:c>
      <x:c r="I16" s="83" t="str">
        <x:v>Observed in DDS</x:v>
      </x:c>
      <x:c r="J16" s="197" t="n">
        <x:v>6.6</x:v>
      </x:c>
      <x:c r="K16" s="197"/>
      <x:c r="L16" s="197"/>
      <x:c r="M16" s="197"/>
      <x:c r="N16" s="197"/>
      <x:c r="O16" s="197"/>
      <x:c r="P16" s="197" t="str">
        <x:f>IF(AND(J16&lt;&gt;"",O16&lt;&gt;""),J16/O16,"")</x:f>
      </x:c>
      <x:c r="Q16" s="197" t="str">
        <x:f>IF(AND(J16&lt;&gt;"",N16&lt;&gt;""),J16/N16,"")</x:f>
      </x:c>
      <x:c r="R16" s="197" t="str">
        <x:f>IF(AND(J16&lt;&gt;"",M16&lt;&gt;""),J16/M16,"")</x:f>
      </x:c>
      <x:c r="S16" s="197" t="str">
        <x:f>IF(AND(J16&lt;&gt;"",L16&lt;&gt;""),J16/L16,"")</x:f>
      </x:c>
      <x:c r="T16" s="83" t="str">
        <x:v>S09</x:v>
      </x:c>
      <x:c r="U16" s="83" t="str">
        <x:v>Documento di Descrizione degli Scenari 2024</x:v>
      </x:c>
      <x:c r="V16" s="83" t="n">
        <x:v>63</x:v>
      </x:c>
      <x:c r="W16" s="83" t="str">
        <x:v>60-61</x:v>
      </x:c>
      <x:c r="X16" s="83" t="str">
        <x:v>Table 16</x:v>
      </x:c>
      <x:c r="Y16" s="83" t="str">
        <x:v>Dato osservato DDS</x:v>
      </x:c>
      <x:c r="Z16" s="83" t="str">
        <x:v>Direct table extraction</x:v>
      </x:c>
      <x:c r="AA16" s="83" t="str">
        <x:v>A — Direct</x:v>
      </x:c>
      <x:c r="AB16" s="83" t="str">
        <x:v>QA total only, not a standalone PyPSA component.</x:v>
      </x:c>
      <x:c r="AC16" s="83" t="str">
        <x:v>Excludes existing pumped hydro.</x:v>
      </x:c>
    </x:row>
    <x:row r="17">
      <x:c r="A17" s="83" t="str">
        <x:v>ST-013</x:v>
      </x:c>
      <x:c r="B17" s="83" t="str">
        <x:v>PNIEC_POLICY_2030</x:v>
      </x:c>
      <x:c r="C17" s="83" t="n">
        <x:v>2030</x:v>
      </x:c>
      <x:c r="D17" s="83" t="str">
        <x:v>PNIEC Policy 2030</x:v>
      </x:c>
      <x:c r="E17" s="83" t="str">
        <x:v>Italia</x:v>
      </x:c>
      <x:c r="F17" s="83" t="str"/>
      <x:c r="G17" s="83" t="str">
        <x:v>Small Scale</x:v>
      </x:c>
      <x:c r="H17" s="83" t="str">
        <x:v>BESS / generic storage</x:v>
      </x:c>
      <x:c r="I17" s="83" t="str">
        <x:v>Scenario configuration</x:v>
      </x:c>
      <x:c r="J17" s="197" t="n">
        <x:v>14</x:v>
      </x:c>
      <x:c r="K17" s="197"/>
      <x:c r="L17" s="197"/>
      <x:c r="M17" s="197" t="n">
        <x:v>2</x:v>
      </x:c>
      <x:c r="N17" s="197"/>
      <x:c r="O17" s="197" t="n">
        <x:v>4</x:v>
      </x:c>
      <x:c r="P17" s="197" t="n">
        <x:f>IF(AND(J17&lt;&gt;"",O17&lt;&gt;""),J17/O17,"")</x:f>
        <x:v>3.5</x:v>
      </x:c>
      <x:c r="Q17" s="197" t="str">
        <x:f>IF(AND(J17&lt;&gt;"",N17&lt;&gt;""),J17/N17,"")</x:f>
      </x:c>
      <x:c r="R17" s="197" t="n">
        <x:f>IF(AND(J17&lt;&gt;"",M17&lt;&gt;""),J17/M17,"")</x:f>
        <x:v>7</x:v>
      </x:c>
      <x:c r="S17" s="197" t="str">
        <x:f>IF(AND(J17&lt;&gt;"",L17&lt;&gt;""),J17/L17,"")</x:f>
      </x:c>
      <x:c r="T17" s="83" t="str">
        <x:v>S09</x:v>
      </x:c>
      <x:c r="U17" s="83" t="str">
        <x:v>Documento di Descrizione degli Scenari 2024</x:v>
      </x:c>
      <x:c r="V17" s="83" t="n">
        <x:v>63</x:v>
      </x:c>
      <x:c r="W17" s="83" t="str">
        <x:v>60-61</x:v>
      </x:c>
      <x:c r="X17" s="83" t="str">
        <x:v>Table 16</x:v>
      </x:c>
      <x:c r="Y17" s="83" t="str">
        <x:v>Assunzione di scenario</x:v>
      </x:c>
      <x:c r="Z17" s="83" t="str">
        <x:v>Direct table extraction</x:v>
      </x:c>
      <x:c r="AA17" s="83" t="str">
        <x:v>A — Direct</x:v>
      </x:c>
      <x:c r="AB17" s="83" t="str">
        <x:v>Prefer two 2h/4h classes if shares become available; otherwise retain power interval.</x:v>
      </x:c>
      <x:c r="AC17" s="83" t="str">
        <x:v>Excludes existing pumped hydro.</x:v>
      </x:c>
    </x:row>
    <x:row r="18">
      <x:c r="A18" s="83" t="str">
        <x:v>ST-014</x:v>
      </x:c>
      <x:c r="B18" s="83" t="str">
        <x:v>PNIEC_POLICY_2030</x:v>
      </x:c>
      <x:c r="C18" s="83" t="n">
        <x:v>2030</x:v>
      </x:c>
      <x:c r="D18" s="83" t="str">
        <x:v>PNIEC Policy 2030</x:v>
      </x:c>
      <x:c r="E18" s="83" t="str">
        <x:v>Italia</x:v>
      </x:c>
      <x:c r="F18" s="83" t="str"/>
      <x:c r="G18" s="83" t="str">
        <x:v>Utility Scale</x:v>
      </x:c>
      <x:c r="H18" s="83" t="str">
        <x:v>BESS / generic storage</x:v>
      </x:c>
      <x:c r="I18" s="83" t="str">
        <x:v>Scenario configuration</x:v>
      </x:c>
      <x:c r="J18" s="197" t="n">
        <x:v>50</x:v>
      </x:c>
      <x:c r="K18" s="197"/>
      <x:c r="L18" s="197"/>
      <x:c r="M18" s="197" t="n">
        <x:v>8</x:v>
      </x:c>
      <x:c r="N18" s="197" t="n">
        <x:v>8</x:v>
      </x:c>
      <x:c r="O18" s="197" t="n">
        <x:v>8</x:v>
      </x:c>
      <x:c r="P18" s="197" t="n">
        <x:f>IF(AND(J18&lt;&gt;"",O18&lt;&gt;""),J18/O18,"")</x:f>
        <x:v>6.25</x:v>
      </x:c>
      <x:c r="Q18" s="197" t="n">
        <x:f>IF(AND(J18&lt;&gt;"",N18&lt;&gt;""),J18/N18,"")</x:f>
        <x:v>6.25</x:v>
      </x:c>
      <x:c r="R18" s="197" t="n">
        <x:f>IF(AND(J18&lt;&gt;"",M18&lt;&gt;""),J18/M18,"")</x:f>
        <x:v>6.25</x:v>
      </x:c>
      <x:c r="S18" s="197" t="str">
        <x:f>IF(AND(J18&lt;&gt;"",L18&lt;&gt;""),J18/L18,"")</x:f>
      </x:c>
      <x:c r="T18" s="83" t="str">
        <x:v>S09</x:v>
      </x:c>
      <x:c r="U18" s="83" t="str">
        <x:v>Documento di Descrizione degli Scenari 2024</x:v>
      </x:c>
      <x:c r="V18" s="83" t="n">
        <x:v>63</x:v>
      </x:c>
      <x:c r="W18" s="83" t="str">
        <x:v>60-61</x:v>
      </x:c>
      <x:c r="X18" s="83" t="str">
        <x:v>Table 16</x:v>
      </x:c>
      <x:c r="Y18" s="83" t="str">
        <x:v>Assunzione di scenario</x:v>
      </x:c>
      <x:c r="Z18" s="83" t="str">
        <x:v>Direct table extraction</x:v>
      </x:c>
      <x:c r="AA18" s="83" t="str">
        <x:v>A — Direct</x:v>
      </x:c>
      <x:c r="AB18" s="83" t="str">
        <x:v>Store+Links; e_nom direct, p_nom = e_nom/8.</x:v>
      </x:c>
      <x:c r="AC18" s="83" t="str">
        <x:v>Excludes existing pumped hydro.</x:v>
      </x:c>
    </x:row>
    <x:row r="19">
      <x:c r="A19" s="83" t="str">
        <x:v>ST-015</x:v>
      </x:c>
      <x:c r="B19" s="83" t="str">
        <x:v>PNIEC_POLICY_2030</x:v>
      </x:c>
      <x:c r="C19" s="83" t="n">
        <x:v>2030</x:v>
      </x:c>
      <x:c r="D19" s="83" t="str">
        <x:v>PNIEC Policy 2030</x:v>
      </x:c>
      <x:c r="E19" s="83" t="str">
        <x:v>Italia</x:v>
      </x:c>
      <x:c r="F19" s="83" t="str"/>
      <x:c r="G19" s="83" t="str">
        <x:v>CM</x:v>
      </x:c>
      <x:c r="H19" s="83" t="str">
        <x:v>Capacity Market storage</x:v>
      </x:c>
      <x:c r="I19" s="83" t="str">
        <x:v>Scenario configuration</x:v>
      </x:c>
      <x:c r="J19" s="197" t="n">
        <x:v>7.5</x:v>
      </x:c>
      <x:c r="K19" s="197"/>
      <x:c r="L19" s="197"/>
      <x:c r="M19" s="197"/>
      <x:c r="N19" s="197"/>
      <x:c r="O19" s="197"/>
      <x:c r="P19" s="197" t="str">
        <x:f>IF(AND(J19&lt;&gt;"",O19&lt;&gt;""),J19/O19,"")</x:f>
      </x:c>
      <x:c r="Q19" s="197" t="str">
        <x:f>IF(AND(J19&lt;&gt;"",N19&lt;&gt;""),J19/N19,"")</x:f>
      </x:c>
      <x:c r="R19" s="197" t="str">
        <x:f>IF(AND(J19&lt;&gt;"",M19&lt;&gt;""),J19/M19,"")</x:f>
      </x:c>
      <x:c r="S19" s="197" t="str">
        <x:f>IF(AND(J19&lt;&gt;"",L19&lt;&gt;""),J19/L19,"")</x:f>
      </x:c>
      <x:c r="T19" s="83" t="str">
        <x:v>S09</x:v>
      </x:c>
      <x:c r="U19" s="83" t="str">
        <x:v>Documento di Descrizione degli Scenari 2024</x:v>
      </x:c>
      <x:c r="V19" s="83" t="n">
        <x:v>63</x:v>
      </x:c>
      <x:c r="W19" s="83" t="str">
        <x:v>60-61</x:v>
      </x:c>
      <x:c r="X19" s="83" t="str">
        <x:v>Table 16</x:v>
      </x:c>
      <x:c r="Y19" s="83" t="str">
        <x:v>Assunzione di scenario</x:v>
      </x:c>
      <x:c r="Z19" s="83" t="str">
        <x:v>Direct table extraction</x:v>
      </x:c>
      <x:c r="AA19" s="83" t="str">
        <x:v>A — Direct</x:v>
      </x:c>
      <x:c r="AB19" s="83" t="str">
        <x:v>Energy direct; power unresolved until asset/auction duration data are acquired.</x:v>
      </x:c>
      <x:c r="AC19" s="83" t="str">
        <x:v>Excludes existing pumped hydro.</x:v>
      </x:c>
    </x:row>
    <x:row r="20">
      <x:c r="A20" s="83" t="str">
        <x:v>ST-016</x:v>
      </x:c>
      <x:c r="B20" s="83" t="str">
        <x:v>PNIEC_POLICY_2030</x:v>
      </x:c>
      <x:c r="C20" s="83" t="n">
        <x:v>2030</x:v>
      </x:c>
      <x:c r="D20" s="83" t="str">
        <x:v>PNIEC Policy 2030</x:v>
      </x:c>
      <x:c r="E20" s="83" t="str">
        <x:v>Italia</x:v>
      </x:c>
      <x:c r="F20" s="83" t="str"/>
      <x:c r="G20" s="83" t="str">
        <x:v>Totale</x:v>
      </x:c>
      <x:c r="H20" s="83" t="str">
        <x:v>BESS / generic storage</x:v>
      </x:c>
      <x:c r="I20" s="83" t="str">
        <x:v>Scenario configuration</x:v>
      </x:c>
      <x:c r="J20" s="197" t="n">
        <x:v>71.5</x:v>
      </x:c>
      <x:c r="K20" s="197"/>
      <x:c r="L20" s="197"/>
      <x:c r="M20" s="197"/>
      <x:c r="N20" s="197"/>
      <x:c r="O20" s="197"/>
      <x:c r="P20" s="197" t="str">
        <x:f>IF(AND(J20&lt;&gt;"",O20&lt;&gt;""),J20/O20,"")</x:f>
      </x:c>
      <x:c r="Q20" s="197" t="str">
        <x:f>IF(AND(J20&lt;&gt;"",N20&lt;&gt;""),J20/N20,"")</x:f>
      </x:c>
      <x:c r="R20" s="197" t="str">
        <x:f>IF(AND(J20&lt;&gt;"",M20&lt;&gt;""),J20/M20,"")</x:f>
      </x:c>
      <x:c r="S20" s="197" t="str">
        <x:f>IF(AND(J20&lt;&gt;"",L20&lt;&gt;""),J20/L20,"")</x:f>
      </x:c>
      <x:c r="T20" s="83" t="str">
        <x:v>S09</x:v>
      </x:c>
      <x:c r="U20" s="83" t="str">
        <x:v>Documento di Descrizione degli Scenari 2024</x:v>
      </x:c>
      <x:c r="V20" s="83" t="n">
        <x:v>63</x:v>
      </x:c>
      <x:c r="W20" s="83" t="str">
        <x:v>60-61</x:v>
      </x:c>
      <x:c r="X20" s="83" t="str">
        <x:v>Table 16</x:v>
      </x:c>
      <x:c r="Y20" s="83" t="str">
        <x:v>Assunzione di scenario</x:v>
      </x:c>
      <x:c r="Z20" s="83" t="str">
        <x:v>Direct table extraction</x:v>
      </x:c>
      <x:c r="AA20" s="83" t="str">
        <x:v>A — Direct</x:v>
      </x:c>
      <x:c r="AB20" s="83" t="str">
        <x:v>QA total only, not a standalone PyPSA component.</x:v>
      </x:c>
      <x:c r="AC20" s="83" t="str">
        <x:v>Excludes existing pumped hydro.</x:v>
      </x:c>
    </x:row>
    <x:row r="21">
      <x:c r="A21" s="83" t="str">
        <x:v>ST-017</x:v>
      </x:c>
      <x:c r="B21" s="83" t="str">
        <x:v>PNIEC_POLICY_2030</x:v>
      </x:c>
      <x:c r="C21" s="83" t="n">
        <x:v>2030</x:v>
      </x:c>
      <x:c r="D21" s="83" t="str">
        <x:v>PNIEC Policy 2030</x:v>
      </x:c>
      <x:c r="E21" s="83" t="str">
        <x:v>Italia</x:v>
      </x:c>
      <x:c r="F21" s="83" t="str"/>
      <x:c r="G21" s="83" t="str">
        <x:v>Total including existing pumping convention</x:v>
      </x:c>
      <x:c r="H21" s="83" t="str">
        <x:v>All storage</x:v>
      </x:c>
      <x:c r="I21" s="83" t="str">
        <x:v>Scenario configuration</x:v>
      </x:c>
      <x:c r="J21" s="197" t="n">
        <x:v>121.5</x:v>
      </x:c>
      <x:c r="K21" s="197"/>
      <x:c r="L21" s="197"/>
      <x:c r="M21" s="197"/>
      <x:c r="N21" s="197"/>
      <x:c r="O21" s="197"/>
      <x:c r="P21" s="197" t="str">
        <x:f>IF(AND(J21&lt;&gt;"",O21&lt;&gt;""),J21/O21,"")</x:f>
      </x:c>
      <x:c r="Q21" s="197" t="str">
        <x:f>IF(AND(J21&lt;&gt;"",N21&lt;&gt;""),J21/N21,"")</x:f>
      </x:c>
      <x:c r="R21" s="197" t="str">
        <x:f>IF(AND(J21&lt;&gt;"",M21&lt;&gt;""),J21/M21,"")</x:f>
      </x:c>
      <x:c r="S21" s="197" t="str">
        <x:f>IF(AND(J21&lt;&gt;"",L21&lt;&gt;""),J21/L21,"")</x:f>
      </x:c>
      <x:c r="T21" s="83" t="str">
        <x:v>S09</x:v>
      </x:c>
      <x:c r="U21" s="83" t="str">
        <x:v>Documento di Descrizione degli Scenari 2024</x:v>
      </x:c>
      <x:c r="V21" s="83" t="n">
        <x:v>49</x:v>
      </x:c>
      <x:c r="W21" s="83" t="str">
        <x:v>47 / 60-61</x:v>
      </x:c>
      <x:c r="X21" s="83" t="str">
        <x:v>Figure 19 / Table 16</x:v>
      </x:c>
      <x:c r="Y21" s="83" t="str">
        <x:v>B — Derived from source values</x:v>
      </x:c>
      <x:c r="Z21" s="83" t="str">
        <x:v>Total ex pumping + 50 GWh existing pumping convention</x:v>
      </x:c>
      <x:c r="AA21" s="83" t="str">
        <x:v>B — Derived</x:v>
      </x:c>
      <x:c r="AB21" s="83" t="str">
        <x:v>System-level QA; physical pumping stock is 53 GWh in S01.</x:v>
      </x:c>
      <x:c r="AC21" s="83" t="str">
        <x:v>Preserves the 50 GWh DDS convention; do not conflate with the 53 GWh physical estimate.</x:v>
      </x:c>
    </x:row>
    <x:row r="22">
      <x:c r="A22" s="83" t="str">
        <x:v>ST-018</x:v>
      </x:c>
      <x:c r="B22" s="83" t="str">
        <x:v>PNIEC_SLOW_2030</x:v>
      </x:c>
      <x:c r="C22" s="83" t="n">
        <x:v>2030</x:v>
      </x:c>
      <x:c r="D22" s="83" t="str">
        <x:v>PNIEC Slow 2030</x:v>
      </x:c>
      <x:c r="E22" s="83" t="str">
        <x:v>Italia</x:v>
      </x:c>
      <x:c r="F22" s="83" t="str"/>
      <x:c r="G22" s="83" t="str">
        <x:v>Small Scale</x:v>
      </x:c>
      <x:c r="H22" s="83" t="str">
        <x:v>BESS / generic storage</x:v>
      </x:c>
      <x:c r="I22" s="83" t="str">
        <x:v>Scenario configuration</x:v>
      </x:c>
      <x:c r="J22" s="197" t="n">
        <x:v>13.3</x:v>
      </x:c>
      <x:c r="K22" s="197"/>
      <x:c r="L22" s="197"/>
      <x:c r="M22" s="197" t="n">
        <x:v>2</x:v>
      </x:c>
      <x:c r="N22" s="197"/>
      <x:c r="O22" s="197" t="n">
        <x:v>4</x:v>
      </x:c>
      <x:c r="P22" s="197" t="n">
        <x:f>IF(AND(J22&lt;&gt;"",O22&lt;&gt;""),J22/O22,"")</x:f>
        <x:v>3.325</x:v>
      </x:c>
      <x:c r="Q22" s="197" t="str">
        <x:f>IF(AND(J22&lt;&gt;"",N22&lt;&gt;""),J22/N22,"")</x:f>
      </x:c>
      <x:c r="R22" s="197" t="n">
        <x:f>IF(AND(J22&lt;&gt;"",M22&lt;&gt;""),J22/M22,"")</x:f>
        <x:v>6.65</x:v>
      </x:c>
      <x:c r="S22" s="197" t="str">
        <x:f>IF(AND(J22&lt;&gt;"",L22&lt;&gt;""),J22/L22,"")</x:f>
      </x:c>
      <x:c r="T22" s="83" t="str">
        <x:v>S09</x:v>
      </x:c>
      <x:c r="U22" s="83" t="str">
        <x:v>Documento di Descrizione degli Scenari 2024</x:v>
      </x:c>
      <x:c r="V22" s="83" t="n">
        <x:v>63</x:v>
      </x:c>
      <x:c r="W22" s="83" t="str">
        <x:v>60-61</x:v>
      </x:c>
      <x:c r="X22" s="83" t="str">
        <x:v>Table 16</x:v>
      </x:c>
      <x:c r="Y22" s="83" t="str">
        <x:v>Assunzione di scenario</x:v>
      </x:c>
      <x:c r="Z22" s="83" t="str">
        <x:v>Direct table extraction</x:v>
      </x:c>
      <x:c r="AA22" s="83" t="str">
        <x:v>A — Direct</x:v>
      </x:c>
      <x:c r="AB22" s="83" t="str">
        <x:v>Prefer two 2h/4h classes if shares become available; otherwise retain power interval.</x:v>
      </x:c>
      <x:c r="AC22" s="83" t="str">
        <x:v>Excludes existing pumped hydro.</x:v>
      </x:c>
    </x:row>
    <x:row r="23">
      <x:c r="A23" s="83" t="str">
        <x:v>ST-019</x:v>
      </x:c>
      <x:c r="B23" s="83" t="str">
        <x:v>PNIEC_SLOW_2030</x:v>
      </x:c>
      <x:c r="C23" s="83" t="n">
        <x:v>2030</x:v>
      </x:c>
      <x:c r="D23" s="83" t="str">
        <x:v>PNIEC Slow 2030</x:v>
      </x:c>
      <x:c r="E23" s="83" t="str">
        <x:v>Italia</x:v>
      </x:c>
      <x:c r="F23" s="83" t="str"/>
      <x:c r="G23" s="83" t="str">
        <x:v>Utility Scale</x:v>
      </x:c>
      <x:c r="H23" s="83" t="str">
        <x:v>BESS / generic storage</x:v>
      </x:c>
      <x:c r="I23" s="83" t="str">
        <x:v>Scenario configuration</x:v>
      </x:c>
      <x:c r="J23" s="197" t="n">
        <x:v>24</x:v>
      </x:c>
      <x:c r="K23" s="197"/>
      <x:c r="L23" s="197"/>
      <x:c r="M23" s="197" t="n">
        <x:v>8</x:v>
      </x:c>
      <x:c r="N23" s="197" t="n">
        <x:v>8</x:v>
      </x:c>
      <x:c r="O23" s="197" t="n">
        <x:v>8</x:v>
      </x:c>
      <x:c r="P23" s="197" t="n">
        <x:f>IF(AND(J23&lt;&gt;"",O23&lt;&gt;""),J23/O23,"")</x:f>
        <x:v>3</x:v>
      </x:c>
      <x:c r="Q23" s="197" t="n">
        <x:f>IF(AND(J23&lt;&gt;"",N23&lt;&gt;""),J23/N23,"")</x:f>
        <x:v>3</x:v>
      </x:c>
      <x:c r="R23" s="197" t="n">
        <x:f>IF(AND(J23&lt;&gt;"",M23&lt;&gt;""),J23/M23,"")</x:f>
        <x:v>3</x:v>
      </x:c>
      <x:c r="S23" s="197" t="str">
        <x:f>IF(AND(J23&lt;&gt;"",L23&lt;&gt;""),J23/L23,"")</x:f>
      </x:c>
      <x:c r="T23" s="83" t="str">
        <x:v>S09</x:v>
      </x:c>
      <x:c r="U23" s="83" t="str">
        <x:v>Documento di Descrizione degli Scenari 2024</x:v>
      </x:c>
      <x:c r="V23" s="83" t="n">
        <x:v>63</x:v>
      </x:c>
      <x:c r="W23" s="83" t="str">
        <x:v>60-61</x:v>
      </x:c>
      <x:c r="X23" s="83" t="str">
        <x:v>Table 16</x:v>
      </x:c>
      <x:c r="Y23" s="83" t="str">
        <x:v>Assunzione di scenario</x:v>
      </x:c>
      <x:c r="Z23" s="83" t="str">
        <x:v>Direct table extraction</x:v>
      </x:c>
      <x:c r="AA23" s="83" t="str">
        <x:v>A — Direct</x:v>
      </x:c>
      <x:c r="AB23" s="83" t="str">
        <x:v>Store+Links; e_nom direct, p_nom = e_nom/8.</x:v>
      </x:c>
      <x:c r="AC23" s="83" t="str">
        <x:v>Excludes existing pumped hydro.</x:v>
      </x:c>
    </x:row>
    <x:row r="24">
      <x:c r="A24" s="83" t="str">
        <x:v>ST-020</x:v>
      </x:c>
      <x:c r="B24" s="83" t="str">
        <x:v>PNIEC_SLOW_2030</x:v>
      </x:c>
      <x:c r="C24" s="83" t="n">
        <x:v>2030</x:v>
      </x:c>
      <x:c r="D24" s="83" t="str">
        <x:v>PNIEC Slow 2030</x:v>
      </x:c>
      <x:c r="E24" s="83" t="str">
        <x:v>Italia</x:v>
      </x:c>
      <x:c r="F24" s="83" t="str"/>
      <x:c r="G24" s="83" t="str">
        <x:v>CM</x:v>
      </x:c>
      <x:c r="H24" s="83" t="str">
        <x:v>Capacity Market storage</x:v>
      </x:c>
      <x:c r="I24" s="83" t="str">
        <x:v>Scenario configuration</x:v>
      </x:c>
      <x:c r="J24" s="197" t="n">
        <x:v>7.5</x:v>
      </x:c>
      <x:c r="K24" s="197"/>
      <x:c r="L24" s="197"/>
      <x:c r="M24" s="197"/>
      <x:c r="N24" s="197"/>
      <x:c r="O24" s="197"/>
      <x:c r="P24" s="197" t="str">
        <x:f>IF(AND(J24&lt;&gt;"",O24&lt;&gt;""),J24/O24,"")</x:f>
      </x:c>
      <x:c r="Q24" s="197" t="str">
        <x:f>IF(AND(J24&lt;&gt;"",N24&lt;&gt;""),J24/N24,"")</x:f>
      </x:c>
      <x:c r="R24" s="197" t="str">
        <x:f>IF(AND(J24&lt;&gt;"",M24&lt;&gt;""),J24/M24,"")</x:f>
      </x:c>
      <x:c r="S24" s="197" t="str">
        <x:f>IF(AND(J24&lt;&gt;"",L24&lt;&gt;""),J24/L24,"")</x:f>
      </x:c>
      <x:c r="T24" s="83" t="str">
        <x:v>S09</x:v>
      </x:c>
      <x:c r="U24" s="83" t="str">
        <x:v>Documento di Descrizione degli Scenari 2024</x:v>
      </x:c>
      <x:c r="V24" s="83" t="n">
        <x:v>63</x:v>
      </x:c>
      <x:c r="W24" s="83" t="str">
        <x:v>60-61</x:v>
      </x:c>
      <x:c r="X24" s="83" t="str">
        <x:v>Table 16</x:v>
      </x:c>
      <x:c r="Y24" s="83" t="str">
        <x:v>Assunzione di scenario</x:v>
      </x:c>
      <x:c r="Z24" s="83" t="str">
        <x:v>Direct table extraction</x:v>
      </x:c>
      <x:c r="AA24" s="83" t="str">
        <x:v>A — Direct</x:v>
      </x:c>
      <x:c r="AB24" s="83" t="str">
        <x:v>Energy direct; power unresolved until asset/auction duration data are acquired.</x:v>
      </x:c>
      <x:c r="AC24" s="83" t="str">
        <x:v>Excludes existing pumped hydro.</x:v>
      </x:c>
    </x:row>
    <x:row r="25">
      <x:c r="A25" s="83" t="str">
        <x:v>ST-021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Italia</x:v>
      </x:c>
      <x:c r="F25" s="83" t="str"/>
      <x:c r="G25" s="83" t="str">
        <x:v>Totale</x:v>
      </x:c>
      <x:c r="H25" s="83" t="str">
        <x:v>BESS / generic storage</x:v>
      </x:c>
      <x:c r="I25" s="83" t="str">
        <x:v>Scenario configuration</x:v>
      </x:c>
      <x:c r="J25" s="197" t="n">
        <x:v>44.7</x:v>
      </x:c>
      <x:c r="K25" s="197"/>
      <x:c r="L25" s="197"/>
      <x:c r="M25" s="197"/>
      <x:c r="N25" s="197"/>
      <x:c r="O25" s="197"/>
      <x:c r="P25" s="197" t="str">
        <x:f>IF(AND(J25&lt;&gt;"",O25&lt;&gt;""),J25/O25,"")</x:f>
      </x:c>
      <x:c r="Q25" s="197" t="str">
        <x:f>IF(AND(J25&lt;&gt;"",N25&lt;&gt;""),J25/N25,"")</x:f>
      </x:c>
      <x:c r="R25" s="197" t="str">
        <x:f>IF(AND(J25&lt;&gt;"",M25&lt;&gt;""),J25/M25,"")</x:f>
      </x:c>
      <x:c r="S25" s="197" t="str">
        <x:f>IF(AND(J25&lt;&gt;"",L25&lt;&gt;""),J25/L25,"")</x:f>
      </x:c>
      <x:c r="T25" s="83" t="str">
        <x:v>S09</x:v>
      </x:c>
      <x:c r="U25" s="83" t="str">
        <x:v>Documento di Descrizione degli Scenari 2024</x:v>
      </x:c>
      <x:c r="V25" s="83" t="n">
        <x:v>63</x:v>
      </x:c>
      <x:c r="W25" s="83" t="str">
        <x:v>60-61</x:v>
      </x:c>
      <x:c r="X25" s="83" t="str">
        <x:v>Table 16</x:v>
      </x:c>
      <x:c r="Y25" s="83" t="str">
        <x:v>Assunzione di scenario</x:v>
      </x:c>
      <x:c r="Z25" s="83" t="str">
        <x:v>Direct table extraction</x:v>
      </x:c>
      <x:c r="AA25" s="83" t="str">
        <x:v>A — Direct</x:v>
      </x:c>
      <x:c r="AB25" s="83" t="str">
        <x:v>QA total only, not a standalone PyPSA component.</x:v>
      </x:c>
      <x:c r="AC25" s="83" t="str">
        <x:v>Excludes existing pumped hydro.</x:v>
      </x:c>
    </x:row>
    <x:row r="26">
      <x:c r="A26" s="83" t="str">
        <x:v>ST-022</x:v>
      </x:c>
      <x:c r="B26" s="83" t="str">
        <x:v>PNIEC_SLOW_2030</x:v>
      </x:c>
      <x:c r="C26" s="83" t="n">
        <x:v>2030</x:v>
      </x:c>
      <x:c r="D26" s="83" t="str">
        <x:v>PNIEC Slow 2030</x:v>
      </x:c>
      <x:c r="E26" s="83" t="str">
        <x:v>Italia</x:v>
      </x:c>
      <x:c r="F26" s="83" t="str"/>
      <x:c r="G26" s="83" t="str">
        <x:v>Total including existing pumping convention</x:v>
      </x:c>
      <x:c r="H26" s="83" t="str">
        <x:v>All storage</x:v>
      </x:c>
      <x:c r="I26" s="83" t="str">
        <x:v>Scenario configuration</x:v>
      </x:c>
      <x:c r="J26" s="197" t="n">
        <x:v>94.7</x:v>
      </x:c>
      <x:c r="K26" s="197"/>
      <x:c r="L26" s="197"/>
      <x:c r="M26" s="197"/>
      <x:c r="N26" s="197"/>
      <x:c r="O26" s="197"/>
      <x:c r="P26" s="197" t="str">
        <x:f>IF(AND(J26&lt;&gt;"",O26&lt;&gt;""),J26/O26,"")</x:f>
      </x:c>
      <x:c r="Q26" s="197" t="str">
        <x:f>IF(AND(J26&lt;&gt;"",N26&lt;&gt;""),J26/N26,"")</x:f>
      </x:c>
      <x:c r="R26" s="197" t="str">
        <x:f>IF(AND(J26&lt;&gt;"",M26&lt;&gt;""),J26/M26,"")</x:f>
      </x:c>
      <x:c r="S26" s="197" t="str">
        <x:f>IF(AND(J26&lt;&gt;"",L26&lt;&gt;""),J26/L26,"")</x:f>
      </x:c>
      <x:c r="T26" s="83" t="str">
        <x:v>S09</x:v>
      </x:c>
      <x:c r="U26" s="83" t="str">
        <x:v>Documento di Descrizione degli Scenari 2024</x:v>
      </x:c>
      <x:c r="V26" s="83" t="n">
        <x:v>49</x:v>
      </x:c>
      <x:c r="W26" s="83" t="str">
        <x:v>47 / 60-61</x:v>
      </x:c>
      <x:c r="X26" s="83" t="str">
        <x:v>Figure 19 / Table 16</x:v>
      </x:c>
      <x:c r="Y26" s="83" t="str">
        <x:v>B — Derived from source values</x:v>
      </x:c>
      <x:c r="Z26" s="83" t="str">
        <x:v>Total ex pumping + 50 GWh existing pumping convention</x:v>
      </x:c>
      <x:c r="AA26" s="83" t="str">
        <x:v>B — Derived</x:v>
      </x:c>
      <x:c r="AB26" s="83" t="str">
        <x:v>System-level QA; physical pumping stock is 53 GWh in S01.</x:v>
      </x:c>
      <x:c r="AC26" s="83" t="str">
        <x:v>Preserves the 50 GWh DDS convention; do not conflate with the 53 GWh physical estimate.</x:v>
      </x:c>
    </x:row>
    <x:row r="27">
      <x:c r="A27" s="83" t="str">
        <x:v>ST-023</x:v>
      </x:c>
      <x:c r="B27" s="83" t="str">
        <x:v>DE_IT_2035</x:v>
      </x:c>
      <x:c r="C27" s="83" t="n">
        <x:v>2035</x:v>
      </x:c>
      <x:c r="D27" s="83" t="str">
        <x:v>DE-IT 2035</x:v>
      </x:c>
      <x:c r="E27" s="83" t="str">
        <x:v>Italia</x:v>
      </x:c>
      <x:c r="F27" s="83" t="str"/>
      <x:c r="G27" s="83" t="str">
        <x:v>Small Scale</x:v>
      </x:c>
      <x:c r="H27" s="83" t="str">
        <x:v>BESS / generic storage</x:v>
      </x:c>
      <x:c r="I27" s="83" t="str">
        <x:v>Scenario configuration</x:v>
      </x:c>
      <x:c r="J27" s="197" t="n">
        <x:v>16.2</x:v>
      </x:c>
      <x:c r="K27" s="197"/>
      <x:c r="L27" s="197"/>
      <x:c r="M27" s="197" t="n">
        <x:v>2</x:v>
      </x:c>
      <x:c r="N27" s="197"/>
      <x:c r="O27" s="197" t="n">
        <x:v>4</x:v>
      </x:c>
      <x:c r="P27" s="197" t="n">
        <x:f>IF(AND(J27&lt;&gt;"",O27&lt;&gt;""),J27/O27,"")</x:f>
        <x:v>4.05</x:v>
      </x:c>
      <x:c r="Q27" s="197" t="str">
        <x:f>IF(AND(J27&lt;&gt;"",N27&lt;&gt;""),J27/N27,"")</x:f>
      </x:c>
      <x:c r="R27" s="197" t="n">
        <x:f>IF(AND(J27&lt;&gt;"",M27&lt;&gt;""),J27/M27,"")</x:f>
        <x:v>8.1</x:v>
      </x:c>
      <x:c r="S27" s="197" t="str">
        <x:f>IF(AND(J27&lt;&gt;"",L27&lt;&gt;""),J27/L27,"")</x:f>
      </x:c>
      <x:c r="T27" s="83" t="str">
        <x:v>S09</x:v>
      </x:c>
      <x:c r="U27" s="83" t="str">
        <x:v>Documento di Descrizione degli Scenari 2024</x:v>
      </x:c>
      <x:c r="V27" s="83" t="n">
        <x:v>63</x:v>
      </x:c>
      <x:c r="W27" s="83" t="str">
        <x:v>60-61</x:v>
      </x:c>
      <x:c r="X27" s="83" t="str">
        <x:v>Table 16</x:v>
      </x:c>
      <x:c r="Y27" s="83" t="str">
        <x:v>Assunzione di scenario</x:v>
      </x:c>
      <x:c r="Z27" s="83" t="str">
        <x:v>Direct table extraction</x:v>
      </x:c>
      <x:c r="AA27" s="83" t="str">
        <x:v>A — Direct</x:v>
      </x:c>
      <x:c r="AB27" s="83" t="str">
        <x:v>Prefer two 2h/4h classes if shares become available; otherwise retain power interval.</x:v>
      </x:c>
      <x:c r="AC27" s="83" t="str">
        <x:v>Excludes existing pumped hydro.</x:v>
      </x:c>
    </x:row>
    <x:row r="28">
      <x:c r="A28" s="83" t="str">
        <x:v>ST-024</x:v>
      </x:c>
      <x:c r="B28" s="83" t="str">
        <x:v>DE_IT_2035</x:v>
      </x:c>
      <x:c r="C28" s="83" t="n">
        <x:v>2035</x:v>
      </x:c>
      <x:c r="D28" s="83" t="str">
        <x:v>DE-IT 2035</x:v>
      </x:c>
      <x:c r="E28" s="83" t="str">
        <x:v>Italia</x:v>
      </x:c>
      <x:c r="F28" s="83" t="str"/>
      <x:c r="G28" s="83" t="str">
        <x:v>Utility Scale</x:v>
      </x:c>
      <x:c r="H28" s="83" t="str">
        <x:v>BESS / generic storage</x:v>
      </x:c>
      <x:c r="I28" s="83" t="str">
        <x:v>Scenario configuration</x:v>
      </x:c>
      <x:c r="J28" s="197" t="n">
        <x:v>100</x:v>
      </x:c>
      <x:c r="K28" s="197"/>
      <x:c r="L28" s="197"/>
      <x:c r="M28" s="197" t="n">
        <x:v>8</x:v>
      </x:c>
      <x:c r="N28" s="197" t="n">
        <x:v>8</x:v>
      </x:c>
      <x:c r="O28" s="197" t="n">
        <x:v>8</x:v>
      </x:c>
      <x:c r="P28" s="197" t="n">
        <x:f>IF(AND(J28&lt;&gt;"",O28&lt;&gt;""),J28/O28,"")</x:f>
        <x:v>12.5</x:v>
      </x:c>
      <x:c r="Q28" s="197" t="n">
        <x:f>IF(AND(J28&lt;&gt;"",N28&lt;&gt;""),J28/N28,"")</x:f>
        <x:v>12.5</x:v>
      </x:c>
      <x:c r="R28" s="197" t="n">
        <x:f>IF(AND(J28&lt;&gt;"",M28&lt;&gt;""),J28/M28,"")</x:f>
        <x:v>12.5</x:v>
      </x:c>
      <x:c r="S28" s="197" t="str">
        <x:f>IF(AND(J28&lt;&gt;"",L28&lt;&gt;""),J28/L28,"")</x:f>
      </x:c>
      <x:c r="T28" s="83" t="str">
        <x:v>S09</x:v>
      </x:c>
      <x:c r="U28" s="83" t="str">
        <x:v>Documento di Descrizione degli Scenari 2024</x:v>
      </x:c>
      <x:c r="V28" s="83" t="n">
        <x:v>63</x:v>
      </x:c>
      <x:c r="W28" s="83" t="str">
        <x:v>60-61</x:v>
      </x:c>
      <x:c r="X28" s="83" t="str">
        <x:v>Table 16</x:v>
      </x:c>
      <x:c r="Y28" s="83" t="str">
        <x:v>Assunzione di scenario</x:v>
      </x:c>
      <x:c r="Z28" s="83" t="str">
        <x:v>Direct table extraction</x:v>
      </x:c>
      <x:c r="AA28" s="83" t="str">
        <x:v>A — Direct</x:v>
      </x:c>
      <x:c r="AB28" s="83" t="str">
        <x:v>Store+Links; e_nom direct, p_nom = e_nom/8.</x:v>
      </x:c>
      <x:c r="AC28" s="83" t="str">
        <x:v>Excludes existing pumped hydro.</x:v>
      </x:c>
    </x:row>
    <x:row r="29">
      <x:c r="A29" s="83" t="str">
        <x:v>ST-025</x:v>
      </x:c>
      <x:c r="B29" s="83" t="str">
        <x:v>DE_IT_2035</x:v>
      </x:c>
      <x:c r="C29" s="83" t="n">
        <x:v>2035</x:v>
      </x:c>
      <x:c r="D29" s="83" t="str">
        <x:v>DE-IT 2035</x:v>
      </x:c>
      <x:c r="E29" s="83" t="str">
        <x:v>Italia</x:v>
      </x:c>
      <x:c r="F29" s="83" t="str"/>
      <x:c r="G29" s="83" t="str">
        <x:v>CM</x:v>
      </x:c>
      <x:c r="H29" s="83" t="str">
        <x:v>Capacity Market storage</x:v>
      </x:c>
      <x:c r="I29" s="83" t="str">
        <x:v>Scenario configuration</x:v>
      </x:c>
      <x:c r="J29" s="197" t="n">
        <x:v>7.5</x:v>
      </x:c>
      <x:c r="K29" s="197"/>
      <x:c r="L29" s="197"/>
      <x:c r="M29" s="197"/>
      <x:c r="N29" s="197"/>
      <x:c r="O29" s="197"/>
      <x:c r="P29" s="197" t="str">
        <x:f>IF(AND(J29&lt;&gt;"",O29&lt;&gt;""),J29/O29,"")</x:f>
      </x:c>
      <x:c r="Q29" s="197" t="str">
        <x:f>IF(AND(J29&lt;&gt;"",N29&lt;&gt;""),J29/N29,"")</x:f>
      </x:c>
      <x:c r="R29" s="197" t="str">
        <x:f>IF(AND(J29&lt;&gt;"",M29&lt;&gt;""),J29/M29,"")</x:f>
      </x:c>
      <x:c r="S29" s="197" t="str">
        <x:f>IF(AND(J29&lt;&gt;"",L29&lt;&gt;""),J29/L29,"")</x:f>
      </x:c>
      <x:c r="T29" s="83" t="str">
        <x:v>S09</x:v>
      </x:c>
      <x:c r="U29" s="83" t="str">
        <x:v>Documento di Descrizione degli Scenari 2024</x:v>
      </x:c>
      <x:c r="V29" s="83" t="n">
        <x:v>63</x:v>
      </x:c>
      <x:c r="W29" s="83" t="str">
        <x:v>60-61</x:v>
      </x:c>
      <x:c r="X29" s="83" t="str">
        <x:v>Table 16</x:v>
      </x:c>
      <x:c r="Y29" s="83" t="str">
        <x:v>Assunzione di scenario</x:v>
      </x:c>
      <x:c r="Z29" s="83" t="str">
        <x:v>Direct table extraction</x:v>
      </x:c>
      <x:c r="AA29" s="83" t="str">
        <x:v>A — Direct</x:v>
      </x:c>
      <x:c r="AB29" s="83" t="str">
        <x:v>Energy direct; power unresolved until asset/auction duration data are acquired.</x:v>
      </x:c>
      <x:c r="AC29" s="83" t="str">
        <x:v>Excludes existing pumped hydro.</x:v>
      </x:c>
    </x:row>
    <x:row r="30">
      <x:c r="A30" s="83" t="str">
        <x:v>ST-026</x:v>
      </x:c>
      <x:c r="B30" s="83" t="str">
        <x:v>DE_IT_2035</x:v>
      </x:c>
      <x:c r="C30" s="83" t="n">
        <x:v>2035</x:v>
      </x:c>
      <x:c r="D30" s="83" t="str">
        <x:v>DE-IT 2035</x:v>
      </x:c>
      <x:c r="E30" s="83" t="str">
        <x:v>Italia</x:v>
      </x:c>
      <x:c r="F30" s="83" t="str"/>
      <x:c r="G30" s="83" t="str">
        <x:v>Totale</x:v>
      </x:c>
      <x:c r="H30" s="83" t="str">
        <x:v>BESS / generic storage</x:v>
      </x:c>
      <x:c r="I30" s="83" t="str">
        <x:v>Scenario configuration</x:v>
      </x:c>
      <x:c r="J30" s="197" t="n">
        <x:v>123.7</x:v>
      </x:c>
      <x:c r="K30" s="197"/>
      <x:c r="L30" s="197"/>
      <x:c r="M30" s="197"/>
      <x:c r="N30" s="197"/>
      <x:c r="O30" s="197"/>
      <x:c r="P30" s="197" t="str">
        <x:f>IF(AND(J30&lt;&gt;"",O30&lt;&gt;""),J30/O30,"")</x:f>
      </x:c>
      <x:c r="Q30" s="197" t="str">
        <x:f>IF(AND(J30&lt;&gt;"",N30&lt;&gt;""),J30/N30,"")</x:f>
      </x:c>
      <x:c r="R30" s="197" t="str">
        <x:f>IF(AND(J30&lt;&gt;"",M30&lt;&gt;""),J30/M30,"")</x:f>
      </x:c>
      <x:c r="S30" s="197" t="str">
        <x:f>IF(AND(J30&lt;&gt;"",L30&lt;&gt;""),J30/L30,"")</x:f>
      </x:c>
      <x:c r="T30" s="83" t="str">
        <x:v>S09</x:v>
      </x:c>
      <x:c r="U30" s="83" t="str">
        <x:v>Documento di Descrizione degli Scenari 2024</x:v>
      </x:c>
      <x:c r="V30" s="83" t="n">
        <x:v>63</x:v>
      </x:c>
      <x:c r="W30" s="83" t="str">
        <x:v>60-61</x:v>
      </x:c>
      <x:c r="X30" s="83" t="str">
        <x:v>Table 16</x:v>
      </x:c>
      <x:c r="Y30" s="83" t="str">
        <x:v>Assunzione di scenario</x:v>
      </x:c>
      <x:c r="Z30" s="83" t="str">
        <x:v>Direct table extraction</x:v>
      </x:c>
      <x:c r="AA30" s="83" t="str">
        <x:v>A — Direct</x:v>
      </x:c>
      <x:c r="AB30" s="83" t="str">
        <x:v>QA total only, not a standalone PyPSA component.</x:v>
      </x:c>
      <x:c r="AC30" s="83" t="str">
        <x:v>Excludes existing pumped hydro.</x:v>
      </x:c>
    </x:row>
    <x:row r="31">
      <x:c r="A31" s="83" t="str">
        <x:v>ST-027</x:v>
      </x:c>
      <x:c r="B31" s="83" t="str">
        <x:v>DE_IT_2035</x:v>
      </x:c>
      <x:c r="C31" s="83" t="n">
        <x:v>2035</x:v>
      </x:c>
      <x:c r="D31" s="83" t="str">
        <x:v>DE-IT 2035</x:v>
      </x:c>
      <x:c r="E31" s="83" t="str">
        <x:v>Italia</x:v>
      </x:c>
      <x:c r="F31" s="83" t="str"/>
      <x:c r="G31" s="83" t="str">
        <x:v>Total including existing pumping convention</x:v>
      </x:c>
      <x:c r="H31" s="83" t="str">
        <x:v>All storage</x:v>
      </x:c>
      <x:c r="I31" s="83" t="str">
        <x:v>Scenario configuration</x:v>
      </x:c>
      <x:c r="J31" s="197" t="n">
        <x:v>173.7</x:v>
      </x:c>
      <x:c r="K31" s="197"/>
      <x:c r="L31" s="197"/>
      <x:c r="M31" s="197"/>
      <x:c r="N31" s="197"/>
      <x:c r="O31" s="197"/>
      <x:c r="P31" s="197" t="str">
        <x:f>IF(AND(J31&lt;&gt;"",O31&lt;&gt;""),J31/O31,"")</x:f>
      </x:c>
      <x:c r="Q31" s="197" t="str">
        <x:f>IF(AND(J31&lt;&gt;"",N31&lt;&gt;""),J31/N31,"")</x:f>
      </x:c>
      <x:c r="R31" s="197" t="str">
        <x:f>IF(AND(J31&lt;&gt;"",M31&lt;&gt;""),J31/M31,"")</x:f>
      </x:c>
      <x:c r="S31" s="197" t="str">
        <x:f>IF(AND(J31&lt;&gt;"",L31&lt;&gt;""),J31/L31,"")</x:f>
      </x:c>
      <x:c r="T31" s="83" t="str">
        <x:v>S09</x:v>
      </x:c>
      <x:c r="U31" s="83" t="str">
        <x:v>Documento di Descrizione degli Scenari 2024</x:v>
      </x:c>
      <x:c r="V31" s="83" t="n">
        <x:v>63</x:v>
      </x:c>
      <x:c r="W31" s="83" t="str">
        <x:v>47 / 60-61</x:v>
      </x:c>
      <x:c r="X31" s="83" t="str">
        <x:v>Figure 19 / Table 16</x:v>
      </x:c>
      <x:c r="Y31" s="83" t="str">
        <x:v>B — Derived from source values</x:v>
      </x:c>
      <x:c r="Z31" s="83" t="str">
        <x:v>Total ex pumping + 50 GWh existing pumping convention</x:v>
      </x:c>
      <x:c r="AA31" s="83" t="str">
        <x:v>B — Derived</x:v>
      </x:c>
      <x:c r="AB31" s="83" t="str">
        <x:v>System-level QA; physical pumping stock is 53 GWh in S01.</x:v>
      </x:c>
      <x:c r="AC31" s="83" t="str">
        <x:v>Preserves the 50 GWh DDS convention; do not conflate with the 53 GWh physical estimate.</x:v>
      </x:c>
    </x:row>
    <x:row r="32">
      <x:c r="A32" s="83" t="str">
        <x:v>ST-028</x:v>
      </x:c>
      <x:c r="B32" s="83" t="str">
        <x:v>GA_IT_2035</x:v>
      </x:c>
      <x:c r="C32" s="83" t="n">
        <x:v>2035</x:v>
      </x:c>
      <x:c r="D32" s="83" t="str">
        <x:v>GA-IT 2035</x:v>
      </x:c>
      <x:c r="E32" s="83" t="str">
        <x:v>Italia</x:v>
      </x:c>
      <x:c r="F32" s="83" t="str"/>
      <x:c r="G32" s="83" t="str">
        <x:v>Small Scale</x:v>
      </x:c>
      <x:c r="H32" s="83" t="str">
        <x:v>BESS / generic storage</x:v>
      </x:c>
      <x:c r="I32" s="83" t="str">
        <x:v>Scenario configuration</x:v>
      </x:c>
      <x:c r="J32" s="197" t="n">
        <x:v>15.6</x:v>
      </x:c>
      <x:c r="K32" s="197"/>
      <x:c r="L32" s="197"/>
      <x:c r="M32" s="197" t="n">
        <x:v>2</x:v>
      </x:c>
      <x:c r="N32" s="197"/>
      <x:c r="O32" s="197" t="n">
        <x:v>4</x:v>
      </x:c>
      <x:c r="P32" s="197" t="n">
        <x:f>IF(AND(J32&lt;&gt;"",O32&lt;&gt;""),J32/O32,"")</x:f>
        <x:v>3.9</x:v>
      </x:c>
      <x:c r="Q32" s="197" t="str">
        <x:f>IF(AND(J32&lt;&gt;"",N32&lt;&gt;""),J32/N32,"")</x:f>
      </x:c>
      <x:c r="R32" s="197" t="n">
        <x:f>IF(AND(J32&lt;&gt;"",M32&lt;&gt;""),J32/M32,"")</x:f>
        <x:v>7.8</x:v>
      </x:c>
      <x:c r="S32" s="197" t="str">
        <x:f>IF(AND(J32&lt;&gt;"",L32&lt;&gt;""),J32/L32,"")</x:f>
      </x:c>
      <x:c r="T32" s="83" t="str">
        <x:v>S09</x:v>
      </x:c>
      <x:c r="U32" s="83" t="str">
        <x:v>Documento di Descrizione degli Scenari 2024</x:v>
      </x:c>
      <x:c r="V32" s="83" t="n">
        <x:v>63</x:v>
      </x:c>
      <x:c r="W32" s="83" t="str">
        <x:v>60-61</x:v>
      </x:c>
      <x:c r="X32" s="83" t="str">
        <x:v>Table 16</x:v>
      </x:c>
      <x:c r="Y32" s="83" t="str">
        <x:v>Assunzione di scenario</x:v>
      </x:c>
      <x:c r="Z32" s="83" t="str">
        <x:v>Direct table extraction</x:v>
      </x:c>
      <x:c r="AA32" s="83" t="str">
        <x:v>A — Direct</x:v>
      </x:c>
      <x:c r="AB32" s="83" t="str">
        <x:v>Prefer two 2h/4h classes if shares become available; otherwise retain power interval.</x:v>
      </x:c>
      <x:c r="AC32" s="83" t="str">
        <x:v>Excludes existing pumped hydro.</x:v>
      </x:c>
    </x:row>
    <x:row r="33">
      <x:c r="A33" s="83" t="str">
        <x:v>ST-029</x:v>
      </x:c>
      <x:c r="B33" s="83" t="str">
        <x:v>GA_IT_2035</x:v>
      </x:c>
      <x:c r="C33" s="83" t="n">
        <x:v>2035</x:v>
      </x:c>
      <x:c r="D33" s="83" t="str">
        <x:v>GA-IT 2035</x:v>
      </x:c>
      <x:c r="E33" s="83" t="str">
        <x:v>Italia</x:v>
      </x:c>
      <x:c r="F33" s="83" t="str"/>
      <x:c r="G33" s="83" t="str">
        <x:v>Utility Scale</x:v>
      </x:c>
      <x:c r="H33" s="83" t="str">
        <x:v>BESS / generic storage</x:v>
      </x:c>
      <x:c r="I33" s="83" t="str">
        <x:v>Scenario configuration</x:v>
      </x:c>
      <x:c r="J33" s="197" t="n">
        <x:v>64</x:v>
      </x:c>
      <x:c r="K33" s="197"/>
      <x:c r="L33" s="197"/>
      <x:c r="M33" s="197" t="n">
        <x:v>8</x:v>
      </x:c>
      <x:c r="N33" s="197" t="n">
        <x:v>8</x:v>
      </x:c>
      <x:c r="O33" s="197" t="n">
        <x:v>8</x:v>
      </x:c>
      <x:c r="P33" s="197" t="n">
        <x:f>IF(AND(J33&lt;&gt;"",O33&lt;&gt;""),J33/O33,"")</x:f>
        <x:v>8</x:v>
      </x:c>
      <x:c r="Q33" s="197" t="n">
        <x:f>IF(AND(J33&lt;&gt;"",N33&lt;&gt;""),J33/N33,"")</x:f>
        <x:v>8</x:v>
      </x:c>
      <x:c r="R33" s="197" t="n">
        <x:f>IF(AND(J33&lt;&gt;"",M33&lt;&gt;""),J33/M33,"")</x:f>
        <x:v>8</x:v>
      </x:c>
      <x:c r="S33" s="197" t="str">
        <x:f>IF(AND(J33&lt;&gt;"",L33&lt;&gt;""),J33/L33,"")</x:f>
      </x:c>
      <x:c r="T33" s="83" t="str">
        <x:v>S09</x:v>
      </x:c>
      <x:c r="U33" s="83" t="str">
        <x:v>Documento di Descrizione degli Scenari 2024</x:v>
      </x:c>
      <x:c r="V33" s="83" t="n">
        <x:v>63</x:v>
      </x:c>
      <x:c r="W33" s="83" t="str">
        <x:v>60-61</x:v>
      </x:c>
      <x:c r="X33" s="83" t="str">
        <x:v>Table 16</x:v>
      </x:c>
      <x:c r="Y33" s="83" t="str">
        <x:v>Assunzione di scenario</x:v>
      </x:c>
      <x:c r="Z33" s="83" t="str">
        <x:v>Direct table extraction</x:v>
      </x:c>
      <x:c r="AA33" s="83" t="str">
        <x:v>A — Direct</x:v>
      </x:c>
      <x:c r="AB33" s="83" t="str">
        <x:v>Store+Links; e_nom direct, p_nom = e_nom/8.</x:v>
      </x:c>
      <x:c r="AC33" s="83" t="str">
        <x:v>Excludes existing pumped hydro.</x:v>
      </x:c>
    </x:row>
    <x:row r="34">
      <x:c r="A34" s="83" t="str">
        <x:v>ST-030</x:v>
      </x:c>
      <x:c r="B34" s="83" t="str">
        <x:v>GA_IT_2035</x:v>
      </x:c>
      <x:c r="C34" s="83" t="n">
        <x:v>2035</x:v>
      </x:c>
      <x:c r="D34" s="83" t="str">
        <x:v>GA-IT 2035</x:v>
      </x:c>
      <x:c r="E34" s="83" t="str">
        <x:v>Italia</x:v>
      </x:c>
      <x:c r="F34" s="83" t="str"/>
      <x:c r="G34" s="83" t="str">
        <x:v>CM</x:v>
      </x:c>
      <x:c r="H34" s="83" t="str">
        <x:v>Capacity Market storage</x:v>
      </x:c>
      <x:c r="I34" s="83" t="str">
        <x:v>Scenario configuration</x:v>
      </x:c>
      <x:c r="J34" s="197" t="n">
        <x:v>7.5</x:v>
      </x:c>
      <x:c r="K34" s="197"/>
      <x:c r="L34" s="197"/>
      <x:c r="M34" s="197"/>
      <x:c r="N34" s="197"/>
      <x:c r="O34" s="197"/>
      <x:c r="P34" s="197" t="str">
        <x:f>IF(AND(J34&lt;&gt;"",O34&lt;&gt;""),J34/O34,"")</x:f>
      </x:c>
      <x:c r="Q34" s="197" t="str">
        <x:f>IF(AND(J34&lt;&gt;"",N34&lt;&gt;""),J34/N34,"")</x:f>
      </x:c>
      <x:c r="R34" s="197" t="str">
        <x:f>IF(AND(J34&lt;&gt;"",M34&lt;&gt;""),J34/M34,"")</x:f>
      </x:c>
      <x:c r="S34" s="197" t="str">
        <x:f>IF(AND(J34&lt;&gt;"",L34&lt;&gt;""),J34/L34,"")</x:f>
      </x:c>
      <x:c r="T34" s="83" t="str">
        <x:v>S09</x:v>
      </x:c>
      <x:c r="U34" s="83" t="str">
        <x:v>Documento di Descrizione degli Scenari 2024</x:v>
      </x:c>
      <x:c r="V34" s="83" t="n">
        <x:v>63</x:v>
      </x:c>
      <x:c r="W34" s="83" t="str">
        <x:v>60-61</x:v>
      </x:c>
      <x:c r="X34" s="83" t="str">
        <x:v>Table 16</x:v>
      </x:c>
      <x:c r="Y34" s="83" t="str">
        <x:v>Assunzione di scenario</x:v>
      </x:c>
      <x:c r="Z34" s="83" t="str">
        <x:v>Direct table extraction</x:v>
      </x:c>
      <x:c r="AA34" s="83" t="str">
        <x:v>A — Direct</x:v>
      </x:c>
      <x:c r="AB34" s="83" t="str">
        <x:v>Energy direct; power unresolved until asset/auction duration data are acquired.</x:v>
      </x:c>
      <x:c r="AC34" s="83" t="str">
        <x:v>Excludes existing pumped hydro.</x:v>
      </x:c>
    </x:row>
    <x:row r="35">
      <x:c r="A35" s="83" t="str">
        <x:v>ST-031</x:v>
      </x:c>
      <x:c r="B35" s="83" t="str">
        <x:v>GA_IT_2035</x:v>
      </x:c>
      <x:c r="C35" s="83" t="n">
        <x:v>2035</x:v>
      </x:c>
      <x:c r="D35" s="83" t="str">
        <x:v>GA-IT 2035</x:v>
      </x:c>
      <x:c r="E35" s="83" t="str">
        <x:v>Italia</x:v>
      </x:c>
      <x:c r="F35" s="83" t="str"/>
      <x:c r="G35" s="83" t="str">
        <x:v>Totale</x:v>
      </x:c>
      <x:c r="H35" s="83" t="str">
        <x:v>BESS / generic storage</x:v>
      </x:c>
      <x:c r="I35" s="83" t="str">
        <x:v>Scenario configuration</x:v>
      </x:c>
      <x:c r="J35" s="197" t="n">
        <x:v>87</x:v>
      </x:c>
      <x:c r="K35" s="197"/>
      <x:c r="L35" s="197"/>
      <x:c r="M35" s="197"/>
      <x:c r="N35" s="197"/>
      <x:c r="O35" s="197"/>
      <x:c r="P35" s="197" t="str">
        <x:f>IF(AND(J35&lt;&gt;"",O35&lt;&gt;""),J35/O35,"")</x:f>
      </x:c>
      <x:c r="Q35" s="197" t="str">
        <x:f>IF(AND(J35&lt;&gt;"",N35&lt;&gt;""),J35/N35,"")</x:f>
      </x:c>
      <x:c r="R35" s="197" t="str">
        <x:f>IF(AND(J35&lt;&gt;"",M35&lt;&gt;""),J35/M35,"")</x:f>
      </x:c>
      <x:c r="S35" s="197" t="str">
        <x:f>IF(AND(J35&lt;&gt;"",L35&lt;&gt;""),J35/L35,"")</x:f>
      </x:c>
      <x:c r="T35" s="83" t="str">
        <x:v>S09</x:v>
      </x:c>
      <x:c r="U35" s="83" t="str">
        <x:v>Documento di Descrizione degli Scenari 2024</x:v>
      </x:c>
      <x:c r="V35" s="83" t="n">
        <x:v>63</x:v>
      </x:c>
      <x:c r="W35" s="83" t="str">
        <x:v>60-61</x:v>
      </x:c>
      <x:c r="X35" s="83" t="str">
        <x:v>Table 16</x:v>
      </x:c>
      <x:c r="Y35" s="83" t="str">
        <x:v>Assunzione di scenario</x:v>
      </x:c>
      <x:c r="Z35" s="83" t="str">
        <x:v>Direct table extraction</x:v>
      </x:c>
      <x:c r="AA35" s="83" t="str">
        <x:v>A — Direct</x:v>
      </x:c>
      <x:c r="AB35" s="83" t="str">
        <x:v>QA total only, not a standalone PyPSA component.</x:v>
      </x:c>
      <x:c r="AC35" s="83" t="str">
        <x:v>Excludes existing pumped hydro.</x:v>
      </x:c>
    </x:row>
    <x:row r="36">
      <x:c r="A36" s="83" t="str">
        <x:v>ST-032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Italia</x:v>
      </x:c>
      <x:c r="F36" s="83" t="str"/>
      <x:c r="G36" s="83" t="str">
        <x:v>Total including existing pumping convention</x:v>
      </x:c>
      <x:c r="H36" s="83" t="str">
        <x:v>All storage</x:v>
      </x:c>
      <x:c r="I36" s="83" t="str">
        <x:v>Scenario configuration</x:v>
      </x:c>
      <x:c r="J36" s="197" t="n">
        <x:v>137</x:v>
      </x:c>
      <x:c r="K36" s="197"/>
      <x:c r="L36" s="197"/>
      <x:c r="M36" s="197"/>
      <x:c r="N36" s="197"/>
      <x:c r="O36" s="197"/>
      <x:c r="P36" s="197" t="str">
        <x:f>IF(AND(J36&lt;&gt;"",O36&lt;&gt;""),J36/O36,"")</x:f>
      </x:c>
      <x:c r="Q36" s="197" t="str">
        <x:f>IF(AND(J36&lt;&gt;"",N36&lt;&gt;""),J36/N36,"")</x:f>
      </x:c>
      <x:c r="R36" s="197" t="str">
        <x:f>IF(AND(J36&lt;&gt;"",M36&lt;&gt;""),J36/M36,"")</x:f>
      </x:c>
      <x:c r="S36" s="197" t="str">
        <x:f>IF(AND(J36&lt;&gt;"",L36&lt;&gt;""),J36/L36,"")</x:f>
      </x:c>
      <x:c r="T36" s="83" t="str">
        <x:v>S09</x:v>
      </x:c>
      <x:c r="U36" s="83" t="str">
        <x:v>Documento di Descrizione degli Scenari 2024</x:v>
      </x:c>
      <x:c r="V36" s="83" t="n">
        <x:v>63</x:v>
      </x:c>
      <x:c r="W36" s="83" t="str">
        <x:v>47 / 60-61</x:v>
      </x:c>
      <x:c r="X36" s="83" t="str">
        <x:v>Figure 19 / Table 16</x:v>
      </x:c>
      <x:c r="Y36" s="83" t="str">
        <x:v>B — Derived from source values</x:v>
      </x:c>
      <x:c r="Z36" s="83" t="str">
        <x:v>Total ex pumping + 50 GWh existing pumping convention</x:v>
      </x:c>
      <x:c r="AA36" s="83" t="str">
        <x:v>B — Derived</x:v>
      </x:c>
      <x:c r="AB36" s="83" t="str">
        <x:v>System-level QA; physical pumping stock is 53 GWh in S01.</x:v>
      </x:c>
      <x:c r="AC36" s="83" t="str">
        <x:v>Preserves the 50 GWh DDS convention; do not conflate with the 53 GWh physical estimate.</x:v>
      </x:c>
    </x:row>
    <x:row r="37">
      <x:c r="A37" s="83" t="str">
        <x:v>ST-033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Italia</x:v>
      </x:c>
      <x:c r="F37" s="83" t="str"/>
      <x:c r="G37" s="83" t="str">
        <x:v>Small Scale</x:v>
      </x:c>
      <x:c r="H37" s="83" t="str">
        <x:v>BESS / generic storage</x:v>
      </x:c>
      <x:c r="I37" s="83" t="str">
        <x:v>Scenario configuration</x:v>
      </x:c>
      <x:c r="J37" s="197" t="n">
        <x:v>15.1</x:v>
      </x:c>
      <x:c r="K37" s="197"/>
      <x:c r="L37" s="197"/>
      <x:c r="M37" s="197" t="n">
        <x:v>2</x:v>
      </x:c>
      <x:c r="N37" s="197"/>
      <x:c r="O37" s="197" t="n">
        <x:v>4</x:v>
      </x:c>
      <x:c r="P37" s="197" t="n">
        <x:f>IF(AND(J37&lt;&gt;"",O37&lt;&gt;""),J37/O37,"")</x:f>
        <x:v>3.775</x:v>
      </x:c>
      <x:c r="Q37" s="197" t="str">
        <x:f>IF(AND(J37&lt;&gt;"",N37&lt;&gt;""),J37/N37,"")</x:f>
      </x:c>
      <x:c r="R37" s="197" t="n">
        <x:f>IF(AND(J37&lt;&gt;"",M37&lt;&gt;""),J37/M37,"")</x:f>
        <x:v>7.55</x:v>
      </x:c>
      <x:c r="S37" s="197" t="str">
        <x:f>IF(AND(J37&lt;&gt;"",L37&lt;&gt;""),J37/L37,"")</x:f>
      </x:c>
      <x:c r="T37" s="83" t="str">
        <x:v>S09</x:v>
      </x:c>
      <x:c r="U37" s="83" t="str">
        <x:v>Documento di Descrizione degli Scenari 2024</x:v>
      </x:c>
      <x:c r="V37" s="83" t="n">
        <x:v>63</x:v>
      </x:c>
      <x:c r="W37" s="83" t="str">
        <x:v>60-61</x:v>
      </x:c>
      <x:c r="X37" s="83" t="str">
        <x:v>Table 16</x:v>
      </x:c>
      <x:c r="Y37" s="83" t="str">
        <x:v>Assunzione di scenario</x:v>
      </x:c>
      <x:c r="Z37" s="83" t="str">
        <x:v>Direct table extraction</x:v>
      </x:c>
      <x:c r="AA37" s="83" t="str">
        <x:v>A — Direct</x:v>
      </x:c>
      <x:c r="AB37" s="83" t="str">
        <x:v>Prefer two 2h/4h classes if shares become available; otherwise retain power interval.</x:v>
      </x:c>
      <x:c r="AC37" s="83" t="str">
        <x:v>Excludes existing pumped hydro.</x:v>
      </x:c>
    </x:row>
    <x:row r="38">
      <x:c r="A38" s="83" t="str">
        <x:v>ST-034</x:v>
      </x:c>
      <x:c r="B38" s="83" t="str">
        <x:v>PNIEC_SLOW_2035</x:v>
      </x:c>
      <x:c r="C38" s="83" t="n">
        <x:v>2035</x:v>
      </x:c>
      <x:c r="D38" s="83" t="str">
        <x:v>PNIEC Slow 2035</x:v>
      </x:c>
      <x:c r="E38" s="83" t="str">
        <x:v>Italia</x:v>
      </x:c>
      <x:c r="F38" s="83" t="str"/>
      <x:c r="G38" s="83" t="str">
        <x:v>Utility Scale</x:v>
      </x:c>
      <x:c r="H38" s="83" t="str">
        <x:v>BESS / generic storage</x:v>
      </x:c>
      <x:c r="I38" s="83" t="str">
        <x:v>Scenario configuration</x:v>
      </x:c>
      <x:c r="J38" s="197" t="n">
        <x:v>56</x:v>
      </x:c>
      <x:c r="K38" s="197"/>
      <x:c r="L38" s="197"/>
      <x:c r="M38" s="197" t="n">
        <x:v>8</x:v>
      </x:c>
      <x:c r="N38" s="197" t="n">
        <x:v>8</x:v>
      </x:c>
      <x:c r="O38" s="197" t="n">
        <x:v>8</x:v>
      </x:c>
      <x:c r="P38" s="197" t="n">
        <x:f>IF(AND(J38&lt;&gt;"",O38&lt;&gt;""),J38/O38,"")</x:f>
        <x:v>7</x:v>
      </x:c>
      <x:c r="Q38" s="197" t="n">
        <x:f>IF(AND(J38&lt;&gt;"",N38&lt;&gt;""),J38/N38,"")</x:f>
        <x:v>7</x:v>
      </x:c>
      <x:c r="R38" s="197" t="n">
        <x:f>IF(AND(J38&lt;&gt;"",M38&lt;&gt;""),J38/M38,"")</x:f>
        <x:v>7</x:v>
      </x:c>
      <x:c r="S38" s="197" t="str">
        <x:f>IF(AND(J38&lt;&gt;"",L38&lt;&gt;""),J38/L38,"")</x:f>
      </x:c>
      <x:c r="T38" s="83" t="str">
        <x:v>S09</x:v>
      </x:c>
      <x:c r="U38" s="83" t="str">
        <x:v>Documento di Descrizione degli Scenari 2024</x:v>
      </x:c>
      <x:c r="V38" s="83" t="n">
        <x:v>63</x:v>
      </x:c>
      <x:c r="W38" s="83" t="str">
        <x:v>60-61</x:v>
      </x:c>
      <x:c r="X38" s="83" t="str">
        <x:v>Table 16</x:v>
      </x:c>
      <x:c r="Y38" s="83" t="str">
        <x:v>Assunzione di scenario</x:v>
      </x:c>
      <x:c r="Z38" s="83" t="str">
        <x:v>Direct table extraction</x:v>
      </x:c>
      <x:c r="AA38" s="83" t="str">
        <x:v>A — Direct</x:v>
      </x:c>
      <x:c r="AB38" s="83" t="str">
        <x:v>Store+Links; e_nom direct, p_nom = e_nom/8.</x:v>
      </x:c>
      <x:c r="AC38" s="83" t="str">
        <x:v>Excludes existing pumped hydro.</x:v>
      </x:c>
    </x:row>
    <x:row r="39">
      <x:c r="A39" s="83" t="str">
        <x:v>ST-035</x:v>
      </x:c>
      <x:c r="B39" s="83" t="str">
        <x:v>PNIEC_SLOW_2035</x:v>
      </x:c>
      <x:c r="C39" s="83" t="n">
        <x:v>2035</x:v>
      </x:c>
      <x:c r="D39" s="83" t="str">
        <x:v>PNIEC Slow 2035</x:v>
      </x:c>
      <x:c r="E39" s="83" t="str">
        <x:v>Italia</x:v>
      </x:c>
      <x:c r="F39" s="83" t="str"/>
      <x:c r="G39" s="83" t="str">
        <x:v>CM</x:v>
      </x:c>
      <x:c r="H39" s="83" t="str">
        <x:v>Capacity Market storage</x:v>
      </x:c>
      <x:c r="I39" s="83" t="str">
        <x:v>Scenario configuration</x:v>
      </x:c>
      <x:c r="J39" s="197" t="n">
        <x:v>7.5</x:v>
      </x:c>
      <x:c r="K39" s="197"/>
      <x:c r="L39" s="197"/>
      <x:c r="M39" s="197"/>
      <x:c r="N39" s="197"/>
      <x:c r="O39" s="197"/>
      <x:c r="P39" s="197" t="str">
        <x:f>IF(AND(J39&lt;&gt;"",O39&lt;&gt;""),J39/O39,"")</x:f>
      </x:c>
      <x:c r="Q39" s="197" t="str">
        <x:f>IF(AND(J39&lt;&gt;"",N39&lt;&gt;""),J39/N39,"")</x:f>
      </x:c>
      <x:c r="R39" s="197" t="str">
        <x:f>IF(AND(J39&lt;&gt;"",M39&lt;&gt;""),J39/M39,"")</x:f>
      </x:c>
      <x:c r="S39" s="197" t="str">
        <x:f>IF(AND(J39&lt;&gt;"",L39&lt;&gt;""),J39/L39,"")</x:f>
      </x:c>
      <x:c r="T39" s="83" t="str">
        <x:v>S09</x:v>
      </x:c>
      <x:c r="U39" s="83" t="str">
        <x:v>Documento di Descrizione degli Scenari 2024</x:v>
      </x:c>
      <x:c r="V39" s="83" t="n">
        <x:v>63</x:v>
      </x:c>
      <x:c r="W39" s="83" t="str">
        <x:v>60-61</x:v>
      </x:c>
      <x:c r="X39" s="83" t="str">
        <x:v>Table 16</x:v>
      </x:c>
      <x:c r="Y39" s="83" t="str">
        <x:v>Assunzione di scenario</x:v>
      </x:c>
      <x:c r="Z39" s="83" t="str">
        <x:v>Direct table extraction</x:v>
      </x:c>
      <x:c r="AA39" s="83" t="str">
        <x:v>A — Direct</x:v>
      </x:c>
      <x:c r="AB39" s="83" t="str">
        <x:v>Energy direct; power unresolved until asset/auction duration data are acquired.</x:v>
      </x:c>
      <x:c r="AC39" s="83" t="str">
        <x:v>Excludes existing pumped hydro.</x:v>
      </x:c>
    </x:row>
    <x:row r="40">
      <x:c r="A40" s="83" t="str">
        <x:v>ST-036</x:v>
      </x:c>
      <x:c r="B40" s="83" t="str">
        <x:v>PNIEC_SLOW_2035</x:v>
      </x:c>
      <x:c r="C40" s="83" t="n">
        <x:v>2035</x:v>
      </x:c>
      <x:c r="D40" s="83" t="str">
        <x:v>PNIEC Slow 2035</x:v>
      </x:c>
      <x:c r="E40" s="83" t="str">
        <x:v>Italia</x:v>
      </x:c>
      <x:c r="F40" s="83" t="str"/>
      <x:c r="G40" s="83" t="str">
        <x:v>Totale</x:v>
      </x:c>
      <x:c r="H40" s="83" t="str">
        <x:v>BESS / generic storage</x:v>
      </x:c>
      <x:c r="I40" s="83" t="str">
        <x:v>Scenario configuration</x:v>
      </x:c>
      <x:c r="J40" s="197" t="n">
        <x:v>78.6</x:v>
      </x:c>
      <x:c r="K40" s="197"/>
      <x:c r="L40" s="197"/>
      <x:c r="M40" s="197"/>
      <x:c r="N40" s="197"/>
      <x:c r="O40" s="197"/>
      <x:c r="P40" s="197" t="str">
        <x:f>IF(AND(J40&lt;&gt;"",O40&lt;&gt;""),J40/O40,"")</x:f>
      </x:c>
      <x:c r="Q40" s="197" t="str">
        <x:f>IF(AND(J40&lt;&gt;"",N40&lt;&gt;""),J40/N40,"")</x:f>
      </x:c>
      <x:c r="R40" s="197" t="str">
        <x:f>IF(AND(J40&lt;&gt;"",M40&lt;&gt;""),J40/M40,"")</x:f>
      </x:c>
      <x:c r="S40" s="197" t="str">
        <x:f>IF(AND(J40&lt;&gt;"",L40&lt;&gt;""),J40/L40,"")</x:f>
      </x:c>
      <x:c r="T40" s="83" t="str">
        <x:v>S09</x:v>
      </x:c>
      <x:c r="U40" s="83" t="str">
        <x:v>Documento di Descrizione degli Scenari 2024</x:v>
      </x:c>
      <x:c r="V40" s="83" t="n">
        <x:v>63</x:v>
      </x:c>
      <x:c r="W40" s="83" t="str">
        <x:v>60-61</x:v>
      </x:c>
      <x:c r="X40" s="83" t="str">
        <x:v>Table 16</x:v>
      </x:c>
      <x:c r="Y40" s="83" t="str">
        <x:v>Assunzione di scenario</x:v>
      </x:c>
      <x:c r="Z40" s="83" t="str">
        <x:v>Direct table extraction</x:v>
      </x:c>
      <x:c r="AA40" s="83" t="str">
        <x:v>A — Direct</x:v>
      </x:c>
      <x:c r="AB40" s="83" t="str">
        <x:v>QA total only, not a standalone PyPSA component.</x:v>
      </x:c>
      <x:c r="AC40" s="83" t="str">
        <x:v>Excludes existing pumped hydro.</x:v>
      </x:c>
    </x:row>
    <x:row r="41">
      <x:c r="A41" s="83" t="str">
        <x:v>ST-037</x:v>
      </x:c>
      <x:c r="B41" s="83" t="str">
        <x:v>PNIEC_SLOW_2035</x:v>
      </x:c>
      <x:c r="C41" s="83" t="n">
        <x:v>2035</x:v>
      </x:c>
      <x:c r="D41" s="83" t="str">
        <x:v>PNIEC Slow 2035</x:v>
      </x:c>
      <x:c r="E41" s="83" t="str">
        <x:v>Italia</x:v>
      </x:c>
      <x:c r="F41" s="83" t="str"/>
      <x:c r="G41" s="83" t="str">
        <x:v>Total including existing pumping convention</x:v>
      </x:c>
      <x:c r="H41" s="83" t="str">
        <x:v>All storage</x:v>
      </x:c>
      <x:c r="I41" s="83" t="str">
        <x:v>Scenario configuration</x:v>
      </x:c>
      <x:c r="J41" s="197" t="n">
        <x:v>128.6</x:v>
      </x:c>
      <x:c r="K41" s="197"/>
      <x:c r="L41" s="197"/>
      <x:c r="M41" s="197"/>
      <x:c r="N41" s="197"/>
      <x:c r="O41" s="197"/>
      <x:c r="P41" s="197" t="str">
        <x:f>IF(AND(J41&lt;&gt;"",O41&lt;&gt;""),J41/O41,"")</x:f>
      </x:c>
      <x:c r="Q41" s="197" t="str">
        <x:f>IF(AND(J41&lt;&gt;"",N41&lt;&gt;""),J41/N41,"")</x:f>
      </x:c>
      <x:c r="R41" s="197" t="str">
        <x:f>IF(AND(J41&lt;&gt;"",M41&lt;&gt;""),J41/M41,"")</x:f>
      </x:c>
      <x:c r="S41" s="197" t="str">
        <x:f>IF(AND(J41&lt;&gt;"",L41&lt;&gt;""),J41/L41,"")</x:f>
      </x:c>
      <x:c r="T41" s="83" t="str">
        <x:v>S09</x:v>
      </x:c>
      <x:c r="U41" s="83" t="str">
        <x:v>Documento di Descrizione degli Scenari 2024</x:v>
      </x:c>
      <x:c r="V41" s="83" t="n">
        <x:v>63</x:v>
      </x:c>
      <x:c r="W41" s="83" t="str">
        <x:v>47 / 60-61</x:v>
      </x:c>
      <x:c r="X41" s="83" t="str">
        <x:v>Figure 19 / Table 16</x:v>
      </x:c>
      <x:c r="Y41" s="83" t="str">
        <x:v>B — Derived from source values</x:v>
      </x:c>
      <x:c r="Z41" s="83" t="str">
        <x:v>Total ex pumping + 50 GWh existing pumping convention</x:v>
      </x:c>
      <x:c r="AA41" s="83" t="str">
        <x:v>B — Derived</x:v>
      </x:c>
      <x:c r="AB41" s="83" t="str">
        <x:v>System-level QA; physical pumping stock is 53 GWh in S01.</x:v>
      </x:c>
      <x:c r="AC41" s="83" t="str">
        <x:v>Preserves the 50 GWh DDS convention; do not conflate with the 53 GWh physical estimate.</x:v>
      </x:c>
    </x:row>
    <x:row r="42">
      <x:c r="A42" s="83" t="str">
        <x:v>ST-038</x:v>
      </x:c>
      <x:c r="B42" s="83" t="str">
        <x:v>DE_IT_2040</x:v>
      </x:c>
      <x:c r="C42" s="83" t="n">
        <x:v>2040</x:v>
      </x:c>
      <x:c r="D42" s="83" t="str">
        <x:v>DE-IT 2040</x:v>
      </x:c>
      <x:c r="E42" s="83" t="str">
        <x:v>Italia</x:v>
      </x:c>
      <x:c r="F42" s="83" t="str"/>
      <x:c r="G42" s="83" t="str">
        <x:v>Small Scale</x:v>
      </x:c>
      <x:c r="H42" s="83" t="str">
        <x:v>BESS / generic storage</x:v>
      </x:c>
      <x:c r="I42" s="83" t="str">
        <x:v>Scenario configuration</x:v>
      </x:c>
      <x:c r="J42" s="197" t="n">
        <x:v>19.1</x:v>
      </x:c>
      <x:c r="K42" s="197"/>
      <x:c r="L42" s="197"/>
      <x:c r="M42" s="197" t="n">
        <x:v>2</x:v>
      </x:c>
      <x:c r="N42" s="197"/>
      <x:c r="O42" s="197" t="n">
        <x:v>4</x:v>
      </x:c>
      <x:c r="P42" s="197" t="n">
        <x:f>IF(AND(J42&lt;&gt;"",O42&lt;&gt;""),J42/O42,"")</x:f>
        <x:v>4.775</x:v>
      </x:c>
      <x:c r="Q42" s="197" t="str">
        <x:f>IF(AND(J42&lt;&gt;"",N42&lt;&gt;""),J42/N42,"")</x:f>
      </x:c>
      <x:c r="R42" s="197" t="n">
        <x:f>IF(AND(J42&lt;&gt;"",M42&lt;&gt;""),J42/M42,"")</x:f>
        <x:v>9.55</x:v>
      </x:c>
      <x:c r="S42" s="197" t="str">
        <x:f>IF(AND(J42&lt;&gt;"",L42&lt;&gt;""),J42/L42,"")</x:f>
      </x:c>
      <x:c r="T42" s="83" t="str">
        <x:v>S09</x:v>
      </x:c>
      <x:c r="U42" s="83" t="str">
        <x:v>Documento di Descrizione degli Scenari 2024</x:v>
      </x:c>
      <x:c r="V42" s="83" t="n">
        <x:v>63</x:v>
      </x:c>
      <x:c r="W42" s="83" t="str">
        <x:v>60-61</x:v>
      </x:c>
      <x:c r="X42" s="83" t="str">
        <x:v>Table 16</x:v>
      </x:c>
      <x:c r="Y42" s="83" t="str">
        <x:v>Assunzione di scenario</x:v>
      </x:c>
      <x:c r="Z42" s="83" t="str">
        <x:v>Direct table extraction</x:v>
      </x:c>
      <x:c r="AA42" s="83" t="str">
        <x:v>A — Direct</x:v>
      </x:c>
      <x:c r="AB42" s="83" t="str">
        <x:v>Prefer two 2h/4h classes if shares become available; otherwise retain power interval.</x:v>
      </x:c>
      <x:c r="AC42" s="83" t="str">
        <x:v>Excludes existing pumped hydro.</x:v>
      </x:c>
    </x:row>
    <x:row r="43">
      <x:c r="A43" s="83" t="str">
        <x:v>ST-039</x:v>
      </x:c>
      <x:c r="B43" s="83" t="str">
        <x:v>DE_IT_2040</x:v>
      </x:c>
      <x:c r="C43" s="83" t="n">
        <x:v>2040</x:v>
      </x:c>
      <x:c r="D43" s="83" t="str">
        <x:v>DE-IT 2040</x:v>
      </x:c>
      <x:c r="E43" s="83" t="str">
        <x:v>Italia</x:v>
      </x:c>
      <x:c r="F43" s="83" t="str"/>
      <x:c r="G43" s="83" t="str">
        <x:v>Utility Scale</x:v>
      </x:c>
      <x:c r="H43" s="83" t="str">
        <x:v>BESS / generic storage</x:v>
      </x:c>
      <x:c r="I43" s="83" t="str">
        <x:v>Scenario configuration</x:v>
      </x:c>
      <x:c r="J43" s="197" t="n">
        <x:v>140</x:v>
      </x:c>
      <x:c r="K43" s="197"/>
      <x:c r="L43" s="197"/>
      <x:c r="M43" s="197" t="n">
        <x:v>8</x:v>
      </x:c>
      <x:c r="N43" s="197" t="n">
        <x:v>8</x:v>
      </x:c>
      <x:c r="O43" s="197" t="n">
        <x:v>8</x:v>
      </x:c>
      <x:c r="P43" s="197" t="n">
        <x:f>IF(AND(J43&lt;&gt;"",O43&lt;&gt;""),J43/O43,"")</x:f>
        <x:v>17.5</x:v>
      </x:c>
      <x:c r="Q43" s="197" t="n">
        <x:f>IF(AND(J43&lt;&gt;"",N43&lt;&gt;""),J43/N43,"")</x:f>
        <x:v>17.5</x:v>
      </x:c>
      <x:c r="R43" s="197" t="n">
        <x:f>IF(AND(J43&lt;&gt;"",M43&lt;&gt;""),J43/M43,"")</x:f>
        <x:v>17.5</x:v>
      </x:c>
      <x:c r="S43" s="197" t="str">
        <x:f>IF(AND(J43&lt;&gt;"",L43&lt;&gt;""),J43/L43,"")</x:f>
      </x:c>
      <x:c r="T43" s="83" t="str">
        <x:v>S09</x:v>
      </x:c>
      <x:c r="U43" s="83" t="str">
        <x:v>Documento di Descrizione degli Scenari 2024</x:v>
      </x:c>
      <x:c r="V43" s="83" t="n">
        <x:v>63</x:v>
      </x:c>
      <x:c r="W43" s="83" t="str">
        <x:v>60-61</x:v>
      </x:c>
      <x:c r="X43" s="83" t="str">
        <x:v>Table 16</x:v>
      </x:c>
      <x:c r="Y43" s="83" t="str">
        <x:v>Assunzione di scenario</x:v>
      </x:c>
      <x:c r="Z43" s="83" t="str">
        <x:v>Direct table extraction</x:v>
      </x:c>
      <x:c r="AA43" s="83" t="str">
        <x:v>A — Direct</x:v>
      </x:c>
      <x:c r="AB43" s="83" t="str">
        <x:v>Store+Links; e_nom direct, p_nom = e_nom/8.</x:v>
      </x:c>
      <x:c r="AC43" s="83" t="str">
        <x:v>Excludes existing pumped hydro.</x:v>
      </x:c>
    </x:row>
    <x:row r="44">
      <x:c r="A44" s="83" t="str">
        <x:v>ST-040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Italia</x:v>
      </x:c>
      <x:c r="F44" s="83" t="str"/>
      <x:c r="G44" s="83" t="str">
        <x:v>CM</x:v>
      </x:c>
      <x:c r="H44" s="83" t="str">
        <x:v>Capacity Market storage</x:v>
      </x:c>
      <x:c r="I44" s="83" t="str">
        <x:v>Scenario configuration</x:v>
      </x:c>
      <x:c r="J44" s="197" t="n">
        <x:v>7.5</x:v>
      </x:c>
      <x:c r="K44" s="197"/>
      <x:c r="L44" s="197"/>
      <x:c r="M44" s="197"/>
      <x:c r="N44" s="197"/>
      <x:c r="O44" s="197"/>
      <x:c r="P44" s="197" t="str">
        <x:f>IF(AND(J44&lt;&gt;"",O44&lt;&gt;""),J44/O44,"")</x:f>
      </x:c>
      <x:c r="Q44" s="197" t="str">
        <x:f>IF(AND(J44&lt;&gt;"",N44&lt;&gt;""),J44/N44,"")</x:f>
      </x:c>
      <x:c r="R44" s="197" t="str">
        <x:f>IF(AND(J44&lt;&gt;"",M44&lt;&gt;""),J44/M44,"")</x:f>
      </x:c>
      <x:c r="S44" s="197" t="str">
        <x:f>IF(AND(J44&lt;&gt;"",L44&lt;&gt;""),J44/L44,"")</x:f>
      </x:c>
      <x:c r="T44" s="83" t="str">
        <x:v>S09</x:v>
      </x:c>
      <x:c r="U44" s="83" t="str">
        <x:v>Documento di Descrizione degli Scenari 2024</x:v>
      </x:c>
      <x:c r="V44" s="83" t="n">
        <x:v>63</x:v>
      </x:c>
      <x:c r="W44" s="83" t="str">
        <x:v>60-61</x:v>
      </x:c>
      <x:c r="X44" s="83" t="str">
        <x:v>Table 16</x:v>
      </x:c>
      <x:c r="Y44" s="83" t="str">
        <x:v>Assunzione di scenario</x:v>
      </x:c>
      <x:c r="Z44" s="83" t="str">
        <x:v>Direct table extraction</x:v>
      </x:c>
      <x:c r="AA44" s="83" t="str">
        <x:v>A — Direct</x:v>
      </x:c>
      <x:c r="AB44" s="83" t="str">
        <x:v>Energy direct; power unresolved until asset/auction duration data are acquired.</x:v>
      </x:c>
      <x:c r="AC44" s="83" t="str">
        <x:v>Excludes existing pumped hydro.</x:v>
      </x:c>
    </x:row>
    <x:row r="45">
      <x:c r="A45" s="83" t="str">
        <x:v>ST-041</x:v>
      </x:c>
      <x:c r="B45" s="83" t="str">
        <x:v>DE_IT_2040</x:v>
      </x:c>
      <x:c r="C45" s="83" t="n">
        <x:v>2040</x:v>
      </x:c>
      <x:c r="D45" s="83" t="str">
        <x:v>DE-IT 2040</x:v>
      </x:c>
      <x:c r="E45" s="83" t="str">
        <x:v>Italia</x:v>
      </x:c>
      <x:c r="F45" s="83" t="str"/>
      <x:c r="G45" s="83" t="str">
        <x:v>Totale</x:v>
      </x:c>
      <x:c r="H45" s="83" t="str">
        <x:v>BESS / generic storage</x:v>
      </x:c>
      <x:c r="I45" s="83" t="str">
        <x:v>Scenario configuration</x:v>
      </x:c>
      <x:c r="J45" s="197" t="n">
        <x:v>166.5</x:v>
      </x:c>
      <x:c r="K45" s="197"/>
      <x:c r="L45" s="197"/>
      <x:c r="M45" s="197"/>
      <x:c r="N45" s="197"/>
      <x:c r="O45" s="197"/>
      <x:c r="P45" s="197" t="str">
        <x:f>IF(AND(J45&lt;&gt;"",O45&lt;&gt;""),J45/O45,"")</x:f>
      </x:c>
      <x:c r="Q45" s="197" t="str">
        <x:f>IF(AND(J45&lt;&gt;"",N45&lt;&gt;""),J45/N45,"")</x:f>
      </x:c>
      <x:c r="R45" s="197" t="str">
        <x:f>IF(AND(J45&lt;&gt;"",M45&lt;&gt;""),J45/M45,"")</x:f>
      </x:c>
      <x:c r="S45" s="197" t="str">
        <x:f>IF(AND(J45&lt;&gt;"",L45&lt;&gt;""),J45/L45,"")</x:f>
      </x:c>
      <x:c r="T45" s="83" t="str">
        <x:v>S09</x:v>
      </x:c>
      <x:c r="U45" s="83" t="str">
        <x:v>Documento di Descrizione degli Scenari 2024</x:v>
      </x:c>
      <x:c r="V45" s="83" t="n">
        <x:v>63</x:v>
      </x:c>
      <x:c r="W45" s="83" t="str">
        <x:v>60-61</x:v>
      </x:c>
      <x:c r="X45" s="83" t="str">
        <x:v>Table 16</x:v>
      </x:c>
      <x:c r="Y45" s="83" t="str">
        <x:v>Assunzione di scenario</x:v>
      </x:c>
      <x:c r="Z45" s="83" t="str">
        <x:v>Direct table extraction</x:v>
      </x:c>
      <x:c r="AA45" s="83" t="str">
        <x:v>A — Direct</x:v>
      </x:c>
      <x:c r="AB45" s="83" t="str">
        <x:v>QA total only, not a standalone PyPSA component.</x:v>
      </x:c>
      <x:c r="AC45" s="83" t="str">
        <x:v>Excludes existing pumped hydro.</x:v>
      </x:c>
    </x:row>
    <x:row r="46">
      <x:c r="A46" s="83" t="str">
        <x:v>ST-042</x:v>
      </x:c>
      <x:c r="B46" s="83" t="str">
        <x:v>DE_IT_2040</x:v>
      </x:c>
      <x:c r="C46" s="83" t="n">
        <x:v>2040</x:v>
      </x:c>
      <x:c r="D46" s="83" t="str">
        <x:v>DE-IT 2040</x:v>
      </x:c>
      <x:c r="E46" s="83" t="str">
        <x:v>Italia</x:v>
      </x:c>
      <x:c r="F46" s="83" t="str"/>
      <x:c r="G46" s="83" t="str">
        <x:v>Total including existing pumping convention</x:v>
      </x:c>
      <x:c r="H46" s="83" t="str">
        <x:v>All storage</x:v>
      </x:c>
      <x:c r="I46" s="83" t="str">
        <x:v>Scenario configuration</x:v>
      </x:c>
      <x:c r="J46" s="197" t="n">
        <x:v>216.5</x:v>
      </x:c>
      <x:c r="K46" s="197"/>
      <x:c r="L46" s="197"/>
      <x:c r="M46" s="197"/>
      <x:c r="N46" s="197"/>
      <x:c r="O46" s="197"/>
      <x:c r="P46" s="197" t="str">
        <x:f>IF(AND(J46&lt;&gt;"",O46&lt;&gt;""),J46/O46,"")</x:f>
      </x:c>
      <x:c r="Q46" s="197" t="str">
        <x:f>IF(AND(J46&lt;&gt;"",N46&lt;&gt;""),J46/N46,"")</x:f>
      </x:c>
      <x:c r="R46" s="197" t="str">
        <x:f>IF(AND(J46&lt;&gt;"",M46&lt;&gt;""),J46/M46,"")</x:f>
      </x:c>
      <x:c r="S46" s="197" t="str">
        <x:f>IF(AND(J46&lt;&gt;"",L46&lt;&gt;""),J46/L46,"")</x:f>
      </x:c>
      <x:c r="T46" s="83" t="str">
        <x:v>S09</x:v>
      </x:c>
      <x:c r="U46" s="83" t="str">
        <x:v>Documento di Descrizione degli Scenari 2024</x:v>
      </x:c>
      <x:c r="V46" s="83" t="n">
        <x:v>63</x:v>
      </x:c>
      <x:c r="W46" s="83" t="str">
        <x:v>47 / 60-61</x:v>
      </x:c>
      <x:c r="X46" s="83" t="str">
        <x:v>Figure 19 / Table 16</x:v>
      </x:c>
      <x:c r="Y46" s="83" t="str">
        <x:v>B — Derived from source values</x:v>
      </x:c>
      <x:c r="Z46" s="83" t="str">
        <x:v>Total ex pumping + 50 GWh existing pumping convention</x:v>
      </x:c>
      <x:c r="AA46" s="83" t="str">
        <x:v>B — Derived</x:v>
      </x:c>
      <x:c r="AB46" s="83" t="str">
        <x:v>System-level QA; physical pumping stock is 53 GWh in S01.</x:v>
      </x:c>
      <x:c r="AC46" s="83" t="str">
        <x:v>Preserves the 50 GWh DDS convention; do not conflate with the 53 GWh physical estimate.</x:v>
      </x:c>
    </x:row>
    <x:row r="47">
      <x:c r="A47" s="83" t="str">
        <x:v>ST-043</x:v>
      </x:c>
      <x:c r="B47" s="83" t="str">
        <x:v>GA_IT_2040</x:v>
      </x:c>
      <x:c r="C47" s="83" t="n">
        <x:v>2040</x:v>
      </x:c>
      <x:c r="D47" s="83" t="str">
        <x:v>GA-IT 2040</x:v>
      </x:c>
      <x:c r="E47" s="83" t="str">
        <x:v>Italia</x:v>
      </x:c>
      <x:c r="F47" s="83" t="str"/>
      <x:c r="G47" s="83" t="str">
        <x:v>Small Scale</x:v>
      </x:c>
      <x:c r="H47" s="83" t="str">
        <x:v>BESS / generic storage</x:v>
      </x:c>
      <x:c r="I47" s="83" t="str">
        <x:v>Scenario configuration</x:v>
      </x:c>
      <x:c r="J47" s="197" t="n">
        <x:v>18.2</x:v>
      </x:c>
      <x:c r="K47" s="197"/>
      <x:c r="L47" s="197"/>
      <x:c r="M47" s="197" t="n">
        <x:v>2</x:v>
      </x:c>
      <x:c r="N47" s="197"/>
      <x:c r="O47" s="197" t="n">
        <x:v>4</x:v>
      </x:c>
      <x:c r="P47" s="197" t="n">
        <x:f>IF(AND(J47&lt;&gt;"",O47&lt;&gt;""),J47/O47,"")</x:f>
        <x:v>4.55</x:v>
      </x:c>
      <x:c r="Q47" s="197" t="str">
        <x:f>IF(AND(J47&lt;&gt;"",N47&lt;&gt;""),J47/N47,"")</x:f>
      </x:c>
      <x:c r="R47" s="197" t="n">
        <x:f>IF(AND(J47&lt;&gt;"",M47&lt;&gt;""),J47/M47,"")</x:f>
        <x:v>9.1</x:v>
      </x:c>
      <x:c r="S47" s="197" t="str">
        <x:f>IF(AND(J47&lt;&gt;"",L47&lt;&gt;""),J47/L47,"")</x:f>
      </x:c>
      <x:c r="T47" s="83" t="str">
        <x:v>S09</x:v>
      </x:c>
      <x:c r="U47" s="83" t="str">
        <x:v>Documento di Descrizione degli Scenari 2024</x:v>
      </x:c>
      <x:c r="V47" s="83" t="n">
        <x:v>63</x:v>
      </x:c>
      <x:c r="W47" s="83" t="str">
        <x:v>60-61</x:v>
      </x:c>
      <x:c r="X47" s="83" t="str">
        <x:v>Table 16</x:v>
      </x:c>
      <x:c r="Y47" s="83" t="str">
        <x:v>Assunzione di scenario</x:v>
      </x:c>
      <x:c r="Z47" s="83" t="str">
        <x:v>Direct table extraction</x:v>
      </x:c>
      <x:c r="AA47" s="83" t="str">
        <x:v>A — Direct</x:v>
      </x:c>
      <x:c r="AB47" s="83" t="str">
        <x:v>Prefer two 2h/4h classes if shares become available; otherwise retain power interval.</x:v>
      </x:c>
      <x:c r="AC47" s="83" t="str">
        <x:v>Excludes existing pumped hydro.</x:v>
      </x:c>
    </x:row>
    <x:row r="48">
      <x:c r="A48" s="83" t="str">
        <x:v>ST-044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Italia</x:v>
      </x:c>
      <x:c r="F48" s="83" t="str"/>
      <x:c r="G48" s="83" t="str">
        <x:v>Utility Scale</x:v>
      </x:c>
      <x:c r="H48" s="83" t="str">
        <x:v>BESS / generic storage</x:v>
      </x:c>
      <x:c r="I48" s="83" t="str">
        <x:v>Scenario configuration</x:v>
      </x:c>
      <x:c r="J48" s="197" t="n">
        <x:v>108</x:v>
      </x:c>
      <x:c r="K48" s="197"/>
      <x:c r="L48" s="197"/>
      <x:c r="M48" s="197" t="n">
        <x:v>8</x:v>
      </x:c>
      <x:c r="N48" s="197" t="n">
        <x:v>8</x:v>
      </x:c>
      <x:c r="O48" s="197" t="n">
        <x:v>8</x:v>
      </x:c>
      <x:c r="P48" s="197" t="n">
        <x:f>IF(AND(J48&lt;&gt;"",O48&lt;&gt;""),J48/O48,"")</x:f>
        <x:v>13.5</x:v>
      </x:c>
      <x:c r="Q48" s="197" t="n">
        <x:f>IF(AND(J48&lt;&gt;"",N48&lt;&gt;""),J48/N48,"")</x:f>
        <x:v>13.5</x:v>
      </x:c>
      <x:c r="R48" s="197" t="n">
        <x:f>IF(AND(J48&lt;&gt;"",M48&lt;&gt;""),J48/M48,"")</x:f>
        <x:v>13.5</x:v>
      </x:c>
      <x:c r="S48" s="197" t="str">
        <x:f>IF(AND(J48&lt;&gt;"",L48&lt;&gt;""),J48/L48,"")</x:f>
      </x:c>
      <x:c r="T48" s="83" t="str">
        <x:v>S09</x:v>
      </x:c>
      <x:c r="U48" s="83" t="str">
        <x:v>Documento di Descrizione degli Scenari 2024</x:v>
      </x:c>
      <x:c r="V48" s="83" t="n">
        <x:v>63</x:v>
      </x:c>
      <x:c r="W48" s="83" t="str">
        <x:v>60-61</x:v>
      </x:c>
      <x:c r="X48" s="83" t="str">
        <x:v>Table 16</x:v>
      </x:c>
      <x:c r="Y48" s="83" t="str">
        <x:v>Assunzione di scenario</x:v>
      </x:c>
      <x:c r="Z48" s="83" t="str">
        <x:v>Direct table extraction</x:v>
      </x:c>
      <x:c r="AA48" s="83" t="str">
        <x:v>A — Direct</x:v>
      </x:c>
      <x:c r="AB48" s="83" t="str">
        <x:v>Store+Links; e_nom direct, p_nom = e_nom/8.</x:v>
      </x:c>
      <x:c r="AC48" s="83" t="str">
        <x:v>Excludes existing pumped hydro.</x:v>
      </x:c>
    </x:row>
    <x:row r="49">
      <x:c r="A49" s="83" t="str">
        <x:v>ST-045</x:v>
      </x:c>
      <x:c r="B49" s="83" t="str">
        <x:v>GA_IT_2040</x:v>
      </x:c>
      <x:c r="C49" s="83" t="n">
        <x:v>2040</x:v>
      </x:c>
      <x:c r="D49" s="83" t="str">
        <x:v>GA-IT 2040</x:v>
      </x:c>
      <x:c r="E49" s="83" t="str">
        <x:v>Italia</x:v>
      </x:c>
      <x:c r="F49" s="83" t="str"/>
      <x:c r="G49" s="83" t="str">
        <x:v>CM</x:v>
      </x:c>
      <x:c r="H49" s="83" t="str">
        <x:v>Capacity Market storage</x:v>
      </x:c>
      <x:c r="I49" s="83" t="str">
        <x:v>Scenario configuration</x:v>
      </x:c>
      <x:c r="J49" s="197" t="n">
        <x:v>7.5</x:v>
      </x:c>
      <x:c r="K49" s="197"/>
      <x:c r="L49" s="197"/>
      <x:c r="M49" s="197"/>
      <x:c r="N49" s="197"/>
      <x:c r="O49" s="197"/>
      <x:c r="P49" s="197" t="str">
        <x:f>IF(AND(J49&lt;&gt;"",O49&lt;&gt;""),J49/O49,"")</x:f>
      </x:c>
      <x:c r="Q49" s="197" t="str">
        <x:f>IF(AND(J49&lt;&gt;"",N49&lt;&gt;""),J49/N49,"")</x:f>
      </x:c>
      <x:c r="R49" s="197" t="str">
        <x:f>IF(AND(J49&lt;&gt;"",M49&lt;&gt;""),J49/M49,"")</x:f>
      </x:c>
      <x:c r="S49" s="197" t="str">
        <x:f>IF(AND(J49&lt;&gt;"",L49&lt;&gt;""),J49/L49,"")</x:f>
      </x:c>
      <x:c r="T49" s="83" t="str">
        <x:v>S09</x:v>
      </x:c>
      <x:c r="U49" s="83" t="str">
        <x:v>Documento di Descrizione degli Scenari 2024</x:v>
      </x:c>
      <x:c r="V49" s="83" t="n">
        <x:v>63</x:v>
      </x:c>
      <x:c r="W49" s="83" t="str">
        <x:v>60-61</x:v>
      </x:c>
      <x:c r="X49" s="83" t="str">
        <x:v>Table 16</x:v>
      </x:c>
      <x:c r="Y49" s="83" t="str">
        <x:v>Assunzione di scenario</x:v>
      </x:c>
      <x:c r="Z49" s="83" t="str">
        <x:v>Direct table extraction</x:v>
      </x:c>
      <x:c r="AA49" s="83" t="str">
        <x:v>A — Direct</x:v>
      </x:c>
      <x:c r="AB49" s="83" t="str">
        <x:v>Energy direct; power unresolved until asset/auction duration data are acquired.</x:v>
      </x:c>
      <x:c r="AC49" s="83" t="str">
        <x:v>Excludes existing pumped hydro.</x:v>
      </x:c>
    </x:row>
    <x:row r="50">
      <x:c r="A50" s="83" t="str">
        <x:v>ST-046</x:v>
      </x:c>
      <x:c r="B50" s="83" t="str">
        <x:v>GA_IT_2040</x:v>
      </x:c>
      <x:c r="C50" s="83" t="n">
        <x:v>2040</x:v>
      </x:c>
      <x:c r="D50" s="83" t="str">
        <x:v>GA-IT 2040</x:v>
      </x:c>
      <x:c r="E50" s="83" t="str">
        <x:v>Italia</x:v>
      </x:c>
      <x:c r="F50" s="83" t="str"/>
      <x:c r="G50" s="83" t="str">
        <x:v>Totale</x:v>
      </x:c>
      <x:c r="H50" s="83" t="str">
        <x:v>BESS / generic storage</x:v>
      </x:c>
      <x:c r="I50" s="83" t="str">
        <x:v>Scenario configuration</x:v>
      </x:c>
      <x:c r="J50" s="197" t="n">
        <x:v>133.6</x:v>
      </x:c>
      <x:c r="K50" s="197"/>
      <x:c r="L50" s="197"/>
      <x:c r="M50" s="197"/>
      <x:c r="N50" s="197"/>
      <x:c r="O50" s="197"/>
      <x:c r="P50" s="197" t="str">
        <x:f>IF(AND(J50&lt;&gt;"",O50&lt;&gt;""),J50/O50,"")</x:f>
      </x:c>
      <x:c r="Q50" s="197" t="str">
        <x:f>IF(AND(J50&lt;&gt;"",N50&lt;&gt;""),J50/N50,"")</x:f>
      </x:c>
      <x:c r="R50" s="197" t="str">
        <x:f>IF(AND(J50&lt;&gt;"",M50&lt;&gt;""),J50/M50,"")</x:f>
      </x:c>
      <x:c r="S50" s="197" t="str">
        <x:f>IF(AND(J50&lt;&gt;"",L50&lt;&gt;""),J50/L50,"")</x:f>
      </x:c>
      <x:c r="T50" s="83" t="str">
        <x:v>S09</x:v>
      </x:c>
      <x:c r="U50" s="83" t="str">
        <x:v>Documento di Descrizione degli Scenari 2024</x:v>
      </x:c>
      <x:c r="V50" s="83" t="n">
        <x:v>63</x:v>
      </x:c>
      <x:c r="W50" s="83" t="str">
        <x:v>60-61</x:v>
      </x:c>
      <x:c r="X50" s="83" t="str">
        <x:v>Table 16</x:v>
      </x:c>
      <x:c r="Y50" s="83" t="str">
        <x:v>Assunzione di scenario</x:v>
      </x:c>
      <x:c r="Z50" s="83" t="str">
        <x:v>Direct table extraction</x:v>
      </x:c>
      <x:c r="AA50" s="83" t="str">
        <x:v>A — Direct</x:v>
      </x:c>
      <x:c r="AB50" s="83" t="str">
        <x:v>QA total only, not a standalone PyPSA component.</x:v>
      </x:c>
      <x:c r="AC50" s="83" t="str">
        <x:v>Excludes existing pumped hydro.</x:v>
      </x:c>
    </x:row>
    <x:row r="51">
      <x:c r="A51" s="83" t="str">
        <x:v>ST-047</x:v>
      </x:c>
      <x:c r="B51" s="83" t="str">
        <x:v>GA_IT_2040</x:v>
      </x:c>
      <x:c r="C51" s="83" t="n">
        <x:v>2040</x:v>
      </x:c>
      <x:c r="D51" s="83" t="str">
        <x:v>GA-IT 2040</x:v>
      </x:c>
      <x:c r="E51" s="83" t="str">
        <x:v>Italia</x:v>
      </x:c>
      <x:c r="F51" s="83" t="str"/>
      <x:c r="G51" s="83" t="str">
        <x:v>Total including existing pumping convention</x:v>
      </x:c>
      <x:c r="H51" s="83" t="str">
        <x:v>All storage</x:v>
      </x:c>
      <x:c r="I51" s="83" t="str">
        <x:v>Scenario configuration</x:v>
      </x:c>
      <x:c r="J51" s="197" t="n">
        <x:v>183.6</x:v>
      </x:c>
      <x:c r="K51" s="197"/>
      <x:c r="L51" s="197"/>
      <x:c r="M51" s="197"/>
      <x:c r="N51" s="197"/>
      <x:c r="O51" s="197"/>
      <x:c r="P51" s="197" t="str">
        <x:f>IF(AND(J51&lt;&gt;"",O51&lt;&gt;""),J51/O51,"")</x:f>
      </x:c>
      <x:c r="Q51" s="197" t="str">
        <x:f>IF(AND(J51&lt;&gt;"",N51&lt;&gt;""),J51/N51,"")</x:f>
      </x:c>
      <x:c r="R51" s="197" t="str">
        <x:f>IF(AND(J51&lt;&gt;"",M51&lt;&gt;""),J51/M51,"")</x:f>
      </x:c>
      <x:c r="S51" s="197" t="str">
        <x:f>IF(AND(J51&lt;&gt;"",L51&lt;&gt;""),J51/L51,"")</x:f>
      </x:c>
      <x:c r="T51" s="83" t="str">
        <x:v>S09</x:v>
      </x:c>
      <x:c r="U51" s="83" t="str">
        <x:v>Documento di Descrizione degli Scenari 2024</x:v>
      </x:c>
      <x:c r="V51" s="83" t="n">
        <x:v>63</x:v>
      </x:c>
      <x:c r="W51" s="83" t="str">
        <x:v>47 / 60-61</x:v>
      </x:c>
      <x:c r="X51" s="83" t="str">
        <x:v>Figure 19 / Table 16</x:v>
      </x:c>
      <x:c r="Y51" s="83" t="str">
        <x:v>B — Derived from source values</x:v>
      </x:c>
      <x:c r="Z51" s="83" t="str">
        <x:v>Total ex pumping + 50 GWh existing pumping convention</x:v>
      </x:c>
      <x:c r="AA51" s="83" t="str">
        <x:v>B — Derived</x:v>
      </x:c>
      <x:c r="AB51" s="83" t="str">
        <x:v>System-level QA; physical pumping stock is 53 GWh in S01.</x:v>
      </x:c>
      <x:c r="AC51" s="83" t="str">
        <x:v>Preserves the 50 GWh DDS convention; do not conflate with the 53 GWh physical estimate.</x:v>
      </x:c>
    </x:row>
    <x:row r="52">
      <x:c r="A52" s="83" t="str">
        <x:v>ST-048</x:v>
      </x:c>
      <x:c r="B52" s="83" t="str">
        <x:v>PNIEC_SLOW_2040</x:v>
      </x:c>
      <x:c r="C52" s="83" t="n">
        <x:v>2040</x:v>
      </x:c>
      <x:c r="D52" s="83" t="str">
        <x:v>PNIEC Slow 2040</x:v>
      </x:c>
      <x:c r="E52" s="83" t="str">
        <x:v>Italia</x:v>
      </x:c>
      <x:c r="F52" s="83" t="str"/>
      <x:c r="G52" s="83" t="str">
        <x:v>Small Scale</x:v>
      </x:c>
      <x:c r="H52" s="83" t="str">
        <x:v>BESS / generic storage</x:v>
      </x:c>
      <x:c r="I52" s="83" t="str">
        <x:v>Scenario configuration</x:v>
      </x:c>
      <x:c r="J52" s="197" t="n">
        <x:v>17.5</x:v>
      </x:c>
      <x:c r="K52" s="197"/>
      <x:c r="L52" s="197"/>
      <x:c r="M52" s="197" t="n">
        <x:v>2</x:v>
      </x:c>
      <x:c r="N52" s="197"/>
      <x:c r="O52" s="197" t="n">
        <x:v>4</x:v>
      </x:c>
      <x:c r="P52" s="197" t="n">
        <x:f>IF(AND(J52&lt;&gt;"",O52&lt;&gt;""),J52/O52,"")</x:f>
        <x:v>4.375</x:v>
      </x:c>
      <x:c r="Q52" s="197" t="str">
        <x:f>IF(AND(J52&lt;&gt;"",N52&lt;&gt;""),J52/N52,"")</x:f>
      </x:c>
      <x:c r="R52" s="197" t="n">
        <x:f>IF(AND(J52&lt;&gt;"",M52&lt;&gt;""),J52/M52,"")</x:f>
        <x:v>8.75</x:v>
      </x:c>
      <x:c r="S52" s="197" t="str">
        <x:f>IF(AND(J52&lt;&gt;"",L52&lt;&gt;""),J52/L52,"")</x:f>
      </x:c>
      <x:c r="T52" s="83" t="str">
        <x:v>S09</x:v>
      </x:c>
      <x:c r="U52" s="83" t="str">
        <x:v>Documento di Descrizione degli Scenari 2024</x:v>
      </x:c>
      <x:c r="V52" s="83" t="n">
        <x:v>63</x:v>
      </x:c>
      <x:c r="W52" s="83" t="str">
        <x:v>60-61</x:v>
      </x:c>
      <x:c r="X52" s="83" t="str">
        <x:v>Table 16</x:v>
      </x:c>
      <x:c r="Y52" s="83" t="str">
        <x:v>Assunzione di scenario</x:v>
      </x:c>
      <x:c r="Z52" s="83" t="str">
        <x:v>Direct table extraction</x:v>
      </x:c>
      <x:c r="AA52" s="83" t="str">
        <x:v>A — Direct</x:v>
      </x:c>
      <x:c r="AB52" s="83" t="str">
        <x:v>Prefer two 2h/4h classes if shares become available; otherwise retain power interval.</x:v>
      </x:c>
      <x:c r="AC52" s="83" t="str">
        <x:v>Excludes existing pumped hydro.</x:v>
      </x:c>
    </x:row>
    <x:row r="53">
      <x:c r="A53" s="83" t="str">
        <x:v>ST-049</x:v>
      </x:c>
      <x:c r="B53" s="83" t="str">
        <x:v>PNIEC_SLOW_2040</x:v>
      </x:c>
      <x:c r="C53" s="83" t="n">
        <x:v>2040</x:v>
      </x:c>
      <x:c r="D53" s="83" t="str">
        <x:v>PNIEC Slow 2040</x:v>
      </x:c>
      <x:c r="E53" s="83" t="str">
        <x:v>Italia</x:v>
      </x:c>
      <x:c r="F53" s="83" t="str"/>
      <x:c r="G53" s="83" t="str">
        <x:v>Utility Scale</x:v>
      </x:c>
      <x:c r="H53" s="83" t="str">
        <x:v>BESS / generic storage</x:v>
      </x:c>
      <x:c r="I53" s="83" t="str">
        <x:v>Scenario configuration</x:v>
      </x:c>
      <x:c r="J53" s="197" t="n">
        <x:v>92</x:v>
      </x:c>
      <x:c r="K53" s="197"/>
      <x:c r="L53" s="197"/>
      <x:c r="M53" s="197" t="n">
        <x:v>8</x:v>
      </x:c>
      <x:c r="N53" s="197" t="n">
        <x:v>8</x:v>
      </x:c>
      <x:c r="O53" s="197" t="n">
        <x:v>8</x:v>
      </x:c>
      <x:c r="P53" s="197" t="n">
        <x:f>IF(AND(J53&lt;&gt;"",O53&lt;&gt;""),J53/O53,"")</x:f>
        <x:v>11.5</x:v>
      </x:c>
      <x:c r="Q53" s="197" t="n">
        <x:f>IF(AND(J53&lt;&gt;"",N53&lt;&gt;""),J53/N53,"")</x:f>
        <x:v>11.5</x:v>
      </x:c>
      <x:c r="R53" s="197" t="n">
        <x:f>IF(AND(J53&lt;&gt;"",M53&lt;&gt;""),J53/M53,"")</x:f>
        <x:v>11.5</x:v>
      </x:c>
      <x:c r="S53" s="197" t="str">
        <x:f>IF(AND(J53&lt;&gt;"",L53&lt;&gt;""),J53/L53,"")</x:f>
      </x:c>
      <x:c r="T53" s="83" t="str">
        <x:v>S09</x:v>
      </x:c>
      <x:c r="U53" s="83" t="str">
        <x:v>Documento di Descrizione degli Scenari 2024</x:v>
      </x:c>
      <x:c r="V53" s="83" t="n">
        <x:v>63</x:v>
      </x:c>
      <x:c r="W53" s="83" t="str">
        <x:v>60-61</x:v>
      </x:c>
      <x:c r="X53" s="83" t="str">
        <x:v>Table 16</x:v>
      </x:c>
      <x:c r="Y53" s="83" t="str">
        <x:v>Assunzione di scenario</x:v>
      </x:c>
      <x:c r="Z53" s="83" t="str">
        <x:v>Direct table extraction</x:v>
      </x:c>
      <x:c r="AA53" s="83" t="str">
        <x:v>A — Direct</x:v>
      </x:c>
      <x:c r="AB53" s="83" t="str">
        <x:v>Store+Links; e_nom direct, p_nom = e_nom/8.</x:v>
      </x:c>
      <x:c r="AC53" s="83" t="str">
        <x:v>Excludes existing pumped hydro.</x:v>
      </x:c>
    </x:row>
    <x:row r="54">
      <x:c r="A54" s="83" t="str">
        <x:v>ST-050</x:v>
      </x:c>
      <x:c r="B54" s="83" t="str">
        <x:v>PNIEC_SLOW_2040</x:v>
      </x:c>
      <x:c r="C54" s="83" t="n">
        <x:v>2040</x:v>
      </x:c>
      <x:c r="D54" s="83" t="str">
        <x:v>PNIEC Slow 2040</x:v>
      </x:c>
      <x:c r="E54" s="83" t="str">
        <x:v>Italia</x:v>
      </x:c>
      <x:c r="F54" s="83" t="str"/>
      <x:c r="G54" s="83" t="str">
        <x:v>CM</x:v>
      </x:c>
      <x:c r="H54" s="83" t="str">
        <x:v>Capacity Market storage</x:v>
      </x:c>
      <x:c r="I54" s="83" t="str">
        <x:v>Scenario configuration</x:v>
      </x:c>
      <x:c r="J54" s="197" t="n">
        <x:v>7.5</x:v>
      </x:c>
      <x:c r="K54" s="197"/>
      <x:c r="L54" s="197"/>
      <x:c r="M54" s="197"/>
      <x:c r="N54" s="197"/>
      <x:c r="O54" s="197"/>
      <x:c r="P54" s="197" t="str">
        <x:f>IF(AND(J54&lt;&gt;"",O54&lt;&gt;""),J54/O54,"")</x:f>
      </x:c>
      <x:c r="Q54" s="197" t="str">
        <x:f>IF(AND(J54&lt;&gt;"",N54&lt;&gt;""),J54/N54,"")</x:f>
      </x:c>
      <x:c r="R54" s="197" t="str">
        <x:f>IF(AND(J54&lt;&gt;"",M54&lt;&gt;""),J54/M54,"")</x:f>
      </x:c>
      <x:c r="S54" s="197" t="str">
        <x:f>IF(AND(J54&lt;&gt;"",L54&lt;&gt;""),J54/L54,"")</x:f>
      </x:c>
      <x:c r="T54" s="83" t="str">
        <x:v>S09</x:v>
      </x:c>
      <x:c r="U54" s="83" t="str">
        <x:v>Documento di Descrizione degli Scenari 2024</x:v>
      </x:c>
      <x:c r="V54" s="83" t="n">
        <x:v>63</x:v>
      </x:c>
      <x:c r="W54" s="83" t="str">
        <x:v>60-61</x:v>
      </x:c>
      <x:c r="X54" s="83" t="str">
        <x:v>Table 16</x:v>
      </x:c>
      <x:c r="Y54" s="83" t="str">
        <x:v>Assunzione di scenario</x:v>
      </x:c>
      <x:c r="Z54" s="83" t="str">
        <x:v>Direct table extraction</x:v>
      </x:c>
      <x:c r="AA54" s="83" t="str">
        <x:v>A — Direct</x:v>
      </x:c>
      <x:c r="AB54" s="83" t="str">
        <x:v>Energy direct; power unresolved until asset/auction duration data are acquired.</x:v>
      </x:c>
      <x:c r="AC54" s="83" t="str">
        <x:v>Excludes existing pumped hydro.</x:v>
      </x:c>
    </x:row>
    <x:row r="55">
      <x:c r="A55" s="83" t="str">
        <x:v>ST-051</x:v>
      </x:c>
      <x:c r="B55" s="83" t="str">
        <x:v>PNIEC_SLOW_2040</x:v>
      </x:c>
      <x:c r="C55" s="83" t="n">
        <x:v>2040</x:v>
      </x:c>
      <x:c r="D55" s="83" t="str">
        <x:v>PNIEC Slow 2040</x:v>
      </x:c>
      <x:c r="E55" s="83" t="str">
        <x:v>Italia</x:v>
      </x:c>
      <x:c r="F55" s="83" t="str"/>
      <x:c r="G55" s="83" t="str">
        <x:v>Totale</x:v>
      </x:c>
      <x:c r="H55" s="83" t="str">
        <x:v>BESS / generic storage</x:v>
      </x:c>
      <x:c r="I55" s="83" t="str">
        <x:v>Scenario configuration</x:v>
      </x:c>
      <x:c r="J55" s="197" t="n">
        <x:v>117</x:v>
      </x:c>
      <x:c r="K55" s="197"/>
      <x:c r="L55" s="197"/>
      <x:c r="M55" s="197"/>
      <x:c r="N55" s="197"/>
      <x:c r="O55" s="197"/>
      <x:c r="P55" s="197" t="str">
        <x:f>IF(AND(J55&lt;&gt;"",O55&lt;&gt;""),J55/O55,"")</x:f>
      </x:c>
      <x:c r="Q55" s="197" t="str">
        <x:f>IF(AND(J55&lt;&gt;"",N55&lt;&gt;""),J55/N55,"")</x:f>
      </x:c>
      <x:c r="R55" s="197" t="str">
        <x:f>IF(AND(J55&lt;&gt;"",M55&lt;&gt;""),J55/M55,"")</x:f>
      </x:c>
      <x:c r="S55" s="197" t="str">
        <x:f>IF(AND(J55&lt;&gt;"",L55&lt;&gt;""),J55/L55,"")</x:f>
      </x:c>
      <x:c r="T55" s="83" t="str">
        <x:v>S09</x:v>
      </x:c>
      <x:c r="U55" s="83" t="str">
        <x:v>Documento di Descrizione degli Scenari 2024</x:v>
      </x:c>
      <x:c r="V55" s="83" t="n">
        <x:v>63</x:v>
      </x:c>
      <x:c r="W55" s="83" t="str">
        <x:v>60-61</x:v>
      </x:c>
      <x:c r="X55" s="83" t="str">
        <x:v>Table 16</x:v>
      </x:c>
      <x:c r="Y55" s="83" t="str">
        <x:v>Assunzione di scenario</x:v>
      </x:c>
      <x:c r="Z55" s="83" t="str">
        <x:v>Direct table extraction</x:v>
      </x:c>
      <x:c r="AA55" s="83" t="str">
        <x:v>A — Direct</x:v>
      </x:c>
      <x:c r="AB55" s="83" t="str">
        <x:v>QA total only, not a standalone PyPSA component.</x:v>
      </x:c>
      <x:c r="AC55" s="83" t="str">
        <x:v>Excludes existing pumped hydro.</x:v>
      </x:c>
    </x:row>
    <x:row r="56">
      <x:c r="A56" s="83" t="str">
        <x:v>ST-052</x:v>
      </x:c>
      <x:c r="B56" s="83" t="str">
        <x:v>PNIEC_SLOW_2040</x:v>
      </x:c>
      <x:c r="C56" s="83" t="n">
        <x:v>2040</x:v>
      </x:c>
      <x:c r="D56" s="83" t="str">
        <x:v>PNIEC Slow 2040</x:v>
      </x:c>
      <x:c r="E56" s="83" t="str">
        <x:v>Italia</x:v>
      </x:c>
      <x:c r="F56" s="83" t="str"/>
      <x:c r="G56" s="83" t="str">
        <x:v>Total including existing pumping convention</x:v>
      </x:c>
      <x:c r="H56" s="83" t="str">
        <x:v>All storage</x:v>
      </x:c>
      <x:c r="I56" s="83" t="str">
        <x:v>Scenario configuration</x:v>
      </x:c>
      <x:c r="J56" s="197" t="n">
        <x:v>167</x:v>
      </x:c>
      <x:c r="K56" s="197"/>
      <x:c r="L56" s="197"/>
      <x:c r="M56" s="197"/>
      <x:c r="N56" s="197"/>
      <x:c r="O56" s="197"/>
      <x:c r="P56" s="197" t="str">
        <x:f>IF(AND(J56&lt;&gt;"",O56&lt;&gt;""),J56/O56,"")</x:f>
      </x:c>
      <x:c r="Q56" s="197" t="str">
        <x:f>IF(AND(J56&lt;&gt;"",N56&lt;&gt;""),J56/N56,"")</x:f>
      </x:c>
      <x:c r="R56" s="197" t="str">
        <x:f>IF(AND(J56&lt;&gt;"",M56&lt;&gt;""),J56/M56,"")</x:f>
      </x:c>
      <x:c r="S56" s="197" t="str">
        <x:f>IF(AND(J56&lt;&gt;"",L56&lt;&gt;""),J56/L56,"")</x:f>
      </x:c>
      <x:c r="T56" s="83" t="str">
        <x:v>S09</x:v>
      </x:c>
      <x:c r="U56" s="83" t="str">
        <x:v>Documento di Descrizione degli Scenari 2024</x:v>
      </x:c>
      <x:c r="V56" s="83" t="n">
        <x:v>63</x:v>
      </x:c>
      <x:c r="W56" s="83" t="str">
        <x:v>47 / 60-61</x:v>
      </x:c>
      <x:c r="X56" s="83" t="str">
        <x:v>Figure 19 / Table 16</x:v>
      </x:c>
      <x:c r="Y56" s="83" t="str">
        <x:v>B — Derived from source values</x:v>
      </x:c>
      <x:c r="Z56" s="83" t="str">
        <x:v>Total ex pumping + 50 GWh existing pumping convention</x:v>
      </x:c>
      <x:c r="AA56" s="83" t="str">
        <x:v>B — Derived</x:v>
      </x:c>
      <x:c r="AB56" s="83" t="str">
        <x:v>System-level QA; physical pumping stock is 53 GWh in S01.</x:v>
      </x:c>
      <x:c r="AC56" s="83" t="str">
        <x:v>Preserves the 50 GWh DDS convention; do not conflate with the 53 GWh physical estimate.</x:v>
      </x:c>
    </x:row>
    <x:row r="57">
      <x:c r="A57" s="83" t="str">
        <x:v>ST-053</x:v>
      </x:c>
      <x:c r="B57" s="83" t="str"/>
      <x:c r="C57" s="83" t="n">
        <x:v>2024</x:v>
      </x:c>
      <x:c r="D57" s="83" t="str">
        <x:v>Capacity Market deliveries 2022-2024</x:v>
      </x:c>
      <x:c r="E57" s="83" t="str">
        <x:v>Italia</x:v>
      </x:c>
      <x:c r="F57" s="83" t="str"/>
      <x:c r="G57" s="83" t="str">
        <x:v>Capacity Market contracted</x:v>
      </x:c>
      <x:c r="H57" s="83" t="str">
        <x:v>BESS / storage</x:v>
      </x:c>
      <x:c r="I57" s="83" t="str">
        <x:v>Contracted/assigned</x:v>
      </x:c>
      <x:c r="J57" s="197" t="n">
        <x:v>7.5</x:v>
      </x:c>
      <x:c r="K57" s="197"/>
      <x:c r="L57" s="197"/>
      <x:c r="M57" s="197"/>
      <x:c r="N57" s="197"/>
      <x:c r="O57" s="197"/>
      <x:c r="P57" s="197" t="str">
        <x:f>IF(AND(J57&lt;&gt;"",O57&lt;&gt;""),J57/O57,"")</x:f>
      </x:c>
      <x:c r="Q57" s="197" t="str">
        <x:f>IF(AND(J57&lt;&gt;"",N57&lt;&gt;""),J57/N57,"")</x:f>
      </x:c>
      <x:c r="R57" s="197" t="str">
        <x:f>IF(AND(J57&lt;&gt;"",M57&lt;&gt;""),J57/M57,"")</x:f>
      </x:c>
      <x:c r="S57" s="197" t="str">
        <x:f>IF(AND(J57&lt;&gt;"",L57&lt;&gt;""),J57/L57,"")</x:f>
      </x:c>
      <x:c r="T57" s="83" t="str">
        <x:v>S09</x:v>
      </x:c>
      <x:c r="U57" s="83" t="str">
        <x:v>Documento di Descrizione degli Scenari 2024</x:v>
      </x:c>
      <x:c r="V57" s="83" t="n">
        <x:v>49</x:v>
      </x:c>
      <x:c r="W57" s="83" t="n">
        <x:v>47</x:v>
      </x:c>
      <x:c r="X57" s="83" t="str">
        <x:v>Footnote 40 / Figure 19</x:v>
      </x:c>
      <x:c r="Y57" s="83" t="str">
        <x:v>Contracted capacity</x:v>
      </x:c>
      <x:c r="Z57" s="83" t="str">
        <x:v>Direct</x:v>
      </x:c>
      <x:c r="AA57" s="83" t="str">
        <x:v>A — Direct</x:v>
      </x:c>
      <x:c r="AB57" s="83" t="str">
        <x:v>Certain/contracted; duration and power require asset-level data.</x:v>
      </x:c>
      <x:c r="AC57" s="83" t="str">
        <x:v>Awards from auctions held 2019-2022 for delivery years 2022-2024.</x:v>
      </x:c>
    </x:row>
    <x:row r="58">
      <x:c r="A58" s="83" t="str">
        <x:v>ST-054</x:v>
      </x:c>
      <x:c r="B58" s="83" t="str"/>
      <x:c r="C58" s="83" t="n">
        <x:v>2025</x:v>
      </x:c>
      <x:c r="D58" s="83" t="str">
        <x:v>Capacity Market delivery 2025</x:v>
      </x:c>
      <x:c r="E58" s="83" t="str">
        <x:v>Italia</x:v>
      </x:c>
      <x:c r="F58" s="83" t="str"/>
      <x:c r="G58" s="83" t="str">
        <x:v>Capacity Market newly assigned</x:v>
      </x:c>
      <x:c r="H58" s="83" t="str">
        <x:v>BESS / storage</x:v>
      </x:c>
      <x:c r="I58" s="83" t="str">
        <x:v>Contracted/assigned</x:v>
      </x:c>
      <x:c r="J58" s="197" t="n">
        <x:v>0.4</x:v>
      </x:c>
      <x:c r="K58" s="197"/>
      <x:c r="L58" s="197"/>
      <x:c r="M58" s="197"/>
      <x:c r="N58" s="197"/>
      <x:c r="O58" s="197"/>
      <x:c r="P58" s="197" t="str">
        <x:f>IF(AND(J58&lt;&gt;"",O58&lt;&gt;""),J58/O58,"")</x:f>
      </x:c>
      <x:c r="Q58" s="197" t="str">
        <x:f>IF(AND(J58&lt;&gt;"",N58&lt;&gt;""),J58/N58,"")</x:f>
      </x:c>
      <x:c r="R58" s="197" t="str">
        <x:f>IF(AND(J58&lt;&gt;"",M58&lt;&gt;""),J58/M58,"")</x:f>
      </x:c>
      <x:c r="S58" s="197" t="str">
        <x:f>IF(AND(J58&lt;&gt;"",L58&lt;&gt;""),J58/L58,"")</x:f>
      </x:c>
      <x:c r="T58" s="83" t="str">
        <x:v>S09</x:v>
      </x:c>
      <x:c r="U58" s="83" t="str">
        <x:v>Documento di Descrizione degli Scenari 2024</x:v>
      </x:c>
      <x:c r="V58" s="83" t="n">
        <x:v>49</x:v>
      </x:c>
      <x:c r="W58" s="83" t="n">
        <x:v>47</x:v>
      </x:c>
      <x:c r="X58" s="83" t="str">
        <x:v>Footnote 40</x:v>
      </x:c>
      <x:c r="Y58" s="83" t="str">
        <x:v>Contracted capacity</x:v>
      </x:c>
      <x:c r="Z58" s="83" t="str">
        <x:v>Direct (rounded)</x:v>
      </x:c>
      <x:c r="AA58" s="83" t="str">
        <x:v>A — Direct</x:v>
      </x:c>
      <x:c r="AB58" s="83" t="str">
        <x:v>Certain/contracted; add to asset stock when COD is verified.</x:v>
      </x:c>
      <x:c r="AC58" s="83" t="str">
        <x:v>Auction held 25 July 2024; adds to 7.5 GWh from earlier auctions.</x:v>
      </x:c>
    </x:row>
    <x:row r="59">
      <x:c r="A59" s="83" t="str">
        <x:v>ST-055</x:v>
      </x:c>
      <x:c r="B59" s="83" t="str"/>
      <x:c r="C59" s="83" t="n">
        <x:v>2028</x:v>
      </x:c>
      <x:c r="D59" s="83" t="str">
        <x:v>MACSE first delivery</x:v>
      </x:c>
      <x:c r="E59" s="83" t="str">
        <x:v>Centro Sud, Calabria, Sud e Isole</x:v>
      </x:c>
      <x:c r="F59" s="83" t="str"/>
      <x:c r="G59" s="83" t="str">
        <x:v>MACSE assigned</x:v>
      </x:c>
      <x:c r="H59" s="83" t="str">
        <x:v>Storage capacity</x:v>
      </x:c>
      <x:c r="I59" s="83" t="str">
        <x:v>Contracted/assigned</x:v>
      </x:c>
      <x:c r="J59" s="197" t="n">
        <x:v>10</x:v>
      </x:c>
      <x:c r="K59" s="197"/>
      <x:c r="L59" s="197"/>
      <x:c r="M59" s="197"/>
      <x:c r="N59" s="197"/>
      <x:c r="O59" s="197"/>
      <x:c r="P59" s="197" t="str">
        <x:f>IF(AND(J59&lt;&gt;"",O59&lt;&gt;""),J59/O59,"")</x:f>
      </x:c>
      <x:c r="Q59" s="197" t="str">
        <x:f>IF(AND(J59&lt;&gt;"",N59&lt;&gt;""),J59/N59,"")</x:f>
      </x:c>
      <x:c r="R59" s="197" t="str">
        <x:f>IF(AND(J59&lt;&gt;"",M59&lt;&gt;""),J59/M59,"")</x:f>
      </x:c>
      <x:c r="S59" s="197" t="str">
        <x:f>IF(AND(J59&lt;&gt;"",L59&lt;&gt;""),J59/L59,"")</x:f>
      </x:c>
      <x:c r="T59" s="83" t="str">
        <x:v>S07</x:v>
      </x:c>
      <x:c r="U59" s="83" t="str">
        <x:v>Prospettive di Sviluppo del Sistema Energetico 2050</x:v>
      </x:c>
      <x:c r="V59" s="83" t="n">
        <x:v>40</x:v>
      </x:c>
      <x:c r="W59" s="83" t="n">
        <x:v>38</x:v>
      </x:c>
      <x:c r="X59" s="83" t="str">
        <x:v>Narrative on first MACSE auction</x:v>
      </x:c>
      <x:c r="Y59" s="83" t="str">
        <x:v>Contracted capacity</x:v>
      </x:c>
      <x:c r="Z59" s="83" t="str">
        <x:v>Direct</x:v>
      </x:c>
      <x:c r="AA59" s="83" t="str">
        <x:v>A — Direct</x:v>
      </x:c>
      <x:c r="AB59" s="83" t="str">
        <x:v>Certain scenario addition; exact zonal allocation and power/duration must be imported from auction results.</x:v>
      </x:c>
      <x:c r="AC59" s="83" t="str">
        <x:v>First auction held 30 September 2025; entire requested volume assigned. S04 previously defined the same 10 GWh need for 2028.</x:v>
      </x:c>
    </x:row>
    <x:row r="60">
      <x:c r="A60" s="83" t="str">
        <x:v>ST-056</x:v>
      </x:c>
      <x:c r="B60" s="83" t="str"/>
      <x:c r="C60" s="83" t="n">
        <x:v>2024</x:v>
      </x:c>
      <x:c r="D60" s="83" t="str">
        <x:v>Connection requests at 31 Dec 2024</x:v>
      </x:c>
      <x:c r="E60" s="83" t="str">
        <x:v>Italia</x:v>
      </x:c>
      <x:c r="F60" s="83" t="str"/>
      <x:c r="G60" s="83" t="str">
        <x:v>Standalone electrochemical connection pipeline</x:v>
      </x:c>
      <x:c r="H60" s="83" t="str">
        <x:v>BESS</x:v>
      </x:c>
      <x:c r="I60" s="83" t="str">
        <x:v>Connection pipeline</x:v>
      </x:c>
      <x:c r="J60" s="197"/>
      <x:c r="K60" s="197" t="n">
        <x:v>253</x:v>
      </x:c>
      <x:c r="L60" s="197" t="n">
        <x:v>253</x:v>
      </x:c>
      <x:c r="M60" s="197"/>
      <x:c r="N60" s="197"/>
      <x:c r="O60" s="197"/>
      <x:c r="P60" s="197" t="str">
        <x:f>IF(AND(J60&lt;&gt;"",O60&lt;&gt;""),J60/O60,"")</x:f>
      </x:c>
      <x:c r="Q60" s="197" t="str">
        <x:f>IF(AND(J60&lt;&gt;"",N60&lt;&gt;""),J60/N60,"")</x:f>
      </x:c>
      <x:c r="R60" s="197" t="str">
        <x:f>IF(AND(J60&lt;&gt;"",M60&lt;&gt;""),J60/M60,"")</x:f>
      </x:c>
      <x:c r="S60" s="197" t="str">
        <x:f>IF(AND(J60&lt;&gt;"",L60&lt;&gt;""),J60/L60,"")</x:f>
      </x:c>
      <x:c r="T60" s="83" t="str">
        <x:v>S04</x:v>
      </x:c>
      <x:c r="U60" s="83" t="str">
        <x:v>Programmazione territoriale efficiente e interventi di connessione</x:v>
      </x:c>
      <x:c r="V60" s="83" t="n">
        <x:v>4</x:v>
      </x:c>
      <x:c r="W60" s="83" t="n">
        <x:v>2</x:v>
      </x:c>
      <x:c r="X60" s="83" t="str">
        <x:v>Table 1 / Section 1.2</x:v>
      </x:c>
      <x:c r="Y60" s="83" t="str">
        <x:v>Pipeline / connection request</x:v>
      </x:c>
      <x:c r="Z60" s="83" t="str">
        <x:v>Direct rounded</x:v>
      </x:c>
      <x:c r="AA60" s="83" t="str">
        <x:v>A — Direct</x:v>
      </x:c>
      <x:c r="AB60" s="83" t="str">
        <x:v>Exclude from installed scenario; use only as pipeline/siting context.</x:v>
      </x:c>
      <x:c r="AC60" s="83" t="str">
        <x:v>Approximately 253 GW; +177 GW versus 2023.</x:v>
      </x:c>
    </x:row>
    <x:row r="61">
      <x:c r="A61" s="83" t="str">
        <x:v>ST-057</x:v>
      </x:c>
      <x:c r="B61" s="83" t="str">
        <x:v>TERNA_2050_NUCLEAR</x:v>
      </x:c>
      <x:c r="C61" s="83" t="n">
        <x:v>2050</x:v>
      </x:c>
      <x:c r="D61" s="83" t="str">
        <x:v>Terna 2050 con nucleare</x:v>
      </x:c>
      <x:c r="E61" s="83" t="str">
        <x:v>Italia</x:v>
      </x:c>
      <x:c r="F61" s="83" t="str"/>
      <x:c r="G61" s="83" t="str">
        <x:v>Efficient total electrochemical storage</x:v>
      </x:c>
      <x:c r="H61" s="83" t="str">
        <x:v>BESS</x:v>
      </x:c>
      <x:c r="I61" s="83" t="str">
        <x:v>Source model result</x:v>
      </x:c>
      <x:c r="J61" s="197" t="n">
        <x:v>196</x:v>
      </x:c>
      <x:c r="K61" s="197" t="n">
        <x:v>36</x:v>
      </x:c>
      <x:c r="L61" s="197" t="n">
        <x:v>36</x:v>
      </x:c>
      <x:c r="M61" s="197"/>
      <x:c r="N61" s="197" t="n">
        <x:v>5.444444444444445</x:v>
      </x:c>
      <x:c r="O61" s="197"/>
      <x:c r="P61" s="197" t="str">
        <x:f>IF(AND(J61&lt;&gt;"",O61&lt;&gt;""),J61/O61,"")</x:f>
      </x:c>
      <x:c r="Q61" s="197" t="n">
        <x:f>IF(AND(J61&lt;&gt;"",N61&lt;&gt;""),J61/N61,"")</x:f>
        <x:v>36</x:v>
      </x:c>
      <x:c r="R61" s="197" t="str">
        <x:f>IF(AND(J61&lt;&gt;"",M61&lt;&gt;""),J61/M61,"")</x:f>
      </x:c>
      <x:c r="S61" s="197" t="n">
        <x:f>IF(AND(J61&lt;&gt;"",L61&lt;&gt;""),J61/L61,"")</x:f>
        <x:v>5.444444444444445</x:v>
      </x:c>
      <x:c r="T61" s="83" t="str">
        <x:v>S07</x:v>
      </x:c>
      <x:c r="U61" s="83" t="str">
        <x:v>Prospettive di Sviluppo del Sistema Energetico 2050</x:v>
      </x:c>
      <x:c r="V61" s="83" t="n">
        <x:v>58</x:v>
      </x:c>
      <x:c r="W61" s="83" t="n">
        <x:v>56</x:v>
      </x:c>
      <x:c r="X61" s="83" t="str">
        <x:v>Table 4 and Figure 55 (p.65 PDF)</x:v>
      </x:c>
      <x:c r="Y61" s="83" t="str">
        <x:v>Risultato di modello della fonte</x:v>
      </x:c>
      <x:c r="Z61" s="83" t="str">
        <x:v>Energy and power direct from separate figures; aggregate duration derived</x:v>
      </x:c>
      <x:c r="AA61" s="83" t="str">
        <x:v>A direct / B derived duration</x:v>
      </x:c>
      <x:c r="AB61" s="83" t="str">
        <x:v>Candidate national e_nom/p_nom; class and zonal split still required.</x:v>
      </x:c>
      <x:c r="AC61" s="83" t="str">
        <x:v>Efficient size balances marginal avoided overgeneration and marginal storage cost.</x:v>
      </x:c>
    </x:row>
    <x:row r="62">
      <x:c r="A62" s="83" t="str">
        <x:v>ST-058</x:v>
      </x:c>
      <x:c r="B62" s="83" t="str">
        <x:v>TERNA_2050_NO_NUCLEAR</x:v>
      </x:c>
      <x:c r="C62" s="83" t="n">
        <x:v>2050</x:v>
      </x:c>
      <x:c r="D62" s="83" t="str">
        <x:v>Terna 2050 senza nucleare</x:v>
      </x:c>
      <x:c r="E62" s="83" t="str">
        <x:v>Italia</x:v>
      </x:c>
      <x:c r="F62" s="83" t="str"/>
      <x:c r="G62" s="83" t="str">
        <x:v>Efficient total electrochemical storage</x:v>
      </x:c>
      <x:c r="H62" s="83" t="str">
        <x:v>BESS</x:v>
      </x:c>
      <x:c r="I62" s="83" t="str">
        <x:v>Source model result</x:v>
      </x:c>
      <x:c r="J62" s="197" t="n">
        <x:v>216</x:v>
      </x:c>
      <x:c r="K62" s="197"/>
      <x:c r="L62" s="197"/>
      <x:c r="M62" s="197"/>
      <x:c r="N62" s="197"/>
      <x:c r="O62" s="197"/>
      <x:c r="P62" s="197" t="str">
        <x:f>IF(AND(J62&lt;&gt;"",O62&lt;&gt;""),J62/O62,"")</x:f>
      </x:c>
      <x:c r="Q62" s="197" t="str">
        <x:f>IF(AND(J62&lt;&gt;"",N62&lt;&gt;""),J62/N62,"")</x:f>
      </x:c>
      <x:c r="R62" s="197" t="str">
        <x:f>IF(AND(J62&lt;&gt;"",M62&lt;&gt;""),J62/M62,"")</x:f>
      </x:c>
      <x:c r="S62" s="197" t="str">
        <x:f>IF(AND(J62&lt;&gt;"",L62&lt;&gt;""),J62/L62,"")</x:f>
      </x:c>
      <x:c r="T62" s="83" t="str">
        <x:v>S07</x:v>
      </x:c>
      <x:c r="U62" s="83" t="str">
        <x:v>Prospettive di Sviluppo del Sistema Energetico 2050</x:v>
      </x:c>
      <x:c r="V62" s="83" t="n">
        <x:v>58</x:v>
      </x:c>
      <x:c r="W62" s="83" t="n">
        <x:v>56</x:v>
      </x:c>
      <x:c r="X62" s="83" t="str">
        <x:v>Table 4 / Figure 49</x:v>
      </x:c>
      <x:c r="Y62" s="83" t="str">
        <x:v>Risultato di modello della fonte</x:v>
      </x:c>
      <x:c r="Z62" s="83" t="str">
        <x:v>Direct</x:v>
      </x:c>
      <x:c r="AA62" s="83" t="str">
        <x:v>A — Direct</x:v>
      </x:c>
      <x:c r="AB62" s="83" t="str">
        <x:v>National e_nom candidate; p_nom not stated and must not be inferred automatically.</x:v>
      </x:c>
      <x:c r="AC62" s="83" t="str">
        <x:v>About 20 GWh more than the nuclear scenario; around 5% of renewable production curtailed.</x:v>
      </x:c>
    </x:row>
  </x:sheetData>
  <x:mergeCells>
    <x:mergeCell ref="A1:AC1"/>
    <x:mergeCell ref="A2:AC2"/>
  </x:mergeCells>
  <x:conditionalFormatting sqref="I5:I62">
    <x:cfRule type="expression" dxfId="37" priority="1">
      <x:formula>OR(I5="Observed installed",I5="Contracted/assigned")</x:formula>
    </x:cfRule>
    <x:cfRule type="expression" dxfId="38" priority="2">
      <x:formula>I5="Connection pipeline"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b4887758984a9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18" hidden="0" customWidth="1"/>
    <x:col min="6" max="6" width="22" hidden="0" customWidth="1"/>
    <x:col min="7" max="7" width="14" hidden="0" customWidth="1"/>
    <x:col min="8" max="8" width="17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2" hidden="0" customWidth="1"/>
    <x:col min="14" max="14" width="44" hidden="0" customWidth="1"/>
    <x:col min="15" max="15" width="12" hidden="0" customWidth="1"/>
    <x:col min="16" max="16" width="16" hidden="0" customWidth="1"/>
    <x:col min="17" max="17" width="18" hidden="0" customWidth="1"/>
    <x:col min="18" max="18" width="28" hidden="0" customWidth="1"/>
    <x:col min="19" max="19" width="32" hidden="0" customWidth="1"/>
    <x:col min="20" max="20" width="18" hidden="0" customWidth="1"/>
    <x:col min="21" max="21" width="48" hidden="0" customWidth="1"/>
    <x:col min="22" max="22" width="50" hidden="0" customWidth="1"/>
  </x:cols>
  <x:sheetData>
    <x:row r="1" ht="34" customHeight="1">
      <x:c r="A1" s="188" t="str">
        <x:v>Accumuli zonali 2023–2040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</x:row>
    <x:row r="2" ht="30" customHeight="1">
      <x:c r="A2" s="192" t="str">
        <x:v>252 righe della Tabella 16 DDS; energia diretta e potenza derivata solo per classi con durata esplicita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Zona</x:v>
      </x:c>
      <x:c r="F4" s="196" t="str">
        <x:v>Classe storage</x:v>
      </x:c>
      <x:c r="G4" s="196" t="str">
        <x:v>Energia GWh</x:v>
      </x:c>
      <x:c r="H4" s="196" t="str">
        <x:v>Esclude pompaggi esistenti</x:v>
      </x:c>
      <x:c r="I4" s="196" t="str">
        <x:v>Durata min h</x:v>
      </x:c>
      <x:c r="J4" s="196" t="str">
        <x:v>Durata max h</x:v>
      </x:c>
      <x:c r="K4" s="196" t="str">
        <x:v>Potenza derivata min GW</x:v>
      </x:c>
      <x:c r="L4" s="196" t="str">
        <x:v>Potenza derivata max GW</x:v>
      </x:c>
      <x:c r="M4" s="196" t="str">
        <x:v>Fonte</x:v>
      </x:c>
      <x:c r="N4" s="196" t="str">
        <x:v>File fonte</x:v>
      </x:c>
      <x:c r="O4" s="196" t="str">
        <x:v>Pagina PDF</x:v>
      </x:c>
      <x:c r="P4" s="196" t="str">
        <x:v>Pagina stampata</x:v>
      </x:c>
      <x:c r="Q4" s="196" t="str">
        <x:v>Tabella/Figura</x:v>
      </x:c>
      <x:c r="R4" s="196" t="str">
        <x:v>Tipo evidenza</x:v>
      </x:c>
      <x:c r="S4" s="196" t="str">
        <x:v>Metodo</x:v>
      </x:c>
      <x:c r="T4" s="196" t="str">
        <x:v>Affidabilità</x:v>
      </x:c>
      <x:c r="U4" s="196" t="str">
        <x:v>Uso modello</x:v>
      </x:c>
      <x:c r="V4" s="196" t="str">
        <x:v>Note</x:v>
      </x:c>
    </x:row>
    <x:row r="5">
      <x:c r="A5" s="83" t="str">
        <x:v>SZ-001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Small Scale</x:v>
      </x:c>
      <x:c r="G5" s="197" t="n">
        <x:v>3.8</x:v>
      </x:c>
      <x:c r="H5" s="203" t="b">
        <x:v>1</x:v>
      </x:c>
      <x:c r="I5" s="197" t="n">
        <x:v>2</x:v>
      </x:c>
      <x:c r="J5" s="197" t="n">
        <x:v>4</x:v>
      </x:c>
      <x:c r="K5" s="197" t="n">
        <x:f>IF(AND(G5&lt;&gt;"",J5&lt;&gt;""),G5/J5,"")</x:f>
        <x:v>0.95</x:v>
      </x:c>
      <x:c r="L5" s="197" t="n">
        <x:f>IF(AND(G5&lt;&gt;"",I5&lt;&gt;""),G5/I5,"")</x:f>
        <x:v>1.9</x:v>
      </x:c>
      <x:c r="M5" s="83" t="str">
        <x:v>S09</x:v>
      </x:c>
      <x:c r="N5" s="83" t="str">
        <x:v>Documento di Descrizione degli Scenari 2024</x:v>
      </x:c>
      <x:c r="O5" s="83" t="n">
        <x:v>62</x:v>
      </x:c>
      <x:c r="P5" s="83" t="str">
        <x:v>60-61</x:v>
      </x:c>
      <x:c r="Q5" s="83" t="str">
        <x:v>Tabella 16</x:v>
      </x:c>
      <x:c r="R5" s="83" t="str">
        <x:v>Dato osservato storico nel DDS</x:v>
      </x:c>
      <x:c r="S5" s="83" t="str">
        <x:v>Direct table extraction</x:v>
      </x:c>
      <x:c r="T5" s="83" t="str">
        <x:v>A — Direct</x:v>
      </x:c>
      <x:c r="U5" s="83" t="str">
        <x:v>Energy capacity by zone and class; derive power only where duration is specified.</x:v>
      </x:c>
      <x:c r="V5" s="83" t="str">
        <x:v>Small-scale source classes are 2 or 4 hours; utility-scale is 8 hours. CM duration is not stated.</x:v>
      </x:c>
    </x:row>
    <x:row r="6">
      <x:c r="A6" s="83" t="str">
        <x:v>SZ-002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Small Scale</x:v>
      </x:c>
      <x:c r="G6" s="197" t="n">
        <x:v>8.4</x:v>
      </x:c>
      <x:c r="H6" s="203" t="b">
        <x:v>1</x:v>
      </x:c>
      <x:c r="I6" s="197" t="n">
        <x:v>2</x:v>
      </x:c>
      <x:c r="J6" s="197" t="n">
        <x:v>4</x:v>
      </x:c>
      <x:c r="K6" s="197" t="n">
        <x:f>IF(AND(G6&lt;&gt;"",J6&lt;&gt;""),G6/J6,"")</x:f>
        <x:v>2.1</x:v>
      </x:c>
      <x:c r="L6" s="197" t="n">
        <x:f>IF(AND(G6&lt;&gt;"",I6&lt;&gt;""),G6/I6,"")</x:f>
        <x:v>4.2</x:v>
      </x:c>
      <x:c r="M6" s="83" t="str">
        <x:v>S09</x:v>
      </x:c>
      <x:c r="N6" s="83" t="str">
        <x:v>Documento di Descrizione degli Scenari 2024</x:v>
      </x:c>
      <x:c r="O6" s="83" t="n">
        <x:v>62</x:v>
      </x:c>
      <x:c r="P6" s="83" t="str">
        <x:v>60-61</x:v>
      </x:c>
      <x:c r="Q6" s="83" t="str">
        <x:v>Tabella 16</x:v>
      </x:c>
      <x:c r="R6" s="83" t="str">
        <x:v>Assunzione di scenario</x:v>
      </x:c>
      <x:c r="S6" s="83" t="str">
        <x:v>Direct table extraction</x:v>
      </x:c>
      <x:c r="T6" s="83" t="str">
        <x:v>A — Direct</x:v>
      </x:c>
      <x:c r="U6" s="83" t="str">
        <x:v>Energy capacity by zone and class; derive power only where duration is specified.</x:v>
      </x:c>
      <x:c r="V6" s="83" t="str">
        <x:v>Small-scale source classes are 2 or 4 hours; utility-scale is 8 hours. CM duration is not stated.</x:v>
      </x:c>
    </x:row>
    <x:row r="7">
      <x:c r="A7" s="83" t="str">
        <x:v>SZ-003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Small Scale</x:v>
      </x:c>
      <x:c r="G7" s="197" t="n">
        <x:v>7.6</x:v>
      </x:c>
      <x:c r="H7" s="203" t="b">
        <x:v>1</x:v>
      </x:c>
      <x:c r="I7" s="197" t="n">
        <x:v>2</x:v>
      </x:c>
      <x:c r="J7" s="197" t="n">
        <x:v>4</x:v>
      </x:c>
      <x:c r="K7" s="197" t="n">
        <x:f>IF(AND(G7&lt;&gt;"",J7&lt;&gt;""),G7/J7,"")</x:f>
        <x:v>1.9</x:v>
      </x:c>
      <x:c r="L7" s="197" t="n">
        <x:f>IF(AND(G7&lt;&gt;"",I7&lt;&gt;""),G7/I7,"")</x:f>
        <x:v>3.8</x:v>
      </x:c>
      <x:c r="M7" s="83" t="str">
        <x:v>S09</x:v>
      </x:c>
      <x:c r="N7" s="83" t="str">
        <x:v>Documento di Descrizione degli Scenari 2024</x:v>
      </x:c>
      <x:c r="O7" s="83" t="n">
        <x:v>62</x:v>
      </x:c>
      <x:c r="P7" s="83" t="str">
        <x:v>60-61</x:v>
      </x:c>
      <x:c r="Q7" s="83" t="str">
        <x:v>Tabella 16</x:v>
      </x:c>
      <x:c r="R7" s="83" t="str">
        <x:v>Assunzione di scenario</x:v>
      </x:c>
      <x:c r="S7" s="83" t="str">
        <x:v>Direct table extraction</x:v>
      </x:c>
      <x:c r="T7" s="83" t="str">
        <x:v>A — Direct</x:v>
      </x:c>
      <x:c r="U7" s="83" t="str">
        <x:v>Energy capacity by zone and class; derive power only where duration is specified.</x:v>
      </x:c>
      <x:c r="V7" s="83" t="str">
        <x:v>Small-scale source classes are 2 or 4 hours; utility-scale is 8 hours. CM duration is not stated.</x:v>
      </x:c>
    </x:row>
    <x:row r="8">
      <x:c r="A8" s="83" t="str">
        <x:v>SZ-004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Small Scale</x:v>
      </x:c>
      <x:c r="G8" s="197" t="n">
        <x:v>9.8</x:v>
      </x:c>
      <x:c r="H8" s="203" t="b">
        <x:v>1</x:v>
      </x:c>
      <x:c r="I8" s="197" t="n">
        <x:v>2</x:v>
      </x:c>
      <x:c r="J8" s="197" t="n">
        <x:v>4</x:v>
      </x:c>
      <x:c r="K8" s="197" t="n">
        <x:f>IF(AND(G8&lt;&gt;"",J8&lt;&gt;""),G8/J8,"")</x:f>
        <x:v>2.45</x:v>
      </x:c>
      <x:c r="L8" s="197" t="n">
        <x:f>IF(AND(G8&lt;&gt;"",I8&lt;&gt;""),G8/I8,"")</x:f>
        <x:v>4.9</x:v>
      </x:c>
      <x:c r="M8" s="83" t="str">
        <x:v>S09</x:v>
      </x:c>
      <x:c r="N8" s="83" t="str">
        <x:v>Documento di Descrizione degli Scenari 2024</x:v>
      </x:c>
      <x:c r="O8" s="83" t="n">
        <x:v>62</x:v>
      </x:c>
      <x:c r="P8" s="83" t="str">
        <x:v>60-61</x:v>
      </x:c>
      <x:c r="Q8" s="83" t="str">
        <x:v>Tabella 16</x:v>
      </x:c>
      <x:c r="R8" s="83" t="str">
        <x:v>Assunzione di scenario</x:v>
      </x:c>
      <x:c r="S8" s="83" t="str">
        <x:v>Direct table extraction</x:v>
      </x:c>
      <x:c r="T8" s="83" t="str">
        <x:v>A — Direct</x:v>
      </x:c>
      <x:c r="U8" s="83" t="str">
        <x:v>Energy capacity by zone and class; derive power only where duration is specified.</x:v>
      </x:c>
      <x:c r="V8" s="83" t="str">
        <x:v>Small-scale source classes are 2 or 4 hours; utility-scale is 8 hours. CM duration is not stated.</x:v>
      </x:c>
    </x:row>
    <x:row r="9">
      <x:c r="A9" s="83" t="str">
        <x:v>SZ-005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Small Scale</x:v>
      </x:c>
      <x:c r="G9" s="197" t="n">
        <x:v>9.1</x:v>
      </x:c>
      <x:c r="H9" s="203" t="b">
        <x:v>1</x:v>
      </x:c>
      <x:c r="I9" s="197" t="n">
        <x:v>2</x:v>
      </x:c>
      <x:c r="J9" s="197" t="n">
        <x:v>4</x:v>
      </x:c>
      <x:c r="K9" s="197" t="n">
        <x:f>IF(AND(G9&lt;&gt;"",J9&lt;&gt;""),G9/J9,"")</x:f>
        <x:v>2.275</x:v>
      </x:c>
      <x:c r="L9" s="197" t="n">
        <x:f>IF(AND(G9&lt;&gt;"",I9&lt;&gt;""),G9/I9,"")</x:f>
        <x:v>4.55</x:v>
      </x:c>
      <x:c r="M9" s="83" t="str">
        <x:v>S09</x:v>
      </x:c>
      <x:c r="N9" s="83" t="str">
        <x:v>Documento di Descrizione degli Scenari 2024</x:v>
      </x:c>
      <x:c r="O9" s="83" t="n">
        <x:v>62</x:v>
      </x:c>
      <x:c r="P9" s="83" t="str">
        <x:v>60-61</x:v>
      </x:c>
      <x:c r="Q9" s="83" t="str">
        <x:v>Tabella 16</x:v>
      </x:c>
      <x:c r="R9" s="83" t="str">
        <x:v>Assunzione di scenario</x:v>
      </x:c>
      <x:c r="S9" s="83" t="str">
        <x:v>Direct table extraction</x:v>
      </x:c>
      <x:c r="T9" s="83" t="str">
        <x:v>A — Direct</x:v>
      </x:c>
      <x:c r="U9" s="83" t="str">
        <x:v>Energy capacity by zone and class; derive power only where duration is specified.</x:v>
      </x:c>
      <x:c r="V9" s="83" t="str">
        <x:v>Small-scale source classes are 2 or 4 hours; utility-scale is 8 hours. CM duration is not stated.</x:v>
      </x:c>
    </x:row>
    <x:row r="10">
      <x:c r="A10" s="83" t="str">
        <x:v>SZ-006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Small Scale</x:v>
      </x:c>
      <x:c r="G10" s="197" t="n">
        <x:v>9.1</x:v>
      </x:c>
      <x:c r="H10" s="203" t="b">
        <x:v>1</x:v>
      </x:c>
      <x:c r="I10" s="197" t="n">
        <x:v>2</x:v>
      </x:c>
      <x:c r="J10" s="197" t="n">
        <x:v>4</x:v>
      </x:c>
      <x:c r="K10" s="197" t="n">
        <x:f>IF(AND(G10&lt;&gt;"",J10&lt;&gt;""),G10/J10,"")</x:f>
        <x:v>2.275</x:v>
      </x:c>
      <x:c r="L10" s="197" t="n">
        <x:f>IF(AND(G10&lt;&gt;"",I10&lt;&gt;""),G10/I10,"")</x:f>
        <x:v>4.55</x:v>
      </x:c>
      <x:c r="M10" s="83" t="str">
        <x:v>S09</x:v>
      </x:c>
      <x:c r="N10" s="83" t="str">
        <x:v>Documento di Descrizione degli Scenari 2024</x:v>
      </x:c>
      <x:c r="O10" s="83" t="n">
        <x:v>62</x:v>
      </x:c>
      <x:c r="P10" s="83" t="str">
        <x:v>60-61</x:v>
      </x:c>
      <x:c r="Q10" s="83" t="str">
        <x:v>Tabella 16</x:v>
      </x:c>
      <x:c r="R10" s="83" t="str">
        <x:v>Assunzione di scenario</x:v>
      </x:c>
      <x:c r="S10" s="83" t="str">
        <x:v>Direct table extraction</x:v>
      </x:c>
      <x:c r="T10" s="83" t="str">
        <x:v>A — Direct</x:v>
      </x:c>
      <x:c r="U10" s="83" t="str">
        <x:v>Energy capacity by zone and class; derive power only where duration is specified.</x:v>
      </x:c>
      <x:c r="V10" s="83" t="str">
        <x:v>Small-scale source classes are 2 or 4 hours; utility-scale is 8 hours. CM duration is not stated.</x:v>
      </x:c>
    </x:row>
    <x:row r="11">
      <x:c r="A11" s="83" t="str">
        <x:v>SZ-007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Small Scale</x:v>
      </x:c>
      <x:c r="G11" s="197" t="n">
        <x:v>11.4</x:v>
      </x:c>
      <x:c r="H11" s="203" t="b">
        <x:v>1</x:v>
      </x:c>
      <x:c r="I11" s="197" t="n">
        <x:v>2</x:v>
      </x:c>
      <x:c r="J11" s="197" t="n">
        <x:v>4</x:v>
      </x:c>
      <x:c r="K11" s="197" t="n">
        <x:f>IF(AND(G11&lt;&gt;"",J11&lt;&gt;""),G11/J11,"")</x:f>
        <x:v>2.85</x:v>
      </x:c>
      <x:c r="L11" s="197" t="n">
        <x:f>IF(AND(G11&lt;&gt;"",I11&lt;&gt;""),G11/I11,"")</x:f>
        <x:v>5.7</x:v>
      </x:c>
      <x:c r="M11" s="83" t="str">
        <x:v>S09</x:v>
      </x:c>
      <x:c r="N11" s="83" t="str">
        <x:v>Documento di Descrizione degli Scenari 2024</x:v>
      </x:c>
      <x:c r="O11" s="83" t="n">
        <x:v>62</x:v>
      </x:c>
      <x:c r="P11" s="83" t="str">
        <x:v>60-61</x:v>
      </x:c>
      <x:c r="Q11" s="83" t="str">
        <x:v>Tabella 16</x:v>
      </x:c>
      <x:c r="R11" s="83" t="str">
        <x:v>Assunzione di scenario</x:v>
      </x:c>
      <x:c r="S11" s="83" t="str">
        <x:v>Direct table extraction</x:v>
      </x:c>
      <x:c r="T11" s="83" t="str">
        <x:v>A — Direct</x:v>
      </x:c>
      <x:c r="U11" s="83" t="str">
        <x:v>Energy capacity by zone and class; derive power only where duration is specified.</x:v>
      </x:c>
      <x:c r="V11" s="83" t="str">
        <x:v>Small-scale source classes are 2 or 4 hours; utility-scale is 8 hours. CM duration is not stated.</x:v>
      </x:c>
    </x:row>
    <x:row r="12">
      <x:c r="A12" s="83" t="str">
        <x:v>SZ-008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Small Scale</x:v>
      </x:c>
      <x:c r="G12" s="197" t="n">
        <x:v>10.6</x:v>
      </x:c>
      <x:c r="H12" s="203" t="b">
        <x:v>1</x:v>
      </x:c>
      <x:c r="I12" s="197" t="n">
        <x:v>2</x:v>
      </x:c>
      <x:c r="J12" s="197" t="n">
        <x:v>4</x:v>
      </x:c>
      <x:c r="K12" s="197" t="n">
        <x:f>IF(AND(G12&lt;&gt;"",J12&lt;&gt;""),G12/J12,"")</x:f>
        <x:v>2.65</x:v>
      </x:c>
      <x:c r="L12" s="197" t="n">
        <x:f>IF(AND(G12&lt;&gt;"",I12&lt;&gt;""),G12/I12,"")</x:f>
        <x:v>5.3</x:v>
      </x:c>
      <x:c r="M12" s="83" t="str">
        <x:v>S09</x:v>
      </x:c>
      <x:c r="N12" s="83" t="str">
        <x:v>Documento di Descrizione degli Scenari 2024</x:v>
      </x:c>
      <x:c r="O12" s="83" t="n">
        <x:v>62</x:v>
      </x:c>
      <x:c r="P12" s="83" t="str">
        <x:v>60-61</x:v>
      </x:c>
      <x:c r="Q12" s="83" t="str">
        <x:v>Tabella 16</x:v>
      </x:c>
      <x:c r="R12" s="83" t="str">
        <x:v>Assunzione di scenario</x:v>
      </x:c>
      <x:c r="S12" s="83" t="str">
        <x:v>Direct table extraction</x:v>
      </x:c>
      <x:c r="T12" s="83" t="str">
        <x:v>A — Direct</x:v>
      </x:c>
      <x:c r="U12" s="83" t="str">
        <x:v>Energy capacity by zone and class; derive power only where duration is specified.</x:v>
      </x:c>
      <x:c r="V12" s="83" t="str">
        <x:v>Small-scale source classes are 2 or 4 hours; utility-scale is 8 hours. CM duration is not stated.</x:v>
      </x:c>
    </x:row>
    <x:row r="13">
      <x:c r="A13" s="83" t="str">
        <x:v>SZ-009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Small Scale</x:v>
      </x:c>
      <x:c r="G13" s="197" t="n">
        <x:v>10.5</x:v>
      </x:c>
      <x:c r="H13" s="203" t="b">
        <x:v>1</x:v>
      </x:c>
      <x:c r="I13" s="197" t="n">
        <x:v>2</x:v>
      </x:c>
      <x:c r="J13" s="197" t="n">
        <x:v>4</x:v>
      </x:c>
      <x:c r="K13" s="197" t="n">
        <x:f>IF(AND(G13&lt;&gt;"",J13&lt;&gt;""),G13/J13,"")</x:f>
        <x:v>2.625</x:v>
      </x:c>
      <x:c r="L13" s="197" t="n">
        <x:f>IF(AND(G13&lt;&gt;"",I13&lt;&gt;""),G13/I13,"")</x:f>
        <x:v>5.25</x:v>
      </x:c>
      <x:c r="M13" s="83" t="str">
        <x:v>S09</x:v>
      </x:c>
      <x:c r="N13" s="83" t="str">
        <x:v>Documento di Descrizione degli Scenari 2024</x:v>
      </x:c>
      <x:c r="O13" s="83" t="n">
        <x:v>62</x:v>
      </x:c>
      <x:c r="P13" s="83" t="str">
        <x:v>60-61</x:v>
      </x:c>
      <x:c r="Q13" s="83" t="str">
        <x:v>Tabella 16</x:v>
      </x:c>
      <x:c r="R13" s="83" t="str">
        <x:v>Assunzione di scenario</x:v>
      </x:c>
      <x:c r="S13" s="83" t="str">
        <x:v>Direct table extraction</x:v>
      </x:c>
      <x:c r="T13" s="83" t="str">
        <x:v>A — Direct</x:v>
      </x:c>
      <x:c r="U13" s="83" t="str">
        <x:v>Energy capacity by zone and class; derive power only where duration is specified.</x:v>
      </x:c>
      <x:c r="V13" s="83" t="str">
        <x:v>Small-scale source classes are 2 or 4 hours; utility-scale is 8 hours. CM duration is not stated.</x:v>
      </x:c>
    </x:row>
    <x:row r="14">
      <x:c r="A14" s="83" t="str">
        <x:v>SZ-010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Utility Scale</x:v>
      </x:c>
      <x:c r="G14" s="197" t="n">
        <x:v>0</x:v>
      </x:c>
      <x:c r="H14" s="203" t="b">
        <x:v>1</x:v>
      </x:c>
      <x:c r="I14" s="197" t="n">
        <x:v>8</x:v>
      </x:c>
      <x:c r="J14" s="197" t="n">
        <x:v>8</x:v>
      </x:c>
      <x:c r="K14" s="197" t="str">
        <x:f>IF(AND(G14&lt;&gt;"",J14&lt;&gt;""),G14/J14,"")</x:f>
      </x:c>
      <x:c r="L14" s="197" t="str">
        <x:f>IF(AND(G14&lt;&gt;"",I14&lt;&gt;""),G14/I14,"")</x:f>
      </x:c>
      <x:c r="M14" s="83" t="str">
        <x:v>S09</x:v>
      </x:c>
      <x:c r="N14" s="83" t="str">
        <x:v>Documento di Descrizione degli Scenari 2024</x:v>
      </x:c>
      <x:c r="O14" s="83" t="n">
        <x:v>62</x:v>
      </x:c>
      <x:c r="P14" s="83" t="str">
        <x:v>60-61</x:v>
      </x:c>
      <x:c r="Q14" s="83" t="str">
        <x:v>Tabella 16</x:v>
      </x:c>
      <x:c r="R14" s="83" t="str">
        <x:v>Dato osservato storico nel DDS</x:v>
      </x:c>
      <x:c r="S14" s="83" t="str">
        <x:v>Direct table extraction</x:v>
      </x:c>
      <x:c r="T14" s="83" t="str">
        <x:v>A — Direct</x:v>
      </x:c>
      <x:c r="U14" s="83" t="str">
        <x:v>Energy capacity by zone and class; derive power only where duration is specified.</x:v>
      </x:c>
      <x:c r="V14" s="83" t="str">
        <x:v>Small-scale source classes are 2 or 4 hours; utility-scale is 8 hours. CM duration is not stated.</x:v>
      </x:c>
    </x:row>
    <x:row r="15">
      <x:c r="A15" s="83" t="str">
        <x:v>SZ-011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Utility Scale</x:v>
      </x:c>
      <x:c r="G15" s="197" t="n">
        <x:v>0</x:v>
      </x:c>
      <x:c r="H15" s="203" t="b">
        <x:v>1</x:v>
      </x:c>
      <x:c r="I15" s="197" t="n">
        <x:v>8</x:v>
      </x:c>
      <x:c r="J15" s="197" t="n">
        <x:v>8</x:v>
      </x:c>
      <x:c r="K15" s="197" t="str">
        <x:f>IF(AND(G15&lt;&gt;"",J15&lt;&gt;""),G15/J15,"")</x:f>
      </x:c>
      <x:c r="L15" s="197" t="str">
        <x:f>IF(AND(G15&lt;&gt;"",I15&lt;&gt;""),G15/I15,"")</x:f>
      </x:c>
      <x:c r="M15" s="83" t="str">
        <x:v>S09</x:v>
      </x:c>
      <x:c r="N15" s="83" t="str">
        <x:v>Documento di Descrizione degli Scenari 2024</x:v>
      </x:c>
      <x:c r="O15" s="83" t="n">
        <x:v>62</x:v>
      </x:c>
      <x:c r="P15" s="83" t="str">
        <x:v>60-61</x:v>
      </x:c>
      <x:c r="Q15" s="83" t="str">
        <x:v>Tabella 16</x:v>
      </x:c>
      <x:c r="R15" s="83" t="str">
        <x:v>Assunzione di scenario</x:v>
      </x:c>
      <x:c r="S15" s="83" t="str">
        <x:v>Direct table extraction</x:v>
      </x:c>
      <x:c r="T15" s="83" t="str">
        <x:v>A — Direct</x:v>
      </x:c>
      <x:c r="U15" s="83" t="str">
        <x:v>Energy capacity by zone and class; derive power only where duration is specified.</x:v>
      </x:c>
      <x:c r="V15" s="83" t="str">
        <x:v>Small-scale source classes are 2 or 4 hours; utility-scale is 8 hours. CM duration is not stated.</x:v>
      </x:c>
    </x:row>
    <x:row r="16">
      <x:c r="A16" s="83" t="str">
        <x:v>SZ-012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Utility Scale</x:v>
      </x:c>
      <x:c r="G16" s="197" t="n">
        <x:v>0</x:v>
      </x:c>
      <x:c r="H16" s="203" t="b">
        <x:v>1</x:v>
      </x:c>
      <x:c r="I16" s="197" t="n">
        <x:v>8</x:v>
      </x:c>
      <x:c r="J16" s="197" t="n">
        <x:v>8</x:v>
      </x:c>
      <x:c r="K16" s="197" t="str">
        <x:f>IF(AND(G16&lt;&gt;"",J16&lt;&gt;""),G16/J16,"")</x:f>
      </x:c>
      <x:c r="L16" s="197" t="str">
        <x:f>IF(AND(G16&lt;&gt;"",I16&lt;&gt;""),G16/I16,"")</x:f>
      </x:c>
      <x:c r="M16" s="83" t="str">
        <x:v>S09</x:v>
      </x:c>
      <x:c r="N16" s="83" t="str">
        <x:v>Documento di Descrizione degli Scenari 2024</x:v>
      </x:c>
      <x:c r="O16" s="83" t="n">
        <x:v>62</x:v>
      </x:c>
      <x:c r="P16" s="83" t="str">
        <x:v>60-61</x:v>
      </x:c>
      <x:c r="Q16" s="83" t="str">
        <x:v>Tabella 16</x:v>
      </x:c>
      <x:c r="R16" s="83" t="str">
        <x:v>Assunzione di scenario</x:v>
      </x:c>
      <x:c r="S16" s="83" t="str">
        <x:v>Direct table extraction</x:v>
      </x:c>
      <x:c r="T16" s="83" t="str">
        <x:v>A — Direct</x:v>
      </x:c>
      <x:c r="U16" s="83" t="str">
        <x:v>Energy capacity by zone and class; derive power only where duration is specified.</x:v>
      </x:c>
      <x:c r="V16" s="83" t="str">
        <x:v>Small-scale source classes are 2 or 4 hours; utility-scale is 8 hours. CM duration is not stated.</x:v>
      </x:c>
    </x:row>
    <x:row r="17">
      <x:c r="A17" s="83" t="str">
        <x:v>SZ-013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Utility Scale</x:v>
      </x:c>
      <x:c r="G17" s="197" t="n">
        <x:v>0</x:v>
      </x:c>
      <x:c r="H17" s="203" t="b">
        <x:v>1</x:v>
      </x:c>
      <x:c r="I17" s="197" t="n">
        <x:v>8</x:v>
      </x:c>
      <x:c r="J17" s="197" t="n">
        <x:v>8</x:v>
      </x:c>
      <x:c r="K17" s="197" t="str">
        <x:f>IF(AND(G17&lt;&gt;"",J17&lt;&gt;""),G17/J17,"")</x:f>
      </x:c>
      <x:c r="L17" s="197" t="str">
        <x:f>IF(AND(G17&lt;&gt;"",I17&lt;&gt;""),G17/I17,"")</x:f>
      </x:c>
      <x:c r="M17" s="83" t="str">
        <x:v>S09</x:v>
      </x:c>
      <x:c r="N17" s="83" t="str">
        <x:v>Documento di Descrizione degli Scenari 2024</x:v>
      </x:c>
      <x:c r="O17" s="83" t="n">
        <x:v>62</x:v>
      </x:c>
      <x:c r="P17" s="83" t="str">
        <x:v>60-61</x:v>
      </x:c>
      <x:c r="Q17" s="83" t="str">
        <x:v>Tabella 16</x:v>
      </x:c>
      <x:c r="R17" s="83" t="str">
        <x:v>Assunzione di scenario</x:v>
      </x:c>
      <x:c r="S17" s="83" t="str">
        <x:v>Direct table extraction</x:v>
      </x:c>
      <x:c r="T17" s="83" t="str">
        <x:v>A — Direct</x:v>
      </x:c>
      <x:c r="U17" s="83" t="str">
        <x:v>Energy capacity by zone and class; derive power only where duration is specified.</x:v>
      </x:c>
      <x:c r="V17" s="83" t="str">
        <x:v>Small-scale source classes are 2 or 4 hours; utility-scale is 8 hours. CM duration is not stated.</x:v>
      </x:c>
    </x:row>
    <x:row r="18">
      <x:c r="A18" s="83" t="str">
        <x:v>SZ-014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Utility Scale</x:v>
      </x:c>
      <x:c r="G18" s="197" t="n">
        <x:v>0</x:v>
      </x:c>
      <x:c r="H18" s="203" t="b">
        <x:v>1</x:v>
      </x:c>
      <x:c r="I18" s="197" t="n">
        <x:v>8</x:v>
      </x:c>
      <x:c r="J18" s="197" t="n">
        <x:v>8</x:v>
      </x:c>
      <x:c r="K18" s="197" t="str">
        <x:f>IF(AND(G18&lt;&gt;"",J18&lt;&gt;""),G18/J18,"")</x:f>
      </x:c>
      <x:c r="L18" s="197" t="str">
        <x:f>IF(AND(G18&lt;&gt;"",I18&lt;&gt;""),G18/I18,"")</x:f>
      </x:c>
      <x:c r="M18" s="83" t="str">
        <x:v>S09</x:v>
      </x:c>
      <x:c r="N18" s="83" t="str">
        <x:v>Documento di Descrizione degli Scenari 2024</x:v>
      </x:c>
      <x:c r="O18" s="83" t="n">
        <x:v>62</x:v>
      </x:c>
      <x:c r="P18" s="83" t="str">
        <x:v>60-61</x:v>
      </x:c>
      <x:c r="Q18" s="83" t="str">
        <x:v>Tabella 16</x:v>
      </x:c>
      <x:c r="R18" s="83" t="str">
        <x:v>Assunzione di scenario</x:v>
      </x:c>
      <x:c r="S18" s="83" t="str">
        <x:v>Direct table extraction</x:v>
      </x:c>
      <x:c r="T18" s="83" t="str">
        <x:v>A — Direct</x:v>
      </x:c>
      <x:c r="U18" s="83" t="str">
        <x:v>Energy capacity by zone and class; derive power only where duration is specified.</x:v>
      </x:c>
      <x:c r="V18" s="83" t="str">
        <x:v>Small-scale source classes are 2 or 4 hours; utility-scale is 8 hours. CM duration is not stated.</x:v>
      </x:c>
    </x:row>
    <x:row r="19">
      <x:c r="A19" s="83" t="str">
        <x:v>SZ-015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Utility Scale</x:v>
      </x:c>
      <x:c r="G19" s="197" t="n">
        <x:v>0</x:v>
      </x:c>
      <x:c r="H19" s="203" t="b">
        <x:v>1</x:v>
      </x:c>
      <x:c r="I19" s="197" t="n">
        <x:v>8</x:v>
      </x:c>
      <x:c r="J19" s="197" t="n">
        <x:v>8</x:v>
      </x:c>
      <x:c r="K19" s="197" t="str">
        <x:f>IF(AND(G19&lt;&gt;"",J19&lt;&gt;""),G19/J19,"")</x:f>
      </x:c>
      <x:c r="L19" s="197" t="str">
        <x:f>IF(AND(G19&lt;&gt;"",I19&lt;&gt;""),G19/I19,"")</x:f>
      </x:c>
      <x:c r="M19" s="83" t="str">
        <x:v>S09</x:v>
      </x:c>
      <x:c r="N19" s="83" t="str">
        <x:v>Documento di Descrizione degli Scenari 2024</x:v>
      </x:c>
      <x:c r="O19" s="83" t="n">
        <x:v>62</x:v>
      </x:c>
      <x:c r="P19" s="83" t="str">
        <x:v>60-61</x:v>
      </x:c>
      <x:c r="Q19" s="83" t="str">
        <x:v>Tabella 16</x:v>
      </x:c>
      <x:c r="R19" s="83" t="str">
        <x:v>Assunzione di scenario</x:v>
      </x:c>
      <x:c r="S19" s="83" t="str">
        <x:v>Direct table extraction</x:v>
      </x:c>
      <x:c r="T19" s="83" t="str">
        <x:v>A — Direct</x:v>
      </x:c>
      <x:c r="U19" s="83" t="str">
        <x:v>Energy capacity by zone and class; derive power only where duration is specified.</x:v>
      </x:c>
      <x:c r="V19" s="83" t="str">
        <x:v>Small-scale source classes are 2 or 4 hours; utility-scale is 8 hours. CM duration is not stated.</x:v>
      </x:c>
    </x:row>
    <x:row r="20">
      <x:c r="A20" s="83" t="str">
        <x:v>SZ-016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Utility Scale</x:v>
      </x:c>
      <x:c r="G20" s="197" t="n">
        <x:v>0</x:v>
      </x:c>
      <x:c r="H20" s="203" t="b">
        <x:v>1</x:v>
      </x:c>
      <x:c r="I20" s="197" t="n">
        <x:v>8</x:v>
      </x:c>
      <x:c r="J20" s="197" t="n">
        <x:v>8</x:v>
      </x:c>
      <x:c r="K20" s="197" t="str">
        <x:f>IF(AND(G20&lt;&gt;"",J20&lt;&gt;""),G20/J20,"")</x:f>
      </x:c>
      <x:c r="L20" s="197" t="str">
        <x:f>IF(AND(G20&lt;&gt;"",I20&lt;&gt;""),G20/I20,"")</x:f>
      </x:c>
      <x:c r="M20" s="83" t="str">
        <x:v>S09</x:v>
      </x:c>
      <x:c r="N20" s="83" t="str">
        <x:v>Documento di Descrizione degli Scenari 2024</x:v>
      </x:c>
      <x:c r="O20" s="83" t="n">
        <x:v>62</x:v>
      </x:c>
      <x:c r="P20" s="83" t="str">
        <x:v>60-61</x:v>
      </x:c>
      <x:c r="Q20" s="83" t="str">
        <x:v>Tabella 16</x:v>
      </x:c>
      <x:c r="R20" s="83" t="str">
        <x:v>Assunzione di scenario</x:v>
      </x:c>
      <x:c r="S20" s="83" t="str">
        <x:v>Direct table extraction</x:v>
      </x:c>
      <x:c r="T20" s="83" t="str">
        <x:v>A — Direct</x:v>
      </x:c>
      <x:c r="U20" s="83" t="str">
        <x:v>Energy capacity by zone and class; derive power only where duration is specified.</x:v>
      </x:c>
      <x:c r="V20" s="83" t="str">
        <x:v>Small-scale source classes are 2 or 4 hours; utility-scale is 8 hours. CM duration is not stated.</x:v>
      </x:c>
    </x:row>
    <x:row r="21">
      <x:c r="A21" s="83" t="str">
        <x:v>SZ-017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Utility Scale</x:v>
      </x:c>
      <x:c r="G21" s="197" t="n">
        <x:v>0</x:v>
      </x:c>
      <x:c r="H21" s="203" t="b">
        <x:v>1</x:v>
      </x:c>
      <x:c r="I21" s="197" t="n">
        <x:v>8</x:v>
      </x:c>
      <x:c r="J21" s="197" t="n">
        <x:v>8</x:v>
      </x:c>
      <x:c r="K21" s="197" t="str">
        <x:f>IF(AND(G21&lt;&gt;"",J21&lt;&gt;""),G21/J21,"")</x:f>
      </x:c>
      <x:c r="L21" s="197" t="str">
        <x:f>IF(AND(G21&lt;&gt;"",I21&lt;&gt;""),G21/I21,"")</x:f>
      </x:c>
      <x:c r="M21" s="83" t="str">
        <x:v>S09</x:v>
      </x:c>
      <x:c r="N21" s="83" t="str">
        <x:v>Documento di Descrizione degli Scenari 2024</x:v>
      </x:c>
      <x:c r="O21" s="83" t="n">
        <x:v>62</x:v>
      </x:c>
      <x:c r="P21" s="83" t="str">
        <x:v>60-61</x:v>
      </x:c>
      <x:c r="Q21" s="83" t="str">
        <x:v>Tabella 16</x:v>
      </x:c>
      <x:c r="R21" s="83" t="str">
        <x:v>Assunzione di scenario</x:v>
      </x:c>
      <x:c r="S21" s="83" t="str">
        <x:v>Direct table extraction</x:v>
      </x:c>
      <x:c r="T21" s="83" t="str">
        <x:v>A — Direct</x:v>
      </x:c>
      <x:c r="U21" s="83" t="str">
        <x:v>Energy capacity by zone and class; derive power only where duration is specified.</x:v>
      </x:c>
      <x:c r="V21" s="83" t="str">
        <x:v>Small-scale source classes are 2 or 4 hours; utility-scale is 8 hours. CM duration is not stated.</x:v>
      </x:c>
    </x:row>
    <x:row r="22">
      <x:c r="A22" s="83" t="str">
        <x:v>SZ-018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Utility Scale</x:v>
      </x:c>
      <x:c r="G22" s="197" t="n">
        <x:v>0</x:v>
      </x:c>
      <x:c r="H22" s="203" t="b">
        <x:v>1</x:v>
      </x:c>
      <x:c r="I22" s="197" t="n">
        <x:v>8</x:v>
      </x:c>
      <x:c r="J22" s="197" t="n">
        <x:v>8</x:v>
      </x:c>
      <x:c r="K22" s="197" t="str">
        <x:f>IF(AND(G22&lt;&gt;"",J22&lt;&gt;""),G22/J22,"")</x:f>
      </x:c>
      <x:c r="L22" s="197" t="str">
        <x:f>IF(AND(G22&lt;&gt;"",I22&lt;&gt;""),G22/I22,"")</x:f>
      </x:c>
      <x:c r="M22" s="83" t="str">
        <x:v>S09</x:v>
      </x:c>
      <x:c r="N22" s="83" t="str">
        <x:v>Documento di Descrizione degli Scenari 2024</x:v>
      </x:c>
      <x:c r="O22" s="83" t="n">
        <x:v>62</x:v>
      </x:c>
      <x:c r="P22" s="83" t="str">
        <x:v>60-61</x:v>
      </x:c>
      <x:c r="Q22" s="83" t="str">
        <x:v>Tabella 16</x:v>
      </x:c>
      <x:c r="R22" s="83" t="str">
        <x:v>Assunzione di scenario</x:v>
      </x:c>
      <x:c r="S22" s="83" t="str">
        <x:v>Direct table extraction</x:v>
      </x:c>
      <x:c r="T22" s="83" t="str">
        <x:v>A — Direct</x:v>
      </x:c>
      <x:c r="U22" s="83" t="str">
        <x:v>Energy capacity by zone and class; derive power only where duration is specified.</x:v>
      </x:c>
      <x:c r="V22" s="83" t="str">
        <x:v>Small-scale source classes are 2 or 4 hours; utility-scale is 8 hours. CM duration is not stated.</x:v>
      </x:c>
    </x:row>
    <x:row r="23">
      <x:c r="A23" s="83" t="str">
        <x:v>SZ-019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Nord</x:v>
      </x:c>
      <x:c r="F23" s="83" t="str">
        <x:v>CM</x:v>
      </x:c>
      <x:c r="G23" s="197" t="n">
        <x:v>0</x:v>
      </x:c>
      <x:c r="H23" s="203" t="b">
        <x:v>1</x:v>
      </x:c>
      <x:c r="I23" s="197"/>
      <x:c r="J23" s="197"/>
      <x:c r="K23" s="197" t="str">
        <x:f>IF(AND(G23&lt;&gt;"",J23&lt;&gt;""),G23/J23,"")</x:f>
      </x:c>
      <x:c r="L23" s="197" t="str">
        <x:f>IF(AND(G23&lt;&gt;"",I23&lt;&gt;""),G23/I23,"")</x:f>
      </x:c>
      <x:c r="M23" s="83" t="str">
        <x:v>S09</x:v>
      </x:c>
      <x:c r="N23" s="83" t="str">
        <x:v>Documento di Descrizione degli Scenari 2024</x:v>
      </x:c>
      <x:c r="O23" s="83" t="n">
        <x:v>62</x:v>
      </x:c>
      <x:c r="P23" s="83" t="str">
        <x:v>60-61</x:v>
      </x:c>
      <x:c r="Q23" s="83" t="str">
        <x:v>Tabella 16</x:v>
      </x:c>
      <x:c r="R23" s="83" t="str">
        <x:v>Dato osservato storico nel DDS</x:v>
      </x:c>
      <x:c r="S23" s="83" t="str">
        <x:v>Direct table extraction</x:v>
      </x:c>
      <x:c r="T23" s="83" t="str">
        <x:v>A — Direct</x:v>
      </x:c>
      <x:c r="U23" s="83" t="str">
        <x:v>Energy capacity by zone and class; derive power only where duration is specified.</x:v>
      </x:c>
      <x:c r="V23" s="83" t="str">
        <x:v>Small-scale source classes are 2 or 4 hours; utility-scale is 8 hours. CM duration is not stated.</x:v>
      </x:c>
    </x:row>
    <x:row r="24">
      <x:c r="A24" s="83" t="str">
        <x:v>SZ-020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Nord</x:v>
      </x:c>
      <x:c r="F24" s="83" t="str">
        <x:v>CM</x:v>
      </x:c>
      <x:c r="G24" s="197" t="n">
        <x:v>3.1</x:v>
      </x:c>
      <x:c r="H24" s="203" t="b">
        <x:v>1</x:v>
      </x:c>
      <x:c r="I24" s="197"/>
      <x:c r="J24" s="197"/>
      <x:c r="K24" s="197" t="str">
        <x:f>IF(AND(G24&lt;&gt;"",J24&lt;&gt;""),G24/J24,"")</x:f>
      </x:c>
      <x:c r="L24" s="197" t="str">
        <x:f>IF(AND(G24&lt;&gt;"",I24&lt;&gt;""),G24/I24,"")</x:f>
      </x:c>
      <x:c r="M24" s="83" t="str">
        <x:v>S09</x:v>
      </x:c>
      <x:c r="N24" s="83" t="str">
        <x:v>Documento di Descrizione degli Scenari 2024</x:v>
      </x:c>
      <x:c r="O24" s="83" t="n">
        <x:v>62</x:v>
      </x:c>
      <x:c r="P24" s="83" t="str">
        <x:v>60-61</x:v>
      </x:c>
      <x:c r="Q24" s="83" t="str">
        <x:v>Tabella 16</x:v>
      </x:c>
      <x:c r="R24" s="83" t="str">
        <x:v>Assunzione di scenario</x:v>
      </x:c>
      <x:c r="S24" s="83" t="str">
        <x:v>Direct table extraction</x:v>
      </x:c>
      <x:c r="T24" s="83" t="str">
        <x:v>A — Direct</x:v>
      </x:c>
      <x:c r="U24" s="83" t="str">
        <x:v>Energy capacity by zone and class; derive power only where duration is specified.</x:v>
      </x:c>
      <x:c r="V24" s="83" t="str">
        <x:v>Small-scale source classes are 2 or 4 hours; utility-scale is 8 hours. CM duration is not stated.</x:v>
      </x:c>
    </x:row>
    <x:row r="25">
      <x:c r="A25" s="83" t="str">
        <x:v>SZ-021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Nord</x:v>
      </x:c>
      <x:c r="F25" s="83" t="str">
        <x:v>CM</x:v>
      </x:c>
      <x:c r="G25" s="197" t="n">
        <x:v>3.1</x:v>
      </x:c>
      <x:c r="H25" s="203" t="b">
        <x:v>1</x:v>
      </x:c>
      <x:c r="I25" s="197"/>
      <x:c r="J25" s="197"/>
      <x:c r="K25" s="197" t="str">
        <x:f>IF(AND(G25&lt;&gt;"",J25&lt;&gt;""),G25/J25,"")</x:f>
      </x:c>
      <x:c r="L25" s="197" t="str">
        <x:f>IF(AND(G25&lt;&gt;"",I25&lt;&gt;""),G25/I25,"")</x:f>
      </x:c>
      <x:c r="M25" s="83" t="str">
        <x:v>S09</x:v>
      </x:c>
      <x:c r="N25" s="83" t="str">
        <x:v>Documento di Descrizione degli Scenari 2024</x:v>
      </x:c>
      <x:c r="O25" s="83" t="n">
        <x:v>62</x:v>
      </x:c>
      <x:c r="P25" s="83" t="str">
        <x:v>60-61</x:v>
      </x:c>
      <x:c r="Q25" s="83" t="str">
        <x:v>Tabella 16</x:v>
      </x:c>
      <x:c r="R25" s="83" t="str">
        <x:v>Assunzione di scenario</x:v>
      </x:c>
      <x:c r="S25" s="83" t="str">
        <x:v>Direct table extraction</x:v>
      </x:c>
      <x:c r="T25" s="83" t="str">
        <x:v>A — Direct</x:v>
      </x:c>
      <x:c r="U25" s="83" t="str">
        <x:v>Energy capacity by zone and class; derive power only where duration is specified.</x:v>
      </x:c>
      <x:c r="V25" s="83" t="str">
        <x:v>Small-scale source classes are 2 or 4 hours; utility-scale is 8 hours. CM duration is not stated.</x:v>
      </x:c>
    </x:row>
    <x:row r="26">
      <x:c r="A26" s="83" t="str">
        <x:v>SZ-022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Nord</x:v>
      </x:c>
      <x:c r="F26" s="83" t="str">
        <x:v>CM</x:v>
      </x:c>
      <x:c r="G26" s="197" t="n">
        <x:v>3.1</x:v>
      </x:c>
      <x:c r="H26" s="203" t="b">
        <x:v>1</x:v>
      </x:c>
      <x:c r="I26" s="197"/>
      <x:c r="J26" s="197"/>
      <x:c r="K26" s="197" t="str">
        <x:f>IF(AND(G26&lt;&gt;"",J26&lt;&gt;""),G26/J26,"")</x:f>
      </x:c>
      <x:c r="L26" s="197" t="str">
        <x:f>IF(AND(G26&lt;&gt;"",I26&lt;&gt;""),G26/I26,"")</x:f>
      </x:c>
      <x:c r="M26" s="83" t="str">
        <x:v>S09</x:v>
      </x:c>
      <x:c r="N26" s="83" t="str">
        <x:v>Documento di Descrizione degli Scenari 2024</x:v>
      </x:c>
      <x:c r="O26" s="83" t="n">
        <x:v>62</x:v>
      </x:c>
      <x:c r="P26" s="83" t="str">
        <x:v>60-61</x:v>
      </x:c>
      <x:c r="Q26" s="83" t="str">
        <x:v>Tabella 16</x:v>
      </x:c>
      <x:c r="R26" s="83" t="str">
        <x:v>Assunzione di scenario</x:v>
      </x:c>
      <x:c r="S26" s="83" t="str">
        <x:v>Direct table extraction</x:v>
      </x:c>
      <x:c r="T26" s="83" t="str">
        <x:v>A — Direct</x:v>
      </x:c>
      <x:c r="U26" s="83" t="str">
        <x:v>Energy capacity by zone and class; derive power only where duration is specified.</x:v>
      </x:c>
      <x:c r="V26" s="83" t="str">
        <x:v>Small-scale source classes are 2 or 4 hours; utility-scale is 8 hours. CM duration is not stated.</x:v>
      </x:c>
    </x:row>
    <x:row r="27">
      <x:c r="A27" s="83" t="str">
        <x:v>SZ-023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Nord</x:v>
      </x:c>
      <x:c r="F27" s="83" t="str">
        <x:v>CM</x:v>
      </x:c>
      <x:c r="G27" s="197" t="n">
        <x:v>3.1</x:v>
      </x:c>
      <x:c r="H27" s="203" t="b">
        <x:v>1</x:v>
      </x:c>
      <x:c r="I27" s="197"/>
      <x:c r="J27" s="197"/>
      <x:c r="K27" s="197" t="str">
        <x:f>IF(AND(G27&lt;&gt;"",J27&lt;&gt;""),G27/J27,"")</x:f>
      </x:c>
      <x:c r="L27" s="197" t="str">
        <x:f>IF(AND(G27&lt;&gt;"",I27&lt;&gt;""),G27/I27,"")</x:f>
      </x:c>
      <x:c r="M27" s="83" t="str">
        <x:v>S09</x:v>
      </x:c>
      <x:c r="N27" s="83" t="str">
        <x:v>Documento di Descrizione degli Scenari 2024</x:v>
      </x:c>
      <x:c r="O27" s="83" t="n">
        <x:v>62</x:v>
      </x:c>
      <x:c r="P27" s="83" t="str">
        <x:v>60-61</x:v>
      </x:c>
      <x:c r="Q27" s="83" t="str">
        <x:v>Tabella 16</x:v>
      </x:c>
      <x:c r="R27" s="83" t="str">
        <x:v>Assunzione di scenario</x:v>
      </x:c>
      <x:c r="S27" s="83" t="str">
        <x:v>Direct table extraction</x:v>
      </x:c>
      <x:c r="T27" s="83" t="str">
        <x:v>A — Direct</x:v>
      </x:c>
      <x:c r="U27" s="83" t="str">
        <x:v>Energy capacity by zone and class; derive power only where duration is specified.</x:v>
      </x:c>
      <x:c r="V27" s="83" t="str">
        <x:v>Small-scale source classes are 2 or 4 hours; utility-scale is 8 hours. CM duration is not stated.</x:v>
      </x:c>
    </x:row>
    <x:row r="28">
      <x:c r="A28" s="83" t="str">
        <x:v>SZ-024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Nord</x:v>
      </x:c>
      <x:c r="F28" s="83" t="str">
        <x:v>CM</x:v>
      </x:c>
      <x:c r="G28" s="197" t="n">
        <x:v>3.1</x:v>
      </x:c>
      <x:c r="H28" s="203" t="b">
        <x:v>1</x:v>
      </x:c>
      <x:c r="I28" s="197"/>
      <x:c r="J28" s="197"/>
      <x:c r="K28" s="197" t="str">
        <x:f>IF(AND(G28&lt;&gt;"",J28&lt;&gt;""),G28/J28,"")</x:f>
      </x:c>
      <x:c r="L28" s="197" t="str">
        <x:f>IF(AND(G28&lt;&gt;"",I28&lt;&gt;""),G28/I28,"")</x:f>
      </x:c>
      <x:c r="M28" s="83" t="str">
        <x:v>S09</x:v>
      </x:c>
      <x:c r="N28" s="83" t="str">
        <x:v>Documento di Descrizione degli Scenari 2024</x:v>
      </x:c>
      <x:c r="O28" s="83" t="n">
        <x:v>62</x:v>
      </x:c>
      <x:c r="P28" s="83" t="str">
        <x:v>60-61</x:v>
      </x:c>
      <x:c r="Q28" s="83" t="str">
        <x:v>Tabella 16</x:v>
      </x:c>
      <x:c r="R28" s="83" t="str">
        <x:v>Assunzione di scenario</x:v>
      </x:c>
      <x:c r="S28" s="83" t="str">
        <x:v>Direct table extraction</x:v>
      </x:c>
      <x:c r="T28" s="83" t="str">
        <x:v>A — Direct</x:v>
      </x:c>
      <x:c r="U28" s="83" t="str">
        <x:v>Energy capacity by zone and class; derive power only where duration is specified.</x:v>
      </x:c>
      <x:c r="V28" s="83" t="str">
        <x:v>Small-scale source classes are 2 or 4 hours; utility-scale is 8 hours. CM duration is not stated.</x:v>
      </x:c>
    </x:row>
    <x:row r="29">
      <x:c r="A29" s="83" t="str">
        <x:v>SZ-025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Nord</x:v>
      </x:c>
      <x:c r="F29" s="83" t="str">
        <x:v>CM</x:v>
      </x:c>
      <x:c r="G29" s="197" t="n">
        <x:v>3.1</x:v>
      </x:c>
      <x:c r="H29" s="203" t="b">
        <x:v>1</x:v>
      </x:c>
      <x:c r="I29" s="197"/>
      <x:c r="J29" s="197"/>
      <x:c r="K29" s="197" t="str">
        <x:f>IF(AND(G29&lt;&gt;"",J29&lt;&gt;""),G29/J29,"")</x:f>
      </x:c>
      <x:c r="L29" s="197" t="str">
        <x:f>IF(AND(G29&lt;&gt;"",I29&lt;&gt;""),G29/I29,"")</x:f>
      </x:c>
      <x:c r="M29" s="83" t="str">
        <x:v>S09</x:v>
      </x:c>
      <x:c r="N29" s="83" t="str">
        <x:v>Documento di Descrizione degli Scenari 2024</x:v>
      </x:c>
      <x:c r="O29" s="83" t="n">
        <x:v>62</x:v>
      </x:c>
      <x:c r="P29" s="83" t="str">
        <x:v>60-61</x:v>
      </x:c>
      <x:c r="Q29" s="83" t="str">
        <x:v>Tabella 16</x:v>
      </x:c>
      <x:c r="R29" s="83" t="str">
        <x:v>Assunzione di scenario</x:v>
      </x:c>
      <x:c r="S29" s="83" t="str">
        <x:v>Direct table extraction</x:v>
      </x:c>
      <x:c r="T29" s="83" t="str">
        <x:v>A — Direct</x:v>
      </x:c>
      <x:c r="U29" s="83" t="str">
        <x:v>Energy capacity by zone and class; derive power only where duration is specified.</x:v>
      </x:c>
      <x:c r="V29" s="83" t="str">
        <x:v>Small-scale source classes are 2 or 4 hours; utility-scale is 8 hours. CM duration is not stated.</x:v>
      </x:c>
    </x:row>
    <x:row r="30">
      <x:c r="A30" s="83" t="str">
        <x:v>SZ-026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Nord</x:v>
      </x:c>
      <x:c r="F30" s="83" t="str">
        <x:v>CM</x:v>
      </x:c>
      <x:c r="G30" s="197" t="n">
        <x:v>3.1</x:v>
      </x:c>
      <x:c r="H30" s="203" t="b">
        <x:v>1</x:v>
      </x:c>
      <x:c r="I30" s="197"/>
      <x:c r="J30" s="197"/>
      <x:c r="K30" s="197" t="str">
        <x:f>IF(AND(G30&lt;&gt;"",J30&lt;&gt;""),G30/J30,"")</x:f>
      </x:c>
      <x:c r="L30" s="197" t="str">
        <x:f>IF(AND(G30&lt;&gt;"",I30&lt;&gt;""),G30/I30,"")</x:f>
      </x:c>
      <x:c r="M30" s="83" t="str">
        <x:v>S09</x:v>
      </x:c>
      <x:c r="N30" s="83" t="str">
        <x:v>Documento di Descrizione degli Scenari 2024</x:v>
      </x:c>
      <x:c r="O30" s="83" t="n">
        <x:v>62</x:v>
      </x:c>
      <x:c r="P30" s="83" t="str">
        <x:v>60-61</x:v>
      </x:c>
      <x:c r="Q30" s="83" t="str">
        <x:v>Tabella 16</x:v>
      </x:c>
      <x:c r="R30" s="83" t="str">
        <x:v>Assunzione di scenario</x:v>
      </x:c>
      <x:c r="S30" s="83" t="str">
        <x:v>Direct table extraction</x:v>
      </x:c>
      <x:c r="T30" s="83" t="str">
        <x:v>A — Direct</x:v>
      </x:c>
      <x:c r="U30" s="83" t="str">
        <x:v>Energy capacity by zone and class; derive power only where duration is specified.</x:v>
      </x:c>
      <x:c r="V30" s="83" t="str">
        <x:v>Small-scale source classes are 2 or 4 hours; utility-scale is 8 hours. CM duration is not stated.</x:v>
      </x:c>
    </x:row>
    <x:row r="31">
      <x:c r="A31" s="83" t="str">
        <x:v>SZ-027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Nord</x:v>
      </x:c>
      <x:c r="F31" s="83" t="str">
        <x:v>CM</x:v>
      </x:c>
      <x:c r="G31" s="197" t="n">
        <x:v>3.1</x:v>
      </x:c>
      <x:c r="H31" s="203" t="b">
        <x:v>1</x:v>
      </x:c>
      <x:c r="I31" s="197"/>
      <x:c r="J31" s="197"/>
      <x:c r="K31" s="197" t="str">
        <x:f>IF(AND(G31&lt;&gt;"",J31&lt;&gt;""),G31/J31,"")</x:f>
      </x:c>
      <x:c r="L31" s="197" t="str">
        <x:f>IF(AND(G31&lt;&gt;"",I31&lt;&gt;""),G31/I31,"")</x:f>
      </x:c>
      <x:c r="M31" s="83" t="str">
        <x:v>S09</x:v>
      </x:c>
      <x:c r="N31" s="83" t="str">
        <x:v>Documento di Descrizione degli Scenari 2024</x:v>
      </x:c>
      <x:c r="O31" s="83" t="n">
        <x:v>62</x:v>
      </x:c>
      <x:c r="P31" s="83" t="str">
        <x:v>60-61</x:v>
      </x:c>
      <x:c r="Q31" s="83" t="str">
        <x:v>Tabella 16</x:v>
      </x:c>
      <x:c r="R31" s="83" t="str">
        <x:v>Assunzione di scenario</x:v>
      </x:c>
      <x:c r="S31" s="83" t="str">
        <x:v>Direct table extraction</x:v>
      </x:c>
      <x:c r="T31" s="83" t="str">
        <x:v>A — Direct</x:v>
      </x:c>
      <x:c r="U31" s="83" t="str">
        <x:v>Energy capacity by zone and class; derive power only where duration is specified.</x:v>
      </x:c>
      <x:c r="V31" s="83" t="str">
        <x:v>Small-scale source classes are 2 or 4 hours; utility-scale is 8 hours. CM duration is not stated.</x:v>
      </x:c>
    </x:row>
    <x:row r="32">
      <x:c r="A32" s="83" t="str">
        <x:v>SZ-028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Nord</x:v>
      </x:c>
      <x:c r="F32" s="83" t="str">
        <x:v>Totale</x:v>
      </x:c>
      <x:c r="G32" s="197" t="n">
        <x:v>3.8</x:v>
      </x:c>
      <x:c r="H32" s="203" t="b">
        <x:v>1</x:v>
      </x:c>
      <x:c r="I32" s="197"/>
      <x:c r="J32" s="197"/>
      <x:c r="K32" s="197" t="str">
        <x:f>IF(AND(G32&lt;&gt;"",J32&lt;&gt;""),G32/J32,"")</x:f>
      </x:c>
      <x:c r="L32" s="197" t="str">
        <x:f>IF(AND(G32&lt;&gt;"",I32&lt;&gt;""),G32/I32,"")</x:f>
      </x:c>
      <x:c r="M32" s="83" t="str">
        <x:v>S09</x:v>
      </x:c>
      <x:c r="N32" s="83" t="str">
        <x:v>Documento di Descrizione degli Scenari 2024</x:v>
      </x:c>
      <x:c r="O32" s="83" t="n">
        <x:v>62</x:v>
      </x:c>
      <x:c r="P32" s="83" t="str">
        <x:v>60-61</x:v>
      </x:c>
      <x:c r="Q32" s="83" t="str">
        <x:v>Tabella 16</x:v>
      </x:c>
      <x:c r="R32" s="83" t="str">
        <x:v>Dato osservato storico nel DDS</x:v>
      </x:c>
      <x:c r="S32" s="83" t="str">
        <x:v>Direct table extraction</x:v>
      </x:c>
      <x:c r="T32" s="83" t="str">
        <x:v>A — Direct</x:v>
      </x:c>
      <x:c r="U32" s="83" t="str">
        <x:v>Energy capacity by zone and class; derive power only where duration is specified.</x:v>
      </x:c>
      <x:c r="V32" s="83" t="str">
        <x:v>Small-scale source classes are 2 or 4 hours; utility-scale is 8 hours. CM duration is not stated.</x:v>
      </x:c>
    </x:row>
    <x:row r="33">
      <x:c r="A33" s="83" t="str">
        <x:v>SZ-029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Nord</x:v>
      </x:c>
      <x:c r="F33" s="83" t="str">
        <x:v>Totale</x:v>
      </x:c>
      <x:c r="G33" s="197" t="n">
        <x:v>11.4</x:v>
      </x:c>
      <x:c r="H33" s="203" t="b">
        <x:v>1</x:v>
      </x:c>
      <x:c r="I33" s="197"/>
      <x:c r="J33" s="197"/>
      <x:c r="K33" s="197" t="str">
        <x:f>IF(AND(G33&lt;&gt;"",J33&lt;&gt;""),G33/J33,"")</x:f>
      </x:c>
      <x:c r="L33" s="197" t="str">
        <x:f>IF(AND(G33&lt;&gt;"",I33&lt;&gt;""),G33/I33,"")</x:f>
      </x:c>
      <x:c r="M33" s="83" t="str">
        <x:v>S09</x:v>
      </x:c>
      <x:c r="N33" s="83" t="str">
        <x:v>Documento di Descrizione degli Scenari 2024</x:v>
      </x:c>
      <x:c r="O33" s="83" t="n">
        <x:v>62</x:v>
      </x:c>
      <x:c r="P33" s="83" t="str">
        <x:v>60-61</x:v>
      </x:c>
      <x:c r="Q33" s="83" t="str">
        <x:v>Tabella 16</x:v>
      </x:c>
      <x:c r="R33" s="83" t="str">
        <x:v>Assunzione di scenario</x:v>
      </x:c>
      <x:c r="S33" s="83" t="str">
        <x:v>Direct table extraction</x:v>
      </x:c>
      <x:c r="T33" s="83" t="str">
        <x:v>A — Direct</x:v>
      </x:c>
      <x:c r="U33" s="83" t="str">
        <x:v>Energy capacity by zone and class; derive power only where duration is specified.</x:v>
      </x:c>
      <x:c r="V33" s="83" t="str">
        <x:v>Small-scale source classes are 2 or 4 hours; utility-scale is 8 hours. CM duration is not stated.</x:v>
      </x:c>
    </x:row>
    <x:row r="34">
      <x:c r="A34" s="83" t="str">
        <x:v>SZ-030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Nord</x:v>
      </x:c>
      <x:c r="F34" s="83" t="str">
        <x:v>Totale</x:v>
      </x:c>
      <x:c r="G34" s="197" t="n">
        <x:v>10.7</x:v>
      </x:c>
      <x:c r="H34" s="203" t="b">
        <x:v>1</x:v>
      </x:c>
      <x:c r="I34" s="197"/>
      <x:c r="J34" s="197"/>
      <x:c r="K34" s="197" t="str">
        <x:f>IF(AND(G34&lt;&gt;"",J34&lt;&gt;""),G34/J34,"")</x:f>
      </x:c>
      <x:c r="L34" s="197" t="str">
        <x:f>IF(AND(G34&lt;&gt;"",I34&lt;&gt;""),G34/I34,"")</x:f>
      </x:c>
      <x:c r="M34" s="83" t="str">
        <x:v>S09</x:v>
      </x:c>
      <x:c r="N34" s="83" t="str">
        <x:v>Documento di Descrizione degli Scenari 2024</x:v>
      </x:c>
      <x:c r="O34" s="83" t="n">
        <x:v>62</x:v>
      </x:c>
      <x:c r="P34" s="83" t="str">
        <x:v>60-61</x:v>
      </x:c>
      <x:c r="Q34" s="83" t="str">
        <x:v>Tabella 16</x:v>
      </x:c>
      <x:c r="R34" s="83" t="str">
        <x:v>Assunzione di scenario</x:v>
      </x:c>
      <x:c r="S34" s="83" t="str">
        <x:v>Direct table extraction</x:v>
      </x:c>
      <x:c r="T34" s="83" t="str">
        <x:v>A — Direct</x:v>
      </x:c>
      <x:c r="U34" s="83" t="str">
        <x:v>Energy capacity by zone and class; derive power only where duration is specified.</x:v>
      </x:c>
      <x:c r="V34" s="83" t="str">
        <x:v>Small-scale source classes are 2 or 4 hours; utility-scale is 8 hours. CM duration is not stated.</x:v>
      </x:c>
    </x:row>
    <x:row r="35">
      <x:c r="A35" s="83" t="str">
        <x:v>SZ-031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Nord</x:v>
      </x:c>
      <x:c r="F35" s="83" t="str">
        <x:v>Totale</x:v>
      </x:c>
      <x:c r="G35" s="197" t="n">
        <x:v>12.9</x:v>
      </x:c>
      <x:c r="H35" s="203" t="b">
        <x:v>1</x:v>
      </x:c>
      <x:c r="I35" s="197"/>
      <x:c r="J35" s="197"/>
      <x:c r="K35" s="197" t="str">
        <x:f>IF(AND(G35&lt;&gt;"",J35&lt;&gt;""),G35/J35,"")</x:f>
      </x:c>
      <x:c r="L35" s="197" t="str">
        <x:f>IF(AND(G35&lt;&gt;"",I35&lt;&gt;""),G35/I35,"")</x:f>
      </x:c>
      <x:c r="M35" s="83" t="str">
        <x:v>S09</x:v>
      </x:c>
      <x:c r="N35" s="83" t="str">
        <x:v>Documento di Descrizione degli Scenari 2024</x:v>
      </x:c>
      <x:c r="O35" s="83" t="n">
        <x:v>62</x:v>
      </x:c>
      <x:c r="P35" s="83" t="str">
        <x:v>60-61</x:v>
      </x:c>
      <x:c r="Q35" s="83" t="str">
        <x:v>Tabella 16</x:v>
      </x:c>
      <x:c r="R35" s="83" t="str">
        <x:v>Assunzione di scenario</x:v>
      </x:c>
      <x:c r="S35" s="83" t="str">
        <x:v>Direct table extraction</x:v>
      </x:c>
      <x:c r="T35" s="83" t="str">
        <x:v>A — Direct</x:v>
      </x:c>
      <x:c r="U35" s="83" t="str">
        <x:v>Energy capacity by zone and class; derive power only where duration is specified.</x:v>
      </x:c>
      <x:c r="V35" s="83" t="str">
        <x:v>Small-scale source classes are 2 or 4 hours; utility-scale is 8 hours. CM duration is not stated.</x:v>
      </x:c>
    </x:row>
    <x:row r="36">
      <x:c r="A36" s="83" t="str">
        <x:v>SZ-032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Nord</x:v>
      </x:c>
      <x:c r="F36" s="83" t="str">
        <x:v>Totale</x:v>
      </x:c>
      <x:c r="G36" s="197" t="n">
        <x:v>12.2</x:v>
      </x:c>
      <x:c r="H36" s="203" t="b">
        <x:v>1</x:v>
      </x:c>
      <x:c r="I36" s="197"/>
      <x:c r="J36" s="197"/>
      <x:c r="K36" s="197" t="str">
        <x:f>IF(AND(G36&lt;&gt;"",J36&lt;&gt;""),G36/J36,"")</x:f>
      </x:c>
      <x:c r="L36" s="197" t="str">
        <x:f>IF(AND(G36&lt;&gt;"",I36&lt;&gt;""),G36/I36,"")</x:f>
      </x:c>
      <x:c r="M36" s="83" t="str">
        <x:v>S09</x:v>
      </x:c>
      <x:c r="N36" s="83" t="str">
        <x:v>Documento di Descrizione degli Scenari 2024</x:v>
      </x:c>
      <x:c r="O36" s="83" t="n">
        <x:v>62</x:v>
      </x:c>
      <x:c r="P36" s="83" t="str">
        <x:v>60-61</x:v>
      </x:c>
      <x:c r="Q36" s="83" t="str">
        <x:v>Tabella 16</x:v>
      </x:c>
      <x:c r="R36" s="83" t="str">
        <x:v>Assunzione di scenario</x:v>
      </x:c>
      <x:c r="S36" s="83" t="str">
        <x:v>Direct table extraction</x:v>
      </x:c>
      <x:c r="T36" s="83" t="str">
        <x:v>A — Direct</x:v>
      </x:c>
      <x:c r="U36" s="83" t="str">
        <x:v>Energy capacity by zone and class; derive power only where duration is specified.</x:v>
      </x:c>
      <x:c r="V36" s="83" t="str">
        <x:v>Small-scale source classes are 2 or 4 hours; utility-scale is 8 hours. CM duration is not stated.</x:v>
      </x:c>
    </x:row>
    <x:row r="37">
      <x:c r="A37" s="83" t="str">
        <x:v>SZ-033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Nord</x:v>
      </x:c>
      <x:c r="F37" s="83" t="str">
        <x:v>Totale</x:v>
      </x:c>
      <x:c r="G37" s="197" t="n">
        <x:v>12.2</x:v>
      </x:c>
      <x:c r="H37" s="203" t="b">
        <x:v>1</x:v>
      </x:c>
      <x:c r="I37" s="197"/>
      <x:c r="J37" s="197"/>
      <x:c r="K37" s="197" t="str">
        <x:f>IF(AND(G37&lt;&gt;"",J37&lt;&gt;""),G37/J37,"")</x:f>
      </x:c>
      <x:c r="L37" s="197" t="str">
        <x:f>IF(AND(G37&lt;&gt;"",I37&lt;&gt;""),G37/I37,"")</x:f>
      </x:c>
      <x:c r="M37" s="83" t="str">
        <x:v>S09</x:v>
      </x:c>
      <x:c r="N37" s="83" t="str">
        <x:v>Documento di Descrizione degli Scenari 2024</x:v>
      </x:c>
      <x:c r="O37" s="83" t="n">
        <x:v>62</x:v>
      </x:c>
      <x:c r="P37" s="83" t="str">
        <x:v>60-61</x:v>
      </x:c>
      <x:c r="Q37" s="83" t="str">
        <x:v>Tabella 16</x:v>
      </x:c>
      <x:c r="R37" s="83" t="str">
        <x:v>Assunzione di scenario</x:v>
      </x:c>
      <x:c r="S37" s="83" t="str">
        <x:v>Direct table extraction</x:v>
      </x:c>
      <x:c r="T37" s="83" t="str">
        <x:v>A — Direct</x:v>
      </x:c>
      <x:c r="U37" s="83" t="str">
        <x:v>Energy capacity by zone and class; derive power only where duration is specified.</x:v>
      </x:c>
      <x:c r="V37" s="83" t="str">
        <x:v>Small-scale source classes are 2 or 4 hours; utility-scale is 8 hours. CM duration is not stated.</x:v>
      </x:c>
    </x:row>
    <x:row r="38">
      <x:c r="A38" s="83" t="str">
        <x:v>SZ-034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Nord</x:v>
      </x:c>
      <x:c r="F38" s="83" t="str">
        <x:v>Totale</x:v>
      </x:c>
      <x:c r="G38" s="197" t="n">
        <x:v>14.5</x:v>
      </x:c>
      <x:c r="H38" s="203" t="b">
        <x:v>1</x:v>
      </x:c>
      <x:c r="I38" s="197"/>
      <x:c r="J38" s="197"/>
      <x:c r="K38" s="197" t="str">
        <x:f>IF(AND(G38&lt;&gt;"",J38&lt;&gt;""),G38/J38,"")</x:f>
      </x:c>
      <x:c r="L38" s="197" t="str">
        <x:f>IF(AND(G38&lt;&gt;"",I38&lt;&gt;""),G38/I38,"")</x:f>
      </x:c>
      <x:c r="M38" s="83" t="str">
        <x:v>S09</x:v>
      </x:c>
      <x:c r="N38" s="83" t="str">
        <x:v>Documento di Descrizione degli Scenari 2024</x:v>
      </x:c>
      <x:c r="O38" s="83" t="n">
        <x:v>62</x:v>
      </x:c>
      <x:c r="P38" s="83" t="str">
        <x:v>60-61</x:v>
      </x:c>
      <x:c r="Q38" s="83" t="str">
        <x:v>Tabella 16</x:v>
      </x:c>
      <x:c r="R38" s="83" t="str">
        <x:v>Assunzione di scenario</x:v>
      </x:c>
      <x:c r="S38" s="83" t="str">
        <x:v>Direct table extraction</x:v>
      </x:c>
      <x:c r="T38" s="83" t="str">
        <x:v>A — Direct</x:v>
      </x:c>
      <x:c r="U38" s="83" t="str">
        <x:v>Energy capacity by zone and class; derive power only where duration is specified.</x:v>
      </x:c>
      <x:c r="V38" s="83" t="str">
        <x:v>Small-scale source classes are 2 or 4 hours; utility-scale is 8 hours. CM duration is not stated.</x:v>
      </x:c>
    </x:row>
    <x:row r="39">
      <x:c r="A39" s="83" t="str">
        <x:v>SZ-035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Nord</x:v>
      </x:c>
      <x:c r="F39" s="83" t="str">
        <x:v>Totale</x:v>
      </x:c>
      <x:c r="G39" s="197" t="n">
        <x:v>13.6</x:v>
      </x:c>
      <x:c r="H39" s="203" t="b">
        <x:v>1</x:v>
      </x:c>
      <x:c r="I39" s="197"/>
      <x:c r="J39" s="197"/>
      <x:c r="K39" s="197" t="str">
        <x:f>IF(AND(G39&lt;&gt;"",J39&lt;&gt;""),G39/J39,"")</x:f>
      </x:c>
      <x:c r="L39" s="197" t="str">
        <x:f>IF(AND(G39&lt;&gt;"",I39&lt;&gt;""),G39/I39,"")</x:f>
      </x:c>
      <x:c r="M39" s="83" t="str">
        <x:v>S09</x:v>
      </x:c>
      <x:c r="N39" s="83" t="str">
        <x:v>Documento di Descrizione degli Scenari 2024</x:v>
      </x:c>
      <x:c r="O39" s="83" t="n">
        <x:v>62</x:v>
      </x:c>
      <x:c r="P39" s="83" t="str">
        <x:v>60-61</x:v>
      </x:c>
      <x:c r="Q39" s="83" t="str">
        <x:v>Tabella 16</x:v>
      </x:c>
      <x:c r="R39" s="83" t="str">
        <x:v>Assunzione di scenario</x:v>
      </x:c>
      <x:c r="S39" s="83" t="str">
        <x:v>Direct table extraction</x:v>
      </x:c>
      <x:c r="T39" s="83" t="str">
        <x:v>A — Direct</x:v>
      </x:c>
      <x:c r="U39" s="83" t="str">
        <x:v>Energy capacity by zone and class; derive power only where duration is specified.</x:v>
      </x:c>
      <x:c r="V39" s="83" t="str">
        <x:v>Small-scale source classes are 2 or 4 hours; utility-scale is 8 hours. CM duration is not stated.</x:v>
      </x:c>
    </x:row>
    <x:row r="40">
      <x:c r="A40" s="83" t="str">
        <x:v>SZ-036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Nord</x:v>
      </x:c>
      <x:c r="F40" s="83" t="str">
        <x:v>Totale</x:v>
      </x:c>
      <x:c r="G40" s="197" t="n">
        <x:v>13.6</x:v>
      </x:c>
      <x:c r="H40" s="203" t="b">
        <x:v>1</x:v>
      </x:c>
      <x:c r="I40" s="197"/>
      <x:c r="J40" s="197"/>
      <x:c r="K40" s="197" t="str">
        <x:f>IF(AND(G40&lt;&gt;"",J40&lt;&gt;""),G40/J40,"")</x:f>
      </x:c>
      <x:c r="L40" s="197" t="str">
        <x:f>IF(AND(G40&lt;&gt;"",I40&lt;&gt;""),G40/I40,"")</x:f>
      </x:c>
      <x:c r="M40" s="83" t="str">
        <x:v>S09</x:v>
      </x:c>
      <x:c r="N40" s="83" t="str">
        <x:v>Documento di Descrizione degli Scenari 2024</x:v>
      </x:c>
      <x:c r="O40" s="83" t="n">
        <x:v>62</x:v>
      </x:c>
      <x:c r="P40" s="83" t="str">
        <x:v>60-61</x:v>
      </x:c>
      <x:c r="Q40" s="83" t="str">
        <x:v>Tabella 16</x:v>
      </x:c>
      <x:c r="R40" s="83" t="str">
        <x:v>Assunzione di scenario</x:v>
      </x:c>
      <x:c r="S40" s="83" t="str">
        <x:v>Direct table extraction</x:v>
      </x:c>
      <x:c r="T40" s="83" t="str">
        <x:v>A — Direct</x:v>
      </x:c>
      <x:c r="U40" s="83" t="str">
        <x:v>Energy capacity by zone and class; derive power only where duration is specified.</x:v>
      </x:c>
      <x:c r="V40" s="83" t="str">
        <x:v>Small-scale source classes are 2 or 4 hours; utility-scale is 8 hours. CM duration is not stated.</x:v>
      </x:c>
    </x:row>
    <x:row r="41">
      <x:c r="A41" s="83" t="str">
        <x:v>SZ-037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Nord</x:v>
      </x:c>
      <x:c r="F41" s="83" t="str">
        <x:v>Small Scale</x:v>
      </x:c>
      <x:c r="G41" s="197" t="n">
        <x:v>0.6</x:v>
      </x:c>
      <x:c r="H41" s="203" t="b">
        <x:v>1</x:v>
      </x:c>
      <x:c r="I41" s="197" t="n">
        <x:v>2</x:v>
      </x:c>
      <x:c r="J41" s="197" t="n">
        <x:v>4</x:v>
      </x:c>
      <x:c r="K41" s="197" t="n">
        <x:f>IF(AND(G41&lt;&gt;"",J41&lt;&gt;""),G41/J41,"")</x:f>
        <x:v>0.15</x:v>
      </x:c>
      <x:c r="L41" s="197" t="n">
        <x:f>IF(AND(G41&lt;&gt;"",I41&lt;&gt;""),G41/I41,"")</x:f>
        <x:v>0.3</x:v>
      </x:c>
      <x:c r="M41" s="83" t="str">
        <x:v>S09</x:v>
      </x:c>
      <x:c r="N41" s="83" t="str">
        <x:v>Documento di Descrizione degli Scenari 2024</x:v>
      </x:c>
      <x:c r="O41" s="83" t="n">
        <x:v>62</x:v>
      </x:c>
      <x:c r="P41" s="83" t="str">
        <x:v>60-61</x:v>
      </x:c>
      <x:c r="Q41" s="83" t="str">
        <x:v>Tabella 16</x:v>
      </x:c>
      <x:c r="R41" s="83" t="str">
        <x:v>Dato osservato storico nel DDS</x:v>
      </x:c>
      <x:c r="S41" s="83" t="str">
        <x:v>Direct table extraction</x:v>
      </x:c>
      <x:c r="T41" s="83" t="str">
        <x:v>A — Direct</x:v>
      </x:c>
      <x:c r="U41" s="83" t="str">
        <x:v>Energy capacity by zone and class; derive power only where duration is specified.</x:v>
      </x:c>
      <x:c r="V41" s="83" t="str">
        <x:v>Small-scale source classes are 2 or 4 hours; utility-scale is 8 hours. CM duration is not stated.</x:v>
      </x:c>
    </x:row>
    <x:row r="42">
      <x:c r="A42" s="83" t="str">
        <x:v>SZ-038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Nord</x:v>
      </x:c>
      <x:c r="F42" s="83" t="str">
        <x:v>Small Scale</x:v>
      </x:c>
      <x:c r="G42" s="197" t="n">
        <x:v>1.2</x:v>
      </x:c>
      <x:c r="H42" s="203" t="b">
        <x:v>1</x:v>
      </x:c>
      <x:c r="I42" s="197" t="n">
        <x:v>2</x:v>
      </x:c>
      <x:c r="J42" s="197" t="n">
        <x:v>4</x:v>
      </x:c>
      <x:c r="K42" s="197" t="n">
        <x:f>IF(AND(G42&lt;&gt;"",J42&lt;&gt;""),G42/J42,"")</x:f>
        <x:v>0.3</x:v>
      </x:c>
      <x:c r="L42" s="197" t="n">
        <x:f>IF(AND(G42&lt;&gt;"",I42&lt;&gt;""),G42/I42,"")</x:f>
        <x:v>0.6</x:v>
      </x:c>
      <x:c r="M42" s="83" t="str">
        <x:v>S09</x:v>
      </x:c>
      <x:c r="N42" s="83" t="str">
        <x:v>Documento di Descrizione degli Scenari 2024</x:v>
      </x:c>
      <x:c r="O42" s="83" t="n">
        <x:v>62</x:v>
      </x:c>
      <x:c r="P42" s="83" t="str">
        <x:v>60-61</x:v>
      </x:c>
      <x:c r="Q42" s="83" t="str">
        <x:v>Tabella 16</x:v>
      </x:c>
      <x:c r="R42" s="83" t="str">
        <x:v>Assunzione di scenario</x:v>
      </x:c>
      <x:c r="S42" s="83" t="str">
        <x:v>Direct table extraction</x:v>
      </x:c>
      <x:c r="T42" s="83" t="str">
        <x:v>A — Direct</x:v>
      </x:c>
      <x:c r="U42" s="83" t="str">
        <x:v>Energy capacity by zone and class; derive power only where duration is specified.</x:v>
      </x:c>
      <x:c r="V42" s="83" t="str">
        <x:v>Small-scale source classes are 2 or 4 hours; utility-scale is 8 hours. CM duration is not stated.</x:v>
      </x:c>
    </x:row>
    <x:row r="43">
      <x:c r="A43" s="83" t="str">
        <x:v>SZ-039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Nord</x:v>
      </x:c>
      <x:c r="F43" s="83" t="str">
        <x:v>Small Scale</x:v>
      </x:c>
      <x:c r="G43" s="197" t="n">
        <x:v>1.3</x:v>
      </x:c>
      <x:c r="H43" s="203" t="b">
        <x:v>1</x:v>
      </x:c>
      <x:c r="I43" s="197" t="n">
        <x:v>2</x:v>
      </x:c>
      <x:c r="J43" s="197" t="n">
        <x:v>4</x:v>
      </x:c>
      <x:c r="K43" s="197" t="n">
        <x:f>IF(AND(G43&lt;&gt;"",J43&lt;&gt;""),G43/J43,"")</x:f>
        <x:v>0.325</x:v>
      </x:c>
      <x:c r="L43" s="197" t="n">
        <x:f>IF(AND(G43&lt;&gt;"",I43&lt;&gt;""),G43/I43,"")</x:f>
        <x:v>0.65</x:v>
      </x:c>
      <x:c r="M43" s="83" t="str">
        <x:v>S09</x:v>
      </x:c>
      <x:c r="N43" s="83" t="str">
        <x:v>Documento di Descrizione degli Scenari 2024</x:v>
      </x:c>
      <x:c r="O43" s="83" t="n">
        <x:v>62</x:v>
      </x:c>
      <x:c r="P43" s="83" t="str">
        <x:v>60-61</x:v>
      </x:c>
      <x:c r="Q43" s="83" t="str">
        <x:v>Tabella 16</x:v>
      </x:c>
      <x:c r="R43" s="83" t="str">
        <x:v>Assunzione di scenario</x:v>
      </x:c>
      <x:c r="S43" s="83" t="str">
        <x:v>Direct table extraction</x:v>
      </x:c>
      <x:c r="T43" s="83" t="str">
        <x:v>A — Direct</x:v>
      </x:c>
      <x:c r="U43" s="83" t="str">
        <x:v>Energy capacity by zone and class; derive power only where duration is specified.</x:v>
      </x:c>
      <x:c r="V43" s="83" t="str">
        <x:v>Small-scale source classes are 2 or 4 hours; utility-scale is 8 hours. CM duration is not stated.</x:v>
      </x:c>
    </x:row>
    <x:row r="44">
      <x:c r="A44" s="83" t="str">
        <x:v>SZ-040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Nord</x:v>
      </x:c>
      <x:c r="F44" s="83" t="str">
        <x:v>Small Scale</x:v>
      </x:c>
      <x:c r="G44" s="197" t="n">
        <x:v>1.5</x:v>
      </x:c>
      <x:c r="H44" s="203" t="b">
        <x:v>1</x:v>
      </x:c>
      <x:c r="I44" s="197" t="n">
        <x:v>2</x:v>
      </x:c>
      <x:c r="J44" s="197" t="n">
        <x:v>4</x:v>
      </x:c>
      <x:c r="K44" s="197" t="n">
        <x:f>IF(AND(G44&lt;&gt;"",J44&lt;&gt;""),G44/J44,"")</x:f>
        <x:v>0.375</x:v>
      </x:c>
      <x:c r="L44" s="197" t="n">
        <x:f>IF(AND(G44&lt;&gt;"",I44&lt;&gt;""),G44/I44,"")</x:f>
        <x:v>0.75</x:v>
      </x:c>
      <x:c r="M44" s="83" t="str">
        <x:v>S09</x:v>
      </x:c>
      <x:c r="N44" s="83" t="str">
        <x:v>Documento di Descrizione degli Scenari 2024</x:v>
      </x:c>
      <x:c r="O44" s="83" t="n">
        <x:v>62</x:v>
      </x:c>
      <x:c r="P44" s="83" t="str">
        <x:v>60-61</x:v>
      </x:c>
      <x:c r="Q44" s="83" t="str">
        <x:v>Tabella 16</x:v>
      </x:c>
      <x:c r="R44" s="83" t="str">
        <x:v>Assunzione di scenario</x:v>
      </x:c>
      <x:c r="S44" s="83" t="str">
        <x:v>Direct table extraction</x:v>
      </x:c>
      <x:c r="T44" s="83" t="str">
        <x:v>A — Direct</x:v>
      </x:c>
      <x:c r="U44" s="83" t="str">
        <x:v>Energy capacity by zone and class; derive power only where duration is specified.</x:v>
      </x:c>
      <x:c r="V44" s="83" t="str">
        <x:v>Small-scale source classes are 2 or 4 hours; utility-scale is 8 hours. CM duration is not stated.</x:v>
      </x:c>
    </x:row>
    <x:row r="45">
      <x:c r="A45" s="83" t="str">
        <x:v>SZ-041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Nord</x:v>
      </x:c>
      <x:c r="F45" s="83" t="str">
        <x:v>Small Scale</x:v>
      </x:c>
      <x:c r="G45" s="197" t="n">
        <x:v>1.5</x:v>
      </x:c>
      <x:c r="H45" s="203" t="b">
        <x:v>1</x:v>
      </x:c>
      <x:c r="I45" s="197" t="n">
        <x:v>2</x:v>
      </x:c>
      <x:c r="J45" s="197" t="n">
        <x:v>4</x:v>
      </x:c>
      <x:c r="K45" s="197" t="n">
        <x:f>IF(AND(G45&lt;&gt;"",J45&lt;&gt;""),G45/J45,"")</x:f>
        <x:v>0.375</x:v>
      </x:c>
      <x:c r="L45" s="197" t="n">
        <x:f>IF(AND(G45&lt;&gt;"",I45&lt;&gt;""),G45/I45,"")</x:f>
        <x:v>0.75</x:v>
      </x:c>
      <x:c r="M45" s="83" t="str">
        <x:v>S09</x:v>
      </x:c>
      <x:c r="N45" s="83" t="str">
        <x:v>Documento di Descrizione degli Scenari 2024</x:v>
      </x:c>
      <x:c r="O45" s="83" t="n">
        <x:v>62</x:v>
      </x:c>
      <x:c r="P45" s="83" t="str">
        <x:v>60-61</x:v>
      </x:c>
      <x:c r="Q45" s="83" t="str">
        <x:v>Tabella 16</x:v>
      </x:c>
      <x:c r="R45" s="83" t="str">
        <x:v>Assunzione di scenario</x:v>
      </x:c>
      <x:c r="S45" s="83" t="str">
        <x:v>Direct table extraction</x:v>
      </x:c>
      <x:c r="T45" s="83" t="str">
        <x:v>A — Direct</x:v>
      </x:c>
      <x:c r="U45" s="83" t="str">
        <x:v>Energy capacity by zone and class; derive power only where duration is specified.</x:v>
      </x:c>
      <x:c r="V45" s="83" t="str">
        <x:v>Small-scale source classes are 2 or 4 hours; utility-scale is 8 hours. CM duration is not stated.</x:v>
      </x:c>
    </x:row>
    <x:row r="46">
      <x:c r="A46" s="83" t="str">
        <x:v>SZ-042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Nord</x:v>
      </x:c>
      <x:c r="F46" s="83" t="str">
        <x:v>Small Scale</x:v>
      </x:c>
      <x:c r="G46" s="197" t="n">
        <x:v>1.4</x:v>
      </x:c>
      <x:c r="H46" s="203" t="b">
        <x:v>1</x:v>
      </x:c>
      <x:c r="I46" s="197" t="n">
        <x:v>2</x:v>
      </x:c>
      <x:c r="J46" s="197" t="n">
        <x:v>4</x:v>
      </x:c>
      <x:c r="K46" s="197" t="n">
        <x:f>IF(AND(G46&lt;&gt;"",J46&lt;&gt;""),G46/J46,"")</x:f>
        <x:v>0.35</x:v>
      </x:c>
      <x:c r="L46" s="197" t="n">
        <x:f>IF(AND(G46&lt;&gt;"",I46&lt;&gt;""),G46/I46,"")</x:f>
        <x:v>0.7</x:v>
      </x:c>
      <x:c r="M46" s="83" t="str">
        <x:v>S09</x:v>
      </x:c>
      <x:c r="N46" s="83" t="str">
        <x:v>Documento di Descrizione degli Scenari 2024</x:v>
      </x:c>
      <x:c r="O46" s="83" t="n">
        <x:v>62</x:v>
      </x:c>
      <x:c r="P46" s="83" t="str">
        <x:v>60-61</x:v>
      </x:c>
      <x:c r="Q46" s="83" t="str">
        <x:v>Tabella 16</x:v>
      </x:c>
      <x:c r="R46" s="83" t="str">
        <x:v>Assunzione di scenario</x:v>
      </x:c>
      <x:c r="S46" s="83" t="str">
        <x:v>Direct table extraction</x:v>
      </x:c>
      <x:c r="T46" s="83" t="str">
        <x:v>A — Direct</x:v>
      </x:c>
      <x:c r="U46" s="83" t="str">
        <x:v>Energy capacity by zone and class; derive power only where duration is specified.</x:v>
      </x:c>
      <x:c r="V46" s="83" t="str">
        <x:v>Small-scale source classes are 2 or 4 hours; utility-scale is 8 hours. CM duration is not stated.</x:v>
      </x:c>
    </x:row>
    <x:row r="47">
      <x:c r="A47" s="83" t="str">
        <x:v>SZ-043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Nord</x:v>
      </x:c>
      <x:c r="F47" s="83" t="str">
        <x:v>Small Scale</x:v>
      </x:c>
      <x:c r="G47" s="197" t="n">
        <x:v>1.7</x:v>
      </x:c>
      <x:c r="H47" s="203" t="b">
        <x:v>1</x:v>
      </x:c>
      <x:c r="I47" s="197" t="n">
        <x:v>2</x:v>
      </x:c>
      <x:c r="J47" s="197" t="n">
        <x:v>4</x:v>
      </x:c>
      <x:c r="K47" s="197" t="n">
        <x:f>IF(AND(G47&lt;&gt;"",J47&lt;&gt;""),G47/J47,"")</x:f>
        <x:v>0.425</x:v>
      </x:c>
      <x:c r="L47" s="197" t="n">
        <x:f>IF(AND(G47&lt;&gt;"",I47&lt;&gt;""),G47/I47,"")</x:f>
        <x:v>0.85</x:v>
      </x:c>
      <x:c r="M47" s="83" t="str">
        <x:v>S09</x:v>
      </x:c>
      <x:c r="N47" s="83" t="str">
        <x:v>Documento di Descrizione degli Scenari 2024</x:v>
      </x:c>
      <x:c r="O47" s="83" t="n">
        <x:v>62</x:v>
      </x:c>
      <x:c r="P47" s="83" t="str">
        <x:v>60-61</x:v>
      </x:c>
      <x:c r="Q47" s="83" t="str">
        <x:v>Tabella 16</x:v>
      </x:c>
      <x:c r="R47" s="83" t="str">
        <x:v>Assunzione di scenario</x:v>
      </x:c>
      <x:c r="S47" s="83" t="str">
        <x:v>Direct table extraction</x:v>
      </x:c>
      <x:c r="T47" s="83" t="str">
        <x:v>A — Direct</x:v>
      </x:c>
      <x:c r="U47" s="83" t="str">
        <x:v>Energy capacity by zone and class; derive power only where duration is specified.</x:v>
      </x:c>
      <x:c r="V47" s="83" t="str">
        <x:v>Small-scale source classes are 2 or 4 hours; utility-scale is 8 hours. CM duration is not stated.</x:v>
      </x:c>
    </x:row>
    <x:row r="48">
      <x:c r="A48" s="83" t="str">
        <x:v>SZ-044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Nord</x:v>
      </x:c>
      <x:c r="F48" s="83" t="str">
        <x:v>Small Scale</x:v>
      </x:c>
      <x:c r="G48" s="197" t="n">
        <x:v>1.8</x:v>
      </x:c>
      <x:c r="H48" s="203" t="b">
        <x:v>1</x:v>
      </x:c>
      <x:c r="I48" s="197" t="n">
        <x:v>2</x:v>
      </x:c>
      <x:c r="J48" s="197" t="n">
        <x:v>4</x:v>
      </x:c>
      <x:c r="K48" s="197" t="n">
        <x:f>IF(AND(G48&lt;&gt;"",J48&lt;&gt;""),G48/J48,"")</x:f>
        <x:v>0.45</x:v>
      </x:c>
      <x:c r="L48" s="197" t="n">
        <x:f>IF(AND(G48&lt;&gt;"",I48&lt;&gt;""),G48/I48,"")</x:f>
        <x:v>0.9</x:v>
      </x:c>
      <x:c r="M48" s="83" t="str">
        <x:v>S09</x:v>
      </x:c>
      <x:c r="N48" s="83" t="str">
        <x:v>Documento di Descrizione degli Scenari 2024</x:v>
      </x:c>
      <x:c r="O48" s="83" t="n">
        <x:v>62</x:v>
      </x:c>
      <x:c r="P48" s="83" t="str">
        <x:v>60-61</x:v>
      </x:c>
      <x:c r="Q48" s="83" t="str">
        <x:v>Tabella 16</x:v>
      </x:c>
      <x:c r="R48" s="83" t="str">
        <x:v>Assunzione di scenario</x:v>
      </x:c>
      <x:c r="S48" s="83" t="str">
        <x:v>Direct table extraction</x:v>
      </x:c>
      <x:c r="T48" s="83" t="str">
        <x:v>A — Direct</x:v>
      </x:c>
      <x:c r="U48" s="83" t="str">
        <x:v>Energy capacity by zone and class; derive power only where duration is specified.</x:v>
      </x:c>
      <x:c r="V48" s="83" t="str">
        <x:v>Small-scale source classes are 2 or 4 hours; utility-scale is 8 hours. CM duration is not stated.</x:v>
      </x:c>
    </x:row>
    <x:row r="49">
      <x:c r="A49" s="83" t="str">
        <x:v>SZ-045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Nord</x:v>
      </x:c>
      <x:c r="F49" s="83" t="str">
        <x:v>Small Scale</x:v>
      </x:c>
      <x:c r="G49" s="197" t="n">
        <x:v>1.6</x:v>
      </x:c>
      <x:c r="H49" s="203" t="b">
        <x:v>1</x:v>
      </x:c>
      <x:c r="I49" s="197" t="n">
        <x:v>2</x:v>
      </x:c>
      <x:c r="J49" s="197" t="n">
        <x:v>4</x:v>
      </x:c>
      <x:c r="K49" s="197" t="n">
        <x:f>IF(AND(G49&lt;&gt;"",J49&lt;&gt;""),G49/J49,"")</x:f>
        <x:v>0.4</x:v>
      </x:c>
      <x:c r="L49" s="197" t="n">
        <x:f>IF(AND(G49&lt;&gt;"",I49&lt;&gt;""),G49/I49,"")</x:f>
        <x:v>0.8</x:v>
      </x:c>
      <x:c r="M49" s="83" t="str">
        <x:v>S09</x:v>
      </x:c>
      <x:c r="N49" s="83" t="str">
        <x:v>Documento di Descrizione degli Scenari 2024</x:v>
      </x:c>
      <x:c r="O49" s="83" t="n">
        <x:v>62</x:v>
      </x:c>
      <x:c r="P49" s="83" t="str">
        <x:v>60-61</x:v>
      </x:c>
      <x:c r="Q49" s="83" t="str">
        <x:v>Tabella 16</x:v>
      </x:c>
      <x:c r="R49" s="83" t="str">
        <x:v>Assunzione di scenario</x:v>
      </x:c>
      <x:c r="S49" s="83" t="str">
        <x:v>Direct table extraction</x:v>
      </x:c>
      <x:c r="T49" s="83" t="str">
        <x:v>A — Direct</x:v>
      </x:c>
      <x:c r="U49" s="83" t="str">
        <x:v>Energy capacity by zone and class; derive power only where duration is specified.</x:v>
      </x:c>
      <x:c r="V49" s="83" t="str">
        <x:v>Small-scale source classes are 2 or 4 hours; utility-scale is 8 hours. CM duration is not stated.</x:v>
      </x:c>
    </x:row>
    <x:row r="50">
      <x:c r="A50" s="83" t="str">
        <x:v>SZ-046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Nord</x:v>
      </x:c>
      <x:c r="F50" s="83" t="str">
        <x:v>Utility Scale</x:v>
      </x:c>
      <x:c r="G50" s="197" t="n">
        <x:v>0</x:v>
      </x:c>
      <x:c r="H50" s="203" t="b">
        <x:v>1</x:v>
      </x:c>
      <x:c r="I50" s="197" t="n">
        <x:v>8</x:v>
      </x:c>
      <x:c r="J50" s="197" t="n">
        <x:v>8</x:v>
      </x:c>
      <x:c r="K50" s="197" t="str">
        <x:f>IF(AND(G50&lt;&gt;"",J50&lt;&gt;""),G50/J50,"")</x:f>
      </x:c>
      <x:c r="L50" s="197" t="str">
        <x:f>IF(AND(G50&lt;&gt;"",I50&lt;&gt;""),G50/I50,"")</x:f>
      </x:c>
      <x:c r="M50" s="83" t="str">
        <x:v>S09</x:v>
      </x:c>
      <x:c r="N50" s="83" t="str">
        <x:v>Documento di Descrizione degli Scenari 2024</x:v>
      </x:c>
      <x:c r="O50" s="83" t="n">
        <x:v>62</x:v>
      </x:c>
      <x:c r="P50" s="83" t="str">
        <x:v>60-61</x:v>
      </x:c>
      <x:c r="Q50" s="83" t="str">
        <x:v>Tabella 16</x:v>
      </x:c>
      <x:c r="R50" s="83" t="str">
        <x:v>Dato osservato storico nel DDS</x:v>
      </x:c>
      <x:c r="S50" s="83" t="str">
        <x:v>Direct table extraction</x:v>
      </x:c>
      <x:c r="T50" s="83" t="str">
        <x:v>A — Direct</x:v>
      </x:c>
      <x:c r="U50" s="83" t="str">
        <x:v>Energy capacity by zone and class; derive power only where duration is specified.</x:v>
      </x:c>
      <x:c r="V50" s="83" t="str">
        <x:v>Small-scale source classes are 2 or 4 hours; utility-scale is 8 hours. CM duration is not stated.</x:v>
      </x:c>
    </x:row>
    <x:row r="51">
      <x:c r="A51" s="83" t="str">
        <x:v>SZ-047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Nord</x:v>
      </x:c>
      <x:c r="F51" s="83" t="str">
        <x:v>Utility Scale</x:v>
      </x:c>
      <x:c r="G51" s="197" t="n">
        <x:v>0</x:v>
      </x:c>
      <x:c r="H51" s="203" t="b">
        <x:v>1</x:v>
      </x:c>
      <x:c r="I51" s="197" t="n">
        <x:v>8</x:v>
      </x:c>
      <x:c r="J51" s="197" t="n">
        <x:v>8</x:v>
      </x:c>
      <x:c r="K51" s="197" t="str">
        <x:f>IF(AND(G51&lt;&gt;"",J51&lt;&gt;""),G51/J51,"")</x:f>
      </x:c>
      <x:c r="L51" s="197" t="str">
        <x:f>IF(AND(G51&lt;&gt;"",I51&lt;&gt;""),G51/I51,"")</x:f>
      </x:c>
      <x:c r="M51" s="83" t="str">
        <x:v>S09</x:v>
      </x:c>
      <x:c r="N51" s="83" t="str">
        <x:v>Documento di Descrizione degli Scenari 2024</x:v>
      </x:c>
      <x:c r="O51" s="83" t="n">
        <x:v>62</x:v>
      </x:c>
      <x:c r="P51" s="83" t="str">
        <x:v>60-61</x:v>
      </x:c>
      <x:c r="Q51" s="83" t="str">
        <x:v>Tabella 16</x:v>
      </x:c>
      <x:c r="R51" s="83" t="str">
        <x:v>Assunzione di scenario</x:v>
      </x:c>
      <x:c r="S51" s="83" t="str">
        <x:v>Direct table extraction</x:v>
      </x:c>
      <x:c r="T51" s="83" t="str">
        <x:v>A — Direct</x:v>
      </x:c>
      <x:c r="U51" s="83" t="str">
        <x:v>Energy capacity by zone and class; derive power only where duration is specified.</x:v>
      </x:c>
      <x:c r="V51" s="83" t="str">
        <x:v>Small-scale source classes are 2 or 4 hours; utility-scale is 8 hours. CM duration is not stated.</x:v>
      </x:c>
    </x:row>
    <x:row r="52">
      <x:c r="A52" s="83" t="str">
        <x:v>SZ-048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Nord</x:v>
      </x:c>
      <x:c r="F52" s="83" t="str">
        <x:v>Utility Scale</x:v>
      </x:c>
      <x:c r="G52" s="197" t="n">
        <x:v>0</x:v>
      </x:c>
      <x:c r="H52" s="203" t="b">
        <x:v>1</x:v>
      </x:c>
      <x:c r="I52" s="197" t="n">
        <x:v>8</x:v>
      </x:c>
      <x:c r="J52" s="197" t="n">
        <x:v>8</x:v>
      </x:c>
      <x:c r="K52" s="197" t="str">
        <x:f>IF(AND(G52&lt;&gt;"",J52&lt;&gt;""),G52/J52,"")</x:f>
      </x:c>
      <x:c r="L52" s="197" t="str">
        <x:f>IF(AND(G52&lt;&gt;"",I52&lt;&gt;""),G52/I52,"")</x:f>
      </x:c>
      <x:c r="M52" s="83" t="str">
        <x:v>S09</x:v>
      </x:c>
      <x:c r="N52" s="83" t="str">
        <x:v>Documento di Descrizione degli Scenari 2024</x:v>
      </x:c>
      <x:c r="O52" s="83" t="n">
        <x:v>62</x:v>
      </x:c>
      <x:c r="P52" s="83" t="str">
        <x:v>60-61</x:v>
      </x:c>
      <x:c r="Q52" s="83" t="str">
        <x:v>Tabella 16</x:v>
      </x:c>
      <x:c r="R52" s="83" t="str">
        <x:v>Assunzione di scenario</x:v>
      </x:c>
      <x:c r="S52" s="83" t="str">
        <x:v>Direct table extraction</x:v>
      </x:c>
      <x:c r="T52" s="83" t="str">
        <x:v>A — Direct</x:v>
      </x:c>
      <x:c r="U52" s="83" t="str">
        <x:v>Energy capacity by zone and class; derive power only where duration is specified.</x:v>
      </x:c>
      <x:c r="V52" s="83" t="str">
        <x:v>Small-scale source classes are 2 or 4 hours; utility-scale is 8 hours. CM duration is not stated.</x:v>
      </x:c>
    </x:row>
    <x:row r="53">
      <x:c r="A53" s="83" t="str">
        <x:v>SZ-049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Nord</x:v>
      </x:c>
      <x:c r="F53" s="83" t="str">
        <x:v>Utility Scale</x:v>
      </x:c>
      <x:c r="G53" s="197" t="n">
        <x:v>0</x:v>
      </x:c>
      <x:c r="H53" s="203" t="b">
        <x:v>1</x:v>
      </x:c>
      <x:c r="I53" s="197" t="n">
        <x:v>8</x:v>
      </x:c>
      <x:c r="J53" s="197" t="n">
        <x:v>8</x:v>
      </x:c>
      <x:c r="K53" s="197" t="str">
        <x:f>IF(AND(G53&lt;&gt;"",J53&lt;&gt;""),G53/J53,"")</x:f>
      </x:c>
      <x:c r="L53" s="197" t="str">
        <x:f>IF(AND(G53&lt;&gt;"",I53&lt;&gt;""),G53/I53,"")</x:f>
      </x:c>
      <x:c r="M53" s="83" t="str">
        <x:v>S09</x:v>
      </x:c>
      <x:c r="N53" s="83" t="str">
        <x:v>Documento di Descrizione degli Scenari 2024</x:v>
      </x:c>
      <x:c r="O53" s="83" t="n">
        <x:v>62</x:v>
      </x:c>
      <x:c r="P53" s="83" t="str">
        <x:v>60-61</x:v>
      </x:c>
      <x:c r="Q53" s="83" t="str">
        <x:v>Tabella 16</x:v>
      </x:c>
      <x:c r="R53" s="83" t="str">
        <x:v>Assunzione di scenario</x:v>
      </x:c>
      <x:c r="S53" s="83" t="str">
        <x:v>Direct table extraction</x:v>
      </x:c>
      <x:c r="T53" s="83" t="str">
        <x:v>A — Direct</x:v>
      </x:c>
      <x:c r="U53" s="83" t="str">
        <x:v>Energy capacity by zone and class; derive power only where duration is specified.</x:v>
      </x:c>
      <x:c r="V53" s="83" t="str">
        <x:v>Small-scale source classes are 2 or 4 hours; utility-scale is 8 hours. CM duration is not stated.</x:v>
      </x:c>
    </x:row>
    <x:row r="54">
      <x:c r="A54" s="83" t="str">
        <x:v>SZ-050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Nord</x:v>
      </x:c>
      <x:c r="F54" s="83" t="str">
        <x:v>Utility Scale</x:v>
      </x:c>
      <x:c r="G54" s="197" t="n">
        <x:v>0</x:v>
      </x:c>
      <x:c r="H54" s="203" t="b">
        <x:v>1</x:v>
      </x:c>
      <x:c r="I54" s="197" t="n">
        <x:v>8</x:v>
      </x:c>
      <x:c r="J54" s="197" t="n">
        <x:v>8</x:v>
      </x:c>
      <x:c r="K54" s="197" t="str">
        <x:f>IF(AND(G54&lt;&gt;"",J54&lt;&gt;""),G54/J54,"")</x:f>
      </x:c>
      <x:c r="L54" s="197" t="str">
        <x:f>IF(AND(G54&lt;&gt;"",I54&lt;&gt;""),G54/I54,"")</x:f>
      </x:c>
      <x:c r="M54" s="83" t="str">
        <x:v>S09</x:v>
      </x:c>
      <x:c r="N54" s="83" t="str">
        <x:v>Documento di Descrizione degli Scenari 2024</x:v>
      </x:c>
      <x:c r="O54" s="83" t="n">
        <x:v>62</x:v>
      </x:c>
      <x:c r="P54" s="83" t="str">
        <x:v>60-61</x:v>
      </x:c>
      <x:c r="Q54" s="83" t="str">
        <x:v>Tabella 16</x:v>
      </x:c>
      <x:c r="R54" s="83" t="str">
        <x:v>Assunzione di scenario</x:v>
      </x:c>
      <x:c r="S54" s="83" t="str">
        <x:v>Direct table extraction</x:v>
      </x:c>
      <x:c r="T54" s="83" t="str">
        <x:v>A — Direct</x:v>
      </x:c>
      <x:c r="U54" s="83" t="str">
        <x:v>Energy capacity by zone and class; derive power only where duration is specified.</x:v>
      </x:c>
      <x:c r="V54" s="83" t="str">
        <x:v>Small-scale source classes are 2 or 4 hours; utility-scale is 8 hours. CM duration is not stated.</x:v>
      </x:c>
    </x:row>
    <x:row r="55">
      <x:c r="A55" s="83" t="str">
        <x:v>SZ-051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Nord</x:v>
      </x:c>
      <x:c r="F55" s="83" t="str">
        <x:v>Utility Scale</x:v>
      </x:c>
      <x:c r="G55" s="197" t="n">
        <x:v>0</x:v>
      </x:c>
      <x:c r="H55" s="203" t="b">
        <x:v>1</x:v>
      </x:c>
      <x:c r="I55" s="197" t="n">
        <x:v>8</x:v>
      </x:c>
      <x:c r="J55" s="197" t="n">
        <x:v>8</x:v>
      </x:c>
      <x:c r="K55" s="197" t="str">
        <x:f>IF(AND(G55&lt;&gt;"",J55&lt;&gt;""),G55/J55,"")</x:f>
      </x:c>
      <x:c r="L55" s="197" t="str">
        <x:f>IF(AND(G55&lt;&gt;"",I55&lt;&gt;""),G55/I55,"")</x:f>
      </x:c>
      <x:c r="M55" s="83" t="str">
        <x:v>S09</x:v>
      </x:c>
      <x:c r="N55" s="83" t="str">
        <x:v>Documento di Descrizione degli Scenari 2024</x:v>
      </x:c>
      <x:c r="O55" s="83" t="n">
        <x:v>62</x:v>
      </x:c>
      <x:c r="P55" s="83" t="str">
        <x:v>60-61</x:v>
      </x:c>
      <x:c r="Q55" s="83" t="str">
        <x:v>Tabella 16</x:v>
      </x:c>
      <x:c r="R55" s="83" t="str">
        <x:v>Assunzione di scenario</x:v>
      </x:c>
      <x:c r="S55" s="83" t="str">
        <x:v>Direct table extraction</x:v>
      </x:c>
      <x:c r="T55" s="83" t="str">
        <x:v>A — Direct</x:v>
      </x:c>
      <x:c r="U55" s="83" t="str">
        <x:v>Energy capacity by zone and class; derive power only where duration is specified.</x:v>
      </x:c>
      <x:c r="V55" s="83" t="str">
        <x:v>Small-scale source classes are 2 or 4 hours; utility-scale is 8 hours. CM duration is not stated.</x:v>
      </x:c>
    </x:row>
    <x:row r="56">
      <x:c r="A56" s="83" t="str">
        <x:v>SZ-052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Nord</x:v>
      </x:c>
      <x:c r="F56" s="83" t="str">
        <x:v>Utility Scale</x:v>
      </x:c>
      <x:c r="G56" s="197" t="n">
        <x:v>3.2</x:v>
      </x:c>
      <x:c r="H56" s="203" t="b">
        <x:v>1</x:v>
      </x:c>
      <x:c r="I56" s="197" t="n">
        <x:v>8</x:v>
      </x:c>
      <x:c r="J56" s="197" t="n">
        <x:v>8</x:v>
      </x:c>
      <x:c r="K56" s="197" t="n">
        <x:f>IF(AND(G56&lt;&gt;"",J56&lt;&gt;""),G56/J56,"")</x:f>
        <x:v>0.4</x:v>
      </x:c>
      <x:c r="L56" s="197" t="n">
        <x:f>IF(AND(G56&lt;&gt;"",I56&lt;&gt;""),G56/I56,"")</x:f>
        <x:v>0.4</x:v>
      </x:c>
      <x:c r="M56" s="83" t="str">
        <x:v>S09</x:v>
      </x:c>
      <x:c r="N56" s="83" t="str">
        <x:v>Documento di Descrizione degli Scenari 2024</x:v>
      </x:c>
      <x:c r="O56" s="83" t="n">
        <x:v>62</x:v>
      </x:c>
      <x:c r="P56" s="83" t="str">
        <x:v>60-61</x:v>
      </x:c>
      <x:c r="Q56" s="83" t="str">
        <x:v>Tabella 16</x:v>
      </x:c>
      <x:c r="R56" s="83" t="str">
        <x:v>Assunzione di scenario</x:v>
      </x:c>
      <x:c r="S56" s="83" t="str">
        <x:v>Direct table extraction</x:v>
      </x:c>
      <x:c r="T56" s="83" t="str">
        <x:v>A — Direct</x:v>
      </x:c>
      <x:c r="U56" s="83" t="str">
        <x:v>Energy capacity by zone and class; derive power only where duration is specified.</x:v>
      </x:c>
      <x:c r="V56" s="83" t="str">
        <x:v>Small-scale source classes are 2 or 4 hours; utility-scale is 8 hours. CM duration is not stated.</x:v>
      </x:c>
    </x:row>
    <x:row r="57">
      <x:c r="A57" s="83" t="str">
        <x:v>SZ-053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Nord</x:v>
      </x:c>
      <x:c r="F57" s="83" t="str">
        <x:v>Utility Scale</x:v>
      </x:c>
      <x:c r="G57" s="197" t="n">
        <x:v>3.5</x:v>
      </x:c>
      <x:c r="H57" s="203" t="b">
        <x:v>1</x:v>
      </x:c>
      <x:c r="I57" s="197" t="n">
        <x:v>8</x:v>
      </x:c>
      <x:c r="J57" s="197" t="n">
        <x:v>8</x:v>
      </x:c>
      <x:c r="K57" s="197" t="n">
        <x:f>IF(AND(G57&lt;&gt;"",J57&lt;&gt;""),G57/J57,"")</x:f>
        <x:v>0.4375</x:v>
      </x:c>
      <x:c r="L57" s="197" t="n">
        <x:f>IF(AND(G57&lt;&gt;"",I57&lt;&gt;""),G57/I57,"")</x:f>
        <x:v>0.4375</x:v>
      </x:c>
      <x:c r="M57" s="83" t="str">
        <x:v>S09</x:v>
      </x:c>
      <x:c r="N57" s="83" t="str">
        <x:v>Documento di Descrizione degli Scenari 2024</x:v>
      </x:c>
      <x:c r="O57" s="83" t="n">
        <x:v>62</x:v>
      </x:c>
      <x:c r="P57" s="83" t="str">
        <x:v>60-61</x:v>
      </x:c>
      <x:c r="Q57" s="83" t="str">
        <x:v>Tabella 16</x:v>
      </x:c>
      <x:c r="R57" s="83" t="str">
        <x:v>Assunzione di scenario</x:v>
      </x:c>
      <x:c r="S57" s="83" t="str">
        <x:v>Direct table extraction</x:v>
      </x:c>
      <x:c r="T57" s="83" t="str">
        <x:v>A — Direct</x:v>
      </x:c>
      <x:c r="U57" s="83" t="str">
        <x:v>Energy capacity by zone and class; derive power only where duration is specified.</x:v>
      </x:c>
      <x:c r="V57" s="83" t="str">
        <x:v>Small-scale source classes are 2 or 4 hours; utility-scale is 8 hours. CM duration is not stated.</x:v>
      </x:c>
    </x:row>
    <x:row r="58">
      <x:c r="A58" s="83" t="str">
        <x:v>SZ-054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Nord</x:v>
      </x:c>
      <x:c r="F58" s="83" t="str">
        <x:v>Utility Scale</x:v>
      </x:c>
      <x:c r="G58" s="197" t="n">
        <x:v>1.1</x:v>
      </x:c>
      <x:c r="H58" s="203" t="b">
        <x:v>1</x:v>
      </x:c>
      <x:c r="I58" s="197" t="n">
        <x:v>8</x:v>
      </x:c>
      <x:c r="J58" s="197" t="n">
        <x:v>8</x:v>
      </x:c>
      <x:c r="K58" s="197" t="n">
        <x:f>IF(AND(G58&lt;&gt;"",J58&lt;&gt;""),G58/J58,"")</x:f>
        <x:v>0.1375</x:v>
      </x:c>
      <x:c r="L58" s="197" t="n">
        <x:f>IF(AND(G58&lt;&gt;"",I58&lt;&gt;""),G58/I58,"")</x:f>
        <x:v>0.1375</x:v>
      </x:c>
      <x:c r="M58" s="83" t="str">
        <x:v>S09</x:v>
      </x:c>
      <x:c r="N58" s="83" t="str">
        <x:v>Documento di Descrizione degli Scenari 2024</x:v>
      </x:c>
      <x:c r="O58" s="83" t="n">
        <x:v>62</x:v>
      </x:c>
      <x:c r="P58" s="83" t="str">
        <x:v>60-61</x:v>
      </x:c>
      <x:c r="Q58" s="83" t="str">
        <x:v>Tabella 16</x:v>
      </x:c>
      <x:c r="R58" s="83" t="str">
        <x:v>Assunzione di scenario</x:v>
      </x:c>
      <x:c r="S58" s="83" t="str">
        <x:v>Direct table extraction</x:v>
      </x:c>
      <x:c r="T58" s="83" t="str">
        <x:v>A — Direct</x:v>
      </x:c>
      <x:c r="U58" s="83" t="str">
        <x:v>Energy capacity by zone and class; derive power only where duration is specified.</x:v>
      </x:c>
      <x:c r="V58" s="83" t="str">
        <x:v>Small-scale source classes are 2 or 4 hours; utility-scale is 8 hours. CM duration is not stated.</x:v>
      </x:c>
    </x:row>
    <x:row r="59">
      <x:c r="A59" s="83" t="str">
        <x:v>SZ-055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Centro Nord</x:v>
      </x:c>
      <x:c r="F59" s="83" t="str">
        <x:v>CM</x:v>
      </x:c>
      <x:c r="G59" s="197" t="n">
        <x:v>0</x:v>
      </x:c>
      <x:c r="H59" s="203" t="b">
        <x:v>1</x:v>
      </x:c>
      <x:c r="I59" s="197"/>
      <x:c r="J59" s="197"/>
      <x:c r="K59" s="197" t="str">
        <x:f>IF(AND(G59&lt;&gt;"",J59&lt;&gt;""),G59/J59,"")</x:f>
      </x:c>
      <x:c r="L59" s="197" t="str">
        <x:f>IF(AND(G59&lt;&gt;"",I59&lt;&gt;""),G59/I59,"")</x:f>
      </x:c>
      <x:c r="M59" s="83" t="str">
        <x:v>S09</x:v>
      </x:c>
      <x:c r="N59" s="83" t="str">
        <x:v>Documento di Descrizione degli Scenari 2024</x:v>
      </x:c>
      <x:c r="O59" s="83" t="n">
        <x:v>62</x:v>
      </x:c>
      <x:c r="P59" s="83" t="str">
        <x:v>60-61</x:v>
      </x:c>
      <x:c r="Q59" s="83" t="str">
        <x:v>Tabella 16</x:v>
      </x:c>
      <x:c r="R59" s="83" t="str">
        <x:v>Dato osservato storico nel DDS</x:v>
      </x:c>
      <x:c r="S59" s="83" t="str">
        <x:v>Direct table extraction</x:v>
      </x:c>
      <x:c r="T59" s="83" t="str">
        <x:v>A — Direct</x:v>
      </x:c>
      <x:c r="U59" s="83" t="str">
        <x:v>Energy capacity by zone and class; derive power only where duration is specified.</x:v>
      </x:c>
      <x:c r="V59" s="83" t="str">
        <x:v>Small-scale source classes are 2 or 4 hours; utility-scale is 8 hours. CM duration is not stated.</x:v>
      </x:c>
    </x:row>
    <x:row r="60">
      <x:c r="A60" s="83" t="str">
        <x:v>SZ-056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Centro Nord</x:v>
      </x:c>
      <x:c r="F60" s="83" t="str">
        <x:v>CM</x:v>
      </x:c>
      <x:c r="G60" s="197" t="n">
        <x:v>0.1</x:v>
      </x:c>
      <x:c r="H60" s="203" t="b">
        <x:v>1</x:v>
      </x:c>
      <x:c r="I60" s="197"/>
      <x:c r="J60" s="197"/>
      <x:c r="K60" s="197" t="str">
        <x:f>IF(AND(G60&lt;&gt;"",J60&lt;&gt;""),G60/J60,"")</x:f>
      </x:c>
      <x:c r="L60" s="197" t="str">
        <x:f>IF(AND(G60&lt;&gt;"",I60&lt;&gt;""),G60/I60,"")</x:f>
      </x:c>
      <x:c r="M60" s="83" t="str">
        <x:v>S09</x:v>
      </x:c>
      <x:c r="N60" s="83" t="str">
        <x:v>Documento di Descrizione degli Scenari 2024</x:v>
      </x:c>
      <x:c r="O60" s="83" t="n">
        <x:v>62</x:v>
      </x:c>
      <x:c r="P60" s="83" t="str">
        <x:v>60-61</x:v>
      </x:c>
      <x:c r="Q60" s="83" t="str">
        <x:v>Tabella 16</x:v>
      </x:c>
      <x:c r="R60" s="83" t="str">
        <x:v>Assunzione di scenario</x:v>
      </x:c>
      <x:c r="S60" s="83" t="str">
        <x:v>Direct table extraction</x:v>
      </x:c>
      <x:c r="T60" s="83" t="str">
        <x:v>A — Direct</x:v>
      </x:c>
      <x:c r="U60" s="83" t="str">
        <x:v>Energy capacity by zone and class; derive power only where duration is specified.</x:v>
      </x:c>
      <x:c r="V60" s="83" t="str">
        <x:v>Small-scale source classes are 2 or 4 hours; utility-scale is 8 hours. CM duration is not stated.</x:v>
      </x:c>
    </x:row>
    <x:row r="61">
      <x:c r="A61" s="83" t="str">
        <x:v>SZ-057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Centro Nord</x:v>
      </x:c>
      <x:c r="F61" s="83" t="str">
        <x:v>CM</x:v>
      </x:c>
      <x:c r="G61" s="197" t="n">
        <x:v>0.1</x:v>
      </x:c>
      <x:c r="H61" s="203" t="b">
        <x:v>1</x:v>
      </x:c>
      <x:c r="I61" s="197"/>
      <x:c r="J61" s="197"/>
      <x:c r="K61" s="197" t="str">
        <x:f>IF(AND(G61&lt;&gt;"",J61&lt;&gt;""),G61/J61,"")</x:f>
      </x:c>
      <x:c r="L61" s="197" t="str">
        <x:f>IF(AND(G61&lt;&gt;"",I61&lt;&gt;""),G61/I61,"")</x:f>
      </x:c>
      <x:c r="M61" s="83" t="str">
        <x:v>S09</x:v>
      </x:c>
      <x:c r="N61" s="83" t="str">
        <x:v>Documento di Descrizione degli Scenari 2024</x:v>
      </x:c>
      <x:c r="O61" s="83" t="n">
        <x:v>62</x:v>
      </x:c>
      <x:c r="P61" s="83" t="str">
        <x:v>60-61</x:v>
      </x:c>
      <x:c r="Q61" s="83" t="str">
        <x:v>Tabella 16</x:v>
      </x:c>
      <x:c r="R61" s="83" t="str">
        <x:v>Assunzione di scenario</x:v>
      </x:c>
      <x:c r="S61" s="83" t="str">
        <x:v>Direct table extraction</x:v>
      </x:c>
      <x:c r="T61" s="83" t="str">
        <x:v>A — Direct</x:v>
      </x:c>
      <x:c r="U61" s="83" t="str">
        <x:v>Energy capacity by zone and class; derive power only where duration is specified.</x:v>
      </x:c>
      <x:c r="V61" s="83" t="str">
        <x:v>Small-scale source classes are 2 or 4 hours; utility-scale is 8 hours. CM duration is not stated.</x:v>
      </x:c>
    </x:row>
    <x:row r="62">
      <x:c r="A62" s="83" t="str">
        <x:v>SZ-058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Centro Nord</x:v>
      </x:c>
      <x:c r="F62" s="83" t="str">
        <x:v>CM</x:v>
      </x:c>
      <x:c r="G62" s="197" t="n">
        <x:v>0.1</x:v>
      </x:c>
      <x:c r="H62" s="203" t="b">
        <x:v>1</x:v>
      </x:c>
      <x:c r="I62" s="197"/>
      <x:c r="J62" s="197"/>
      <x:c r="K62" s="197" t="str">
        <x:f>IF(AND(G62&lt;&gt;"",J62&lt;&gt;""),G62/J62,"")</x:f>
      </x:c>
      <x:c r="L62" s="197" t="str">
        <x:f>IF(AND(G62&lt;&gt;"",I62&lt;&gt;""),G62/I62,"")</x:f>
      </x:c>
      <x:c r="M62" s="83" t="str">
        <x:v>S09</x:v>
      </x:c>
      <x:c r="N62" s="83" t="str">
        <x:v>Documento di Descrizione degli Scenari 2024</x:v>
      </x:c>
      <x:c r="O62" s="83" t="n">
        <x:v>62</x:v>
      </x:c>
      <x:c r="P62" s="83" t="str">
        <x:v>60-61</x:v>
      </x:c>
      <x:c r="Q62" s="83" t="str">
        <x:v>Tabella 16</x:v>
      </x:c>
      <x:c r="R62" s="83" t="str">
        <x:v>Assunzione di scenario</x:v>
      </x:c>
      <x:c r="S62" s="83" t="str">
        <x:v>Direct table extraction</x:v>
      </x:c>
      <x:c r="T62" s="83" t="str">
        <x:v>A — Direct</x:v>
      </x:c>
      <x:c r="U62" s="83" t="str">
        <x:v>Energy capacity by zone and class; derive power only where duration is specified.</x:v>
      </x:c>
      <x:c r="V62" s="83" t="str">
        <x:v>Small-scale source classes are 2 or 4 hours; utility-scale is 8 hours. CM duration is not stated.</x:v>
      </x:c>
    </x:row>
    <x:row r="63">
      <x:c r="A63" s="83" t="str">
        <x:v>SZ-059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Centro Nord</x:v>
      </x:c>
      <x:c r="F63" s="83" t="str">
        <x:v>CM</x:v>
      </x:c>
      <x:c r="G63" s="197" t="n">
        <x:v>0.1</x:v>
      </x:c>
      <x:c r="H63" s="203" t="b">
        <x:v>1</x:v>
      </x:c>
      <x:c r="I63" s="197"/>
      <x:c r="J63" s="197"/>
      <x:c r="K63" s="197" t="str">
        <x:f>IF(AND(G63&lt;&gt;"",J63&lt;&gt;""),G63/J63,"")</x:f>
      </x:c>
      <x:c r="L63" s="197" t="str">
        <x:f>IF(AND(G63&lt;&gt;"",I63&lt;&gt;""),G63/I63,"")</x:f>
      </x:c>
      <x:c r="M63" s="83" t="str">
        <x:v>S09</x:v>
      </x:c>
      <x:c r="N63" s="83" t="str">
        <x:v>Documento di Descrizione degli Scenari 2024</x:v>
      </x:c>
      <x:c r="O63" s="83" t="n">
        <x:v>62</x:v>
      </x:c>
      <x:c r="P63" s="83" t="str">
        <x:v>60-61</x:v>
      </x:c>
      <x:c r="Q63" s="83" t="str">
        <x:v>Tabella 16</x:v>
      </x:c>
      <x:c r="R63" s="83" t="str">
        <x:v>Assunzione di scenario</x:v>
      </x:c>
      <x:c r="S63" s="83" t="str">
        <x:v>Direct table extraction</x:v>
      </x:c>
      <x:c r="T63" s="83" t="str">
        <x:v>A — Direct</x:v>
      </x:c>
      <x:c r="U63" s="83" t="str">
        <x:v>Energy capacity by zone and class; derive power only where duration is specified.</x:v>
      </x:c>
      <x:c r="V63" s="83" t="str">
        <x:v>Small-scale source classes are 2 or 4 hours; utility-scale is 8 hours. CM duration is not stated.</x:v>
      </x:c>
    </x:row>
    <x:row r="64">
      <x:c r="A64" s="83" t="str">
        <x:v>SZ-060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Centro Nord</x:v>
      </x:c>
      <x:c r="F64" s="83" t="str">
        <x:v>CM</x:v>
      </x:c>
      <x:c r="G64" s="197" t="n">
        <x:v>0.1</x:v>
      </x:c>
      <x:c r="H64" s="203" t="b">
        <x:v>1</x:v>
      </x:c>
      <x:c r="I64" s="197"/>
      <x:c r="J64" s="197"/>
      <x:c r="K64" s="197" t="str">
        <x:f>IF(AND(G64&lt;&gt;"",J64&lt;&gt;""),G64/J64,"")</x:f>
      </x:c>
      <x:c r="L64" s="197" t="str">
        <x:f>IF(AND(G64&lt;&gt;"",I64&lt;&gt;""),G64/I64,"")</x:f>
      </x:c>
      <x:c r="M64" s="83" t="str">
        <x:v>S09</x:v>
      </x:c>
      <x:c r="N64" s="83" t="str">
        <x:v>Documento di Descrizione degli Scenari 2024</x:v>
      </x:c>
      <x:c r="O64" s="83" t="n">
        <x:v>62</x:v>
      </x:c>
      <x:c r="P64" s="83" t="str">
        <x:v>60-61</x:v>
      </x:c>
      <x:c r="Q64" s="83" t="str">
        <x:v>Tabella 16</x:v>
      </x:c>
      <x:c r="R64" s="83" t="str">
        <x:v>Assunzione di scenario</x:v>
      </x:c>
      <x:c r="S64" s="83" t="str">
        <x:v>Direct table extraction</x:v>
      </x:c>
      <x:c r="T64" s="83" t="str">
        <x:v>A — Direct</x:v>
      </x:c>
      <x:c r="U64" s="83" t="str">
        <x:v>Energy capacity by zone and class; derive power only where duration is specified.</x:v>
      </x:c>
      <x:c r="V64" s="83" t="str">
        <x:v>Small-scale source classes are 2 or 4 hours; utility-scale is 8 hours. CM duration is not stated.</x:v>
      </x:c>
    </x:row>
    <x:row r="65">
      <x:c r="A65" s="83" t="str">
        <x:v>SZ-061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Centro Nord</x:v>
      </x:c>
      <x:c r="F65" s="83" t="str">
        <x:v>CM</x:v>
      </x:c>
      <x:c r="G65" s="197" t="n">
        <x:v>0.1</x:v>
      </x:c>
      <x:c r="H65" s="203" t="b">
        <x:v>1</x:v>
      </x:c>
      <x:c r="I65" s="197"/>
      <x:c r="J65" s="197"/>
      <x:c r="K65" s="197" t="str">
        <x:f>IF(AND(G65&lt;&gt;"",J65&lt;&gt;""),G65/J65,"")</x:f>
      </x:c>
      <x:c r="L65" s="197" t="str">
        <x:f>IF(AND(G65&lt;&gt;"",I65&lt;&gt;""),G65/I65,"")</x:f>
      </x:c>
      <x:c r="M65" s="83" t="str">
        <x:v>S09</x:v>
      </x:c>
      <x:c r="N65" s="83" t="str">
        <x:v>Documento di Descrizione degli Scenari 2024</x:v>
      </x:c>
      <x:c r="O65" s="83" t="n">
        <x:v>62</x:v>
      </x:c>
      <x:c r="P65" s="83" t="str">
        <x:v>60-61</x:v>
      </x:c>
      <x:c r="Q65" s="83" t="str">
        <x:v>Tabella 16</x:v>
      </x:c>
      <x:c r="R65" s="83" t="str">
        <x:v>Assunzione di scenario</x:v>
      </x:c>
      <x:c r="S65" s="83" t="str">
        <x:v>Direct table extraction</x:v>
      </x:c>
      <x:c r="T65" s="83" t="str">
        <x:v>A — Direct</x:v>
      </x:c>
      <x:c r="U65" s="83" t="str">
        <x:v>Energy capacity by zone and class; derive power only where duration is specified.</x:v>
      </x:c>
      <x:c r="V65" s="83" t="str">
        <x:v>Small-scale source classes are 2 or 4 hours; utility-scale is 8 hours. CM duration is not stated.</x:v>
      </x:c>
    </x:row>
    <x:row r="66">
      <x:c r="A66" s="83" t="str">
        <x:v>SZ-062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Centro Nord</x:v>
      </x:c>
      <x:c r="F66" s="83" t="str">
        <x:v>CM</x:v>
      </x:c>
      <x:c r="G66" s="197" t="n">
        <x:v>0.1</x:v>
      </x:c>
      <x:c r="H66" s="203" t="b">
        <x:v>1</x:v>
      </x:c>
      <x:c r="I66" s="197"/>
      <x:c r="J66" s="197"/>
      <x:c r="K66" s="197" t="str">
        <x:f>IF(AND(G66&lt;&gt;"",J66&lt;&gt;""),G66/J66,"")</x:f>
      </x:c>
      <x:c r="L66" s="197" t="str">
        <x:f>IF(AND(G66&lt;&gt;"",I66&lt;&gt;""),G66/I66,"")</x:f>
      </x:c>
      <x:c r="M66" s="83" t="str">
        <x:v>S09</x:v>
      </x:c>
      <x:c r="N66" s="83" t="str">
        <x:v>Documento di Descrizione degli Scenari 2024</x:v>
      </x:c>
      <x:c r="O66" s="83" t="n">
        <x:v>62</x:v>
      </x:c>
      <x:c r="P66" s="83" t="str">
        <x:v>60-61</x:v>
      </x:c>
      <x:c r="Q66" s="83" t="str">
        <x:v>Tabella 16</x:v>
      </x:c>
      <x:c r="R66" s="83" t="str">
        <x:v>Assunzione di scenario</x:v>
      </x:c>
      <x:c r="S66" s="83" t="str">
        <x:v>Direct table extraction</x:v>
      </x:c>
      <x:c r="T66" s="83" t="str">
        <x:v>A — Direct</x:v>
      </x:c>
      <x:c r="U66" s="83" t="str">
        <x:v>Energy capacity by zone and class; derive power only where duration is specified.</x:v>
      </x:c>
      <x:c r="V66" s="83" t="str">
        <x:v>Small-scale source classes are 2 or 4 hours; utility-scale is 8 hours. CM duration is not stated.</x:v>
      </x:c>
    </x:row>
    <x:row r="67">
      <x:c r="A67" s="83" t="str">
        <x:v>SZ-063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Centro Nord</x:v>
      </x:c>
      <x:c r="F67" s="83" t="str">
        <x:v>CM</x:v>
      </x:c>
      <x:c r="G67" s="197" t="n">
        <x:v>0.1</x:v>
      </x:c>
      <x:c r="H67" s="203" t="b">
        <x:v>1</x:v>
      </x:c>
      <x:c r="I67" s="197"/>
      <x:c r="J67" s="197"/>
      <x:c r="K67" s="197" t="str">
        <x:f>IF(AND(G67&lt;&gt;"",J67&lt;&gt;""),G67/J67,"")</x:f>
      </x:c>
      <x:c r="L67" s="197" t="str">
        <x:f>IF(AND(G67&lt;&gt;"",I67&lt;&gt;""),G67/I67,"")</x:f>
      </x:c>
      <x:c r="M67" s="83" t="str">
        <x:v>S09</x:v>
      </x:c>
      <x:c r="N67" s="83" t="str">
        <x:v>Documento di Descrizione degli Scenari 2024</x:v>
      </x:c>
      <x:c r="O67" s="83" t="n">
        <x:v>62</x:v>
      </x:c>
      <x:c r="P67" s="83" t="str">
        <x:v>60-61</x:v>
      </x:c>
      <x:c r="Q67" s="83" t="str">
        <x:v>Tabella 16</x:v>
      </x:c>
      <x:c r="R67" s="83" t="str">
        <x:v>Assunzione di scenario</x:v>
      </x:c>
      <x:c r="S67" s="83" t="str">
        <x:v>Direct table extraction</x:v>
      </x:c>
      <x:c r="T67" s="83" t="str">
        <x:v>A — Direct</x:v>
      </x:c>
      <x:c r="U67" s="83" t="str">
        <x:v>Energy capacity by zone and class; derive power only where duration is specified.</x:v>
      </x:c>
      <x:c r="V67" s="83" t="str">
        <x:v>Small-scale source classes are 2 or 4 hours; utility-scale is 8 hours. CM duration is not stated.</x:v>
      </x:c>
    </x:row>
    <x:row r="68">
      <x:c r="A68" s="83" t="str">
        <x:v>SZ-064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Centro Nord</x:v>
      </x:c>
      <x:c r="F68" s="83" t="str">
        <x:v>Totale</x:v>
      </x:c>
      <x:c r="G68" s="197" t="n">
        <x:v>0.6</x:v>
      </x:c>
      <x:c r="H68" s="203" t="b">
        <x:v>1</x:v>
      </x:c>
      <x:c r="I68" s="197"/>
      <x:c r="J68" s="197"/>
      <x:c r="K68" s="197" t="str">
        <x:f>IF(AND(G68&lt;&gt;"",J68&lt;&gt;""),G68/J68,"")</x:f>
      </x:c>
      <x:c r="L68" s="197" t="str">
        <x:f>IF(AND(G68&lt;&gt;"",I68&lt;&gt;""),G68/I68,"")</x:f>
      </x:c>
      <x:c r="M68" s="83" t="str">
        <x:v>S09</x:v>
      </x:c>
      <x:c r="N68" s="83" t="str">
        <x:v>Documento di Descrizione degli Scenari 2024</x:v>
      </x:c>
      <x:c r="O68" s="83" t="n">
        <x:v>62</x:v>
      </x:c>
      <x:c r="P68" s="83" t="str">
        <x:v>60-61</x:v>
      </x:c>
      <x:c r="Q68" s="83" t="str">
        <x:v>Tabella 16</x:v>
      </x:c>
      <x:c r="R68" s="83" t="str">
        <x:v>Dato osservato storico nel DDS</x:v>
      </x:c>
      <x:c r="S68" s="83" t="str">
        <x:v>Direct table extraction</x:v>
      </x:c>
      <x:c r="T68" s="83" t="str">
        <x:v>A — Direct</x:v>
      </x:c>
      <x:c r="U68" s="83" t="str">
        <x:v>Energy capacity by zone and class; derive power only where duration is specified.</x:v>
      </x:c>
      <x:c r="V68" s="83" t="str">
        <x:v>Small-scale source classes are 2 or 4 hours; utility-scale is 8 hours. CM duration is not stated.</x:v>
      </x:c>
    </x:row>
    <x:row r="69">
      <x:c r="A69" s="83" t="str">
        <x:v>SZ-065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Centro Nord</x:v>
      </x:c>
      <x:c r="F69" s="83" t="str">
        <x:v>Totale</x:v>
      </x:c>
      <x:c r="G69" s="197" t="n">
        <x:v>1.3</x:v>
      </x:c>
      <x:c r="H69" s="203" t="b">
        <x:v>1</x:v>
      </x:c>
      <x:c r="I69" s="197"/>
      <x:c r="J69" s="197"/>
      <x:c r="K69" s="197" t="str">
        <x:f>IF(AND(G69&lt;&gt;"",J69&lt;&gt;""),G69/J69,"")</x:f>
      </x:c>
      <x:c r="L69" s="197" t="str">
        <x:f>IF(AND(G69&lt;&gt;"",I69&lt;&gt;""),G69/I69,"")</x:f>
      </x:c>
      <x:c r="M69" s="83" t="str">
        <x:v>S09</x:v>
      </x:c>
      <x:c r="N69" s="83" t="str">
        <x:v>Documento di Descrizione degli Scenari 2024</x:v>
      </x:c>
      <x:c r="O69" s="83" t="n">
        <x:v>62</x:v>
      </x:c>
      <x:c r="P69" s="83" t="str">
        <x:v>60-61</x:v>
      </x:c>
      <x:c r="Q69" s="83" t="str">
        <x:v>Tabella 16</x:v>
      </x:c>
      <x:c r="R69" s="83" t="str">
        <x:v>Assunzione di scenario</x:v>
      </x:c>
      <x:c r="S69" s="83" t="str">
        <x:v>Direct table extraction</x:v>
      </x:c>
      <x:c r="T69" s="83" t="str">
        <x:v>A — Direct</x:v>
      </x:c>
      <x:c r="U69" s="83" t="str">
        <x:v>Energy capacity by zone and class; derive power only where duration is specified.</x:v>
      </x:c>
      <x:c r="V69" s="83" t="str">
        <x:v>Small-scale source classes are 2 or 4 hours; utility-scale is 8 hours. CM duration is not stated.</x:v>
      </x:c>
    </x:row>
    <x:row r="70">
      <x:c r="A70" s="83" t="str">
        <x:v>SZ-066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Centro Nord</x:v>
      </x:c>
      <x:c r="F70" s="83" t="str">
        <x:v>Totale</x:v>
      </x:c>
      <x:c r="G70" s="197" t="n">
        <x:v>1.4</x:v>
      </x:c>
      <x:c r="H70" s="203" t="b">
        <x:v>1</x:v>
      </x:c>
      <x:c r="I70" s="197"/>
      <x:c r="J70" s="197"/>
      <x:c r="K70" s="197" t="str">
        <x:f>IF(AND(G70&lt;&gt;"",J70&lt;&gt;""),G70/J70,"")</x:f>
      </x:c>
      <x:c r="L70" s="197" t="str">
        <x:f>IF(AND(G70&lt;&gt;"",I70&lt;&gt;""),G70/I70,"")</x:f>
      </x:c>
      <x:c r="M70" s="83" t="str">
        <x:v>S09</x:v>
      </x:c>
      <x:c r="N70" s="83" t="str">
        <x:v>Documento di Descrizione degli Scenari 2024</x:v>
      </x:c>
      <x:c r="O70" s="83" t="n">
        <x:v>62</x:v>
      </x:c>
      <x:c r="P70" s="83" t="str">
        <x:v>60-61</x:v>
      </x:c>
      <x:c r="Q70" s="83" t="str">
        <x:v>Tabella 16</x:v>
      </x:c>
      <x:c r="R70" s="83" t="str">
        <x:v>Assunzione di scenario</x:v>
      </x:c>
      <x:c r="S70" s="83" t="str">
        <x:v>Direct table extraction</x:v>
      </x:c>
      <x:c r="T70" s="83" t="str">
        <x:v>A — Direct</x:v>
      </x:c>
      <x:c r="U70" s="83" t="str">
        <x:v>Energy capacity by zone and class; derive power only where duration is specified.</x:v>
      </x:c>
      <x:c r="V70" s="83" t="str">
        <x:v>Small-scale source classes are 2 or 4 hours; utility-scale is 8 hours. CM duration is not stated.</x:v>
      </x:c>
    </x:row>
    <x:row r="71">
      <x:c r="A71" s="83" t="str">
        <x:v>SZ-067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Centro Nord</x:v>
      </x:c>
      <x:c r="F71" s="83" t="str">
        <x:v>Totale</x:v>
      </x:c>
      <x:c r="G71" s="197" t="n">
        <x:v>1.6</x:v>
      </x:c>
      <x:c r="H71" s="203" t="b">
        <x:v>1</x:v>
      </x:c>
      <x:c r="I71" s="197"/>
      <x:c r="J71" s="197"/>
      <x:c r="K71" s="197" t="str">
        <x:f>IF(AND(G71&lt;&gt;"",J71&lt;&gt;""),G71/J71,"")</x:f>
      </x:c>
      <x:c r="L71" s="197" t="str">
        <x:f>IF(AND(G71&lt;&gt;"",I71&lt;&gt;""),G71/I71,"")</x:f>
      </x:c>
      <x:c r="M71" s="83" t="str">
        <x:v>S09</x:v>
      </x:c>
      <x:c r="N71" s="83" t="str">
        <x:v>Documento di Descrizione degli Scenari 2024</x:v>
      </x:c>
      <x:c r="O71" s="83" t="n">
        <x:v>62</x:v>
      </x:c>
      <x:c r="P71" s="83" t="str">
        <x:v>60-61</x:v>
      </x:c>
      <x:c r="Q71" s="83" t="str">
        <x:v>Tabella 16</x:v>
      </x:c>
      <x:c r="R71" s="83" t="str">
        <x:v>Assunzione di scenario</x:v>
      </x:c>
      <x:c r="S71" s="83" t="str">
        <x:v>Direct table extraction</x:v>
      </x:c>
      <x:c r="T71" s="83" t="str">
        <x:v>A — Direct</x:v>
      </x:c>
      <x:c r="U71" s="83" t="str">
        <x:v>Energy capacity by zone and class; derive power only where duration is specified.</x:v>
      </x:c>
      <x:c r="V71" s="83" t="str">
        <x:v>Small-scale source classes are 2 or 4 hours; utility-scale is 8 hours. CM duration is not stated.</x:v>
      </x:c>
    </x:row>
    <x:row r="72">
      <x:c r="A72" s="83" t="str">
        <x:v>SZ-068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Centro Nord</x:v>
      </x:c>
      <x:c r="F72" s="83" t="str">
        <x:v>Totale</x:v>
      </x:c>
      <x:c r="G72" s="197" t="n">
        <x:v>1.6</x:v>
      </x:c>
      <x:c r="H72" s="203" t="b">
        <x:v>1</x:v>
      </x:c>
      <x:c r="I72" s="197"/>
      <x:c r="J72" s="197"/>
      <x:c r="K72" s="197" t="str">
        <x:f>IF(AND(G72&lt;&gt;"",J72&lt;&gt;""),G72/J72,"")</x:f>
      </x:c>
      <x:c r="L72" s="197" t="str">
        <x:f>IF(AND(G72&lt;&gt;"",I72&lt;&gt;""),G72/I72,"")</x:f>
      </x:c>
      <x:c r="M72" s="83" t="str">
        <x:v>S09</x:v>
      </x:c>
      <x:c r="N72" s="83" t="str">
        <x:v>Documento di Descrizione degli Scenari 2024</x:v>
      </x:c>
      <x:c r="O72" s="83" t="n">
        <x:v>62</x:v>
      </x:c>
      <x:c r="P72" s="83" t="str">
        <x:v>60-61</x:v>
      </x:c>
      <x:c r="Q72" s="83" t="str">
        <x:v>Tabella 16</x:v>
      </x:c>
      <x:c r="R72" s="83" t="str">
        <x:v>Assunzione di scenario</x:v>
      </x:c>
      <x:c r="S72" s="83" t="str">
        <x:v>Direct table extraction</x:v>
      </x:c>
      <x:c r="T72" s="83" t="str">
        <x:v>A — Direct</x:v>
      </x:c>
      <x:c r="U72" s="83" t="str">
        <x:v>Energy capacity by zone and class; derive power only where duration is specified.</x:v>
      </x:c>
      <x:c r="V72" s="83" t="str">
        <x:v>Small-scale source classes are 2 or 4 hours; utility-scale is 8 hours. CM duration is not stated.</x:v>
      </x:c>
    </x:row>
    <x:row r="73">
      <x:c r="A73" s="83" t="str">
        <x:v>SZ-069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Centro Nord</x:v>
      </x:c>
      <x:c r="F73" s="83" t="str">
        <x:v>Totale</x:v>
      </x:c>
      <x:c r="G73" s="197" t="n">
        <x:v>1.5</x:v>
      </x:c>
      <x:c r="H73" s="203" t="b">
        <x:v>1</x:v>
      </x:c>
      <x:c r="I73" s="197"/>
      <x:c r="J73" s="197"/>
      <x:c r="K73" s="197" t="str">
        <x:f>IF(AND(G73&lt;&gt;"",J73&lt;&gt;""),G73/J73,"")</x:f>
      </x:c>
      <x:c r="L73" s="197" t="str">
        <x:f>IF(AND(G73&lt;&gt;"",I73&lt;&gt;""),G73/I73,"")</x:f>
      </x:c>
      <x:c r="M73" s="83" t="str">
        <x:v>S09</x:v>
      </x:c>
      <x:c r="N73" s="83" t="str">
        <x:v>Documento di Descrizione degli Scenari 2024</x:v>
      </x:c>
      <x:c r="O73" s="83" t="n">
        <x:v>62</x:v>
      </x:c>
      <x:c r="P73" s="83" t="str">
        <x:v>60-61</x:v>
      </x:c>
      <x:c r="Q73" s="83" t="str">
        <x:v>Tabella 16</x:v>
      </x:c>
      <x:c r="R73" s="83" t="str">
        <x:v>Assunzione di scenario</x:v>
      </x:c>
      <x:c r="S73" s="83" t="str">
        <x:v>Direct table extraction</x:v>
      </x:c>
      <x:c r="T73" s="83" t="str">
        <x:v>A — Direct</x:v>
      </x:c>
      <x:c r="U73" s="83" t="str">
        <x:v>Energy capacity by zone and class; derive power only where duration is specified.</x:v>
      </x:c>
      <x:c r="V73" s="83" t="str">
        <x:v>Small-scale source classes are 2 or 4 hours; utility-scale is 8 hours. CM duration is not stated.</x:v>
      </x:c>
    </x:row>
    <x:row r="74">
      <x:c r="A74" s="83" t="str">
        <x:v>SZ-070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Centro Nord</x:v>
      </x:c>
      <x:c r="F74" s="83" t="str">
        <x:v>Totale</x:v>
      </x:c>
      <x:c r="G74" s="197" t="n">
        <x:v>5</x:v>
      </x:c>
      <x:c r="H74" s="203" t="b">
        <x:v>1</x:v>
      </x:c>
      <x:c r="I74" s="197"/>
      <x:c r="J74" s="197"/>
      <x:c r="K74" s="197" t="str">
        <x:f>IF(AND(G74&lt;&gt;"",J74&lt;&gt;""),G74/J74,"")</x:f>
      </x:c>
      <x:c r="L74" s="197" t="str">
        <x:f>IF(AND(G74&lt;&gt;"",I74&lt;&gt;""),G74/I74,"")</x:f>
      </x:c>
      <x:c r="M74" s="83" t="str">
        <x:v>S09</x:v>
      </x:c>
      <x:c r="N74" s="83" t="str">
        <x:v>Documento di Descrizione degli Scenari 2024</x:v>
      </x:c>
      <x:c r="O74" s="83" t="n">
        <x:v>62</x:v>
      </x:c>
      <x:c r="P74" s="83" t="str">
        <x:v>60-61</x:v>
      </x:c>
      <x:c r="Q74" s="83" t="str">
        <x:v>Tabella 16</x:v>
      </x:c>
      <x:c r="R74" s="83" t="str">
        <x:v>Assunzione di scenario</x:v>
      </x:c>
      <x:c r="S74" s="83" t="str">
        <x:v>Direct table extraction</x:v>
      </x:c>
      <x:c r="T74" s="83" t="str">
        <x:v>A — Direct</x:v>
      </x:c>
      <x:c r="U74" s="83" t="str">
        <x:v>Energy capacity by zone and class; derive power only where duration is specified.</x:v>
      </x:c>
      <x:c r="V74" s="83" t="str">
        <x:v>Small-scale source classes are 2 or 4 hours; utility-scale is 8 hours. CM duration is not stated.</x:v>
      </x:c>
    </x:row>
    <x:row r="75">
      <x:c r="A75" s="83" t="str">
        <x:v>SZ-071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Centro Nord</x:v>
      </x:c>
      <x:c r="F75" s="83" t="str">
        <x:v>Totale</x:v>
      </x:c>
      <x:c r="G75" s="197" t="n">
        <x:v>5.4</x:v>
      </x:c>
      <x:c r="H75" s="203" t="b">
        <x:v>1</x:v>
      </x:c>
      <x:c r="I75" s="197"/>
      <x:c r="J75" s="197"/>
      <x:c r="K75" s="197" t="str">
        <x:f>IF(AND(G75&lt;&gt;"",J75&lt;&gt;""),G75/J75,"")</x:f>
      </x:c>
      <x:c r="L75" s="197" t="str">
        <x:f>IF(AND(G75&lt;&gt;"",I75&lt;&gt;""),G75/I75,"")</x:f>
      </x:c>
      <x:c r="M75" s="83" t="str">
        <x:v>S09</x:v>
      </x:c>
      <x:c r="N75" s="83" t="str">
        <x:v>Documento di Descrizione degli Scenari 2024</x:v>
      </x:c>
      <x:c r="O75" s="83" t="n">
        <x:v>62</x:v>
      </x:c>
      <x:c r="P75" s="83" t="str">
        <x:v>60-61</x:v>
      </x:c>
      <x:c r="Q75" s="83" t="str">
        <x:v>Tabella 16</x:v>
      </x:c>
      <x:c r="R75" s="83" t="str">
        <x:v>Assunzione di scenario</x:v>
      </x:c>
      <x:c r="S75" s="83" t="str">
        <x:v>Direct table extraction</x:v>
      </x:c>
      <x:c r="T75" s="83" t="str">
        <x:v>A — Direct</x:v>
      </x:c>
      <x:c r="U75" s="83" t="str">
        <x:v>Energy capacity by zone and class; derive power only where duration is specified.</x:v>
      </x:c>
      <x:c r="V75" s="83" t="str">
        <x:v>Small-scale source classes are 2 or 4 hours; utility-scale is 8 hours. CM duration is not stated.</x:v>
      </x:c>
    </x:row>
    <x:row r="76">
      <x:c r="A76" s="83" t="str">
        <x:v>SZ-072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Centro Nord</x:v>
      </x:c>
      <x:c r="F76" s="83" t="str">
        <x:v>Totale</x:v>
      </x:c>
      <x:c r="G76" s="197" t="n">
        <x:v>2.8</x:v>
      </x:c>
      <x:c r="H76" s="203" t="b">
        <x:v>1</x:v>
      </x:c>
      <x:c r="I76" s="197"/>
      <x:c r="J76" s="197"/>
      <x:c r="K76" s="197" t="str">
        <x:f>IF(AND(G76&lt;&gt;"",J76&lt;&gt;""),G76/J76,"")</x:f>
      </x:c>
      <x:c r="L76" s="197" t="str">
        <x:f>IF(AND(G76&lt;&gt;"",I76&lt;&gt;""),G76/I76,"")</x:f>
      </x:c>
      <x:c r="M76" s="83" t="str">
        <x:v>S09</x:v>
      </x:c>
      <x:c r="N76" s="83" t="str">
        <x:v>Documento di Descrizione degli Scenari 2024</x:v>
      </x:c>
      <x:c r="O76" s="83" t="n">
        <x:v>62</x:v>
      </x:c>
      <x:c r="P76" s="83" t="str">
        <x:v>60-61</x:v>
      </x:c>
      <x:c r="Q76" s="83" t="str">
        <x:v>Tabella 16</x:v>
      </x:c>
      <x:c r="R76" s="83" t="str">
        <x:v>Assunzione di scenario</x:v>
      </x:c>
      <x:c r="S76" s="83" t="str">
        <x:v>Direct table extraction</x:v>
      </x:c>
      <x:c r="T76" s="83" t="str">
        <x:v>A — Direct</x:v>
      </x:c>
      <x:c r="U76" s="83" t="str">
        <x:v>Energy capacity by zone and class; derive power only where duration is specified.</x:v>
      </x:c>
      <x:c r="V76" s="83" t="str">
        <x:v>Small-scale source classes are 2 or 4 hours; utility-scale is 8 hours. CM duration is not stated.</x:v>
      </x:c>
    </x:row>
    <x:row r="77">
      <x:c r="A77" s="83" t="str">
        <x:v>SZ-073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Centro Sud</x:v>
      </x:c>
      <x:c r="F77" s="83" t="str">
        <x:v>Small Scale</x:v>
      </x:c>
      <x:c r="G77" s="197" t="n">
        <x:v>1.1</x:v>
      </x:c>
      <x:c r="H77" s="203" t="b">
        <x:v>1</x:v>
      </x:c>
      <x:c r="I77" s="197" t="n">
        <x:v>2</x:v>
      </x:c>
      <x:c r="J77" s="197" t="n">
        <x:v>4</x:v>
      </x:c>
      <x:c r="K77" s="197" t="n">
        <x:f>IF(AND(G77&lt;&gt;"",J77&lt;&gt;""),G77/J77,"")</x:f>
        <x:v>0.275</x:v>
      </x:c>
      <x:c r="L77" s="197" t="n">
        <x:f>IF(AND(G77&lt;&gt;"",I77&lt;&gt;""),G77/I77,"")</x:f>
        <x:v>0.55</x:v>
      </x:c>
      <x:c r="M77" s="83" t="str">
        <x:v>S09</x:v>
      </x:c>
      <x:c r="N77" s="83" t="str">
        <x:v>Documento di Descrizione degli Scenari 2024</x:v>
      </x:c>
      <x:c r="O77" s="83" t="n">
        <x:v>63</x:v>
      </x:c>
      <x:c r="P77" s="83" t="str">
        <x:v>60-61</x:v>
      </x:c>
      <x:c r="Q77" s="83" t="str">
        <x:v>Tabella 16</x:v>
      </x:c>
      <x:c r="R77" s="83" t="str">
        <x:v>Dato osservato storico nel DDS</x:v>
      </x:c>
      <x:c r="S77" s="83" t="str">
        <x:v>Direct table extraction</x:v>
      </x:c>
      <x:c r="T77" s="83" t="str">
        <x:v>A — Direct</x:v>
      </x:c>
      <x:c r="U77" s="83" t="str">
        <x:v>Energy capacity by zone and class; derive power only where duration is specified.</x:v>
      </x:c>
      <x:c r="V77" s="83" t="str">
        <x:v>Small-scale source classes are 2 or 4 hours; utility-scale is 8 hours. CM duration is not stated.</x:v>
      </x:c>
    </x:row>
    <x:row r="78">
      <x:c r="A78" s="83" t="str">
        <x:v>SZ-074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Centro Sud</x:v>
      </x:c>
      <x:c r="F78" s="83" t="str">
        <x:v>Small Scale</x:v>
      </x:c>
      <x:c r="G78" s="197" t="n">
        <x:v>2.1</x:v>
      </x:c>
      <x:c r="H78" s="203" t="b">
        <x:v>1</x:v>
      </x:c>
      <x:c r="I78" s="197" t="n">
        <x:v>2</x:v>
      </x:c>
      <x:c r="J78" s="197" t="n">
        <x:v>4</x:v>
      </x:c>
      <x:c r="K78" s="197" t="n">
        <x:f>IF(AND(G78&lt;&gt;"",J78&lt;&gt;""),G78/J78,"")</x:f>
        <x:v>0.525</x:v>
      </x:c>
      <x:c r="L78" s="197" t="n">
        <x:f>IF(AND(G78&lt;&gt;"",I78&lt;&gt;""),G78/I78,"")</x:f>
        <x:v>1.05</x:v>
      </x:c>
      <x:c r="M78" s="83" t="str">
        <x:v>S09</x:v>
      </x:c>
      <x:c r="N78" s="83" t="str">
        <x:v>Documento di Descrizione degli Scenari 2024</x:v>
      </x:c>
      <x:c r="O78" s="83" t="n">
        <x:v>63</x:v>
      </x:c>
      <x:c r="P78" s="83" t="str">
        <x:v>60-61</x:v>
      </x:c>
      <x:c r="Q78" s="83" t="str">
        <x:v>Tabella 16</x:v>
      </x:c>
      <x:c r="R78" s="83" t="str">
        <x:v>Assunzione di scenario</x:v>
      </x:c>
      <x:c r="S78" s="83" t="str">
        <x:v>Direct table extraction</x:v>
      </x:c>
      <x:c r="T78" s="83" t="str">
        <x:v>A — Direct</x:v>
      </x:c>
      <x:c r="U78" s="83" t="str">
        <x:v>Energy capacity by zone and class; derive power only where duration is specified.</x:v>
      </x:c>
      <x:c r="V78" s="83" t="str">
        <x:v>Small-scale source classes are 2 or 4 hours; utility-scale is 8 hours. CM duration is not stated.</x:v>
      </x:c>
    </x:row>
    <x:row r="79">
      <x:c r="A79" s="83" t="str">
        <x:v>SZ-075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Centro Sud</x:v>
      </x:c>
      <x:c r="F79" s="83" t="str">
        <x:v>Small Scale</x:v>
      </x:c>
      <x:c r="G79" s="197" t="n">
        <x:v>2</x:v>
      </x:c>
      <x:c r="H79" s="203" t="b">
        <x:v>1</x:v>
      </x:c>
      <x:c r="I79" s="197" t="n">
        <x:v>2</x:v>
      </x:c>
      <x:c r="J79" s="197" t="n">
        <x:v>4</x:v>
      </x:c>
      <x:c r="K79" s="197" t="n">
        <x:f>IF(AND(G79&lt;&gt;"",J79&lt;&gt;""),G79/J79,"")</x:f>
        <x:v>0.5</x:v>
      </x:c>
      <x:c r="L79" s="197" t="n">
        <x:f>IF(AND(G79&lt;&gt;"",I79&lt;&gt;""),G79/I79,"")</x:f>
        <x:v>1</x:v>
      </x:c>
      <x:c r="M79" s="83" t="str">
        <x:v>S09</x:v>
      </x:c>
      <x:c r="N79" s="83" t="str">
        <x:v>Documento di Descrizione degli Scenari 2024</x:v>
      </x:c>
      <x:c r="O79" s="83" t="n">
        <x:v>63</x:v>
      </x:c>
      <x:c r="P79" s="83" t="str">
        <x:v>60-61</x:v>
      </x:c>
      <x:c r="Q79" s="83" t="str">
        <x:v>Tabella 16</x:v>
      </x:c>
      <x:c r="R79" s="83" t="str">
        <x:v>Assunzione di scenario</x:v>
      </x:c>
      <x:c r="S79" s="83" t="str">
        <x:v>Direct table extraction</x:v>
      </x:c>
      <x:c r="T79" s="83" t="str">
        <x:v>A — Direct</x:v>
      </x:c>
      <x:c r="U79" s="83" t="str">
        <x:v>Energy capacity by zone and class; derive power only where duration is specified.</x:v>
      </x:c>
      <x:c r="V79" s="83" t="str">
        <x:v>Small-scale source classes are 2 or 4 hours; utility-scale is 8 hours. CM duration is not stated.</x:v>
      </x:c>
    </x:row>
    <x:row r="80">
      <x:c r="A80" s="83" t="str">
        <x:v>SZ-076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Centro Sud</x:v>
      </x:c>
      <x:c r="F80" s="83" t="str">
        <x:v>Small Scale</x:v>
      </x:c>
      <x:c r="G80" s="197" t="n">
        <x:v>2.3</x:v>
      </x:c>
      <x:c r="H80" s="203" t="b">
        <x:v>1</x:v>
      </x:c>
      <x:c r="I80" s="197" t="n">
        <x:v>2</x:v>
      </x:c>
      <x:c r="J80" s="197" t="n">
        <x:v>4</x:v>
      </x:c>
      <x:c r="K80" s="197" t="n">
        <x:f>IF(AND(G80&lt;&gt;"",J80&lt;&gt;""),G80/J80,"")</x:f>
        <x:v>0.575</x:v>
      </x:c>
      <x:c r="L80" s="197" t="n">
        <x:f>IF(AND(G80&lt;&gt;"",I80&lt;&gt;""),G80/I80,"")</x:f>
        <x:v>1.15</x:v>
      </x:c>
      <x:c r="M80" s="83" t="str">
        <x:v>S09</x:v>
      </x:c>
      <x:c r="N80" s="83" t="str">
        <x:v>Documento di Descrizione degli Scenari 2024</x:v>
      </x:c>
      <x:c r="O80" s="83" t="n">
        <x:v>63</x:v>
      </x:c>
      <x:c r="P80" s="83" t="str">
        <x:v>60-61</x:v>
      </x:c>
      <x:c r="Q80" s="83" t="str">
        <x:v>Tabella 16</x:v>
      </x:c>
      <x:c r="R80" s="83" t="str">
        <x:v>Assunzione di scenario</x:v>
      </x:c>
      <x:c r="S80" s="83" t="str">
        <x:v>Direct table extraction</x:v>
      </x:c>
      <x:c r="T80" s="83" t="str">
        <x:v>A — Direct</x:v>
      </x:c>
      <x:c r="U80" s="83" t="str">
        <x:v>Energy capacity by zone and class; derive power only where duration is specified.</x:v>
      </x:c>
      <x:c r="V80" s="83" t="str">
        <x:v>Small-scale source classes are 2 or 4 hours; utility-scale is 8 hours. CM duration is not stated.</x:v>
      </x:c>
    </x:row>
    <x:row r="81">
      <x:c r="A81" s="83" t="str">
        <x:v>SZ-077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Centro Sud</x:v>
      </x:c>
      <x:c r="F81" s="83" t="str">
        <x:v>Small Scale</x:v>
      </x:c>
      <x:c r="G81" s="197" t="n">
        <x:v>2.3</x:v>
      </x:c>
      <x:c r="H81" s="203" t="b">
        <x:v>1</x:v>
      </x:c>
      <x:c r="I81" s="197" t="n">
        <x:v>2</x:v>
      </x:c>
      <x:c r="J81" s="197" t="n">
        <x:v>4</x:v>
      </x:c>
      <x:c r="K81" s="197" t="n">
        <x:f>IF(AND(G81&lt;&gt;"",J81&lt;&gt;""),G81/J81,"")</x:f>
        <x:v>0.575</x:v>
      </x:c>
      <x:c r="L81" s="197" t="n">
        <x:f>IF(AND(G81&lt;&gt;"",I81&lt;&gt;""),G81/I81,"")</x:f>
        <x:v>1.15</x:v>
      </x:c>
      <x:c r="M81" s="83" t="str">
        <x:v>S09</x:v>
      </x:c>
      <x:c r="N81" s="83" t="str">
        <x:v>Documento di Descrizione degli Scenari 2024</x:v>
      </x:c>
      <x:c r="O81" s="83" t="n">
        <x:v>63</x:v>
      </x:c>
      <x:c r="P81" s="83" t="str">
        <x:v>60-61</x:v>
      </x:c>
      <x:c r="Q81" s="83" t="str">
        <x:v>Tabella 16</x:v>
      </x:c>
      <x:c r="R81" s="83" t="str">
        <x:v>Assunzione di scenario</x:v>
      </x:c>
      <x:c r="S81" s="83" t="str">
        <x:v>Direct table extraction</x:v>
      </x:c>
      <x:c r="T81" s="83" t="str">
        <x:v>A — Direct</x:v>
      </x:c>
      <x:c r="U81" s="83" t="str">
        <x:v>Energy capacity by zone and class; derive power only where duration is specified.</x:v>
      </x:c>
      <x:c r="V81" s="83" t="str">
        <x:v>Small-scale source classes are 2 or 4 hours; utility-scale is 8 hours. CM duration is not stated.</x:v>
      </x:c>
    </x:row>
    <x:row r="82">
      <x:c r="A82" s="83" t="str">
        <x:v>SZ-078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Centro Sud</x:v>
      </x:c>
      <x:c r="F82" s="83" t="str">
        <x:v>Small Scale</x:v>
      </x:c>
      <x:c r="G82" s="197" t="n">
        <x:v>2.2</x:v>
      </x:c>
      <x:c r="H82" s="203" t="b">
        <x:v>1</x:v>
      </x:c>
      <x:c r="I82" s="197" t="n">
        <x:v>2</x:v>
      </x:c>
      <x:c r="J82" s="197" t="n">
        <x:v>4</x:v>
      </x:c>
      <x:c r="K82" s="197" t="n">
        <x:f>IF(AND(G82&lt;&gt;"",J82&lt;&gt;""),G82/J82,"")</x:f>
        <x:v>0.55</x:v>
      </x:c>
      <x:c r="L82" s="197" t="n">
        <x:f>IF(AND(G82&lt;&gt;"",I82&lt;&gt;""),G82/I82,"")</x:f>
        <x:v>1.1</x:v>
      </x:c>
      <x:c r="M82" s="83" t="str">
        <x:v>S09</x:v>
      </x:c>
      <x:c r="N82" s="83" t="str">
        <x:v>Documento di Descrizione degli Scenari 2024</x:v>
      </x:c>
      <x:c r="O82" s="83" t="n">
        <x:v>63</x:v>
      </x:c>
      <x:c r="P82" s="83" t="str">
        <x:v>60-61</x:v>
      </x:c>
      <x:c r="Q82" s="83" t="str">
        <x:v>Tabella 16</x:v>
      </x:c>
      <x:c r="R82" s="83" t="str">
        <x:v>Assunzione di scenario</x:v>
      </x:c>
      <x:c r="S82" s="83" t="str">
        <x:v>Direct table extraction</x:v>
      </x:c>
      <x:c r="T82" s="83" t="str">
        <x:v>A — Direct</x:v>
      </x:c>
      <x:c r="U82" s="83" t="str">
        <x:v>Energy capacity by zone and class; derive power only where duration is specified.</x:v>
      </x:c>
      <x:c r="V82" s="83" t="str">
        <x:v>Small-scale source classes are 2 or 4 hours; utility-scale is 8 hours. CM duration is not stated.</x:v>
      </x:c>
    </x:row>
    <x:row r="83">
      <x:c r="A83" s="83" t="str">
        <x:v>SZ-079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Centro Sud</x:v>
      </x:c>
      <x:c r="F83" s="83" t="str">
        <x:v>Small Scale</x:v>
      </x:c>
      <x:c r="G83" s="197" t="n">
        <x:v>2.9</x:v>
      </x:c>
      <x:c r="H83" s="203" t="b">
        <x:v>1</x:v>
      </x:c>
      <x:c r="I83" s="197" t="n">
        <x:v>2</x:v>
      </x:c>
      <x:c r="J83" s="197" t="n">
        <x:v>4</x:v>
      </x:c>
      <x:c r="K83" s="197" t="n">
        <x:f>IF(AND(G83&lt;&gt;"",J83&lt;&gt;""),G83/J83,"")</x:f>
        <x:v>0.725</x:v>
      </x:c>
      <x:c r="L83" s="197" t="n">
        <x:f>IF(AND(G83&lt;&gt;"",I83&lt;&gt;""),G83/I83,"")</x:f>
        <x:v>1.45</x:v>
      </x:c>
      <x:c r="M83" s="83" t="str">
        <x:v>S09</x:v>
      </x:c>
      <x:c r="N83" s="83" t="str">
        <x:v>Documento di Descrizione degli Scenari 2024</x:v>
      </x:c>
      <x:c r="O83" s="83" t="n">
        <x:v>63</x:v>
      </x:c>
      <x:c r="P83" s="83" t="str">
        <x:v>60-61</x:v>
      </x:c>
      <x:c r="Q83" s="83" t="str">
        <x:v>Tabella 16</x:v>
      </x:c>
      <x:c r="R83" s="83" t="str">
        <x:v>Assunzione di scenario</x:v>
      </x:c>
      <x:c r="S83" s="83" t="str">
        <x:v>Direct table extraction</x:v>
      </x:c>
      <x:c r="T83" s="83" t="str">
        <x:v>A — Direct</x:v>
      </x:c>
      <x:c r="U83" s="83" t="str">
        <x:v>Energy capacity by zone and class; derive power only where duration is specified.</x:v>
      </x:c>
      <x:c r="V83" s="83" t="str">
        <x:v>Small-scale source classes are 2 or 4 hours; utility-scale is 8 hours. CM duration is not stated.</x:v>
      </x:c>
    </x:row>
    <x:row r="84">
      <x:c r="A84" s="83" t="str">
        <x:v>SZ-080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Centro Sud</x:v>
      </x:c>
      <x:c r="F84" s="83" t="str">
        <x:v>Small Scale</x:v>
      </x:c>
      <x:c r="G84" s="197" t="n">
        <x:v>2.9</x:v>
      </x:c>
      <x:c r="H84" s="203" t="b">
        <x:v>1</x:v>
      </x:c>
      <x:c r="I84" s="197" t="n">
        <x:v>2</x:v>
      </x:c>
      <x:c r="J84" s="197" t="n">
        <x:v>4</x:v>
      </x:c>
      <x:c r="K84" s="197" t="n">
        <x:f>IF(AND(G84&lt;&gt;"",J84&lt;&gt;""),G84/J84,"")</x:f>
        <x:v>0.725</x:v>
      </x:c>
      <x:c r="L84" s="197" t="n">
        <x:f>IF(AND(G84&lt;&gt;"",I84&lt;&gt;""),G84/I84,"")</x:f>
        <x:v>1.45</x:v>
      </x:c>
      <x:c r="M84" s="83" t="str">
        <x:v>S09</x:v>
      </x:c>
      <x:c r="N84" s="83" t="str">
        <x:v>Documento di Descrizione degli Scenari 2024</x:v>
      </x:c>
      <x:c r="O84" s="83" t="n">
        <x:v>63</x:v>
      </x:c>
      <x:c r="P84" s="83" t="str">
        <x:v>60-61</x:v>
      </x:c>
      <x:c r="Q84" s="83" t="str">
        <x:v>Tabella 16</x:v>
      </x:c>
      <x:c r="R84" s="83" t="str">
        <x:v>Assunzione di scenario</x:v>
      </x:c>
      <x:c r="S84" s="83" t="str">
        <x:v>Direct table extraction</x:v>
      </x:c>
      <x:c r="T84" s="83" t="str">
        <x:v>A — Direct</x:v>
      </x:c>
      <x:c r="U84" s="83" t="str">
        <x:v>Energy capacity by zone and class; derive power only where duration is specified.</x:v>
      </x:c>
      <x:c r="V84" s="83" t="str">
        <x:v>Small-scale source classes are 2 or 4 hours; utility-scale is 8 hours. CM duration is not stated.</x:v>
      </x:c>
    </x:row>
    <x:row r="85">
      <x:c r="A85" s="83" t="str">
        <x:v>SZ-081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Centro Sud</x:v>
      </x:c>
      <x:c r="F85" s="83" t="str">
        <x:v>Small Scale</x:v>
      </x:c>
      <x:c r="G85" s="197" t="n">
        <x:v>2.6</x:v>
      </x:c>
      <x:c r="H85" s="203" t="b">
        <x:v>1</x:v>
      </x:c>
      <x:c r="I85" s="197" t="n">
        <x:v>2</x:v>
      </x:c>
      <x:c r="J85" s="197" t="n">
        <x:v>4</x:v>
      </x:c>
      <x:c r="K85" s="197" t="n">
        <x:f>IF(AND(G85&lt;&gt;"",J85&lt;&gt;""),G85/J85,"")</x:f>
        <x:v>0.65</x:v>
      </x:c>
      <x:c r="L85" s="197" t="n">
        <x:f>IF(AND(G85&lt;&gt;"",I85&lt;&gt;""),G85/I85,"")</x:f>
        <x:v>1.3</x:v>
      </x:c>
      <x:c r="M85" s="83" t="str">
        <x:v>S09</x:v>
      </x:c>
      <x:c r="N85" s="83" t="str">
        <x:v>Documento di Descrizione degli Scenari 2024</x:v>
      </x:c>
      <x:c r="O85" s="83" t="n">
        <x:v>63</x:v>
      </x:c>
      <x:c r="P85" s="83" t="str">
        <x:v>60-61</x:v>
      </x:c>
      <x:c r="Q85" s="83" t="str">
        <x:v>Tabella 16</x:v>
      </x:c>
      <x:c r="R85" s="83" t="str">
        <x:v>Assunzione di scenario</x:v>
      </x:c>
      <x:c r="S85" s="83" t="str">
        <x:v>Direct table extraction</x:v>
      </x:c>
      <x:c r="T85" s="83" t="str">
        <x:v>A — Direct</x:v>
      </x:c>
      <x:c r="U85" s="83" t="str">
        <x:v>Energy capacity by zone and class; derive power only where duration is specified.</x:v>
      </x:c>
      <x:c r="V85" s="83" t="str">
        <x:v>Small-scale source classes are 2 or 4 hours; utility-scale is 8 hours. CM duration is not stated.</x:v>
      </x:c>
    </x:row>
    <x:row r="86">
      <x:c r="A86" s="83" t="str">
        <x:v>SZ-082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Centro Sud</x:v>
      </x:c>
      <x:c r="F86" s="83" t="str">
        <x:v>Utility Scale</x:v>
      </x:c>
      <x:c r="G86" s="197" t="n">
        <x:v>0</x:v>
      </x:c>
      <x:c r="H86" s="203" t="b">
        <x:v>1</x:v>
      </x:c>
      <x:c r="I86" s="197" t="n">
        <x:v>8</x:v>
      </x:c>
      <x:c r="J86" s="197" t="n">
        <x:v>8</x:v>
      </x:c>
      <x:c r="K86" s="197" t="str">
        <x:f>IF(AND(G86&lt;&gt;"",J86&lt;&gt;""),G86/J86,"")</x:f>
      </x:c>
      <x:c r="L86" s="197" t="str">
        <x:f>IF(AND(G86&lt;&gt;"",I86&lt;&gt;""),G86/I86,"")</x:f>
      </x:c>
      <x:c r="M86" s="83" t="str">
        <x:v>S09</x:v>
      </x:c>
      <x:c r="N86" s="83" t="str">
        <x:v>Documento di Descrizione degli Scenari 2024</x:v>
      </x:c>
      <x:c r="O86" s="83" t="n">
        <x:v>63</x:v>
      </x:c>
      <x:c r="P86" s="83" t="str">
        <x:v>60-61</x:v>
      </x:c>
      <x:c r="Q86" s="83" t="str">
        <x:v>Tabella 16</x:v>
      </x:c>
      <x:c r="R86" s="83" t="str">
        <x:v>Dato osservato storico nel DDS</x:v>
      </x:c>
      <x:c r="S86" s="83" t="str">
        <x:v>Direct table extraction</x:v>
      </x:c>
      <x:c r="T86" s="83" t="str">
        <x:v>A — Direct</x:v>
      </x:c>
      <x:c r="U86" s="83" t="str">
        <x:v>Energy capacity by zone and class; derive power only where duration is specified.</x:v>
      </x:c>
      <x:c r="V86" s="83" t="str">
        <x:v>Small-scale source classes are 2 or 4 hours; utility-scale is 8 hours. CM duration is not stated.</x:v>
      </x:c>
    </x:row>
    <x:row r="87">
      <x:c r="A87" s="83" t="str">
        <x:v>SZ-083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Centro Sud</x:v>
      </x:c>
      <x:c r="F87" s="83" t="str">
        <x:v>Utility Scale</x:v>
      </x:c>
      <x:c r="G87" s="197" t="n">
        <x:v>6</x:v>
      </x:c>
      <x:c r="H87" s="203" t="b">
        <x:v>1</x:v>
      </x:c>
      <x:c r="I87" s="197" t="n">
        <x:v>8</x:v>
      </x:c>
      <x:c r="J87" s="197" t="n">
        <x:v>8</x:v>
      </x:c>
      <x:c r="K87" s="197" t="n">
        <x:f>IF(AND(G87&lt;&gt;"",J87&lt;&gt;""),G87/J87,"")</x:f>
        <x:v>0.75</x:v>
      </x:c>
      <x:c r="L87" s="197" t="n">
        <x:f>IF(AND(G87&lt;&gt;"",I87&lt;&gt;""),G87/I87,"")</x:f>
        <x:v>0.75</x:v>
      </x:c>
      <x:c r="M87" s="83" t="str">
        <x:v>S09</x:v>
      </x:c>
      <x:c r="N87" s="83" t="str">
        <x:v>Documento di Descrizione degli Scenari 2024</x:v>
      </x:c>
      <x:c r="O87" s="83" t="n">
        <x:v>63</x:v>
      </x:c>
      <x:c r="P87" s="83" t="str">
        <x:v>60-61</x:v>
      </x:c>
      <x:c r="Q87" s="83" t="str">
        <x:v>Tabella 16</x:v>
      </x:c>
      <x:c r="R87" s="83" t="str">
        <x:v>Assunzione di scenario</x:v>
      </x:c>
      <x:c r="S87" s="83" t="str">
        <x:v>Direct table extraction</x:v>
      </x:c>
      <x:c r="T87" s="83" t="str">
        <x:v>A — Direct</x:v>
      </x:c>
      <x:c r="U87" s="83" t="str">
        <x:v>Energy capacity by zone and class; derive power only where duration is specified.</x:v>
      </x:c>
      <x:c r="V87" s="83" t="str">
        <x:v>Small-scale source classes are 2 or 4 hours; utility-scale is 8 hours. CM duration is not stated.</x:v>
      </x:c>
    </x:row>
    <x:row r="88">
      <x:c r="A88" s="83" t="str">
        <x:v>SZ-084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Centro Sud</x:v>
      </x:c>
      <x:c r="F88" s="83" t="str">
        <x:v>Utility Scale</x:v>
      </x:c>
      <x:c r="G88" s="197" t="n">
        <x:v>3.6</x:v>
      </x:c>
      <x:c r="H88" s="203" t="b">
        <x:v>1</x:v>
      </x:c>
      <x:c r="I88" s="197" t="n">
        <x:v>8</x:v>
      </x:c>
      <x:c r="J88" s="197" t="n">
        <x:v>8</x:v>
      </x:c>
      <x:c r="K88" s="197" t="n">
        <x:f>IF(AND(G88&lt;&gt;"",J88&lt;&gt;""),G88/J88,"")</x:f>
        <x:v>0.45</x:v>
      </x:c>
      <x:c r="L88" s="197" t="n">
        <x:f>IF(AND(G88&lt;&gt;"",I88&lt;&gt;""),G88/I88,"")</x:f>
        <x:v>0.45</x:v>
      </x:c>
      <x:c r="M88" s="83" t="str">
        <x:v>S09</x:v>
      </x:c>
      <x:c r="N88" s="83" t="str">
        <x:v>Documento di Descrizione degli Scenari 2024</x:v>
      </x:c>
      <x:c r="O88" s="83" t="n">
        <x:v>63</x:v>
      </x:c>
      <x:c r="P88" s="83" t="str">
        <x:v>60-61</x:v>
      </x:c>
      <x:c r="Q88" s="83" t="str">
        <x:v>Tabella 16</x:v>
      </x:c>
      <x:c r="R88" s="83" t="str">
        <x:v>Assunzione di scenario</x:v>
      </x:c>
      <x:c r="S88" s="83" t="str">
        <x:v>Direct table extraction</x:v>
      </x:c>
      <x:c r="T88" s="83" t="str">
        <x:v>A — Direct</x:v>
      </x:c>
      <x:c r="U88" s="83" t="str">
        <x:v>Energy capacity by zone and class; derive power only where duration is specified.</x:v>
      </x:c>
      <x:c r="V88" s="83" t="str">
        <x:v>Small-scale source classes are 2 or 4 hours; utility-scale is 8 hours. CM duration is not stated.</x:v>
      </x:c>
    </x:row>
    <x:row r="89">
      <x:c r="A89" s="83" t="str">
        <x:v>SZ-085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Centro Sud</x:v>
      </x:c>
      <x:c r="F89" s="83" t="str">
        <x:v>Utility Scale</x:v>
      </x:c>
      <x:c r="G89" s="197" t="n">
        <x:v>13.5</x:v>
      </x:c>
      <x:c r="H89" s="203" t="b">
        <x:v>1</x:v>
      </x:c>
      <x:c r="I89" s="197" t="n">
        <x:v>8</x:v>
      </x:c>
      <x:c r="J89" s="197" t="n">
        <x:v>8</x:v>
      </x:c>
      <x:c r="K89" s="197" t="n">
        <x:f>IF(AND(G89&lt;&gt;"",J89&lt;&gt;""),G89/J89,"")</x:f>
        <x:v>1.6875</x:v>
      </x:c>
      <x:c r="L89" s="197" t="n">
        <x:f>IF(AND(G89&lt;&gt;"",I89&lt;&gt;""),G89/I89,"")</x:f>
        <x:v>1.6875</x:v>
      </x:c>
      <x:c r="M89" s="83" t="str">
        <x:v>S09</x:v>
      </x:c>
      <x:c r="N89" s="83" t="str">
        <x:v>Documento di Descrizione degli Scenari 2024</x:v>
      </x:c>
      <x:c r="O89" s="83" t="n">
        <x:v>63</x:v>
      </x:c>
      <x:c r="P89" s="83" t="str">
        <x:v>60-61</x:v>
      </x:c>
      <x:c r="Q89" s="83" t="str">
        <x:v>Tabella 16</x:v>
      </x:c>
      <x:c r="R89" s="83" t="str">
        <x:v>Assunzione di scenario</x:v>
      </x:c>
      <x:c r="S89" s="83" t="str">
        <x:v>Direct table extraction</x:v>
      </x:c>
      <x:c r="T89" s="83" t="str">
        <x:v>A — Direct</x:v>
      </x:c>
      <x:c r="U89" s="83" t="str">
        <x:v>Energy capacity by zone and class; derive power only where duration is specified.</x:v>
      </x:c>
      <x:c r="V89" s="83" t="str">
        <x:v>Small-scale source classes are 2 or 4 hours; utility-scale is 8 hours. CM duration is not stated.</x:v>
      </x:c>
    </x:row>
    <x:row r="90">
      <x:c r="A90" s="83" t="str">
        <x:v>SZ-086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Centro Sud</x:v>
      </x:c>
      <x:c r="F90" s="83" t="str">
        <x:v>Utility Scale</x:v>
      </x:c>
      <x:c r="G90" s="197" t="n">
        <x:v>9.6</x:v>
      </x:c>
      <x:c r="H90" s="203" t="b">
        <x:v>1</x:v>
      </x:c>
      <x:c r="I90" s="197" t="n">
        <x:v>8</x:v>
      </x:c>
      <x:c r="J90" s="197" t="n">
        <x:v>8</x:v>
      </x:c>
      <x:c r="K90" s="197" t="n">
        <x:f>IF(AND(G90&lt;&gt;"",J90&lt;&gt;""),G90/J90,"")</x:f>
        <x:v>1.2</x:v>
      </x:c>
      <x:c r="L90" s="197" t="n">
        <x:f>IF(AND(G90&lt;&gt;"",I90&lt;&gt;""),G90/I90,"")</x:f>
        <x:v>1.2</x:v>
      </x:c>
      <x:c r="M90" s="83" t="str">
        <x:v>S09</x:v>
      </x:c>
      <x:c r="N90" s="83" t="str">
        <x:v>Documento di Descrizione degli Scenari 2024</x:v>
      </x:c>
      <x:c r="O90" s="83" t="n">
        <x:v>63</x:v>
      </x:c>
      <x:c r="P90" s="83" t="str">
        <x:v>60-61</x:v>
      </x:c>
      <x:c r="Q90" s="83" t="str">
        <x:v>Tabella 16</x:v>
      </x:c>
      <x:c r="R90" s="83" t="str">
        <x:v>Assunzione di scenario</x:v>
      </x:c>
      <x:c r="S90" s="83" t="str">
        <x:v>Direct table extraction</x:v>
      </x:c>
      <x:c r="T90" s="83" t="str">
        <x:v>A — Direct</x:v>
      </x:c>
      <x:c r="U90" s="83" t="str">
        <x:v>Energy capacity by zone and class; derive power only where duration is specified.</x:v>
      </x:c>
      <x:c r="V90" s="83" t="str">
        <x:v>Small-scale source classes are 2 or 4 hours; utility-scale is 8 hours. CM duration is not stated.</x:v>
      </x:c>
    </x:row>
    <x:row r="91">
      <x:c r="A91" s="83" t="str">
        <x:v>SZ-087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Centro Sud</x:v>
      </x:c>
      <x:c r="F91" s="83" t="str">
        <x:v>Utility Scale</x:v>
      </x:c>
      <x:c r="G91" s="197" t="n">
        <x:v>8.2</x:v>
      </x:c>
      <x:c r="H91" s="203" t="b">
        <x:v>1</x:v>
      </x:c>
      <x:c r="I91" s="197" t="n">
        <x:v>8</x:v>
      </x:c>
      <x:c r="J91" s="197" t="n">
        <x:v>8</x:v>
      </x:c>
      <x:c r="K91" s="197" t="n">
        <x:f>IF(AND(G91&lt;&gt;"",J91&lt;&gt;""),G91/J91,"")</x:f>
        <x:v>1.025</x:v>
      </x:c>
      <x:c r="L91" s="197" t="n">
        <x:f>IF(AND(G91&lt;&gt;"",I91&lt;&gt;""),G91/I91,"")</x:f>
        <x:v>1.025</x:v>
      </x:c>
      <x:c r="M91" s="83" t="str">
        <x:v>S09</x:v>
      </x:c>
      <x:c r="N91" s="83" t="str">
        <x:v>Documento di Descrizione degli Scenari 2024</x:v>
      </x:c>
      <x:c r="O91" s="83" t="n">
        <x:v>63</x:v>
      </x:c>
      <x:c r="P91" s="83" t="str">
        <x:v>60-61</x:v>
      </x:c>
      <x:c r="Q91" s="83" t="str">
        <x:v>Tabella 16</x:v>
      </x:c>
      <x:c r="R91" s="83" t="str">
        <x:v>Assunzione di scenario</x:v>
      </x:c>
      <x:c r="S91" s="83" t="str">
        <x:v>Direct table extraction</x:v>
      </x:c>
      <x:c r="T91" s="83" t="str">
        <x:v>A — Direct</x:v>
      </x:c>
      <x:c r="U91" s="83" t="str">
        <x:v>Energy capacity by zone and class; derive power only where duration is specified.</x:v>
      </x:c>
      <x:c r="V91" s="83" t="str">
        <x:v>Small-scale source classes are 2 or 4 hours; utility-scale is 8 hours. CM duration is not stated.</x:v>
      </x:c>
    </x:row>
    <x:row r="92">
      <x:c r="A92" s="83" t="str">
        <x:v>SZ-088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Centro Sud</x:v>
      </x:c>
      <x:c r="F92" s="83" t="str">
        <x:v>Utility Scale</x:v>
      </x:c>
      <x:c r="G92" s="197" t="n">
        <x:v>22.3</x:v>
      </x:c>
      <x:c r="H92" s="203" t="b">
        <x:v>1</x:v>
      </x:c>
      <x:c r="I92" s="197" t="n">
        <x:v>8</x:v>
      </x:c>
      <x:c r="J92" s="197" t="n">
        <x:v>8</x:v>
      </x:c>
      <x:c r="K92" s="197" t="n">
        <x:f>IF(AND(G92&lt;&gt;"",J92&lt;&gt;""),G92/J92,"")</x:f>
        <x:v>2.7875</x:v>
      </x:c>
      <x:c r="L92" s="197" t="n">
        <x:f>IF(AND(G92&lt;&gt;"",I92&lt;&gt;""),G92/I92,"")</x:f>
        <x:v>2.7875</x:v>
      </x:c>
      <x:c r="M92" s="83" t="str">
        <x:v>S09</x:v>
      </x:c>
      <x:c r="N92" s="83" t="str">
        <x:v>Documento di Descrizione degli Scenari 2024</x:v>
      </x:c>
      <x:c r="O92" s="83" t="n">
        <x:v>63</x:v>
      </x:c>
      <x:c r="P92" s="83" t="str">
        <x:v>60-61</x:v>
      </x:c>
      <x:c r="Q92" s="83" t="str">
        <x:v>Tabella 16</x:v>
      </x:c>
      <x:c r="R92" s="83" t="str">
        <x:v>Assunzione di scenario</x:v>
      </x:c>
      <x:c r="S92" s="83" t="str">
        <x:v>Direct table extraction</x:v>
      </x:c>
      <x:c r="T92" s="83" t="str">
        <x:v>A — Direct</x:v>
      </x:c>
      <x:c r="U92" s="83" t="str">
        <x:v>Energy capacity by zone and class; derive power only where duration is specified.</x:v>
      </x:c>
      <x:c r="V92" s="83" t="str">
        <x:v>Small-scale source classes are 2 or 4 hours; utility-scale is 8 hours. CM duration is not stated.</x:v>
      </x:c>
    </x:row>
    <x:row r="93">
      <x:c r="A93" s="83" t="str">
        <x:v>SZ-089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Centro Sud</x:v>
      </x:c>
      <x:c r="F93" s="83" t="str">
        <x:v>Utility Scale</x:v>
      </x:c>
      <x:c r="G93" s="197" t="n">
        <x:v>19.3</x:v>
      </x:c>
      <x:c r="H93" s="203" t="b">
        <x:v>1</x:v>
      </x:c>
      <x:c r="I93" s="197" t="n">
        <x:v>8</x:v>
      </x:c>
      <x:c r="J93" s="197" t="n">
        <x:v>8</x:v>
      </x:c>
      <x:c r="K93" s="197" t="n">
        <x:f>IF(AND(G93&lt;&gt;"",J93&lt;&gt;""),G93/J93,"")</x:f>
        <x:v>2.4125</x:v>
      </x:c>
      <x:c r="L93" s="197" t="n">
        <x:f>IF(AND(G93&lt;&gt;"",I93&lt;&gt;""),G93/I93,"")</x:f>
        <x:v>2.4125</x:v>
      </x:c>
      <x:c r="M93" s="83" t="str">
        <x:v>S09</x:v>
      </x:c>
      <x:c r="N93" s="83" t="str">
        <x:v>Documento di Descrizione degli Scenari 2024</x:v>
      </x:c>
      <x:c r="O93" s="83" t="n">
        <x:v>63</x:v>
      </x:c>
      <x:c r="P93" s="83" t="str">
        <x:v>60-61</x:v>
      </x:c>
      <x:c r="Q93" s="83" t="str">
        <x:v>Tabella 16</x:v>
      </x:c>
      <x:c r="R93" s="83" t="str">
        <x:v>Assunzione di scenario</x:v>
      </x:c>
      <x:c r="S93" s="83" t="str">
        <x:v>Direct table extraction</x:v>
      </x:c>
      <x:c r="T93" s="83" t="str">
        <x:v>A — Direct</x:v>
      </x:c>
      <x:c r="U93" s="83" t="str">
        <x:v>Energy capacity by zone and class; derive power only where duration is specified.</x:v>
      </x:c>
      <x:c r="V93" s="83" t="str">
        <x:v>Small-scale source classes are 2 or 4 hours; utility-scale is 8 hours. CM duration is not stated.</x:v>
      </x:c>
    </x:row>
    <x:row r="94">
      <x:c r="A94" s="83" t="str">
        <x:v>SZ-090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Centro Sud</x:v>
      </x:c>
      <x:c r="F94" s="83" t="str">
        <x:v>Utility Scale</x:v>
      </x:c>
      <x:c r="G94" s="197" t="n">
        <x:v>13.3</x:v>
      </x:c>
      <x:c r="H94" s="203" t="b">
        <x:v>1</x:v>
      </x:c>
      <x:c r="I94" s="197" t="n">
        <x:v>8</x:v>
      </x:c>
      <x:c r="J94" s="197" t="n">
        <x:v>8</x:v>
      </x:c>
      <x:c r="K94" s="197" t="n">
        <x:f>IF(AND(G94&lt;&gt;"",J94&lt;&gt;""),G94/J94,"")</x:f>
        <x:v>1.6625</x:v>
      </x:c>
      <x:c r="L94" s="197" t="n">
        <x:f>IF(AND(G94&lt;&gt;"",I94&lt;&gt;""),G94/I94,"")</x:f>
        <x:v>1.6625</x:v>
      </x:c>
      <x:c r="M94" s="83" t="str">
        <x:v>S09</x:v>
      </x:c>
      <x:c r="N94" s="83" t="str">
        <x:v>Documento di Descrizione degli Scenari 2024</x:v>
      </x:c>
      <x:c r="O94" s="83" t="n">
        <x:v>63</x:v>
      </x:c>
      <x:c r="P94" s="83" t="str">
        <x:v>60-61</x:v>
      </x:c>
      <x:c r="Q94" s="83" t="str">
        <x:v>Tabella 16</x:v>
      </x:c>
      <x:c r="R94" s="83" t="str">
        <x:v>Assunzione di scenario</x:v>
      </x:c>
      <x:c r="S94" s="83" t="str">
        <x:v>Direct table extraction</x:v>
      </x:c>
      <x:c r="T94" s="83" t="str">
        <x:v>A — Direct</x:v>
      </x:c>
      <x:c r="U94" s="83" t="str">
        <x:v>Energy capacity by zone and class; derive power only where duration is specified.</x:v>
      </x:c>
      <x:c r="V94" s="83" t="str">
        <x:v>Small-scale source classes are 2 or 4 hours; utility-scale is 8 hours. CM duration is not stated.</x:v>
      </x:c>
    </x:row>
    <x:row r="95">
      <x:c r="A95" s="83" t="str">
        <x:v>SZ-091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Centro Sud</x:v>
      </x:c>
      <x:c r="F95" s="83" t="str">
        <x:v>CM</x:v>
      </x:c>
      <x:c r="G95" s="197" t="n">
        <x:v>0</x:v>
      </x:c>
      <x:c r="H95" s="203" t="b">
        <x:v>1</x:v>
      </x:c>
      <x:c r="I95" s="197"/>
      <x:c r="J95" s="197"/>
      <x:c r="K95" s="197" t="str">
        <x:f>IF(AND(G95&lt;&gt;"",J95&lt;&gt;""),G95/J95,"")</x:f>
      </x:c>
      <x:c r="L95" s="197" t="str">
        <x:f>IF(AND(G95&lt;&gt;"",I95&lt;&gt;""),G95/I95,"")</x:f>
      </x:c>
      <x:c r="M95" s="83" t="str">
        <x:v>S09</x:v>
      </x:c>
      <x:c r="N95" s="83" t="str">
        <x:v>Documento di Descrizione degli Scenari 2024</x:v>
      </x:c>
      <x:c r="O95" s="83" t="n">
        <x:v>63</x:v>
      </x:c>
      <x:c r="P95" s="83" t="str">
        <x:v>60-61</x:v>
      </x:c>
      <x:c r="Q95" s="83" t="str">
        <x:v>Tabella 16</x:v>
      </x:c>
      <x:c r="R95" s="83" t="str">
        <x:v>Dato osservato storico nel DDS</x:v>
      </x:c>
      <x:c r="S95" s="83" t="str">
        <x:v>Direct table extraction</x:v>
      </x:c>
      <x:c r="T95" s="83" t="str">
        <x:v>A — Direct</x:v>
      </x:c>
      <x:c r="U95" s="83" t="str">
        <x:v>Energy capacity by zone and class; derive power only where duration is specified.</x:v>
      </x:c>
      <x:c r="V95" s="83" t="str">
        <x:v>Small-scale source classes are 2 or 4 hours; utility-scale is 8 hours. CM duration is not stated.</x:v>
      </x:c>
    </x:row>
    <x:row r="96">
      <x:c r="A96" s="83" t="str">
        <x:v>SZ-092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Centro Sud</x:v>
      </x:c>
      <x:c r="F96" s="83" t="str">
        <x:v>CM</x:v>
      </x:c>
      <x:c r="G96" s="197" t="n">
        <x:v>0.9</x:v>
      </x:c>
      <x:c r="H96" s="203" t="b">
        <x:v>1</x:v>
      </x:c>
      <x:c r="I96" s="197"/>
      <x:c r="J96" s="197"/>
      <x:c r="K96" s="197" t="str">
        <x:f>IF(AND(G96&lt;&gt;"",J96&lt;&gt;""),G96/J96,"")</x:f>
      </x:c>
      <x:c r="L96" s="197" t="str">
        <x:f>IF(AND(G96&lt;&gt;"",I96&lt;&gt;""),G96/I96,"")</x:f>
      </x:c>
      <x:c r="M96" s="83" t="str">
        <x:v>S09</x:v>
      </x:c>
      <x:c r="N96" s="83" t="str">
        <x:v>Documento di Descrizione degli Scenari 2024</x:v>
      </x:c>
      <x:c r="O96" s="83" t="n">
        <x:v>63</x:v>
      </x:c>
      <x:c r="P96" s="83" t="str">
        <x:v>60-61</x:v>
      </x:c>
      <x:c r="Q96" s="83" t="str">
        <x:v>Tabella 16</x:v>
      </x:c>
      <x:c r="R96" s="83" t="str">
        <x:v>Assunzione di scenario</x:v>
      </x:c>
      <x:c r="S96" s="83" t="str">
        <x:v>Direct table extraction</x:v>
      </x:c>
      <x:c r="T96" s="83" t="str">
        <x:v>A — Direct</x:v>
      </x:c>
      <x:c r="U96" s="83" t="str">
        <x:v>Energy capacity by zone and class; derive power only where duration is specified.</x:v>
      </x:c>
      <x:c r="V96" s="83" t="str">
        <x:v>Small-scale source classes are 2 or 4 hours; utility-scale is 8 hours. CM duration is not stated.</x:v>
      </x:c>
    </x:row>
    <x:row r="97">
      <x:c r="A97" s="83" t="str">
        <x:v>SZ-093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Centro Sud</x:v>
      </x:c>
      <x:c r="F97" s="83" t="str">
        <x:v>CM</x:v>
      </x:c>
      <x:c r="G97" s="197" t="n">
        <x:v>0.9</x:v>
      </x:c>
      <x:c r="H97" s="203" t="b">
        <x:v>1</x:v>
      </x:c>
      <x:c r="I97" s="197"/>
      <x:c r="J97" s="197"/>
      <x:c r="K97" s="197" t="str">
        <x:f>IF(AND(G97&lt;&gt;"",J97&lt;&gt;""),G97/J97,"")</x:f>
      </x:c>
      <x:c r="L97" s="197" t="str">
        <x:f>IF(AND(G97&lt;&gt;"",I97&lt;&gt;""),G97/I97,"")</x:f>
      </x:c>
      <x:c r="M97" s="83" t="str">
        <x:v>S09</x:v>
      </x:c>
      <x:c r="N97" s="83" t="str">
        <x:v>Documento di Descrizione degli Scenari 2024</x:v>
      </x:c>
      <x:c r="O97" s="83" t="n">
        <x:v>63</x:v>
      </x:c>
      <x:c r="P97" s="83" t="str">
        <x:v>60-61</x:v>
      </x:c>
      <x:c r="Q97" s="83" t="str">
        <x:v>Tabella 16</x:v>
      </x:c>
      <x:c r="R97" s="83" t="str">
        <x:v>Assunzione di scenario</x:v>
      </x:c>
      <x:c r="S97" s="83" t="str">
        <x:v>Direct table extraction</x:v>
      </x:c>
      <x:c r="T97" s="83" t="str">
        <x:v>A — Direct</x:v>
      </x:c>
      <x:c r="U97" s="83" t="str">
        <x:v>Energy capacity by zone and class; derive power only where duration is specified.</x:v>
      </x:c>
      <x:c r="V97" s="83" t="str">
        <x:v>Small-scale source classes are 2 or 4 hours; utility-scale is 8 hours. CM duration is not stated.</x:v>
      </x:c>
    </x:row>
    <x:row r="98">
      <x:c r="A98" s="83" t="str">
        <x:v>SZ-094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Centro Sud</x:v>
      </x:c>
      <x:c r="F98" s="83" t="str">
        <x:v>CM</x:v>
      </x:c>
      <x:c r="G98" s="197" t="n">
        <x:v>0.9</x:v>
      </x:c>
      <x:c r="H98" s="203" t="b">
        <x:v>1</x:v>
      </x:c>
      <x:c r="I98" s="197"/>
      <x:c r="J98" s="197"/>
      <x:c r="K98" s="197" t="str">
        <x:f>IF(AND(G98&lt;&gt;"",J98&lt;&gt;""),G98/J98,"")</x:f>
      </x:c>
      <x:c r="L98" s="197" t="str">
        <x:f>IF(AND(G98&lt;&gt;"",I98&lt;&gt;""),G98/I98,"")</x:f>
      </x:c>
      <x:c r="M98" s="83" t="str">
        <x:v>S09</x:v>
      </x:c>
      <x:c r="N98" s="83" t="str">
        <x:v>Documento di Descrizione degli Scenari 2024</x:v>
      </x:c>
      <x:c r="O98" s="83" t="n">
        <x:v>63</x:v>
      </x:c>
      <x:c r="P98" s="83" t="str">
        <x:v>60-61</x:v>
      </x:c>
      <x:c r="Q98" s="83" t="str">
        <x:v>Tabella 16</x:v>
      </x:c>
      <x:c r="R98" s="83" t="str">
        <x:v>Assunzione di scenario</x:v>
      </x:c>
      <x:c r="S98" s="83" t="str">
        <x:v>Direct table extraction</x:v>
      </x:c>
      <x:c r="T98" s="83" t="str">
        <x:v>A — Direct</x:v>
      </x:c>
      <x:c r="U98" s="83" t="str">
        <x:v>Energy capacity by zone and class; derive power only where duration is specified.</x:v>
      </x:c>
      <x:c r="V98" s="83" t="str">
        <x:v>Small-scale source classes are 2 or 4 hours; utility-scale is 8 hours. CM duration is not stated.</x:v>
      </x:c>
    </x:row>
    <x:row r="99">
      <x:c r="A99" s="83" t="str">
        <x:v>SZ-095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Centro Sud</x:v>
      </x:c>
      <x:c r="F99" s="83" t="str">
        <x:v>CM</x:v>
      </x:c>
      <x:c r="G99" s="197" t="n">
        <x:v>0.9</x:v>
      </x:c>
      <x:c r="H99" s="203" t="b">
        <x:v>1</x:v>
      </x:c>
      <x:c r="I99" s="197"/>
      <x:c r="J99" s="197"/>
      <x:c r="K99" s="197" t="str">
        <x:f>IF(AND(G99&lt;&gt;"",J99&lt;&gt;""),G99/J99,"")</x:f>
      </x:c>
      <x:c r="L99" s="197" t="str">
        <x:f>IF(AND(G99&lt;&gt;"",I99&lt;&gt;""),G99/I99,"")</x:f>
      </x:c>
      <x:c r="M99" s="83" t="str">
        <x:v>S09</x:v>
      </x:c>
      <x:c r="N99" s="83" t="str">
        <x:v>Documento di Descrizione degli Scenari 2024</x:v>
      </x:c>
      <x:c r="O99" s="83" t="n">
        <x:v>63</x:v>
      </x:c>
      <x:c r="P99" s="83" t="str">
        <x:v>60-61</x:v>
      </x:c>
      <x:c r="Q99" s="83" t="str">
        <x:v>Tabella 16</x:v>
      </x:c>
      <x:c r="R99" s="83" t="str">
        <x:v>Assunzione di scenario</x:v>
      </x:c>
      <x:c r="S99" s="83" t="str">
        <x:v>Direct table extraction</x:v>
      </x:c>
      <x:c r="T99" s="83" t="str">
        <x:v>A — Direct</x:v>
      </x:c>
      <x:c r="U99" s="83" t="str">
        <x:v>Energy capacity by zone and class; derive power only where duration is specified.</x:v>
      </x:c>
      <x:c r="V99" s="83" t="str">
        <x:v>Small-scale source classes are 2 or 4 hours; utility-scale is 8 hours. CM duration is not stated.</x:v>
      </x:c>
    </x:row>
    <x:row r="100">
      <x:c r="A100" s="83" t="str">
        <x:v>SZ-096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Centro Sud</x:v>
      </x:c>
      <x:c r="F100" s="83" t="str">
        <x:v>CM</x:v>
      </x:c>
      <x:c r="G100" s="197" t="n">
        <x:v>0.9</x:v>
      </x:c>
      <x:c r="H100" s="203" t="b">
        <x:v>1</x:v>
      </x:c>
      <x:c r="I100" s="197"/>
      <x:c r="J100" s="197"/>
      <x:c r="K100" s="197" t="str">
        <x:f>IF(AND(G100&lt;&gt;"",J100&lt;&gt;""),G100/J100,"")</x:f>
      </x:c>
      <x:c r="L100" s="197" t="str">
        <x:f>IF(AND(G100&lt;&gt;"",I100&lt;&gt;""),G100/I100,"")</x:f>
      </x:c>
      <x:c r="M100" s="83" t="str">
        <x:v>S09</x:v>
      </x:c>
      <x:c r="N100" s="83" t="str">
        <x:v>Documento di Descrizione degli Scenari 2024</x:v>
      </x:c>
      <x:c r="O100" s="83" t="n">
        <x:v>63</x:v>
      </x:c>
      <x:c r="P100" s="83" t="str">
        <x:v>60-61</x:v>
      </x:c>
      <x:c r="Q100" s="83" t="str">
        <x:v>Tabella 16</x:v>
      </x:c>
      <x:c r="R100" s="83" t="str">
        <x:v>Assunzione di scenario</x:v>
      </x:c>
      <x:c r="S100" s="83" t="str">
        <x:v>Direct table extraction</x:v>
      </x:c>
      <x:c r="T100" s="83" t="str">
        <x:v>A — Direct</x:v>
      </x:c>
      <x:c r="U100" s="83" t="str">
        <x:v>Energy capacity by zone and class; derive power only where duration is specified.</x:v>
      </x:c>
      <x:c r="V100" s="83" t="str">
        <x:v>Small-scale source classes are 2 or 4 hours; utility-scale is 8 hours. CM duration is not stated.</x:v>
      </x:c>
    </x:row>
    <x:row r="101">
      <x:c r="A101" s="83" t="str">
        <x:v>SZ-097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Centro Sud</x:v>
      </x:c>
      <x:c r="F101" s="83" t="str">
        <x:v>CM</x:v>
      </x:c>
      <x:c r="G101" s="197" t="n">
        <x:v>0.9</x:v>
      </x:c>
      <x:c r="H101" s="203" t="b">
        <x:v>1</x:v>
      </x:c>
      <x:c r="I101" s="197"/>
      <x:c r="J101" s="197"/>
      <x:c r="K101" s="197" t="str">
        <x:f>IF(AND(G101&lt;&gt;"",J101&lt;&gt;""),G101/J101,"")</x:f>
      </x:c>
      <x:c r="L101" s="197" t="str">
        <x:f>IF(AND(G101&lt;&gt;"",I101&lt;&gt;""),G101/I101,"")</x:f>
      </x:c>
      <x:c r="M101" s="83" t="str">
        <x:v>S09</x:v>
      </x:c>
      <x:c r="N101" s="83" t="str">
        <x:v>Documento di Descrizione degli Scenari 2024</x:v>
      </x:c>
      <x:c r="O101" s="83" t="n">
        <x:v>63</x:v>
      </x:c>
      <x:c r="P101" s="83" t="str">
        <x:v>60-61</x:v>
      </x:c>
      <x:c r="Q101" s="83" t="str">
        <x:v>Tabella 16</x:v>
      </x:c>
      <x:c r="R101" s="83" t="str">
        <x:v>Assunzione di scenario</x:v>
      </x:c>
      <x:c r="S101" s="83" t="str">
        <x:v>Direct table extraction</x:v>
      </x:c>
      <x:c r="T101" s="83" t="str">
        <x:v>A — Direct</x:v>
      </x:c>
      <x:c r="U101" s="83" t="str">
        <x:v>Energy capacity by zone and class; derive power only where duration is specified.</x:v>
      </x:c>
      <x:c r="V101" s="83" t="str">
        <x:v>Small-scale source classes are 2 or 4 hours; utility-scale is 8 hours. CM duration is not stated.</x:v>
      </x:c>
    </x:row>
    <x:row r="102">
      <x:c r="A102" s="83" t="str">
        <x:v>SZ-098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Centro Sud</x:v>
      </x:c>
      <x:c r="F102" s="83" t="str">
        <x:v>CM</x:v>
      </x:c>
      <x:c r="G102" s="197" t="n">
        <x:v>0.9</x:v>
      </x:c>
      <x:c r="H102" s="203" t="b">
        <x:v>1</x:v>
      </x:c>
      <x:c r="I102" s="197"/>
      <x:c r="J102" s="197"/>
      <x:c r="K102" s="197" t="str">
        <x:f>IF(AND(G102&lt;&gt;"",J102&lt;&gt;""),G102/J102,"")</x:f>
      </x:c>
      <x:c r="L102" s="197" t="str">
        <x:f>IF(AND(G102&lt;&gt;"",I102&lt;&gt;""),G102/I102,"")</x:f>
      </x:c>
      <x:c r="M102" s="83" t="str">
        <x:v>S09</x:v>
      </x:c>
      <x:c r="N102" s="83" t="str">
        <x:v>Documento di Descrizione degli Scenari 2024</x:v>
      </x:c>
      <x:c r="O102" s="83" t="n">
        <x:v>63</x:v>
      </x:c>
      <x:c r="P102" s="83" t="str">
        <x:v>60-61</x:v>
      </x:c>
      <x:c r="Q102" s="83" t="str">
        <x:v>Tabella 16</x:v>
      </x:c>
      <x:c r="R102" s="83" t="str">
        <x:v>Assunzione di scenario</x:v>
      </x:c>
      <x:c r="S102" s="83" t="str">
        <x:v>Direct table extraction</x:v>
      </x:c>
      <x:c r="T102" s="83" t="str">
        <x:v>A — Direct</x:v>
      </x:c>
      <x:c r="U102" s="83" t="str">
        <x:v>Energy capacity by zone and class; derive power only where duration is specified.</x:v>
      </x:c>
      <x:c r="V102" s="83" t="str">
        <x:v>Small-scale source classes are 2 or 4 hours; utility-scale is 8 hours. CM duration is not stated.</x:v>
      </x:c>
    </x:row>
    <x:row r="103">
      <x:c r="A103" s="83" t="str">
        <x:v>SZ-099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Centro Sud</x:v>
      </x:c>
      <x:c r="F103" s="83" t="str">
        <x:v>CM</x:v>
      </x:c>
      <x:c r="G103" s="197" t="n">
        <x:v>0.9</x:v>
      </x:c>
      <x:c r="H103" s="203" t="b">
        <x:v>1</x:v>
      </x:c>
      <x:c r="I103" s="197"/>
      <x:c r="J103" s="197"/>
      <x:c r="K103" s="197" t="str">
        <x:f>IF(AND(G103&lt;&gt;"",J103&lt;&gt;""),G103/J103,"")</x:f>
      </x:c>
      <x:c r="L103" s="197" t="str">
        <x:f>IF(AND(G103&lt;&gt;"",I103&lt;&gt;""),G103/I103,"")</x:f>
      </x:c>
      <x:c r="M103" s="83" t="str">
        <x:v>S09</x:v>
      </x:c>
      <x:c r="N103" s="83" t="str">
        <x:v>Documento di Descrizione degli Scenari 2024</x:v>
      </x:c>
      <x:c r="O103" s="83" t="n">
        <x:v>63</x:v>
      </x:c>
      <x:c r="P103" s="83" t="str">
        <x:v>60-61</x:v>
      </x:c>
      <x:c r="Q103" s="83" t="str">
        <x:v>Tabella 16</x:v>
      </x:c>
      <x:c r="R103" s="83" t="str">
        <x:v>Assunzione di scenario</x:v>
      </x:c>
      <x:c r="S103" s="83" t="str">
        <x:v>Direct table extraction</x:v>
      </x:c>
      <x:c r="T103" s="83" t="str">
        <x:v>A — Direct</x:v>
      </x:c>
      <x:c r="U103" s="83" t="str">
        <x:v>Energy capacity by zone and class; derive power only where duration is specified.</x:v>
      </x:c>
      <x:c r="V103" s="83" t="str">
        <x:v>Small-scale source classes are 2 or 4 hours; utility-scale is 8 hours. CM duration is not stated.</x:v>
      </x:c>
    </x:row>
    <x:row r="104">
      <x:c r="A104" s="83" t="str">
        <x:v>SZ-100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Centro Sud</x:v>
      </x:c>
      <x:c r="F104" s="83" t="str">
        <x:v>Totale</x:v>
      </x:c>
      <x:c r="G104" s="197" t="n">
        <x:v>1.1</x:v>
      </x:c>
      <x:c r="H104" s="203" t="b">
        <x:v>1</x:v>
      </x:c>
      <x:c r="I104" s="197"/>
      <x:c r="J104" s="197"/>
      <x:c r="K104" s="197" t="str">
        <x:f>IF(AND(G104&lt;&gt;"",J104&lt;&gt;""),G104/J104,"")</x:f>
      </x:c>
      <x:c r="L104" s="197" t="str">
        <x:f>IF(AND(G104&lt;&gt;"",I104&lt;&gt;""),G104/I104,"")</x:f>
      </x:c>
      <x:c r="M104" s="83" t="str">
        <x:v>S09</x:v>
      </x:c>
      <x:c r="N104" s="83" t="str">
        <x:v>Documento di Descrizione degli Scenari 2024</x:v>
      </x:c>
      <x:c r="O104" s="83" t="n">
        <x:v>63</x:v>
      </x:c>
      <x:c r="P104" s="83" t="str">
        <x:v>60-61</x:v>
      </x:c>
      <x:c r="Q104" s="83" t="str">
        <x:v>Tabella 16</x:v>
      </x:c>
      <x:c r="R104" s="83" t="str">
        <x:v>Dato osservato storico nel DDS</x:v>
      </x:c>
      <x:c r="S104" s="83" t="str">
        <x:v>Direct table extraction</x:v>
      </x:c>
      <x:c r="T104" s="83" t="str">
        <x:v>A — Direct</x:v>
      </x:c>
      <x:c r="U104" s="83" t="str">
        <x:v>Energy capacity by zone and class; derive power only where duration is specified.</x:v>
      </x:c>
      <x:c r="V104" s="83" t="str">
        <x:v>Small-scale source classes are 2 or 4 hours; utility-scale is 8 hours. CM duration is not stated.</x:v>
      </x:c>
    </x:row>
    <x:row r="105">
      <x:c r="A105" s="83" t="str">
        <x:v>SZ-101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Centro Sud</x:v>
      </x:c>
      <x:c r="F105" s="83" t="str">
        <x:v>Totale</x:v>
      </x:c>
      <x:c r="G105" s="197" t="n">
        <x:v>9</x:v>
      </x:c>
      <x:c r="H105" s="203" t="b">
        <x:v>1</x:v>
      </x:c>
      <x:c r="I105" s="197"/>
      <x:c r="J105" s="197"/>
      <x:c r="K105" s="197" t="str">
        <x:f>IF(AND(G105&lt;&gt;"",J105&lt;&gt;""),G105/J105,"")</x:f>
      </x:c>
      <x:c r="L105" s="197" t="str">
        <x:f>IF(AND(G105&lt;&gt;"",I105&lt;&gt;""),G105/I105,"")</x:f>
      </x:c>
      <x:c r="M105" s="83" t="str">
        <x:v>S09</x:v>
      </x:c>
      <x:c r="N105" s="83" t="str">
        <x:v>Documento di Descrizione degli Scenari 2024</x:v>
      </x:c>
      <x:c r="O105" s="83" t="n">
        <x:v>63</x:v>
      </x:c>
      <x:c r="P105" s="83" t="str">
        <x:v>60-61</x:v>
      </x:c>
      <x:c r="Q105" s="83" t="str">
        <x:v>Tabella 16</x:v>
      </x:c>
      <x:c r="R105" s="83" t="str">
        <x:v>Assunzione di scenario</x:v>
      </x:c>
      <x:c r="S105" s="83" t="str">
        <x:v>Direct table extraction</x:v>
      </x:c>
      <x:c r="T105" s="83" t="str">
        <x:v>A — Direct</x:v>
      </x:c>
      <x:c r="U105" s="83" t="str">
        <x:v>Energy capacity by zone and class; derive power only where duration is specified.</x:v>
      </x:c>
      <x:c r="V105" s="83" t="str">
        <x:v>Small-scale source classes are 2 or 4 hours; utility-scale is 8 hours. CM duration is not stated.</x:v>
      </x:c>
    </x:row>
    <x:row r="106">
      <x:c r="A106" s="83" t="str">
        <x:v>SZ-102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Centro Sud</x:v>
      </x:c>
      <x:c r="F106" s="83" t="str">
        <x:v>Totale</x:v>
      </x:c>
      <x:c r="G106" s="197" t="n">
        <x:v>6.6</x:v>
      </x:c>
      <x:c r="H106" s="203" t="b">
        <x:v>1</x:v>
      </x:c>
      <x:c r="I106" s="197"/>
      <x:c r="J106" s="197"/>
      <x:c r="K106" s="197" t="str">
        <x:f>IF(AND(G106&lt;&gt;"",J106&lt;&gt;""),G106/J106,"")</x:f>
      </x:c>
      <x:c r="L106" s="197" t="str">
        <x:f>IF(AND(G106&lt;&gt;"",I106&lt;&gt;""),G106/I106,"")</x:f>
      </x:c>
      <x:c r="M106" s="83" t="str">
        <x:v>S09</x:v>
      </x:c>
      <x:c r="N106" s="83" t="str">
        <x:v>Documento di Descrizione degli Scenari 2024</x:v>
      </x:c>
      <x:c r="O106" s="83" t="n">
        <x:v>63</x:v>
      </x:c>
      <x:c r="P106" s="83" t="str">
        <x:v>60-61</x:v>
      </x:c>
      <x:c r="Q106" s="83" t="str">
        <x:v>Tabella 16</x:v>
      </x:c>
      <x:c r="R106" s="83" t="str">
        <x:v>Assunzione di scenario</x:v>
      </x:c>
      <x:c r="S106" s="83" t="str">
        <x:v>Direct table extraction</x:v>
      </x:c>
      <x:c r="T106" s="83" t="str">
        <x:v>A — Direct</x:v>
      </x:c>
      <x:c r="U106" s="83" t="str">
        <x:v>Energy capacity by zone and class; derive power only where duration is specified.</x:v>
      </x:c>
      <x:c r="V106" s="83" t="str">
        <x:v>Small-scale source classes are 2 or 4 hours; utility-scale is 8 hours. CM duration is not stated.</x:v>
      </x:c>
    </x:row>
    <x:row r="107">
      <x:c r="A107" s="83" t="str">
        <x:v>SZ-103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Centro Sud</x:v>
      </x:c>
      <x:c r="F107" s="83" t="str">
        <x:v>Totale</x:v>
      </x:c>
      <x:c r="G107" s="197" t="n">
        <x:v>16.8</x:v>
      </x:c>
      <x:c r="H107" s="203" t="b">
        <x:v>1</x:v>
      </x:c>
      <x:c r="I107" s="197"/>
      <x:c r="J107" s="197"/>
      <x:c r="K107" s="197" t="str">
        <x:f>IF(AND(G107&lt;&gt;"",J107&lt;&gt;""),G107/J107,"")</x:f>
      </x:c>
      <x:c r="L107" s="197" t="str">
        <x:f>IF(AND(G107&lt;&gt;"",I107&lt;&gt;""),G107/I107,"")</x:f>
      </x:c>
      <x:c r="M107" s="83" t="str">
        <x:v>S09</x:v>
      </x:c>
      <x:c r="N107" s="83" t="str">
        <x:v>Documento di Descrizione degli Scenari 2024</x:v>
      </x:c>
      <x:c r="O107" s="83" t="n">
        <x:v>63</x:v>
      </x:c>
      <x:c r="P107" s="83" t="str">
        <x:v>60-61</x:v>
      </x:c>
      <x:c r="Q107" s="83" t="str">
        <x:v>Tabella 16</x:v>
      </x:c>
      <x:c r="R107" s="83" t="str">
        <x:v>Assunzione di scenario</x:v>
      </x:c>
      <x:c r="S107" s="83" t="str">
        <x:v>Direct table extraction</x:v>
      </x:c>
      <x:c r="T107" s="83" t="str">
        <x:v>A — Direct</x:v>
      </x:c>
      <x:c r="U107" s="83" t="str">
        <x:v>Energy capacity by zone and class; derive power only where duration is specified.</x:v>
      </x:c>
      <x:c r="V107" s="83" t="str">
        <x:v>Small-scale source classes are 2 or 4 hours; utility-scale is 8 hours. CM duration is not stated.</x:v>
      </x:c>
    </x:row>
    <x:row r="108">
      <x:c r="A108" s="83" t="str">
        <x:v>SZ-104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Centro Sud</x:v>
      </x:c>
      <x:c r="F108" s="83" t="str">
        <x:v>Totale</x:v>
      </x:c>
      <x:c r="G108" s="197" t="n">
        <x:v>12.8</x:v>
      </x:c>
      <x:c r="H108" s="203" t="b">
        <x:v>1</x:v>
      </x:c>
      <x:c r="I108" s="197"/>
      <x:c r="J108" s="197"/>
      <x:c r="K108" s="197" t="str">
        <x:f>IF(AND(G108&lt;&gt;"",J108&lt;&gt;""),G108/J108,"")</x:f>
      </x:c>
      <x:c r="L108" s="197" t="str">
        <x:f>IF(AND(G108&lt;&gt;"",I108&lt;&gt;""),G108/I108,"")</x:f>
      </x:c>
      <x:c r="M108" s="83" t="str">
        <x:v>S09</x:v>
      </x:c>
      <x:c r="N108" s="83" t="str">
        <x:v>Documento di Descrizione degli Scenari 2024</x:v>
      </x:c>
      <x:c r="O108" s="83" t="n">
        <x:v>63</x:v>
      </x:c>
      <x:c r="P108" s="83" t="str">
        <x:v>60-61</x:v>
      </x:c>
      <x:c r="Q108" s="83" t="str">
        <x:v>Tabella 16</x:v>
      </x:c>
      <x:c r="R108" s="83" t="str">
        <x:v>Assunzione di scenario</x:v>
      </x:c>
      <x:c r="S108" s="83" t="str">
        <x:v>Direct table extraction</x:v>
      </x:c>
      <x:c r="T108" s="83" t="str">
        <x:v>A — Direct</x:v>
      </x:c>
      <x:c r="U108" s="83" t="str">
        <x:v>Energy capacity by zone and class; derive power only where duration is specified.</x:v>
      </x:c>
      <x:c r="V108" s="83" t="str">
        <x:v>Small-scale source classes are 2 or 4 hours; utility-scale is 8 hours. CM duration is not stated.</x:v>
      </x:c>
    </x:row>
    <x:row r="109">
      <x:c r="A109" s="83" t="str">
        <x:v>SZ-105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Centro Sud</x:v>
      </x:c>
      <x:c r="F109" s="83" t="str">
        <x:v>Totale</x:v>
      </x:c>
      <x:c r="G109" s="197" t="n">
        <x:v>11.4</x:v>
      </x:c>
      <x:c r="H109" s="203" t="b">
        <x:v>1</x:v>
      </x:c>
      <x:c r="I109" s="197"/>
      <x:c r="J109" s="197"/>
      <x:c r="K109" s="197" t="str">
        <x:f>IF(AND(G109&lt;&gt;"",J109&lt;&gt;""),G109/J109,"")</x:f>
      </x:c>
      <x:c r="L109" s="197" t="str">
        <x:f>IF(AND(G109&lt;&gt;"",I109&lt;&gt;""),G109/I109,"")</x:f>
      </x:c>
      <x:c r="M109" s="83" t="str">
        <x:v>S09</x:v>
      </x:c>
      <x:c r="N109" s="83" t="str">
        <x:v>Documento di Descrizione degli Scenari 2024</x:v>
      </x:c>
      <x:c r="O109" s="83" t="n">
        <x:v>63</x:v>
      </x:c>
      <x:c r="P109" s="83" t="str">
        <x:v>60-61</x:v>
      </x:c>
      <x:c r="Q109" s="83" t="str">
        <x:v>Tabella 16</x:v>
      </x:c>
      <x:c r="R109" s="83" t="str">
        <x:v>Assunzione di scenario</x:v>
      </x:c>
      <x:c r="S109" s="83" t="str">
        <x:v>Direct table extraction</x:v>
      </x:c>
      <x:c r="T109" s="83" t="str">
        <x:v>A — Direct</x:v>
      </x:c>
      <x:c r="U109" s="83" t="str">
        <x:v>Energy capacity by zone and class; derive power only where duration is specified.</x:v>
      </x:c>
      <x:c r="V109" s="83" t="str">
        <x:v>Small-scale source classes are 2 or 4 hours; utility-scale is 8 hours. CM duration is not stated.</x:v>
      </x:c>
    </x:row>
    <x:row r="110">
      <x:c r="A110" s="83" t="str">
        <x:v>SZ-106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Centro Sud</x:v>
      </x:c>
      <x:c r="F110" s="83" t="str">
        <x:v>Totale</x:v>
      </x:c>
      <x:c r="G110" s="197" t="n">
        <x:v>26.2</x:v>
      </x:c>
      <x:c r="H110" s="203" t="b">
        <x:v>1</x:v>
      </x:c>
      <x:c r="I110" s="197"/>
      <x:c r="J110" s="197"/>
      <x:c r="K110" s="197" t="str">
        <x:f>IF(AND(G110&lt;&gt;"",J110&lt;&gt;""),G110/J110,"")</x:f>
      </x:c>
      <x:c r="L110" s="197" t="str">
        <x:f>IF(AND(G110&lt;&gt;"",I110&lt;&gt;""),G110/I110,"")</x:f>
      </x:c>
      <x:c r="M110" s="83" t="str">
        <x:v>S09</x:v>
      </x:c>
      <x:c r="N110" s="83" t="str">
        <x:v>Documento di Descrizione degli Scenari 2024</x:v>
      </x:c>
      <x:c r="O110" s="83" t="n">
        <x:v>63</x:v>
      </x:c>
      <x:c r="P110" s="83" t="str">
        <x:v>60-61</x:v>
      </x:c>
      <x:c r="Q110" s="83" t="str">
        <x:v>Tabella 16</x:v>
      </x:c>
      <x:c r="R110" s="83" t="str">
        <x:v>Assunzione di scenario</x:v>
      </x:c>
      <x:c r="S110" s="83" t="str">
        <x:v>Direct table extraction</x:v>
      </x:c>
      <x:c r="T110" s="83" t="str">
        <x:v>A — Direct</x:v>
      </x:c>
      <x:c r="U110" s="83" t="str">
        <x:v>Energy capacity by zone and class; derive power only where duration is specified.</x:v>
      </x:c>
      <x:c r="V110" s="83" t="str">
        <x:v>Small-scale source classes are 2 or 4 hours; utility-scale is 8 hours. CM duration is not stated.</x:v>
      </x:c>
    </x:row>
    <x:row r="111">
      <x:c r="A111" s="83" t="str">
        <x:v>SZ-107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Centro Sud</x:v>
      </x:c>
      <x:c r="F111" s="83" t="str">
        <x:v>Totale</x:v>
      </x:c>
      <x:c r="G111" s="197" t="n">
        <x:v>23.1</x:v>
      </x:c>
      <x:c r="H111" s="203" t="b">
        <x:v>1</x:v>
      </x:c>
      <x:c r="I111" s="197"/>
      <x:c r="J111" s="197"/>
      <x:c r="K111" s="197" t="str">
        <x:f>IF(AND(G111&lt;&gt;"",J111&lt;&gt;""),G111/J111,"")</x:f>
      </x:c>
      <x:c r="L111" s="197" t="str">
        <x:f>IF(AND(G111&lt;&gt;"",I111&lt;&gt;""),G111/I111,"")</x:f>
      </x:c>
      <x:c r="M111" s="83" t="str">
        <x:v>S09</x:v>
      </x:c>
      <x:c r="N111" s="83" t="str">
        <x:v>Documento di Descrizione degli Scenari 2024</x:v>
      </x:c>
      <x:c r="O111" s="83" t="n">
        <x:v>63</x:v>
      </x:c>
      <x:c r="P111" s="83" t="str">
        <x:v>60-61</x:v>
      </x:c>
      <x:c r="Q111" s="83" t="str">
        <x:v>Tabella 16</x:v>
      </x:c>
      <x:c r="R111" s="83" t="str">
        <x:v>Assunzione di scenario</x:v>
      </x:c>
      <x:c r="S111" s="83" t="str">
        <x:v>Direct table extraction</x:v>
      </x:c>
      <x:c r="T111" s="83" t="str">
        <x:v>A — Direct</x:v>
      </x:c>
      <x:c r="U111" s="83" t="str">
        <x:v>Energy capacity by zone and class; derive power only where duration is specified.</x:v>
      </x:c>
      <x:c r="V111" s="83" t="str">
        <x:v>Small-scale source classes are 2 or 4 hours; utility-scale is 8 hours. CM duration is not stated.</x:v>
      </x:c>
    </x:row>
    <x:row r="112">
      <x:c r="A112" s="83" t="str">
        <x:v>SZ-108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Centro Sud</x:v>
      </x:c>
      <x:c r="F112" s="83" t="str">
        <x:v>Totale</x:v>
      </x:c>
      <x:c r="G112" s="197" t="n">
        <x:v>16.9</x:v>
      </x:c>
      <x:c r="H112" s="203" t="b">
        <x:v>1</x:v>
      </x:c>
      <x:c r="I112" s="197"/>
      <x:c r="J112" s="197"/>
      <x:c r="K112" s="197" t="str">
        <x:f>IF(AND(G112&lt;&gt;"",J112&lt;&gt;""),G112/J112,"")</x:f>
      </x:c>
      <x:c r="L112" s="197" t="str">
        <x:f>IF(AND(G112&lt;&gt;"",I112&lt;&gt;""),G112/I112,"")</x:f>
      </x:c>
      <x:c r="M112" s="83" t="str">
        <x:v>S09</x:v>
      </x:c>
      <x:c r="N112" s="83" t="str">
        <x:v>Documento di Descrizione degli Scenari 2024</x:v>
      </x:c>
      <x:c r="O112" s="83" t="n">
        <x:v>63</x:v>
      </x:c>
      <x:c r="P112" s="83" t="str">
        <x:v>60-61</x:v>
      </x:c>
      <x:c r="Q112" s="83" t="str">
        <x:v>Tabella 16</x:v>
      </x:c>
      <x:c r="R112" s="83" t="str">
        <x:v>Assunzione di scenario</x:v>
      </x:c>
      <x:c r="S112" s="83" t="str">
        <x:v>Direct table extraction</x:v>
      </x:c>
      <x:c r="T112" s="83" t="str">
        <x:v>A — Direct</x:v>
      </x:c>
      <x:c r="U112" s="83" t="str">
        <x:v>Energy capacity by zone and class; derive power only where duration is specified.</x:v>
      </x:c>
      <x:c r="V112" s="83" t="str">
        <x:v>Small-scale source classes are 2 or 4 hours; utility-scale is 8 hours. CM duration is not stated.</x:v>
      </x:c>
    </x:row>
    <x:row r="113">
      <x:c r="A113" s="83" t="str">
        <x:v>SZ-109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Sud</x:v>
      </x:c>
      <x:c r="F113" s="83" t="str">
        <x:v>Small Scale</x:v>
      </x:c>
      <x:c r="G113" s="197" t="n">
        <x:v>0.4</x:v>
      </x:c>
      <x:c r="H113" s="203" t="b">
        <x:v>1</x:v>
      </x:c>
      <x:c r="I113" s="197" t="n">
        <x:v>2</x:v>
      </x:c>
      <x:c r="J113" s="197" t="n">
        <x:v>4</x:v>
      </x:c>
      <x:c r="K113" s="197" t="n">
        <x:f>IF(AND(G113&lt;&gt;"",J113&lt;&gt;""),G113/J113,"")</x:f>
        <x:v>0.1</x:v>
      </x:c>
      <x:c r="L113" s="197" t="n">
        <x:f>IF(AND(G113&lt;&gt;"",I113&lt;&gt;""),G113/I113,"")</x:f>
        <x:v>0.2</x:v>
      </x:c>
      <x:c r="M113" s="83" t="str">
        <x:v>S09</x:v>
      </x:c>
      <x:c r="N113" s="83" t="str">
        <x:v>Documento di Descrizione degli Scenari 2024</x:v>
      </x:c>
      <x:c r="O113" s="83" t="n">
        <x:v>63</x:v>
      </x:c>
      <x:c r="P113" s="83" t="str">
        <x:v>60-61</x:v>
      </x:c>
      <x:c r="Q113" s="83" t="str">
        <x:v>Tabella 16</x:v>
      </x:c>
      <x:c r="R113" s="83" t="str">
        <x:v>Dato osservato storico nel DDS</x:v>
      </x:c>
      <x:c r="S113" s="83" t="str">
        <x:v>Direct table extraction</x:v>
      </x:c>
      <x:c r="T113" s="83" t="str">
        <x:v>A — Direct</x:v>
      </x:c>
      <x:c r="U113" s="83" t="str">
        <x:v>Energy capacity by zone and class; derive power only where duration is specified.</x:v>
      </x:c>
      <x:c r="V113" s="83" t="str">
        <x:v>Small-scale source classes are 2 or 4 hours; utility-scale is 8 hours. CM duration is not stated.</x:v>
      </x:c>
    </x:row>
    <x:row r="114">
      <x:c r="A114" s="83" t="str">
        <x:v>SZ-110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Sud</x:v>
      </x:c>
      <x:c r="F114" s="83" t="str">
        <x:v>Small Scale</x:v>
      </x:c>
      <x:c r="G114" s="197" t="n">
        <x:v>0.7</x:v>
      </x:c>
      <x:c r="H114" s="203" t="b">
        <x:v>1</x:v>
      </x:c>
      <x:c r="I114" s="197" t="n">
        <x:v>2</x:v>
      </x:c>
      <x:c r="J114" s="197" t="n">
        <x:v>4</x:v>
      </x:c>
      <x:c r="K114" s="197" t="n">
        <x:f>IF(AND(G114&lt;&gt;"",J114&lt;&gt;""),G114/J114,"")</x:f>
        <x:v>0.175</x:v>
      </x:c>
      <x:c r="L114" s="197" t="n">
        <x:f>IF(AND(G114&lt;&gt;"",I114&lt;&gt;""),G114/I114,"")</x:f>
        <x:v>0.35</x:v>
      </x:c>
      <x:c r="M114" s="83" t="str">
        <x:v>S09</x:v>
      </x:c>
      <x:c r="N114" s="83" t="str">
        <x:v>Documento di Descrizione degli Scenari 2024</x:v>
      </x:c>
      <x:c r="O114" s="83" t="n">
        <x:v>63</x:v>
      </x:c>
      <x:c r="P114" s="83" t="str">
        <x:v>60-61</x:v>
      </x:c>
      <x:c r="Q114" s="83" t="str">
        <x:v>Tabella 16</x:v>
      </x:c>
      <x:c r="R114" s="83" t="str">
        <x:v>Assunzione di scenario</x:v>
      </x:c>
      <x:c r="S114" s="83" t="str">
        <x:v>Direct table extraction</x:v>
      </x:c>
      <x:c r="T114" s="83" t="str">
        <x:v>A — Direct</x:v>
      </x:c>
      <x:c r="U114" s="83" t="str">
        <x:v>Energy capacity by zone and class; derive power only where duration is specified.</x:v>
      </x:c>
      <x:c r="V114" s="83" t="str">
        <x:v>Small-scale source classes are 2 or 4 hours; utility-scale is 8 hours. CM duration is not stated.</x:v>
      </x:c>
    </x:row>
    <x:row r="115">
      <x:c r="A115" s="83" t="str">
        <x:v>SZ-111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Sud</x:v>
      </x:c>
      <x:c r="F115" s="83" t="str">
        <x:v>Small Scale</x:v>
      </x:c>
      <x:c r="G115" s="197" t="n">
        <x:v>0.7</x:v>
      </x:c>
      <x:c r="H115" s="203" t="b">
        <x:v>1</x:v>
      </x:c>
      <x:c r="I115" s="197" t="n">
        <x:v>2</x:v>
      </x:c>
      <x:c r="J115" s="197" t="n">
        <x:v>4</x:v>
      </x:c>
      <x:c r="K115" s="197" t="n">
        <x:f>IF(AND(G115&lt;&gt;"",J115&lt;&gt;""),G115/J115,"")</x:f>
        <x:v>0.175</x:v>
      </x:c>
      <x:c r="L115" s="197" t="n">
        <x:f>IF(AND(G115&lt;&gt;"",I115&lt;&gt;""),G115/I115,"")</x:f>
        <x:v>0.35</x:v>
      </x:c>
      <x:c r="M115" s="83" t="str">
        <x:v>S09</x:v>
      </x:c>
      <x:c r="N115" s="83" t="str">
        <x:v>Documento di Descrizione degli Scenari 2024</x:v>
      </x:c>
      <x:c r="O115" s="83" t="n">
        <x:v>63</x:v>
      </x:c>
      <x:c r="P115" s="83" t="str">
        <x:v>60-61</x:v>
      </x:c>
      <x:c r="Q115" s="83" t="str">
        <x:v>Tabella 16</x:v>
      </x:c>
      <x:c r="R115" s="83" t="str">
        <x:v>Assunzione di scenario</x:v>
      </x:c>
      <x:c r="S115" s="83" t="str">
        <x:v>Direct table extraction</x:v>
      </x:c>
      <x:c r="T115" s="83" t="str">
        <x:v>A — Direct</x:v>
      </x:c>
      <x:c r="U115" s="83" t="str">
        <x:v>Energy capacity by zone and class; derive power only where duration is specified.</x:v>
      </x:c>
      <x:c r="V115" s="83" t="str">
        <x:v>Small-scale source classes are 2 or 4 hours; utility-scale is 8 hours. CM duration is not stated.</x:v>
      </x:c>
    </x:row>
    <x:row r="116">
      <x:c r="A116" s="83" t="str">
        <x:v>SZ-112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Sud</x:v>
      </x:c>
      <x:c r="F116" s="83" t="str">
        <x:v>Small Scale</x:v>
      </x:c>
      <x:c r="G116" s="197" t="n">
        <x:v>0.7</x:v>
      </x:c>
      <x:c r="H116" s="203" t="b">
        <x:v>1</x:v>
      </x:c>
      <x:c r="I116" s="197" t="n">
        <x:v>2</x:v>
      </x:c>
      <x:c r="J116" s="197" t="n">
        <x:v>4</x:v>
      </x:c>
      <x:c r="K116" s="197" t="n">
        <x:f>IF(AND(G116&lt;&gt;"",J116&lt;&gt;""),G116/J116,"")</x:f>
        <x:v>0.175</x:v>
      </x:c>
      <x:c r="L116" s="197" t="n">
        <x:f>IF(AND(G116&lt;&gt;"",I116&lt;&gt;""),G116/I116,"")</x:f>
        <x:v>0.35</x:v>
      </x:c>
      <x:c r="M116" s="83" t="str">
        <x:v>S09</x:v>
      </x:c>
      <x:c r="N116" s="83" t="str">
        <x:v>Documento di Descrizione degli Scenari 2024</x:v>
      </x:c>
      <x:c r="O116" s="83" t="n">
        <x:v>63</x:v>
      </x:c>
      <x:c r="P116" s="83" t="str">
        <x:v>60-61</x:v>
      </x:c>
      <x:c r="Q116" s="83" t="str">
        <x:v>Tabella 16</x:v>
      </x:c>
      <x:c r="R116" s="83" t="str">
        <x:v>Assunzione di scenario</x:v>
      </x:c>
      <x:c r="S116" s="83" t="str">
        <x:v>Direct table extraction</x:v>
      </x:c>
      <x:c r="T116" s="83" t="str">
        <x:v>A — Direct</x:v>
      </x:c>
      <x:c r="U116" s="83" t="str">
        <x:v>Energy capacity by zone and class; derive power only where duration is specified.</x:v>
      </x:c>
      <x:c r="V116" s="83" t="str">
        <x:v>Small-scale source classes are 2 or 4 hours; utility-scale is 8 hours. CM duration is not stated.</x:v>
      </x:c>
    </x:row>
    <x:row r="117">
      <x:c r="A117" s="83" t="str">
        <x:v>SZ-113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Sud</x:v>
      </x:c>
      <x:c r="F117" s="83" t="str">
        <x:v>Small Scale</x:v>
      </x:c>
      <x:c r="G117" s="197" t="n">
        <x:v>0.8</x:v>
      </x:c>
      <x:c r="H117" s="203" t="b">
        <x:v>1</x:v>
      </x:c>
      <x:c r="I117" s="197" t="n">
        <x:v>2</x:v>
      </x:c>
      <x:c r="J117" s="197" t="n">
        <x:v>4</x:v>
      </x:c>
      <x:c r="K117" s="197" t="n">
        <x:f>IF(AND(G117&lt;&gt;"",J117&lt;&gt;""),G117/J117,"")</x:f>
        <x:v>0.2</x:v>
      </x:c>
      <x:c r="L117" s="197" t="n">
        <x:f>IF(AND(G117&lt;&gt;"",I117&lt;&gt;""),G117/I117,"")</x:f>
        <x:v>0.4</x:v>
      </x:c>
      <x:c r="M117" s="83" t="str">
        <x:v>S09</x:v>
      </x:c>
      <x:c r="N117" s="83" t="str">
        <x:v>Documento di Descrizione degli Scenari 2024</x:v>
      </x:c>
      <x:c r="O117" s="83" t="n">
        <x:v>63</x:v>
      </x:c>
      <x:c r="P117" s="83" t="str">
        <x:v>60-61</x:v>
      </x:c>
      <x:c r="Q117" s="83" t="str">
        <x:v>Tabella 16</x:v>
      </x:c>
      <x:c r="R117" s="83" t="str">
        <x:v>Assunzione di scenario</x:v>
      </x:c>
      <x:c r="S117" s="83" t="str">
        <x:v>Direct table extraction</x:v>
      </x:c>
      <x:c r="T117" s="83" t="str">
        <x:v>A — Direct</x:v>
      </x:c>
      <x:c r="U117" s="83" t="str">
        <x:v>Energy capacity by zone and class; derive power only where duration is specified.</x:v>
      </x:c>
      <x:c r="V117" s="83" t="str">
        <x:v>Small-scale source classes are 2 or 4 hours; utility-scale is 8 hours. CM duration is not stated.</x:v>
      </x:c>
    </x:row>
    <x:row r="118">
      <x:c r="A118" s="83" t="str">
        <x:v>SZ-114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Sud</x:v>
      </x:c>
      <x:c r="F118" s="83" t="str">
        <x:v>Small Scale</x:v>
      </x:c>
      <x:c r="G118" s="197" t="n">
        <x:v>0.7</x:v>
      </x:c>
      <x:c r="H118" s="203" t="b">
        <x:v>1</x:v>
      </x:c>
      <x:c r="I118" s="197" t="n">
        <x:v>2</x:v>
      </x:c>
      <x:c r="J118" s="197" t="n">
        <x:v>4</x:v>
      </x:c>
      <x:c r="K118" s="197" t="n">
        <x:f>IF(AND(G118&lt;&gt;"",J118&lt;&gt;""),G118/J118,"")</x:f>
        <x:v>0.175</x:v>
      </x:c>
      <x:c r="L118" s="197" t="n">
        <x:f>IF(AND(G118&lt;&gt;"",I118&lt;&gt;""),G118/I118,"")</x:f>
        <x:v>0.35</x:v>
      </x:c>
      <x:c r="M118" s="83" t="str">
        <x:v>S09</x:v>
      </x:c>
      <x:c r="N118" s="83" t="str">
        <x:v>Documento di Descrizione degli Scenari 2024</x:v>
      </x:c>
      <x:c r="O118" s="83" t="n">
        <x:v>63</x:v>
      </x:c>
      <x:c r="P118" s="83" t="str">
        <x:v>60-61</x:v>
      </x:c>
      <x:c r="Q118" s="83" t="str">
        <x:v>Tabella 16</x:v>
      </x:c>
      <x:c r="R118" s="83" t="str">
        <x:v>Assunzione di scenario</x:v>
      </x:c>
      <x:c r="S118" s="83" t="str">
        <x:v>Direct table extraction</x:v>
      </x:c>
      <x:c r="T118" s="83" t="str">
        <x:v>A — Direct</x:v>
      </x:c>
      <x:c r="U118" s="83" t="str">
        <x:v>Energy capacity by zone and class; derive power only where duration is specified.</x:v>
      </x:c>
      <x:c r="V118" s="83" t="str">
        <x:v>Small-scale source classes are 2 or 4 hours; utility-scale is 8 hours. CM duration is not stated.</x:v>
      </x:c>
    </x:row>
    <x:row r="119">
      <x:c r="A119" s="83" t="str">
        <x:v>SZ-115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Sud</x:v>
      </x:c>
      <x:c r="F119" s="83" t="str">
        <x:v>Small Scale</x:v>
      </x:c>
      <x:c r="G119" s="197" t="n">
        <x:v>0.9</x:v>
      </x:c>
      <x:c r="H119" s="203" t="b">
        <x:v>1</x:v>
      </x:c>
      <x:c r="I119" s="197" t="n">
        <x:v>2</x:v>
      </x:c>
      <x:c r="J119" s="197" t="n">
        <x:v>4</x:v>
      </x:c>
      <x:c r="K119" s="197" t="n">
        <x:f>IF(AND(G119&lt;&gt;"",J119&lt;&gt;""),G119/J119,"")</x:f>
        <x:v>0.225</x:v>
      </x:c>
      <x:c r="L119" s="197" t="n">
        <x:f>IF(AND(G119&lt;&gt;"",I119&lt;&gt;""),G119/I119,"")</x:f>
        <x:v>0.45</x:v>
      </x:c>
      <x:c r="M119" s="83" t="str">
        <x:v>S09</x:v>
      </x:c>
      <x:c r="N119" s="83" t="str">
        <x:v>Documento di Descrizione degli Scenari 2024</x:v>
      </x:c>
      <x:c r="O119" s="83" t="n">
        <x:v>63</x:v>
      </x:c>
      <x:c r="P119" s="83" t="str">
        <x:v>60-61</x:v>
      </x:c>
      <x:c r="Q119" s="83" t="str">
        <x:v>Tabella 16</x:v>
      </x:c>
      <x:c r="R119" s="83" t="str">
        <x:v>Assunzione di scenario</x:v>
      </x:c>
      <x:c r="S119" s="83" t="str">
        <x:v>Direct table extraction</x:v>
      </x:c>
      <x:c r="T119" s="83" t="str">
        <x:v>A — Direct</x:v>
      </x:c>
      <x:c r="U119" s="83" t="str">
        <x:v>Energy capacity by zone and class; derive power only where duration is specified.</x:v>
      </x:c>
      <x:c r="V119" s="83" t="str">
        <x:v>Small-scale source classes are 2 or 4 hours; utility-scale is 8 hours. CM duration is not stated.</x:v>
      </x:c>
    </x:row>
    <x:row r="120">
      <x:c r="A120" s="83" t="str">
        <x:v>SZ-116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Sud</x:v>
      </x:c>
      <x:c r="F120" s="83" t="str">
        <x:v>Small Scale</x:v>
      </x:c>
      <x:c r="G120" s="197" t="n">
        <x:v>0.9</x:v>
      </x:c>
      <x:c r="H120" s="203" t="b">
        <x:v>1</x:v>
      </x:c>
      <x:c r="I120" s="197" t="n">
        <x:v>2</x:v>
      </x:c>
      <x:c r="J120" s="197" t="n">
        <x:v>4</x:v>
      </x:c>
      <x:c r="K120" s="197" t="n">
        <x:f>IF(AND(G120&lt;&gt;"",J120&lt;&gt;""),G120/J120,"")</x:f>
        <x:v>0.225</x:v>
      </x:c>
      <x:c r="L120" s="197" t="n">
        <x:f>IF(AND(G120&lt;&gt;"",I120&lt;&gt;""),G120/I120,"")</x:f>
        <x:v>0.45</x:v>
      </x:c>
      <x:c r="M120" s="83" t="str">
        <x:v>S09</x:v>
      </x:c>
      <x:c r="N120" s="83" t="str">
        <x:v>Documento di Descrizione degli Scenari 2024</x:v>
      </x:c>
      <x:c r="O120" s="83" t="n">
        <x:v>63</x:v>
      </x:c>
      <x:c r="P120" s="83" t="str">
        <x:v>60-61</x:v>
      </x:c>
      <x:c r="Q120" s="83" t="str">
        <x:v>Tabella 16</x:v>
      </x:c>
      <x:c r="R120" s="83" t="str">
        <x:v>Assunzione di scenario</x:v>
      </x:c>
      <x:c r="S120" s="83" t="str">
        <x:v>Direct table extraction</x:v>
      </x:c>
      <x:c r="T120" s="83" t="str">
        <x:v>A — Direct</x:v>
      </x:c>
      <x:c r="U120" s="83" t="str">
        <x:v>Energy capacity by zone and class; derive power only where duration is specified.</x:v>
      </x:c>
      <x:c r="V120" s="83" t="str">
        <x:v>Small-scale source classes are 2 or 4 hours; utility-scale is 8 hours. CM duration is not stated.</x:v>
      </x:c>
    </x:row>
    <x:row r="121">
      <x:c r="A121" s="83" t="str">
        <x:v>SZ-117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Sud</x:v>
      </x:c>
      <x:c r="F121" s="83" t="str">
        <x:v>Small Scale</x:v>
      </x:c>
      <x:c r="G121" s="197" t="n">
        <x:v>0.8</x:v>
      </x:c>
      <x:c r="H121" s="203" t="b">
        <x:v>1</x:v>
      </x:c>
      <x:c r="I121" s="197" t="n">
        <x:v>2</x:v>
      </x:c>
      <x:c r="J121" s="197" t="n">
        <x:v>4</x:v>
      </x:c>
      <x:c r="K121" s="197" t="n">
        <x:f>IF(AND(G121&lt;&gt;"",J121&lt;&gt;""),G121/J121,"")</x:f>
        <x:v>0.2</x:v>
      </x:c>
      <x:c r="L121" s="197" t="n">
        <x:f>IF(AND(G121&lt;&gt;"",I121&lt;&gt;""),G121/I121,"")</x:f>
        <x:v>0.4</x:v>
      </x:c>
      <x:c r="M121" s="83" t="str">
        <x:v>S09</x:v>
      </x:c>
      <x:c r="N121" s="83" t="str">
        <x:v>Documento di Descrizione degli Scenari 2024</x:v>
      </x:c>
      <x:c r="O121" s="83" t="n">
        <x:v>63</x:v>
      </x:c>
      <x:c r="P121" s="83" t="str">
        <x:v>60-61</x:v>
      </x:c>
      <x:c r="Q121" s="83" t="str">
        <x:v>Tabella 16</x:v>
      </x:c>
      <x:c r="R121" s="83" t="str">
        <x:v>Assunzione di scenario</x:v>
      </x:c>
      <x:c r="S121" s="83" t="str">
        <x:v>Direct table extraction</x:v>
      </x:c>
      <x:c r="T121" s="83" t="str">
        <x:v>A — Direct</x:v>
      </x:c>
      <x:c r="U121" s="83" t="str">
        <x:v>Energy capacity by zone and class; derive power only where duration is specified.</x:v>
      </x:c>
      <x:c r="V121" s="83" t="str">
        <x:v>Small-scale source classes are 2 or 4 hours; utility-scale is 8 hours. CM duration is not stated.</x:v>
      </x:c>
    </x:row>
    <x:row r="122">
      <x:c r="A122" s="83" t="str">
        <x:v>SZ-118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Sud</x:v>
      </x:c>
      <x:c r="F122" s="83" t="str">
        <x:v>Utility Scale</x:v>
      </x:c>
      <x:c r="G122" s="197" t="n">
        <x:v>0</x:v>
      </x:c>
      <x:c r="H122" s="203" t="b">
        <x:v>1</x:v>
      </x:c>
      <x:c r="I122" s="197" t="n">
        <x:v>8</x:v>
      </x:c>
      <x:c r="J122" s="197" t="n">
        <x:v>8</x:v>
      </x:c>
      <x:c r="K122" s="197" t="str">
        <x:f>IF(AND(G122&lt;&gt;"",J122&lt;&gt;""),G122/J122,"")</x:f>
      </x:c>
      <x:c r="L122" s="197" t="str">
        <x:f>IF(AND(G122&lt;&gt;"",I122&lt;&gt;""),G122/I122,"")</x:f>
      </x:c>
      <x:c r="M122" s="83" t="str">
        <x:v>S09</x:v>
      </x:c>
      <x:c r="N122" s="83" t="str">
        <x:v>Documento di Descrizione degli Scenari 2024</x:v>
      </x:c>
      <x:c r="O122" s="83" t="n">
        <x:v>63</x:v>
      </x:c>
      <x:c r="P122" s="83" t="str">
        <x:v>60-61</x:v>
      </x:c>
      <x:c r="Q122" s="83" t="str">
        <x:v>Tabella 16</x:v>
      </x:c>
      <x:c r="R122" s="83" t="str">
        <x:v>Dato osservato storico nel DDS</x:v>
      </x:c>
      <x:c r="S122" s="83" t="str">
        <x:v>Direct table extraction</x:v>
      </x:c>
      <x:c r="T122" s="83" t="str">
        <x:v>A — Direct</x:v>
      </x:c>
      <x:c r="U122" s="83" t="str">
        <x:v>Energy capacity by zone and class; derive power only where duration is specified.</x:v>
      </x:c>
      <x:c r="V122" s="83" t="str">
        <x:v>Small-scale source classes are 2 or 4 hours; utility-scale is 8 hours. CM duration is not stated.</x:v>
      </x:c>
    </x:row>
    <x:row r="123">
      <x:c r="A123" s="83" t="str">
        <x:v>SZ-119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Sud</x:v>
      </x:c>
      <x:c r="F123" s="83" t="str">
        <x:v>Utility Scale</x:v>
      </x:c>
      <x:c r="G123" s="197" t="n">
        <x:v>16.8</x:v>
      </x:c>
      <x:c r="H123" s="203" t="b">
        <x:v>1</x:v>
      </x:c>
      <x:c r="I123" s="197" t="n">
        <x:v>8</x:v>
      </x:c>
      <x:c r="J123" s="197" t="n">
        <x:v>8</x:v>
      </x:c>
      <x:c r="K123" s="197" t="n">
        <x:f>IF(AND(G123&lt;&gt;"",J123&lt;&gt;""),G123/J123,"")</x:f>
        <x:v>2.1</x:v>
      </x:c>
      <x:c r="L123" s="197" t="n">
        <x:f>IF(AND(G123&lt;&gt;"",I123&lt;&gt;""),G123/I123,"")</x:f>
        <x:v>2.1</x:v>
      </x:c>
      <x:c r="M123" s="83" t="str">
        <x:v>S09</x:v>
      </x:c>
      <x:c r="N123" s="83" t="str">
        <x:v>Documento di Descrizione degli Scenari 2024</x:v>
      </x:c>
      <x:c r="O123" s="83" t="n">
        <x:v>63</x:v>
      </x:c>
      <x:c r="P123" s="83" t="str">
        <x:v>60-61</x:v>
      </x:c>
      <x:c r="Q123" s="83" t="str">
        <x:v>Tabella 16</x:v>
      </x:c>
      <x:c r="R123" s="83" t="str">
        <x:v>Assunzione di scenario</x:v>
      </x:c>
      <x:c r="S123" s="83" t="str">
        <x:v>Direct table extraction</x:v>
      </x:c>
      <x:c r="T123" s="83" t="str">
        <x:v>A — Direct</x:v>
      </x:c>
      <x:c r="U123" s="83" t="str">
        <x:v>Energy capacity by zone and class; derive power only where duration is specified.</x:v>
      </x:c>
      <x:c r="V123" s="83" t="str">
        <x:v>Small-scale source classes are 2 or 4 hours; utility-scale is 8 hours. CM duration is not stated.</x:v>
      </x:c>
    </x:row>
    <x:row r="124">
      <x:c r="A124" s="83" t="str">
        <x:v>SZ-120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Sud</x:v>
      </x:c>
      <x:c r="F124" s="83" t="str">
        <x:v>Utility Scale</x:v>
      </x:c>
      <x:c r="G124" s="197" t="n">
        <x:v>8.4</x:v>
      </x:c>
      <x:c r="H124" s="203" t="b">
        <x:v>1</x:v>
      </x:c>
      <x:c r="I124" s="197" t="n">
        <x:v>8</x:v>
      </x:c>
      <x:c r="J124" s="197" t="n">
        <x:v>8</x:v>
      </x:c>
      <x:c r="K124" s="197" t="n">
        <x:f>IF(AND(G124&lt;&gt;"",J124&lt;&gt;""),G124/J124,"")</x:f>
        <x:v>1.05</x:v>
      </x:c>
      <x:c r="L124" s="197" t="n">
        <x:f>IF(AND(G124&lt;&gt;"",I124&lt;&gt;""),G124/I124,"")</x:f>
        <x:v>1.05</x:v>
      </x:c>
      <x:c r="M124" s="83" t="str">
        <x:v>S09</x:v>
      </x:c>
      <x:c r="N124" s="83" t="str">
        <x:v>Documento di Descrizione degli Scenari 2024</x:v>
      </x:c>
      <x:c r="O124" s="83" t="n">
        <x:v>63</x:v>
      </x:c>
      <x:c r="P124" s="83" t="str">
        <x:v>60-61</x:v>
      </x:c>
      <x:c r="Q124" s="83" t="str">
        <x:v>Tabella 16</x:v>
      </x:c>
      <x:c r="R124" s="83" t="str">
        <x:v>Assunzione di scenario</x:v>
      </x:c>
      <x:c r="S124" s="83" t="str">
        <x:v>Direct table extraction</x:v>
      </x:c>
      <x:c r="T124" s="83" t="str">
        <x:v>A — Direct</x:v>
      </x:c>
      <x:c r="U124" s="83" t="str">
        <x:v>Energy capacity by zone and class; derive power only where duration is specified.</x:v>
      </x:c>
      <x:c r="V124" s="83" t="str">
        <x:v>Small-scale source classes are 2 or 4 hours; utility-scale is 8 hours. CM duration is not stated.</x:v>
      </x:c>
    </x:row>
    <x:row r="125">
      <x:c r="A125" s="83" t="str">
        <x:v>SZ-121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Sud</x:v>
      </x:c>
      <x:c r="F125" s="83" t="str">
        <x:v>Utility Scale</x:v>
      </x:c>
      <x:c r="G125" s="197" t="n">
        <x:v>35.3</x:v>
      </x:c>
      <x:c r="H125" s="203" t="b">
        <x:v>1</x:v>
      </x:c>
      <x:c r="I125" s="197" t="n">
        <x:v>8</x:v>
      </x:c>
      <x:c r="J125" s="197" t="n">
        <x:v>8</x:v>
      </x:c>
      <x:c r="K125" s="197" t="n">
        <x:f>IF(AND(G125&lt;&gt;"",J125&lt;&gt;""),G125/J125,"")</x:f>
        <x:v>4.4125</x:v>
      </x:c>
      <x:c r="L125" s="197" t="n">
        <x:f>IF(AND(G125&lt;&gt;"",I125&lt;&gt;""),G125/I125,"")</x:f>
        <x:v>4.4125</x:v>
      </x:c>
      <x:c r="M125" s="83" t="str">
        <x:v>S09</x:v>
      </x:c>
      <x:c r="N125" s="83" t="str">
        <x:v>Documento di Descrizione degli Scenari 2024</x:v>
      </x:c>
      <x:c r="O125" s="83" t="n">
        <x:v>63</x:v>
      </x:c>
      <x:c r="P125" s="83" t="str">
        <x:v>60-61</x:v>
      </x:c>
      <x:c r="Q125" s="83" t="str">
        <x:v>Tabella 16</x:v>
      </x:c>
      <x:c r="R125" s="83" t="str">
        <x:v>Assunzione di scenario</x:v>
      </x:c>
      <x:c r="S125" s="83" t="str">
        <x:v>Direct table extraction</x:v>
      </x:c>
      <x:c r="T125" s="83" t="str">
        <x:v>A — Direct</x:v>
      </x:c>
      <x:c r="U125" s="83" t="str">
        <x:v>Energy capacity by zone and class; derive power only where duration is specified.</x:v>
      </x:c>
      <x:c r="V125" s="83" t="str">
        <x:v>Small-scale source classes are 2 or 4 hours; utility-scale is 8 hours. CM duration is not stated.</x:v>
      </x:c>
    </x:row>
    <x:row r="126">
      <x:c r="A126" s="83" t="str">
        <x:v>SZ-122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Sud</x:v>
      </x:c>
      <x:c r="F126" s="83" t="str">
        <x:v>Utility Scale</x:v>
      </x:c>
      <x:c r="G126" s="197" t="n">
        <x:v>23.2</x:v>
      </x:c>
      <x:c r="H126" s="203" t="b">
        <x:v>1</x:v>
      </x:c>
      <x:c r="I126" s="197" t="n">
        <x:v>8</x:v>
      </x:c>
      <x:c r="J126" s="197" t="n">
        <x:v>8</x:v>
      </x:c>
      <x:c r="K126" s="197" t="n">
        <x:f>IF(AND(G126&lt;&gt;"",J126&lt;&gt;""),G126/J126,"")</x:f>
        <x:v>2.9</x:v>
      </x:c>
      <x:c r="L126" s="197" t="n">
        <x:f>IF(AND(G126&lt;&gt;"",I126&lt;&gt;""),G126/I126,"")</x:f>
        <x:v>2.9</x:v>
      </x:c>
      <x:c r="M126" s="83" t="str">
        <x:v>S09</x:v>
      </x:c>
      <x:c r="N126" s="83" t="str">
        <x:v>Documento di Descrizione degli Scenari 2024</x:v>
      </x:c>
      <x:c r="O126" s="83" t="n">
        <x:v>63</x:v>
      </x:c>
      <x:c r="P126" s="83" t="str">
        <x:v>60-61</x:v>
      </x:c>
      <x:c r="Q126" s="83" t="str">
        <x:v>Tabella 16</x:v>
      </x:c>
      <x:c r="R126" s="83" t="str">
        <x:v>Assunzione di scenario</x:v>
      </x:c>
      <x:c r="S126" s="83" t="str">
        <x:v>Direct table extraction</x:v>
      </x:c>
      <x:c r="T126" s="83" t="str">
        <x:v>A — Direct</x:v>
      </x:c>
      <x:c r="U126" s="83" t="str">
        <x:v>Energy capacity by zone and class; derive power only where duration is specified.</x:v>
      </x:c>
      <x:c r="V126" s="83" t="str">
        <x:v>Small-scale source classes are 2 or 4 hours; utility-scale is 8 hours. CM duration is not stated.</x:v>
      </x:c>
    </x:row>
    <x:row r="127">
      <x:c r="A127" s="83" t="str">
        <x:v>SZ-123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Sud</x:v>
      </x:c>
      <x:c r="F127" s="83" t="str">
        <x:v>Utility Scale</x:v>
      </x:c>
      <x:c r="G127" s="197" t="n">
        <x:v>17.8</x:v>
      </x:c>
      <x:c r="H127" s="203" t="b">
        <x:v>1</x:v>
      </x:c>
      <x:c r="I127" s="197" t="n">
        <x:v>8</x:v>
      </x:c>
      <x:c r="J127" s="197" t="n">
        <x:v>8</x:v>
      </x:c>
      <x:c r="K127" s="197" t="n">
        <x:f>IF(AND(G127&lt;&gt;"",J127&lt;&gt;""),G127/J127,"")</x:f>
        <x:v>2.225</x:v>
      </x:c>
      <x:c r="L127" s="197" t="n">
        <x:f>IF(AND(G127&lt;&gt;"",I127&lt;&gt;""),G127/I127,"")</x:f>
        <x:v>2.225</x:v>
      </x:c>
      <x:c r="M127" s="83" t="str">
        <x:v>S09</x:v>
      </x:c>
      <x:c r="N127" s="83" t="str">
        <x:v>Documento di Descrizione degli Scenari 2024</x:v>
      </x:c>
      <x:c r="O127" s="83" t="n">
        <x:v>63</x:v>
      </x:c>
      <x:c r="P127" s="83" t="str">
        <x:v>60-61</x:v>
      </x:c>
      <x:c r="Q127" s="83" t="str">
        <x:v>Tabella 16</x:v>
      </x:c>
      <x:c r="R127" s="83" t="str">
        <x:v>Assunzione di scenario</x:v>
      </x:c>
      <x:c r="S127" s="83" t="str">
        <x:v>Direct table extraction</x:v>
      </x:c>
      <x:c r="T127" s="83" t="str">
        <x:v>A — Direct</x:v>
      </x:c>
      <x:c r="U127" s="83" t="str">
        <x:v>Energy capacity by zone and class; derive power only where duration is specified.</x:v>
      </x:c>
      <x:c r="V127" s="83" t="str">
        <x:v>Small-scale source classes are 2 or 4 hours; utility-scale is 8 hours. CM duration is not stated.</x:v>
      </x:c>
    </x:row>
    <x:row r="128">
      <x:c r="A128" s="83" t="str">
        <x:v>SZ-124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Sud</x:v>
      </x:c>
      <x:c r="F128" s="83" t="str">
        <x:v>Utility Scale</x:v>
      </x:c>
      <x:c r="G128" s="197" t="n">
        <x:v>47.7</x:v>
      </x:c>
      <x:c r="H128" s="203" t="b">
        <x:v>1</x:v>
      </x:c>
      <x:c r="I128" s="197" t="n">
        <x:v>8</x:v>
      </x:c>
      <x:c r="J128" s="197" t="n">
        <x:v>8</x:v>
      </x:c>
      <x:c r="K128" s="197" t="n">
        <x:f>IF(AND(G128&lt;&gt;"",J128&lt;&gt;""),G128/J128,"")</x:f>
        <x:v>5.9625</x:v>
      </x:c>
      <x:c r="L128" s="197" t="n">
        <x:f>IF(AND(G128&lt;&gt;"",I128&lt;&gt;""),G128/I128,"")</x:f>
        <x:v>5.9625</x:v>
      </x:c>
      <x:c r="M128" s="83" t="str">
        <x:v>S09</x:v>
      </x:c>
      <x:c r="N128" s="83" t="str">
        <x:v>Documento di Descrizione degli Scenari 2024</x:v>
      </x:c>
      <x:c r="O128" s="83" t="n">
        <x:v>63</x:v>
      </x:c>
      <x:c r="P128" s="83" t="str">
        <x:v>60-61</x:v>
      </x:c>
      <x:c r="Q128" s="83" t="str">
        <x:v>Tabella 16</x:v>
      </x:c>
      <x:c r="R128" s="83" t="str">
        <x:v>Assunzione di scenario</x:v>
      </x:c>
      <x:c r="S128" s="83" t="str">
        <x:v>Direct table extraction</x:v>
      </x:c>
      <x:c r="T128" s="83" t="str">
        <x:v>A — Direct</x:v>
      </x:c>
      <x:c r="U128" s="83" t="str">
        <x:v>Energy capacity by zone and class; derive power only where duration is specified.</x:v>
      </x:c>
      <x:c r="V128" s="83" t="str">
        <x:v>Small-scale source classes are 2 or 4 hours; utility-scale is 8 hours. CM duration is not stated.</x:v>
      </x:c>
    </x:row>
    <x:row r="129">
      <x:c r="A129" s="83" t="str">
        <x:v>SZ-125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Sud</x:v>
      </x:c>
      <x:c r="F129" s="83" t="str">
        <x:v>Utility Scale</x:v>
      </x:c>
      <x:c r="G129" s="197" t="n">
        <x:v>36.8</x:v>
      </x:c>
      <x:c r="H129" s="203" t="b">
        <x:v>1</x:v>
      </x:c>
      <x:c r="I129" s="197" t="n">
        <x:v>8</x:v>
      </x:c>
      <x:c r="J129" s="197" t="n">
        <x:v>8</x:v>
      </x:c>
      <x:c r="K129" s="197" t="n">
        <x:f>IF(AND(G129&lt;&gt;"",J129&lt;&gt;""),G129/J129,"")</x:f>
        <x:v>4.6</x:v>
      </x:c>
      <x:c r="L129" s="197" t="n">
        <x:f>IF(AND(G129&lt;&gt;"",I129&lt;&gt;""),G129/I129,"")</x:f>
        <x:v>4.6</x:v>
      </x:c>
      <x:c r="M129" s="83" t="str">
        <x:v>S09</x:v>
      </x:c>
      <x:c r="N129" s="83" t="str">
        <x:v>Documento di Descrizione degli Scenari 2024</x:v>
      </x:c>
      <x:c r="O129" s="83" t="n">
        <x:v>63</x:v>
      </x:c>
      <x:c r="P129" s="83" t="str">
        <x:v>60-61</x:v>
      </x:c>
      <x:c r="Q129" s="83" t="str">
        <x:v>Tabella 16</x:v>
      </x:c>
      <x:c r="R129" s="83" t="str">
        <x:v>Assunzione di scenario</x:v>
      </x:c>
      <x:c r="S129" s="83" t="str">
        <x:v>Direct table extraction</x:v>
      </x:c>
      <x:c r="T129" s="83" t="str">
        <x:v>A — Direct</x:v>
      </x:c>
      <x:c r="U129" s="83" t="str">
        <x:v>Energy capacity by zone and class; derive power only where duration is specified.</x:v>
      </x:c>
      <x:c r="V129" s="83" t="str">
        <x:v>Small-scale source classes are 2 or 4 hours; utility-scale is 8 hours. CM duration is not stated.</x:v>
      </x:c>
    </x:row>
    <x:row r="130">
      <x:c r="A130" s="83" t="str">
        <x:v>SZ-126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Sud</x:v>
      </x:c>
      <x:c r="F130" s="83" t="str">
        <x:v>Utility Scale</x:v>
      </x:c>
      <x:c r="G130" s="197" t="n">
        <x:v>27.7</x:v>
      </x:c>
      <x:c r="H130" s="203" t="b">
        <x:v>1</x:v>
      </x:c>
      <x:c r="I130" s="197" t="n">
        <x:v>8</x:v>
      </x:c>
      <x:c r="J130" s="197" t="n">
        <x:v>8</x:v>
      </x:c>
      <x:c r="K130" s="197" t="n">
        <x:f>IF(AND(G130&lt;&gt;"",J130&lt;&gt;""),G130/J130,"")</x:f>
        <x:v>3.4625</x:v>
      </x:c>
      <x:c r="L130" s="197" t="n">
        <x:f>IF(AND(G130&lt;&gt;"",I130&lt;&gt;""),G130/I130,"")</x:f>
        <x:v>3.4625</x:v>
      </x:c>
      <x:c r="M130" s="83" t="str">
        <x:v>S09</x:v>
      </x:c>
      <x:c r="N130" s="83" t="str">
        <x:v>Documento di Descrizione degli Scenari 2024</x:v>
      </x:c>
      <x:c r="O130" s="83" t="n">
        <x:v>63</x:v>
      </x:c>
      <x:c r="P130" s="83" t="str">
        <x:v>60-61</x:v>
      </x:c>
      <x:c r="Q130" s="83" t="str">
        <x:v>Tabella 16</x:v>
      </x:c>
      <x:c r="R130" s="83" t="str">
        <x:v>Assunzione di scenario</x:v>
      </x:c>
      <x:c r="S130" s="83" t="str">
        <x:v>Direct table extraction</x:v>
      </x:c>
      <x:c r="T130" s="83" t="str">
        <x:v>A — Direct</x:v>
      </x:c>
      <x:c r="U130" s="83" t="str">
        <x:v>Energy capacity by zone and class; derive power only where duration is specified.</x:v>
      </x:c>
      <x:c r="V130" s="83" t="str">
        <x:v>Small-scale source classes are 2 or 4 hours; utility-scale is 8 hours. CM duration is not stated.</x:v>
      </x:c>
    </x:row>
    <x:row r="131">
      <x:c r="A131" s="83" t="str">
        <x:v>SZ-127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Sud</x:v>
      </x:c>
      <x:c r="F131" s="83" t="str">
        <x:v>CM</x:v>
      </x:c>
      <x:c r="G131" s="197" t="n">
        <x:v>0</x:v>
      </x:c>
      <x:c r="H131" s="203" t="b">
        <x:v>1</x:v>
      </x:c>
      <x:c r="I131" s="197"/>
      <x:c r="J131" s="197"/>
      <x:c r="K131" s="197" t="str">
        <x:f>IF(AND(G131&lt;&gt;"",J131&lt;&gt;""),G131/J131,"")</x:f>
      </x:c>
      <x:c r="L131" s="197" t="str">
        <x:f>IF(AND(G131&lt;&gt;"",I131&lt;&gt;""),G131/I131,"")</x:f>
      </x:c>
      <x:c r="M131" s="83" t="str">
        <x:v>S09</x:v>
      </x:c>
      <x:c r="N131" s="83" t="str">
        <x:v>Documento di Descrizione degli Scenari 2024</x:v>
      </x:c>
      <x:c r="O131" s="83" t="n">
        <x:v>63</x:v>
      </x:c>
      <x:c r="P131" s="83" t="str">
        <x:v>60-61</x:v>
      </x:c>
      <x:c r="Q131" s="83" t="str">
        <x:v>Tabella 16</x:v>
      </x:c>
      <x:c r="R131" s="83" t="str">
        <x:v>Dato osservato storico nel DDS</x:v>
      </x:c>
      <x:c r="S131" s="83" t="str">
        <x:v>Direct table extraction</x:v>
      </x:c>
      <x:c r="T131" s="83" t="str">
        <x:v>A — Direct</x:v>
      </x:c>
      <x:c r="U131" s="83" t="str">
        <x:v>Energy capacity by zone and class; derive power only where duration is specified.</x:v>
      </x:c>
      <x:c r="V131" s="83" t="str">
        <x:v>Small-scale source classes are 2 or 4 hours; utility-scale is 8 hours. CM duration is not stated.</x:v>
      </x:c>
    </x:row>
    <x:row r="132">
      <x:c r="A132" s="83" t="str">
        <x:v>SZ-128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Sud</x:v>
      </x:c>
      <x:c r="F132" s="83" t="str">
        <x:v>CM</x:v>
      </x:c>
      <x:c r="G132" s="197" t="n">
        <x:v>0.1</x:v>
      </x:c>
      <x:c r="H132" s="203" t="b">
        <x:v>1</x:v>
      </x:c>
      <x:c r="I132" s="197"/>
      <x:c r="J132" s="197"/>
      <x:c r="K132" s="197" t="str">
        <x:f>IF(AND(G132&lt;&gt;"",J132&lt;&gt;""),G132/J132,"")</x:f>
      </x:c>
      <x:c r="L132" s="197" t="str">
        <x:f>IF(AND(G132&lt;&gt;"",I132&lt;&gt;""),G132/I132,"")</x:f>
      </x:c>
      <x:c r="M132" s="83" t="str">
        <x:v>S09</x:v>
      </x:c>
      <x:c r="N132" s="83" t="str">
        <x:v>Documento di Descrizione degli Scenari 2024</x:v>
      </x:c>
      <x:c r="O132" s="83" t="n">
        <x:v>63</x:v>
      </x:c>
      <x:c r="P132" s="83" t="str">
        <x:v>60-61</x:v>
      </x:c>
      <x:c r="Q132" s="83" t="str">
        <x:v>Tabella 16</x:v>
      </x:c>
      <x:c r="R132" s="83" t="str">
        <x:v>Assunzione di scenario</x:v>
      </x:c>
      <x:c r="S132" s="83" t="str">
        <x:v>Direct table extraction</x:v>
      </x:c>
      <x:c r="T132" s="83" t="str">
        <x:v>A — Direct</x:v>
      </x:c>
      <x:c r="U132" s="83" t="str">
        <x:v>Energy capacity by zone and class; derive power only where duration is specified.</x:v>
      </x:c>
      <x:c r="V132" s="83" t="str">
        <x:v>Small-scale source classes are 2 or 4 hours; utility-scale is 8 hours. CM duration is not stated.</x:v>
      </x:c>
    </x:row>
    <x:row r="133">
      <x:c r="A133" s="83" t="str">
        <x:v>SZ-129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Sud</x:v>
      </x:c>
      <x:c r="F133" s="83" t="str">
        <x:v>CM</x:v>
      </x:c>
      <x:c r="G133" s="197" t="n">
        <x:v>0.1</x:v>
      </x:c>
      <x:c r="H133" s="203" t="b">
        <x:v>1</x:v>
      </x:c>
      <x:c r="I133" s="197"/>
      <x:c r="J133" s="197"/>
      <x:c r="K133" s="197" t="str">
        <x:f>IF(AND(G133&lt;&gt;"",J133&lt;&gt;""),G133/J133,"")</x:f>
      </x:c>
      <x:c r="L133" s="197" t="str">
        <x:f>IF(AND(G133&lt;&gt;"",I133&lt;&gt;""),G133/I133,"")</x:f>
      </x:c>
      <x:c r="M133" s="83" t="str">
        <x:v>S09</x:v>
      </x:c>
      <x:c r="N133" s="83" t="str">
        <x:v>Documento di Descrizione degli Scenari 2024</x:v>
      </x:c>
      <x:c r="O133" s="83" t="n">
        <x:v>63</x:v>
      </x:c>
      <x:c r="P133" s="83" t="str">
        <x:v>60-61</x:v>
      </x:c>
      <x:c r="Q133" s="83" t="str">
        <x:v>Tabella 16</x:v>
      </x:c>
      <x:c r="R133" s="83" t="str">
        <x:v>Assunzione di scenario</x:v>
      </x:c>
      <x:c r="S133" s="83" t="str">
        <x:v>Direct table extraction</x:v>
      </x:c>
      <x:c r="T133" s="83" t="str">
        <x:v>A — Direct</x:v>
      </x:c>
      <x:c r="U133" s="83" t="str">
        <x:v>Energy capacity by zone and class; derive power only where duration is specified.</x:v>
      </x:c>
      <x:c r="V133" s="83" t="str">
        <x:v>Small-scale source classes are 2 or 4 hours; utility-scale is 8 hours. CM duration is not stated.</x:v>
      </x:c>
    </x:row>
    <x:row r="134">
      <x:c r="A134" s="83" t="str">
        <x:v>SZ-130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Sud</x:v>
      </x:c>
      <x:c r="F134" s="83" t="str">
        <x:v>CM</x:v>
      </x:c>
      <x:c r="G134" s="197" t="n">
        <x:v>0.1</x:v>
      </x:c>
      <x:c r="H134" s="203" t="b">
        <x:v>1</x:v>
      </x:c>
      <x:c r="I134" s="197"/>
      <x:c r="J134" s="197"/>
      <x:c r="K134" s="197" t="str">
        <x:f>IF(AND(G134&lt;&gt;"",J134&lt;&gt;""),G134/J134,"")</x:f>
      </x:c>
      <x:c r="L134" s="197" t="str">
        <x:f>IF(AND(G134&lt;&gt;"",I134&lt;&gt;""),G134/I134,"")</x:f>
      </x:c>
      <x:c r="M134" s="83" t="str">
        <x:v>S09</x:v>
      </x:c>
      <x:c r="N134" s="83" t="str">
        <x:v>Documento di Descrizione degli Scenari 2024</x:v>
      </x:c>
      <x:c r="O134" s="83" t="n">
        <x:v>63</x:v>
      </x:c>
      <x:c r="P134" s="83" t="str">
        <x:v>60-61</x:v>
      </x:c>
      <x:c r="Q134" s="83" t="str">
        <x:v>Tabella 16</x:v>
      </x:c>
      <x:c r="R134" s="83" t="str">
        <x:v>Assunzione di scenario</x:v>
      </x:c>
      <x:c r="S134" s="83" t="str">
        <x:v>Direct table extraction</x:v>
      </x:c>
      <x:c r="T134" s="83" t="str">
        <x:v>A — Direct</x:v>
      </x:c>
      <x:c r="U134" s="83" t="str">
        <x:v>Energy capacity by zone and class; derive power only where duration is specified.</x:v>
      </x:c>
      <x:c r="V134" s="83" t="str">
        <x:v>Small-scale source classes are 2 or 4 hours; utility-scale is 8 hours. CM duration is not stated.</x:v>
      </x:c>
    </x:row>
    <x:row r="135">
      <x:c r="A135" s="83" t="str">
        <x:v>SZ-131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Sud</x:v>
      </x:c>
      <x:c r="F135" s="83" t="str">
        <x:v>CM</x:v>
      </x:c>
      <x:c r="G135" s="197" t="n">
        <x:v>0.1</x:v>
      </x:c>
      <x:c r="H135" s="203" t="b">
        <x:v>1</x:v>
      </x:c>
      <x:c r="I135" s="197"/>
      <x:c r="J135" s="197"/>
      <x:c r="K135" s="197" t="str">
        <x:f>IF(AND(G135&lt;&gt;"",J135&lt;&gt;""),G135/J135,"")</x:f>
      </x:c>
      <x:c r="L135" s="197" t="str">
        <x:f>IF(AND(G135&lt;&gt;"",I135&lt;&gt;""),G135/I135,"")</x:f>
      </x:c>
      <x:c r="M135" s="83" t="str">
        <x:v>S09</x:v>
      </x:c>
      <x:c r="N135" s="83" t="str">
        <x:v>Documento di Descrizione degli Scenari 2024</x:v>
      </x:c>
      <x:c r="O135" s="83" t="n">
        <x:v>63</x:v>
      </x:c>
      <x:c r="P135" s="83" t="str">
        <x:v>60-61</x:v>
      </x:c>
      <x:c r="Q135" s="83" t="str">
        <x:v>Tabella 16</x:v>
      </x:c>
      <x:c r="R135" s="83" t="str">
        <x:v>Assunzione di scenario</x:v>
      </x:c>
      <x:c r="S135" s="83" t="str">
        <x:v>Direct table extraction</x:v>
      </x:c>
      <x:c r="T135" s="83" t="str">
        <x:v>A — Direct</x:v>
      </x:c>
      <x:c r="U135" s="83" t="str">
        <x:v>Energy capacity by zone and class; derive power only where duration is specified.</x:v>
      </x:c>
      <x:c r="V135" s="83" t="str">
        <x:v>Small-scale source classes are 2 or 4 hours; utility-scale is 8 hours. CM duration is not stated.</x:v>
      </x:c>
    </x:row>
    <x:row r="136">
      <x:c r="A136" s="83" t="str">
        <x:v>SZ-132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Sud</x:v>
      </x:c>
      <x:c r="F136" s="83" t="str">
        <x:v>CM</x:v>
      </x:c>
      <x:c r="G136" s="197" t="n">
        <x:v>0.1</x:v>
      </x:c>
      <x:c r="H136" s="203" t="b">
        <x:v>1</x:v>
      </x:c>
      <x:c r="I136" s="197"/>
      <x:c r="J136" s="197"/>
      <x:c r="K136" s="197" t="str">
        <x:f>IF(AND(G136&lt;&gt;"",J136&lt;&gt;""),G136/J136,"")</x:f>
      </x:c>
      <x:c r="L136" s="197" t="str">
        <x:f>IF(AND(G136&lt;&gt;"",I136&lt;&gt;""),G136/I136,"")</x:f>
      </x:c>
      <x:c r="M136" s="83" t="str">
        <x:v>S09</x:v>
      </x:c>
      <x:c r="N136" s="83" t="str">
        <x:v>Documento di Descrizione degli Scenari 2024</x:v>
      </x:c>
      <x:c r="O136" s="83" t="n">
        <x:v>63</x:v>
      </x:c>
      <x:c r="P136" s="83" t="str">
        <x:v>60-61</x:v>
      </x:c>
      <x:c r="Q136" s="83" t="str">
        <x:v>Tabella 16</x:v>
      </x:c>
      <x:c r="R136" s="83" t="str">
        <x:v>Assunzione di scenario</x:v>
      </x:c>
      <x:c r="S136" s="83" t="str">
        <x:v>Direct table extraction</x:v>
      </x:c>
      <x:c r="T136" s="83" t="str">
        <x:v>A — Direct</x:v>
      </x:c>
      <x:c r="U136" s="83" t="str">
        <x:v>Energy capacity by zone and class; derive power only where duration is specified.</x:v>
      </x:c>
      <x:c r="V136" s="83" t="str">
        <x:v>Small-scale source classes are 2 or 4 hours; utility-scale is 8 hours. CM duration is not stated.</x:v>
      </x:c>
    </x:row>
    <x:row r="137">
      <x:c r="A137" s="83" t="str">
        <x:v>SZ-133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Sud</x:v>
      </x:c>
      <x:c r="F137" s="83" t="str">
        <x:v>CM</x:v>
      </x:c>
      <x:c r="G137" s="197" t="n">
        <x:v>0.1</x:v>
      </x:c>
      <x:c r="H137" s="203" t="b">
        <x:v>1</x:v>
      </x:c>
      <x:c r="I137" s="197"/>
      <x:c r="J137" s="197"/>
      <x:c r="K137" s="197" t="str">
        <x:f>IF(AND(G137&lt;&gt;"",J137&lt;&gt;""),G137/J137,"")</x:f>
      </x:c>
      <x:c r="L137" s="197" t="str">
        <x:f>IF(AND(G137&lt;&gt;"",I137&lt;&gt;""),G137/I137,"")</x:f>
      </x:c>
      <x:c r="M137" s="83" t="str">
        <x:v>S09</x:v>
      </x:c>
      <x:c r="N137" s="83" t="str">
        <x:v>Documento di Descrizione degli Scenari 2024</x:v>
      </x:c>
      <x:c r="O137" s="83" t="n">
        <x:v>63</x:v>
      </x:c>
      <x:c r="P137" s="83" t="str">
        <x:v>60-61</x:v>
      </x:c>
      <x:c r="Q137" s="83" t="str">
        <x:v>Tabella 16</x:v>
      </x:c>
      <x:c r="R137" s="83" t="str">
        <x:v>Assunzione di scenario</x:v>
      </x:c>
      <x:c r="S137" s="83" t="str">
        <x:v>Direct table extraction</x:v>
      </x:c>
      <x:c r="T137" s="83" t="str">
        <x:v>A — Direct</x:v>
      </x:c>
      <x:c r="U137" s="83" t="str">
        <x:v>Energy capacity by zone and class; derive power only where duration is specified.</x:v>
      </x:c>
      <x:c r="V137" s="83" t="str">
        <x:v>Small-scale source classes are 2 or 4 hours; utility-scale is 8 hours. CM duration is not stated.</x:v>
      </x:c>
    </x:row>
    <x:row r="138">
      <x:c r="A138" s="83" t="str">
        <x:v>SZ-134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Sud</x:v>
      </x:c>
      <x:c r="F138" s="83" t="str">
        <x:v>CM</x:v>
      </x:c>
      <x:c r="G138" s="197" t="n">
        <x:v>0.1</x:v>
      </x:c>
      <x:c r="H138" s="203" t="b">
        <x:v>1</x:v>
      </x:c>
      <x:c r="I138" s="197"/>
      <x:c r="J138" s="197"/>
      <x:c r="K138" s="197" t="str">
        <x:f>IF(AND(G138&lt;&gt;"",J138&lt;&gt;""),G138/J138,"")</x:f>
      </x:c>
      <x:c r="L138" s="197" t="str">
        <x:f>IF(AND(G138&lt;&gt;"",I138&lt;&gt;""),G138/I138,"")</x:f>
      </x:c>
      <x:c r="M138" s="83" t="str">
        <x:v>S09</x:v>
      </x:c>
      <x:c r="N138" s="83" t="str">
        <x:v>Documento di Descrizione degli Scenari 2024</x:v>
      </x:c>
      <x:c r="O138" s="83" t="n">
        <x:v>63</x:v>
      </x:c>
      <x:c r="P138" s="83" t="str">
        <x:v>60-61</x:v>
      </x:c>
      <x:c r="Q138" s="83" t="str">
        <x:v>Tabella 16</x:v>
      </x:c>
      <x:c r="R138" s="83" t="str">
        <x:v>Assunzione di scenario</x:v>
      </x:c>
      <x:c r="S138" s="83" t="str">
        <x:v>Direct table extraction</x:v>
      </x:c>
      <x:c r="T138" s="83" t="str">
        <x:v>A — Direct</x:v>
      </x:c>
      <x:c r="U138" s="83" t="str">
        <x:v>Energy capacity by zone and class; derive power only where duration is specified.</x:v>
      </x:c>
      <x:c r="V138" s="83" t="str">
        <x:v>Small-scale source classes are 2 or 4 hours; utility-scale is 8 hours. CM duration is not stated.</x:v>
      </x:c>
    </x:row>
    <x:row r="139">
      <x:c r="A139" s="83" t="str">
        <x:v>SZ-135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Sud</x:v>
      </x:c>
      <x:c r="F139" s="83" t="str">
        <x:v>CM</x:v>
      </x:c>
      <x:c r="G139" s="197" t="n">
        <x:v>0.1</x:v>
      </x:c>
      <x:c r="H139" s="203" t="b">
        <x:v>1</x:v>
      </x:c>
      <x:c r="I139" s="197"/>
      <x:c r="J139" s="197"/>
      <x:c r="K139" s="197" t="str">
        <x:f>IF(AND(G139&lt;&gt;"",J139&lt;&gt;""),G139/J139,"")</x:f>
      </x:c>
      <x:c r="L139" s="197" t="str">
        <x:f>IF(AND(G139&lt;&gt;"",I139&lt;&gt;""),G139/I139,"")</x:f>
      </x:c>
      <x:c r="M139" s="83" t="str">
        <x:v>S09</x:v>
      </x:c>
      <x:c r="N139" s="83" t="str">
        <x:v>Documento di Descrizione degli Scenari 2024</x:v>
      </x:c>
      <x:c r="O139" s="83" t="n">
        <x:v>63</x:v>
      </x:c>
      <x:c r="P139" s="83" t="str">
        <x:v>60-61</x:v>
      </x:c>
      <x:c r="Q139" s="83" t="str">
        <x:v>Tabella 16</x:v>
      </x:c>
      <x:c r="R139" s="83" t="str">
        <x:v>Assunzione di scenario</x:v>
      </x:c>
      <x:c r="S139" s="83" t="str">
        <x:v>Direct table extraction</x:v>
      </x:c>
      <x:c r="T139" s="83" t="str">
        <x:v>A — Direct</x:v>
      </x:c>
      <x:c r="U139" s="83" t="str">
        <x:v>Energy capacity by zone and class; derive power only where duration is specified.</x:v>
      </x:c>
      <x:c r="V139" s="83" t="str">
        <x:v>Small-scale source classes are 2 or 4 hours; utility-scale is 8 hours. CM duration is not stated.</x:v>
      </x:c>
    </x:row>
    <x:row r="140">
      <x:c r="A140" s="83" t="str">
        <x:v>SZ-136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Sud</x:v>
      </x:c>
      <x:c r="F140" s="83" t="str">
        <x:v>Totale</x:v>
      </x:c>
      <x:c r="G140" s="197" t="n">
        <x:v>0.4</x:v>
      </x:c>
      <x:c r="H140" s="203" t="b">
        <x:v>1</x:v>
      </x:c>
      <x:c r="I140" s="197"/>
      <x:c r="J140" s="197"/>
      <x:c r="K140" s="197" t="str">
        <x:f>IF(AND(G140&lt;&gt;"",J140&lt;&gt;""),G140/J140,"")</x:f>
      </x:c>
      <x:c r="L140" s="197" t="str">
        <x:f>IF(AND(G140&lt;&gt;"",I140&lt;&gt;""),G140/I140,"")</x:f>
      </x:c>
      <x:c r="M140" s="83" t="str">
        <x:v>S09</x:v>
      </x:c>
      <x:c r="N140" s="83" t="str">
        <x:v>Documento di Descrizione degli Scenari 2024</x:v>
      </x:c>
      <x:c r="O140" s="83" t="n">
        <x:v>63</x:v>
      </x:c>
      <x:c r="P140" s="83" t="str">
        <x:v>60-61</x:v>
      </x:c>
      <x:c r="Q140" s="83" t="str">
        <x:v>Tabella 16</x:v>
      </x:c>
      <x:c r="R140" s="83" t="str">
        <x:v>Dato osservato storico nel DDS</x:v>
      </x:c>
      <x:c r="S140" s="83" t="str">
        <x:v>Direct table extraction</x:v>
      </x:c>
      <x:c r="T140" s="83" t="str">
        <x:v>A — Direct</x:v>
      </x:c>
      <x:c r="U140" s="83" t="str">
        <x:v>Energy capacity by zone and class; derive power only where duration is specified.</x:v>
      </x:c>
      <x:c r="V140" s="83" t="str">
        <x:v>Small-scale source classes are 2 or 4 hours; utility-scale is 8 hours. CM duration is not stated.</x:v>
      </x:c>
    </x:row>
    <x:row r="141">
      <x:c r="A141" s="83" t="str">
        <x:v>SZ-137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Sud</x:v>
      </x:c>
      <x:c r="F141" s="83" t="str">
        <x:v>Totale</x:v>
      </x:c>
      <x:c r="G141" s="197" t="n">
        <x:v>17.6</x:v>
      </x:c>
      <x:c r="H141" s="203" t="b">
        <x:v>1</x:v>
      </x:c>
      <x:c r="I141" s="197"/>
      <x:c r="J141" s="197"/>
      <x:c r="K141" s="197" t="str">
        <x:f>IF(AND(G141&lt;&gt;"",J141&lt;&gt;""),G141/J141,"")</x:f>
      </x:c>
      <x:c r="L141" s="197" t="str">
        <x:f>IF(AND(G141&lt;&gt;"",I141&lt;&gt;""),G141/I141,"")</x:f>
      </x:c>
      <x:c r="M141" s="83" t="str">
        <x:v>S09</x:v>
      </x:c>
      <x:c r="N141" s="83" t="str">
        <x:v>Documento di Descrizione degli Scenari 2024</x:v>
      </x:c>
      <x:c r="O141" s="83" t="n">
        <x:v>63</x:v>
      </x:c>
      <x:c r="P141" s="83" t="str">
        <x:v>60-61</x:v>
      </x:c>
      <x:c r="Q141" s="83" t="str">
        <x:v>Tabella 16</x:v>
      </x:c>
      <x:c r="R141" s="83" t="str">
        <x:v>Assunzione di scenario</x:v>
      </x:c>
      <x:c r="S141" s="83" t="str">
        <x:v>Direct table extraction</x:v>
      </x:c>
      <x:c r="T141" s="83" t="str">
        <x:v>A — Direct</x:v>
      </x:c>
      <x:c r="U141" s="83" t="str">
        <x:v>Energy capacity by zone and class; derive power only where duration is specified.</x:v>
      </x:c>
      <x:c r="V141" s="83" t="str">
        <x:v>Small-scale source classes are 2 or 4 hours; utility-scale is 8 hours. CM duration is not stated.</x:v>
      </x:c>
    </x:row>
    <x:row r="142">
      <x:c r="A142" s="83" t="str">
        <x:v>SZ-138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Sud</x:v>
      </x:c>
      <x:c r="F142" s="83" t="str">
        <x:v>Totale</x:v>
      </x:c>
      <x:c r="G142" s="197" t="n">
        <x:v>9.2</x:v>
      </x:c>
      <x:c r="H142" s="203" t="b">
        <x:v>1</x:v>
      </x:c>
      <x:c r="I142" s="197"/>
      <x:c r="J142" s="197"/>
      <x:c r="K142" s="197" t="str">
        <x:f>IF(AND(G142&lt;&gt;"",J142&lt;&gt;""),G142/J142,"")</x:f>
      </x:c>
      <x:c r="L142" s="197" t="str">
        <x:f>IF(AND(G142&lt;&gt;"",I142&lt;&gt;""),G142/I142,"")</x:f>
      </x:c>
      <x:c r="M142" s="83" t="str">
        <x:v>S09</x:v>
      </x:c>
      <x:c r="N142" s="83" t="str">
        <x:v>Documento di Descrizione degli Scenari 2024</x:v>
      </x:c>
      <x:c r="O142" s="83" t="n">
        <x:v>63</x:v>
      </x:c>
      <x:c r="P142" s="83" t="str">
        <x:v>60-61</x:v>
      </x:c>
      <x:c r="Q142" s="83" t="str">
        <x:v>Tabella 16</x:v>
      </x:c>
      <x:c r="R142" s="83" t="str">
        <x:v>Assunzione di scenario</x:v>
      </x:c>
      <x:c r="S142" s="83" t="str">
        <x:v>Direct table extraction</x:v>
      </x:c>
      <x:c r="T142" s="83" t="str">
        <x:v>A — Direct</x:v>
      </x:c>
      <x:c r="U142" s="83" t="str">
        <x:v>Energy capacity by zone and class; derive power only where duration is specified.</x:v>
      </x:c>
      <x:c r="V142" s="83" t="str">
        <x:v>Small-scale source classes are 2 or 4 hours; utility-scale is 8 hours. CM duration is not stated.</x:v>
      </x:c>
    </x:row>
    <x:row r="143">
      <x:c r="A143" s="83" t="str">
        <x:v>SZ-139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Sud</x:v>
      </x:c>
      <x:c r="F143" s="83" t="str">
        <x:v>Totale</x:v>
      </x:c>
      <x:c r="G143" s="197" t="n">
        <x:v>36.2</x:v>
      </x:c>
      <x:c r="H143" s="203" t="b">
        <x:v>1</x:v>
      </x:c>
      <x:c r="I143" s="197"/>
      <x:c r="J143" s="197"/>
      <x:c r="K143" s="197" t="str">
        <x:f>IF(AND(G143&lt;&gt;"",J143&lt;&gt;""),G143/J143,"")</x:f>
      </x:c>
      <x:c r="L143" s="197" t="str">
        <x:f>IF(AND(G143&lt;&gt;"",I143&lt;&gt;""),G143/I143,"")</x:f>
      </x:c>
      <x:c r="M143" s="83" t="str">
        <x:v>S09</x:v>
      </x:c>
      <x:c r="N143" s="83" t="str">
        <x:v>Documento di Descrizione degli Scenari 2024</x:v>
      </x:c>
      <x:c r="O143" s="83" t="n">
        <x:v>63</x:v>
      </x:c>
      <x:c r="P143" s="83" t="str">
        <x:v>60-61</x:v>
      </x:c>
      <x:c r="Q143" s="83" t="str">
        <x:v>Tabella 16</x:v>
      </x:c>
      <x:c r="R143" s="83" t="str">
        <x:v>Assunzione di scenario</x:v>
      </x:c>
      <x:c r="S143" s="83" t="str">
        <x:v>Direct table extraction</x:v>
      </x:c>
      <x:c r="T143" s="83" t="str">
        <x:v>A — Direct</x:v>
      </x:c>
      <x:c r="U143" s="83" t="str">
        <x:v>Energy capacity by zone and class; derive power only where duration is specified.</x:v>
      </x:c>
      <x:c r="V143" s="83" t="str">
        <x:v>Small-scale source classes are 2 or 4 hours; utility-scale is 8 hours. CM duration is not stated.</x:v>
      </x:c>
    </x:row>
    <x:row r="144">
      <x:c r="A144" s="83" t="str">
        <x:v>SZ-140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Sud</x:v>
      </x:c>
      <x:c r="F144" s="83" t="str">
        <x:v>Totale</x:v>
      </x:c>
      <x:c r="G144" s="197" t="n">
        <x:v>24.1</x:v>
      </x:c>
      <x:c r="H144" s="203" t="b">
        <x:v>1</x:v>
      </x:c>
      <x:c r="I144" s="197"/>
      <x:c r="J144" s="197"/>
      <x:c r="K144" s="197" t="str">
        <x:f>IF(AND(G144&lt;&gt;"",J144&lt;&gt;""),G144/J144,"")</x:f>
      </x:c>
      <x:c r="L144" s="197" t="str">
        <x:f>IF(AND(G144&lt;&gt;"",I144&lt;&gt;""),G144/I144,"")</x:f>
      </x:c>
      <x:c r="M144" s="83" t="str">
        <x:v>S09</x:v>
      </x:c>
      <x:c r="N144" s="83" t="str">
        <x:v>Documento di Descrizione degli Scenari 2024</x:v>
      </x:c>
      <x:c r="O144" s="83" t="n">
        <x:v>63</x:v>
      </x:c>
      <x:c r="P144" s="83" t="str">
        <x:v>60-61</x:v>
      </x:c>
      <x:c r="Q144" s="83" t="str">
        <x:v>Tabella 16</x:v>
      </x:c>
      <x:c r="R144" s="83" t="str">
        <x:v>Assunzione di scenario</x:v>
      </x:c>
      <x:c r="S144" s="83" t="str">
        <x:v>Direct table extraction</x:v>
      </x:c>
      <x:c r="T144" s="83" t="str">
        <x:v>A — Direct</x:v>
      </x:c>
      <x:c r="U144" s="83" t="str">
        <x:v>Energy capacity by zone and class; derive power only where duration is specified.</x:v>
      </x:c>
      <x:c r="V144" s="83" t="str">
        <x:v>Small-scale source classes are 2 or 4 hours; utility-scale is 8 hours. CM duration is not stated.</x:v>
      </x:c>
    </x:row>
    <x:row r="145">
      <x:c r="A145" s="83" t="str">
        <x:v>SZ-141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Sud</x:v>
      </x:c>
      <x:c r="F145" s="83" t="str">
        <x:v>Totale</x:v>
      </x:c>
      <x:c r="G145" s="197" t="n">
        <x:v>18.7</x:v>
      </x:c>
      <x:c r="H145" s="203" t="b">
        <x:v>1</x:v>
      </x:c>
      <x:c r="I145" s="197"/>
      <x:c r="J145" s="197"/>
      <x:c r="K145" s="197" t="str">
        <x:f>IF(AND(G145&lt;&gt;"",J145&lt;&gt;""),G145/J145,"")</x:f>
      </x:c>
      <x:c r="L145" s="197" t="str">
        <x:f>IF(AND(G145&lt;&gt;"",I145&lt;&gt;""),G145/I145,"")</x:f>
      </x:c>
      <x:c r="M145" s="83" t="str">
        <x:v>S09</x:v>
      </x:c>
      <x:c r="N145" s="83" t="str">
        <x:v>Documento di Descrizione degli Scenari 2024</x:v>
      </x:c>
      <x:c r="O145" s="83" t="n">
        <x:v>63</x:v>
      </x:c>
      <x:c r="P145" s="83" t="str">
        <x:v>60-61</x:v>
      </x:c>
      <x:c r="Q145" s="83" t="str">
        <x:v>Tabella 16</x:v>
      </x:c>
      <x:c r="R145" s="83" t="str">
        <x:v>Assunzione di scenario</x:v>
      </x:c>
      <x:c r="S145" s="83" t="str">
        <x:v>Direct table extraction</x:v>
      </x:c>
      <x:c r="T145" s="83" t="str">
        <x:v>A — Direct</x:v>
      </x:c>
      <x:c r="U145" s="83" t="str">
        <x:v>Energy capacity by zone and class; derive power only where duration is specified.</x:v>
      </x:c>
      <x:c r="V145" s="83" t="str">
        <x:v>Small-scale source classes are 2 or 4 hours; utility-scale is 8 hours. CM duration is not stated.</x:v>
      </x:c>
    </x:row>
    <x:row r="146">
      <x:c r="A146" s="83" t="str">
        <x:v>SZ-142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Sud</x:v>
      </x:c>
      <x:c r="F146" s="83" t="str">
        <x:v>Totale</x:v>
      </x:c>
      <x:c r="G146" s="197" t="n">
        <x:v>48.7</x:v>
      </x:c>
      <x:c r="H146" s="203" t="b">
        <x:v>1</x:v>
      </x:c>
      <x:c r="I146" s="197"/>
      <x:c r="J146" s="197"/>
      <x:c r="K146" s="197" t="str">
        <x:f>IF(AND(G146&lt;&gt;"",J146&lt;&gt;""),G146/J146,"")</x:f>
      </x:c>
      <x:c r="L146" s="197" t="str">
        <x:f>IF(AND(G146&lt;&gt;"",I146&lt;&gt;""),G146/I146,"")</x:f>
      </x:c>
      <x:c r="M146" s="83" t="str">
        <x:v>S09</x:v>
      </x:c>
      <x:c r="N146" s="83" t="str">
        <x:v>Documento di Descrizione degli Scenari 2024</x:v>
      </x:c>
      <x:c r="O146" s="83" t="n">
        <x:v>63</x:v>
      </x:c>
      <x:c r="P146" s="83" t="str">
        <x:v>60-61</x:v>
      </x:c>
      <x:c r="Q146" s="83" t="str">
        <x:v>Tabella 16</x:v>
      </x:c>
      <x:c r="R146" s="83" t="str">
        <x:v>Assunzione di scenario</x:v>
      </x:c>
      <x:c r="S146" s="83" t="str">
        <x:v>Direct table extraction</x:v>
      </x:c>
      <x:c r="T146" s="83" t="str">
        <x:v>A — Direct</x:v>
      </x:c>
      <x:c r="U146" s="83" t="str">
        <x:v>Energy capacity by zone and class; derive power only where duration is specified.</x:v>
      </x:c>
      <x:c r="V146" s="83" t="str">
        <x:v>Small-scale source classes are 2 or 4 hours; utility-scale is 8 hours. CM duration is not stated.</x:v>
      </x:c>
    </x:row>
    <x:row r="147">
      <x:c r="A147" s="83" t="str">
        <x:v>SZ-143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Sud</x:v>
      </x:c>
      <x:c r="F147" s="83" t="str">
        <x:v>Totale</x:v>
      </x:c>
      <x:c r="G147" s="197" t="n">
        <x:v>37.8</x:v>
      </x:c>
      <x:c r="H147" s="203" t="b">
        <x:v>1</x:v>
      </x:c>
      <x:c r="I147" s="197"/>
      <x:c r="J147" s="197"/>
      <x:c r="K147" s="197" t="str">
        <x:f>IF(AND(G147&lt;&gt;"",J147&lt;&gt;""),G147/J147,"")</x:f>
      </x:c>
      <x:c r="L147" s="197" t="str">
        <x:f>IF(AND(G147&lt;&gt;"",I147&lt;&gt;""),G147/I147,"")</x:f>
      </x:c>
      <x:c r="M147" s="83" t="str">
        <x:v>S09</x:v>
      </x:c>
      <x:c r="N147" s="83" t="str">
        <x:v>Documento di Descrizione degli Scenari 2024</x:v>
      </x:c>
      <x:c r="O147" s="83" t="n">
        <x:v>63</x:v>
      </x:c>
      <x:c r="P147" s="83" t="str">
        <x:v>60-61</x:v>
      </x:c>
      <x:c r="Q147" s="83" t="str">
        <x:v>Tabella 16</x:v>
      </x:c>
      <x:c r="R147" s="83" t="str">
        <x:v>Assunzione di scenario</x:v>
      </x:c>
      <x:c r="S147" s="83" t="str">
        <x:v>Direct table extraction</x:v>
      </x:c>
      <x:c r="T147" s="83" t="str">
        <x:v>A — Direct</x:v>
      </x:c>
      <x:c r="U147" s="83" t="str">
        <x:v>Energy capacity by zone and class; derive power only where duration is specified.</x:v>
      </x:c>
      <x:c r="V147" s="83" t="str">
        <x:v>Small-scale source classes are 2 or 4 hours; utility-scale is 8 hours. CM duration is not stated.</x:v>
      </x:c>
    </x:row>
    <x:row r="148">
      <x:c r="A148" s="83" t="str">
        <x:v>SZ-144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Sud</x:v>
      </x:c>
      <x:c r="F148" s="83" t="str">
        <x:v>Totale</x:v>
      </x:c>
      <x:c r="G148" s="197" t="n">
        <x:v>28.6</x:v>
      </x:c>
      <x:c r="H148" s="203" t="b">
        <x:v>1</x:v>
      </x:c>
      <x:c r="I148" s="197"/>
      <x:c r="J148" s="197"/>
      <x:c r="K148" s="197" t="str">
        <x:f>IF(AND(G148&lt;&gt;"",J148&lt;&gt;""),G148/J148,"")</x:f>
      </x:c>
      <x:c r="L148" s="197" t="str">
        <x:f>IF(AND(G148&lt;&gt;"",I148&lt;&gt;""),G148/I148,"")</x:f>
      </x:c>
      <x:c r="M148" s="83" t="str">
        <x:v>S09</x:v>
      </x:c>
      <x:c r="N148" s="83" t="str">
        <x:v>Documento di Descrizione degli Scenari 2024</x:v>
      </x:c>
      <x:c r="O148" s="83" t="n">
        <x:v>63</x:v>
      </x:c>
      <x:c r="P148" s="83" t="str">
        <x:v>60-61</x:v>
      </x:c>
      <x:c r="Q148" s="83" t="str">
        <x:v>Tabella 16</x:v>
      </x:c>
      <x:c r="R148" s="83" t="str">
        <x:v>Assunzione di scenario</x:v>
      </x:c>
      <x:c r="S148" s="83" t="str">
        <x:v>Direct table extraction</x:v>
      </x:c>
      <x:c r="T148" s="83" t="str">
        <x:v>A — Direct</x:v>
      </x:c>
      <x:c r="U148" s="83" t="str">
        <x:v>Energy capacity by zone and class; derive power only where duration is specified.</x:v>
      </x:c>
      <x:c r="V148" s="83" t="str">
        <x:v>Small-scale source classes are 2 or 4 hours; utility-scale is 8 hours. CM duration is not stated.</x:v>
      </x:c>
    </x:row>
    <x:row r="149">
      <x:c r="A149" s="83" t="str">
        <x:v>SZ-145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Calabria</x:v>
      </x:c>
      <x:c r="F149" s="83" t="str">
        <x:v>Small Scale</x:v>
      </x:c>
      <x:c r="G149" s="197" t="n">
        <x:v>0.2</x:v>
      </x:c>
      <x:c r="H149" s="203" t="b">
        <x:v>1</x:v>
      </x:c>
      <x:c r="I149" s="197" t="n">
        <x:v>2</x:v>
      </x:c>
      <x:c r="J149" s="197" t="n">
        <x:v>4</x:v>
      </x:c>
      <x:c r="K149" s="197" t="n">
        <x:f>IF(AND(G149&lt;&gt;"",J149&lt;&gt;""),G149/J149,"")</x:f>
        <x:v>0.05</x:v>
      </x:c>
      <x:c r="L149" s="197" t="n">
        <x:f>IF(AND(G149&lt;&gt;"",I149&lt;&gt;""),G149/I149,"")</x:f>
        <x:v>0.1</x:v>
      </x:c>
      <x:c r="M149" s="83" t="str">
        <x:v>S09</x:v>
      </x:c>
      <x:c r="N149" s="83" t="str">
        <x:v>Documento di Descrizione degli Scenari 2024</x:v>
      </x:c>
      <x:c r="O149" s="83" t="n">
        <x:v>63</x:v>
      </x:c>
      <x:c r="P149" s="83" t="str">
        <x:v>60-61</x:v>
      </x:c>
      <x:c r="Q149" s="83" t="str">
        <x:v>Tabella 16</x:v>
      </x:c>
      <x:c r="R149" s="83" t="str">
        <x:v>Dato osservato storico nel DDS</x:v>
      </x:c>
      <x:c r="S149" s="83" t="str">
        <x:v>Direct table extraction</x:v>
      </x:c>
      <x:c r="T149" s="83" t="str">
        <x:v>A — Direct</x:v>
      </x:c>
      <x:c r="U149" s="83" t="str">
        <x:v>Energy capacity by zone and class; derive power only where duration is specified.</x:v>
      </x:c>
      <x:c r="V149" s="83" t="str">
        <x:v>Small-scale source classes are 2 or 4 hours; utility-scale is 8 hours. CM duration is not stated.</x:v>
      </x:c>
    </x:row>
    <x:row r="150">
      <x:c r="A150" s="83" t="str">
        <x:v>SZ-146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Calabria</x:v>
      </x:c>
      <x:c r="F150" s="83" t="str">
        <x:v>Small Scale</x:v>
      </x:c>
      <x:c r="G150" s="197" t="n">
        <x:v>0.3</x:v>
      </x:c>
      <x:c r="H150" s="203" t="b">
        <x:v>1</x:v>
      </x:c>
      <x:c r="I150" s="197" t="n">
        <x:v>2</x:v>
      </x:c>
      <x:c r="J150" s="197" t="n">
        <x:v>4</x:v>
      </x:c>
      <x:c r="K150" s="197" t="n">
        <x:f>IF(AND(G150&lt;&gt;"",J150&lt;&gt;""),G150/J150,"")</x:f>
        <x:v>0.075</x:v>
      </x:c>
      <x:c r="L150" s="197" t="n">
        <x:f>IF(AND(G150&lt;&gt;"",I150&lt;&gt;""),G150/I150,"")</x:f>
        <x:v>0.15</x:v>
      </x:c>
      <x:c r="M150" s="83" t="str">
        <x:v>S09</x:v>
      </x:c>
      <x:c r="N150" s="83" t="str">
        <x:v>Documento di Descrizione degli Scenari 2024</x:v>
      </x:c>
      <x:c r="O150" s="83" t="n">
        <x:v>63</x:v>
      </x:c>
      <x:c r="P150" s="83" t="str">
        <x:v>60-61</x:v>
      </x:c>
      <x:c r="Q150" s="83" t="str">
        <x:v>Tabella 16</x:v>
      </x:c>
      <x:c r="R150" s="83" t="str">
        <x:v>Assunzione di scenario</x:v>
      </x:c>
      <x:c r="S150" s="83" t="str">
        <x:v>Direct table extraction</x:v>
      </x:c>
      <x:c r="T150" s="83" t="str">
        <x:v>A — Direct</x:v>
      </x:c>
      <x:c r="U150" s="83" t="str">
        <x:v>Energy capacity by zone and class; derive power only where duration is specified.</x:v>
      </x:c>
      <x:c r="V150" s="83" t="str">
        <x:v>Small-scale source classes are 2 or 4 hours; utility-scale is 8 hours. CM duration is not stated.</x:v>
      </x:c>
    </x:row>
    <x:row r="151">
      <x:c r="A151" s="83" t="str">
        <x:v>SZ-147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Calabria</x:v>
      </x:c>
      <x:c r="F151" s="83" t="str">
        <x:v>Small Scale</x:v>
      </x:c>
      <x:c r="G151" s="197" t="n">
        <x:v>0.4</x:v>
      </x:c>
      <x:c r="H151" s="203" t="b">
        <x:v>1</x:v>
      </x:c>
      <x:c r="I151" s="197" t="n">
        <x:v>2</x:v>
      </x:c>
      <x:c r="J151" s="197" t="n">
        <x:v>4</x:v>
      </x:c>
      <x:c r="K151" s="197" t="n">
        <x:f>IF(AND(G151&lt;&gt;"",J151&lt;&gt;""),G151/J151,"")</x:f>
        <x:v>0.1</x:v>
      </x:c>
      <x:c r="L151" s="197" t="n">
        <x:f>IF(AND(G151&lt;&gt;"",I151&lt;&gt;""),G151/I151,"")</x:f>
        <x:v>0.2</x:v>
      </x:c>
      <x:c r="M151" s="83" t="str">
        <x:v>S09</x:v>
      </x:c>
      <x:c r="N151" s="83" t="str">
        <x:v>Documento di Descrizione degli Scenari 2024</x:v>
      </x:c>
      <x:c r="O151" s="83" t="n">
        <x:v>63</x:v>
      </x:c>
      <x:c r="P151" s="83" t="str">
        <x:v>60-61</x:v>
      </x:c>
      <x:c r="Q151" s="83" t="str">
        <x:v>Tabella 16</x:v>
      </x:c>
      <x:c r="R151" s="83" t="str">
        <x:v>Assunzione di scenario</x:v>
      </x:c>
      <x:c r="S151" s="83" t="str">
        <x:v>Direct table extraction</x:v>
      </x:c>
      <x:c r="T151" s="83" t="str">
        <x:v>A — Direct</x:v>
      </x:c>
      <x:c r="U151" s="83" t="str">
        <x:v>Energy capacity by zone and class; derive power only where duration is specified.</x:v>
      </x:c>
      <x:c r="V151" s="83" t="str">
        <x:v>Small-scale source classes are 2 or 4 hours; utility-scale is 8 hours. CM duration is not stated.</x:v>
      </x:c>
    </x:row>
    <x:row r="152">
      <x:c r="A152" s="83" t="str">
        <x:v>SZ-148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Calabria</x:v>
      </x:c>
      <x:c r="F152" s="83" t="str">
        <x:v>Small Scale</x:v>
      </x:c>
      <x:c r="G152" s="197" t="n">
        <x:v>0.4</x:v>
      </x:c>
      <x:c r="H152" s="203" t="b">
        <x:v>1</x:v>
      </x:c>
      <x:c r="I152" s="197" t="n">
        <x:v>2</x:v>
      </x:c>
      <x:c r="J152" s="197" t="n">
        <x:v>4</x:v>
      </x:c>
      <x:c r="K152" s="197" t="n">
        <x:f>IF(AND(G152&lt;&gt;"",J152&lt;&gt;""),G152/J152,"")</x:f>
        <x:v>0.1</x:v>
      </x:c>
      <x:c r="L152" s="197" t="n">
        <x:f>IF(AND(G152&lt;&gt;"",I152&lt;&gt;""),G152/I152,"")</x:f>
        <x:v>0.2</x:v>
      </x:c>
      <x:c r="M152" s="83" t="str">
        <x:v>S09</x:v>
      </x:c>
      <x:c r="N152" s="83" t="str">
        <x:v>Documento di Descrizione degli Scenari 2024</x:v>
      </x:c>
      <x:c r="O152" s="83" t="n">
        <x:v>63</x:v>
      </x:c>
      <x:c r="P152" s="83" t="str">
        <x:v>60-61</x:v>
      </x:c>
      <x:c r="Q152" s="83" t="str">
        <x:v>Tabella 16</x:v>
      </x:c>
      <x:c r="R152" s="83" t="str">
        <x:v>Assunzione di scenario</x:v>
      </x:c>
      <x:c r="S152" s="83" t="str">
        <x:v>Direct table extraction</x:v>
      </x:c>
      <x:c r="T152" s="83" t="str">
        <x:v>A — Direct</x:v>
      </x:c>
      <x:c r="U152" s="83" t="str">
        <x:v>Energy capacity by zone and class; derive power only where duration is specified.</x:v>
      </x:c>
      <x:c r="V152" s="83" t="str">
        <x:v>Small-scale source classes are 2 or 4 hours; utility-scale is 8 hours. CM duration is not stated.</x:v>
      </x:c>
    </x:row>
    <x:row r="153">
      <x:c r="A153" s="83" t="str">
        <x:v>SZ-149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Calabria</x:v>
      </x:c>
      <x:c r="F153" s="83" t="str">
        <x:v>Small Scale</x:v>
      </x:c>
      <x:c r="G153" s="197" t="n">
        <x:v>0.4</x:v>
      </x:c>
      <x:c r="H153" s="203" t="b">
        <x:v>1</x:v>
      </x:c>
      <x:c r="I153" s="197" t="n">
        <x:v>2</x:v>
      </x:c>
      <x:c r="J153" s="197" t="n">
        <x:v>4</x:v>
      </x:c>
      <x:c r="K153" s="197" t="n">
        <x:f>IF(AND(G153&lt;&gt;"",J153&lt;&gt;""),G153/J153,"")</x:f>
        <x:v>0.1</x:v>
      </x:c>
      <x:c r="L153" s="197" t="n">
        <x:f>IF(AND(G153&lt;&gt;"",I153&lt;&gt;""),G153/I153,"")</x:f>
        <x:v>0.2</x:v>
      </x:c>
      <x:c r="M153" s="83" t="str">
        <x:v>S09</x:v>
      </x:c>
      <x:c r="N153" s="83" t="str">
        <x:v>Documento di Descrizione degli Scenari 2024</x:v>
      </x:c>
      <x:c r="O153" s="83" t="n">
        <x:v>63</x:v>
      </x:c>
      <x:c r="P153" s="83" t="str">
        <x:v>60-61</x:v>
      </x:c>
      <x:c r="Q153" s="83" t="str">
        <x:v>Tabella 16</x:v>
      </x:c>
      <x:c r="R153" s="83" t="str">
        <x:v>Assunzione di scenario</x:v>
      </x:c>
      <x:c r="S153" s="83" t="str">
        <x:v>Direct table extraction</x:v>
      </x:c>
      <x:c r="T153" s="83" t="str">
        <x:v>A — Direct</x:v>
      </x:c>
      <x:c r="U153" s="83" t="str">
        <x:v>Energy capacity by zone and class; derive power only where duration is specified.</x:v>
      </x:c>
      <x:c r="V153" s="83" t="str">
        <x:v>Small-scale source classes are 2 or 4 hours; utility-scale is 8 hours. CM duration is not stated.</x:v>
      </x:c>
    </x:row>
    <x:row r="154">
      <x:c r="A154" s="83" t="str">
        <x:v>SZ-150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Calabria</x:v>
      </x:c>
      <x:c r="F154" s="83" t="str">
        <x:v>Small Scale</x:v>
      </x:c>
      <x:c r="G154" s="197" t="n">
        <x:v>0.4</x:v>
      </x:c>
      <x:c r="H154" s="203" t="b">
        <x:v>1</x:v>
      </x:c>
      <x:c r="I154" s="197" t="n">
        <x:v>2</x:v>
      </x:c>
      <x:c r="J154" s="197" t="n">
        <x:v>4</x:v>
      </x:c>
      <x:c r="K154" s="197" t="n">
        <x:f>IF(AND(G154&lt;&gt;"",J154&lt;&gt;""),G154/J154,"")</x:f>
        <x:v>0.1</x:v>
      </x:c>
      <x:c r="L154" s="197" t="n">
        <x:f>IF(AND(G154&lt;&gt;"",I154&lt;&gt;""),G154/I154,"")</x:f>
        <x:v>0.2</x:v>
      </x:c>
      <x:c r="M154" s="83" t="str">
        <x:v>S09</x:v>
      </x:c>
      <x:c r="N154" s="83" t="str">
        <x:v>Documento di Descrizione degli Scenari 2024</x:v>
      </x:c>
      <x:c r="O154" s="83" t="n">
        <x:v>63</x:v>
      </x:c>
      <x:c r="P154" s="83" t="str">
        <x:v>60-61</x:v>
      </x:c>
      <x:c r="Q154" s="83" t="str">
        <x:v>Tabella 16</x:v>
      </x:c>
      <x:c r="R154" s="83" t="str">
        <x:v>Assunzione di scenario</x:v>
      </x:c>
      <x:c r="S154" s="83" t="str">
        <x:v>Direct table extraction</x:v>
      </x:c>
      <x:c r="T154" s="83" t="str">
        <x:v>A — Direct</x:v>
      </x:c>
      <x:c r="U154" s="83" t="str">
        <x:v>Energy capacity by zone and class; derive power only where duration is specified.</x:v>
      </x:c>
      <x:c r="V154" s="83" t="str">
        <x:v>Small-scale source classes are 2 or 4 hours; utility-scale is 8 hours. CM duration is not stated.</x:v>
      </x:c>
    </x:row>
    <x:row r="155">
      <x:c r="A155" s="83" t="str">
        <x:v>SZ-151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Calabria</x:v>
      </x:c>
      <x:c r="F155" s="83" t="str">
        <x:v>Small Scale</x:v>
      </x:c>
      <x:c r="G155" s="197" t="n">
        <x:v>0.4</x:v>
      </x:c>
      <x:c r="H155" s="203" t="b">
        <x:v>1</x:v>
      </x:c>
      <x:c r="I155" s="197" t="n">
        <x:v>2</x:v>
      </x:c>
      <x:c r="J155" s="197" t="n">
        <x:v>4</x:v>
      </x:c>
      <x:c r="K155" s="197" t="n">
        <x:f>IF(AND(G155&lt;&gt;"",J155&lt;&gt;""),G155/J155,"")</x:f>
        <x:v>0.1</x:v>
      </x:c>
      <x:c r="L155" s="197" t="n">
        <x:f>IF(AND(G155&lt;&gt;"",I155&lt;&gt;""),G155/I155,"")</x:f>
        <x:v>0.2</x:v>
      </x:c>
      <x:c r="M155" s="83" t="str">
        <x:v>S09</x:v>
      </x:c>
      <x:c r="N155" s="83" t="str">
        <x:v>Documento di Descrizione degli Scenari 2024</x:v>
      </x:c>
      <x:c r="O155" s="83" t="n">
        <x:v>63</x:v>
      </x:c>
      <x:c r="P155" s="83" t="str">
        <x:v>60-61</x:v>
      </x:c>
      <x:c r="Q155" s="83" t="str">
        <x:v>Tabella 16</x:v>
      </x:c>
      <x:c r="R155" s="83" t="str">
        <x:v>Assunzione di scenario</x:v>
      </x:c>
      <x:c r="S155" s="83" t="str">
        <x:v>Direct table extraction</x:v>
      </x:c>
      <x:c r="T155" s="83" t="str">
        <x:v>A — Direct</x:v>
      </x:c>
      <x:c r="U155" s="83" t="str">
        <x:v>Energy capacity by zone and class; derive power only where duration is specified.</x:v>
      </x:c>
      <x:c r="V155" s="83" t="str">
        <x:v>Small-scale source classes are 2 or 4 hours; utility-scale is 8 hours. CM duration is not stated.</x:v>
      </x:c>
    </x:row>
    <x:row r="156">
      <x:c r="A156" s="83" t="str">
        <x:v>SZ-152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Calabria</x:v>
      </x:c>
      <x:c r="F156" s="83" t="str">
        <x:v>Small Scale</x:v>
      </x:c>
      <x:c r="G156" s="197" t="n">
        <x:v>0.5</x:v>
      </x:c>
      <x:c r="H156" s="203" t="b">
        <x:v>1</x:v>
      </x:c>
      <x:c r="I156" s="197" t="n">
        <x:v>2</x:v>
      </x:c>
      <x:c r="J156" s="197" t="n">
        <x:v>4</x:v>
      </x:c>
      <x:c r="K156" s="197" t="n">
        <x:f>IF(AND(G156&lt;&gt;"",J156&lt;&gt;""),G156/J156,"")</x:f>
        <x:v>0.125</x:v>
      </x:c>
      <x:c r="L156" s="197" t="n">
        <x:f>IF(AND(G156&lt;&gt;"",I156&lt;&gt;""),G156/I156,"")</x:f>
        <x:v>0.25</x:v>
      </x:c>
      <x:c r="M156" s="83" t="str">
        <x:v>S09</x:v>
      </x:c>
      <x:c r="N156" s="83" t="str">
        <x:v>Documento di Descrizione degli Scenari 2024</x:v>
      </x:c>
      <x:c r="O156" s="83" t="n">
        <x:v>63</x:v>
      </x:c>
      <x:c r="P156" s="83" t="str">
        <x:v>60-61</x:v>
      </x:c>
      <x:c r="Q156" s="83" t="str">
        <x:v>Tabella 16</x:v>
      </x:c>
      <x:c r="R156" s="83" t="str">
        <x:v>Assunzione di scenario</x:v>
      </x:c>
      <x:c r="S156" s="83" t="str">
        <x:v>Direct table extraction</x:v>
      </x:c>
      <x:c r="T156" s="83" t="str">
        <x:v>A — Direct</x:v>
      </x:c>
      <x:c r="U156" s="83" t="str">
        <x:v>Energy capacity by zone and class; derive power only where duration is specified.</x:v>
      </x:c>
      <x:c r="V156" s="83" t="str">
        <x:v>Small-scale source classes are 2 or 4 hours; utility-scale is 8 hours. CM duration is not stated.</x:v>
      </x:c>
    </x:row>
    <x:row r="157">
      <x:c r="A157" s="83" t="str">
        <x:v>SZ-153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Calabria</x:v>
      </x:c>
      <x:c r="F157" s="83" t="str">
        <x:v>Small Scale</x:v>
      </x:c>
      <x:c r="G157" s="197" t="n">
        <x:v>0.4</x:v>
      </x:c>
      <x:c r="H157" s="203" t="b">
        <x:v>1</x:v>
      </x:c>
      <x:c r="I157" s="197" t="n">
        <x:v>2</x:v>
      </x:c>
      <x:c r="J157" s="197" t="n">
        <x:v>4</x:v>
      </x:c>
      <x:c r="K157" s="197" t="n">
        <x:f>IF(AND(G157&lt;&gt;"",J157&lt;&gt;""),G157/J157,"")</x:f>
        <x:v>0.1</x:v>
      </x:c>
      <x:c r="L157" s="197" t="n">
        <x:f>IF(AND(G157&lt;&gt;"",I157&lt;&gt;""),G157/I157,"")</x:f>
        <x:v>0.2</x:v>
      </x:c>
      <x:c r="M157" s="83" t="str">
        <x:v>S09</x:v>
      </x:c>
      <x:c r="N157" s="83" t="str">
        <x:v>Documento di Descrizione degli Scenari 2024</x:v>
      </x:c>
      <x:c r="O157" s="83" t="n">
        <x:v>63</x:v>
      </x:c>
      <x:c r="P157" s="83" t="str">
        <x:v>60-61</x:v>
      </x:c>
      <x:c r="Q157" s="83" t="str">
        <x:v>Tabella 16</x:v>
      </x:c>
      <x:c r="R157" s="83" t="str">
        <x:v>Assunzione di scenario</x:v>
      </x:c>
      <x:c r="S157" s="83" t="str">
        <x:v>Direct table extraction</x:v>
      </x:c>
      <x:c r="T157" s="83" t="str">
        <x:v>A — Direct</x:v>
      </x:c>
      <x:c r="U157" s="83" t="str">
        <x:v>Energy capacity by zone and class; derive power only where duration is specified.</x:v>
      </x:c>
      <x:c r="V157" s="83" t="str">
        <x:v>Small-scale source classes are 2 or 4 hours; utility-scale is 8 hours. CM duration is not stated.</x:v>
      </x:c>
    </x:row>
    <x:row r="158">
      <x:c r="A158" s="83" t="str">
        <x:v>SZ-154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Calabria</x:v>
      </x:c>
      <x:c r="F158" s="83" t="str">
        <x:v>Utility Scale</x:v>
      </x:c>
      <x:c r="G158" s="197" t="n">
        <x:v>0</x:v>
      </x:c>
      <x:c r="H158" s="203" t="b">
        <x:v>1</x:v>
      </x:c>
      <x:c r="I158" s="197" t="n">
        <x:v>8</x:v>
      </x:c>
      <x:c r="J158" s="197" t="n">
        <x:v>8</x:v>
      </x:c>
      <x:c r="K158" s="197" t="str">
        <x:f>IF(AND(G158&lt;&gt;"",J158&lt;&gt;""),G158/J158,"")</x:f>
      </x:c>
      <x:c r="L158" s="197" t="str">
        <x:f>IF(AND(G158&lt;&gt;"",I158&lt;&gt;""),G158/I158,"")</x:f>
      </x:c>
      <x:c r="M158" s="83" t="str">
        <x:v>S09</x:v>
      </x:c>
      <x:c r="N158" s="83" t="str">
        <x:v>Documento di Descrizione degli Scenari 2024</x:v>
      </x:c>
      <x:c r="O158" s="83" t="n">
        <x:v>63</x:v>
      </x:c>
      <x:c r="P158" s="83" t="str">
        <x:v>60-61</x:v>
      </x:c>
      <x:c r="Q158" s="83" t="str">
        <x:v>Tabella 16</x:v>
      </x:c>
      <x:c r="R158" s="83" t="str">
        <x:v>Dato osservato storico nel DDS</x:v>
      </x:c>
      <x:c r="S158" s="83" t="str">
        <x:v>Direct table extraction</x:v>
      </x:c>
      <x:c r="T158" s="83" t="str">
        <x:v>A — Direct</x:v>
      </x:c>
      <x:c r="U158" s="83" t="str">
        <x:v>Energy capacity by zone and class; derive power only where duration is specified.</x:v>
      </x:c>
      <x:c r="V158" s="83" t="str">
        <x:v>Small-scale source classes are 2 or 4 hours; utility-scale is 8 hours. CM duration is not stated.</x:v>
      </x:c>
    </x:row>
    <x:row r="159">
      <x:c r="A159" s="83" t="str">
        <x:v>SZ-155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Calabria</x:v>
      </x:c>
      <x:c r="F159" s="83" t="str">
        <x:v>Utility Scale</x:v>
      </x:c>
      <x:c r="G159" s="197" t="n">
        <x:v>3.2</x:v>
      </x:c>
      <x:c r="H159" s="203" t="b">
        <x:v>1</x:v>
      </x:c>
      <x:c r="I159" s="197" t="n">
        <x:v>8</x:v>
      </x:c>
      <x:c r="J159" s="197" t="n">
        <x:v>8</x:v>
      </x:c>
      <x:c r="K159" s="197" t="n">
        <x:f>IF(AND(G159&lt;&gt;"",J159&lt;&gt;""),G159/J159,"")</x:f>
        <x:v>0.4</x:v>
      </x:c>
      <x:c r="L159" s="197" t="n">
        <x:f>IF(AND(G159&lt;&gt;"",I159&lt;&gt;""),G159/I159,"")</x:f>
        <x:v>0.4</x:v>
      </x:c>
      <x:c r="M159" s="83" t="str">
        <x:v>S09</x:v>
      </x:c>
      <x:c r="N159" s="83" t="str">
        <x:v>Documento di Descrizione degli Scenari 2024</x:v>
      </x:c>
      <x:c r="O159" s="83" t="n">
        <x:v>63</x:v>
      </x:c>
      <x:c r="P159" s="83" t="str">
        <x:v>60-61</x:v>
      </x:c>
      <x:c r="Q159" s="83" t="str">
        <x:v>Tabella 16</x:v>
      </x:c>
      <x:c r="R159" s="83" t="str">
        <x:v>Assunzione di scenario</x:v>
      </x:c>
      <x:c r="S159" s="83" t="str">
        <x:v>Direct table extraction</x:v>
      </x:c>
      <x:c r="T159" s="83" t="str">
        <x:v>A — Direct</x:v>
      </x:c>
      <x:c r="U159" s="83" t="str">
        <x:v>Energy capacity by zone and class; derive power only where duration is specified.</x:v>
      </x:c>
      <x:c r="V159" s="83" t="str">
        <x:v>Small-scale source classes are 2 or 4 hours; utility-scale is 8 hours. CM duration is not stated.</x:v>
      </x:c>
    </x:row>
    <x:row r="160">
      <x:c r="A160" s="83" t="str">
        <x:v>SZ-156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Calabria</x:v>
      </x:c>
      <x:c r="F160" s="83" t="str">
        <x:v>Utility Scale</x:v>
      </x:c>
      <x:c r="G160" s="197" t="n">
        <x:v>1.8</x:v>
      </x:c>
      <x:c r="H160" s="203" t="b">
        <x:v>1</x:v>
      </x:c>
      <x:c r="I160" s="197" t="n">
        <x:v>8</x:v>
      </x:c>
      <x:c r="J160" s="197" t="n">
        <x:v>8</x:v>
      </x:c>
      <x:c r="K160" s="197" t="n">
        <x:f>IF(AND(G160&lt;&gt;"",J160&lt;&gt;""),G160/J160,"")</x:f>
        <x:v>0.225</x:v>
      </x:c>
      <x:c r="L160" s="197" t="n">
        <x:f>IF(AND(G160&lt;&gt;"",I160&lt;&gt;""),G160/I160,"")</x:f>
        <x:v>0.225</x:v>
      </x:c>
      <x:c r="M160" s="83" t="str">
        <x:v>S09</x:v>
      </x:c>
      <x:c r="N160" s="83" t="str">
        <x:v>Documento di Descrizione degli Scenari 2024</x:v>
      </x:c>
      <x:c r="O160" s="83" t="n">
        <x:v>63</x:v>
      </x:c>
      <x:c r="P160" s="83" t="str">
        <x:v>60-61</x:v>
      </x:c>
      <x:c r="Q160" s="83" t="str">
        <x:v>Tabella 16</x:v>
      </x:c>
      <x:c r="R160" s="83" t="str">
        <x:v>Assunzione di scenario</x:v>
      </x:c>
      <x:c r="S160" s="83" t="str">
        <x:v>Direct table extraction</x:v>
      </x:c>
      <x:c r="T160" s="83" t="str">
        <x:v>A — Direct</x:v>
      </x:c>
      <x:c r="U160" s="83" t="str">
        <x:v>Energy capacity by zone and class; derive power only where duration is specified.</x:v>
      </x:c>
      <x:c r="V160" s="83" t="str">
        <x:v>Small-scale source classes are 2 or 4 hours; utility-scale is 8 hours. CM duration is not stated.</x:v>
      </x:c>
    </x:row>
    <x:row r="161">
      <x:c r="A161" s="83" t="str">
        <x:v>SZ-157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Calabria</x:v>
      </x:c>
      <x:c r="F161" s="83" t="str">
        <x:v>Utility Scale</x:v>
      </x:c>
      <x:c r="G161" s="197" t="n">
        <x:v>7.2</x:v>
      </x:c>
      <x:c r="H161" s="203" t="b">
        <x:v>1</x:v>
      </x:c>
      <x:c r="I161" s="197" t="n">
        <x:v>8</x:v>
      </x:c>
      <x:c r="J161" s="197" t="n">
        <x:v>8</x:v>
      </x:c>
      <x:c r="K161" s="197" t="n">
        <x:f>IF(AND(G161&lt;&gt;"",J161&lt;&gt;""),G161/J161,"")</x:f>
        <x:v>0.9</x:v>
      </x:c>
      <x:c r="L161" s="197" t="n">
        <x:f>IF(AND(G161&lt;&gt;"",I161&lt;&gt;""),G161/I161,"")</x:f>
        <x:v>0.9</x:v>
      </x:c>
      <x:c r="M161" s="83" t="str">
        <x:v>S09</x:v>
      </x:c>
      <x:c r="N161" s="83" t="str">
        <x:v>Documento di Descrizione degli Scenari 2024</x:v>
      </x:c>
      <x:c r="O161" s="83" t="n">
        <x:v>63</x:v>
      </x:c>
      <x:c r="P161" s="83" t="str">
        <x:v>60-61</x:v>
      </x:c>
      <x:c r="Q161" s="83" t="str">
        <x:v>Tabella 16</x:v>
      </x:c>
      <x:c r="R161" s="83" t="str">
        <x:v>Assunzione di scenario</x:v>
      </x:c>
      <x:c r="S161" s="83" t="str">
        <x:v>Direct table extraction</x:v>
      </x:c>
      <x:c r="T161" s="83" t="str">
        <x:v>A — Direct</x:v>
      </x:c>
      <x:c r="U161" s="83" t="str">
        <x:v>Energy capacity by zone and class; derive power only where duration is specified.</x:v>
      </x:c>
      <x:c r="V161" s="83" t="str">
        <x:v>Small-scale source classes are 2 or 4 hours; utility-scale is 8 hours. CM duration is not stated.</x:v>
      </x:c>
    </x:row>
    <x:row r="162">
      <x:c r="A162" s="83" t="str">
        <x:v>SZ-158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Calabria</x:v>
      </x:c>
      <x:c r="F162" s="83" t="str">
        <x:v>Utility Scale</x:v>
      </x:c>
      <x:c r="G162" s="197" t="n">
        <x:v>5</x:v>
      </x:c>
      <x:c r="H162" s="203" t="b">
        <x:v>1</x:v>
      </x:c>
      <x:c r="I162" s="197" t="n">
        <x:v>8</x:v>
      </x:c>
      <x:c r="J162" s="197" t="n">
        <x:v>8</x:v>
      </x:c>
      <x:c r="K162" s="197" t="n">
        <x:f>IF(AND(G162&lt;&gt;"",J162&lt;&gt;""),G162/J162,"")</x:f>
        <x:v>0.625</x:v>
      </x:c>
      <x:c r="L162" s="197" t="n">
        <x:f>IF(AND(G162&lt;&gt;"",I162&lt;&gt;""),G162/I162,"")</x:f>
        <x:v>0.625</x:v>
      </x:c>
      <x:c r="M162" s="83" t="str">
        <x:v>S09</x:v>
      </x:c>
      <x:c r="N162" s="83" t="str">
        <x:v>Documento di Descrizione degli Scenari 2024</x:v>
      </x:c>
      <x:c r="O162" s="83" t="n">
        <x:v>63</x:v>
      </x:c>
      <x:c r="P162" s="83" t="str">
        <x:v>60-61</x:v>
      </x:c>
      <x:c r="Q162" s="83" t="str">
        <x:v>Tabella 16</x:v>
      </x:c>
      <x:c r="R162" s="83" t="str">
        <x:v>Assunzione di scenario</x:v>
      </x:c>
      <x:c r="S162" s="83" t="str">
        <x:v>Direct table extraction</x:v>
      </x:c>
      <x:c r="T162" s="83" t="str">
        <x:v>A — Direct</x:v>
      </x:c>
      <x:c r="U162" s="83" t="str">
        <x:v>Energy capacity by zone and class; derive power only where duration is specified.</x:v>
      </x:c>
      <x:c r="V162" s="83" t="str">
        <x:v>Small-scale source classes are 2 or 4 hours; utility-scale is 8 hours. CM duration is not stated.</x:v>
      </x:c>
    </x:row>
    <x:row r="163">
      <x:c r="A163" s="83" t="str">
        <x:v>SZ-159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Calabria</x:v>
      </x:c>
      <x:c r="F163" s="83" t="str">
        <x:v>Utility Scale</x:v>
      </x:c>
      <x:c r="G163" s="197" t="n">
        <x:v>5.5</x:v>
      </x:c>
      <x:c r="H163" s="203" t="b">
        <x:v>1</x:v>
      </x:c>
      <x:c r="I163" s="197" t="n">
        <x:v>8</x:v>
      </x:c>
      <x:c r="J163" s="197" t="n">
        <x:v>8</x:v>
      </x:c>
      <x:c r="K163" s="197" t="n">
        <x:f>IF(AND(G163&lt;&gt;"",J163&lt;&gt;""),G163/J163,"")</x:f>
        <x:v>0.6875</x:v>
      </x:c>
      <x:c r="L163" s="197" t="n">
        <x:f>IF(AND(G163&lt;&gt;"",I163&lt;&gt;""),G163/I163,"")</x:f>
        <x:v>0.6875</x:v>
      </x:c>
      <x:c r="M163" s="83" t="str">
        <x:v>S09</x:v>
      </x:c>
      <x:c r="N163" s="83" t="str">
        <x:v>Documento di Descrizione degli Scenari 2024</x:v>
      </x:c>
      <x:c r="O163" s="83" t="n">
        <x:v>63</x:v>
      </x:c>
      <x:c r="P163" s="83" t="str">
        <x:v>60-61</x:v>
      </x:c>
      <x:c r="Q163" s="83" t="str">
        <x:v>Tabella 16</x:v>
      </x:c>
      <x:c r="R163" s="83" t="str">
        <x:v>Assunzione di scenario</x:v>
      </x:c>
      <x:c r="S163" s="83" t="str">
        <x:v>Direct table extraction</x:v>
      </x:c>
      <x:c r="T163" s="83" t="str">
        <x:v>A — Direct</x:v>
      </x:c>
      <x:c r="U163" s="83" t="str">
        <x:v>Energy capacity by zone and class; derive power only where duration is specified.</x:v>
      </x:c>
      <x:c r="V163" s="83" t="str">
        <x:v>Small-scale source classes are 2 or 4 hours; utility-scale is 8 hours. CM duration is not stated.</x:v>
      </x:c>
    </x:row>
    <x:row r="164">
      <x:c r="A164" s="83" t="str">
        <x:v>SZ-160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Calabria</x:v>
      </x:c>
      <x:c r="F164" s="83" t="str">
        <x:v>Utility Scale</x:v>
      </x:c>
      <x:c r="G164" s="197" t="n">
        <x:v>10.4</x:v>
      </x:c>
      <x:c r="H164" s="203" t="b">
        <x:v>1</x:v>
      </x:c>
      <x:c r="I164" s="197" t="n">
        <x:v>8</x:v>
      </x:c>
      <x:c r="J164" s="197" t="n">
        <x:v>8</x:v>
      </x:c>
      <x:c r="K164" s="197" t="n">
        <x:f>IF(AND(G164&lt;&gt;"",J164&lt;&gt;""),G164/J164,"")</x:f>
        <x:v>1.3</x:v>
      </x:c>
      <x:c r="L164" s="197" t="n">
        <x:f>IF(AND(G164&lt;&gt;"",I164&lt;&gt;""),G164/I164,"")</x:f>
        <x:v>1.3</x:v>
      </x:c>
      <x:c r="M164" s="83" t="str">
        <x:v>S09</x:v>
      </x:c>
      <x:c r="N164" s="83" t="str">
        <x:v>Documento di Descrizione degli Scenari 2024</x:v>
      </x:c>
      <x:c r="O164" s="83" t="n">
        <x:v>63</x:v>
      </x:c>
      <x:c r="P164" s="83" t="str">
        <x:v>60-61</x:v>
      </x:c>
      <x:c r="Q164" s="83" t="str">
        <x:v>Tabella 16</x:v>
      </x:c>
      <x:c r="R164" s="83" t="str">
        <x:v>Assunzione di scenario</x:v>
      </x:c>
      <x:c r="S164" s="83" t="str">
        <x:v>Direct table extraction</x:v>
      </x:c>
      <x:c r="T164" s="83" t="str">
        <x:v>A — Direct</x:v>
      </x:c>
      <x:c r="U164" s="83" t="str">
        <x:v>Energy capacity by zone and class; derive power only where duration is specified.</x:v>
      </x:c>
      <x:c r="V164" s="83" t="str">
        <x:v>Small-scale source classes are 2 or 4 hours; utility-scale is 8 hours. CM duration is not stated.</x:v>
      </x:c>
    </x:row>
    <x:row r="165">
      <x:c r="A165" s="83" t="str">
        <x:v>SZ-161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Calabria</x:v>
      </x:c>
      <x:c r="F165" s="83" t="str">
        <x:v>Utility Scale</x:v>
      </x:c>
      <x:c r="G165" s="197" t="n">
        <x:v>8.5</x:v>
      </x:c>
      <x:c r="H165" s="203" t="b">
        <x:v>1</x:v>
      </x:c>
      <x:c r="I165" s="197" t="n">
        <x:v>8</x:v>
      </x:c>
      <x:c r="J165" s="197" t="n">
        <x:v>8</x:v>
      </x:c>
      <x:c r="K165" s="197" t="n">
        <x:f>IF(AND(G165&lt;&gt;"",J165&lt;&gt;""),G165/J165,"")</x:f>
        <x:v>1.0625</x:v>
      </x:c>
      <x:c r="L165" s="197" t="n">
        <x:f>IF(AND(G165&lt;&gt;"",I165&lt;&gt;""),G165/I165,"")</x:f>
        <x:v>1.0625</x:v>
      </x:c>
      <x:c r="M165" s="83" t="str">
        <x:v>S09</x:v>
      </x:c>
      <x:c r="N165" s="83" t="str">
        <x:v>Documento di Descrizione degli Scenari 2024</x:v>
      </x:c>
      <x:c r="O165" s="83" t="n">
        <x:v>63</x:v>
      </x:c>
      <x:c r="P165" s="83" t="str">
        <x:v>60-61</x:v>
      </x:c>
      <x:c r="Q165" s="83" t="str">
        <x:v>Tabella 16</x:v>
      </x:c>
      <x:c r="R165" s="83" t="str">
        <x:v>Assunzione di scenario</x:v>
      </x:c>
      <x:c r="S165" s="83" t="str">
        <x:v>Direct table extraction</x:v>
      </x:c>
      <x:c r="T165" s="83" t="str">
        <x:v>A — Direct</x:v>
      </x:c>
      <x:c r="U165" s="83" t="str">
        <x:v>Energy capacity by zone and class; derive power only where duration is specified.</x:v>
      </x:c>
      <x:c r="V165" s="83" t="str">
        <x:v>Small-scale source classes are 2 or 4 hours; utility-scale is 8 hours. CM duration is not stated.</x:v>
      </x:c>
    </x:row>
    <x:row r="166">
      <x:c r="A166" s="83" t="str">
        <x:v>SZ-162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Calabria</x:v>
      </x:c>
      <x:c r="F166" s="83" t="str">
        <x:v>Utility Scale</x:v>
      </x:c>
      <x:c r="G166" s="197" t="n">
        <x:v>9.6</x:v>
      </x:c>
      <x:c r="H166" s="203" t="b">
        <x:v>1</x:v>
      </x:c>
      <x:c r="I166" s="197" t="n">
        <x:v>8</x:v>
      </x:c>
      <x:c r="J166" s="197" t="n">
        <x:v>8</x:v>
      </x:c>
      <x:c r="K166" s="197" t="n">
        <x:f>IF(AND(G166&lt;&gt;"",J166&lt;&gt;""),G166/J166,"")</x:f>
        <x:v>1.2</x:v>
      </x:c>
      <x:c r="L166" s="197" t="n">
        <x:f>IF(AND(G166&lt;&gt;"",I166&lt;&gt;""),G166/I166,"")</x:f>
        <x:v>1.2</x:v>
      </x:c>
      <x:c r="M166" s="83" t="str">
        <x:v>S09</x:v>
      </x:c>
      <x:c r="N166" s="83" t="str">
        <x:v>Documento di Descrizione degli Scenari 2024</x:v>
      </x:c>
      <x:c r="O166" s="83" t="n">
        <x:v>63</x:v>
      </x:c>
      <x:c r="P166" s="83" t="str">
        <x:v>60-61</x:v>
      </x:c>
      <x:c r="Q166" s="83" t="str">
        <x:v>Tabella 16</x:v>
      </x:c>
      <x:c r="R166" s="83" t="str">
        <x:v>Assunzione di scenario</x:v>
      </x:c>
      <x:c r="S166" s="83" t="str">
        <x:v>Direct table extraction</x:v>
      </x:c>
      <x:c r="T166" s="83" t="str">
        <x:v>A — Direct</x:v>
      </x:c>
      <x:c r="U166" s="83" t="str">
        <x:v>Energy capacity by zone and class; derive power only where duration is specified.</x:v>
      </x:c>
      <x:c r="V166" s="83" t="str">
        <x:v>Small-scale source classes are 2 or 4 hours; utility-scale is 8 hours. CM duration is not stated.</x:v>
      </x:c>
    </x:row>
    <x:row r="167">
      <x:c r="A167" s="83" t="str">
        <x:v>SZ-163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Calabria</x:v>
      </x:c>
      <x:c r="F167" s="83" t="str">
        <x:v>CM</x:v>
      </x:c>
      <x:c r="G167" s="197" t="n">
        <x:v>0</x:v>
      </x:c>
      <x:c r="H167" s="203" t="b">
        <x:v>1</x:v>
      </x:c>
      <x:c r="I167" s="197"/>
      <x:c r="J167" s="197"/>
      <x:c r="K167" s="197" t="str">
        <x:f>IF(AND(G167&lt;&gt;"",J167&lt;&gt;""),G167/J167,"")</x:f>
      </x:c>
      <x:c r="L167" s="197" t="str">
        <x:f>IF(AND(G167&lt;&gt;"",I167&lt;&gt;""),G167/I167,"")</x:f>
      </x:c>
      <x:c r="M167" s="83" t="str">
        <x:v>S09</x:v>
      </x:c>
      <x:c r="N167" s="83" t="str">
        <x:v>Documento di Descrizione degli Scenari 2024</x:v>
      </x:c>
      <x:c r="O167" s="83" t="n">
        <x:v>63</x:v>
      </x:c>
      <x:c r="P167" s="83" t="str">
        <x:v>60-61</x:v>
      </x:c>
      <x:c r="Q167" s="83" t="str">
        <x:v>Tabella 16</x:v>
      </x:c>
      <x:c r="R167" s="83" t="str">
        <x:v>Dato osservato storico nel DDS</x:v>
      </x:c>
      <x:c r="S167" s="83" t="str">
        <x:v>Direct table extraction</x:v>
      </x:c>
      <x:c r="T167" s="83" t="str">
        <x:v>A — Direct</x:v>
      </x:c>
      <x:c r="U167" s="83" t="str">
        <x:v>Energy capacity by zone and class; derive power only where duration is specified.</x:v>
      </x:c>
      <x:c r="V167" s="83" t="str">
        <x:v>Small-scale source classes are 2 or 4 hours; utility-scale is 8 hours. CM duration is not stated.</x:v>
      </x:c>
    </x:row>
    <x:row r="168">
      <x:c r="A168" s="83" t="str">
        <x:v>SZ-164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Calabria</x:v>
      </x:c>
      <x:c r="F168" s="83" t="str">
        <x:v>CM</x:v>
      </x:c>
      <x:c r="G168" s="197" t="n">
        <x:v>0</x:v>
      </x:c>
      <x:c r="H168" s="203" t="b">
        <x:v>1</x:v>
      </x:c>
      <x:c r="I168" s="197"/>
      <x:c r="J168" s="197"/>
      <x:c r="K168" s="197" t="str">
        <x:f>IF(AND(G168&lt;&gt;"",J168&lt;&gt;""),G168/J168,"")</x:f>
      </x:c>
      <x:c r="L168" s="197" t="str">
        <x:f>IF(AND(G168&lt;&gt;"",I168&lt;&gt;""),G168/I168,"")</x:f>
      </x:c>
      <x:c r="M168" s="83" t="str">
        <x:v>S09</x:v>
      </x:c>
      <x:c r="N168" s="83" t="str">
        <x:v>Documento di Descrizione degli Scenari 2024</x:v>
      </x:c>
      <x:c r="O168" s="83" t="n">
        <x:v>63</x:v>
      </x:c>
      <x:c r="P168" s="83" t="str">
        <x:v>60-61</x:v>
      </x:c>
      <x:c r="Q168" s="83" t="str">
        <x:v>Tabella 16</x:v>
      </x:c>
      <x:c r="R168" s="83" t="str">
        <x:v>Assunzione di scenario</x:v>
      </x:c>
      <x:c r="S168" s="83" t="str">
        <x:v>Direct table extraction</x:v>
      </x:c>
      <x:c r="T168" s="83" t="str">
        <x:v>A — Direct</x:v>
      </x:c>
      <x:c r="U168" s="83" t="str">
        <x:v>Energy capacity by zone and class; derive power only where duration is specified.</x:v>
      </x:c>
      <x:c r="V168" s="83" t="str">
        <x:v>Small-scale source classes are 2 or 4 hours; utility-scale is 8 hours. CM duration is not stated.</x:v>
      </x:c>
    </x:row>
    <x:row r="169">
      <x:c r="A169" s="83" t="str">
        <x:v>SZ-165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Calabria</x:v>
      </x:c>
      <x:c r="F169" s="83" t="str">
        <x:v>CM</x:v>
      </x:c>
      <x:c r="G169" s="197" t="n">
        <x:v>0</x:v>
      </x:c>
      <x:c r="H169" s="203" t="b">
        <x:v>1</x:v>
      </x:c>
      <x:c r="I169" s="197"/>
      <x:c r="J169" s="197"/>
      <x:c r="K169" s="197" t="str">
        <x:f>IF(AND(G169&lt;&gt;"",J169&lt;&gt;""),G169/J169,"")</x:f>
      </x:c>
      <x:c r="L169" s="197" t="str">
        <x:f>IF(AND(G169&lt;&gt;"",I169&lt;&gt;""),G169/I169,"")</x:f>
      </x:c>
      <x:c r="M169" s="83" t="str">
        <x:v>S09</x:v>
      </x:c>
      <x:c r="N169" s="83" t="str">
        <x:v>Documento di Descrizione degli Scenari 2024</x:v>
      </x:c>
      <x:c r="O169" s="83" t="n">
        <x:v>63</x:v>
      </x:c>
      <x:c r="P169" s="83" t="str">
        <x:v>60-61</x:v>
      </x:c>
      <x:c r="Q169" s="83" t="str">
        <x:v>Tabella 16</x:v>
      </x:c>
      <x:c r="R169" s="83" t="str">
        <x:v>Assunzione di scenario</x:v>
      </x:c>
      <x:c r="S169" s="83" t="str">
        <x:v>Direct table extraction</x:v>
      </x:c>
      <x:c r="T169" s="83" t="str">
        <x:v>A — Direct</x:v>
      </x:c>
      <x:c r="U169" s="83" t="str">
        <x:v>Energy capacity by zone and class; derive power only where duration is specified.</x:v>
      </x:c>
      <x:c r="V169" s="83" t="str">
        <x:v>Small-scale source classes are 2 or 4 hours; utility-scale is 8 hours. CM duration is not stated.</x:v>
      </x:c>
    </x:row>
    <x:row r="170">
      <x:c r="A170" s="83" t="str">
        <x:v>SZ-166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Calabria</x:v>
      </x:c>
      <x:c r="F170" s="83" t="str">
        <x:v>CM</x:v>
      </x:c>
      <x:c r="G170" s="197" t="n">
        <x:v>0</x:v>
      </x:c>
      <x:c r="H170" s="203" t="b">
        <x:v>1</x:v>
      </x:c>
      <x:c r="I170" s="197"/>
      <x:c r="J170" s="197"/>
      <x:c r="K170" s="197" t="str">
        <x:f>IF(AND(G170&lt;&gt;"",J170&lt;&gt;""),G170/J170,"")</x:f>
      </x:c>
      <x:c r="L170" s="197" t="str">
        <x:f>IF(AND(G170&lt;&gt;"",I170&lt;&gt;""),G170/I170,"")</x:f>
      </x:c>
      <x:c r="M170" s="83" t="str">
        <x:v>S09</x:v>
      </x:c>
      <x:c r="N170" s="83" t="str">
        <x:v>Documento di Descrizione degli Scenari 2024</x:v>
      </x:c>
      <x:c r="O170" s="83" t="n">
        <x:v>63</x:v>
      </x:c>
      <x:c r="P170" s="83" t="str">
        <x:v>60-61</x:v>
      </x:c>
      <x:c r="Q170" s="83" t="str">
        <x:v>Tabella 16</x:v>
      </x:c>
      <x:c r="R170" s="83" t="str">
        <x:v>Assunzione di scenario</x:v>
      </x:c>
      <x:c r="S170" s="83" t="str">
        <x:v>Direct table extraction</x:v>
      </x:c>
      <x:c r="T170" s="83" t="str">
        <x:v>A — Direct</x:v>
      </x:c>
      <x:c r="U170" s="83" t="str">
        <x:v>Energy capacity by zone and class; derive power only where duration is specified.</x:v>
      </x:c>
      <x:c r="V170" s="83" t="str">
        <x:v>Small-scale source classes are 2 or 4 hours; utility-scale is 8 hours. CM duration is not stated.</x:v>
      </x:c>
    </x:row>
    <x:row r="171">
      <x:c r="A171" s="83" t="str">
        <x:v>SZ-167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Calabria</x:v>
      </x:c>
      <x:c r="F171" s="83" t="str">
        <x:v>CM</x:v>
      </x:c>
      <x:c r="G171" s="197" t="n">
        <x:v>0</x:v>
      </x:c>
      <x:c r="H171" s="203" t="b">
        <x:v>1</x:v>
      </x:c>
      <x:c r="I171" s="197"/>
      <x:c r="J171" s="197"/>
      <x:c r="K171" s="197" t="str">
        <x:f>IF(AND(G171&lt;&gt;"",J171&lt;&gt;""),G171/J171,"")</x:f>
      </x:c>
      <x:c r="L171" s="197" t="str">
        <x:f>IF(AND(G171&lt;&gt;"",I171&lt;&gt;""),G171/I171,"")</x:f>
      </x:c>
      <x:c r="M171" s="83" t="str">
        <x:v>S09</x:v>
      </x:c>
      <x:c r="N171" s="83" t="str">
        <x:v>Documento di Descrizione degli Scenari 2024</x:v>
      </x:c>
      <x:c r="O171" s="83" t="n">
        <x:v>63</x:v>
      </x:c>
      <x:c r="P171" s="83" t="str">
        <x:v>60-61</x:v>
      </x:c>
      <x:c r="Q171" s="83" t="str">
        <x:v>Tabella 16</x:v>
      </x:c>
      <x:c r="R171" s="83" t="str">
        <x:v>Assunzione di scenario</x:v>
      </x:c>
      <x:c r="S171" s="83" t="str">
        <x:v>Direct table extraction</x:v>
      </x:c>
      <x:c r="T171" s="83" t="str">
        <x:v>A — Direct</x:v>
      </x:c>
      <x:c r="U171" s="83" t="str">
        <x:v>Energy capacity by zone and class; derive power only where duration is specified.</x:v>
      </x:c>
      <x:c r="V171" s="83" t="str">
        <x:v>Small-scale source classes are 2 or 4 hours; utility-scale is 8 hours. CM duration is not stated.</x:v>
      </x:c>
    </x:row>
    <x:row r="172">
      <x:c r="A172" s="83" t="str">
        <x:v>SZ-168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Calabria</x:v>
      </x:c>
      <x:c r="F172" s="83" t="str">
        <x:v>CM</x:v>
      </x:c>
      <x:c r="G172" s="197" t="n">
        <x:v>0</x:v>
      </x:c>
      <x:c r="H172" s="203" t="b">
        <x:v>1</x:v>
      </x:c>
      <x:c r="I172" s="197"/>
      <x:c r="J172" s="197"/>
      <x:c r="K172" s="197" t="str">
        <x:f>IF(AND(G172&lt;&gt;"",J172&lt;&gt;""),G172/J172,"")</x:f>
      </x:c>
      <x:c r="L172" s="197" t="str">
        <x:f>IF(AND(G172&lt;&gt;"",I172&lt;&gt;""),G172/I172,"")</x:f>
      </x:c>
      <x:c r="M172" s="83" t="str">
        <x:v>S09</x:v>
      </x:c>
      <x:c r="N172" s="83" t="str">
        <x:v>Documento di Descrizione degli Scenari 2024</x:v>
      </x:c>
      <x:c r="O172" s="83" t="n">
        <x:v>63</x:v>
      </x:c>
      <x:c r="P172" s="83" t="str">
        <x:v>60-61</x:v>
      </x:c>
      <x:c r="Q172" s="83" t="str">
        <x:v>Tabella 16</x:v>
      </x:c>
      <x:c r="R172" s="83" t="str">
        <x:v>Assunzione di scenario</x:v>
      </x:c>
      <x:c r="S172" s="83" t="str">
        <x:v>Direct table extraction</x:v>
      </x:c>
      <x:c r="T172" s="83" t="str">
        <x:v>A — Direct</x:v>
      </x:c>
      <x:c r="U172" s="83" t="str">
        <x:v>Energy capacity by zone and class; derive power only where duration is specified.</x:v>
      </x:c>
      <x:c r="V172" s="83" t="str">
        <x:v>Small-scale source classes are 2 or 4 hours; utility-scale is 8 hours. CM duration is not stated.</x:v>
      </x:c>
    </x:row>
    <x:row r="173">
      <x:c r="A173" s="83" t="str">
        <x:v>SZ-169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Calabria</x:v>
      </x:c>
      <x:c r="F173" s="83" t="str">
        <x:v>CM</x:v>
      </x:c>
      <x:c r="G173" s="197" t="n">
        <x:v>0</x:v>
      </x:c>
      <x:c r="H173" s="203" t="b">
        <x:v>1</x:v>
      </x:c>
      <x:c r="I173" s="197"/>
      <x:c r="J173" s="197"/>
      <x:c r="K173" s="197" t="str">
        <x:f>IF(AND(G173&lt;&gt;"",J173&lt;&gt;""),G173/J173,"")</x:f>
      </x:c>
      <x:c r="L173" s="197" t="str">
        <x:f>IF(AND(G173&lt;&gt;"",I173&lt;&gt;""),G173/I173,"")</x:f>
      </x:c>
      <x:c r="M173" s="83" t="str">
        <x:v>S09</x:v>
      </x:c>
      <x:c r="N173" s="83" t="str">
        <x:v>Documento di Descrizione degli Scenari 2024</x:v>
      </x:c>
      <x:c r="O173" s="83" t="n">
        <x:v>63</x:v>
      </x:c>
      <x:c r="P173" s="83" t="str">
        <x:v>60-61</x:v>
      </x:c>
      <x:c r="Q173" s="83" t="str">
        <x:v>Tabella 16</x:v>
      </x:c>
      <x:c r="R173" s="83" t="str">
        <x:v>Assunzione di scenario</x:v>
      </x:c>
      <x:c r="S173" s="83" t="str">
        <x:v>Direct table extraction</x:v>
      </x:c>
      <x:c r="T173" s="83" t="str">
        <x:v>A — Direct</x:v>
      </x:c>
      <x:c r="U173" s="83" t="str">
        <x:v>Energy capacity by zone and class; derive power only where duration is specified.</x:v>
      </x:c>
      <x:c r="V173" s="83" t="str">
        <x:v>Small-scale source classes are 2 or 4 hours; utility-scale is 8 hours. CM duration is not stated.</x:v>
      </x:c>
    </x:row>
    <x:row r="174">
      <x:c r="A174" s="83" t="str">
        <x:v>SZ-170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Calabria</x:v>
      </x:c>
      <x:c r="F174" s="83" t="str">
        <x:v>CM</x:v>
      </x:c>
      <x:c r="G174" s="197" t="n">
        <x:v>0</x:v>
      </x:c>
      <x:c r="H174" s="203" t="b">
        <x:v>1</x:v>
      </x:c>
      <x:c r="I174" s="197"/>
      <x:c r="J174" s="197"/>
      <x:c r="K174" s="197" t="str">
        <x:f>IF(AND(G174&lt;&gt;"",J174&lt;&gt;""),G174/J174,"")</x:f>
      </x:c>
      <x:c r="L174" s="197" t="str">
        <x:f>IF(AND(G174&lt;&gt;"",I174&lt;&gt;""),G174/I174,"")</x:f>
      </x:c>
      <x:c r="M174" s="83" t="str">
        <x:v>S09</x:v>
      </x:c>
      <x:c r="N174" s="83" t="str">
        <x:v>Documento di Descrizione degli Scenari 2024</x:v>
      </x:c>
      <x:c r="O174" s="83" t="n">
        <x:v>63</x:v>
      </x:c>
      <x:c r="P174" s="83" t="str">
        <x:v>60-61</x:v>
      </x:c>
      <x:c r="Q174" s="83" t="str">
        <x:v>Tabella 16</x:v>
      </x:c>
      <x:c r="R174" s="83" t="str">
        <x:v>Assunzione di scenario</x:v>
      </x:c>
      <x:c r="S174" s="83" t="str">
        <x:v>Direct table extraction</x:v>
      </x:c>
      <x:c r="T174" s="83" t="str">
        <x:v>A — Direct</x:v>
      </x:c>
      <x:c r="U174" s="83" t="str">
        <x:v>Energy capacity by zone and class; derive power only where duration is specified.</x:v>
      </x:c>
      <x:c r="V174" s="83" t="str">
        <x:v>Small-scale source classes are 2 or 4 hours; utility-scale is 8 hours. CM duration is not stated.</x:v>
      </x:c>
    </x:row>
    <x:row r="175">
      <x:c r="A175" s="83" t="str">
        <x:v>SZ-171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Calabria</x:v>
      </x:c>
      <x:c r="F175" s="83" t="str">
        <x:v>CM</x:v>
      </x:c>
      <x:c r="G175" s="197" t="n">
        <x:v>0</x:v>
      </x:c>
      <x:c r="H175" s="203" t="b">
        <x:v>1</x:v>
      </x:c>
      <x:c r="I175" s="197"/>
      <x:c r="J175" s="197"/>
      <x:c r="K175" s="197" t="str">
        <x:f>IF(AND(G175&lt;&gt;"",J175&lt;&gt;""),G175/J175,"")</x:f>
      </x:c>
      <x:c r="L175" s="197" t="str">
        <x:f>IF(AND(G175&lt;&gt;"",I175&lt;&gt;""),G175/I175,"")</x:f>
      </x:c>
      <x:c r="M175" s="83" t="str">
        <x:v>S09</x:v>
      </x:c>
      <x:c r="N175" s="83" t="str">
        <x:v>Documento di Descrizione degli Scenari 2024</x:v>
      </x:c>
      <x:c r="O175" s="83" t="n">
        <x:v>63</x:v>
      </x:c>
      <x:c r="P175" s="83" t="str">
        <x:v>60-61</x:v>
      </x:c>
      <x:c r="Q175" s="83" t="str">
        <x:v>Tabella 16</x:v>
      </x:c>
      <x:c r="R175" s="83" t="str">
        <x:v>Assunzione di scenario</x:v>
      </x:c>
      <x:c r="S175" s="83" t="str">
        <x:v>Direct table extraction</x:v>
      </x:c>
      <x:c r="T175" s="83" t="str">
        <x:v>A — Direct</x:v>
      </x:c>
      <x:c r="U175" s="83" t="str">
        <x:v>Energy capacity by zone and class; derive power only where duration is specified.</x:v>
      </x:c>
      <x:c r="V175" s="83" t="str">
        <x:v>Small-scale source classes are 2 or 4 hours; utility-scale is 8 hours. CM duration is not stated.</x:v>
      </x:c>
    </x:row>
    <x:row r="176">
      <x:c r="A176" s="83" t="str">
        <x:v>SZ-172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Calabria</x:v>
      </x:c>
      <x:c r="F176" s="83" t="str">
        <x:v>Totale</x:v>
      </x:c>
      <x:c r="G176" s="197" t="n">
        <x:v>0.2</x:v>
      </x:c>
      <x:c r="H176" s="203" t="b">
        <x:v>1</x:v>
      </x:c>
      <x:c r="I176" s="197"/>
      <x:c r="J176" s="197"/>
      <x:c r="K176" s="197" t="str">
        <x:f>IF(AND(G176&lt;&gt;"",J176&lt;&gt;""),G176/J176,"")</x:f>
      </x:c>
      <x:c r="L176" s="197" t="str">
        <x:f>IF(AND(G176&lt;&gt;"",I176&lt;&gt;""),G176/I176,"")</x:f>
      </x:c>
      <x:c r="M176" s="83" t="str">
        <x:v>S09</x:v>
      </x:c>
      <x:c r="N176" s="83" t="str">
        <x:v>Documento di Descrizione degli Scenari 2024</x:v>
      </x:c>
      <x:c r="O176" s="83" t="n">
        <x:v>63</x:v>
      </x:c>
      <x:c r="P176" s="83" t="str">
        <x:v>60-61</x:v>
      </x:c>
      <x:c r="Q176" s="83" t="str">
        <x:v>Tabella 16</x:v>
      </x:c>
      <x:c r="R176" s="83" t="str">
        <x:v>Dato osservato storico nel DDS</x:v>
      </x:c>
      <x:c r="S176" s="83" t="str">
        <x:v>Direct table extraction</x:v>
      </x:c>
      <x:c r="T176" s="83" t="str">
        <x:v>A — Direct</x:v>
      </x:c>
      <x:c r="U176" s="83" t="str">
        <x:v>Energy capacity by zone and class; derive power only where duration is specified.</x:v>
      </x:c>
      <x:c r="V176" s="83" t="str">
        <x:v>Small-scale source classes are 2 or 4 hours; utility-scale is 8 hours. CM duration is not stated.</x:v>
      </x:c>
    </x:row>
    <x:row r="177">
      <x:c r="A177" s="83" t="str">
        <x:v>SZ-173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Calabria</x:v>
      </x:c>
      <x:c r="F177" s="83" t="str">
        <x:v>Totale</x:v>
      </x:c>
      <x:c r="G177" s="197" t="n">
        <x:v>3.5</x:v>
      </x:c>
      <x:c r="H177" s="203" t="b">
        <x:v>1</x:v>
      </x:c>
      <x:c r="I177" s="197"/>
      <x:c r="J177" s="197"/>
      <x:c r="K177" s="197" t="str">
        <x:f>IF(AND(G177&lt;&gt;"",J177&lt;&gt;""),G177/J177,"")</x:f>
      </x:c>
      <x:c r="L177" s="197" t="str">
        <x:f>IF(AND(G177&lt;&gt;"",I177&lt;&gt;""),G177/I177,"")</x:f>
      </x:c>
      <x:c r="M177" s="83" t="str">
        <x:v>S09</x:v>
      </x:c>
      <x:c r="N177" s="83" t="str">
        <x:v>Documento di Descrizione degli Scenari 2024</x:v>
      </x:c>
      <x:c r="O177" s="83" t="n">
        <x:v>63</x:v>
      </x:c>
      <x:c r="P177" s="83" t="str">
        <x:v>60-61</x:v>
      </x:c>
      <x:c r="Q177" s="83" t="str">
        <x:v>Tabella 16</x:v>
      </x:c>
      <x:c r="R177" s="83" t="str">
        <x:v>Assunzione di scenario</x:v>
      </x:c>
      <x:c r="S177" s="83" t="str">
        <x:v>Direct table extraction</x:v>
      </x:c>
      <x:c r="T177" s="83" t="str">
        <x:v>A — Direct</x:v>
      </x:c>
      <x:c r="U177" s="83" t="str">
        <x:v>Energy capacity by zone and class; derive power only where duration is specified.</x:v>
      </x:c>
      <x:c r="V177" s="83" t="str">
        <x:v>Small-scale source classes are 2 or 4 hours; utility-scale is 8 hours. CM duration is not stated.</x:v>
      </x:c>
    </x:row>
    <x:row r="178">
      <x:c r="A178" s="83" t="str">
        <x:v>SZ-174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Calabria</x:v>
      </x:c>
      <x:c r="F178" s="83" t="str">
        <x:v>Totale</x:v>
      </x:c>
      <x:c r="G178" s="197" t="n">
        <x:v>2.2</x:v>
      </x:c>
      <x:c r="H178" s="203" t="b">
        <x:v>1</x:v>
      </x:c>
      <x:c r="I178" s="197"/>
      <x:c r="J178" s="197"/>
      <x:c r="K178" s="197" t="str">
        <x:f>IF(AND(G178&lt;&gt;"",J178&lt;&gt;""),G178/J178,"")</x:f>
      </x:c>
      <x:c r="L178" s="197" t="str">
        <x:f>IF(AND(G178&lt;&gt;"",I178&lt;&gt;""),G178/I178,"")</x:f>
      </x:c>
      <x:c r="M178" s="83" t="str">
        <x:v>S09</x:v>
      </x:c>
      <x:c r="N178" s="83" t="str">
        <x:v>Documento di Descrizione degli Scenari 2024</x:v>
      </x:c>
      <x:c r="O178" s="83" t="n">
        <x:v>63</x:v>
      </x:c>
      <x:c r="P178" s="83" t="str">
        <x:v>60-61</x:v>
      </x:c>
      <x:c r="Q178" s="83" t="str">
        <x:v>Tabella 16</x:v>
      </x:c>
      <x:c r="R178" s="83" t="str">
        <x:v>Assunzione di scenario</x:v>
      </x:c>
      <x:c r="S178" s="83" t="str">
        <x:v>Direct table extraction</x:v>
      </x:c>
      <x:c r="T178" s="83" t="str">
        <x:v>A — Direct</x:v>
      </x:c>
      <x:c r="U178" s="83" t="str">
        <x:v>Energy capacity by zone and class; derive power only where duration is specified.</x:v>
      </x:c>
      <x:c r="V178" s="83" t="str">
        <x:v>Small-scale source classes are 2 or 4 hours; utility-scale is 8 hours. CM duration is not stated.</x:v>
      </x:c>
    </x:row>
    <x:row r="179">
      <x:c r="A179" s="83" t="str">
        <x:v>SZ-175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Calabria</x:v>
      </x:c>
      <x:c r="F179" s="83" t="str">
        <x:v>Totale</x:v>
      </x:c>
      <x:c r="G179" s="197" t="n">
        <x:v>7.6</x:v>
      </x:c>
      <x:c r="H179" s="203" t="b">
        <x:v>1</x:v>
      </x:c>
      <x:c r="I179" s="197"/>
      <x:c r="J179" s="197"/>
      <x:c r="K179" s="197" t="str">
        <x:f>IF(AND(G179&lt;&gt;"",J179&lt;&gt;""),G179/J179,"")</x:f>
      </x:c>
      <x:c r="L179" s="197" t="str">
        <x:f>IF(AND(G179&lt;&gt;"",I179&lt;&gt;""),G179/I179,"")</x:f>
      </x:c>
      <x:c r="M179" s="83" t="str">
        <x:v>S09</x:v>
      </x:c>
      <x:c r="N179" s="83" t="str">
        <x:v>Documento di Descrizione degli Scenari 2024</x:v>
      </x:c>
      <x:c r="O179" s="83" t="n">
        <x:v>63</x:v>
      </x:c>
      <x:c r="P179" s="83" t="str">
        <x:v>60-61</x:v>
      </x:c>
      <x:c r="Q179" s="83" t="str">
        <x:v>Tabella 16</x:v>
      </x:c>
      <x:c r="R179" s="83" t="str">
        <x:v>Assunzione di scenario</x:v>
      </x:c>
      <x:c r="S179" s="83" t="str">
        <x:v>Direct table extraction</x:v>
      </x:c>
      <x:c r="T179" s="83" t="str">
        <x:v>A — Direct</x:v>
      </x:c>
      <x:c r="U179" s="83" t="str">
        <x:v>Energy capacity by zone and class; derive power only where duration is specified.</x:v>
      </x:c>
      <x:c r="V179" s="83" t="str">
        <x:v>Small-scale source classes are 2 or 4 hours; utility-scale is 8 hours. CM duration is not stated.</x:v>
      </x:c>
    </x:row>
    <x:row r="180">
      <x:c r="A180" s="83" t="str">
        <x:v>SZ-176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Calabria</x:v>
      </x:c>
      <x:c r="F180" s="83" t="str">
        <x:v>Totale</x:v>
      </x:c>
      <x:c r="G180" s="197" t="n">
        <x:v>5.4</x:v>
      </x:c>
      <x:c r="H180" s="203" t="b">
        <x:v>1</x:v>
      </x:c>
      <x:c r="I180" s="197"/>
      <x:c r="J180" s="197"/>
      <x:c r="K180" s="197" t="str">
        <x:f>IF(AND(G180&lt;&gt;"",J180&lt;&gt;""),G180/J180,"")</x:f>
      </x:c>
      <x:c r="L180" s="197" t="str">
        <x:f>IF(AND(G180&lt;&gt;"",I180&lt;&gt;""),G180/I180,"")</x:f>
      </x:c>
      <x:c r="M180" s="83" t="str">
        <x:v>S09</x:v>
      </x:c>
      <x:c r="N180" s="83" t="str">
        <x:v>Documento di Descrizione degli Scenari 2024</x:v>
      </x:c>
      <x:c r="O180" s="83" t="n">
        <x:v>63</x:v>
      </x:c>
      <x:c r="P180" s="83" t="str">
        <x:v>60-61</x:v>
      </x:c>
      <x:c r="Q180" s="83" t="str">
        <x:v>Tabella 16</x:v>
      </x:c>
      <x:c r="R180" s="83" t="str">
        <x:v>Assunzione di scenario</x:v>
      </x:c>
      <x:c r="S180" s="83" t="str">
        <x:v>Direct table extraction</x:v>
      </x:c>
      <x:c r="T180" s="83" t="str">
        <x:v>A — Direct</x:v>
      </x:c>
      <x:c r="U180" s="83" t="str">
        <x:v>Energy capacity by zone and class; derive power only where duration is specified.</x:v>
      </x:c>
      <x:c r="V180" s="83" t="str">
        <x:v>Small-scale source classes are 2 or 4 hours; utility-scale is 8 hours. CM duration is not stated.</x:v>
      </x:c>
    </x:row>
    <x:row r="181">
      <x:c r="A181" s="83" t="str">
        <x:v>SZ-177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Calabria</x:v>
      </x:c>
      <x:c r="F181" s="83" t="str">
        <x:v>Totale</x:v>
      </x:c>
      <x:c r="G181" s="197" t="n">
        <x:v>5.9</x:v>
      </x:c>
      <x:c r="H181" s="203" t="b">
        <x:v>1</x:v>
      </x:c>
      <x:c r="I181" s="197"/>
      <x:c r="J181" s="197"/>
      <x:c r="K181" s="197" t="str">
        <x:f>IF(AND(G181&lt;&gt;"",J181&lt;&gt;""),G181/J181,"")</x:f>
      </x:c>
      <x:c r="L181" s="197" t="str">
        <x:f>IF(AND(G181&lt;&gt;"",I181&lt;&gt;""),G181/I181,"")</x:f>
      </x:c>
      <x:c r="M181" s="83" t="str">
        <x:v>S09</x:v>
      </x:c>
      <x:c r="N181" s="83" t="str">
        <x:v>Documento di Descrizione degli Scenari 2024</x:v>
      </x:c>
      <x:c r="O181" s="83" t="n">
        <x:v>63</x:v>
      </x:c>
      <x:c r="P181" s="83" t="str">
        <x:v>60-61</x:v>
      </x:c>
      <x:c r="Q181" s="83" t="str">
        <x:v>Tabella 16</x:v>
      </x:c>
      <x:c r="R181" s="83" t="str">
        <x:v>Assunzione di scenario</x:v>
      </x:c>
      <x:c r="S181" s="83" t="str">
        <x:v>Direct table extraction</x:v>
      </x:c>
      <x:c r="T181" s="83" t="str">
        <x:v>A — Direct</x:v>
      </x:c>
      <x:c r="U181" s="83" t="str">
        <x:v>Energy capacity by zone and class; derive power only where duration is specified.</x:v>
      </x:c>
      <x:c r="V181" s="83" t="str">
        <x:v>Small-scale source classes are 2 or 4 hours; utility-scale is 8 hours. CM duration is not stated.</x:v>
      </x:c>
    </x:row>
    <x:row r="182">
      <x:c r="A182" s="83" t="str">
        <x:v>SZ-178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Calabria</x:v>
      </x:c>
      <x:c r="F182" s="83" t="str">
        <x:v>Totale</x:v>
      </x:c>
      <x:c r="G182" s="197" t="n">
        <x:v>10.8</x:v>
      </x:c>
      <x:c r="H182" s="203" t="b">
        <x:v>1</x:v>
      </x:c>
      <x:c r="I182" s="197"/>
      <x:c r="J182" s="197"/>
      <x:c r="K182" s="197" t="str">
        <x:f>IF(AND(G182&lt;&gt;"",J182&lt;&gt;""),G182/J182,"")</x:f>
      </x:c>
      <x:c r="L182" s="197" t="str">
        <x:f>IF(AND(G182&lt;&gt;"",I182&lt;&gt;""),G182/I182,"")</x:f>
      </x:c>
      <x:c r="M182" s="83" t="str">
        <x:v>S09</x:v>
      </x:c>
      <x:c r="N182" s="83" t="str">
        <x:v>Documento di Descrizione degli Scenari 2024</x:v>
      </x:c>
      <x:c r="O182" s="83" t="n">
        <x:v>63</x:v>
      </x:c>
      <x:c r="P182" s="83" t="str">
        <x:v>60-61</x:v>
      </x:c>
      <x:c r="Q182" s="83" t="str">
        <x:v>Tabella 16</x:v>
      </x:c>
      <x:c r="R182" s="83" t="str">
        <x:v>Assunzione di scenario</x:v>
      </x:c>
      <x:c r="S182" s="83" t="str">
        <x:v>Direct table extraction</x:v>
      </x:c>
      <x:c r="T182" s="83" t="str">
        <x:v>A — Direct</x:v>
      </x:c>
      <x:c r="U182" s="83" t="str">
        <x:v>Energy capacity by zone and class; derive power only where duration is specified.</x:v>
      </x:c>
      <x:c r="V182" s="83" t="str">
        <x:v>Small-scale source classes are 2 or 4 hours; utility-scale is 8 hours. CM duration is not stated.</x:v>
      </x:c>
    </x:row>
    <x:row r="183">
      <x:c r="A183" s="83" t="str">
        <x:v>SZ-179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Calabria</x:v>
      </x:c>
      <x:c r="F183" s="83" t="str">
        <x:v>Totale</x:v>
      </x:c>
      <x:c r="G183" s="197" t="n">
        <x:v>9</x:v>
      </x:c>
      <x:c r="H183" s="203" t="b">
        <x:v>1</x:v>
      </x:c>
      <x:c r="I183" s="197"/>
      <x:c r="J183" s="197"/>
      <x:c r="K183" s="197" t="str">
        <x:f>IF(AND(G183&lt;&gt;"",J183&lt;&gt;""),G183/J183,"")</x:f>
      </x:c>
      <x:c r="L183" s="197" t="str">
        <x:f>IF(AND(G183&lt;&gt;"",I183&lt;&gt;""),G183/I183,"")</x:f>
      </x:c>
      <x:c r="M183" s="83" t="str">
        <x:v>S09</x:v>
      </x:c>
      <x:c r="N183" s="83" t="str">
        <x:v>Documento di Descrizione degli Scenari 2024</x:v>
      </x:c>
      <x:c r="O183" s="83" t="n">
        <x:v>63</x:v>
      </x:c>
      <x:c r="P183" s="83" t="str">
        <x:v>60-61</x:v>
      </x:c>
      <x:c r="Q183" s="83" t="str">
        <x:v>Tabella 16</x:v>
      </x:c>
      <x:c r="R183" s="83" t="str">
        <x:v>Assunzione di scenario</x:v>
      </x:c>
      <x:c r="S183" s="83" t="str">
        <x:v>Direct table extraction</x:v>
      </x:c>
      <x:c r="T183" s="83" t="str">
        <x:v>A — Direct</x:v>
      </x:c>
      <x:c r="U183" s="83" t="str">
        <x:v>Energy capacity by zone and class; derive power only where duration is specified.</x:v>
      </x:c>
      <x:c r="V183" s="83" t="str">
        <x:v>Small-scale source classes are 2 or 4 hours; utility-scale is 8 hours. CM duration is not stated.</x:v>
      </x:c>
    </x:row>
    <x:row r="184">
      <x:c r="A184" s="83" t="str">
        <x:v>SZ-180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Calabria</x:v>
      </x:c>
      <x:c r="F184" s="83" t="str">
        <x:v>Totale</x:v>
      </x:c>
      <x:c r="G184" s="197" t="n">
        <x:v>10</x:v>
      </x:c>
      <x:c r="H184" s="203" t="b">
        <x:v>1</x:v>
      </x:c>
      <x:c r="I184" s="197"/>
      <x:c r="J184" s="197"/>
      <x:c r="K184" s="197" t="str">
        <x:f>IF(AND(G184&lt;&gt;"",J184&lt;&gt;""),G184/J184,"")</x:f>
      </x:c>
      <x:c r="L184" s="197" t="str">
        <x:f>IF(AND(G184&lt;&gt;"",I184&lt;&gt;""),G184/I184,"")</x:f>
      </x:c>
      <x:c r="M184" s="83" t="str">
        <x:v>S09</x:v>
      </x:c>
      <x:c r="N184" s="83" t="str">
        <x:v>Documento di Descrizione degli Scenari 2024</x:v>
      </x:c>
      <x:c r="O184" s="83" t="n">
        <x:v>63</x:v>
      </x:c>
      <x:c r="P184" s="83" t="str">
        <x:v>60-61</x:v>
      </x:c>
      <x:c r="Q184" s="83" t="str">
        <x:v>Tabella 16</x:v>
      </x:c>
      <x:c r="R184" s="83" t="str">
        <x:v>Assunzione di scenario</x:v>
      </x:c>
      <x:c r="S184" s="83" t="str">
        <x:v>Direct table extraction</x:v>
      </x:c>
      <x:c r="T184" s="83" t="str">
        <x:v>A — Direct</x:v>
      </x:c>
      <x:c r="U184" s="83" t="str">
        <x:v>Energy capacity by zone and class; derive power only where duration is specified.</x:v>
      </x:c>
      <x:c r="V184" s="83" t="str">
        <x:v>Small-scale source classes are 2 or 4 hours; utility-scale is 8 hours. CM duration is not stated.</x:v>
      </x:c>
    </x:row>
    <x:row r="185">
      <x:c r="A185" s="83" t="str">
        <x:v>SZ-181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Sicilia</x:v>
      </x:c>
      <x:c r="F185" s="83" t="str">
        <x:v>Small Scale</x:v>
      </x:c>
      <x:c r="G185" s="197" t="n">
        <x:v>0.4</x:v>
      </x:c>
      <x:c r="H185" s="203" t="b">
        <x:v>1</x:v>
      </x:c>
      <x:c r="I185" s="197" t="n">
        <x:v>2</x:v>
      </x:c>
      <x:c r="J185" s="197" t="n">
        <x:v>4</x:v>
      </x:c>
      <x:c r="K185" s="197" t="n">
        <x:f>IF(AND(G185&lt;&gt;"",J185&lt;&gt;""),G185/J185,"")</x:f>
        <x:v>0.1</x:v>
      </x:c>
      <x:c r="L185" s="197" t="n">
        <x:f>IF(AND(G185&lt;&gt;"",I185&lt;&gt;""),G185/I185,"")</x:f>
        <x:v>0.2</x:v>
      </x:c>
      <x:c r="M185" s="83" t="str">
        <x:v>S09</x:v>
      </x:c>
      <x:c r="N185" s="83" t="str">
        <x:v>Documento di Descrizione degli Scenari 2024</x:v>
      </x:c>
      <x:c r="O185" s="83" t="n">
        <x:v>63</x:v>
      </x:c>
      <x:c r="P185" s="83" t="str">
        <x:v>60-61</x:v>
      </x:c>
      <x:c r="Q185" s="83" t="str">
        <x:v>Tabella 16</x:v>
      </x:c>
      <x:c r="R185" s="83" t="str">
        <x:v>Dato osservato storico nel DDS</x:v>
      </x:c>
      <x:c r="S185" s="83" t="str">
        <x:v>Direct table extraction</x:v>
      </x:c>
      <x:c r="T185" s="83" t="str">
        <x:v>A — Direct</x:v>
      </x:c>
      <x:c r="U185" s="83" t="str">
        <x:v>Energy capacity by zone and class; derive power only where duration is specified.</x:v>
      </x:c>
      <x:c r="V185" s="83" t="str">
        <x:v>Small-scale source classes are 2 or 4 hours; utility-scale is 8 hours. CM duration is not stated.</x:v>
      </x:c>
    </x:row>
    <x:row r="186">
      <x:c r="A186" s="83" t="str">
        <x:v>SZ-182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Sicilia</x:v>
      </x:c>
      <x:c r="F186" s="83" t="str">
        <x:v>Small Scale</x:v>
      </x:c>
      <x:c r="G186" s="197" t="n">
        <x:v>0.8</x:v>
      </x:c>
      <x:c r="H186" s="203" t="b">
        <x:v>1</x:v>
      </x:c>
      <x:c r="I186" s="197" t="n">
        <x:v>2</x:v>
      </x:c>
      <x:c r="J186" s="197" t="n">
        <x:v>4</x:v>
      </x:c>
      <x:c r="K186" s="197" t="n">
        <x:f>IF(AND(G186&lt;&gt;"",J186&lt;&gt;""),G186/J186,"")</x:f>
        <x:v>0.2</x:v>
      </x:c>
      <x:c r="L186" s="197" t="n">
        <x:f>IF(AND(G186&lt;&gt;"",I186&lt;&gt;""),G186/I186,"")</x:f>
        <x:v>0.4</x:v>
      </x:c>
      <x:c r="M186" s="83" t="str">
        <x:v>S09</x:v>
      </x:c>
      <x:c r="N186" s="83" t="str">
        <x:v>Documento di Descrizione degli Scenari 2024</x:v>
      </x:c>
      <x:c r="O186" s="83" t="n">
        <x:v>63</x:v>
      </x:c>
      <x:c r="P186" s="83" t="str">
        <x:v>60-61</x:v>
      </x:c>
      <x:c r="Q186" s="83" t="str">
        <x:v>Tabella 16</x:v>
      </x:c>
      <x:c r="R186" s="83" t="str">
        <x:v>Assunzione di scenario</x:v>
      </x:c>
      <x:c r="S186" s="83" t="str">
        <x:v>Direct table extraction</x:v>
      </x:c>
      <x:c r="T186" s="83" t="str">
        <x:v>A — Direct</x:v>
      </x:c>
      <x:c r="U186" s="83" t="str">
        <x:v>Energy capacity by zone and class; derive power only where duration is specified.</x:v>
      </x:c>
      <x:c r="V186" s="83" t="str">
        <x:v>Small-scale source classes are 2 or 4 hours; utility-scale is 8 hours. CM duration is not stated.</x:v>
      </x:c>
    </x:row>
    <x:row r="187">
      <x:c r="A187" s="83" t="str">
        <x:v>SZ-183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Sicilia</x:v>
      </x:c>
      <x:c r="F187" s="83" t="str">
        <x:v>Small Scale</x:v>
      </x:c>
      <x:c r="G187" s="197" t="n">
        <x:v>0.8</x:v>
      </x:c>
      <x:c r="H187" s="203" t="b">
        <x:v>1</x:v>
      </x:c>
      <x:c r="I187" s="197" t="n">
        <x:v>2</x:v>
      </x:c>
      <x:c r="J187" s="197" t="n">
        <x:v>4</x:v>
      </x:c>
      <x:c r="K187" s="197" t="n">
        <x:f>IF(AND(G187&lt;&gt;"",J187&lt;&gt;""),G187/J187,"")</x:f>
        <x:v>0.2</x:v>
      </x:c>
      <x:c r="L187" s="197" t="n">
        <x:f>IF(AND(G187&lt;&gt;"",I187&lt;&gt;""),G187/I187,"")</x:f>
        <x:v>0.4</x:v>
      </x:c>
      <x:c r="M187" s="83" t="str">
        <x:v>S09</x:v>
      </x:c>
      <x:c r="N187" s="83" t="str">
        <x:v>Documento di Descrizione degli Scenari 2024</x:v>
      </x:c>
      <x:c r="O187" s="83" t="n">
        <x:v>63</x:v>
      </x:c>
      <x:c r="P187" s="83" t="str">
        <x:v>60-61</x:v>
      </x:c>
      <x:c r="Q187" s="83" t="str">
        <x:v>Tabella 16</x:v>
      </x:c>
      <x:c r="R187" s="83" t="str">
        <x:v>Assunzione di scenario</x:v>
      </x:c>
      <x:c r="S187" s="83" t="str">
        <x:v>Direct table extraction</x:v>
      </x:c>
      <x:c r="T187" s="83" t="str">
        <x:v>A — Direct</x:v>
      </x:c>
      <x:c r="U187" s="83" t="str">
        <x:v>Energy capacity by zone and class; derive power only where duration is specified.</x:v>
      </x:c>
      <x:c r="V187" s="83" t="str">
        <x:v>Small-scale source classes are 2 or 4 hours; utility-scale is 8 hours. CM duration is not stated.</x:v>
      </x:c>
    </x:row>
    <x:row r="188">
      <x:c r="A188" s="83" t="str">
        <x:v>SZ-184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Sicilia</x:v>
      </x:c>
      <x:c r="F188" s="83" t="str">
        <x:v>Small Scale</x:v>
      </x:c>
      <x:c r="G188" s="197" t="n">
        <x:v>0.9</x:v>
      </x:c>
      <x:c r="H188" s="203" t="b">
        <x:v>1</x:v>
      </x:c>
      <x:c r="I188" s="197" t="n">
        <x:v>2</x:v>
      </x:c>
      <x:c r="J188" s="197" t="n">
        <x:v>4</x:v>
      </x:c>
      <x:c r="K188" s="197" t="n">
        <x:f>IF(AND(G188&lt;&gt;"",J188&lt;&gt;""),G188/J188,"")</x:f>
        <x:v>0.225</x:v>
      </x:c>
      <x:c r="L188" s="197" t="n">
        <x:f>IF(AND(G188&lt;&gt;"",I188&lt;&gt;""),G188/I188,"")</x:f>
        <x:v>0.45</x:v>
      </x:c>
      <x:c r="M188" s="83" t="str">
        <x:v>S09</x:v>
      </x:c>
      <x:c r="N188" s="83" t="str">
        <x:v>Documento di Descrizione degli Scenari 2024</x:v>
      </x:c>
      <x:c r="O188" s="83" t="n">
        <x:v>63</x:v>
      </x:c>
      <x:c r="P188" s="83" t="str">
        <x:v>60-61</x:v>
      </x:c>
      <x:c r="Q188" s="83" t="str">
        <x:v>Tabella 16</x:v>
      </x:c>
      <x:c r="R188" s="83" t="str">
        <x:v>Assunzione di scenario</x:v>
      </x:c>
      <x:c r="S188" s="83" t="str">
        <x:v>Direct table extraction</x:v>
      </x:c>
      <x:c r="T188" s="83" t="str">
        <x:v>A — Direct</x:v>
      </x:c>
      <x:c r="U188" s="83" t="str">
        <x:v>Energy capacity by zone and class; derive power only where duration is specified.</x:v>
      </x:c>
      <x:c r="V188" s="83" t="str">
        <x:v>Small-scale source classes are 2 or 4 hours; utility-scale is 8 hours. CM duration is not stated.</x:v>
      </x:c>
    </x:row>
    <x:row r="189">
      <x:c r="A189" s="83" t="str">
        <x:v>SZ-185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Sicilia</x:v>
      </x:c>
      <x:c r="F189" s="83" t="str">
        <x:v>Small Scale</x:v>
      </x:c>
      <x:c r="G189" s="197" t="n">
        <x:v>1</x:v>
      </x:c>
      <x:c r="H189" s="203" t="b">
        <x:v>1</x:v>
      </x:c>
      <x:c r="I189" s="197" t="n">
        <x:v>2</x:v>
      </x:c>
      <x:c r="J189" s="197" t="n">
        <x:v>4</x:v>
      </x:c>
      <x:c r="K189" s="197" t="n">
        <x:f>IF(AND(G189&lt;&gt;"",J189&lt;&gt;""),G189/J189,"")</x:f>
        <x:v>0.25</x:v>
      </x:c>
      <x:c r="L189" s="197" t="n">
        <x:f>IF(AND(G189&lt;&gt;"",I189&lt;&gt;""),G189/I189,"")</x:f>
        <x:v>0.5</x:v>
      </x:c>
      <x:c r="M189" s="83" t="str">
        <x:v>S09</x:v>
      </x:c>
      <x:c r="N189" s="83" t="str">
        <x:v>Documento di Descrizione degli Scenari 2024</x:v>
      </x:c>
      <x:c r="O189" s="83" t="n">
        <x:v>63</x:v>
      </x:c>
      <x:c r="P189" s="83" t="str">
        <x:v>60-61</x:v>
      </x:c>
      <x:c r="Q189" s="83" t="str">
        <x:v>Tabella 16</x:v>
      </x:c>
      <x:c r="R189" s="83" t="str">
        <x:v>Assunzione di scenario</x:v>
      </x:c>
      <x:c r="S189" s="83" t="str">
        <x:v>Direct table extraction</x:v>
      </x:c>
      <x:c r="T189" s="83" t="str">
        <x:v>A — Direct</x:v>
      </x:c>
      <x:c r="U189" s="83" t="str">
        <x:v>Energy capacity by zone and class; derive power only where duration is specified.</x:v>
      </x:c>
      <x:c r="V189" s="83" t="str">
        <x:v>Small-scale source classes are 2 or 4 hours; utility-scale is 8 hours. CM duration is not stated.</x:v>
      </x:c>
    </x:row>
    <x:row r="190">
      <x:c r="A190" s="83" t="str">
        <x:v>SZ-186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Sicilia</x:v>
      </x:c>
      <x:c r="F190" s="83" t="str">
        <x:v>Small Scale</x:v>
      </x:c>
      <x:c r="G190" s="197" t="n">
        <x:v>0.9</x:v>
      </x:c>
      <x:c r="H190" s="203" t="b">
        <x:v>1</x:v>
      </x:c>
      <x:c r="I190" s="197" t="n">
        <x:v>2</x:v>
      </x:c>
      <x:c r="J190" s="197" t="n">
        <x:v>4</x:v>
      </x:c>
      <x:c r="K190" s="197" t="n">
        <x:f>IF(AND(G190&lt;&gt;"",J190&lt;&gt;""),G190/J190,"")</x:f>
        <x:v>0.225</x:v>
      </x:c>
      <x:c r="L190" s="197" t="n">
        <x:f>IF(AND(G190&lt;&gt;"",I190&lt;&gt;""),G190/I190,"")</x:f>
        <x:v>0.45</x:v>
      </x:c>
      <x:c r="M190" s="83" t="str">
        <x:v>S09</x:v>
      </x:c>
      <x:c r="N190" s="83" t="str">
        <x:v>Documento di Descrizione degli Scenari 2024</x:v>
      </x:c>
      <x:c r="O190" s="83" t="n">
        <x:v>63</x:v>
      </x:c>
      <x:c r="P190" s="83" t="str">
        <x:v>60-61</x:v>
      </x:c>
      <x:c r="Q190" s="83" t="str">
        <x:v>Tabella 16</x:v>
      </x:c>
      <x:c r="R190" s="83" t="str">
        <x:v>Assunzione di scenario</x:v>
      </x:c>
      <x:c r="S190" s="83" t="str">
        <x:v>Direct table extraction</x:v>
      </x:c>
      <x:c r="T190" s="83" t="str">
        <x:v>A — Direct</x:v>
      </x:c>
      <x:c r="U190" s="83" t="str">
        <x:v>Energy capacity by zone and class; derive power only where duration is specified.</x:v>
      </x:c>
      <x:c r="V190" s="83" t="str">
        <x:v>Small-scale source classes are 2 or 4 hours; utility-scale is 8 hours. CM duration is not stated.</x:v>
      </x:c>
    </x:row>
    <x:row r="191">
      <x:c r="A191" s="83" t="str">
        <x:v>SZ-187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Sicilia</x:v>
      </x:c>
      <x:c r="F191" s="83" t="str">
        <x:v>Small Scale</x:v>
      </x:c>
      <x:c r="G191" s="197" t="n">
        <x:v>1.1</x:v>
      </x:c>
      <x:c r="H191" s="203" t="b">
        <x:v>1</x:v>
      </x:c>
      <x:c r="I191" s="197" t="n">
        <x:v>2</x:v>
      </x:c>
      <x:c r="J191" s="197" t="n">
        <x:v>4</x:v>
      </x:c>
      <x:c r="K191" s="197" t="n">
        <x:f>IF(AND(G191&lt;&gt;"",J191&lt;&gt;""),G191/J191,"")</x:f>
        <x:v>0.275</x:v>
      </x:c>
      <x:c r="L191" s="197" t="n">
        <x:f>IF(AND(G191&lt;&gt;"",I191&lt;&gt;""),G191/I191,"")</x:f>
        <x:v>0.55</x:v>
      </x:c>
      <x:c r="M191" s="83" t="str">
        <x:v>S09</x:v>
      </x:c>
      <x:c r="N191" s="83" t="str">
        <x:v>Documento di Descrizione degli Scenari 2024</x:v>
      </x:c>
      <x:c r="O191" s="83" t="n">
        <x:v>63</x:v>
      </x:c>
      <x:c r="P191" s="83" t="str">
        <x:v>60-61</x:v>
      </x:c>
      <x:c r="Q191" s="83" t="str">
        <x:v>Tabella 16</x:v>
      </x:c>
      <x:c r="R191" s="83" t="str">
        <x:v>Assunzione di scenario</x:v>
      </x:c>
      <x:c r="S191" s="83" t="str">
        <x:v>Direct table extraction</x:v>
      </x:c>
      <x:c r="T191" s="83" t="str">
        <x:v>A — Direct</x:v>
      </x:c>
      <x:c r="U191" s="83" t="str">
        <x:v>Energy capacity by zone and class; derive power only where duration is specified.</x:v>
      </x:c>
      <x:c r="V191" s="83" t="str">
        <x:v>Small-scale source classes are 2 or 4 hours; utility-scale is 8 hours. CM duration is not stated.</x:v>
      </x:c>
    </x:row>
    <x:row r="192">
      <x:c r="A192" s="83" t="str">
        <x:v>SZ-188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Sicilia</x:v>
      </x:c>
      <x:c r="F192" s="83" t="str">
        <x:v>Small Scale</x:v>
      </x:c>
      <x:c r="G192" s="197" t="n">
        <x:v>1.1</x:v>
      </x:c>
      <x:c r="H192" s="203" t="b">
        <x:v>1</x:v>
      </x:c>
      <x:c r="I192" s="197" t="n">
        <x:v>2</x:v>
      </x:c>
      <x:c r="J192" s="197" t="n">
        <x:v>4</x:v>
      </x:c>
      <x:c r="K192" s="197" t="n">
        <x:f>IF(AND(G192&lt;&gt;"",J192&lt;&gt;""),G192/J192,"")</x:f>
        <x:v>0.275</x:v>
      </x:c>
      <x:c r="L192" s="197" t="n">
        <x:f>IF(AND(G192&lt;&gt;"",I192&lt;&gt;""),G192/I192,"")</x:f>
        <x:v>0.55</x:v>
      </x:c>
      <x:c r="M192" s="83" t="str">
        <x:v>S09</x:v>
      </x:c>
      <x:c r="N192" s="83" t="str">
        <x:v>Documento di Descrizione degli Scenari 2024</x:v>
      </x:c>
      <x:c r="O192" s="83" t="n">
        <x:v>63</x:v>
      </x:c>
      <x:c r="P192" s="83" t="str">
        <x:v>60-61</x:v>
      </x:c>
      <x:c r="Q192" s="83" t="str">
        <x:v>Tabella 16</x:v>
      </x:c>
      <x:c r="R192" s="83" t="str">
        <x:v>Assunzione di scenario</x:v>
      </x:c>
      <x:c r="S192" s="83" t="str">
        <x:v>Direct table extraction</x:v>
      </x:c>
      <x:c r="T192" s="83" t="str">
        <x:v>A — Direct</x:v>
      </x:c>
      <x:c r="U192" s="83" t="str">
        <x:v>Energy capacity by zone and class; derive power only where duration is specified.</x:v>
      </x:c>
      <x:c r="V192" s="83" t="str">
        <x:v>Small-scale source classes are 2 or 4 hours; utility-scale is 8 hours. CM duration is not stated.</x:v>
      </x:c>
    </x:row>
    <x:row r="193">
      <x:c r="A193" s="83" t="str">
        <x:v>SZ-189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Sicilia</x:v>
      </x:c>
      <x:c r="F193" s="83" t="str">
        <x:v>Small Scale</x:v>
      </x:c>
      <x:c r="G193" s="197" t="n">
        <x:v>1</x:v>
      </x:c>
      <x:c r="H193" s="203" t="b">
        <x:v>1</x:v>
      </x:c>
      <x:c r="I193" s="197" t="n">
        <x:v>2</x:v>
      </x:c>
      <x:c r="J193" s="197" t="n">
        <x:v>4</x:v>
      </x:c>
      <x:c r="K193" s="197" t="n">
        <x:f>IF(AND(G193&lt;&gt;"",J193&lt;&gt;""),G193/J193,"")</x:f>
        <x:v>0.25</x:v>
      </x:c>
      <x:c r="L193" s="197" t="n">
        <x:f>IF(AND(G193&lt;&gt;"",I193&lt;&gt;""),G193/I193,"")</x:f>
        <x:v>0.5</x:v>
      </x:c>
      <x:c r="M193" s="83" t="str">
        <x:v>S09</x:v>
      </x:c>
      <x:c r="N193" s="83" t="str">
        <x:v>Documento di Descrizione degli Scenari 2024</x:v>
      </x:c>
      <x:c r="O193" s="83" t="n">
        <x:v>63</x:v>
      </x:c>
      <x:c r="P193" s="83" t="str">
        <x:v>60-61</x:v>
      </x:c>
      <x:c r="Q193" s="83" t="str">
        <x:v>Tabella 16</x:v>
      </x:c>
      <x:c r="R193" s="83" t="str">
        <x:v>Assunzione di scenario</x:v>
      </x:c>
      <x:c r="S193" s="83" t="str">
        <x:v>Direct table extraction</x:v>
      </x:c>
      <x:c r="T193" s="83" t="str">
        <x:v>A — Direct</x:v>
      </x:c>
      <x:c r="U193" s="83" t="str">
        <x:v>Energy capacity by zone and class; derive power only where duration is specified.</x:v>
      </x:c>
      <x:c r="V193" s="83" t="str">
        <x:v>Small-scale source classes are 2 or 4 hours; utility-scale is 8 hours. CM duration is not stated.</x:v>
      </x:c>
    </x:row>
    <x:row r="194">
      <x:c r="A194" s="83" t="str">
        <x:v>SZ-190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Sicilia</x:v>
      </x:c>
      <x:c r="F194" s="83" t="str">
        <x:v>Utility Scale</x:v>
      </x:c>
      <x:c r="G194" s="197" t="n">
        <x:v>0</x:v>
      </x:c>
      <x:c r="H194" s="203" t="b">
        <x:v>1</x:v>
      </x:c>
      <x:c r="I194" s="197" t="n">
        <x:v>8</x:v>
      </x:c>
      <x:c r="J194" s="197" t="n">
        <x:v>8</x:v>
      </x:c>
      <x:c r="K194" s="197" t="str">
        <x:f>IF(AND(G194&lt;&gt;"",J194&lt;&gt;""),G194/J194,"")</x:f>
      </x:c>
      <x:c r="L194" s="197" t="str">
        <x:f>IF(AND(G194&lt;&gt;"",I194&lt;&gt;""),G194/I194,"")</x:f>
      </x:c>
      <x:c r="M194" s="83" t="str">
        <x:v>S09</x:v>
      </x:c>
      <x:c r="N194" s="83" t="str">
        <x:v>Documento di Descrizione degli Scenari 2024</x:v>
      </x:c>
      <x:c r="O194" s="83" t="n">
        <x:v>63</x:v>
      </x:c>
      <x:c r="P194" s="83" t="str">
        <x:v>60-61</x:v>
      </x:c>
      <x:c r="Q194" s="83" t="str">
        <x:v>Tabella 16</x:v>
      </x:c>
      <x:c r="R194" s="83" t="str">
        <x:v>Dato osservato storico nel DDS</x:v>
      </x:c>
      <x:c r="S194" s="83" t="str">
        <x:v>Direct table extraction</x:v>
      </x:c>
      <x:c r="T194" s="83" t="str">
        <x:v>A — Direct</x:v>
      </x:c>
      <x:c r="U194" s="83" t="str">
        <x:v>Energy capacity by zone and class; derive power only where duration is specified.</x:v>
      </x:c>
      <x:c r="V194" s="83" t="str">
        <x:v>Small-scale source classes are 2 or 4 hours; utility-scale is 8 hours. CM duration is not stated.</x:v>
      </x:c>
    </x:row>
    <x:row r="195">
      <x:c r="A195" s="83" t="str">
        <x:v>SZ-191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Sicilia</x:v>
      </x:c>
      <x:c r="F195" s="83" t="str">
        <x:v>Utility Scale</x:v>
      </x:c>
      <x:c r="G195" s="197" t="n">
        <x:v>13.6</x:v>
      </x:c>
      <x:c r="H195" s="203" t="b">
        <x:v>1</x:v>
      </x:c>
      <x:c r="I195" s="197" t="n">
        <x:v>8</x:v>
      </x:c>
      <x:c r="J195" s="197" t="n">
        <x:v>8</x:v>
      </x:c>
      <x:c r="K195" s="197" t="n">
        <x:f>IF(AND(G195&lt;&gt;"",J195&lt;&gt;""),G195/J195,"")</x:f>
        <x:v>1.7</x:v>
      </x:c>
      <x:c r="L195" s="197" t="n">
        <x:f>IF(AND(G195&lt;&gt;"",I195&lt;&gt;""),G195/I195,"")</x:f>
        <x:v>1.7</x:v>
      </x:c>
      <x:c r="M195" s="83" t="str">
        <x:v>S09</x:v>
      </x:c>
      <x:c r="N195" s="83" t="str">
        <x:v>Documento di Descrizione degli Scenari 2024</x:v>
      </x:c>
      <x:c r="O195" s="83" t="n">
        <x:v>63</x:v>
      </x:c>
      <x:c r="P195" s="83" t="str">
        <x:v>60-61</x:v>
      </x:c>
      <x:c r="Q195" s="83" t="str">
        <x:v>Tabella 16</x:v>
      </x:c>
      <x:c r="R195" s="83" t="str">
        <x:v>Assunzione di scenario</x:v>
      </x:c>
      <x:c r="S195" s="83" t="str">
        <x:v>Direct table extraction</x:v>
      </x:c>
      <x:c r="T195" s="83" t="str">
        <x:v>A — Direct</x:v>
      </x:c>
      <x:c r="U195" s="83" t="str">
        <x:v>Energy capacity by zone and class; derive power only where duration is specified.</x:v>
      </x:c>
      <x:c r="V195" s="83" t="str">
        <x:v>Small-scale source classes are 2 or 4 hours; utility-scale is 8 hours. CM duration is not stated.</x:v>
      </x:c>
    </x:row>
    <x:row r="196">
      <x:c r="A196" s="83" t="str">
        <x:v>SZ-192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Sicilia</x:v>
      </x:c>
      <x:c r="F196" s="83" t="str">
        <x:v>Utility Scale</x:v>
      </x:c>
      <x:c r="G196" s="197" t="n">
        <x:v>6</x:v>
      </x:c>
      <x:c r="H196" s="203" t="b">
        <x:v>1</x:v>
      </x:c>
      <x:c r="I196" s="197" t="n">
        <x:v>8</x:v>
      </x:c>
      <x:c r="J196" s="197" t="n">
        <x:v>8</x:v>
      </x:c>
      <x:c r="K196" s="197" t="n">
        <x:f>IF(AND(G196&lt;&gt;"",J196&lt;&gt;""),G196/J196,"")</x:f>
        <x:v>0.75</x:v>
      </x:c>
      <x:c r="L196" s="197" t="n">
        <x:f>IF(AND(G196&lt;&gt;"",I196&lt;&gt;""),G196/I196,"")</x:f>
        <x:v>0.75</x:v>
      </x:c>
      <x:c r="M196" s="83" t="str">
        <x:v>S09</x:v>
      </x:c>
      <x:c r="N196" s="83" t="str">
        <x:v>Documento di Descrizione degli Scenari 2024</x:v>
      </x:c>
      <x:c r="O196" s="83" t="n">
        <x:v>63</x:v>
      </x:c>
      <x:c r="P196" s="83" t="str">
        <x:v>60-61</x:v>
      </x:c>
      <x:c r="Q196" s="83" t="str">
        <x:v>Tabella 16</x:v>
      </x:c>
      <x:c r="R196" s="83" t="str">
        <x:v>Assunzione di scenario</x:v>
      </x:c>
      <x:c r="S196" s="83" t="str">
        <x:v>Direct table extraction</x:v>
      </x:c>
      <x:c r="T196" s="83" t="str">
        <x:v>A — Direct</x:v>
      </x:c>
      <x:c r="U196" s="83" t="str">
        <x:v>Energy capacity by zone and class; derive power only where duration is specified.</x:v>
      </x:c>
      <x:c r="V196" s="83" t="str">
        <x:v>Small-scale source classes are 2 or 4 hours; utility-scale is 8 hours. CM duration is not stated.</x:v>
      </x:c>
    </x:row>
    <x:row r="197">
      <x:c r="A197" s="83" t="str">
        <x:v>SZ-193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Sicilia</x:v>
      </x:c>
      <x:c r="F197" s="83" t="str">
        <x:v>Utility Scale</x:v>
      </x:c>
      <x:c r="G197" s="197" t="n">
        <x:v>28.1</x:v>
      </x:c>
      <x:c r="H197" s="203" t="b">
        <x:v>1</x:v>
      </x:c>
      <x:c r="I197" s="197" t="n">
        <x:v>8</x:v>
      </x:c>
      <x:c r="J197" s="197" t="n">
        <x:v>8</x:v>
      </x:c>
      <x:c r="K197" s="197" t="n">
        <x:f>IF(AND(G197&lt;&gt;"",J197&lt;&gt;""),G197/J197,"")</x:f>
        <x:v>3.5125</x:v>
      </x:c>
      <x:c r="L197" s="197" t="n">
        <x:f>IF(AND(G197&lt;&gt;"",I197&lt;&gt;""),G197/I197,"")</x:f>
        <x:v>3.5125</x:v>
      </x:c>
      <x:c r="M197" s="83" t="str">
        <x:v>S09</x:v>
      </x:c>
      <x:c r="N197" s="83" t="str">
        <x:v>Documento di Descrizione degli Scenari 2024</x:v>
      </x:c>
      <x:c r="O197" s="83" t="n">
        <x:v>63</x:v>
      </x:c>
      <x:c r="P197" s="83" t="str">
        <x:v>60-61</x:v>
      </x:c>
      <x:c r="Q197" s="83" t="str">
        <x:v>Tabella 16</x:v>
      </x:c>
      <x:c r="R197" s="83" t="str">
        <x:v>Assunzione di scenario</x:v>
      </x:c>
      <x:c r="S197" s="83" t="str">
        <x:v>Direct table extraction</x:v>
      </x:c>
      <x:c r="T197" s="83" t="str">
        <x:v>A — Direct</x:v>
      </x:c>
      <x:c r="U197" s="83" t="str">
        <x:v>Energy capacity by zone and class; derive power only where duration is specified.</x:v>
      </x:c>
      <x:c r="V197" s="83" t="str">
        <x:v>Small-scale source classes are 2 or 4 hours; utility-scale is 8 hours. CM duration is not stated.</x:v>
      </x:c>
    </x:row>
    <x:row r="198">
      <x:c r="A198" s="83" t="str">
        <x:v>SZ-194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Sicilia</x:v>
      </x:c>
      <x:c r="F198" s="83" t="str">
        <x:v>Utility Scale</x:v>
      </x:c>
      <x:c r="G198" s="197" t="n">
        <x:v>17.6</x:v>
      </x:c>
      <x:c r="H198" s="203" t="b">
        <x:v>1</x:v>
      </x:c>
      <x:c r="I198" s="197" t="n">
        <x:v>8</x:v>
      </x:c>
      <x:c r="J198" s="197" t="n">
        <x:v>8</x:v>
      </x:c>
      <x:c r="K198" s="197" t="n">
        <x:f>IF(AND(G198&lt;&gt;"",J198&lt;&gt;""),G198/J198,"")</x:f>
        <x:v>2.2</x:v>
      </x:c>
      <x:c r="L198" s="197" t="n">
        <x:f>IF(AND(G198&lt;&gt;"",I198&lt;&gt;""),G198/I198,"")</x:f>
        <x:v>2.2</x:v>
      </x:c>
      <x:c r="M198" s="83" t="str">
        <x:v>S09</x:v>
      </x:c>
      <x:c r="N198" s="83" t="str">
        <x:v>Documento di Descrizione degli Scenari 2024</x:v>
      </x:c>
      <x:c r="O198" s="83" t="n">
        <x:v>63</x:v>
      </x:c>
      <x:c r="P198" s="83" t="str">
        <x:v>60-61</x:v>
      </x:c>
      <x:c r="Q198" s="83" t="str">
        <x:v>Tabella 16</x:v>
      </x:c>
      <x:c r="R198" s="83" t="str">
        <x:v>Assunzione di scenario</x:v>
      </x:c>
      <x:c r="S198" s="83" t="str">
        <x:v>Direct table extraction</x:v>
      </x:c>
      <x:c r="T198" s="83" t="str">
        <x:v>A — Direct</x:v>
      </x:c>
      <x:c r="U198" s="83" t="str">
        <x:v>Energy capacity by zone and class; derive power only where duration is specified.</x:v>
      </x:c>
      <x:c r="V198" s="83" t="str">
        <x:v>Small-scale source classes are 2 or 4 hours; utility-scale is 8 hours. CM duration is not stated.</x:v>
      </x:c>
    </x:row>
    <x:row r="199">
      <x:c r="A199" s="83" t="str">
        <x:v>SZ-195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Sicilia</x:v>
      </x:c>
      <x:c r="F199" s="83" t="str">
        <x:v>Utility Scale</x:v>
      </x:c>
      <x:c r="G199" s="197" t="n">
        <x:v>16.5</x:v>
      </x:c>
      <x:c r="H199" s="203" t="b">
        <x:v>1</x:v>
      </x:c>
      <x:c r="I199" s="197" t="n">
        <x:v>8</x:v>
      </x:c>
      <x:c r="J199" s="197" t="n">
        <x:v>8</x:v>
      </x:c>
      <x:c r="K199" s="197" t="n">
        <x:f>IF(AND(G199&lt;&gt;"",J199&lt;&gt;""),G199/J199,"")</x:f>
        <x:v>2.0625</x:v>
      </x:c>
      <x:c r="L199" s="197" t="n">
        <x:f>IF(AND(G199&lt;&gt;"",I199&lt;&gt;""),G199/I199,"")</x:f>
        <x:v>2.0625</x:v>
      </x:c>
      <x:c r="M199" s="83" t="str">
        <x:v>S09</x:v>
      </x:c>
      <x:c r="N199" s="83" t="str">
        <x:v>Documento di Descrizione degli Scenari 2024</x:v>
      </x:c>
      <x:c r="O199" s="83" t="n">
        <x:v>63</x:v>
      </x:c>
      <x:c r="P199" s="83" t="str">
        <x:v>60-61</x:v>
      </x:c>
      <x:c r="Q199" s="83" t="str">
        <x:v>Tabella 16</x:v>
      </x:c>
      <x:c r="R199" s="83" t="str">
        <x:v>Assunzione di scenario</x:v>
      </x:c>
      <x:c r="S199" s="83" t="str">
        <x:v>Direct table extraction</x:v>
      </x:c>
      <x:c r="T199" s="83" t="str">
        <x:v>A — Direct</x:v>
      </x:c>
      <x:c r="U199" s="83" t="str">
        <x:v>Energy capacity by zone and class; derive power only where duration is specified.</x:v>
      </x:c>
      <x:c r="V199" s="83" t="str">
        <x:v>Small-scale source classes are 2 or 4 hours; utility-scale is 8 hours. CM duration is not stated.</x:v>
      </x:c>
    </x:row>
    <x:row r="200">
      <x:c r="A200" s="83" t="str">
        <x:v>SZ-196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Sicilia</x:v>
      </x:c>
      <x:c r="F200" s="83" t="str">
        <x:v>Utility Scale</x:v>
      </x:c>
      <x:c r="G200" s="197" t="n">
        <x:v>36.1</x:v>
      </x:c>
      <x:c r="H200" s="203" t="b">
        <x:v>1</x:v>
      </x:c>
      <x:c r="I200" s="197" t="n">
        <x:v>8</x:v>
      </x:c>
      <x:c r="J200" s="197" t="n">
        <x:v>8</x:v>
      </x:c>
      <x:c r="K200" s="197" t="n">
        <x:f>IF(AND(G200&lt;&gt;"",J200&lt;&gt;""),G200/J200,"")</x:f>
        <x:v>4.5125</x:v>
      </x:c>
      <x:c r="L200" s="197" t="n">
        <x:f>IF(AND(G200&lt;&gt;"",I200&lt;&gt;""),G200/I200,"")</x:f>
        <x:v>4.5125</x:v>
      </x:c>
      <x:c r="M200" s="83" t="str">
        <x:v>S09</x:v>
      </x:c>
      <x:c r="N200" s="83" t="str">
        <x:v>Documento di Descrizione degli Scenari 2024</x:v>
      </x:c>
      <x:c r="O200" s="83" t="n">
        <x:v>63</x:v>
      </x:c>
      <x:c r="P200" s="83" t="str">
        <x:v>60-61</x:v>
      </x:c>
      <x:c r="Q200" s="83" t="str">
        <x:v>Tabella 16</x:v>
      </x:c>
      <x:c r="R200" s="83" t="str">
        <x:v>Assunzione di scenario</x:v>
      </x:c>
      <x:c r="S200" s="83" t="str">
        <x:v>Direct table extraction</x:v>
      </x:c>
      <x:c r="T200" s="83" t="str">
        <x:v>A — Direct</x:v>
      </x:c>
      <x:c r="U200" s="83" t="str">
        <x:v>Energy capacity by zone and class; derive power only where duration is specified.</x:v>
      </x:c>
      <x:c r="V200" s="83" t="str">
        <x:v>Small-scale source classes are 2 or 4 hours; utility-scale is 8 hours. CM duration is not stated.</x:v>
      </x:c>
    </x:row>
    <x:row r="201">
      <x:c r="A201" s="83" t="str">
        <x:v>SZ-197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Sicilia</x:v>
      </x:c>
      <x:c r="F201" s="83" t="str">
        <x:v>Utility Scale</x:v>
      </x:c>
      <x:c r="G201" s="197" t="n">
        <x:v>26.4</x:v>
      </x:c>
      <x:c r="H201" s="203" t="b">
        <x:v>1</x:v>
      </x:c>
      <x:c r="I201" s="197" t="n">
        <x:v>8</x:v>
      </x:c>
      <x:c r="J201" s="197" t="n">
        <x:v>8</x:v>
      </x:c>
      <x:c r="K201" s="197" t="n">
        <x:f>IF(AND(G201&lt;&gt;"",J201&lt;&gt;""),G201/J201,"")</x:f>
        <x:v>3.3</x:v>
      </x:c>
      <x:c r="L201" s="197" t="n">
        <x:f>IF(AND(G201&lt;&gt;"",I201&lt;&gt;""),G201/I201,"")</x:f>
        <x:v>3.3</x:v>
      </x:c>
      <x:c r="M201" s="83" t="str">
        <x:v>S09</x:v>
      </x:c>
      <x:c r="N201" s="83" t="str">
        <x:v>Documento di Descrizione degli Scenari 2024</x:v>
      </x:c>
      <x:c r="O201" s="83" t="n">
        <x:v>63</x:v>
      </x:c>
      <x:c r="P201" s="83" t="str">
        <x:v>60-61</x:v>
      </x:c>
      <x:c r="Q201" s="83" t="str">
        <x:v>Tabella 16</x:v>
      </x:c>
      <x:c r="R201" s="83" t="str">
        <x:v>Assunzione di scenario</x:v>
      </x:c>
      <x:c r="S201" s="83" t="str">
        <x:v>Direct table extraction</x:v>
      </x:c>
      <x:c r="T201" s="83" t="str">
        <x:v>A — Direct</x:v>
      </x:c>
      <x:c r="U201" s="83" t="str">
        <x:v>Energy capacity by zone and class; derive power only where duration is specified.</x:v>
      </x:c>
      <x:c r="V201" s="83" t="str">
        <x:v>Small-scale source classes are 2 or 4 hours; utility-scale is 8 hours. CM duration is not stated.</x:v>
      </x:c>
    </x:row>
    <x:row r="202">
      <x:c r="A202" s="83" t="str">
        <x:v>SZ-198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Sicilia</x:v>
      </x:c>
      <x:c r="F202" s="83" t="str">
        <x:v>Utility Scale</x:v>
      </x:c>
      <x:c r="G202" s="197" t="n">
        <x:v>28.2</x:v>
      </x:c>
      <x:c r="H202" s="203" t="b">
        <x:v>1</x:v>
      </x:c>
      <x:c r="I202" s="197" t="n">
        <x:v>8</x:v>
      </x:c>
      <x:c r="J202" s="197" t="n">
        <x:v>8</x:v>
      </x:c>
      <x:c r="K202" s="197" t="n">
        <x:f>IF(AND(G202&lt;&gt;"",J202&lt;&gt;""),G202/J202,"")</x:f>
        <x:v>3.525</x:v>
      </x:c>
      <x:c r="L202" s="197" t="n">
        <x:f>IF(AND(G202&lt;&gt;"",I202&lt;&gt;""),G202/I202,"")</x:f>
        <x:v>3.525</x:v>
      </x:c>
      <x:c r="M202" s="83" t="str">
        <x:v>S09</x:v>
      </x:c>
      <x:c r="N202" s="83" t="str">
        <x:v>Documento di Descrizione degli Scenari 2024</x:v>
      </x:c>
      <x:c r="O202" s="83" t="n">
        <x:v>63</x:v>
      </x:c>
      <x:c r="P202" s="83" t="str">
        <x:v>60-61</x:v>
      </x:c>
      <x:c r="Q202" s="83" t="str">
        <x:v>Tabella 16</x:v>
      </x:c>
      <x:c r="R202" s="83" t="str">
        <x:v>Assunzione di scenario</x:v>
      </x:c>
      <x:c r="S202" s="83" t="str">
        <x:v>Direct table extraction</x:v>
      </x:c>
      <x:c r="T202" s="83" t="str">
        <x:v>A — Direct</x:v>
      </x:c>
      <x:c r="U202" s="83" t="str">
        <x:v>Energy capacity by zone and class; derive power only where duration is specified.</x:v>
      </x:c>
      <x:c r="V202" s="83" t="str">
        <x:v>Small-scale source classes are 2 or 4 hours; utility-scale is 8 hours. CM duration is not stated.</x:v>
      </x:c>
    </x:row>
    <x:row r="203">
      <x:c r="A203" s="83" t="str">
        <x:v>SZ-199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Sicilia</x:v>
      </x:c>
      <x:c r="F203" s="83" t="str">
        <x:v>CM</x:v>
      </x:c>
      <x:c r="G203" s="197" t="n">
        <x:v>0</x:v>
      </x:c>
      <x:c r="H203" s="203" t="b">
        <x:v>1</x:v>
      </x:c>
      <x:c r="I203" s="197"/>
      <x:c r="J203" s="197"/>
      <x:c r="K203" s="197" t="str">
        <x:f>IF(AND(G203&lt;&gt;"",J203&lt;&gt;""),G203/J203,"")</x:f>
      </x:c>
      <x:c r="L203" s="197" t="str">
        <x:f>IF(AND(G203&lt;&gt;"",I203&lt;&gt;""),G203/I203,"")</x:f>
      </x:c>
      <x:c r="M203" s="83" t="str">
        <x:v>S09</x:v>
      </x:c>
      <x:c r="N203" s="83" t="str">
        <x:v>Documento di Descrizione degli Scenari 2024</x:v>
      </x:c>
      <x:c r="O203" s="83" t="n">
        <x:v>63</x:v>
      </x:c>
      <x:c r="P203" s="83" t="str">
        <x:v>60-61</x:v>
      </x:c>
      <x:c r="Q203" s="83" t="str">
        <x:v>Tabella 16</x:v>
      </x:c>
      <x:c r="R203" s="83" t="str">
        <x:v>Dato osservato storico nel DDS</x:v>
      </x:c>
      <x:c r="S203" s="83" t="str">
        <x:v>Direct table extraction</x:v>
      </x:c>
      <x:c r="T203" s="83" t="str">
        <x:v>A — Direct</x:v>
      </x:c>
      <x:c r="U203" s="83" t="str">
        <x:v>Energy capacity by zone and class; derive power only where duration is specified.</x:v>
      </x:c>
      <x:c r="V203" s="83" t="str">
        <x:v>Small-scale source classes are 2 or 4 hours; utility-scale is 8 hours. CM duration is not stated.</x:v>
      </x:c>
    </x:row>
    <x:row r="204">
      <x:c r="A204" s="83" t="str">
        <x:v>SZ-200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Sicilia</x:v>
      </x:c>
      <x:c r="F204" s="83" t="str">
        <x:v>CM</x:v>
      </x:c>
      <x:c r="G204" s="197" t="n">
        <x:v>0</x:v>
      </x:c>
      <x:c r="H204" s="203" t="b">
        <x:v>1</x:v>
      </x:c>
      <x:c r="I204" s="197"/>
      <x:c r="J204" s="197"/>
      <x:c r="K204" s="197" t="str">
        <x:f>IF(AND(G204&lt;&gt;"",J204&lt;&gt;""),G204/J204,"")</x:f>
      </x:c>
      <x:c r="L204" s="197" t="str">
        <x:f>IF(AND(G204&lt;&gt;"",I204&lt;&gt;""),G204/I204,"")</x:f>
      </x:c>
      <x:c r="M204" s="83" t="str">
        <x:v>S09</x:v>
      </x:c>
      <x:c r="N204" s="83" t="str">
        <x:v>Documento di Descrizione degli Scenari 2024</x:v>
      </x:c>
      <x:c r="O204" s="83" t="n">
        <x:v>63</x:v>
      </x:c>
      <x:c r="P204" s="83" t="str">
        <x:v>60-61</x:v>
      </x:c>
      <x:c r="Q204" s="83" t="str">
        <x:v>Tabella 16</x:v>
      </x:c>
      <x:c r="R204" s="83" t="str">
        <x:v>Assunzione di scenario</x:v>
      </x:c>
      <x:c r="S204" s="83" t="str">
        <x:v>Direct table extraction</x:v>
      </x:c>
      <x:c r="T204" s="83" t="str">
        <x:v>A — Direct</x:v>
      </x:c>
      <x:c r="U204" s="83" t="str">
        <x:v>Energy capacity by zone and class; derive power only where duration is specified.</x:v>
      </x:c>
      <x:c r="V204" s="83" t="str">
        <x:v>Small-scale source classes are 2 or 4 hours; utility-scale is 8 hours. CM duration is not stated.</x:v>
      </x:c>
    </x:row>
    <x:row r="205">
      <x:c r="A205" s="83" t="str">
        <x:v>SZ-201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Sicilia</x:v>
      </x:c>
      <x:c r="F205" s="83" t="str">
        <x:v>CM</x:v>
      </x:c>
      <x:c r="G205" s="197" t="n">
        <x:v>0</x:v>
      </x:c>
      <x:c r="H205" s="203" t="b">
        <x:v>1</x:v>
      </x:c>
      <x:c r="I205" s="197"/>
      <x:c r="J205" s="197"/>
      <x:c r="K205" s="197" t="str">
        <x:f>IF(AND(G205&lt;&gt;"",J205&lt;&gt;""),G205/J205,"")</x:f>
      </x:c>
      <x:c r="L205" s="197" t="str">
        <x:f>IF(AND(G205&lt;&gt;"",I205&lt;&gt;""),G205/I205,"")</x:f>
      </x:c>
      <x:c r="M205" s="83" t="str">
        <x:v>S09</x:v>
      </x:c>
      <x:c r="N205" s="83" t="str">
        <x:v>Documento di Descrizione degli Scenari 2024</x:v>
      </x:c>
      <x:c r="O205" s="83" t="n">
        <x:v>63</x:v>
      </x:c>
      <x:c r="P205" s="83" t="str">
        <x:v>60-61</x:v>
      </x:c>
      <x:c r="Q205" s="83" t="str">
        <x:v>Tabella 16</x:v>
      </x:c>
      <x:c r="R205" s="83" t="str">
        <x:v>Assunzione di scenario</x:v>
      </x:c>
      <x:c r="S205" s="83" t="str">
        <x:v>Direct table extraction</x:v>
      </x:c>
      <x:c r="T205" s="83" t="str">
        <x:v>A — Direct</x:v>
      </x:c>
      <x:c r="U205" s="83" t="str">
        <x:v>Energy capacity by zone and class; derive power only where duration is specified.</x:v>
      </x:c>
      <x:c r="V205" s="83" t="str">
        <x:v>Small-scale source classes are 2 or 4 hours; utility-scale is 8 hours. CM duration is not stated.</x:v>
      </x:c>
    </x:row>
    <x:row r="206">
      <x:c r="A206" s="83" t="str">
        <x:v>SZ-202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Sicilia</x:v>
      </x:c>
      <x:c r="F206" s="83" t="str">
        <x:v>CM</x:v>
      </x:c>
      <x:c r="G206" s="197" t="n">
        <x:v>0</x:v>
      </x:c>
      <x:c r="H206" s="203" t="b">
        <x:v>1</x:v>
      </x:c>
      <x:c r="I206" s="197"/>
      <x:c r="J206" s="197"/>
      <x:c r="K206" s="197" t="str">
        <x:f>IF(AND(G206&lt;&gt;"",J206&lt;&gt;""),G206/J206,"")</x:f>
      </x:c>
      <x:c r="L206" s="197" t="str">
        <x:f>IF(AND(G206&lt;&gt;"",I206&lt;&gt;""),G206/I206,"")</x:f>
      </x:c>
      <x:c r="M206" s="83" t="str">
        <x:v>S09</x:v>
      </x:c>
      <x:c r="N206" s="83" t="str">
        <x:v>Documento di Descrizione degli Scenari 2024</x:v>
      </x:c>
      <x:c r="O206" s="83" t="n">
        <x:v>63</x:v>
      </x:c>
      <x:c r="P206" s="83" t="str">
        <x:v>60-61</x:v>
      </x:c>
      <x:c r="Q206" s="83" t="str">
        <x:v>Tabella 16</x:v>
      </x:c>
      <x:c r="R206" s="83" t="str">
        <x:v>Assunzione di scenario</x:v>
      </x:c>
      <x:c r="S206" s="83" t="str">
        <x:v>Direct table extraction</x:v>
      </x:c>
      <x:c r="T206" s="83" t="str">
        <x:v>A — Direct</x:v>
      </x:c>
      <x:c r="U206" s="83" t="str">
        <x:v>Energy capacity by zone and class; derive power only where duration is specified.</x:v>
      </x:c>
      <x:c r="V206" s="83" t="str">
        <x:v>Small-scale source classes are 2 or 4 hours; utility-scale is 8 hours. CM duration is not stated.</x:v>
      </x:c>
    </x:row>
    <x:row r="207">
      <x:c r="A207" s="83" t="str">
        <x:v>SZ-203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Sicilia</x:v>
      </x:c>
      <x:c r="F207" s="83" t="str">
        <x:v>CM</x:v>
      </x:c>
      <x:c r="G207" s="197" t="n">
        <x:v>0</x:v>
      </x:c>
      <x:c r="H207" s="203" t="b">
        <x:v>1</x:v>
      </x:c>
      <x:c r="I207" s="197"/>
      <x:c r="J207" s="197"/>
      <x:c r="K207" s="197" t="str">
        <x:f>IF(AND(G207&lt;&gt;"",J207&lt;&gt;""),G207/J207,"")</x:f>
      </x:c>
      <x:c r="L207" s="197" t="str">
        <x:f>IF(AND(G207&lt;&gt;"",I207&lt;&gt;""),G207/I207,"")</x:f>
      </x:c>
      <x:c r="M207" s="83" t="str">
        <x:v>S09</x:v>
      </x:c>
      <x:c r="N207" s="83" t="str">
        <x:v>Documento di Descrizione degli Scenari 2024</x:v>
      </x:c>
      <x:c r="O207" s="83" t="n">
        <x:v>63</x:v>
      </x:c>
      <x:c r="P207" s="83" t="str">
        <x:v>60-61</x:v>
      </x:c>
      <x:c r="Q207" s="83" t="str">
        <x:v>Tabella 16</x:v>
      </x:c>
      <x:c r="R207" s="83" t="str">
        <x:v>Assunzione di scenario</x:v>
      </x:c>
      <x:c r="S207" s="83" t="str">
        <x:v>Direct table extraction</x:v>
      </x:c>
      <x:c r="T207" s="83" t="str">
        <x:v>A — Direct</x:v>
      </x:c>
      <x:c r="U207" s="83" t="str">
        <x:v>Energy capacity by zone and class; derive power only where duration is specified.</x:v>
      </x:c>
      <x:c r="V207" s="83" t="str">
        <x:v>Small-scale source classes are 2 or 4 hours; utility-scale is 8 hours. CM duration is not stated.</x:v>
      </x:c>
    </x:row>
    <x:row r="208">
      <x:c r="A208" s="83" t="str">
        <x:v>SZ-204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Sicilia</x:v>
      </x:c>
      <x:c r="F208" s="83" t="str">
        <x:v>CM</x:v>
      </x:c>
      <x:c r="G208" s="197" t="n">
        <x:v>0</x:v>
      </x:c>
      <x:c r="H208" s="203" t="b">
        <x:v>1</x:v>
      </x:c>
      <x:c r="I208" s="197"/>
      <x:c r="J208" s="197"/>
      <x:c r="K208" s="197" t="str">
        <x:f>IF(AND(G208&lt;&gt;"",J208&lt;&gt;""),G208/J208,"")</x:f>
      </x:c>
      <x:c r="L208" s="197" t="str">
        <x:f>IF(AND(G208&lt;&gt;"",I208&lt;&gt;""),G208/I208,"")</x:f>
      </x:c>
      <x:c r="M208" s="83" t="str">
        <x:v>S09</x:v>
      </x:c>
      <x:c r="N208" s="83" t="str">
        <x:v>Documento di Descrizione degli Scenari 2024</x:v>
      </x:c>
      <x:c r="O208" s="83" t="n">
        <x:v>63</x:v>
      </x:c>
      <x:c r="P208" s="83" t="str">
        <x:v>60-61</x:v>
      </x:c>
      <x:c r="Q208" s="83" t="str">
        <x:v>Tabella 16</x:v>
      </x:c>
      <x:c r="R208" s="83" t="str">
        <x:v>Assunzione di scenario</x:v>
      </x:c>
      <x:c r="S208" s="83" t="str">
        <x:v>Direct table extraction</x:v>
      </x:c>
      <x:c r="T208" s="83" t="str">
        <x:v>A — Direct</x:v>
      </x:c>
      <x:c r="U208" s="83" t="str">
        <x:v>Energy capacity by zone and class; derive power only where duration is specified.</x:v>
      </x:c>
      <x:c r="V208" s="83" t="str">
        <x:v>Small-scale source classes are 2 or 4 hours; utility-scale is 8 hours. CM duration is not stated.</x:v>
      </x:c>
    </x:row>
    <x:row r="209">
      <x:c r="A209" s="83" t="str">
        <x:v>SZ-205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Sicilia</x:v>
      </x:c>
      <x:c r="F209" s="83" t="str">
        <x:v>CM</x:v>
      </x:c>
      <x:c r="G209" s="197" t="n">
        <x:v>0</x:v>
      </x:c>
      <x:c r="H209" s="203" t="b">
        <x:v>1</x:v>
      </x:c>
      <x:c r="I209" s="197"/>
      <x:c r="J209" s="197"/>
      <x:c r="K209" s="197" t="str">
        <x:f>IF(AND(G209&lt;&gt;"",J209&lt;&gt;""),G209/J209,"")</x:f>
      </x:c>
      <x:c r="L209" s="197" t="str">
        <x:f>IF(AND(G209&lt;&gt;"",I209&lt;&gt;""),G209/I209,"")</x:f>
      </x:c>
      <x:c r="M209" s="83" t="str">
        <x:v>S09</x:v>
      </x:c>
      <x:c r="N209" s="83" t="str">
        <x:v>Documento di Descrizione degli Scenari 2024</x:v>
      </x:c>
      <x:c r="O209" s="83" t="n">
        <x:v>63</x:v>
      </x:c>
      <x:c r="P209" s="83" t="str">
        <x:v>60-61</x:v>
      </x:c>
      <x:c r="Q209" s="83" t="str">
        <x:v>Tabella 16</x:v>
      </x:c>
      <x:c r="R209" s="83" t="str">
        <x:v>Assunzione di scenario</x:v>
      </x:c>
      <x:c r="S209" s="83" t="str">
        <x:v>Direct table extraction</x:v>
      </x:c>
      <x:c r="T209" s="83" t="str">
        <x:v>A — Direct</x:v>
      </x:c>
      <x:c r="U209" s="83" t="str">
        <x:v>Energy capacity by zone and class; derive power only where duration is specified.</x:v>
      </x:c>
      <x:c r="V209" s="83" t="str">
        <x:v>Small-scale source classes are 2 or 4 hours; utility-scale is 8 hours. CM duration is not stated.</x:v>
      </x:c>
    </x:row>
    <x:row r="210">
      <x:c r="A210" s="83" t="str">
        <x:v>SZ-206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Sicilia</x:v>
      </x:c>
      <x:c r="F210" s="83" t="str">
        <x:v>CM</x:v>
      </x:c>
      <x:c r="G210" s="197" t="n">
        <x:v>0</x:v>
      </x:c>
      <x:c r="H210" s="203" t="b">
        <x:v>1</x:v>
      </x:c>
      <x:c r="I210" s="197"/>
      <x:c r="J210" s="197"/>
      <x:c r="K210" s="197" t="str">
        <x:f>IF(AND(G210&lt;&gt;"",J210&lt;&gt;""),G210/J210,"")</x:f>
      </x:c>
      <x:c r="L210" s="197" t="str">
        <x:f>IF(AND(G210&lt;&gt;"",I210&lt;&gt;""),G210/I210,"")</x:f>
      </x:c>
      <x:c r="M210" s="83" t="str">
        <x:v>S09</x:v>
      </x:c>
      <x:c r="N210" s="83" t="str">
        <x:v>Documento di Descrizione degli Scenari 2024</x:v>
      </x:c>
      <x:c r="O210" s="83" t="n">
        <x:v>63</x:v>
      </x:c>
      <x:c r="P210" s="83" t="str">
        <x:v>60-61</x:v>
      </x:c>
      <x:c r="Q210" s="83" t="str">
        <x:v>Tabella 16</x:v>
      </x:c>
      <x:c r="R210" s="83" t="str">
        <x:v>Assunzione di scenario</x:v>
      </x:c>
      <x:c r="S210" s="83" t="str">
        <x:v>Direct table extraction</x:v>
      </x:c>
      <x:c r="T210" s="83" t="str">
        <x:v>A — Direct</x:v>
      </x:c>
      <x:c r="U210" s="83" t="str">
        <x:v>Energy capacity by zone and class; derive power only where duration is specified.</x:v>
      </x:c>
      <x:c r="V210" s="83" t="str">
        <x:v>Small-scale source classes are 2 or 4 hours; utility-scale is 8 hours. CM duration is not stated.</x:v>
      </x:c>
    </x:row>
    <x:row r="211">
      <x:c r="A211" s="83" t="str">
        <x:v>SZ-207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Sicilia</x:v>
      </x:c>
      <x:c r="F211" s="83" t="str">
        <x:v>CM</x:v>
      </x:c>
      <x:c r="G211" s="197" t="n">
        <x:v>0</x:v>
      </x:c>
      <x:c r="H211" s="203" t="b">
        <x:v>1</x:v>
      </x:c>
      <x:c r="I211" s="197"/>
      <x:c r="J211" s="197"/>
      <x:c r="K211" s="197" t="str">
        <x:f>IF(AND(G211&lt;&gt;"",J211&lt;&gt;""),G211/J211,"")</x:f>
      </x:c>
      <x:c r="L211" s="197" t="str">
        <x:f>IF(AND(G211&lt;&gt;"",I211&lt;&gt;""),G211/I211,"")</x:f>
      </x:c>
      <x:c r="M211" s="83" t="str">
        <x:v>S09</x:v>
      </x:c>
      <x:c r="N211" s="83" t="str">
        <x:v>Documento di Descrizione degli Scenari 2024</x:v>
      </x:c>
      <x:c r="O211" s="83" t="n">
        <x:v>63</x:v>
      </x:c>
      <x:c r="P211" s="83" t="str">
        <x:v>60-61</x:v>
      </x:c>
      <x:c r="Q211" s="83" t="str">
        <x:v>Tabella 16</x:v>
      </x:c>
      <x:c r="R211" s="83" t="str">
        <x:v>Assunzione di scenario</x:v>
      </x:c>
      <x:c r="S211" s="83" t="str">
        <x:v>Direct table extraction</x:v>
      </x:c>
      <x:c r="T211" s="83" t="str">
        <x:v>A — Direct</x:v>
      </x:c>
      <x:c r="U211" s="83" t="str">
        <x:v>Energy capacity by zone and class; derive power only where duration is specified.</x:v>
      </x:c>
      <x:c r="V211" s="83" t="str">
        <x:v>Small-scale source classes are 2 or 4 hours; utility-scale is 8 hours. CM duration is not stated.</x:v>
      </x:c>
    </x:row>
    <x:row r="212">
      <x:c r="A212" s="83" t="str">
        <x:v>SZ-208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Sicilia</x:v>
      </x:c>
      <x:c r="F212" s="83" t="str">
        <x:v>Totale</x:v>
      </x:c>
      <x:c r="G212" s="197" t="n">
        <x:v>0.4</x:v>
      </x:c>
      <x:c r="H212" s="203" t="b">
        <x:v>1</x:v>
      </x:c>
      <x:c r="I212" s="197"/>
      <x:c r="J212" s="197"/>
      <x:c r="K212" s="197" t="str">
        <x:f>IF(AND(G212&lt;&gt;"",J212&lt;&gt;""),G212/J212,"")</x:f>
      </x:c>
      <x:c r="L212" s="197" t="str">
        <x:f>IF(AND(G212&lt;&gt;"",I212&lt;&gt;""),G212/I212,"")</x:f>
      </x:c>
      <x:c r="M212" s="83" t="str">
        <x:v>S09</x:v>
      </x:c>
      <x:c r="N212" s="83" t="str">
        <x:v>Documento di Descrizione degli Scenari 2024</x:v>
      </x:c>
      <x:c r="O212" s="83" t="n">
        <x:v>63</x:v>
      </x:c>
      <x:c r="P212" s="83" t="str">
        <x:v>60-61</x:v>
      </x:c>
      <x:c r="Q212" s="83" t="str">
        <x:v>Tabella 16</x:v>
      </x:c>
      <x:c r="R212" s="83" t="str">
        <x:v>Dato osservato storico nel DDS</x:v>
      </x:c>
      <x:c r="S212" s="83" t="str">
        <x:v>Direct table extraction</x:v>
      </x:c>
      <x:c r="T212" s="83" t="str">
        <x:v>A — Direct</x:v>
      </x:c>
      <x:c r="U212" s="83" t="str">
        <x:v>Energy capacity by zone and class; derive power only where duration is specified.</x:v>
      </x:c>
      <x:c r="V212" s="83" t="str">
        <x:v>Small-scale source classes are 2 or 4 hours; utility-scale is 8 hours. CM duration is not stated.</x:v>
      </x:c>
    </x:row>
    <x:row r="213">
      <x:c r="A213" s="83" t="str">
        <x:v>SZ-209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Sicilia</x:v>
      </x:c>
      <x:c r="F213" s="83" t="str">
        <x:v>Totale</x:v>
      </x:c>
      <x:c r="G213" s="197" t="n">
        <x:v>14.4</x:v>
      </x:c>
      <x:c r="H213" s="203" t="b">
        <x:v>1</x:v>
      </x:c>
      <x:c r="I213" s="197"/>
      <x:c r="J213" s="197"/>
      <x:c r="K213" s="197" t="str">
        <x:f>IF(AND(G213&lt;&gt;"",J213&lt;&gt;""),G213/J213,"")</x:f>
      </x:c>
      <x:c r="L213" s="197" t="str">
        <x:f>IF(AND(G213&lt;&gt;"",I213&lt;&gt;""),G213/I213,"")</x:f>
      </x:c>
      <x:c r="M213" s="83" t="str">
        <x:v>S09</x:v>
      </x:c>
      <x:c r="N213" s="83" t="str">
        <x:v>Documento di Descrizione degli Scenari 2024</x:v>
      </x:c>
      <x:c r="O213" s="83" t="n">
        <x:v>63</x:v>
      </x:c>
      <x:c r="P213" s="83" t="str">
        <x:v>60-61</x:v>
      </x:c>
      <x:c r="Q213" s="83" t="str">
        <x:v>Tabella 16</x:v>
      </x:c>
      <x:c r="R213" s="83" t="str">
        <x:v>Assunzione di scenario</x:v>
      </x:c>
      <x:c r="S213" s="83" t="str">
        <x:v>Direct table extraction</x:v>
      </x:c>
      <x:c r="T213" s="83" t="str">
        <x:v>A — Direct</x:v>
      </x:c>
      <x:c r="U213" s="83" t="str">
        <x:v>Energy capacity by zone and class; derive power only where duration is specified.</x:v>
      </x:c>
      <x:c r="V213" s="83" t="str">
        <x:v>Small-scale source classes are 2 or 4 hours; utility-scale is 8 hours. CM duration is not stated.</x:v>
      </x:c>
    </x:row>
    <x:row r="214">
      <x:c r="A214" s="83" t="str">
        <x:v>SZ-210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Sicilia</x:v>
      </x:c>
      <x:c r="F214" s="83" t="str">
        <x:v>Totale</x:v>
      </x:c>
      <x:c r="G214" s="197" t="n">
        <x:v>6.8</x:v>
      </x:c>
      <x:c r="H214" s="203" t="b">
        <x:v>1</x:v>
      </x:c>
      <x:c r="I214" s="197"/>
      <x:c r="J214" s="197"/>
      <x:c r="K214" s="197" t="str">
        <x:f>IF(AND(G214&lt;&gt;"",J214&lt;&gt;""),G214/J214,"")</x:f>
      </x:c>
      <x:c r="L214" s="197" t="str">
        <x:f>IF(AND(G214&lt;&gt;"",I214&lt;&gt;""),G214/I214,"")</x:f>
      </x:c>
      <x:c r="M214" s="83" t="str">
        <x:v>S09</x:v>
      </x:c>
      <x:c r="N214" s="83" t="str">
        <x:v>Documento di Descrizione degli Scenari 2024</x:v>
      </x:c>
      <x:c r="O214" s="83" t="n">
        <x:v>63</x:v>
      </x:c>
      <x:c r="P214" s="83" t="str">
        <x:v>60-61</x:v>
      </x:c>
      <x:c r="Q214" s="83" t="str">
        <x:v>Tabella 16</x:v>
      </x:c>
      <x:c r="R214" s="83" t="str">
        <x:v>Assunzione di scenario</x:v>
      </x:c>
      <x:c r="S214" s="83" t="str">
        <x:v>Direct table extraction</x:v>
      </x:c>
      <x:c r="T214" s="83" t="str">
        <x:v>A — Direct</x:v>
      </x:c>
      <x:c r="U214" s="83" t="str">
        <x:v>Energy capacity by zone and class; derive power only where duration is specified.</x:v>
      </x:c>
      <x:c r="V214" s="83" t="str">
        <x:v>Small-scale source classes are 2 or 4 hours; utility-scale is 8 hours. CM duration is not stated.</x:v>
      </x:c>
    </x:row>
    <x:row r="215">
      <x:c r="A215" s="83" t="str">
        <x:v>SZ-211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Sicilia</x:v>
      </x:c>
      <x:c r="F215" s="83" t="str">
        <x:v>Totale</x:v>
      </x:c>
      <x:c r="G215" s="197" t="n">
        <x:v>29</x:v>
      </x:c>
      <x:c r="H215" s="203" t="b">
        <x:v>1</x:v>
      </x:c>
      <x:c r="I215" s="197"/>
      <x:c r="J215" s="197"/>
      <x:c r="K215" s="197" t="str">
        <x:f>IF(AND(G215&lt;&gt;"",J215&lt;&gt;""),G215/J215,"")</x:f>
      </x:c>
      <x:c r="L215" s="197" t="str">
        <x:f>IF(AND(G215&lt;&gt;"",I215&lt;&gt;""),G215/I215,"")</x:f>
      </x:c>
      <x:c r="M215" s="83" t="str">
        <x:v>S09</x:v>
      </x:c>
      <x:c r="N215" s="83" t="str">
        <x:v>Documento di Descrizione degli Scenari 2024</x:v>
      </x:c>
      <x:c r="O215" s="83" t="n">
        <x:v>63</x:v>
      </x:c>
      <x:c r="P215" s="83" t="str">
        <x:v>60-61</x:v>
      </x:c>
      <x:c r="Q215" s="83" t="str">
        <x:v>Tabella 16</x:v>
      </x:c>
      <x:c r="R215" s="83" t="str">
        <x:v>Assunzione di scenario</x:v>
      </x:c>
      <x:c r="S215" s="83" t="str">
        <x:v>Direct table extraction</x:v>
      </x:c>
      <x:c r="T215" s="83" t="str">
        <x:v>A — Direct</x:v>
      </x:c>
      <x:c r="U215" s="83" t="str">
        <x:v>Energy capacity by zone and class; derive power only where duration is specified.</x:v>
      </x:c>
      <x:c r="V215" s="83" t="str">
        <x:v>Small-scale source classes are 2 or 4 hours; utility-scale is 8 hours. CM duration is not stated.</x:v>
      </x:c>
    </x:row>
    <x:row r="216">
      <x:c r="A216" s="83" t="str">
        <x:v>SZ-212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Sicilia</x:v>
      </x:c>
      <x:c r="F216" s="83" t="str">
        <x:v>Totale</x:v>
      </x:c>
      <x:c r="G216" s="197" t="n">
        <x:v>18.6</x:v>
      </x:c>
      <x:c r="H216" s="203" t="b">
        <x:v>1</x:v>
      </x:c>
      <x:c r="I216" s="197"/>
      <x:c r="J216" s="197"/>
      <x:c r="K216" s="197" t="str">
        <x:f>IF(AND(G216&lt;&gt;"",J216&lt;&gt;""),G216/J216,"")</x:f>
      </x:c>
      <x:c r="L216" s="197" t="str">
        <x:f>IF(AND(G216&lt;&gt;"",I216&lt;&gt;""),G216/I216,"")</x:f>
      </x:c>
      <x:c r="M216" s="83" t="str">
        <x:v>S09</x:v>
      </x:c>
      <x:c r="N216" s="83" t="str">
        <x:v>Documento di Descrizione degli Scenari 2024</x:v>
      </x:c>
      <x:c r="O216" s="83" t="n">
        <x:v>63</x:v>
      </x:c>
      <x:c r="P216" s="83" t="str">
        <x:v>60-61</x:v>
      </x:c>
      <x:c r="Q216" s="83" t="str">
        <x:v>Tabella 16</x:v>
      </x:c>
      <x:c r="R216" s="83" t="str">
        <x:v>Assunzione di scenario</x:v>
      </x:c>
      <x:c r="S216" s="83" t="str">
        <x:v>Direct table extraction</x:v>
      </x:c>
      <x:c r="T216" s="83" t="str">
        <x:v>A — Direct</x:v>
      </x:c>
      <x:c r="U216" s="83" t="str">
        <x:v>Energy capacity by zone and class; derive power only where duration is specified.</x:v>
      </x:c>
      <x:c r="V216" s="83" t="str">
        <x:v>Small-scale source classes are 2 or 4 hours; utility-scale is 8 hours. CM duration is not stated.</x:v>
      </x:c>
    </x:row>
    <x:row r="217">
      <x:c r="A217" s="83" t="str">
        <x:v>SZ-213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Sicilia</x:v>
      </x:c>
      <x:c r="F217" s="83" t="str">
        <x:v>Totale</x:v>
      </x:c>
      <x:c r="G217" s="197" t="n">
        <x:v>17.4</x:v>
      </x:c>
      <x:c r="H217" s="203" t="b">
        <x:v>1</x:v>
      </x:c>
      <x:c r="I217" s="197"/>
      <x:c r="J217" s="197"/>
      <x:c r="K217" s="197" t="str">
        <x:f>IF(AND(G217&lt;&gt;"",J217&lt;&gt;""),G217/J217,"")</x:f>
      </x:c>
      <x:c r="L217" s="197" t="str">
        <x:f>IF(AND(G217&lt;&gt;"",I217&lt;&gt;""),G217/I217,"")</x:f>
      </x:c>
      <x:c r="M217" s="83" t="str">
        <x:v>S09</x:v>
      </x:c>
      <x:c r="N217" s="83" t="str">
        <x:v>Documento di Descrizione degli Scenari 2024</x:v>
      </x:c>
      <x:c r="O217" s="83" t="n">
        <x:v>63</x:v>
      </x:c>
      <x:c r="P217" s="83" t="str">
        <x:v>60-61</x:v>
      </x:c>
      <x:c r="Q217" s="83" t="str">
        <x:v>Tabella 16</x:v>
      </x:c>
      <x:c r="R217" s="83" t="str">
        <x:v>Assunzione di scenario</x:v>
      </x:c>
      <x:c r="S217" s="83" t="str">
        <x:v>Direct table extraction</x:v>
      </x:c>
      <x:c r="T217" s="83" t="str">
        <x:v>A — Direct</x:v>
      </x:c>
      <x:c r="U217" s="83" t="str">
        <x:v>Energy capacity by zone and class; derive power only where duration is specified.</x:v>
      </x:c>
      <x:c r="V217" s="83" t="str">
        <x:v>Small-scale source classes are 2 or 4 hours; utility-scale is 8 hours. CM duration is not stated.</x:v>
      </x:c>
    </x:row>
    <x:row r="218">
      <x:c r="A218" s="83" t="str">
        <x:v>SZ-214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Sicilia</x:v>
      </x:c>
      <x:c r="F218" s="83" t="str">
        <x:v>Totale</x:v>
      </x:c>
      <x:c r="G218" s="197" t="n">
        <x:v>37.2</x:v>
      </x:c>
      <x:c r="H218" s="203" t="b">
        <x:v>1</x:v>
      </x:c>
      <x:c r="I218" s="197"/>
      <x:c r="J218" s="197"/>
      <x:c r="K218" s="197" t="str">
        <x:f>IF(AND(G218&lt;&gt;"",J218&lt;&gt;""),G218/J218,"")</x:f>
      </x:c>
      <x:c r="L218" s="197" t="str">
        <x:f>IF(AND(G218&lt;&gt;"",I218&lt;&gt;""),G218/I218,"")</x:f>
      </x:c>
      <x:c r="M218" s="83" t="str">
        <x:v>S09</x:v>
      </x:c>
      <x:c r="N218" s="83" t="str">
        <x:v>Documento di Descrizione degli Scenari 2024</x:v>
      </x:c>
      <x:c r="O218" s="83" t="n">
        <x:v>63</x:v>
      </x:c>
      <x:c r="P218" s="83" t="str">
        <x:v>60-61</x:v>
      </x:c>
      <x:c r="Q218" s="83" t="str">
        <x:v>Tabella 16</x:v>
      </x:c>
      <x:c r="R218" s="83" t="str">
        <x:v>Assunzione di scenario</x:v>
      </x:c>
      <x:c r="S218" s="83" t="str">
        <x:v>Direct table extraction</x:v>
      </x:c>
      <x:c r="T218" s="83" t="str">
        <x:v>A — Direct</x:v>
      </x:c>
      <x:c r="U218" s="83" t="str">
        <x:v>Energy capacity by zone and class; derive power only where duration is specified.</x:v>
      </x:c>
      <x:c r="V218" s="83" t="str">
        <x:v>Small-scale source classes are 2 or 4 hours; utility-scale is 8 hours. CM duration is not stated.</x:v>
      </x:c>
    </x:row>
    <x:row r="219">
      <x:c r="A219" s="83" t="str">
        <x:v>SZ-215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Sicilia</x:v>
      </x:c>
      <x:c r="F219" s="83" t="str">
        <x:v>Totale</x:v>
      </x:c>
      <x:c r="G219" s="197" t="n">
        <x:v>27.5</x:v>
      </x:c>
      <x:c r="H219" s="203" t="b">
        <x:v>1</x:v>
      </x:c>
      <x:c r="I219" s="197"/>
      <x:c r="J219" s="197"/>
      <x:c r="K219" s="197" t="str">
        <x:f>IF(AND(G219&lt;&gt;"",J219&lt;&gt;""),G219/J219,"")</x:f>
      </x:c>
      <x:c r="L219" s="197" t="str">
        <x:f>IF(AND(G219&lt;&gt;"",I219&lt;&gt;""),G219/I219,"")</x:f>
      </x:c>
      <x:c r="M219" s="83" t="str">
        <x:v>S09</x:v>
      </x:c>
      <x:c r="N219" s="83" t="str">
        <x:v>Documento di Descrizione degli Scenari 2024</x:v>
      </x:c>
      <x:c r="O219" s="83" t="n">
        <x:v>63</x:v>
      </x:c>
      <x:c r="P219" s="83" t="str">
        <x:v>60-61</x:v>
      </x:c>
      <x:c r="Q219" s="83" t="str">
        <x:v>Tabella 16</x:v>
      </x:c>
      <x:c r="R219" s="83" t="str">
        <x:v>Assunzione di scenario</x:v>
      </x:c>
      <x:c r="S219" s="83" t="str">
        <x:v>Direct table extraction</x:v>
      </x:c>
      <x:c r="T219" s="83" t="str">
        <x:v>A — Direct</x:v>
      </x:c>
      <x:c r="U219" s="83" t="str">
        <x:v>Energy capacity by zone and class; derive power only where duration is specified.</x:v>
      </x:c>
      <x:c r="V219" s="83" t="str">
        <x:v>Small-scale source classes are 2 or 4 hours; utility-scale is 8 hours. CM duration is not stated.</x:v>
      </x:c>
    </x:row>
    <x:row r="220">
      <x:c r="A220" s="83" t="str">
        <x:v>SZ-216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Sicilia</x:v>
      </x:c>
      <x:c r="F220" s="83" t="str">
        <x:v>Totale</x:v>
      </x:c>
      <x:c r="G220" s="197" t="n">
        <x:v>29.2</x:v>
      </x:c>
      <x:c r="H220" s="203" t="b">
        <x:v>1</x:v>
      </x:c>
      <x:c r="I220" s="197"/>
      <x:c r="J220" s="197"/>
      <x:c r="K220" s="197" t="str">
        <x:f>IF(AND(G220&lt;&gt;"",J220&lt;&gt;""),G220/J220,"")</x:f>
      </x:c>
      <x:c r="L220" s="197" t="str">
        <x:f>IF(AND(G220&lt;&gt;"",I220&lt;&gt;""),G220/I220,"")</x:f>
      </x:c>
      <x:c r="M220" s="83" t="str">
        <x:v>S09</x:v>
      </x:c>
      <x:c r="N220" s="83" t="str">
        <x:v>Documento di Descrizione degli Scenari 2024</x:v>
      </x:c>
      <x:c r="O220" s="83" t="n">
        <x:v>63</x:v>
      </x:c>
      <x:c r="P220" s="83" t="str">
        <x:v>60-61</x:v>
      </x:c>
      <x:c r="Q220" s="83" t="str">
        <x:v>Tabella 16</x:v>
      </x:c>
      <x:c r="R220" s="83" t="str">
        <x:v>Assunzione di scenario</x:v>
      </x:c>
      <x:c r="S220" s="83" t="str">
        <x:v>Direct table extraction</x:v>
      </x:c>
      <x:c r="T220" s="83" t="str">
        <x:v>A — Direct</x:v>
      </x:c>
      <x:c r="U220" s="83" t="str">
        <x:v>Energy capacity by zone and class; derive power only where duration is specified.</x:v>
      </x:c>
      <x:c r="V220" s="83" t="str">
        <x:v>Small-scale source classes are 2 or 4 hours; utility-scale is 8 hours. CM duration is not stated.</x:v>
      </x:c>
    </x:row>
    <x:row r="221">
      <x:c r="A221" s="83" t="str">
        <x:v>SZ-217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Sardegna</x:v>
      </x:c>
      <x:c r="F221" s="83" t="str">
        <x:v>Small Scale</x:v>
      </x:c>
      <x:c r="G221" s="197" t="n">
        <x:v>0.2</x:v>
      </x:c>
      <x:c r="H221" s="203" t="b">
        <x:v>1</x:v>
      </x:c>
      <x:c r="I221" s="197" t="n">
        <x:v>2</x:v>
      </x:c>
      <x:c r="J221" s="197" t="n">
        <x:v>4</x:v>
      </x:c>
      <x:c r="K221" s="197" t="n">
        <x:f>IF(AND(G221&lt;&gt;"",J221&lt;&gt;""),G221/J221,"")</x:f>
        <x:v>0.05</x:v>
      </x:c>
      <x:c r="L221" s="197" t="n">
        <x:f>IF(AND(G221&lt;&gt;"",I221&lt;&gt;""),G221/I221,"")</x:f>
        <x:v>0.1</x:v>
      </x:c>
      <x:c r="M221" s="83" t="str">
        <x:v>S09</x:v>
      </x:c>
      <x:c r="N221" s="83" t="str">
        <x:v>Documento di Descrizione degli Scenari 2024</x:v>
      </x:c>
      <x:c r="O221" s="83" t="n">
        <x:v>63</x:v>
      </x:c>
      <x:c r="P221" s="83" t="str">
        <x:v>60-61</x:v>
      </x:c>
      <x:c r="Q221" s="83" t="str">
        <x:v>Tabella 16</x:v>
      </x:c>
      <x:c r="R221" s="83" t="str">
        <x:v>Dato osservato storico nel DDS</x:v>
      </x:c>
      <x:c r="S221" s="83" t="str">
        <x:v>Direct table extraction</x:v>
      </x:c>
      <x:c r="T221" s="83" t="str">
        <x:v>A — Direct</x:v>
      </x:c>
      <x:c r="U221" s="83" t="str">
        <x:v>Energy capacity by zone and class; derive power only where duration is specified.</x:v>
      </x:c>
      <x:c r="V221" s="83" t="str">
        <x:v>Small-scale source classes are 2 or 4 hours; utility-scale is 8 hours. CM duration is not stated.</x:v>
      </x:c>
    </x:row>
    <x:row r="222">
      <x:c r="A222" s="83" t="str">
        <x:v>SZ-218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Sardegna</x:v>
      </x:c>
      <x:c r="F222" s="83" t="str">
        <x:v>Small Scale</x:v>
      </x:c>
      <x:c r="G222" s="197" t="n">
        <x:v>0.4</x:v>
      </x:c>
      <x:c r="H222" s="203" t="b">
        <x:v>1</x:v>
      </x:c>
      <x:c r="I222" s="197" t="n">
        <x:v>2</x:v>
      </x:c>
      <x:c r="J222" s="197" t="n">
        <x:v>4</x:v>
      </x:c>
      <x:c r="K222" s="197" t="n">
        <x:f>IF(AND(G222&lt;&gt;"",J222&lt;&gt;""),G222/J222,"")</x:f>
        <x:v>0.1</x:v>
      </x:c>
      <x:c r="L222" s="197" t="n">
        <x:f>IF(AND(G222&lt;&gt;"",I222&lt;&gt;""),G222/I222,"")</x:f>
        <x:v>0.2</x:v>
      </x:c>
      <x:c r="M222" s="83" t="str">
        <x:v>S09</x:v>
      </x:c>
      <x:c r="N222" s="83" t="str">
        <x:v>Documento di Descrizione degli Scenari 2024</x:v>
      </x:c>
      <x:c r="O222" s="83" t="n">
        <x:v>63</x:v>
      </x:c>
      <x:c r="P222" s="83" t="str">
        <x:v>60-61</x:v>
      </x:c>
      <x:c r="Q222" s="83" t="str">
        <x:v>Tabella 16</x:v>
      </x:c>
      <x:c r="R222" s="83" t="str">
        <x:v>Assunzione di scenario</x:v>
      </x:c>
      <x:c r="S222" s="83" t="str">
        <x:v>Direct table extraction</x:v>
      </x:c>
      <x:c r="T222" s="83" t="str">
        <x:v>A — Direct</x:v>
      </x:c>
      <x:c r="U222" s="83" t="str">
        <x:v>Energy capacity by zone and class; derive power only where duration is specified.</x:v>
      </x:c>
      <x:c r="V222" s="83" t="str">
        <x:v>Small-scale source classes are 2 or 4 hours; utility-scale is 8 hours. CM duration is not stated.</x:v>
      </x:c>
    </x:row>
    <x:row r="223">
      <x:c r="A223" s="83" t="str">
        <x:v>SZ-219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Sardegna</x:v>
      </x:c>
      <x:c r="F223" s="83" t="str">
        <x:v>Small Scale</x:v>
      </x:c>
      <x:c r="G223" s="197" t="n">
        <x:v>0.4</x:v>
      </x:c>
      <x:c r="H223" s="203" t="b">
        <x:v>1</x:v>
      </x:c>
      <x:c r="I223" s="197" t="n">
        <x:v>2</x:v>
      </x:c>
      <x:c r="J223" s="197" t="n">
        <x:v>4</x:v>
      </x:c>
      <x:c r="K223" s="197" t="n">
        <x:f>IF(AND(G223&lt;&gt;"",J223&lt;&gt;""),G223/J223,"")</x:f>
        <x:v>0.1</x:v>
      </x:c>
      <x:c r="L223" s="197" t="n">
        <x:f>IF(AND(G223&lt;&gt;"",I223&lt;&gt;""),G223/I223,"")</x:f>
        <x:v>0.2</x:v>
      </x:c>
      <x:c r="M223" s="83" t="str">
        <x:v>S09</x:v>
      </x:c>
      <x:c r="N223" s="83" t="str">
        <x:v>Documento di Descrizione degli Scenari 2024</x:v>
      </x:c>
      <x:c r="O223" s="83" t="n">
        <x:v>63</x:v>
      </x:c>
      <x:c r="P223" s="83" t="str">
        <x:v>60-61</x:v>
      </x:c>
      <x:c r="Q223" s="83" t="str">
        <x:v>Tabella 16</x:v>
      </x:c>
      <x:c r="R223" s="83" t="str">
        <x:v>Assunzione di scenario</x:v>
      </x:c>
      <x:c r="S223" s="83" t="str">
        <x:v>Direct table extraction</x:v>
      </x:c>
      <x:c r="T223" s="83" t="str">
        <x:v>A — Direct</x:v>
      </x:c>
      <x:c r="U223" s="83" t="str">
        <x:v>Energy capacity by zone and class; derive power only where duration is specified.</x:v>
      </x:c>
      <x:c r="V223" s="83" t="str">
        <x:v>Small-scale source classes are 2 or 4 hours; utility-scale is 8 hours. CM duration is not stated.</x:v>
      </x:c>
    </x:row>
    <x:row r="224">
      <x:c r="A224" s="83" t="str">
        <x:v>SZ-220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Sardegna</x:v>
      </x:c>
      <x:c r="F224" s="83" t="str">
        <x:v>Small Scale</x:v>
      </x:c>
      <x:c r="G224" s="197" t="n">
        <x:v>0.5</x:v>
      </x:c>
      <x:c r="H224" s="203" t="b">
        <x:v>1</x:v>
      </x:c>
      <x:c r="I224" s="197" t="n">
        <x:v>2</x:v>
      </x:c>
      <x:c r="J224" s="197" t="n">
        <x:v>4</x:v>
      </x:c>
      <x:c r="K224" s="197" t="n">
        <x:f>IF(AND(G224&lt;&gt;"",J224&lt;&gt;""),G224/J224,"")</x:f>
        <x:v>0.125</x:v>
      </x:c>
      <x:c r="L224" s="197" t="n">
        <x:f>IF(AND(G224&lt;&gt;"",I224&lt;&gt;""),G224/I224,"")</x:f>
        <x:v>0.25</x:v>
      </x:c>
      <x:c r="M224" s="83" t="str">
        <x:v>S09</x:v>
      </x:c>
      <x:c r="N224" s="83" t="str">
        <x:v>Documento di Descrizione degli Scenari 2024</x:v>
      </x:c>
      <x:c r="O224" s="83" t="n">
        <x:v>63</x:v>
      </x:c>
      <x:c r="P224" s="83" t="str">
        <x:v>60-61</x:v>
      </x:c>
      <x:c r="Q224" s="83" t="str">
        <x:v>Tabella 16</x:v>
      </x:c>
      <x:c r="R224" s="83" t="str">
        <x:v>Assunzione di scenario</x:v>
      </x:c>
      <x:c r="S224" s="83" t="str">
        <x:v>Direct table extraction</x:v>
      </x:c>
      <x:c r="T224" s="83" t="str">
        <x:v>A — Direct</x:v>
      </x:c>
      <x:c r="U224" s="83" t="str">
        <x:v>Energy capacity by zone and class; derive power only where duration is specified.</x:v>
      </x:c>
      <x:c r="V224" s="83" t="str">
        <x:v>Small-scale source classes are 2 or 4 hours; utility-scale is 8 hours. CM duration is not stated.</x:v>
      </x:c>
    </x:row>
    <x:row r="225">
      <x:c r="A225" s="83" t="str">
        <x:v>SZ-221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Sardegna</x:v>
      </x:c>
      <x:c r="F225" s="83" t="str">
        <x:v>Small Scale</x:v>
      </x:c>
      <x:c r="G225" s="197" t="n">
        <x:v>0.5</x:v>
      </x:c>
      <x:c r="H225" s="203" t="b">
        <x:v>1</x:v>
      </x:c>
      <x:c r="I225" s="197" t="n">
        <x:v>2</x:v>
      </x:c>
      <x:c r="J225" s="197" t="n">
        <x:v>4</x:v>
      </x:c>
      <x:c r="K225" s="197" t="n">
        <x:f>IF(AND(G225&lt;&gt;"",J225&lt;&gt;""),G225/J225,"")</x:f>
        <x:v>0.125</x:v>
      </x:c>
      <x:c r="L225" s="197" t="n">
        <x:f>IF(AND(G225&lt;&gt;"",I225&lt;&gt;""),G225/I225,"")</x:f>
        <x:v>0.25</x:v>
      </x:c>
      <x:c r="M225" s="83" t="str">
        <x:v>S09</x:v>
      </x:c>
      <x:c r="N225" s="83" t="str">
        <x:v>Documento di Descrizione degli Scenari 2024</x:v>
      </x:c>
      <x:c r="O225" s="83" t="n">
        <x:v>63</x:v>
      </x:c>
      <x:c r="P225" s="83" t="str">
        <x:v>60-61</x:v>
      </x:c>
      <x:c r="Q225" s="83" t="str">
        <x:v>Tabella 16</x:v>
      </x:c>
      <x:c r="R225" s="83" t="str">
        <x:v>Assunzione di scenario</x:v>
      </x:c>
      <x:c r="S225" s="83" t="str">
        <x:v>Direct table extraction</x:v>
      </x:c>
      <x:c r="T225" s="83" t="str">
        <x:v>A — Direct</x:v>
      </x:c>
      <x:c r="U225" s="83" t="str">
        <x:v>Energy capacity by zone and class; derive power only where duration is specified.</x:v>
      </x:c>
      <x:c r="V225" s="83" t="str">
        <x:v>Small-scale source classes are 2 or 4 hours; utility-scale is 8 hours. CM duration is not stated.</x:v>
      </x:c>
    </x:row>
    <x:row r="226">
      <x:c r="A226" s="83" t="str">
        <x:v>SZ-222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Sardegna</x:v>
      </x:c>
      <x:c r="F226" s="83" t="str">
        <x:v>Small Scale</x:v>
      </x:c>
      <x:c r="G226" s="197" t="n">
        <x:v>0.5</x:v>
      </x:c>
      <x:c r="H226" s="203" t="b">
        <x:v>1</x:v>
      </x:c>
      <x:c r="I226" s="197" t="n">
        <x:v>2</x:v>
      </x:c>
      <x:c r="J226" s="197" t="n">
        <x:v>4</x:v>
      </x:c>
      <x:c r="K226" s="197" t="n">
        <x:f>IF(AND(G226&lt;&gt;"",J226&lt;&gt;""),G226/J226,"")</x:f>
        <x:v>0.125</x:v>
      </x:c>
      <x:c r="L226" s="197" t="n">
        <x:f>IF(AND(G226&lt;&gt;"",I226&lt;&gt;""),G226/I226,"")</x:f>
        <x:v>0.25</x:v>
      </x:c>
      <x:c r="M226" s="83" t="str">
        <x:v>S09</x:v>
      </x:c>
      <x:c r="N226" s="83" t="str">
        <x:v>Documento di Descrizione degli Scenari 2024</x:v>
      </x:c>
      <x:c r="O226" s="83" t="n">
        <x:v>63</x:v>
      </x:c>
      <x:c r="P226" s="83" t="str">
        <x:v>60-61</x:v>
      </x:c>
      <x:c r="Q226" s="83" t="str">
        <x:v>Tabella 16</x:v>
      </x:c>
      <x:c r="R226" s="83" t="str">
        <x:v>Assunzione di scenario</x:v>
      </x:c>
      <x:c r="S226" s="83" t="str">
        <x:v>Direct table extraction</x:v>
      </x:c>
      <x:c r="T226" s="83" t="str">
        <x:v>A — Direct</x:v>
      </x:c>
      <x:c r="U226" s="83" t="str">
        <x:v>Energy capacity by zone and class; derive power only where duration is specified.</x:v>
      </x:c>
      <x:c r="V226" s="83" t="str">
        <x:v>Small-scale source classes are 2 or 4 hours; utility-scale is 8 hours. CM duration is not stated.</x:v>
      </x:c>
    </x:row>
    <x:row r="227">
      <x:c r="A227" s="83" t="str">
        <x:v>SZ-223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Sardegna</x:v>
      </x:c>
      <x:c r="F227" s="83" t="str">
        <x:v>Small Scale</x:v>
      </x:c>
      <x:c r="G227" s="197" t="n">
        <x:v>0.6</x:v>
      </x:c>
      <x:c r="H227" s="203" t="b">
        <x:v>1</x:v>
      </x:c>
      <x:c r="I227" s="197" t="n">
        <x:v>2</x:v>
      </x:c>
      <x:c r="J227" s="197" t="n">
        <x:v>4</x:v>
      </x:c>
      <x:c r="K227" s="197" t="n">
        <x:f>IF(AND(G227&lt;&gt;"",J227&lt;&gt;""),G227/J227,"")</x:f>
        <x:v>0.15</x:v>
      </x:c>
      <x:c r="L227" s="197" t="n">
        <x:f>IF(AND(G227&lt;&gt;"",I227&lt;&gt;""),G227/I227,"")</x:f>
        <x:v>0.3</x:v>
      </x:c>
      <x:c r="M227" s="83" t="str">
        <x:v>S09</x:v>
      </x:c>
      <x:c r="N227" s="83" t="str">
        <x:v>Documento di Descrizione degli Scenari 2024</x:v>
      </x:c>
      <x:c r="O227" s="83" t="n">
        <x:v>63</x:v>
      </x:c>
      <x:c r="P227" s="83" t="str">
        <x:v>60-61</x:v>
      </x:c>
      <x:c r="Q227" s="83" t="str">
        <x:v>Tabella 16</x:v>
      </x:c>
      <x:c r="R227" s="83" t="str">
        <x:v>Assunzione di scenario</x:v>
      </x:c>
      <x:c r="S227" s="83" t="str">
        <x:v>Direct table extraction</x:v>
      </x:c>
      <x:c r="T227" s="83" t="str">
        <x:v>A — Direct</x:v>
      </x:c>
      <x:c r="U227" s="83" t="str">
        <x:v>Energy capacity by zone and class; derive power only where duration is specified.</x:v>
      </x:c>
      <x:c r="V227" s="83" t="str">
        <x:v>Small-scale source classes are 2 or 4 hours; utility-scale is 8 hours. CM duration is not stated.</x:v>
      </x:c>
    </x:row>
    <x:row r="228">
      <x:c r="A228" s="83" t="str">
        <x:v>SZ-224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Sardegna</x:v>
      </x:c>
      <x:c r="F228" s="83" t="str">
        <x:v>Small Scale</x:v>
      </x:c>
      <x:c r="G228" s="197" t="n">
        <x:v>0.6</x:v>
      </x:c>
      <x:c r="H228" s="203" t="b">
        <x:v>1</x:v>
      </x:c>
      <x:c r="I228" s="197" t="n">
        <x:v>2</x:v>
      </x:c>
      <x:c r="J228" s="197" t="n">
        <x:v>4</x:v>
      </x:c>
      <x:c r="K228" s="197" t="n">
        <x:f>IF(AND(G228&lt;&gt;"",J228&lt;&gt;""),G228/J228,"")</x:f>
        <x:v>0.15</x:v>
      </x:c>
      <x:c r="L228" s="197" t="n">
        <x:f>IF(AND(G228&lt;&gt;"",I228&lt;&gt;""),G228/I228,"")</x:f>
        <x:v>0.3</x:v>
      </x:c>
      <x:c r="M228" s="83" t="str">
        <x:v>S09</x:v>
      </x:c>
      <x:c r="N228" s="83" t="str">
        <x:v>Documento di Descrizione degli Scenari 2024</x:v>
      </x:c>
      <x:c r="O228" s="83" t="n">
        <x:v>63</x:v>
      </x:c>
      <x:c r="P228" s="83" t="str">
        <x:v>60-61</x:v>
      </x:c>
      <x:c r="Q228" s="83" t="str">
        <x:v>Tabella 16</x:v>
      </x:c>
      <x:c r="R228" s="83" t="str">
        <x:v>Assunzione di scenario</x:v>
      </x:c>
      <x:c r="S228" s="83" t="str">
        <x:v>Direct table extraction</x:v>
      </x:c>
      <x:c r="T228" s="83" t="str">
        <x:v>A — Direct</x:v>
      </x:c>
      <x:c r="U228" s="83" t="str">
        <x:v>Energy capacity by zone and class; derive power only where duration is specified.</x:v>
      </x:c>
      <x:c r="V228" s="83" t="str">
        <x:v>Small-scale source classes are 2 or 4 hours; utility-scale is 8 hours. CM duration is not stated.</x:v>
      </x:c>
    </x:row>
    <x:row r="229">
      <x:c r="A229" s="83" t="str">
        <x:v>SZ-225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Sardegna</x:v>
      </x:c>
      <x:c r="F229" s="83" t="str">
        <x:v>Small Scale</x:v>
      </x:c>
      <x:c r="G229" s="197" t="n">
        <x:v>0.5</x:v>
      </x:c>
      <x:c r="H229" s="203" t="b">
        <x:v>1</x:v>
      </x:c>
      <x:c r="I229" s="197" t="n">
        <x:v>2</x:v>
      </x:c>
      <x:c r="J229" s="197" t="n">
        <x:v>4</x:v>
      </x:c>
      <x:c r="K229" s="197" t="n">
        <x:f>IF(AND(G229&lt;&gt;"",J229&lt;&gt;""),G229/J229,"")</x:f>
        <x:v>0.125</x:v>
      </x:c>
      <x:c r="L229" s="197" t="n">
        <x:f>IF(AND(G229&lt;&gt;"",I229&lt;&gt;""),G229/I229,"")</x:f>
        <x:v>0.25</x:v>
      </x:c>
      <x:c r="M229" s="83" t="str">
        <x:v>S09</x:v>
      </x:c>
      <x:c r="N229" s="83" t="str">
        <x:v>Documento di Descrizione degli Scenari 2024</x:v>
      </x:c>
      <x:c r="O229" s="83" t="n">
        <x:v>63</x:v>
      </x:c>
      <x:c r="P229" s="83" t="str">
        <x:v>60-61</x:v>
      </x:c>
      <x:c r="Q229" s="83" t="str">
        <x:v>Tabella 16</x:v>
      </x:c>
      <x:c r="R229" s="83" t="str">
        <x:v>Assunzione di scenario</x:v>
      </x:c>
      <x:c r="S229" s="83" t="str">
        <x:v>Direct table extraction</x:v>
      </x:c>
      <x:c r="T229" s="83" t="str">
        <x:v>A — Direct</x:v>
      </x:c>
      <x:c r="U229" s="83" t="str">
        <x:v>Energy capacity by zone and class; derive power only where duration is specified.</x:v>
      </x:c>
      <x:c r="V229" s="83" t="str">
        <x:v>Small-scale source classes are 2 or 4 hours; utility-scale is 8 hours. CM duration is not stated.</x:v>
      </x:c>
    </x:row>
    <x:row r="230">
      <x:c r="A230" s="83" t="str">
        <x:v>SZ-226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Sardegna</x:v>
      </x:c>
      <x:c r="F230" s="83" t="str">
        <x:v>Utility Scale</x:v>
      </x:c>
      <x:c r="G230" s="197" t="n">
        <x:v>0</x:v>
      </x:c>
      <x:c r="H230" s="203" t="b">
        <x:v>1</x:v>
      </x:c>
      <x:c r="I230" s="197" t="n">
        <x:v>8</x:v>
      </x:c>
      <x:c r="J230" s="197" t="n">
        <x:v>8</x:v>
      </x:c>
      <x:c r="K230" s="197" t="str">
        <x:f>IF(AND(G230&lt;&gt;"",J230&lt;&gt;""),G230/J230,"")</x:f>
      </x:c>
      <x:c r="L230" s="197" t="str">
        <x:f>IF(AND(G230&lt;&gt;"",I230&lt;&gt;""),G230/I230,"")</x:f>
      </x:c>
      <x:c r="M230" s="83" t="str">
        <x:v>S09</x:v>
      </x:c>
      <x:c r="N230" s="83" t="str">
        <x:v>Documento di Descrizione degli Scenari 2024</x:v>
      </x:c>
      <x:c r="O230" s="83" t="n">
        <x:v>63</x:v>
      </x:c>
      <x:c r="P230" s="83" t="str">
        <x:v>60-61</x:v>
      </x:c>
      <x:c r="Q230" s="83" t="str">
        <x:v>Tabella 16</x:v>
      </x:c>
      <x:c r="R230" s="83" t="str">
        <x:v>Dato osservato storico nel DDS</x:v>
      </x:c>
      <x:c r="S230" s="83" t="str">
        <x:v>Direct table extraction</x:v>
      </x:c>
      <x:c r="T230" s="83" t="str">
        <x:v>A — Direct</x:v>
      </x:c>
      <x:c r="U230" s="83" t="str">
        <x:v>Energy capacity by zone and class; derive power only where duration is specified.</x:v>
      </x:c>
      <x:c r="V230" s="83" t="str">
        <x:v>Small-scale source classes are 2 or 4 hours; utility-scale is 8 hours. CM duration is not stated.</x:v>
      </x:c>
    </x:row>
    <x:row r="231">
      <x:c r="A231" s="83" t="str">
        <x:v>SZ-227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Sardegna</x:v>
      </x:c>
      <x:c r="F231" s="83" t="str">
        <x:v>Utility Scale</x:v>
      </x:c>
      <x:c r="G231" s="197" t="n">
        <x:v>10.4</x:v>
      </x:c>
      <x:c r="H231" s="203" t="b">
        <x:v>1</x:v>
      </x:c>
      <x:c r="I231" s="197" t="n">
        <x:v>8</x:v>
      </x:c>
      <x:c r="J231" s="197" t="n">
        <x:v>8</x:v>
      </x:c>
      <x:c r="K231" s="197" t="n">
        <x:f>IF(AND(G231&lt;&gt;"",J231&lt;&gt;""),G231/J231,"")</x:f>
        <x:v>1.3</x:v>
      </x:c>
      <x:c r="L231" s="197" t="n">
        <x:f>IF(AND(G231&lt;&gt;"",I231&lt;&gt;""),G231/I231,"")</x:f>
        <x:v>1.3</x:v>
      </x:c>
      <x:c r="M231" s="83" t="str">
        <x:v>S09</x:v>
      </x:c>
      <x:c r="N231" s="83" t="str">
        <x:v>Documento di Descrizione degli Scenari 2024</x:v>
      </x:c>
      <x:c r="O231" s="83" t="n">
        <x:v>63</x:v>
      </x:c>
      <x:c r="P231" s="83" t="str">
        <x:v>60-61</x:v>
      </x:c>
      <x:c r="Q231" s="83" t="str">
        <x:v>Tabella 16</x:v>
      </x:c>
      <x:c r="R231" s="83" t="str">
        <x:v>Assunzione di scenario</x:v>
      </x:c>
      <x:c r="S231" s="83" t="str">
        <x:v>Direct table extraction</x:v>
      </x:c>
      <x:c r="T231" s="83" t="str">
        <x:v>A — Direct</x:v>
      </x:c>
      <x:c r="U231" s="83" t="str">
        <x:v>Energy capacity by zone and class; derive power only where duration is specified.</x:v>
      </x:c>
      <x:c r="V231" s="83" t="str">
        <x:v>Small-scale source classes are 2 or 4 hours; utility-scale is 8 hours. CM duration is not stated.</x:v>
      </x:c>
    </x:row>
    <x:row r="232">
      <x:c r="A232" s="83" t="str">
        <x:v>SZ-228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Sardegna</x:v>
      </x:c>
      <x:c r="F232" s="83" t="str">
        <x:v>Utility Scale</x:v>
      </x:c>
      <x:c r="G232" s="197" t="n">
        <x:v>4.2</x:v>
      </x:c>
      <x:c r="H232" s="203" t="b">
        <x:v>1</x:v>
      </x:c>
      <x:c r="I232" s="197" t="n">
        <x:v>8</x:v>
      </x:c>
      <x:c r="J232" s="197" t="n">
        <x:v>8</x:v>
      </x:c>
      <x:c r="K232" s="197" t="n">
        <x:f>IF(AND(G232&lt;&gt;"",J232&lt;&gt;""),G232/J232,"")</x:f>
        <x:v>0.525</x:v>
      </x:c>
      <x:c r="L232" s="197" t="n">
        <x:f>IF(AND(G232&lt;&gt;"",I232&lt;&gt;""),G232/I232,"")</x:f>
        <x:v>0.525</x:v>
      </x:c>
      <x:c r="M232" s="83" t="str">
        <x:v>S09</x:v>
      </x:c>
      <x:c r="N232" s="83" t="str">
        <x:v>Documento di Descrizione degli Scenari 2024</x:v>
      </x:c>
      <x:c r="O232" s="83" t="n">
        <x:v>63</x:v>
      </x:c>
      <x:c r="P232" s="83" t="str">
        <x:v>60-61</x:v>
      </x:c>
      <x:c r="Q232" s="83" t="str">
        <x:v>Tabella 16</x:v>
      </x:c>
      <x:c r="R232" s="83" t="str">
        <x:v>Assunzione di scenario</x:v>
      </x:c>
      <x:c r="S232" s="83" t="str">
        <x:v>Direct table extraction</x:v>
      </x:c>
      <x:c r="T232" s="83" t="str">
        <x:v>A — Direct</x:v>
      </x:c>
      <x:c r="U232" s="83" t="str">
        <x:v>Energy capacity by zone and class; derive power only where duration is specified.</x:v>
      </x:c>
      <x:c r="V232" s="83" t="str">
        <x:v>Small-scale source classes are 2 or 4 hours; utility-scale is 8 hours. CM duration is not stated.</x:v>
      </x:c>
    </x:row>
    <x:row r="233">
      <x:c r="A233" s="83" t="str">
        <x:v>SZ-229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Sardegna</x:v>
      </x:c>
      <x:c r="F233" s="83" t="str">
        <x:v>Utility Scale</x:v>
      </x:c>
      <x:c r="G233" s="197" t="n">
        <x:v>15.9</x:v>
      </x:c>
      <x:c r="H233" s="203" t="b">
        <x:v>1</x:v>
      </x:c>
      <x:c r="I233" s="197" t="n">
        <x:v>8</x:v>
      </x:c>
      <x:c r="J233" s="197" t="n">
        <x:v>8</x:v>
      </x:c>
      <x:c r="K233" s="197" t="n">
        <x:f>IF(AND(G233&lt;&gt;"",J233&lt;&gt;""),G233/J233,"")</x:f>
        <x:v>1.9875</x:v>
      </x:c>
      <x:c r="L233" s="197" t="n">
        <x:f>IF(AND(G233&lt;&gt;"",I233&lt;&gt;""),G233/I233,"")</x:f>
        <x:v>1.9875</x:v>
      </x:c>
      <x:c r="M233" s="83" t="str">
        <x:v>S09</x:v>
      </x:c>
      <x:c r="N233" s="83" t="str">
        <x:v>Documento di Descrizione degli Scenari 2024</x:v>
      </x:c>
      <x:c r="O233" s="83" t="n">
        <x:v>63</x:v>
      </x:c>
      <x:c r="P233" s="83" t="str">
        <x:v>60-61</x:v>
      </x:c>
      <x:c r="Q233" s="83" t="str">
        <x:v>Tabella 16</x:v>
      </x:c>
      <x:c r="R233" s="83" t="str">
        <x:v>Assunzione di scenario</x:v>
      </x:c>
      <x:c r="S233" s="83" t="str">
        <x:v>Direct table extraction</x:v>
      </x:c>
      <x:c r="T233" s="83" t="str">
        <x:v>A — Direct</x:v>
      </x:c>
      <x:c r="U233" s="83" t="str">
        <x:v>Energy capacity by zone and class; derive power only where duration is specified.</x:v>
      </x:c>
      <x:c r="V233" s="83" t="str">
        <x:v>Small-scale source classes are 2 or 4 hours; utility-scale is 8 hours. CM duration is not stated.</x:v>
      </x:c>
    </x:row>
    <x:row r="234">
      <x:c r="A234" s="83" t="str">
        <x:v>SZ-230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Sardegna</x:v>
      </x:c>
      <x:c r="F234" s="83" t="str">
        <x:v>Utility Scale</x:v>
      </x:c>
      <x:c r="G234" s="197" t="n">
        <x:v>8.6</x:v>
      </x:c>
      <x:c r="H234" s="203" t="b">
        <x:v>1</x:v>
      </x:c>
      <x:c r="I234" s="197" t="n">
        <x:v>8</x:v>
      </x:c>
      <x:c r="J234" s="197" t="n">
        <x:v>8</x:v>
      </x:c>
      <x:c r="K234" s="197" t="n">
        <x:f>IF(AND(G234&lt;&gt;"",J234&lt;&gt;""),G234/J234,"")</x:f>
        <x:v>1.075</x:v>
      </x:c>
      <x:c r="L234" s="197" t="n">
        <x:f>IF(AND(G234&lt;&gt;"",I234&lt;&gt;""),G234/I234,"")</x:f>
        <x:v>1.075</x:v>
      </x:c>
      <x:c r="M234" s="83" t="str">
        <x:v>S09</x:v>
      </x:c>
      <x:c r="N234" s="83" t="str">
        <x:v>Documento di Descrizione degli Scenari 2024</x:v>
      </x:c>
      <x:c r="O234" s="83" t="n">
        <x:v>63</x:v>
      </x:c>
      <x:c r="P234" s="83" t="str">
        <x:v>60-61</x:v>
      </x:c>
      <x:c r="Q234" s="83" t="str">
        <x:v>Tabella 16</x:v>
      </x:c>
      <x:c r="R234" s="83" t="str">
        <x:v>Assunzione di scenario</x:v>
      </x:c>
      <x:c r="S234" s="83" t="str">
        <x:v>Direct table extraction</x:v>
      </x:c>
      <x:c r="T234" s="83" t="str">
        <x:v>A — Direct</x:v>
      </x:c>
      <x:c r="U234" s="83" t="str">
        <x:v>Energy capacity by zone and class; derive power only where duration is specified.</x:v>
      </x:c>
      <x:c r="V234" s="83" t="str">
        <x:v>Small-scale source classes are 2 or 4 hours; utility-scale is 8 hours. CM duration is not stated.</x:v>
      </x:c>
    </x:row>
    <x:row r="235">
      <x:c r="A235" s="83" t="str">
        <x:v>SZ-231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Sardegna</x:v>
      </x:c>
      <x:c r="F235" s="83" t="str">
        <x:v>Utility Scale</x:v>
      </x:c>
      <x:c r="G235" s="197" t="n">
        <x:v>7.9</x:v>
      </x:c>
      <x:c r="H235" s="203" t="b">
        <x:v>1</x:v>
      </x:c>
      <x:c r="I235" s="197" t="n">
        <x:v>8</x:v>
      </x:c>
      <x:c r="J235" s="197" t="n">
        <x:v>8</x:v>
      </x:c>
      <x:c r="K235" s="197" t="n">
        <x:f>IF(AND(G235&lt;&gt;"",J235&lt;&gt;""),G235/J235,"")</x:f>
        <x:v>0.9875</x:v>
      </x:c>
      <x:c r="L235" s="197" t="n">
        <x:f>IF(AND(G235&lt;&gt;"",I235&lt;&gt;""),G235/I235,"")</x:f>
        <x:v>0.9875</x:v>
      </x:c>
      <x:c r="M235" s="83" t="str">
        <x:v>S09</x:v>
      </x:c>
      <x:c r="N235" s="83" t="str">
        <x:v>Documento di Descrizione degli Scenari 2024</x:v>
      </x:c>
      <x:c r="O235" s="83" t="n">
        <x:v>63</x:v>
      </x:c>
      <x:c r="P235" s="83" t="str">
        <x:v>60-61</x:v>
      </x:c>
      <x:c r="Q235" s="83" t="str">
        <x:v>Tabella 16</x:v>
      </x:c>
      <x:c r="R235" s="83" t="str">
        <x:v>Assunzione di scenario</x:v>
      </x:c>
      <x:c r="S235" s="83" t="str">
        <x:v>Direct table extraction</x:v>
      </x:c>
      <x:c r="T235" s="83" t="str">
        <x:v>A — Direct</x:v>
      </x:c>
      <x:c r="U235" s="83" t="str">
        <x:v>Energy capacity by zone and class; derive power only where duration is specified.</x:v>
      </x:c>
      <x:c r="V235" s="83" t="str">
        <x:v>Small-scale source classes are 2 or 4 hours; utility-scale is 8 hours. CM duration is not stated.</x:v>
      </x:c>
    </x:row>
    <x:row r="236">
      <x:c r="A236" s="83" t="str">
        <x:v>SZ-232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Sardegna</x:v>
      </x:c>
      <x:c r="F236" s="83" t="str">
        <x:v>Utility Scale</x:v>
      </x:c>
      <x:c r="G236" s="197" t="n">
        <x:v>20.3</x:v>
      </x:c>
      <x:c r="H236" s="203" t="b">
        <x:v>1</x:v>
      </x:c>
      <x:c r="I236" s="197" t="n">
        <x:v>8</x:v>
      </x:c>
      <x:c r="J236" s="197" t="n">
        <x:v>8</x:v>
      </x:c>
      <x:c r="K236" s="197" t="n">
        <x:f>IF(AND(G236&lt;&gt;"",J236&lt;&gt;""),G236/J236,"")</x:f>
        <x:v>2.5375</x:v>
      </x:c>
      <x:c r="L236" s="197" t="n">
        <x:f>IF(AND(G236&lt;&gt;"",I236&lt;&gt;""),G236/I236,"")</x:f>
        <x:v>2.5375</x:v>
      </x:c>
      <x:c r="M236" s="83" t="str">
        <x:v>S09</x:v>
      </x:c>
      <x:c r="N236" s="83" t="str">
        <x:v>Documento di Descrizione degli Scenari 2024</x:v>
      </x:c>
      <x:c r="O236" s="83" t="n">
        <x:v>63</x:v>
      </x:c>
      <x:c r="P236" s="83" t="str">
        <x:v>60-61</x:v>
      </x:c>
      <x:c r="Q236" s="83" t="str">
        <x:v>Tabella 16</x:v>
      </x:c>
      <x:c r="R236" s="83" t="str">
        <x:v>Assunzione di scenario</x:v>
      </x:c>
      <x:c r="S236" s="83" t="str">
        <x:v>Direct table extraction</x:v>
      </x:c>
      <x:c r="T236" s="83" t="str">
        <x:v>A — Direct</x:v>
      </x:c>
      <x:c r="U236" s="83" t="str">
        <x:v>Energy capacity by zone and class; derive power only where duration is specified.</x:v>
      </x:c>
      <x:c r="V236" s="83" t="str">
        <x:v>Small-scale source classes are 2 or 4 hours; utility-scale is 8 hours. CM duration is not stated.</x:v>
      </x:c>
    </x:row>
    <x:row r="237">
      <x:c r="A237" s="83" t="str">
        <x:v>SZ-233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Sardegna</x:v>
      </x:c>
      <x:c r="F237" s="83" t="str">
        <x:v>Utility Scale</x:v>
      </x:c>
      <x:c r="G237" s="197" t="n">
        <x:v>13.4</x:v>
      </x:c>
      <x:c r="H237" s="203" t="b">
        <x:v>1</x:v>
      </x:c>
      <x:c r="I237" s="197" t="n">
        <x:v>8</x:v>
      </x:c>
      <x:c r="J237" s="197" t="n">
        <x:v>8</x:v>
      </x:c>
      <x:c r="K237" s="197" t="n">
        <x:f>IF(AND(G237&lt;&gt;"",J237&lt;&gt;""),G237/J237,"")</x:f>
        <x:v>1.675</x:v>
      </x:c>
      <x:c r="L237" s="197" t="n">
        <x:f>IF(AND(G237&lt;&gt;"",I237&lt;&gt;""),G237/I237,"")</x:f>
        <x:v>1.675</x:v>
      </x:c>
      <x:c r="M237" s="83" t="str">
        <x:v>S09</x:v>
      </x:c>
      <x:c r="N237" s="83" t="str">
        <x:v>Documento di Descrizione degli Scenari 2024</x:v>
      </x:c>
      <x:c r="O237" s="83" t="n">
        <x:v>63</x:v>
      </x:c>
      <x:c r="P237" s="83" t="str">
        <x:v>60-61</x:v>
      </x:c>
      <x:c r="Q237" s="83" t="str">
        <x:v>Tabella 16</x:v>
      </x:c>
      <x:c r="R237" s="83" t="str">
        <x:v>Assunzione di scenario</x:v>
      </x:c>
      <x:c r="S237" s="83" t="str">
        <x:v>Direct table extraction</x:v>
      </x:c>
      <x:c r="T237" s="83" t="str">
        <x:v>A — Direct</x:v>
      </x:c>
      <x:c r="U237" s="83" t="str">
        <x:v>Energy capacity by zone and class; derive power only where duration is specified.</x:v>
      </x:c>
      <x:c r="V237" s="83" t="str">
        <x:v>Small-scale source classes are 2 or 4 hours; utility-scale is 8 hours. CM duration is not stated.</x:v>
      </x:c>
    </x:row>
    <x:row r="238">
      <x:c r="A238" s="83" t="str">
        <x:v>SZ-234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Sardegna</x:v>
      </x:c>
      <x:c r="F238" s="83" t="str">
        <x:v>Utility Scale</x:v>
      </x:c>
      <x:c r="G238" s="197" t="n">
        <x:v>12.1</x:v>
      </x:c>
      <x:c r="H238" s="203" t="b">
        <x:v>1</x:v>
      </x:c>
      <x:c r="I238" s="197" t="n">
        <x:v>8</x:v>
      </x:c>
      <x:c r="J238" s="197" t="n">
        <x:v>8</x:v>
      </x:c>
      <x:c r="K238" s="197" t="n">
        <x:f>IF(AND(G238&lt;&gt;"",J238&lt;&gt;""),G238/J238,"")</x:f>
        <x:v>1.5125</x:v>
      </x:c>
      <x:c r="L238" s="197" t="n">
        <x:f>IF(AND(G238&lt;&gt;"",I238&lt;&gt;""),G238/I238,"")</x:f>
        <x:v>1.5125</x:v>
      </x:c>
      <x:c r="M238" s="83" t="str">
        <x:v>S09</x:v>
      </x:c>
      <x:c r="N238" s="83" t="str">
        <x:v>Documento di Descrizione degli Scenari 2024</x:v>
      </x:c>
      <x:c r="O238" s="83" t="n">
        <x:v>63</x:v>
      </x:c>
      <x:c r="P238" s="83" t="str">
        <x:v>60-61</x:v>
      </x:c>
      <x:c r="Q238" s="83" t="str">
        <x:v>Tabella 16</x:v>
      </x:c>
      <x:c r="R238" s="83" t="str">
        <x:v>Assunzione di scenario</x:v>
      </x:c>
      <x:c r="S238" s="83" t="str">
        <x:v>Direct table extraction</x:v>
      </x:c>
      <x:c r="T238" s="83" t="str">
        <x:v>A — Direct</x:v>
      </x:c>
      <x:c r="U238" s="83" t="str">
        <x:v>Energy capacity by zone and class; derive power only where duration is specified.</x:v>
      </x:c>
      <x:c r="V238" s="83" t="str">
        <x:v>Small-scale source classes are 2 or 4 hours; utility-scale is 8 hours. CM duration is not stated.</x:v>
      </x:c>
    </x:row>
    <x:row r="239">
      <x:c r="A239" s="83" t="str">
        <x:v>SZ-235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CM</x:v>
      </x:c>
      <x:c r="G239" s="197" t="n">
        <x:v>0</x:v>
      </x:c>
      <x:c r="H239" s="203" t="b">
        <x:v>1</x:v>
      </x:c>
      <x:c r="I239" s="197"/>
      <x:c r="J239" s="197"/>
      <x:c r="K239" s="197" t="str">
        <x:f>IF(AND(G239&lt;&gt;"",J239&lt;&gt;""),G239/J239,"")</x:f>
      </x:c>
      <x:c r="L239" s="197" t="str">
        <x:f>IF(AND(G239&lt;&gt;"",I239&lt;&gt;""),G239/I239,"")</x:f>
      </x:c>
      <x:c r="M239" s="83" t="str">
        <x:v>S09</x:v>
      </x:c>
      <x:c r="N239" s="83" t="str">
        <x:v>Documento di Descrizione degli Scenari 2024</x:v>
      </x:c>
      <x:c r="O239" s="83" t="n">
        <x:v>63</x:v>
      </x:c>
      <x:c r="P239" s="83" t="str">
        <x:v>60-61</x:v>
      </x:c>
      <x:c r="Q239" s="83" t="str">
        <x:v>Tabella 16</x:v>
      </x:c>
      <x:c r="R239" s="83" t="str">
        <x:v>Dato osservato storico nel DDS</x:v>
      </x:c>
      <x:c r="S239" s="83" t="str">
        <x:v>Direct table extraction</x:v>
      </x:c>
      <x:c r="T239" s="83" t="str">
        <x:v>A — Direct</x:v>
      </x:c>
      <x:c r="U239" s="83" t="str">
        <x:v>Energy capacity by zone and class; derive power only where duration is specified.</x:v>
      </x:c>
      <x:c r="V239" s="83" t="str">
        <x:v>Small-scale source classes are 2 or 4 hours; utility-scale is 8 hours. CM duration is not stated.</x:v>
      </x:c>
    </x:row>
    <x:row r="240">
      <x:c r="A240" s="83" t="str">
        <x:v>SZ-236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CM</x:v>
      </x:c>
      <x:c r="G240" s="197" t="n">
        <x:v>3.2</x:v>
      </x:c>
      <x:c r="H240" s="203" t="b">
        <x:v>1</x:v>
      </x:c>
      <x:c r="I240" s="197"/>
      <x:c r="J240" s="197"/>
      <x:c r="K240" s="197" t="str">
        <x:f>IF(AND(G240&lt;&gt;"",J240&lt;&gt;""),G240/J240,"")</x:f>
      </x:c>
      <x:c r="L240" s="197" t="str">
        <x:f>IF(AND(G240&lt;&gt;"",I240&lt;&gt;""),G240/I240,"")</x:f>
      </x:c>
      <x:c r="M240" s="83" t="str">
        <x:v>S09</x:v>
      </x:c>
      <x:c r="N240" s="83" t="str">
        <x:v>Documento di Descrizione degli Scenari 2024</x:v>
      </x:c>
      <x:c r="O240" s="83" t="n">
        <x:v>63</x:v>
      </x:c>
      <x:c r="P240" s="83" t="str">
        <x:v>60-61</x:v>
      </x:c>
      <x:c r="Q240" s="83" t="str">
        <x:v>Tabella 16</x:v>
      </x:c>
      <x:c r="R240" s="83" t="str">
        <x:v>Assunzione di scenario</x:v>
      </x:c>
      <x:c r="S240" s="83" t="str">
        <x:v>Direct table extraction</x:v>
      </x:c>
      <x:c r="T240" s="83" t="str">
        <x:v>A — Direct</x:v>
      </x:c>
      <x:c r="U240" s="83" t="str">
        <x:v>Energy capacity by zone and class; derive power only where duration is specified.</x:v>
      </x:c>
      <x:c r="V240" s="83" t="str">
        <x:v>Small-scale source classes are 2 or 4 hours; utility-scale is 8 hours. CM duration is not stated.</x:v>
      </x:c>
    </x:row>
    <x:row r="241">
      <x:c r="A241" s="83" t="str">
        <x:v>SZ-237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CM</x:v>
      </x:c>
      <x:c r="G241" s="197" t="n">
        <x:v>3.2</x:v>
      </x:c>
      <x:c r="H241" s="203" t="b">
        <x:v>1</x:v>
      </x:c>
      <x:c r="I241" s="197"/>
      <x:c r="J241" s="197"/>
      <x:c r="K241" s="197" t="str">
        <x:f>IF(AND(G241&lt;&gt;"",J241&lt;&gt;""),G241/J241,"")</x:f>
      </x:c>
      <x:c r="L241" s="197" t="str">
        <x:f>IF(AND(G241&lt;&gt;"",I241&lt;&gt;""),G241/I241,"")</x:f>
      </x:c>
      <x:c r="M241" s="83" t="str">
        <x:v>S09</x:v>
      </x:c>
      <x:c r="N241" s="83" t="str">
        <x:v>Documento di Descrizione degli Scenari 2024</x:v>
      </x:c>
      <x:c r="O241" s="83" t="n">
        <x:v>63</x:v>
      </x:c>
      <x:c r="P241" s="83" t="str">
        <x:v>60-61</x:v>
      </x:c>
      <x:c r="Q241" s="83" t="str">
        <x:v>Tabella 16</x:v>
      </x:c>
      <x:c r="R241" s="83" t="str">
        <x:v>Assunzione di scenario</x:v>
      </x:c>
      <x:c r="S241" s="83" t="str">
        <x:v>Direct table extraction</x:v>
      </x:c>
      <x:c r="T241" s="83" t="str">
        <x:v>A — Direct</x:v>
      </x:c>
      <x:c r="U241" s="83" t="str">
        <x:v>Energy capacity by zone and class; derive power only where duration is specified.</x:v>
      </x:c>
      <x:c r="V241" s="83" t="str">
        <x:v>Small-scale source classes are 2 or 4 hours; utility-scale is 8 hours. CM duration is not stated.</x:v>
      </x:c>
    </x:row>
    <x:row r="242">
      <x:c r="A242" s="83" t="str">
        <x:v>SZ-238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CM</x:v>
      </x:c>
      <x:c r="G242" s="197" t="n">
        <x:v>3.2</x:v>
      </x:c>
      <x:c r="H242" s="203" t="b">
        <x:v>1</x:v>
      </x:c>
      <x:c r="I242" s="197"/>
      <x:c r="J242" s="197"/>
      <x:c r="K242" s="197" t="str">
        <x:f>IF(AND(G242&lt;&gt;"",J242&lt;&gt;""),G242/J242,"")</x:f>
      </x:c>
      <x:c r="L242" s="197" t="str">
        <x:f>IF(AND(G242&lt;&gt;"",I242&lt;&gt;""),G242/I242,"")</x:f>
      </x:c>
      <x:c r="M242" s="83" t="str">
        <x:v>S09</x:v>
      </x:c>
      <x:c r="N242" s="83" t="str">
        <x:v>Documento di Descrizione degli Scenari 2024</x:v>
      </x:c>
      <x:c r="O242" s="83" t="n">
        <x:v>63</x:v>
      </x:c>
      <x:c r="P242" s="83" t="str">
        <x:v>60-61</x:v>
      </x:c>
      <x:c r="Q242" s="83" t="str">
        <x:v>Tabella 16</x:v>
      </x:c>
      <x:c r="R242" s="83" t="str">
        <x:v>Assunzione di scenario</x:v>
      </x:c>
      <x:c r="S242" s="83" t="str">
        <x:v>Direct table extraction</x:v>
      </x:c>
      <x:c r="T242" s="83" t="str">
        <x:v>A — Direct</x:v>
      </x:c>
      <x:c r="U242" s="83" t="str">
        <x:v>Energy capacity by zone and class; derive power only where duration is specified.</x:v>
      </x:c>
      <x:c r="V242" s="83" t="str">
        <x:v>Small-scale source classes are 2 or 4 hours; utility-scale is 8 hours. CM duration is not stated.</x:v>
      </x:c>
    </x:row>
    <x:row r="243">
      <x:c r="A243" s="83" t="str">
        <x:v>SZ-239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CM</x:v>
      </x:c>
      <x:c r="G243" s="197" t="n">
        <x:v>3.2</x:v>
      </x:c>
      <x:c r="H243" s="203" t="b">
        <x:v>1</x:v>
      </x:c>
      <x:c r="I243" s="197"/>
      <x:c r="J243" s="197"/>
      <x:c r="K243" s="197" t="str">
        <x:f>IF(AND(G243&lt;&gt;"",J243&lt;&gt;""),G243/J243,"")</x:f>
      </x:c>
      <x:c r="L243" s="197" t="str">
        <x:f>IF(AND(G243&lt;&gt;"",I243&lt;&gt;""),G243/I243,"")</x:f>
      </x:c>
      <x:c r="M243" s="83" t="str">
        <x:v>S09</x:v>
      </x:c>
      <x:c r="N243" s="83" t="str">
        <x:v>Documento di Descrizione degli Scenari 2024</x:v>
      </x:c>
      <x:c r="O243" s="83" t="n">
        <x:v>63</x:v>
      </x:c>
      <x:c r="P243" s="83" t="str">
        <x:v>60-61</x:v>
      </x:c>
      <x:c r="Q243" s="83" t="str">
        <x:v>Tabella 16</x:v>
      </x:c>
      <x:c r="R243" s="83" t="str">
        <x:v>Assunzione di scenario</x:v>
      </x:c>
      <x:c r="S243" s="83" t="str">
        <x:v>Direct table extraction</x:v>
      </x:c>
      <x:c r="T243" s="83" t="str">
        <x:v>A — Direct</x:v>
      </x:c>
      <x:c r="U243" s="83" t="str">
        <x:v>Energy capacity by zone and class; derive power only where duration is specified.</x:v>
      </x:c>
      <x:c r="V243" s="83" t="str">
        <x:v>Small-scale source classes are 2 or 4 hours; utility-scale is 8 hours. CM duration is not stated.</x:v>
      </x:c>
    </x:row>
    <x:row r="244">
      <x:c r="A244" s="83" t="str">
        <x:v>SZ-240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CM</x:v>
      </x:c>
      <x:c r="G244" s="197" t="n">
        <x:v>3.2</x:v>
      </x:c>
      <x:c r="H244" s="203" t="b">
        <x:v>1</x:v>
      </x:c>
      <x:c r="I244" s="197"/>
      <x:c r="J244" s="197"/>
      <x:c r="K244" s="197" t="str">
        <x:f>IF(AND(G244&lt;&gt;"",J244&lt;&gt;""),G244/J244,"")</x:f>
      </x:c>
      <x:c r="L244" s="197" t="str">
        <x:f>IF(AND(G244&lt;&gt;"",I244&lt;&gt;""),G244/I244,"")</x:f>
      </x:c>
      <x:c r="M244" s="83" t="str">
        <x:v>S09</x:v>
      </x:c>
      <x:c r="N244" s="83" t="str">
        <x:v>Documento di Descrizione degli Scenari 2024</x:v>
      </x:c>
      <x:c r="O244" s="83" t="n">
        <x:v>63</x:v>
      </x:c>
      <x:c r="P244" s="83" t="str">
        <x:v>60-61</x:v>
      </x:c>
      <x:c r="Q244" s="83" t="str">
        <x:v>Tabella 16</x:v>
      </x:c>
      <x:c r="R244" s="83" t="str">
        <x:v>Assunzione di scenario</x:v>
      </x:c>
      <x:c r="S244" s="83" t="str">
        <x:v>Direct table extraction</x:v>
      </x:c>
      <x:c r="T244" s="83" t="str">
        <x:v>A — Direct</x:v>
      </x:c>
      <x:c r="U244" s="83" t="str">
        <x:v>Energy capacity by zone and class; derive power only where duration is specified.</x:v>
      </x:c>
      <x:c r="V244" s="83" t="str">
        <x:v>Small-scale source classes are 2 or 4 hours; utility-scale is 8 hours. CM duration is not stated.</x:v>
      </x:c>
    </x:row>
    <x:row r="245">
      <x:c r="A245" s="83" t="str">
        <x:v>SZ-241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CM</x:v>
      </x:c>
      <x:c r="G245" s="197" t="n">
        <x:v>3.2</x:v>
      </x:c>
      <x:c r="H245" s="203" t="b">
        <x:v>1</x:v>
      </x:c>
      <x:c r="I245" s="197"/>
      <x:c r="J245" s="197"/>
      <x:c r="K245" s="197" t="str">
        <x:f>IF(AND(G245&lt;&gt;"",J245&lt;&gt;""),G245/J245,"")</x:f>
      </x:c>
      <x:c r="L245" s="197" t="str">
        <x:f>IF(AND(G245&lt;&gt;"",I245&lt;&gt;""),G245/I245,"")</x:f>
      </x:c>
      <x:c r="M245" s="83" t="str">
        <x:v>S09</x:v>
      </x:c>
      <x:c r="N245" s="83" t="str">
        <x:v>Documento di Descrizione degli Scenari 2024</x:v>
      </x:c>
      <x:c r="O245" s="83" t="n">
        <x:v>63</x:v>
      </x:c>
      <x:c r="P245" s="83" t="str">
        <x:v>60-61</x:v>
      </x:c>
      <x:c r="Q245" s="83" t="str">
        <x:v>Tabella 16</x:v>
      </x:c>
      <x:c r="R245" s="83" t="str">
        <x:v>Assunzione di scenario</x:v>
      </x:c>
      <x:c r="S245" s="83" t="str">
        <x:v>Direct table extraction</x:v>
      </x:c>
      <x:c r="T245" s="83" t="str">
        <x:v>A — Direct</x:v>
      </x:c>
      <x:c r="U245" s="83" t="str">
        <x:v>Energy capacity by zone and class; derive power only where duration is specified.</x:v>
      </x:c>
      <x:c r="V245" s="83" t="str">
        <x:v>Small-scale source classes are 2 or 4 hours; utility-scale is 8 hours. CM duration is not stated.</x:v>
      </x:c>
    </x:row>
    <x:row r="246">
      <x:c r="A246" s="83" t="str">
        <x:v>SZ-242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CM</x:v>
      </x:c>
      <x:c r="G246" s="197" t="n">
        <x:v>3.2</x:v>
      </x:c>
      <x:c r="H246" s="203" t="b">
        <x:v>1</x:v>
      </x:c>
      <x:c r="I246" s="197"/>
      <x:c r="J246" s="197"/>
      <x:c r="K246" s="197" t="str">
        <x:f>IF(AND(G246&lt;&gt;"",J246&lt;&gt;""),G246/J246,"")</x:f>
      </x:c>
      <x:c r="L246" s="197" t="str">
        <x:f>IF(AND(G246&lt;&gt;"",I246&lt;&gt;""),G246/I246,"")</x:f>
      </x:c>
      <x:c r="M246" s="83" t="str">
        <x:v>S09</x:v>
      </x:c>
      <x:c r="N246" s="83" t="str">
        <x:v>Documento di Descrizione degli Scenari 2024</x:v>
      </x:c>
      <x:c r="O246" s="83" t="n">
        <x:v>63</x:v>
      </x:c>
      <x:c r="P246" s="83" t="str">
        <x:v>60-61</x:v>
      </x:c>
      <x:c r="Q246" s="83" t="str">
        <x:v>Tabella 16</x:v>
      </x:c>
      <x:c r="R246" s="83" t="str">
        <x:v>Assunzione di scenario</x:v>
      </x:c>
      <x:c r="S246" s="83" t="str">
        <x:v>Direct table extraction</x:v>
      </x:c>
      <x:c r="T246" s="83" t="str">
        <x:v>A — Direct</x:v>
      </x:c>
      <x:c r="U246" s="83" t="str">
        <x:v>Energy capacity by zone and class; derive power only where duration is specified.</x:v>
      </x:c>
      <x:c r="V246" s="83" t="str">
        <x:v>Small-scale source classes are 2 or 4 hours; utility-scale is 8 hours. CM duration is not stated.</x:v>
      </x:c>
    </x:row>
    <x:row r="247">
      <x:c r="A247" s="83" t="str">
        <x:v>SZ-243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CM</x:v>
      </x:c>
      <x:c r="G247" s="197" t="n">
        <x:v>3.2</x:v>
      </x:c>
      <x:c r="H247" s="203" t="b">
        <x:v>1</x:v>
      </x:c>
      <x:c r="I247" s="197"/>
      <x:c r="J247" s="197"/>
      <x:c r="K247" s="197" t="str">
        <x:f>IF(AND(G247&lt;&gt;"",J247&lt;&gt;""),G247/J247,"")</x:f>
      </x:c>
      <x:c r="L247" s="197" t="str">
        <x:f>IF(AND(G247&lt;&gt;"",I247&lt;&gt;""),G247/I247,"")</x:f>
      </x:c>
      <x:c r="M247" s="83" t="str">
        <x:v>S09</x:v>
      </x:c>
      <x:c r="N247" s="83" t="str">
        <x:v>Documento di Descrizione degli Scenari 2024</x:v>
      </x:c>
      <x:c r="O247" s="83" t="n">
        <x:v>63</x:v>
      </x:c>
      <x:c r="P247" s="83" t="str">
        <x:v>60-61</x:v>
      </x:c>
      <x:c r="Q247" s="83" t="str">
        <x:v>Tabella 16</x:v>
      </x:c>
      <x:c r="R247" s="83" t="str">
        <x:v>Assunzione di scenario</x:v>
      </x:c>
      <x:c r="S247" s="83" t="str">
        <x:v>Direct table extraction</x:v>
      </x:c>
      <x:c r="T247" s="83" t="str">
        <x:v>A — Direct</x:v>
      </x:c>
      <x:c r="U247" s="83" t="str">
        <x:v>Energy capacity by zone and class; derive power only where duration is specified.</x:v>
      </x:c>
      <x:c r="V247" s="83" t="str">
        <x:v>Small-scale source classes are 2 or 4 hours; utility-scale is 8 hours. CM duration is not stated.</x:v>
      </x:c>
    </x:row>
    <x:row r="248">
      <x:c r="A248" s="83" t="str">
        <x:v>SZ-244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Totale</x:v>
      </x:c>
      <x:c r="G248" s="197" t="n">
        <x:v>0.2</x:v>
      </x:c>
      <x:c r="H248" s="203" t="b">
        <x:v>1</x:v>
      </x:c>
      <x:c r="I248" s="197"/>
      <x:c r="J248" s="197"/>
      <x:c r="K248" s="197" t="str">
        <x:f>IF(AND(G248&lt;&gt;"",J248&lt;&gt;""),G248/J248,"")</x:f>
      </x:c>
      <x:c r="L248" s="197" t="str">
        <x:f>IF(AND(G248&lt;&gt;"",I248&lt;&gt;""),G248/I248,"")</x:f>
      </x:c>
      <x:c r="M248" s="83" t="str">
        <x:v>S09</x:v>
      </x:c>
      <x:c r="N248" s="83" t="str">
        <x:v>Documento di Descrizione degli Scenari 2024</x:v>
      </x:c>
      <x:c r="O248" s="83" t="n">
        <x:v>63</x:v>
      </x:c>
      <x:c r="P248" s="83" t="str">
        <x:v>60-61</x:v>
      </x:c>
      <x:c r="Q248" s="83" t="str">
        <x:v>Tabella 16</x:v>
      </x:c>
      <x:c r="R248" s="83" t="str">
        <x:v>Dato osservato storico nel DDS</x:v>
      </x:c>
      <x:c r="S248" s="83" t="str">
        <x:v>Direct table extraction</x:v>
      </x:c>
      <x:c r="T248" s="83" t="str">
        <x:v>A — Direct</x:v>
      </x:c>
      <x:c r="U248" s="83" t="str">
        <x:v>Energy capacity by zone and class; derive power only where duration is specified.</x:v>
      </x:c>
      <x:c r="V248" s="83" t="str">
        <x:v>Small-scale source classes are 2 or 4 hours; utility-scale is 8 hours. CM duration is not stated.</x:v>
      </x:c>
    </x:row>
    <x:row r="249">
      <x:c r="A249" s="83" t="str">
        <x:v>SZ-245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Totale</x:v>
      </x:c>
      <x:c r="G249" s="197" t="n">
        <x:v>14.1</x:v>
      </x:c>
      <x:c r="H249" s="203" t="b">
        <x:v>1</x:v>
      </x:c>
      <x:c r="I249" s="197"/>
      <x:c r="J249" s="197"/>
      <x:c r="K249" s="197" t="str">
        <x:f>IF(AND(G249&lt;&gt;"",J249&lt;&gt;""),G249/J249,"")</x:f>
      </x:c>
      <x:c r="L249" s="197" t="str">
        <x:f>IF(AND(G249&lt;&gt;"",I249&lt;&gt;""),G249/I249,"")</x:f>
      </x:c>
      <x:c r="M249" s="83" t="str">
        <x:v>S09</x:v>
      </x:c>
      <x:c r="N249" s="83" t="str">
        <x:v>Documento di Descrizione degli Scenari 2024</x:v>
      </x:c>
      <x:c r="O249" s="83" t="n">
        <x:v>63</x:v>
      </x:c>
      <x:c r="P249" s="83" t="str">
        <x:v>60-61</x:v>
      </x:c>
      <x:c r="Q249" s="83" t="str">
        <x:v>Tabella 16</x:v>
      </x:c>
      <x:c r="R249" s="83" t="str">
        <x:v>Assunzione di scenario</x:v>
      </x:c>
      <x:c r="S249" s="83" t="str">
        <x:v>Direct table extraction</x:v>
      </x:c>
      <x:c r="T249" s="83" t="str">
        <x:v>A — Direct</x:v>
      </x:c>
      <x:c r="U249" s="83" t="str">
        <x:v>Energy capacity by zone and class; derive power only where duration is specified.</x:v>
      </x:c>
      <x:c r="V249" s="83" t="str">
        <x:v>Small-scale source classes are 2 or 4 hours; utility-scale is 8 hours. CM duration is not stated.</x:v>
      </x:c>
    </x:row>
    <x:row r="250">
      <x:c r="A250" s="83" t="str">
        <x:v>SZ-246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Totale</x:v>
      </x:c>
      <x:c r="G250" s="197" t="n">
        <x:v>7.9</x:v>
      </x:c>
      <x:c r="H250" s="203" t="b">
        <x:v>1</x:v>
      </x:c>
      <x:c r="I250" s="197"/>
      <x:c r="J250" s="197"/>
      <x:c r="K250" s="197" t="str">
        <x:f>IF(AND(G250&lt;&gt;"",J250&lt;&gt;""),G250/J250,"")</x:f>
      </x:c>
      <x:c r="L250" s="197" t="str">
        <x:f>IF(AND(G250&lt;&gt;"",I250&lt;&gt;""),G250/I250,"")</x:f>
      </x:c>
      <x:c r="M250" s="83" t="str">
        <x:v>S09</x:v>
      </x:c>
      <x:c r="N250" s="83" t="str">
        <x:v>Documento di Descrizione degli Scenari 2024</x:v>
      </x:c>
      <x:c r="O250" s="83" t="n">
        <x:v>63</x:v>
      </x:c>
      <x:c r="P250" s="83" t="str">
        <x:v>60-61</x:v>
      </x:c>
      <x:c r="Q250" s="83" t="str">
        <x:v>Tabella 16</x:v>
      </x:c>
      <x:c r="R250" s="83" t="str">
        <x:v>Assunzione di scenario</x:v>
      </x:c>
      <x:c r="S250" s="83" t="str">
        <x:v>Direct table extraction</x:v>
      </x:c>
      <x:c r="T250" s="83" t="str">
        <x:v>A — Direct</x:v>
      </x:c>
      <x:c r="U250" s="83" t="str">
        <x:v>Energy capacity by zone and class; derive power only where duration is specified.</x:v>
      </x:c>
      <x:c r="V250" s="83" t="str">
        <x:v>Small-scale source classes are 2 or 4 hours; utility-scale is 8 hours. CM duration is not stated.</x:v>
      </x:c>
    </x:row>
    <x:row r="251">
      <x:c r="A251" s="83" t="str">
        <x:v>SZ-247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Totale</x:v>
      </x:c>
      <x:c r="G251" s="197" t="n">
        <x:v>19.6</x:v>
      </x:c>
      <x:c r="H251" s="203" t="b">
        <x:v>1</x:v>
      </x:c>
      <x:c r="I251" s="197"/>
      <x:c r="J251" s="197"/>
      <x:c r="K251" s="197" t="str">
        <x:f>IF(AND(G251&lt;&gt;"",J251&lt;&gt;""),G251/J251,"")</x:f>
      </x:c>
      <x:c r="L251" s="197" t="str">
        <x:f>IF(AND(G251&lt;&gt;"",I251&lt;&gt;""),G251/I251,"")</x:f>
      </x:c>
      <x:c r="M251" s="83" t="str">
        <x:v>S09</x:v>
      </x:c>
      <x:c r="N251" s="83" t="str">
        <x:v>Documento di Descrizione degli Scenari 2024</x:v>
      </x:c>
      <x:c r="O251" s="83" t="n">
        <x:v>63</x:v>
      </x:c>
      <x:c r="P251" s="83" t="str">
        <x:v>60-61</x:v>
      </x:c>
      <x:c r="Q251" s="83" t="str">
        <x:v>Tabella 16</x:v>
      </x:c>
      <x:c r="R251" s="83" t="str">
        <x:v>Assunzione di scenario</x:v>
      </x:c>
      <x:c r="S251" s="83" t="str">
        <x:v>Direct table extraction</x:v>
      </x:c>
      <x:c r="T251" s="83" t="str">
        <x:v>A — Direct</x:v>
      </x:c>
      <x:c r="U251" s="83" t="str">
        <x:v>Energy capacity by zone and class; derive power only where duration is specified.</x:v>
      </x:c>
      <x:c r="V251" s="83" t="str">
        <x:v>Small-scale source classes are 2 or 4 hours; utility-scale is 8 hours. CM duration is not stated.</x:v>
      </x:c>
    </x:row>
    <x:row r="252">
      <x:c r="A252" s="83" t="str">
        <x:v>SZ-248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Totale</x:v>
      </x:c>
      <x:c r="G252" s="197" t="n">
        <x:v>12.3</x:v>
      </x:c>
      <x:c r="H252" s="203" t="b">
        <x:v>1</x:v>
      </x:c>
      <x:c r="I252" s="197"/>
      <x:c r="J252" s="197"/>
      <x:c r="K252" s="197" t="str">
        <x:f>IF(AND(G252&lt;&gt;"",J252&lt;&gt;""),G252/J252,"")</x:f>
      </x:c>
      <x:c r="L252" s="197" t="str">
        <x:f>IF(AND(G252&lt;&gt;"",I252&lt;&gt;""),G252/I252,"")</x:f>
      </x:c>
      <x:c r="M252" s="83" t="str">
        <x:v>S09</x:v>
      </x:c>
      <x:c r="N252" s="83" t="str">
        <x:v>Documento di Descrizione degli Scenari 2024</x:v>
      </x:c>
      <x:c r="O252" s="83" t="n">
        <x:v>63</x:v>
      </x:c>
      <x:c r="P252" s="83" t="str">
        <x:v>60-61</x:v>
      </x:c>
      <x:c r="Q252" s="83" t="str">
        <x:v>Tabella 16</x:v>
      </x:c>
      <x:c r="R252" s="83" t="str">
        <x:v>Assunzione di scenario</x:v>
      </x:c>
      <x:c r="S252" s="83" t="str">
        <x:v>Direct table extraction</x:v>
      </x:c>
      <x:c r="T252" s="83" t="str">
        <x:v>A — Direct</x:v>
      </x:c>
      <x:c r="U252" s="83" t="str">
        <x:v>Energy capacity by zone and class; derive power only where duration is specified.</x:v>
      </x:c>
      <x:c r="V252" s="83" t="str">
        <x:v>Small-scale source classes are 2 or 4 hours; utility-scale is 8 hours. CM duration is not stated.</x:v>
      </x:c>
    </x:row>
    <x:row r="253">
      <x:c r="A253" s="83" t="str">
        <x:v>SZ-249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Totale</x:v>
      </x:c>
      <x:c r="G253" s="197" t="n">
        <x:v>11.6</x:v>
      </x:c>
      <x:c r="H253" s="203" t="b">
        <x:v>1</x:v>
      </x:c>
      <x:c r="I253" s="197"/>
      <x:c r="J253" s="197"/>
      <x:c r="K253" s="197" t="str">
        <x:f>IF(AND(G253&lt;&gt;"",J253&lt;&gt;""),G253/J253,"")</x:f>
      </x:c>
      <x:c r="L253" s="197" t="str">
        <x:f>IF(AND(G253&lt;&gt;"",I253&lt;&gt;""),G253/I253,"")</x:f>
      </x:c>
      <x:c r="M253" s="83" t="str">
        <x:v>S09</x:v>
      </x:c>
      <x:c r="N253" s="83" t="str">
        <x:v>Documento di Descrizione degli Scenari 2024</x:v>
      </x:c>
      <x:c r="O253" s="83" t="n">
        <x:v>63</x:v>
      </x:c>
      <x:c r="P253" s="83" t="str">
        <x:v>60-61</x:v>
      </x:c>
      <x:c r="Q253" s="83" t="str">
        <x:v>Tabella 16</x:v>
      </x:c>
      <x:c r="R253" s="83" t="str">
        <x:v>Assunzione di scenario</x:v>
      </x:c>
      <x:c r="S253" s="83" t="str">
        <x:v>Direct table extraction</x:v>
      </x:c>
      <x:c r="T253" s="83" t="str">
        <x:v>A — Direct</x:v>
      </x:c>
      <x:c r="U253" s="83" t="str">
        <x:v>Energy capacity by zone and class; derive power only where duration is specified.</x:v>
      </x:c>
      <x:c r="V253" s="83" t="str">
        <x:v>Small-scale source classes are 2 or 4 hours; utility-scale is 8 hours. CM duration is not stated.</x:v>
      </x:c>
    </x:row>
    <x:row r="254">
      <x:c r="A254" s="83" t="str">
        <x:v>SZ-250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Totale</x:v>
      </x:c>
      <x:c r="G254" s="197" t="n">
        <x:v>24.1</x:v>
      </x:c>
      <x:c r="H254" s="203" t="b">
        <x:v>1</x:v>
      </x:c>
      <x:c r="I254" s="197"/>
      <x:c r="J254" s="197"/>
      <x:c r="K254" s="197" t="str">
        <x:f>IF(AND(G254&lt;&gt;"",J254&lt;&gt;""),G254/J254,"")</x:f>
      </x:c>
      <x:c r="L254" s="197" t="str">
        <x:f>IF(AND(G254&lt;&gt;"",I254&lt;&gt;""),G254/I254,"")</x:f>
      </x:c>
      <x:c r="M254" s="83" t="str">
        <x:v>S09</x:v>
      </x:c>
      <x:c r="N254" s="83" t="str">
        <x:v>Documento di Descrizione degli Scenari 2024</x:v>
      </x:c>
      <x:c r="O254" s="83" t="n">
        <x:v>63</x:v>
      </x:c>
      <x:c r="P254" s="83" t="str">
        <x:v>60-61</x:v>
      </x:c>
      <x:c r="Q254" s="83" t="str">
        <x:v>Tabella 16</x:v>
      </x:c>
      <x:c r="R254" s="83" t="str">
        <x:v>Assunzione di scenario</x:v>
      </x:c>
      <x:c r="S254" s="83" t="str">
        <x:v>Direct table extraction</x:v>
      </x:c>
      <x:c r="T254" s="83" t="str">
        <x:v>A — Direct</x:v>
      </x:c>
      <x:c r="U254" s="83" t="str">
        <x:v>Energy capacity by zone and class; derive power only where duration is specified.</x:v>
      </x:c>
      <x:c r="V254" s="83" t="str">
        <x:v>Small-scale source classes are 2 or 4 hours; utility-scale is 8 hours. CM duration is not stated.</x:v>
      </x:c>
    </x:row>
    <x:row r="255">
      <x:c r="A255" s="83" t="str">
        <x:v>SZ-251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Totale</x:v>
      </x:c>
      <x:c r="G255" s="197" t="n">
        <x:v>17.2</x:v>
      </x:c>
      <x:c r="H255" s="203" t="b">
        <x:v>1</x:v>
      </x:c>
      <x:c r="I255" s="197"/>
      <x:c r="J255" s="197"/>
      <x:c r="K255" s="197" t="str">
        <x:f>IF(AND(G255&lt;&gt;"",J255&lt;&gt;""),G255/J255,"")</x:f>
      </x:c>
      <x:c r="L255" s="197" t="str">
        <x:f>IF(AND(G255&lt;&gt;"",I255&lt;&gt;""),G255/I255,"")</x:f>
      </x:c>
      <x:c r="M255" s="83" t="str">
        <x:v>S09</x:v>
      </x:c>
      <x:c r="N255" s="83" t="str">
        <x:v>Documento di Descrizione degli Scenari 2024</x:v>
      </x:c>
      <x:c r="O255" s="83" t="n">
        <x:v>63</x:v>
      </x:c>
      <x:c r="P255" s="83" t="str">
        <x:v>60-61</x:v>
      </x:c>
      <x:c r="Q255" s="83" t="str">
        <x:v>Tabella 16</x:v>
      </x:c>
      <x:c r="R255" s="83" t="str">
        <x:v>Assunzione di scenario</x:v>
      </x:c>
      <x:c r="S255" s="83" t="str">
        <x:v>Direct table extraction</x:v>
      </x:c>
      <x:c r="T255" s="83" t="str">
        <x:v>A — Direct</x:v>
      </x:c>
      <x:c r="U255" s="83" t="str">
        <x:v>Energy capacity by zone and class; derive power only where duration is specified.</x:v>
      </x:c>
      <x:c r="V255" s="83" t="str">
        <x:v>Small-scale source classes are 2 or 4 hours; utility-scale is 8 hours. CM duration is not stated.</x:v>
      </x:c>
    </x:row>
    <x:row r="256">
      <x:c r="A256" s="83" t="str">
        <x:v>SZ-252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Totale</x:v>
      </x:c>
      <x:c r="G256" s="197" t="n">
        <x:v>15.9</x:v>
      </x:c>
      <x:c r="H256" s="203" t="b">
        <x:v>1</x:v>
      </x:c>
      <x:c r="I256" s="197"/>
      <x:c r="J256" s="197"/>
      <x:c r="K256" s="197" t="str">
        <x:f>IF(AND(G256&lt;&gt;"",J256&lt;&gt;""),G256/J256,"")</x:f>
      </x:c>
      <x:c r="L256" s="197" t="str">
        <x:f>IF(AND(G256&lt;&gt;"",I256&lt;&gt;""),G256/I256,"")</x:f>
      </x:c>
      <x:c r="M256" s="83" t="str">
        <x:v>S09</x:v>
      </x:c>
      <x:c r="N256" s="83" t="str">
        <x:v>Documento di Descrizione degli Scenari 2024</x:v>
      </x:c>
      <x:c r="O256" s="83" t="n">
        <x:v>63</x:v>
      </x:c>
      <x:c r="P256" s="83" t="str">
        <x:v>60-61</x:v>
      </x:c>
      <x:c r="Q256" s="83" t="str">
        <x:v>Tabella 16</x:v>
      </x:c>
      <x:c r="R256" s="83" t="str">
        <x:v>Assunzione di scenario</x:v>
      </x:c>
      <x:c r="S256" s="83" t="str">
        <x:v>Direct table extraction</x:v>
      </x:c>
      <x:c r="T256" s="83" t="str">
        <x:v>A — Direct</x:v>
      </x:c>
      <x:c r="U256" s="83" t="str">
        <x:v>Energy capacity by zone and class; derive power only where duration is specified.</x:v>
      </x:c>
      <x:c r="V256" s="83" t="str">
        <x:v>Small-scale source classes are 2 or 4 hours; utility-scale is 8 hours. CM duration is not stated.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953e100ac398463b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18" hidden="0" customWidth="1"/>
    <x:col min="6" max="6" width="18" hidden="0" customWidth="1"/>
    <x:col min="7" max="7" width="30" hidden="0" customWidth="1"/>
    <x:col min="8" max="8" width="42" hidden="0" customWidth="1"/>
    <x:col min="9" max="9" width="15" hidden="0" customWidth="1"/>
    <x:col min="10" max="10" width="14" hidden="0" customWidth="1"/>
    <x:col min="11" max="11" width="28" hidden="0" customWidth="1"/>
    <x:col min="12" max="12" width="14" hidden="0" customWidth="1"/>
    <x:col min="13" max="13" width="44" hidden="0" customWidth="1"/>
    <x:col min="14" max="14" width="12" hidden="0" customWidth="1"/>
    <x:col min="15" max="15" width="16" hidden="0" customWidth="1"/>
    <x:col min="16" max="16" width="24" hidden="0" customWidth="1"/>
    <x:col min="17" max="17" width="28" hidden="0" customWidth="1"/>
    <x:col min="18" max="18" width="34" hidden="0" customWidth="1"/>
    <x:col min="19" max="19" width="20" hidden="0" customWidth="1"/>
    <x:col min="20" max="20" width="48" hidden="0" customWidth="1"/>
    <x:col min="21" max="21" width="54" hidden="0" customWidth="1"/>
  </x:cols>
  <x:sheetData>
    <x:row r="1" ht="34" customHeight="1">
      <x:c r="A1" s="188" t="str">
        <x:v>Idroelettrico e pompaggi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</x:row>
    <x:row r="2" ht="30" customHeight="1">
      <x:c r="A2" s="192" t="str">
        <x:v>67 record: generazione storica/scenario, stock fisico, pipeline e gap espliciti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Geografia</x:v>
      </x:c>
      <x:c r="F4" s="196" t="str">
        <x:v>Zona</x:v>
      </x:c>
      <x:c r="G4" s="196" t="str">
        <x:v>Classe idro</x:v>
      </x:c>
      <x:c r="H4" s="196" t="str">
        <x:v>Metrica</x:v>
      </x:c>
      <x:c r="I4" s="196" t="str">
        <x:v>Valore</x:v>
      </x:c>
      <x:c r="J4" s="196" t="str">
        <x:v>Unità</x:v>
      </x:c>
      <x:c r="K4" s="196" t="str">
        <x:v>Status</x:v>
      </x:c>
      <x:c r="L4" s="196" t="str">
        <x:v>Fonte</x:v>
      </x:c>
      <x:c r="M4" s="196" t="str">
        <x:v>File fonte</x:v>
      </x:c>
      <x:c r="N4" s="196" t="str">
        <x:v>Pagina PDF</x:v>
      </x:c>
      <x:c r="O4" s="196" t="str">
        <x:v>Pagina stampata</x:v>
      </x:c>
      <x:c r="P4" s="196" t="str">
        <x:v>Tabella/Figura</x:v>
      </x:c>
      <x:c r="Q4" s="196" t="str">
        <x:v>Tipo evidenza</x:v>
      </x:c>
      <x:c r="R4" s="196" t="str">
        <x:v>Metodo</x:v>
      </x:c>
      <x:c r="S4" s="196" t="str">
        <x:v>Affidabilità</x:v>
      </x:c>
      <x:c r="T4" s="196" t="str">
        <x:v>Uso modello</x:v>
      </x:c>
      <x:c r="U4" s="196" t="str">
        <x:v>Note</x:v>
      </x:c>
    </x:row>
    <x:row r="5">
      <x:c r="A5" s="83" t="str">
        <x:v>HY-001</x:v>
      </x:c>
      <x:c r="B5" s="83" t="str"/>
      <x:c r="C5" s="83" t="n">
        <x:v>2016</x:v>
      </x:c>
      <x:c r="D5" s="83" t="str">
        <x:v>Storico 2016</x:v>
      </x:c>
      <x:c r="E5" s="83" t="str">
        <x:v>Italia</x:v>
      </x:c>
      <x:c r="F5" s="83" t="str"/>
      <x:c r="G5" s="83" t="str">
        <x:v>Renewable hydro aggregate</x:v>
      </x:c>
      <x:c r="H5" s="83" t="str">
        <x:v>Annual renewable hydro generation</x:v>
      </x:c>
      <x:c r="I5" s="197" t="n">
        <x:v>42.1</x:v>
      </x:c>
      <x:c r="J5" s="83" t="str">
        <x:v>TWh</x:v>
      </x:c>
      <x:c r="K5" s="83" t="str">
        <x:v>Observed historical</x:v>
      </x:c>
      <x:c r="L5" s="83" t="str">
        <x:v>S01</x:v>
      </x:c>
      <x:c r="M5" s="83" t="str">
        <x:v>Stato del sistema elettrico e scenari energetici 2025</x:v>
      </x:c>
      <x:c r="N5" s="83" t="n">
        <x:v>29</x:v>
      </x:c>
      <x:c r="O5" s="83" t="n">
        <x:v>27</x:v>
      </x:c>
      <x:c r="P5" s="83" t="str">
        <x:v>Figure 16</x:v>
      </x:c>
      <x:c r="Q5" s="83" t="str">
        <x:v>Dato osservato storico</x:v>
      </x:c>
      <x:c r="R5" s="83" t="str">
        <x:v>Direct chart labels</x:v>
      </x:c>
      <x:c r="S5" s="83" t="str">
        <x:v>A — Direct</x:v>
      </x:c>
      <x:c r="T5" s="83" t="str">
        <x:v>Annual hydro generation QA; not a dispatch profile.</x:v>
      </x:c>
      <x:c r="U5" s="83" t="str">
        <x:v>2024 provisional. Includes renewable hydro; not split run-of-river/reservoir.</x:v>
      </x:c>
    </x:row>
    <x:row r="6">
      <x:c r="A6" s="83" t="str">
        <x:v>HY-002</x:v>
      </x:c>
      <x:c r="B6" s="83" t="str"/>
      <x:c r="C6" s="83" t="n">
        <x:v>2017</x:v>
      </x:c>
      <x:c r="D6" s="83" t="str">
        <x:v>Storico 2017</x:v>
      </x:c>
      <x:c r="E6" s="83" t="str">
        <x:v>Italia</x:v>
      </x:c>
      <x:c r="F6" s="83" t="str"/>
      <x:c r="G6" s="83" t="str">
        <x:v>Renewable hydro aggregate</x:v>
      </x:c>
      <x:c r="H6" s="83" t="str">
        <x:v>Annual renewable hydro generation</x:v>
      </x:c>
      <x:c r="I6" s="197" t="n">
        <x:v>35.8</x:v>
      </x:c>
      <x:c r="J6" s="83" t="str">
        <x:v>TWh</x:v>
      </x:c>
      <x:c r="K6" s="83" t="str">
        <x:v>Observed historical</x:v>
      </x:c>
      <x:c r="L6" s="83" t="str">
        <x:v>S01</x:v>
      </x:c>
      <x:c r="M6" s="83" t="str">
        <x:v>Stato del sistema elettrico e scenari energetici 2025</x:v>
      </x:c>
      <x:c r="N6" s="83" t="n">
        <x:v>29</x:v>
      </x:c>
      <x:c r="O6" s="83" t="n">
        <x:v>27</x:v>
      </x:c>
      <x:c r="P6" s="83" t="str">
        <x:v>Figure 16</x:v>
      </x:c>
      <x:c r="Q6" s="83" t="str">
        <x:v>Dato osservato storico</x:v>
      </x:c>
      <x:c r="R6" s="83" t="str">
        <x:v>Direct chart labels</x:v>
      </x:c>
      <x:c r="S6" s="83" t="str">
        <x:v>A — Direct</x:v>
      </x:c>
      <x:c r="T6" s="83" t="str">
        <x:v>Annual hydro generation QA; not a dispatch profile.</x:v>
      </x:c>
      <x:c r="U6" s="83" t="str">
        <x:v>2024 provisional. Includes renewable hydro; not split run-of-river/reservoir.</x:v>
      </x:c>
    </x:row>
    <x:row r="7">
      <x:c r="A7" s="83" t="str">
        <x:v>HY-003</x:v>
      </x:c>
      <x:c r="B7" s="83" t="str"/>
      <x:c r="C7" s="83" t="n">
        <x:v>2018</x:v>
      </x:c>
      <x:c r="D7" s="83" t="str">
        <x:v>Storico 2018</x:v>
      </x:c>
      <x:c r="E7" s="83" t="str">
        <x:v>Italia</x:v>
      </x:c>
      <x:c r="F7" s="83" t="str"/>
      <x:c r="G7" s="83" t="str">
        <x:v>Renewable hydro aggregate</x:v>
      </x:c>
      <x:c r="H7" s="83" t="str">
        <x:v>Annual renewable hydro generation</x:v>
      </x:c>
      <x:c r="I7" s="197" t="n">
        <x:v>48.3</x:v>
      </x:c>
      <x:c r="J7" s="83" t="str">
        <x:v>TWh</x:v>
      </x:c>
      <x:c r="K7" s="83" t="str">
        <x:v>Observed historical</x:v>
      </x:c>
      <x:c r="L7" s="83" t="str">
        <x:v>S01</x:v>
      </x:c>
      <x:c r="M7" s="83" t="str">
        <x:v>Stato del sistema elettrico e scenari energetici 2025</x:v>
      </x:c>
      <x:c r="N7" s="83" t="n">
        <x:v>29</x:v>
      </x:c>
      <x:c r="O7" s="83" t="n">
        <x:v>27</x:v>
      </x:c>
      <x:c r="P7" s="83" t="str">
        <x:v>Figure 16</x:v>
      </x:c>
      <x:c r="Q7" s="83" t="str">
        <x:v>Dato osservato storico</x:v>
      </x:c>
      <x:c r="R7" s="83" t="str">
        <x:v>Direct chart labels</x:v>
      </x:c>
      <x:c r="S7" s="83" t="str">
        <x:v>A — Direct</x:v>
      </x:c>
      <x:c r="T7" s="83" t="str">
        <x:v>Annual hydro generation QA; not a dispatch profile.</x:v>
      </x:c>
      <x:c r="U7" s="83" t="str">
        <x:v>2024 provisional. Includes renewable hydro; not split run-of-river/reservoir.</x:v>
      </x:c>
    </x:row>
    <x:row r="8">
      <x:c r="A8" s="83" t="str">
        <x:v>HY-004</x:v>
      </x:c>
      <x:c r="B8" s="83" t="str"/>
      <x:c r="C8" s="83" t="n">
        <x:v>2019</x:v>
      </x:c>
      <x:c r="D8" s="83" t="str">
        <x:v>Storico 2019</x:v>
      </x:c>
      <x:c r="E8" s="83" t="str">
        <x:v>Italia</x:v>
      </x:c>
      <x:c r="F8" s="83" t="str"/>
      <x:c r="G8" s="83" t="str">
        <x:v>Renewable hydro aggregate</x:v>
      </x:c>
      <x:c r="H8" s="83" t="str">
        <x:v>Annual renewable hydro generation</x:v>
      </x:c>
      <x:c r="I8" s="197" t="n">
        <x:v>45.9</x:v>
      </x:c>
      <x:c r="J8" s="83" t="str">
        <x:v>TWh</x:v>
      </x:c>
      <x:c r="K8" s="83" t="str">
        <x:v>Observed historical</x:v>
      </x:c>
      <x:c r="L8" s="83" t="str">
        <x:v>S01</x:v>
      </x:c>
      <x:c r="M8" s="83" t="str">
        <x:v>Stato del sistema elettrico e scenari energetici 2025</x:v>
      </x:c>
      <x:c r="N8" s="83" t="n">
        <x:v>29</x:v>
      </x:c>
      <x:c r="O8" s="83" t="n">
        <x:v>27</x:v>
      </x:c>
      <x:c r="P8" s="83" t="str">
        <x:v>Figure 16</x:v>
      </x:c>
      <x:c r="Q8" s="83" t="str">
        <x:v>Dato osservato storico</x:v>
      </x:c>
      <x:c r="R8" s="83" t="str">
        <x:v>Direct chart labels</x:v>
      </x:c>
      <x:c r="S8" s="83" t="str">
        <x:v>A — Direct</x:v>
      </x:c>
      <x:c r="T8" s="83" t="str">
        <x:v>Annual hydro generation QA; not a dispatch profile.</x:v>
      </x:c>
      <x:c r="U8" s="83" t="str">
        <x:v>2024 provisional. Includes renewable hydro; not split run-of-river/reservoir.</x:v>
      </x:c>
    </x:row>
    <x:row r="9">
      <x:c r="A9" s="83" t="str">
        <x:v>HY-005</x:v>
      </x:c>
      <x:c r="B9" s="83" t="str"/>
      <x:c r="C9" s="83" t="n">
        <x:v>2020</x:v>
      </x:c>
      <x:c r="D9" s="83" t="str">
        <x:v>Storico 2020</x:v>
      </x:c>
      <x:c r="E9" s="83" t="str">
        <x:v>Italia</x:v>
      </x:c>
      <x:c r="F9" s="83" t="str"/>
      <x:c r="G9" s="83" t="str">
        <x:v>Renewable hydro aggregate</x:v>
      </x:c>
      <x:c r="H9" s="83" t="str">
        <x:v>Annual renewable hydro generation</x:v>
      </x:c>
      <x:c r="I9" s="197" t="n">
        <x:v>47</x:v>
      </x:c>
      <x:c r="J9" s="83" t="str">
        <x:v>TWh</x:v>
      </x:c>
      <x:c r="K9" s="83" t="str">
        <x:v>Observed historical</x:v>
      </x:c>
      <x:c r="L9" s="83" t="str">
        <x:v>S01</x:v>
      </x:c>
      <x:c r="M9" s="83" t="str">
        <x:v>Stato del sistema elettrico e scenari energetici 2025</x:v>
      </x:c>
      <x:c r="N9" s="83" t="n">
        <x:v>29</x:v>
      </x:c>
      <x:c r="O9" s="83" t="n">
        <x:v>27</x:v>
      </x:c>
      <x:c r="P9" s="83" t="str">
        <x:v>Figure 16</x:v>
      </x:c>
      <x:c r="Q9" s="83" t="str">
        <x:v>Dato osservato storico</x:v>
      </x:c>
      <x:c r="R9" s="83" t="str">
        <x:v>Direct chart labels</x:v>
      </x:c>
      <x:c r="S9" s="83" t="str">
        <x:v>A — Direct</x:v>
      </x:c>
      <x:c r="T9" s="83" t="str">
        <x:v>Annual hydro generation QA; not a dispatch profile.</x:v>
      </x:c>
      <x:c r="U9" s="83" t="str">
        <x:v>2024 provisional. Includes renewable hydro; not split run-of-river/reservoir.</x:v>
      </x:c>
    </x:row>
    <x:row r="10">
      <x:c r="A10" s="83" t="str">
        <x:v>HY-006</x:v>
      </x:c>
      <x:c r="B10" s="83" t="str"/>
      <x:c r="C10" s="83" t="n">
        <x:v>2021</x:v>
      </x:c>
      <x:c r="D10" s="83" t="str">
        <x:v>Storico 2021</x:v>
      </x:c>
      <x:c r="E10" s="83" t="str">
        <x:v>Italia</x:v>
      </x:c>
      <x:c r="F10" s="83" t="str"/>
      <x:c r="G10" s="83" t="str">
        <x:v>Renewable hydro aggregate</x:v>
      </x:c>
      <x:c r="H10" s="83" t="str">
        <x:v>Annual renewable hydro generation</x:v>
      </x:c>
      <x:c r="I10" s="197" t="n">
        <x:v>44.9</x:v>
      </x:c>
      <x:c r="J10" s="83" t="str">
        <x:v>TWh</x:v>
      </x:c>
      <x:c r="K10" s="83" t="str">
        <x:v>Observed historical</x:v>
      </x:c>
      <x:c r="L10" s="83" t="str">
        <x:v>S01</x:v>
      </x:c>
      <x:c r="M10" s="83" t="str">
        <x:v>Stato del sistema elettrico e scenari energetici 2025</x:v>
      </x:c>
      <x:c r="N10" s="83" t="n">
        <x:v>29</x:v>
      </x:c>
      <x:c r="O10" s="83" t="n">
        <x:v>27</x:v>
      </x:c>
      <x:c r="P10" s="83" t="str">
        <x:v>Figure 16</x:v>
      </x:c>
      <x:c r="Q10" s="83" t="str">
        <x:v>Dato osservato storico</x:v>
      </x:c>
      <x:c r="R10" s="83" t="str">
        <x:v>Direct chart labels</x:v>
      </x:c>
      <x:c r="S10" s="83" t="str">
        <x:v>A — Direct</x:v>
      </x:c>
      <x:c r="T10" s="83" t="str">
        <x:v>Annual hydro generation QA; not a dispatch profile.</x:v>
      </x:c>
      <x:c r="U10" s="83" t="str">
        <x:v>2024 provisional. Includes renewable hydro; not split run-of-river/reservoir.</x:v>
      </x:c>
    </x:row>
    <x:row r="11">
      <x:c r="A11" s="83" t="str">
        <x:v>HY-007</x:v>
      </x:c>
      <x:c r="B11" s="83" t="str"/>
      <x:c r="C11" s="83" t="n">
        <x:v>2022</x:v>
      </x:c>
      <x:c r="D11" s="83" t="str">
        <x:v>Storico 2022</x:v>
      </x:c>
      <x:c r="E11" s="83" t="str">
        <x:v>Italia</x:v>
      </x:c>
      <x:c r="F11" s="83" t="str"/>
      <x:c r="G11" s="83" t="str">
        <x:v>Renewable hydro aggregate</x:v>
      </x:c>
      <x:c r="H11" s="83" t="str">
        <x:v>Annual renewable hydro generation</x:v>
      </x:c>
      <x:c r="I11" s="197" t="n">
        <x:v>28.1</x:v>
      </x:c>
      <x:c r="J11" s="83" t="str">
        <x:v>TWh</x:v>
      </x:c>
      <x:c r="K11" s="83" t="str">
        <x:v>Observed historical</x:v>
      </x:c>
      <x:c r="L11" s="83" t="str">
        <x:v>S01</x:v>
      </x:c>
      <x:c r="M11" s="83" t="str">
        <x:v>Stato del sistema elettrico e scenari energetici 2025</x:v>
      </x:c>
      <x:c r="N11" s="83" t="n">
        <x:v>29</x:v>
      </x:c>
      <x:c r="O11" s="83" t="n">
        <x:v>27</x:v>
      </x:c>
      <x:c r="P11" s="83" t="str">
        <x:v>Figure 16</x:v>
      </x:c>
      <x:c r="Q11" s="83" t="str">
        <x:v>Dato osservato storico</x:v>
      </x:c>
      <x:c r="R11" s="83" t="str">
        <x:v>Direct chart labels</x:v>
      </x:c>
      <x:c r="S11" s="83" t="str">
        <x:v>A — Direct</x:v>
      </x:c>
      <x:c r="T11" s="83" t="str">
        <x:v>Annual hydro generation QA; not a dispatch profile.</x:v>
      </x:c>
      <x:c r="U11" s="83" t="str">
        <x:v>2024 provisional. Includes renewable hydro; not split run-of-river/reservoir.</x:v>
      </x:c>
    </x:row>
    <x:row r="12">
      <x:c r="A12" s="83" t="str">
        <x:v>HY-008</x:v>
      </x:c>
      <x:c r="B12" s="83" t="str"/>
      <x:c r="C12" s="83" t="n">
        <x:v>2023</x:v>
      </x:c>
      <x:c r="D12" s="83" t="str">
        <x:v>Storico 2023</x:v>
      </x:c>
      <x:c r="E12" s="83" t="str">
        <x:v>Italia</x:v>
      </x:c>
      <x:c r="F12" s="83" t="str"/>
      <x:c r="G12" s="83" t="str">
        <x:v>Renewable hydro aggregate</x:v>
      </x:c>
      <x:c r="H12" s="83" t="str">
        <x:v>Annual renewable hydro generation</x:v>
      </x:c>
      <x:c r="I12" s="197" t="n">
        <x:v>40</x:v>
      </x:c>
      <x:c r="J12" s="83" t="str">
        <x:v>TWh</x:v>
      </x:c>
      <x:c r="K12" s="83" t="str">
        <x:v>Observed historical</x:v>
      </x:c>
      <x:c r="L12" s="83" t="str">
        <x:v>S01</x:v>
      </x:c>
      <x:c r="M12" s="83" t="str">
        <x:v>Stato del sistema elettrico e scenari energetici 2025</x:v>
      </x:c>
      <x:c r="N12" s="83" t="n">
        <x:v>29</x:v>
      </x:c>
      <x:c r="O12" s="83" t="n">
        <x:v>27</x:v>
      </x:c>
      <x:c r="P12" s="83" t="str">
        <x:v>Figure 16</x:v>
      </x:c>
      <x:c r="Q12" s="83" t="str">
        <x:v>Dato osservato storico</x:v>
      </x:c>
      <x:c r="R12" s="83" t="str">
        <x:v>Direct chart labels</x:v>
      </x:c>
      <x:c r="S12" s="83" t="str">
        <x:v>A — Direct</x:v>
      </x:c>
      <x:c r="T12" s="83" t="str">
        <x:v>Annual hydro generation QA; not a dispatch profile.</x:v>
      </x:c>
      <x:c r="U12" s="83" t="str">
        <x:v>2024 provisional. Includes renewable hydro; not split run-of-river/reservoir.</x:v>
      </x:c>
    </x:row>
    <x:row r="13">
      <x:c r="A13" s="83" t="str">
        <x:v>HY-009</x:v>
      </x:c>
      <x:c r="B13" s="83" t="str"/>
      <x:c r="C13" s="83" t="n">
        <x:v>2024</x:v>
      </x:c>
      <x:c r="D13" s="83" t="str">
        <x:v>Storico 2024</x:v>
      </x:c>
      <x:c r="E13" s="83" t="str">
        <x:v>Italia</x:v>
      </x:c>
      <x:c r="F13" s="83" t="str"/>
      <x:c r="G13" s="83" t="str">
        <x:v>Renewable hydro aggregate</x:v>
      </x:c>
      <x:c r="H13" s="83" t="str">
        <x:v>Annual renewable hydro generation</x:v>
      </x:c>
      <x:c r="I13" s="197" t="n">
        <x:v>52.1</x:v>
      </x:c>
      <x:c r="J13" s="83" t="str">
        <x:v>TWh</x:v>
      </x:c>
      <x:c r="K13" s="83" t="str">
        <x:v>Observed historical</x:v>
      </x:c>
      <x:c r="L13" s="83" t="str">
        <x:v>S01</x:v>
      </x:c>
      <x:c r="M13" s="83" t="str">
        <x:v>Stato del sistema elettrico e scenari energetici 2025</x:v>
      </x:c>
      <x:c r="N13" s="83" t="n">
        <x:v>29</x:v>
      </x:c>
      <x:c r="O13" s="83" t="n">
        <x:v>27</x:v>
      </x:c>
      <x:c r="P13" s="83" t="str">
        <x:v>Figure 16</x:v>
      </x:c>
      <x:c r="Q13" s="83" t="str">
        <x:v>Dato osservato storico</x:v>
      </x:c>
      <x:c r="R13" s="83" t="str">
        <x:v>Direct chart labels</x:v>
      </x:c>
      <x:c r="S13" s="83" t="str">
        <x:v>A — Direct</x:v>
      </x:c>
      <x:c r="T13" s="83" t="str">
        <x:v>Annual hydro generation QA; not a dispatch profile.</x:v>
      </x:c>
      <x:c r="U13" s="83" t="str">
        <x:v>2024 provisional. Includes renewable hydro; not split run-of-river/reservoir.</x:v>
      </x:c>
    </x:row>
    <x:row r="14">
      <x:c r="A14" s="83" t="str">
        <x:v>HY-010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Italia</x:v>
      </x:c>
      <x:c r="F14" s="83" t="str"/>
      <x:c r="G14" s="83" t="str">
        <x:v>Hydro aggregate in DDS</x:v>
      </x:c>
      <x:c r="H14" s="83" t="str">
        <x:v>Annual modeled hydro generation</x:v>
      </x:c>
      <x:c r="I14" s="197" t="n">
        <x:v>38</x:v>
      </x:c>
      <x:c r="J14" s="83" t="str">
        <x:v>TWh</x:v>
      </x:c>
      <x:c r="K14" s="83" t="str">
        <x:v>DDS historical control</x:v>
      </x:c>
      <x:c r="L14" s="83" t="str">
        <x:v>S09</x:v>
      </x:c>
      <x:c r="M14" s="83" t="str">
        <x:v>Documento di Descrizione degli Scenari 2024</x:v>
      </x:c>
      <x:c r="N14" s="83" t="n">
        <x:v>66</x:v>
      </x:c>
      <x:c r="O14" s="83" t="n">
        <x:v>64</x:v>
      </x:c>
      <x:c r="P14" s="83" t="str">
        <x:v>Table 18</x:v>
      </x:c>
      <x:c r="Q14" s="83" t="str">
        <x:v>Risultato di modello / controllo DDS</x:v>
      </x:c>
      <x:c r="R14" s="83" t="str">
        <x:v>Direct table extraction</x:v>
      </x:c>
      <x:c r="S14" s="83" t="str">
        <x:v>A — Direct</x:v>
      </x:c>
      <x:c r="T14" s="83" t="str">
        <x:v>Annual production constraint/QA after hydro disaggregation.</x:v>
      </x:c>
      <x:c r="U14" s="83" t="str">
        <x:v>DDS 2023 value (38 TWh) differs from S01 renewable hydro statistic (40 TWh) due to source perimeter/rounding.</x:v>
      </x:c>
    </x:row>
    <x:row r="15">
      <x:c r="A15" s="83" t="str">
        <x:v>HY-011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Italia</x:v>
      </x:c>
      <x:c r="F15" s="83" t="str"/>
      <x:c r="G15" s="83" t="str">
        <x:v>Hydro aggregate in DDS</x:v>
      </x:c>
      <x:c r="H15" s="83" t="str">
        <x:v>Annual modeled hydro generation</x:v>
      </x:c>
      <x:c r="I15" s="197" t="n">
        <x:v>46</x:v>
      </x:c>
      <x:c r="J15" s="83" t="str">
        <x:v>TWh</x:v>
      </x:c>
      <x:c r="K15" s="83" t="str">
        <x:v>Scenario/model result</x:v>
      </x:c>
      <x:c r="L15" s="83" t="str">
        <x:v>S09</x:v>
      </x:c>
      <x:c r="M15" s="83" t="str">
        <x:v>Documento di Descrizione degli Scenari 2024</x:v>
      </x:c>
      <x:c r="N15" s="83" t="n">
        <x:v>66</x:v>
      </x:c>
      <x:c r="O15" s="83" t="n">
        <x:v>64</x:v>
      </x:c>
      <x:c r="P15" s="83" t="str">
        <x:v>Table 18</x:v>
      </x:c>
      <x:c r="Q15" s="83" t="str">
        <x:v>Risultato di modello / controllo DDS</x:v>
      </x:c>
      <x:c r="R15" s="83" t="str">
        <x:v>Direct table extraction</x:v>
      </x:c>
      <x:c r="S15" s="83" t="str">
        <x:v>A — Direct</x:v>
      </x:c>
      <x:c r="T15" s="83" t="str">
        <x:v>Annual production constraint/QA after hydro disaggregation.</x:v>
      </x:c>
      <x:c r="U15" s="83" t="str">
        <x:v>DDS 2023 value (38 TWh) differs from S01 renewable hydro statistic (40 TWh) due to source perimeter/rounding.</x:v>
      </x:c>
    </x:row>
    <x:row r="16">
      <x:c r="A16" s="83" t="str">
        <x:v>HY-012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Italia</x:v>
      </x:c>
      <x:c r="F16" s="83" t="str"/>
      <x:c r="G16" s="83" t="str">
        <x:v>Hydro aggregate in DDS</x:v>
      </x:c>
      <x:c r="H16" s="83" t="str">
        <x:v>Annual modeled hydro generation</x:v>
      </x:c>
      <x:c r="I16" s="197" t="n">
        <x:v>46</x:v>
      </x:c>
      <x:c r="J16" s="83" t="str">
        <x:v>TWh</x:v>
      </x:c>
      <x:c r="K16" s="83" t="str">
        <x:v>Scenario/model result</x:v>
      </x:c>
      <x:c r="L16" s="83" t="str">
        <x:v>S09</x:v>
      </x:c>
      <x:c r="M16" s="83" t="str">
        <x:v>Documento di Descrizione degli Scenari 2024</x:v>
      </x:c>
      <x:c r="N16" s="83" t="n">
        <x:v>66</x:v>
      </x:c>
      <x:c r="O16" s="83" t="n">
        <x:v>64</x:v>
      </x:c>
      <x:c r="P16" s="83" t="str">
        <x:v>Table 18</x:v>
      </x:c>
      <x:c r="Q16" s="83" t="str">
        <x:v>Risultato di modello / controllo DDS</x:v>
      </x:c>
      <x:c r="R16" s="83" t="str">
        <x:v>Direct table extraction</x:v>
      </x:c>
      <x:c r="S16" s="83" t="str">
        <x:v>A — Direct</x:v>
      </x:c>
      <x:c r="T16" s="83" t="str">
        <x:v>Annual production constraint/QA after hydro disaggregation.</x:v>
      </x:c>
      <x:c r="U16" s="83" t="str">
        <x:v>DDS 2023 value (38 TWh) differs from S01 renewable hydro statistic (40 TWh) due to source perimeter/rounding.</x:v>
      </x:c>
    </x:row>
    <x:row r="17">
      <x:c r="A17" s="83" t="str">
        <x:v>HY-013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Italia</x:v>
      </x:c>
      <x:c r="F17" s="83" t="str"/>
      <x:c r="G17" s="83" t="str">
        <x:v>Hydro aggregate in DDS</x:v>
      </x:c>
      <x:c r="H17" s="83" t="str">
        <x:v>Annual modeled hydro generation</x:v>
      </x:c>
      <x:c r="I17" s="197" t="n">
        <x:v>46</x:v>
      </x:c>
      <x:c r="J17" s="83" t="str">
        <x:v>TWh</x:v>
      </x:c>
      <x:c r="K17" s="83" t="str">
        <x:v>Scenario/model result</x:v>
      </x:c>
      <x:c r="L17" s="83" t="str">
        <x:v>S09</x:v>
      </x:c>
      <x:c r="M17" s="83" t="str">
        <x:v>Documento di Descrizione degli Scenari 2024</x:v>
      </x:c>
      <x:c r="N17" s="83" t="n">
        <x:v>66</x:v>
      </x:c>
      <x:c r="O17" s="83" t="n">
        <x:v>64</x:v>
      </x:c>
      <x:c r="P17" s="83" t="str">
        <x:v>Table 18</x:v>
      </x:c>
      <x:c r="Q17" s="83" t="str">
        <x:v>Risultato di modello / controllo DDS</x:v>
      </x:c>
      <x:c r="R17" s="83" t="str">
        <x:v>Direct table extraction</x:v>
      </x:c>
      <x:c r="S17" s="83" t="str">
        <x:v>A — Direct</x:v>
      </x:c>
      <x:c r="T17" s="83" t="str">
        <x:v>Annual production constraint/QA after hydro disaggregation.</x:v>
      </x:c>
      <x:c r="U17" s="83" t="str">
        <x:v>DDS 2023 value (38 TWh) differs from S01 renewable hydro statistic (40 TWh) due to source perimeter/rounding.</x:v>
      </x:c>
    </x:row>
    <x:row r="18">
      <x:c r="A18" s="83" t="str">
        <x:v>HY-014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Italia</x:v>
      </x:c>
      <x:c r="F18" s="83" t="str"/>
      <x:c r="G18" s="83" t="str">
        <x:v>Hydro aggregate in DDS</x:v>
      </x:c>
      <x:c r="H18" s="83" t="str">
        <x:v>Annual modeled hydro generation</x:v>
      </x:c>
      <x:c r="I18" s="197" t="n">
        <x:v>46</x:v>
      </x:c>
      <x:c r="J18" s="83" t="str">
        <x:v>TWh</x:v>
      </x:c>
      <x:c r="K18" s="83" t="str">
        <x:v>Scenario/model result</x:v>
      </x:c>
      <x:c r="L18" s="83" t="str">
        <x:v>S09</x:v>
      </x:c>
      <x:c r="M18" s="83" t="str">
        <x:v>Documento di Descrizione degli Scenari 2024</x:v>
      </x:c>
      <x:c r="N18" s="83" t="n">
        <x:v>66</x:v>
      </x:c>
      <x:c r="O18" s="83" t="n">
        <x:v>64</x:v>
      </x:c>
      <x:c r="P18" s="83" t="str">
        <x:v>Table 18</x:v>
      </x:c>
      <x:c r="Q18" s="83" t="str">
        <x:v>Risultato di modello / controllo DDS</x:v>
      </x:c>
      <x:c r="R18" s="83" t="str">
        <x:v>Direct table extraction</x:v>
      </x:c>
      <x:c r="S18" s="83" t="str">
        <x:v>A — Direct</x:v>
      </x:c>
      <x:c r="T18" s="83" t="str">
        <x:v>Annual production constraint/QA after hydro disaggregation.</x:v>
      </x:c>
      <x:c r="U18" s="83" t="str">
        <x:v>DDS 2023 value (38 TWh) differs from S01 renewable hydro statistic (40 TWh) due to source perimeter/rounding.</x:v>
      </x:c>
    </x:row>
    <x:row r="19">
      <x:c r="A19" s="83" t="str">
        <x:v>HY-015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Italia</x:v>
      </x:c>
      <x:c r="F19" s="83" t="str"/>
      <x:c r="G19" s="83" t="str">
        <x:v>Hydro aggregate in DDS</x:v>
      </x:c>
      <x:c r="H19" s="83" t="str">
        <x:v>Annual modeled hydro generation</x:v>
      </x:c>
      <x:c r="I19" s="197" t="n">
        <x:v>46</x:v>
      </x:c>
      <x:c r="J19" s="83" t="str">
        <x:v>TWh</x:v>
      </x:c>
      <x:c r="K19" s="83" t="str">
        <x:v>Scenario/model result</x:v>
      </x:c>
      <x:c r="L19" s="83" t="str">
        <x:v>S09</x:v>
      </x:c>
      <x:c r="M19" s="83" t="str">
        <x:v>Documento di Descrizione degli Scenari 2024</x:v>
      </x:c>
      <x:c r="N19" s="83" t="n">
        <x:v>66</x:v>
      </x:c>
      <x:c r="O19" s="83" t="n">
        <x:v>64</x:v>
      </x:c>
      <x:c r="P19" s="83" t="str">
        <x:v>Table 18</x:v>
      </x:c>
      <x:c r="Q19" s="83" t="str">
        <x:v>Risultato di modello / controllo DDS</x:v>
      </x:c>
      <x:c r="R19" s="83" t="str">
        <x:v>Direct table extraction</x:v>
      </x:c>
      <x:c r="S19" s="83" t="str">
        <x:v>A — Direct</x:v>
      </x:c>
      <x:c r="T19" s="83" t="str">
        <x:v>Annual production constraint/QA after hydro disaggregation.</x:v>
      </x:c>
      <x:c r="U19" s="83" t="str">
        <x:v>DDS 2023 value (38 TWh) differs from S01 renewable hydro statistic (40 TWh) due to source perimeter/rounding.</x:v>
      </x:c>
    </x:row>
    <x:row r="20">
      <x:c r="A20" s="83" t="str">
        <x:v>HY-016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Italia</x:v>
      </x:c>
      <x:c r="F20" s="83" t="str"/>
      <x:c r="G20" s="83" t="str">
        <x:v>Hydro aggregate in DDS</x:v>
      </x:c>
      <x:c r="H20" s="83" t="str">
        <x:v>Annual modeled hydro generation</x:v>
      </x:c>
      <x:c r="I20" s="197" t="n">
        <x:v>46</x:v>
      </x:c>
      <x:c r="J20" s="83" t="str">
        <x:v>TWh</x:v>
      </x:c>
      <x:c r="K20" s="83" t="str">
        <x:v>Scenario/model result</x:v>
      </x:c>
      <x:c r="L20" s="83" t="str">
        <x:v>S09</x:v>
      </x:c>
      <x:c r="M20" s="83" t="str">
        <x:v>Documento di Descrizione degli Scenari 2024</x:v>
      </x:c>
      <x:c r="N20" s="83" t="n">
        <x:v>66</x:v>
      </x:c>
      <x:c r="O20" s="83" t="n">
        <x:v>64</x:v>
      </x:c>
      <x:c r="P20" s="83" t="str">
        <x:v>Table 18</x:v>
      </x:c>
      <x:c r="Q20" s="83" t="str">
        <x:v>Risultato di modello / controllo DDS</x:v>
      </x:c>
      <x:c r="R20" s="83" t="str">
        <x:v>Direct table extraction</x:v>
      </x:c>
      <x:c r="S20" s="83" t="str">
        <x:v>A — Direct</x:v>
      </x:c>
      <x:c r="T20" s="83" t="str">
        <x:v>Annual production constraint/QA after hydro disaggregation.</x:v>
      </x:c>
      <x:c r="U20" s="83" t="str">
        <x:v>DDS 2023 value (38 TWh) differs from S01 renewable hydro statistic (40 TWh) due to source perimeter/rounding.</x:v>
      </x:c>
    </x:row>
    <x:row r="21">
      <x:c r="A21" s="83" t="str">
        <x:v>HY-017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Italia</x:v>
      </x:c>
      <x:c r="F21" s="83" t="str"/>
      <x:c r="G21" s="83" t="str">
        <x:v>Hydro aggregate in DDS</x:v>
      </x:c>
      <x:c r="H21" s="83" t="str">
        <x:v>Annual modeled hydro generation</x:v>
      </x:c>
      <x:c r="I21" s="197" t="n">
        <x:v>46</x:v>
      </x:c>
      <x:c r="J21" s="83" t="str">
        <x:v>TWh</x:v>
      </x:c>
      <x:c r="K21" s="83" t="str">
        <x:v>Scenario/model result</x:v>
      </x:c>
      <x:c r="L21" s="83" t="str">
        <x:v>S09</x:v>
      </x:c>
      <x:c r="M21" s="83" t="str">
        <x:v>Documento di Descrizione degli Scenari 2024</x:v>
      </x:c>
      <x:c r="N21" s="83" t="n">
        <x:v>66</x:v>
      </x:c>
      <x:c r="O21" s="83" t="n">
        <x:v>64</x:v>
      </x:c>
      <x:c r="P21" s="83" t="str">
        <x:v>Table 18</x:v>
      </x:c>
      <x:c r="Q21" s="83" t="str">
        <x:v>Risultato di modello / controllo DDS</x:v>
      </x:c>
      <x:c r="R21" s="83" t="str">
        <x:v>Direct table extraction</x:v>
      </x:c>
      <x:c r="S21" s="83" t="str">
        <x:v>A — Direct</x:v>
      </x:c>
      <x:c r="T21" s="83" t="str">
        <x:v>Annual production constraint/QA after hydro disaggregation.</x:v>
      </x:c>
      <x:c r="U21" s="83" t="str">
        <x:v>DDS 2023 value (38 TWh) differs from S01 renewable hydro statistic (40 TWh) due to source perimeter/rounding.</x:v>
      </x:c>
    </x:row>
    <x:row r="22">
      <x:c r="A22" s="83" t="str">
        <x:v>HY-018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Italia</x:v>
      </x:c>
      <x:c r="F22" s="83" t="str"/>
      <x:c r="G22" s="83" t="str">
        <x:v>Hydro aggregate in DDS</x:v>
      </x:c>
      <x:c r="H22" s="83" t="str">
        <x:v>Annual modeled hydro generation</x:v>
      </x:c>
      <x:c r="I22" s="197" t="n">
        <x:v>46</x:v>
      </x:c>
      <x:c r="J22" s="83" t="str">
        <x:v>TWh</x:v>
      </x:c>
      <x:c r="K22" s="83" t="str">
        <x:v>Scenario/model result</x:v>
      </x:c>
      <x:c r="L22" s="83" t="str">
        <x:v>S09</x:v>
      </x:c>
      <x:c r="M22" s="83" t="str">
        <x:v>Documento di Descrizione degli Scenari 2024</x:v>
      </x:c>
      <x:c r="N22" s="83" t="n">
        <x:v>66</x:v>
      </x:c>
      <x:c r="O22" s="83" t="n">
        <x:v>64</x:v>
      </x:c>
      <x:c r="P22" s="83" t="str">
        <x:v>Table 18</x:v>
      </x:c>
      <x:c r="Q22" s="83" t="str">
        <x:v>Risultato di modello / controllo DDS</x:v>
      </x:c>
      <x:c r="R22" s="83" t="str">
        <x:v>Direct table extraction</x:v>
      </x:c>
      <x:c r="S22" s="83" t="str">
        <x:v>A — Direct</x:v>
      </x:c>
      <x:c r="T22" s="83" t="str">
        <x:v>Annual production constraint/QA after hydro disaggregation.</x:v>
      </x:c>
      <x:c r="U22" s="83" t="str">
        <x:v>DDS 2023 value (38 TWh) differs from S01 renewable hydro statistic (40 TWh) due to source perimeter/rounding.</x:v>
      </x:c>
    </x:row>
    <x:row r="23">
      <x:c r="A23" s="83" t="str">
        <x:v>HY-019</x:v>
      </x:c>
      <x:c r="B23" s="83" t="str"/>
      <x:c r="C23" s="83" t="n">
        <x:v>2025</x:v>
      </x:c>
      <x:c r="D23" s="83" t="str">
        <x:v>Existing stock</x:v>
      </x:c>
      <x:c r="E23" s="83" t="str">
        <x:v>Italia</x:v>
      </x:c>
      <x:c r="F23" s="83" t="str"/>
      <x:c r="G23" s="83" t="str">
        <x:v>Pumped hydro</x:v>
      </x:c>
      <x:c r="H23" s="83" t="str">
        <x:v>Number of relevant pumped-storage plants</x:v>
      </x:c>
      <x:c r="I23" s="197" t="n">
        <x:v>22</x:v>
      </x:c>
      <x:c r="J23" s="83" t="str">
        <x:v>plants</x:v>
      </x:c>
      <x:c r="K23" s="83" t="str">
        <x:v>Observed installed / derived</x:v>
      </x:c>
      <x:c r="L23" s="83" t="str">
        <x:v>S01</x:v>
      </x:c>
      <x:c r="M23" s="83" t="str">
        <x:v>Stato del sistema elettrico e scenari energetici 2025</x:v>
      </x:c>
      <x:c r="N23" s="83" t="n">
        <x:v>57</x:v>
      </x:c>
      <x:c r="O23" s="83" t="n">
        <x:v>55</x:v>
      </x:c>
      <x:c r="P23" s="83" t="str">
        <x:v>Section 3.5.1 / Figure 36</x:v>
      </x:c>
      <x:c r="Q23" s="83" t="str">
        <x:v>Dato osservato</x:v>
      </x:c>
      <x:c r="R23" s="83" t="str">
        <x:v>Direct</x:v>
      </x:c>
      <x:c r="S23" s="83" t="str">
        <x:v>A direct / B derived</x:v>
      </x:c>
      <x:c r="T23" s="83" t="str">
        <x:v>Store+Links with asymmetric charge/discharge power; plant/zone mapping still needed.</x:v>
      </x:c>
      <x:c r="U23" s="83" t="str">
        <x:v>Production-relevant plants.</x:v>
      </x:c>
    </x:row>
    <x:row r="24">
      <x:c r="A24" s="83" t="str">
        <x:v>HY-020</x:v>
      </x:c>
      <x:c r="B24" s="83" t="str"/>
      <x:c r="C24" s="83" t="n">
        <x:v>2025</x:v>
      </x:c>
      <x:c r="D24" s="83" t="str">
        <x:v>Existing stock</x:v>
      </x:c>
      <x:c r="E24" s="83" t="str">
        <x:v>Italia</x:v>
      </x:c>
      <x:c r="F24" s="83" t="str"/>
      <x:c r="G24" s="83" t="str">
        <x:v>Pumped hydro</x:v>
      </x:c>
      <x:c r="H24" s="83" t="str">
        <x:v>Maximum pumping/absorption power</x:v>
      </x:c>
      <x:c r="I24" s="197" t="n">
        <x:v>6.4</x:v>
      </x:c>
      <x:c r="J24" s="83" t="str">
        <x:v>GW</x:v>
      </x:c>
      <x:c r="K24" s="83" t="str">
        <x:v>Observed installed / derived</x:v>
      </x:c>
      <x:c r="L24" s="83" t="str">
        <x:v>S01</x:v>
      </x:c>
      <x:c r="M24" s="83" t="str">
        <x:v>Stato del sistema elettrico e scenari energetici 2025</x:v>
      </x:c>
      <x:c r="N24" s="83" t="n">
        <x:v>57</x:v>
      </x:c>
      <x:c r="O24" s="83" t="n">
        <x:v>55</x:v>
      </x:c>
      <x:c r="P24" s="83" t="str">
        <x:v>Section 3.5.1 / Figure 36</x:v>
      </x:c>
      <x:c r="Q24" s="83" t="str">
        <x:v>Dato osservato</x:v>
      </x:c>
      <x:c r="R24" s="83" t="str">
        <x:v>Direct</x:v>
      </x:c>
      <x:c r="S24" s="83" t="str">
        <x:v>A direct / B derived</x:v>
      </x:c>
      <x:c r="T24" s="83" t="str">
        <x:v>Store+Links with asymmetric charge/discharge power; plant/zone mapping still needed.</x:v>
      </x:c>
      <x:c r="U24" s="83" t="str">
        <x:v>Aggregate charge-side power.</x:v>
      </x:c>
    </x:row>
    <x:row r="25">
      <x:c r="A25" s="83" t="str">
        <x:v>HY-021</x:v>
      </x:c>
      <x:c r="B25" s="83" t="str"/>
      <x:c r="C25" s="83" t="n">
        <x:v>2025</x:v>
      </x:c>
      <x:c r="D25" s="83" t="str">
        <x:v>Existing stock</x:v>
      </x:c>
      <x:c r="E25" s="83" t="str">
        <x:v>Italia</x:v>
      </x:c>
      <x:c r="F25" s="83" t="str"/>
      <x:c r="G25" s="83" t="str">
        <x:v>Pumped hydro</x:v>
      </x:c>
      <x:c r="H25" s="83" t="str">
        <x:v>Maximum generation power</x:v>
      </x:c>
      <x:c r="I25" s="197" t="n">
        <x:v>7.3</x:v>
      </x:c>
      <x:c r="J25" s="83" t="str">
        <x:v>GW</x:v>
      </x:c>
      <x:c r="K25" s="83" t="str">
        <x:v>Observed installed / derived</x:v>
      </x:c>
      <x:c r="L25" s="83" t="str">
        <x:v>S01</x:v>
      </x:c>
      <x:c r="M25" s="83" t="str">
        <x:v>Stato del sistema elettrico e scenari energetici 2025</x:v>
      </x:c>
      <x:c r="N25" s="83" t="n">
        <x:v>57</x:v>
      </x:c>
      <x:c r="O25" s="83" t="n">
        <x:v>55</x:v>
      </x:c>
      <x:c r="P25" s="83" t="str">
        <x:v>Section 3.5.1 / Figure 36</x:v>
      </x:c>
      <x:c r="Q25" s="83" t="str">
        <x:v>Dato osservato</x:v>
      </x:c>
      <x:c r="R25" s="83" t="str">
        <x:v>Direct</x:v>
      </x:c>
      <x:c r="S25" s="83" t="str">
        <x:v>A direct / B derived</x:v>
      </x:c>
      <x:c r="T25" s="83" t="str">
        <x:v>Store+Links with asymmetric charge/discharge power; plant/zone mapping still needed.</x:v>
      </x:c>
      <x:c r="U25" s="83" t="str">
        <x:v>Aggregate discharge-side power.</x:v>
      </x:c>
    </x:row>
    <x:row r="26">
      <x:c r="A26" s="83" t="str">
        <x:v>HY-022</x:v>
      </x:c>
      <x:c r="B26" s="83" t="str"/>
      <x:c r="C26" s="83" t="n">
        <x:v>2025</x:v>
      </x:c>
      <x:c r="D26" s="83" t="str">
        <x:v>Existing stock</x:v>
      </x:c>
      <x:c r="E26" s="83" t="str">
        <x:v>Italia</x:v>
      </x:c>
      <x:c r="F26" s="83" t="str"/>
      <x:c r="G26" s="83" t="str">
        <x:v>Pumped hydro</x:v>
      </x:c>
      <x:c r="H26" s="83" t="str">
        <x:v>Storage energy capacity</x:v>
      </x:c>
      <x:c r="I26" s="197" t="n">
        <x:v>53</x:v>
      </x:c>
      <x:c r="J26" s="83" t="str">
        <x:v>GWh</x:v>
      </x:c>
      <x:c r="K26" s="83" t="str">
        <x:v>Observed installed / derived</x:v>
      </x:c>
      <x:c r="L26" s="83" t="str">
        <x:v>S01</x:v>
      </x:c>
      <x:c r="M26" s="83" t="str">
        <x:v>Stato del sistema elettrico e scenari energetici 2025</x:v>
      </x:c>
      <x:c r="N26" s="83" t="n">
        <x:v>57</x:v>
      </x:c>
      <x:c r="O26" s="83" t="n">
        <x:v>55</x:v>
      </x:c>
      <x:c r="P26" s="83" t="str">
        <x:v>Section 3.5.1 / Figure 36</x:v>
      </x:c>
      <x:c r="Q26" s="83" t="str">
        <x:v>Dato osservato</x:v>
      </x:c>
      <x:c r="R26" s="83" t="str">
        <x:v>Direct</x:v>
      </x:c>
      <x:c r="S26" s="83" t="str">
        <x:v>A direct / B derived</x:v>
      </x:c>
      <x:c r="T26" s="83" t="str">
        <x:v>Store+Links with asymmetric charge/discharge power; plant/zone mapping still needed.</x:v>
      </x:c>
      <x:c r="U26" s="83" t="str">
        <x:v>Physical stock estimate.</x:v>
      </x:c>
    </x:row>
    <x:row r="27">
      <x:c r="A27" s="83" t="str">
        <x:v>HY-023</x:v>
      </x:c>
      <x:c r="B27" s="83" t="str"/>
      <x:c r="C27" s="83" t="n">
        <x:v>2025</x:v>
      </x:c>
      <x:c r="D27" s="83" t="str">
        <x:v>Existing stock</x:v>
      </x:c>
      <x:c r="E27" s="83" t="str">
        <x:v>Italia</x:v>
      </x:c>
      <x:c r="F27" s="83" t="str"/>
      <x:c r="G27" s="83" t="str">
        <x:v>Pumped hydro</x:v>
      </x:c>
      <x:c r="H27" s="83" t="str">
        <x:v>Share of energy in four main pure-pumping plants &gt;500 MW</x:v>
      </x:c>
      <x:c r="I27" s="197" t="n">
        <x:v>75</x:v>
      </x:c>
      <x:c r="J27" s="83" t="str">
        <x:v>%</x:v>
      </x:c>
      <x:c r="K27" s="83" t="str">
        <x:v>Observed installed / derived</x:v>
      </x:c>
      <x:c r="L27" s="83" t="str">
        <x:v>S01</x:v>
      </x:c>
      <x:c r="M27" s="83" t="str">
        <x:v>Stato del sistema elettrico e scenari energetici 2025</x:v>
      </x:c>
      <x:c r="N27" s="83" t="n">
        <x:v>57</x:v>
      </x:c>
      <x:c r="O27" s="83" t="n">
        <x:v>55</x:v>
      </x:c>
      <x:c r="P27" s="83" t="str">
        <x:v>Section 3.5.1 / Figure 36</x:v>
      </x:c>
      <x:c r="Q27" s="83" t="str">
        <x:v>Dato osservato</x:v>
      </x:c>
      <x:c r="R27" s="83" t="str">
        <x:v>Direct</x:v>
      </x:c>
      <x:c r="S27" s="83" t="str">
        <x:v>A direct / B derived</x:v>
      </x:c>
      <x:c r="T27" s="83" t="str">
        <x:v>Store+Links with asymmetric charge/discharge power; plant/zone mapping still needed.</x:v>
      </x:c>
      <x:c r="U27" s="83" t="str">
        <x:v>Concentration indicator; approximate.</x:v>
      </x:c>
    </x:row>
    <x:row r="28">
      <x:c r="A28" s="83" t="str">
        <x:v>HY-024</x:v>
      </x:c>
      <x:c r="B28" s="83" t="str"/>
      <x:c r="C28" s="83" t="n">
        <x:v>2025</x:v>
      </x:c>
      <x:c r="D28" s="83" t="str">
        <x:v>Existing stock</x:v>
      </x:c>
      <x:c r="E28" s="83" t="str">
        <x:v>Italia</x:v>
      </x:c>
      <x:c r="F28" s="83" t="str"/>
      <x:c r="G28" s="83" t="str">
        <x:v>Pumped hydro</x:v>
      </x:c>
      <x:c r="H28" s="83" t="str">
        <x:v>Equivalent duration on generation power</x:v>
      </x:c>
      <x:c r="I28" s="197" t="n">
        <x:v>7.26027397260274</x:v>
      </x:c>
      <x:c r="J28" s="83" t="str">
        <x:v>h</x:v>
      </x:c>
      <x:c r="K28" s="83" t="str">
        <x:v>Observed installed / derived</x:v>
      </x:c>
      <x:c r="L28" s="83" t="str">
        <x:v>S01</x:v>
      </x:c>
      <x:c r="M28" s="83" t="str">
        <x:v>Stato del sistema elettrico e scenari energetici 2025</x:v>
      </x:c>
      <x:c r="N28" s="83" t="n">
        <x:v>57</x:v>
      </x:c>
      <x:c r="O28" s="83" t="n">
        <x:v>55</x:v>
      </x:c>
      <x:c r="P28" s="83" t="str">
        <x:v>Section 3.5.1 / Figure 36</x:v>
      </x:c>
      <x:c r="Q28" s="83" t="str">
        <x:v>B — Derived</x:v>
      </x:c>
      <x:c r="R28" s="83" t="str">
        <x:v>Energy divided by power</x:v>
      </x:c>
      <x:c r="S28" s="83" t="str">
        <x:v>A direct / B derived</x:v>
      </x:c>
      <x:c r="T28" s="83" t="str">
        <x:v>Store+Links with asymmetric charge/discharge power; plant/zone mapping still needed.</x:v>
      </x:c>
      <x:c r="U28" s="83" t="str">
        <x:v>Derived aggregate ratio; not plant-specific max_hours.</x:v>
      </x:c>
    </x:row>
    <x:row r="29">
      <x:c r="A29" s="83" t="str">
        <x:v>HY-025</x:v>
      </x:c>
      <x:c r="B29" s="83" t="str"/>
      <x:c r="C29" s="83" t="n">
        <x:v>2025</x:v>
      </x:c>
      <x:c r="D29" s="83" t="str">
        <x:v>Existing stock</x:v>
      </x:c>
      <x:c r="E29" s="83" t="str">
        <x:v>Italia</x:v>
      </x:c>
      <x:c r="F29" s="83" t="str"/>
      <x:c r="G29" s="83" t="str">
        <x:v>Pumped hydro</x:v>
      </x:c>
      <x:c r="H29" s="83" t="str">
        <x:v>Equivalent duration on pumping power</x:v>
      </x:c>
      <x:c r="I29" s="197" t="n">
        <x:v>8.28125</x:v>
      </x:c>
      <x:c r="J29" s="83" t="str">
        <x:v>h</x:v>
      </x:c>
      <x:c r="K29" s="83" t="str">
        <x:v>Observed installed / derived</x:v>
      </x:c>
      <x:c r="L29" s="83" t="str">
        <x:v>S01</x:v>
      </x:c>
      <x:c r="M29" s="83" t="str">
        <x:v>Stato del sistema elettrico e scenari energetici 2025</x:v>
      </x:c>
      <x:c r="N29" s="83" t="n">
        <x:v>57</x:v>
      </x:c>
      <x:c r="O29" s="83" t="n">
        <x:v>55</x:v>
      </x:c>
      <x:c r="P29" s="83" t="str">
        <x:v>Section 3.5.1 / Figure 36</x:v>
      </x:c>
      <x:c r="Q29" s="83" t="str">
        <x:v>B — Derived</x:v>
      </x:c>
      <x:c r="R29" s="83" t="str">
        <x:v>Energy divided by power</x:v>
      </x:c>
      <x:c r="S29" s="83" t="str">
        <x:v>A direct / B derived</x:v>
      </x:c>
      <x:c r="T29" s="83" t="str">
        <x:v>Store+Links with asymmetric charge/discharge power; plant/zone mapping still needed.</x:v>
      </x:c>
      <x:c r="U29" s="83" t="str">
        <x:v>Derived aggregate ratio; not plant-specific max_hours.</x:v>
      </x:c>
    </x:row>
    <x:row r="30">
      <x:c r="A30" s="83" t="str">
        <x:v>HY-026</x:v>
      </x:c>
      <x:c r="B30" s="83" t="str">
        <x:v>PNIEC_POLICY_2030</x:v>
      </x:c>
      <x:c r="C30" s="83" t="n">
        <x:v>2030</x:v>
      </x:c>
      <x:c r="D30" s="83" t="str">
        <x:v>PNIEC Policy 2030</x:v>
      </x:c>
      <x:c r="E30" s="83" t="str">
        <x:v>Italia</x:v>
      </x:c>
      <x:c r="F30" s="83" t="str"/>
      <x:c r="G30" s="83" t="str">
        <x:v>Existing pumped hydro convention</x:v>
      </x:c>
      <x:c r="H30" s="83" t="str">
        <x:v>Storage energy capacity used in scenario accounting</x:v>
      </x:c>
      <x:c r="I30" s="197" t="n">
        <x:v>50</x:v>
      </x:c>
      <x:c r="J30" s="83" t="str">
        <x:v>GWh</x:v>
      </x:c>
      <x:c r="K30" s="83" t="str">
        <x:v>Scenario convention</x:v>
      </x:c>
      <x:c r="L30" s="83" t="str">
        <x:v>S09</x:v>
      </x:c>
      <x:c r="M30" s="83" t="str">
        <x:v>Documento di Descrizione degli Scenari 2024</x:v>
      </x:c>
      <x:c r="N30" s="83" t="n">
        <x:v>49</x:v>
      </x:c>
      <x:c r="O30" s="83" t="n">
        <x:v>47</x:v>
      </x:c>
      <x:c r="P30" s="83" t="str">
        <x:v>Figure 19 / storage accounting</x:v>
      </x:c>
      <x:c r="Q30" s="83" t="str">
        <x:v>Assunzione di scenario</x:v>
      </x:c>
      <x:c r="R30" s="83" t="str">
        <x:v>Direct</x:v>
      </x:c>
      <x:c r="S30" s="83" t="str">
        <x:v>A — Direct</x:v>
      </x:c>
      <x:c r="T30" s="83" t="str">
        <x:v>Scenario reconciliation only; compare with 53 GWh physical stock.</x:v>
      </x:c>
      <x:c r="U30" s="83" t="str">
        <x:v>DDS convention preserved; 3 GWh below S01 physical estimate.</x:v>
      </x:c>
    </x:row>
    <x:row r="31">
      <x:c r="A31" s="83" t="str">
        <x:v>HY-027</x:v>
      </x:c>
      <x:c r="B31" s="83" t="str">
        <x:v>PNIEC_SLOW_2030</x:v>
      </x:c>
      <x:c r="C31" s="83" t="n">
        <x:v>2030</x:v>
      </x:c>
      <x:c r="D31" s="83" t="str">
        <x:v>PNIEC Slow 2030</x:v>
      </x:c>
      <x:c r="E31" s="83" t="str">
        <x:v>Italia</x:v>
      </x:c>
      <x:c r="F31" s="83" t="str"/>
      <x:c r="G31" s="83" t="str">
        <x:v>Existing pumped hydro convention</x:v>
      </x:c>
      <x:c r="H31" s="83" t="str">
        <x:v>Storage energy capacity used in scenario accounting</x:v>
      </x:c>
      <x:c r="I31" s="197" t="n">
        <x:v>50</x:v>
      </x:c>
      <x:c r="J31" s="83" t="str">
        <x:v>GWh</x:v>
      </x:c>
      <x:c r="K31" s="83" t="str">
        <x:v>Scenario convention</x:v>
      </x:c>
      <x:c r="L31" s="83" t="str">
        <x:v>S09</x:v>
      </x:c>
      <x:c r="M31" s="83" t="str">
        <x:v>Documento di Descrizione degli Scenari 2024</x:v>
      </x:c>
      <x:c r="N31" s="83" t="n">
        <x:v>49</x:v>
      </x:c>
      <x:c r="O31" s="83" t="n">
        <x:v>47</x:v>
      </x:c>
      <x:c r="P31" s="83" t="str">
        <x:v>Figure 19 / storage accounting</x:v>
      </x:c>
      <x:c r="Q31" s="83" t="str">
        <x:v>Assunzione di scenario</x:v>
      </x:c>
      <x:c r="R31" s="83" t="str">
        <x:v>Direct</x:v>
      </x:c>
      <x:c r="S31" s="83" t="str">
        <x:v>A — Direct</x:v>
      </x:c>
      <x:c r="T31" s="83" t="str">
        <x:v>Scenario reconciliation only; compare with 53 GWh physical stock.</x:v>
      </x:c>
      <x:c r="U31" s="83" t="str">
        <x:v>DDS convention preserved; 3 GWh below S01 physical estimate.</x:v>
      </x:c>
    </x:row>
    <x:row r="32">
      <x:c r="A32" s="83" t="str">
        <x:v>HY-028</x:v>
      </x:c>
      <x:c r="B32" s="83" t="str">
        <x:v>DE_IT_2035</x:v>
      </x:c>
      <x:c r="C32" s="83" t="n">
        <x:v>2035</x:v>
      </x:c>
      <x:c r="D32" s="83" t="str">
        <x:v>DE-IT 2035</x:v>
      </x:c>
      <x:c r="E32" s="83" t="str">
        <x:v>Italia</x:v>
      </x:c>
      <x:c r="F32" s="83" t="str"/>
      <x:c r="G32" s="83" t="str">
        <x:v>Existing pumped hydro convention</x:v>
      </x:c>
      <x:c r="H32" s="83" t="str">
        <x:v>Storage energy capacity used in scenario accounting</x:v>
      </x:c>
      <x:c r="I32" s="197" t="n">
        <x:v>50</x:v>
      </x:c>
      <x:c r="J32" s="83" t="str">
        <x:v>GWh</x:v>
      </x:c>
      <x:c r="K32" s="83" t="str">
        <x:v>Scenario convention</x:v>
      </x:c>
      <x:c r="L32" s="83" t="str">
        <x:v>S09</x:v>
      </x:c>
      <x:c r="M32" s="83" t="str">
        <x:v>Documento di Descrizione degli Scenari 2024</x:v>
      </x:c>
      <x:c r="N32" s="83" t="n">
        <x:v>49</x:v>
      </x:c>
      <x:c r="O32" s="83" t="n">
        <x:v>47</x:v>
      </x:c>
      <x:c r="P32" s="83" t="str">
        <x:v>Figure 19 / storage accounting</x:v>
      </x:c>
      <x:c r="Q32" s="83" t="str">
        <x:v>Assunzione di scenario</x:v>
      </x:c>
      <x:c r="R32" s="83" t="str">
        <x:v>Direct</x:v>
      </x:c>
      <x:c r="S32" s="83" t="str">
        <x:v>A — Direct</x:v>
      </x:c>
      <x:c r="T32" s="83" t="str">
        <x:v>Scenario reconciliation only; compare with 53 GWh physical stock.</x:v>
      </x:c>
      <x:c r="U32" s="83" t="str">
        <x:v>DDS convention preserved; 3 GWh below S01 physical estimate.</x:v>
      </x:c>
    </x:row>
    <x:row r="33">
      <x:c r="A33" s="83" t="str">
        <x:v>HY-029</x:v>
      </x:c>
      <x:c r="B33" s="83" t="str">
        <x:v>GA_IT_2035</x:v>
      </x:c>
      <x:c r="C33" s="83" t="n">
        <x:v>2035</x:v>
      </x:c>
      <x:c r="D33" s="83" t="str">
        <x:v>GA-IT 2035</x:v>
      </x:c>
      <x:c r="E33" s="83" t="str">
        <x:v>Italia</x:v>
      </x:c>
      <x:c r="F33" s="83" t="str"/>
      <x:c r="G33" s="83" t="str">
        <x:v>Existing pumped hydro convention</x:v>
      </x:c>
      <x:c r="H33" s="83" t="str">
        <x:v>Storage energy capacity used in scenario accounting</x:v>
      </x:c>
      <x:c r="I33" s="197" t="n">
        <x:v>50</x:v>
      </x:c>
      <x:c r="J33" s="83" t="str">
        <x:v>GWh</x:v>
      </x:c>
      <x:c r="K33" s="83" t="str">
        <x:v>Scenario convention</x:v>
      </x:c>
      <x:c r="L33" s="83" t="str">
        <x:v>S09</x:v>
      </x:c>
      <x:c r="M33" s="83" t="str">
        <x:v>Documento di Descrizione degli Scenari 2024</x:v>
      </x:c>
      <x:c r="N33" s="83" t="n">
        <x:v>49</x:v>
      </x:c>
      <x:c r="O33" s="83" t="n">
        <x:v>47</x:v>
      </x:c>
      <x:c r="P33" s="83" t="str">
        <x:v>Figure 19 / storage accounting</x:v>
      </x:c>
      <x:c r="Q33" s="83" t="str">
        <x:v>Assunzione di scenario</x:v>
      </x:c>
      <x:c r="R33" s="83" t="str">
        <x:v>Direct</x:v>
      </x:c>
      <x:c r="S33" s="83" t="str">
        <x:v>A — Direct</x:v>
      </x:c>
      <x:c r="T33" s="83" t="str">
        <x:v>Scenario reconciliation only; compare with 53 GWh physical stock.</x:v>
      </x:c>
      <x:c r="U33" s="83" t="str">
        <x:v>DDS convention preserved; 3 GWh below S01 physical estimate.</x:v>
      </x:c>
    </x:row>
    <x:row r="34">
      <x:c r="A34" s="83" t="str">
        <x:v>HY-030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Italia</x:v>
      </x:c>
      <x:c r="F34" s="83" t="str"/>
      <x:c r="G34" s="83" t="str">
        <x:v>Existing pumped hydro convention</x:v>
      </x:c>
      <x:c r="H34" s="83" t="str">
        <x:v>Storage energy capacity used in scenario accounting</x:v>
      </x:c>
      <x:c r="I34" s="197" t="n">
        <x:v>50</x:v>
      </x:c>
      <x:c r="J34" s="83" t="str">
        <x:v>GWh</x:v>
      </x:c>
      <x:c r="K34" s="83" t="str">
        <x:v>Scenario convention</x:v>
      </x:c>
      <x:c r="L34" s="83" t="str">
        <x:v>S09</x:v>
      </x:c>
      <x:c r="M34" s="83" t="str">
        <x:v>Documento di Descrizione degli Scenari 2024</x:v>
      </x:c>
      <x:c r="N34" s="83" t="n">
        <x:v>49</x:v>
      </x:c>
      <x:c r="O34" s="83" t="n">
        <x:v>47</x:v>
      </x:c>
      <x:c r="P34" s="83" t="str">
        <x:v>Figure 19 / storage accounting</x:v>
      </x:c>
      <x:c r="Q34" s="83" t="str">
        <x:v>Assunzione di scenario</x:v>
      </x:c>
      <x:c r="R34" s="83" t="str">
        <x:v>Direct</x:v>
      </x:c>
      <x:c r="S34" s="83" t="str">
        <x:v>A — Direct</x:v>
      </x:c>
      <x:c r="T34" s="83" t="str">
        <x:v>Scenario reconciliation only; compare with 53 GWh physical stock.</x:v>
      </x:c>
      <x:c r="U34" s="83" t="str">
        <x:v>DDS convention preserved; 3 GWh below S01 physical estimate.</x:v>
      </x:c>
    </x:row>
    <x:row r="35">
      <x:c r="A35" s="83" t="str">
        <x:v>HY-031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Italia</x:v>
      </x:c>
      <x:c r="F35" s="83" t="str"/>
      <x:c r="G35" s="83" t="str">
        <x:v>Existing pumped hydro convention</x:v>
      </x:c>
      <x:c r="H35" s="83" t="str">
        <x:v>Storage energy capacity used in scenario accounting</x:v>
      </x:c>
      <x:c r="I35" s="197" t="n">
        <x:v>50</x:v>
      </x:c>
      <x:c r="J35" s="83" t="str">
        <x:v>GWh</x:v>
      </x:c>
      <x:c r="K35" s="83" t="str">
        <x:v>Scenario convention</x:v>
      </x:c>
      <x:c r="L35" s="83" t="str">
        <x:v>S09</x:v>
      </x:c>
      <x:c r="M35" s="83" t="str">
        <x:v>Documento di Descrizione degli Scenari 2024</x:v>
      </x:c>
      <x:c r="N35" s="83" t="n">
        <x:v>49</x:v>
      </x:c>
      <x:c r="O35" s="83" t="n">
        <x:v>47</x:v>
      </x:c>
      <x:c r="P35" s="83" t="str">
        <x:v>Figure 19 / storage accounting</x:v>
      </x:c>
      <x:c r="Q35" s="83" t="str">
        <x:v>Assunzione di scenario</x:v>
      </x:c>
      <x:c r="R35" s="83" t="str">
        <x:v>Direct</x:v>
      </x:c>
      <x:c r="S35" s="83" t="str">
        <x:v>A — Direct</x:v>
      </x:c>
      <x:c r="T35" s="83" t="str">
        <x:v>Scenario reconciliation only; compare with 53 GWh physical stock.</x:v>
      </x:c>
      <x:c r="U35" s="83" t="str">
        <x:v>DDS convention preserved; 3 GWh below S01 physical estimate.</x:v>
      </x:c>
    </x:row>
    <x:row r="36">
      <x:c r="A36" s="83" t="str">
        <x:v>HY-032</x:v>
      </x:c>
      <x:c r="B36" s="83" t="str">
        <x:v>GA_IT_2040</x:v>
      </x:c>
      <x:c r="C36" s="83" t="n">
        <x:v>2040</x:v>
      </x:c>
      <x:c r="D36" s="83" t="str">
        <x:v>GA-IT 2040</x:v>
      </x:c>
      <x:c r="E36" s="83" t="str">
        <x:v>Italia</x:v>
      </x:c>
      <x:c r="F36" s="83" t="str"/>
      <x:c r="G36" s="83" t="str">
        <x:v>Existing pumped hydro convention</x:v>
      </x:c>
      <x:c r="H36" s="83" t="str">
        <x:v>Storage energy capacity used in scenario accounting</x:v>
      </x:c>
      <x:c r="I36" s="197" t="n">
        <x:v>50</x:v>
      </x:c>
      <x:c r="J36" s="83" t="str">
        <x:v>GWh</x:v>
      </x:c>
      <x:c r="K36" s="83" t="str">
        <x:v>Scenario convention</x:v>
      </x:c>
      <x:c r="L36" s="83" t="str">
        <x:v>S09</x:v>
      </x:c>
      <x:c r="M36" s="83" t="str">
        <x:v>Documento di Descrizione degli Scenari 2024</x:v>
      </x:c>
      <x:c r="N36" s="83" t="n">
        <x:v>49</x:v>
      </x:c>
      <x:c r="O36" s="83" t="n">
        <x:v>47</x:v>
      </x:c>
      <x:c r="P36" s="83" t="str">
        <x:v>Figure 19 / storage accounting</x:v>
      </x:c>
      <x:c r="Q36" s="83" t="str">
        <x:v>Assunzione di scenario</x:v>
      </x:c>
      <x:c r="R36" s="83" t="str">
        <x:v>Direct</x:v>
      </x:c>
      <x:c r="S36" s="83" t="str">
        <x:v>A — Direct</x:v>
      </x:c>
      <x:c r="T36" s="83" t="str">
        <x:v>Scenario reconciliation only; compare with 53 GWh physical stock.</x:v>
      </x:c>
      <x:c r="U36" s="83" t="str">
        <x:v>DDS convention preserved; 3 GWh below S01 physical estimate.</x:v>
      </x:c>
    </x:row>
    <x:row r="37">
      <x:c r="A37" s="83" t="str">
        <x:v>HY-033</x:v>
      </x:c>
      <x:c r="B37" s="83" t="str">
        <x:v>PNIEC_SLOW_2040</x:v>
      </x:c>
      <x:c r="C37" s="83" t="n">
        <x:v>2040</x:v>
      </x:c>
      <x:c r="D37" s="83" t="str">
        <x:v>PNIEC Slow 2040</x:v>
      </x:c>
      <x:c r="E37" s="83" t="str">
        <x:v>Italia</x:v>
      </x:c>
      <x:c r="F37" s="83" t="str"/>
      <x:c r="G37" s="83" t="str">
        <x:v>Existing pumped hydro convention</x:v>
      </x:c>
      <x:c r="H37" s="83" t="str">
        <x:v>Storage energy capacity used in scenario accounting</x:v>
      </x:c>
      <x:c r="I37" s="197" t="n">
        <x:v>50</x:v>
      </x:c>
      <x:c r="J37" s="83" t="str">
        <x:v>GWh</x:v>
      </x:c>
      <x:c r="K37" s="83" t="str">
        <x:v>Scenario convention</x:v>
      </x:c>
      <x:c r="L37" s="83" t="str">
        <x:v>S09</x:v>
      </x:c>
      <x:c r="M37" s="83" t="str">
        <x:v>Documento di Descrizione degli Scenari 2024</x:v>
      </x:c>
      <x:c r="N37" s="83" t="n">
        <x:v>49</x:v>
      </x:c>
      <x:c r="O37" s="83" t="n">
        <x:v>47</x:v>
      </x:c>
      <x:c r="P37" s="83" t="str">
        <x:v>Figure 19 / storage accounting</x:v>
      </x:c>
      <x:c r="Q37" s="83" t="str">
        <x:v>Assunzione di scenario</x:v>
      </x:c>
      <x:c r="R37" s="83" t="str">
        <x:v>Direct</x:v>
      </x:c>
      <x:c r="S37" s="83" t="str">
        <x:v>A — Direct</x:v>
      </x:c>
      <x:c r="T37" s="83" t="str">
        <x:v>Scenario reconciliation only; compare with 53 GWh physical stock.</x:v>
      </x:c>
      <x:c r="U37" s="83" t="str">
        <x:v>DDS convention preserved; 3 GWh below S01 physical estimate.</x:v>
      </x:c>
    </x:row>
    <x:row r="38">
      <x:c r="A38" s="83" t="str">
        <x:v>HY-034</x:v>
      </x:c>
      <x:c r="B38" s="83" t="str">
        <x:v>TERNA_2050_NUCLEAR</x:v>
      </x:c>
      <x:c r="C38" s="83" t="n">
        <x:v>2050</x:v>
      </x:c>
      <x:c r="D38" s="83" t="str">
        <x:v>Terna 2050 con nucleare</x:v>
      </x:c>
      <x:c r="E38" s="83" t="str">
        <x:v>Italia</x:v>
      </x:c>
      <x:c r="F38" s="83" t="str"/>
      <x:c r="G38" s="83" t="str">
        <x:v>Hydro and pumping aggregate</x:v>
      </x:c>
      <x:c r="H38" s="83" t="str">
        <x:v>Installed power</x:v>
      </x:c>
      <x:c r="I38" s="197" t="n">
        <x:v>23</x:v>
      </x:c>
      <x:c r="J38" s="83" t="str">
        <x:v>GW</x:v>
      </x:c>
      <x:c r="K38" s="83" t="str">
        <x:v>Source scenario configuration</x:v>
      </x:c>
      <x:c r="L38" s="83" t="str">
        <x:v>S07</x:v>
      </x:c>
      <x:c r="M38" s="83" t="str">
        <x:v>Prospettive di Sviluppo del Sistema Energetico 2050</x:v>
      </x:c>
      <x:c r="N38" s="83" t="n">
        <x:v>65</x:v>
      </x:c>
      <x:c r="O38" s="83" t="n">
        <x:v>63</x:v>
      </x:c>
      <x:c r="P38" s="83" t="str">
        <x:v>Figure 55</x:v>
      </x:c>
      <x:c r="Q38" s="83" t="str">
        <x:v>Risultato/configurazione di modello</x:v>
      </x:c>
      <x:c r="R38" s="83" t="str">
        <x:v>Direct chart label</x:v>
      </x:c>
      <x:c r="S38" s="83" t="str">
        <x:v>A — Direct</x:v>
      </x:c>
      <x:c r="T38" s="83" t="str">
        <x:v>Control total only; must split run-of-river, reservoir and pumping.</x:v>
      </x:c>
      <x:c r="U38" s="83" t="str">
        <x:v>Reported as a combined category; not sufficient for PyPSA component assignment.</x:v>
      </x:c>
    </x:row>
    <x:row r="39">
      <x:c r="A39" s="83" t="str">
        <x:v>HY-035</x:v>
      </x:c>
      <x:c r="B39" s="83" t="str"/>
      <x:c r="C39" s="83" t="n">
        <x:v>2024</x:v>
      </x:c>
      <x:c r="D39" s="83" t="str">
        <x:v>Connection requests at 31 Dec 2024</x:v>
      </x:c>
      <x:c r="E39" s="83" t="str">
        <x:v>Italia</x:v>
      </x:c>
      <x:c r="F39" s="83" t="str"/>
      <x:c r="G39" s="83" t="str">
        <x:v>Pumping pure</x:v>
      </x:c>
      <x:c r="H39" s="83" t="str">
        <x:v>Connection request power — STMG da elaborare</x:v>
      </x:c>
      <x:c r="I39" s="197" t="n">
        <x:v>0.69</x:v>
      </x:c>
      <x:c r="J39" s="83" t="str">
        <x:v>GW</x:v>
      </x:c>
      <x:c r="K39" s="83" t="str">
        <x:v>Connection pipeline</x:v>
      </x:c>
      <x:c r="L39" s="83" t="str">
        <x:v>S04</x:v>
      </x:c>
      <x:c r="M39" s="83" t="str">
        <x:v>Programmazione territoriale efficiente e interventi di connessione</x:v>
      </x:c>
      <x:c r="N39" s="83" t="n">
        <x:v>30</x:v>
      </x:c>
      <x:c r="O39" s="83" t="n">
        <x:v>28</x:v>
      </x:c>
      <x:c r="P39" s="83" t="str">
        <x:v>Table 7</x:v>
      </x:c>
      <x:c r="Q39" s="83" t="str">
        <x:v>Pipeline / connection request</x:v>
      </x:c>
      <x:c r="R39" s="83" t="str">
        <x:v>Direct</x:v>
      </x:c>
      <x:c r="S39" s="83" t="str">
        <x:v>A — Direct</x:v>
      </x:c>
      <x:c r="T39" s="83" t="str">
        <x:v>Exclude from installed base; use maturity filter for sensitivities.</x:v>
      </x:c>
      <x:c r="U39" s="83" t="str">
        <x:v>Connection-process status, not COD certainty.</x:v>
      </x:c>
    </x:row>
    <x:row r="40">
      <x:c r="A40" s="83" t="str">
        <x:v>HY-036</x:v>
      </x:c>
      <x:c r="B40" s="83" t="str"/>
      <x:c r="C40" s="83" t="n">
        <x:v>2024</x:v>
      </x:c>
      <x:c r="D40" s="83" t="str">
        <x:v>Connection requests at 31 Dec 2024</x:v>
      </x:c>
      <x:c r="E40" s="83" t="str">
        <x:v>Italia</x:v>
      </x:c>
      <x:c r="F40" s="83" t="str"/>
      <x:c r="G40" s="83" t="str">
        <x:v>Pumping mixed</x:v>
      </x:c>
      <x:c r="H40" s="83" t="str">
        <x:v>Connection request power — STMG da elaborare</x:v>
      </x:c>
      <x:c r="I40" s="197" t="n">
        <x:v>0</x:v>
      </x:c>
      <x:c r="J40" s="83" t="str">
        <x:v>GW</x:v>
      </x:c>
      <x:c r="K40" s="83" t="str">
        <x:v>Connection pipeline</x:v>
      </x:c>
      <x:c r="L40" s="83" t="str">
        <x:v>S04</x:v>
      </x:c>
      <x:c r="M40" s="83" t="str">
        <x:v>Programmazione territoriale efficiente e interventi di connessione</x:v>
      </x:c>
      <x:c r="N40" s="83" t="n">
        <x:v>30</x:v>
      </x:c>
      <x:c r="O40" s="83" t="n">
        <x:v>28</x:v>
      </x:c>
      <x:c r="P40" s="83" t="str">
        <x:v>Table 7</x:v>
      </x:c>
      <x:c r="Q40" s="83" t="str">
        <x:v>Pipeline / connection request</x:v>
      </x:c>
      <x:c r="R40" s="83" t="str">
        <x:v>Direct</x:v>
      </x:c>
      <x:c r="S40" s="83" t="str">
        <x:v>A — Direct</x:v>
      </x:c>
      <x:c r="T40" s="83" t="str">
        <x:v>Exclude from installed base; use maturity filter for sensitivities.</x:v>
      </x:c>
      <x:c r="U40" s="83" t="str">
        <x:v>Connection-process status, not COD certainty.</x:v>
      </x:c>
    </x:row>
    <x:row r="41">
      <x:c r="A41" s="83" t="str">
        <x:v>HY-037</x:v>
      </x:c>
      <x:c r="B41" s="83" t="str"/>
      <x:c r="C41" s="83" t="n">
        <x:v>2024</x:v>
      </x:c>
      <x:c r="D41" s="83" t="str">
        <x:v>Connection requests at 31 Dec 2024</x:v>
      </x:c>
      <x:c r="E41" s="83" t="str">
        <x:v>Italia</x:v>
      </x:c>
      <x:c r="F41" s="83" t="str"/>
      <x:c r="G41" s="83" t="str">
        <x:v>Pumping pure</x:v>
      </x:c>
      <x:c r="H41" s="83" t="str">
        <x:v>Connection request power — STMG fornito</x:v>
      </x:c>
      <x:c r="I41" s="197" t="n">
        <x:v>0.39</x:v>
      </x:c>
      <x:c r="J41" s="83" t="str">
        <x:v>GW</x:v>
      </x:c>
      <x:c r="K41" s="83" t="str">
        <x:v>Connection pipeline</x:v>
      </x:c>
      <x:c r="L41" s="83" t="str">
        <x:v>S04</x:v>
      </x:c>
      <x:c r="M41" s="83" t="str">
        <x:v>Programmazione territoriale efficiente e interventi di connessione</x:v>
      </x:c>
      <x:c r="N41" s="83" t="n">
        <x:v>30</x:v>
      </x:c>
      <x:c r="O41" s="83" t="n">
        <x:v>28</x:v>
      </x:c>
      <x:c r="P41" s="83" t="str">
        <x:v>Table 7</x:v>
      </x:c>
      <x:c r="Q41" s="83" t="str">
        <x:v>Pipeline / connection request</x:v>
      </x:c>
      <x:c r="R41" s="83" t="str">
        <x:v>Direct</x:v>
      </x:c>
      <x:c r="S41" s="83" t="str">
        <x:v>A — Direct</x:v>
      </x:c>
      <x:c r="T41" s="83" t="str">
        <x:v>Exclude from installed base; use maturity filter for sensitivities.</x:v>
      </x:c>
      <x:c r="U41" s="83" t="str">
        <x:v>Connection-process status, not COD certainty.</x:v>
      </x:c>
    </x:row>
    <x:row r="42">
      <x:c r="A42" s="83" t="str">
        <x:v>HY-038</x:v>
      </x:c>
      <x:c r="B42" s="83" t="str"/>
      <x:c r="C42" s="83" t="n">
        <x:v>2024</x:v>
      </x:c>
      <x:c r="D42" s="83" t="str">
        <x:v>Connection requests at 31 Dec 2024</x:v>
      </x:c>
      <x:c r="E42" s="83" t="str">
        <x:v>Italia</x:v>
      </x:c>
      <x:c r="F42" s="83" t="str"/>
      <x:c r="G42" s="83" t="str">
        <x:v>Pumping mixed</x:v>
      </x:c>
      <x:c r="H42" s="83" t="str">
        <x:v>Connection request power — STMG fornito</x:v>
      </x:c>
      <x:c r="I42" s="197" t="n">
        <x:v>0.16</x:v>
      </x:c>
      <x:c r="J42" s="83" t="str">
        <x:v>GW</x:v>
      </x:c>
      <x:c r="K42" s="83" t="str">
        <x:v>Connection pipeline</x:v>
      </x:c>
      <x:c r="L42" s="83" t="str">
        <x:v>S04</x:v>
      </x:c>
      <x:c r="M42" s="83" t="str">
        <x:v>Programmazione territoriale efficiente e interventi di connessione</x:v>
      </x:c>
      <x:c r="N42" s="83" t="n">
        <x:v>30</x:v>
      </x:c>
      <x:c r="O42" s="83" t="n">
        <x:v>28</x:v>
      </x:c>
      <x:c r="P42" s="83" t="str">
        <x:v>Table 7</x:v>
      </x:c>
      <x:c r="Q42" s="83" t="str">
        <x:v>Pipeline / connection request</x:v>
      </x:c>
      <x:c r="R42" s="83" t="str">
        <x:v>Direct</x:v>
      </x:c>
      <x:c r="S42" s="83" t="str">
        <x:v>A — Direct</x:v>
      </x:c>
      <x:c r="T42" s="83" t="str">
        <x:v>Exclude from installed base; use maturity filter for sensitivities.</x:v>
      </x:c>
      <x:c r="U42" s="83" t="str">
        <x:v>Connection-process status, not COD certainty.</x:v>
      </x:c>
    </x:row>
    <x:row r="43">
      <x:c r="A43" s="83" t="str">
        <x:v>HY-039</x:v>
      </x:c>
      <x:c r="B43" s="83" t="str"/>
      <x:c r="C43" s="83" t="n">
        <x:v>2024</x:v>
      </x:c>
      <x:c r="D43" s="83" t="str">
        <x:v>Connection requests at 31 Dec 2024</x:v>
      </x:c>
      <x:c r="E43" s="83" t="str">
        <x:v>Italia</x:v>
      </x:c>
      <x:c r="F43" s="83" t="str"/>
      <x:c r="G43" s="83" t="str">
        <x:v>Pumping pure</x:v>
      </x:c>
      <x:c r="H43" s="83" t="str">
        <x:v>Connection request power — STMG accettata</x:v>
      </x:c>
      <x:c r="I43" s="197" t="n">
        <x:v>3.68</x:v>
      </x:c>
      <x:c r="J43" s="83" t="str">
        <x:v>GW</x:v>
      </x:c>
      <x:c r="K43" s="83" t="str">
        <x:v>Connection pipeline</x:v>
      </x:c>
      <x:c r="L43" s="83" t="str">
        <x:v>S04</x:v>
      </x:c>
      <x:c r="M43" s="83" t="str">
        <x:v>Programmazione territoriale efficiente e interventi di connessione</x:v>
      </x:c>
      <x:c r="N43" s="83" t="n">
        <x:v>30</x:v>
      </x:c>
      <x:c r="O43" s="83" t="n">
        <x:v>28</x:v>
      </x:c>
      <x:c r="P43" s="83" t="str">
        <x:v>Table 7</x:v>
      </x:c>
      <x:c r="Q43" s="83" t="str">
        <x:v>Pipeline / connection request</x:v>
      </x:c>
      <x:c r="R43" s="83" t="str">
        <x:v>Direct</x:v>
      </x:c>
      <x:c r="S43" s="83" t="str">
        <x:v>A — Direct</x:v>
      </x:c>
      <x:c r="T43" s="83" t="str">
        <x:v>Exclude from installed base; use maturity filter for sensitivities.</x:v>
      </x:c>
      <x:c r="U43" s="83" t="str">
        <x:v>Connection-process status, not COD certainty.</x:v>
      </x:c>
    </x:row>
    <x:row r="44">
      <x:c r="A44" s="83" t="str">
        <x:v>HY-040</x:v>
      </x:c>
      <x:c r="B44" s="83" t="str"/>
      <x:c r="C44" s="83" t="n">
        <x:v>2024</x:v>
      </x:c>
      <x:c r="D44" s="83" t="str">
        <x:v>Connection requests at 31 Dec 2024</x:v>
      </x:c>
      <x:c r="E44" s="83" t="str">
        <x:v>Italia</x:v>
      </x:c>
      <x:c r="F44" s="83" t="str"/>
      <x:c r="G44" s="83" t="str">
        <x:v>Pumping mixed</x:v>
      </x:c>
      <x:c r="H44" s="83" t="str">
        <x:v>Connection request power — STMG accettata</x:v>
      </x:c>
      <x:c r="I44" s="197" t="n">
        <x:v>1.24</x:v>
      </x:c>
      <x:c r="J44" s="83" t="str">
        <x:v>GW</x:v>
      </x:c>
      <x:c r="K44" s="83" t="str">
        <x:v>Connection pipeline</x:v>
      </x:c>
      <x:c r="L44" s="83" t="str">
        <x:v>S04</x:v>
      </x:c>
      <x:c r="M44" s="83" t="str">
        <x:v>Programmazione territoriale efficiente e interventi di connessione</x:v>
      </x:c>
      <x:c r="N44" s="83" t="n">
        <x:v>30</x:v>
      </x:c>
      <x:c r="O44" s="83" t="n">
        <x:v>28</x:v>
      </x:c>
      <x:c r="P44" s="83" t="str">
        <x:v>Table 7</x:v>
      </x:c>
      <x:c r="Q44" s="83" t="str">
        <x:v>Pipeline / connection request</x:v>
      </x:c>
      <x:c r="R44" s="83" t="str">
        <x:v>Direct</x:v>
      </x:c>
      <x:c r="S44" s="83" t="str">
        <x:v>A — Direct</x:v>
      </x:c>
      <x:c r="T44" s="83" t="str">
        <x:v>Exclude from installed base; use maturity filter for sensitivities.</x:v>
      </x:c>
      <x:c r="U44" s="83" t="str">
        <x:v>Connection-process status, not COD certainty.</x:v>
      </x:c>
    </x:row>
    <x:row r="45">
      <x:c r="A45" s="83" t="str">
        <x:v>HY-041</x:v>
      </x:c>
      <x:c r="B45" s="83" t="str"/>
      <x:c r="C45" s="83" t="n">
        <x:v>2024</x:v>
      </x:c>
      <x:c r="D45" s="83" t="str">
        <x:v>Connection requests at 31 Dec 2024</x:v>
      </x:c>
      <x:c r="E45" s="83" t="str">
        <x:v>Italia</x:v>
      </x:c>
      <x:c r="F45" s="83" t="str"/>
      <x:c r="G45" s="83" t="str">
        <x:v>Pumping pure</x:v>
      </x:c>
      <x:c r="H45" s="83" t="str">
        <x:v>Connection request power — Progettazione in corso</x:v>
      </x:c>
      <x:c r="I45" s="197" t="n">
        <x:v>1.76</x:v>
      </x:c>
      <x:c r="J45" s="83" t="str">
        <x:v>GW</x:v>
      </x:c>
      <x:c r="K45" s="83" t="str">
        <x:v>Connection pipeline</x:v>
      </x:c>
      <x:c r="L45" s="83" t="str">
        <x:v>S04</x:v>
      </x:c>
      <x:c r="M45" s="83" t="str">
        <x:v>Programmazione territoriale efficiente e interventi di connessione</x:v>
      </x:c>
      <x:c r="N45" s="83" t="n">
        <x:v>30</x:v>
      </x:c>
      <x:c r="O45" s="83" t="n">
        <x:v>28</x:v>
      </x:c>
      <x:c r="P45" s="83" t="str">
        <x:v>Table 7</x:v>
      </x:c>
      <x:c r="Q45" s="83" t="str">
        <x:v>Pipeline / connection request</x:v>
      </x:c>
      <x:c r="R45" s="83" t="str">
        <x:v>Direct</x:v>
      </x:c>
      <x:c r="S45" s="83" t="str">
        <x:v>A — Direct</x:v>
      </x:c>
      <x:c r="T45" s="83" t="str">
        <x:v>Exclude from installed base; use maturity filter for sensitivities.</x:v>
      </x:c>
      <x:c r="U45" s="83" t="str">
        <x:v>Connection-process status, not COD certainty.</x:v>
      </x:c>
    </x:row>
    <x:row r="46">
      <x:c r="A46" s="83" t="str">
        <x:v>HY-042</x:v>
      </x:c>
      <x:c r="B46" s="83" t="str"/>
      <x:c r="C46" s="83" t="n">
        <x:v>2024</x:v>
      </x:c>
      <x:c r="D46" s="83" t="str">
        <x:v>Connection requests at 31 Dec 2024</x:v>
      </x:c>
      <x:c r="E46" s="83" t="str">
        <x:v>Italia</x:v>
      </x:c>
      <x:c r="F46" s="83" t="str"/>
      <x:c r="G46" s="83" t="str">
        <x:v>Pumping mixed</x:v>
      </x:c>
      <x:c r="H46" s="83" t="str">
        <x:v>Connection request power — Progettazione in corso</x:v>
      </x:c>
      <x:c r="I46" s="197" t="n">
        <x:v>0</x:v>
      </x:c>
      <x:c r="J46" s="83" t="str">
        <x:v>GW</x:v>
      </x:c>
      <x:c r="K46" s="83" t="str">
        <x:v>Connection pipeline</x:v>
      </x:c>
      <x:c r="L46" s="83" t="str">
        <x:v>S04</x:v>
      </x:c>
      <x:c r="M46" s="83" t="str">
        <x:v>Programmazione territoriale efficiente e interventi di connessione</x:v>
      </x:c>
      <x:c r="N46" s="83" t="n">
        <x:v>30</x:v>
      </x:c>
      <x:c r="O46" s="83" t="n">
        <x:v>28</x:v>
      </x:c>
      <x:c r="P46" s="83" t="str">
        <x:v>Table 7</x:v>
      </x:c>
      <x:c r="Q46" s="83" t="str">
        <x:v>Pipeline / connection request</x:v>
      </x:c>
      <x:c r="R46" s="83" t="str">
        <x:v>Direct</x:v>
      </x:c>
      <x:c r="S46" s="83" t="str">
        <x:v>A — Direct</x:v>
      </x:c>
      <x:c r="T46" s="83" t="str">
        <x:v>Exclude from installed base; use maturity filter for sensitivities.</x:v>
      </x:c>
      <x:c r="U46" s="83" t="str">
        <x:v>Connection-process status, not COD certainty.</x:v>
      </x:c>
    </x:row>
    <x:row r="47">
      <x:c r="A47" s="83" t="str">
        <x:v>HY-043</x:v>
      </x:c>
      <x:c r="B47" s="83" t="str"/>
      <x:c r="C47" s="83" t="n">
        <x:v>2024</x:v>
      </x:c>
      <x:c r="D47" s="83" t="str">
        <x:v>Connection requests at 31 Dec 2024</x:v>
      </x:c>
      <x:c r="E47" s="83" t="str">
        <x:v>Italia</x:v>
      </x:c>
      <x:c r="F47" s="83" t="str"/>
      <x:c r="G47" s="83" t="str">
        <x:v>Pumping pure</x:v>
      </x:c>
      <x:c r="H47" s="83" t="str">
        <x:v>Connection request power — Progetti con nulla osta</x:v>
      </x:c>
      <x:c r="I47" s="197" t="n">
        <x:v>0.67</x:v>
      </x:c>
      <x:c r="J47" s="83" t="str">
        <x:v>GW</x:v>
      </x:c>
      <x:c r="K47" s="83" t="str">
        <x:v>Connection pipeline</x:v>
      </x:c>
      <x:c r="L47" s="83" t="str">
        <x:v>S04</x:v>
      </x:c>
      <x:c r="M47" s="83" t="str">
        <x:v>Programmazione territoriale efficiente e interventi di connessione</x:v>
      </x:c>
      <x:c r="N47" s="83" t="n">
        <x:v>30</x:v>
      </x:c>
      <x:c r="O47" s="83" t="n">
        <x:v>28</x:v>
      </x:c>
      <x:c r="P47" s="83" t="str">
        <x:v>Table 7</x:v>
      </x:c>
      <x:c r="Q47" s="83" t="str">
        <x:v>Pipeline / connection request</x:v>
      </x:c>
      <x:c r="R47" s="83" t="str">
        <x:v>Direct</x:v>
      </x:c>
      <x:c r="S47" s="83" t="str">
        <x:v>A — Direct</x:v>
      </x:c>
      <x:c r="T47" s="83" t="str">
        <x:v>Exclude from installed base; use maturity filter for sensitivities.</x:v>
      </x:c>
      <x:c r="U47" s="83" t="str">
        <x:v>Connection-process status, not COD certainty.</x:v>
      </x:c>
    </x:row>
    <x:row r="48">
      <x:c r="A48" s="83" t="str">
        <x:v>HY-044</x:v>
      </x:c>
      <x:c r="B48" s="83" t="str"/>
      <x:c r="C48" s="83" t="n">
        <x:v>2024</x:v>
      </x:c>
      <x:c r="D48" s="83" t="str">
        <x:v>Connection requests at 31 Dec 2024</x:v>
      </x:c>
      <x:c r="E48" s="83" t="str">
        <x:v>Italia</x:v>
      </x:c>
      <x:c r="F48" s="83" t="str"/>
      <x:c r="G48" s="83" t="str">
        <x:v>Pumping mixed</x:v>
      </x:c>
      <x:c r="H48" s="83" t="str">
        <x:v>Connection request power — Progetti con nulla osta</x:v>
      </x:c>
      <x:c r="I48" s="197" t="n">
        <x:v>0.55</x:v>
      </x:c>
      <x:c r="J48" s="83" t="str">
        <x:v>GW</x:v>
      </x:c>
      <x:c r="K48" s="83" t="str">
        <x:v>Connection pipeline</x:v>
      </x:c>
      <x:c r="L48" s="83" t="str">
        <x:v>S04</x:v>
      </x:c>
      <x:c r="M48" s="83" t="str">
        <x:v>Programmazione territoriale efficiente e interventi di connessione</x:v>
      </x:c>
      <x:c r="N48" s="83" t="n">
        <x:v>30</x:v>
      </x:c>
      <x:c r="O48" s="83" t="n">
        <x:v>28</x:v>
      </x:c>
      <x:c r="P48" s="83" t="str">
        <x:v>Table 7</x:v>
      </x:c>
      <x:c r="Q48" s="83" t="str">
        <x:v>Pipeline / connection request</x:v>
      </x:c>
      <x:c r="R48" s="83" t="str">
        <x:v>Direct</x:v>
      </x:c>
      <x:c r="S48" s="83" t="str">
        <x:v>A — Direct</x:v>
      </x:c>
      <x:c r="T48" s="83" t="str">
        <x:v>Exclude from installed base; use maturity filter for sensitivities.</x:v>
      </x:c>
      <x:c r="U48" s="83" t="str">
        <x:v>Connection-process status, not COD certainty.</x:v>
      </x:c>
    </x:row>
    <x:row r="49">
      <x:c r="A49" s="83" t="str">
        <x:v>HY-045</x:v>
      </x:c>
      <x:c r="B49" s="83" t="str"/>
      <x:c r="C49" s="83" t="n">
        <x:v>2024</x:v>
      </x:c>
      <x:c r="D49" s="83" t="str">
        <x:v>Connection requests at 31 Dec 2024</x:v>
      </x:c>
      <x:c r="E49" s="83" t="str">
        <x:v>Italia</x:v>
      </x:c>
      <x:c r="F49" s="83" t="str"/>
      <x:c r="G49" s="83" t="str">
        <x:v>Pumping pure</x:v>
      </x:c>
      <x:c r="H49" s="83" t="str">
        <x:v>Connection request power — STMD/Contratto</x:v>
      </x:c>
      <x:c r="I49" s="197" t="n">
        <x:v>0</x:v>
      </x:c>
      <x:c r="J49" s="83" t="str">
        <x:v>GW</x:v>
      </x:c>
      <x:c r="K49" s="83" t="str">
        <x:v>Connection pipeline</x:v>
      </x:c>
      <x:c r="L49" s="83" t="str">
        <x:v>S04</x:v>
      </x:c>
      <x:c r="M49" s="83" t="str">
        <x:v>Programmazione territoriale efficiente e interventi di connessione</x:v>
      </x:c>
      <x:c r="N49" s="83" t="n">
        <x:v>30</x:v>
      </x:c>
      <x:c r="O49" s="83" t="n">
        <x:v>28</x:v>
      </x:c>
      <x:c r="P49" s="83" t="str">
        <x:v>Table 7</x:v>
      </x:c>
      <x:c r="Q49" s="83" t="str">
        <x:v>Pipeline / connection request</x:v>
      </x:c>
      <x:c r="R49" s="83" t="str">
        <x:v>Direct</x:v>
      </x:c>
      <x:c r="S49" s="83" t="str">
        <x:v>A — Direct</x:v>
      </x:c>
      <x:c r="T49" s="83" t="str">
        <x:v>Exclude from installed base; use maturity filter for sensitivities.</x:v>
      </x:c>
      <x:c r="U49" s="83" t="str">
        <x:v>Connection-process status, not COD certainty.</x:v>
      </x:c>
    </x:row>
    <x:row r="50">
      <x:c r="A50" s="83" t="str">
        <x:v>HY-046</x:v>
      </x:c>
      <x:c r="B50" s="83" t="str"/>
      <x:c r="C50" s="83" t="n">
        <x:v>2024</x:v>
      </x:c>
      <x:c r="D50" s="83" t="str">
        <x:v>Connection requests at 31 Dec 2024</x:v>
      </x:c>
      <x:c r="E50" s="83" t="str">
        <x:v>Italia</x:v>
      </x:c>
      <x:c r="F50" s="83" t="str"/>
      <x:c r="G50" s="83" t="str">
        <x:v>Pumping mixed</x:v>
      </x:c>
      <x:c r="H50" s="83" t="str">
        <x:v>Connection request power — STMD/Contratto</x:v>
      </x:c>
      <x:c r="I50" s="197" t="n">
        <x:v>0</x:v>
      </x:c>
      <x:c r="J50" s="83" t="str">
        <x:v>GW</x:v>
      </x:c>
      <x:c r="K50" s="83" t="str">
        <x:v>Connection pipeline</x:v>
      </x:c>
      <x:c r="L50" s="83" t="str">
        <x:v>S04</x:v>
      </x:c>
      <x:c r="M50" s="83" t="str">
        <x:v>Programmazione territoriale efficiente e interventi di connessione</x:v>
      </x:c>
      <x:c r="N50" s="83" t="n">
        <x:v>30</x:v>
      </x:c>
      <x:c r="O50" s="83" t="n">
        <x:v>28</x:v>
      </x:c>
      <x:c r="P50" s="83" t="str">
        <x:v>Table 7</x:v>
      </x:c>
      <x:c r="Q50" s="83" t="str">
        <x:v>Pipeline / connection request</x:v>
      </x:c>
      <x:c r="R50" s="83" t="str">
        <x:v>Direct</x:v>
      </x:c>
      <x:c r="S50" s="83" t="str">
        <x:v>A — Direct</x:v>
      </x:c>
      <x:c r="T50" s="83" t="str">
        <x:v>Exclude from installed base; use maturity filter for sensitivities.</x:v>
      </x:c>
      <x:c r="U50" s="83" t="str">
        <x:v>Connection-process status, not COD certainty.</x:v>
      </x:c>
    </x:row>
    <x:row r="51">
      <x:c r="A51" s="83" t="str">
        <x:v>HY-047</x:v>
      </x:c>
      <x:c r="B51" s="83" t="str"/>
      <x:c r="C51" s="83" t="n">
        <x:v>2024</x:v>
      </x:c>
      <x:c r="D51" s="83" t="str">
        <x:v>Connection requests at 31 Dec 2024</x:v>
      </x:c>
      <x:c r="E51" s="83" t="str">
        <x:v>Italia</x:v>
      </x:c>
      <x:c r="F51" s="83" t="str">
        <x:v>Nord</x:v>
      </x:c>
      <x:c r="G51" s="83" t="str">
        <x:v>Pumping mixed</x:v>
      </x:c>
      <x:c r="H51" s="83" t="str">
        <x:v>Connection request power by market zone</x:v>
      </x:c>
      <x:c r="I51" s="197" t="n">
        <x:v>0</x:v>
      </x:c>
      <x:c r="J51" s="83" t="str">
        <x:v>GW</x:v>
      </x:c>
      <x:c r="K51" s="83" t="str">
        <x:v>Connection pipeline</x:v>
      </x:c>
      <x:c r="L51" s="83" t="str">
        <x:v>S04</x:v>
      </x:c>
      <x:c r="M51" s="83" t="str">
        <x:v>Programmazione territoriale efficiente e interventi di connessione</x:v>
      </x:c>
      <x:c r="N51" s="83" t="n">
        <x:v>30</x:v>
      </x:c>
      <x:c r="O51" s="83" t="n">
        <x:v>28</x:v>
      </x:c>
      <x:c r="P51" s="83" t="str">
        <x:v>Table 8</x:v>
      </x:c>
      <x:c r="Q51" s="83" t="str">
        <x:v>Pipeline / connection request</x:v>
      </x:c>
      <x:c r="R51" s="83" t="str">
        <x:v>Direct</x:v>
      </x:c>
      <x:c r="S51" s="83" t="str">
        <x:v>A — Direct</x:v>
      </x:c>
      <x:c r="T51" s="83" t="str">
        <x:v>Siting/maturity context only.</x:v>
      </x:c>
      <x:c r="U51" s="83" t="str">
        <x:v>Pure and mixed pumping categories as defined by source.</x:v>
      </x:c>
    </x:row>
    <x:row r="52">
      <x:c r="A52" s="83" t="str">
        <x:v>HY-048</x:v>
      </x:c>
      <x:c r="B52" s="83" t="str"/>
      <x:c r="C52" s="83" t="n">
        <x:v>2024</x:v>
      </x:c>
      <x:c r="D52" s="83" t="str">
        <x:v>Connection requests at 31 Dec 2024</x:v>
      </x:c>
      <x:c r="E52" s="83" t="str">
        <x:v>Italia</x:v>
      </x:c>
      <x:c r="F52" s="83" t="str">
        <x:v>Nord</x:v>
      </x:c>
      <x:c r="G52" s="83" t="str">
        <x:v>Pumping pure</x:v>
      </x:c>
      <x:c r="H52" s="83" t="str">
        <x:v>Connection request power by market zone</x:v>
      </x:c>
      <x:c r="I52" s="197" t="n">
        <x:v>1.1</x:v>
      </x:c>
      <x:c r="J52" s="83" t="str">
        <x:v>GW</x:v>
      </x:c>
      <x:c r="K52" s="83" t="str">
        <x:v>Connection pipeline</x:v>
      </x:c>
      <x:c r="L52" s="83" t="str">
        <x:v>S04</x:v>
      </x:c>
      <x:c r="M52" s="83" t="str">
        <x:v>Programmazione territoriale efficiente e interventi di connessione</x:v>
      </x:c>
      <x:c r="N52" s="83" t="n">
        <x:v>30</x:v>
      </x:c>
      <x:c r="O52" s="83" t="n">
        <x:v>28</x:v>
      </x:c>
      <x:c r="P52" s="83" t="str">
        <x:v>Table 8</x:v>
      </x:c>
      <x:c r="Q52" s="83" t="str">
        <x:v>Pipeline / connection request</x:v>
      </x:c>
      <x:c r="R52" s="83" t="str">
        <x:v>Direct</x:v>
      </x:c>
      <x:c r="S52" s="83" t="str">
        <x:v>A — Direct</x:v>
      </x:c>
      <x:c r="T52" s="83" t="str">
        <x:v>Siting/maturity context only.</x:v>
      </x:c>
      <x:c r="U52" s="83" t="str">
        <x:v>Pure and mixed pumping categories as defined by source.</x:v>
      </x:c>
    </x:row>
    <x:row r="53">
      <x:c r="A53" s="83" t="str">
        <x:v>HY-049</x:v>
      </x:c>
      <x:c r="B53" s="83" t="str"/>
      <x:c r="C53" s="83" t="n">
        <x:v>2024</x:v>
      </x:c>
      <x:c r="D53" s="83" t="str">
        <x:v>Connection requests at 31 Dec 2024</x:v>
      </x:c>
      <x:c r="E53" s="83" t="str">
        <x:v>Italia</x:v>
      </x:c>
      <x:c r="F53" s="83" t="str">
        <x:v>Centro Nord</x:v>
      </x:c>
      <x:c r="G53" s="83" t="str">
        <x:v>Pumping mixed</x:v>
      </x:c>
      <x:c r="H53" s="83" t="str">
        <x:v>Connection request power by market zone</x:v>
      </x:c>
      <x:c r="I53" s="197" t="n">
        <x:v>0.04</x:v>
      </x:c>
      <x:c r="J53" s="83" t="str">
        <x:v>GW</x:v>
      </x:c>
      <x:c r="K53" s="83" t="str">
        <x:v>Connection pipeline</x:v>
      </x:c>
      <x:c r="L53" s="83" t="str">
        <x:v>S04</x:v>
      </x:c>
      <x:c r="M53" s="83" t="str">
        <x:v>Programmazione territoriale efficiente e interventi di connessione</x:v>
      </x:c>
      <x:c r="N53" s="83" t="n">
        <x:v>30</x:v>
      </x:c>
      <x:c r="O53" s="83" t="n">
        <x:v>28</x:v>
      </x:c>
      <x:c r="P53" s="83" t="str">
        <x:v>Table 8</x:v>
      </x:c>
      <x:c r="Q53" s="83" t="str">
        <x:v>Pipeline / connection request</x:v>
      </x:c>
      <x:c r="R53" s="83" t="str">
        <x:v>Direct</x:v>
      </x:c>
      <x:c r="S53" s="83" t="str">
        <x:v>A — Direct</x:v>
      </x:c>
      <x:c r="T53" s="83" t="str">
        <x:v>Siting/maturity context only.</x:v>
      </x:c>
      <x:c r="U53" s="83" t="str">
        <x:v>Pure and mixed pumping categories as defined by source.</x:v>
      </x:c>
    </x:row>
    <x:row r="54">
      <x:c r="A54" s="83" t="str">
        <x:v>HY-050</x:v>
      </x:c>
      <x:c r="B54" s="83" t="str"/>
      <x:c r="C54" s="83" t="n">
        <x:v>2024</x:v>
      </x:c>
      <x:c r="D54" s="83" t="str">
        <x:v>Connection requests at 31 Dec 2024</x:v>
      </x:c>
      <x:c r="E54" s="83" t="str">
        <x:v>Italia</x:v>
      </x:c>
      <x:c r="F54" s="83" t="str">
        <x:v>Centro Nord</x:v>
      </x:c>
      <x:c r="G54" s="83" t="str">
        <x:v>Pumping pure</x:v>
      </x:c>
      <x:c r="H54" s="83" t="str">
        <x:v>Connection request power by market zone</x:v>
      </x:c>
      <x:c r="I54" s="197" t="n">
        <x:v>0</x:v>
      </x:c>
      <x:c r="J54" s="83" t="str">
        <x:v>GW</x:v>
      </x:c>
      <x:c r="K54" s="83" t="str">
        <x:v>Connection pipeline</x:v>
      </x:c>
      <x:c r="L54" s="83" t="str">
        <x:v>S04</x:v>
      </x:c>
      <x:c r="M54" s="83" t="str">
        <x:v>Programmazione territoriale efficiente e interventi di connessione</x:v>
      </x:c>
      <x:c r="N54" s="83" t="n">
        <x:v>30</x:v>
      </x:c>
      <x:c r="O54" s="83" t="n">
        <x:v>28</x:v>
      </x:c>
      <x:c r="P54" s="83" t="str">
        <x:v>Table 8</x:v>
      </x:c>
      <x:c r="Q54" s="83" t="str">
        <x:v>Pipeline / connection request</x:v>
      </x:c>
      <x:c r="R54" s="83" t="str">
        <x:v>Direct</x:v>
      </x:c>
      <x:c r="S54" s="83" t="str">
        <x:v>A — Direct</x:v>
      </x:c>
      <x:c r="T54" s="83" t="str">
        <x:v>Siting/maturity context only.</x:v>
      </x:c>
      <x:c r="U54" s="83" t="str">
        <x:v>Pure and mixed pumping categories as defined by source.</x:v>
      </x:c>
    </x:row>
    <x:row r="55">
      <x:c r="A55" s="83" t="str">
        <x:v>HY-051</x:v>
      </x:c>
      <x:c r="B55" s="83" t="str"/>
      <x:c r="C55" s="83" t="n">
        <x:v>2024</x:v>
      </x:c>
      <x:c r="D55" s="83" t="str">
        <x:v>Connection requests at 31 Dec 2024</x:v>
      </x:c>
      <x:c r="E55" s="83" t="str">
        <x:v>Italia</x:v>
      </x:c>
      <x:c r="F55" s="83" t="str">
        <x:v>Centro Sud</x:v>
      </x:c>
      <x:c r="G55" s="83" t="str">
        <x:v>Pumping mixed</x:v>
      </x:c>
      <x:c r="H55" s="83" t="str">
        <x:v>Connection request power by market zone</x:v>
      </x:c>
      <x:c r="I55" s="197" t="n">
        <x:v>1.27</x:v>
      </x:c>
      <x:c r="J55" s="83" t="str">
        <x:v>GW</x:v>
      </x:c>
      <x:c r="K55" s="83" t="str">
        <x:v>Connection pipeline</x:v>
      </x:c>
      <x:c r="L55" s="83" t="str">
        <x:v>S04</x:v>
      </x:c>
      <x:c r="M55" s="83" t="str">
        <x:v>Programmazione territoriale efficiente e interventi di connessione</x:v>
      </x:c>
      <x:c r="N55" s="83" t="n">
        <x:v>30</x:v>
      </x:c>
      <x:c r="O55" s="83" t="n">
        <x:v>28</x:v>
      </x:c>
      <x:c r="P55" s="83" t="str">
        <x:v>Table 8</x:v>
      </x:c>
      <x:c r="Q55" s="83" t="str">
        <x:v>Pipeline / connection request</x:v>
      </x:c>
      <x:c r="R55" s="83" t="str">
        <x:v>Direct</x:v>
      </x:c>
      <x:c r="S55" s="83" t="str">
        <x:v>A — Direct</x:v>
      </x:c>
      <x:c r="T55" s="83" t="str">
        <x:v>Siting/maturity context only.</x:v>
      </x:c>
      <x:c r="U55" s="83" t="str">
        <x:v>Pure and mixed pumping categories as defined by source.</x:v>
      </x:c>
    </x:row>
    <x:row r="56">
      <x:c r="A56" s="83" t="str">
        <x:v>HY-052</x:v>
      </x:c>
      <x:c r="B56" s="83" t="str"/>
      <x:c r="C56" s="83" t="n">
        <x:v>2024</x:v>
      </x:c>
      <x:c r="D56" s="83" t="str">
        <x:v>Connection requests at 31 Dec 2024</x:v>
      </x:c>
      <x:c r="E56" s="83" t="str">
        <x:v>Italia</x:v>
      </x:c>
      <x:c r="F56" s="83" t="str">
        <x:v>Centro Sud</x:v>
      </x:c>
      <x:c r="G56" s="83" t="str">
        <x:v>Pumping pure</x:v>
      </x:c>
      <x:c r="H56" s="83" t="str">
        <x:v>Connection request power by market zone</x:v>
      </x:c>
      <x:c r="I56" s="197" t="n">
        <x:v>0</x:v>
      </x:c>
      <x:c r="J56" s="83" t="str">
        <x:v>GW</x:v>
      </x:c>
      <x:c r="K56" s="83" t="str">
        <x:v>Connection pipeline</x:v>
      </x:c>
      <x:c r="L56" s="83" t="str">
        <x:v>S04</x:v>
      </x:c>
      <x:c r="M56" s="83" t="str">
        <x:v>Programmazione territoriale efficiente e interventi di connessione</x:v>
      </x:c>
      <x:c r="N56" s="83" t="n">
        <x:v>30</x:v>
      </x:c>
      <x:c r="O56" s="83" t="n">
        <x:v>28</x:v>
      </x:c>
      <x:c r="P56" s="83" t="str">
        <x:v>Table 8</x:v>
      </x:c>
      <x:c r="Q56" s="83" t="str">
        <x:v>Pipeline / connection request</x:v>
      </x:c>
      <x:c r="R56" s="83" t="str">
        <x:v>Direct</x:v>
      </x:c>
      <x:c r="S56" s="83" t="str">
        <x:v>A — Direct</x:v>
      </x:c>
      <x:c r="T56" s="83" t="str">
        <x:v>Siting/maturity context only.</x:v>
      </x:c>
      <x:c r="U56" s="83" t="str">
        <x:v>Pure and mixed pumping categories as defined by source.</x:v>
      </x:c>
    </x:row>
    <x:row r="57">
      <x:c r="A57" s="83" t="str">
        <x:v>HY-053</x:v>
      </x:c>
      <x:c r="B57" s="83" t="str"/>
      <x:c r="C57" s="83" t="n">
        <x:v>2024</x:v>
      </x:c>
      <x:c r="D57" s="83" t="str">
        <x:v>Connection requests at 31 Dec 2024</x:v>
      </x:c>
      <x:c r="E57" s="83" t="str">
        <x:v>Italia</x:v>
      </x:c>
      <x:c r="F57" s="83" t="str">
        <x:v>Sud</x:v>
      </x:c>
      <x:c r="G57" s="83" t="str">
        <x:v>Pumping mixed</x:v>
      </x:c>
      <x:c r="H57" s="83" t="str">
        <x:v>Connection request power by market zone</x:v>
      </x:c>
      <x:c r="I57" s="197" t="n">
        <x:v>0.16</x:v>
      </x:c>
      <x:c r="J57" s="83" t="str">
        <x:v>GW</x:v>
      </x:c>
      <x:c r="K57" s="83" t="str">
        <x:v>Connection pipeline</x:v>
      </x:c>
      <x:c r="L57" s="83" t="str">
        <x:v>S04</x:v>
      </x:c>
      <x:c r="M57" s="83" t="str">
        <x:v>Programmazione territoriale efficiente e interventi di connessione</x:v>
      </x:c>
      <x:c r="N57" s="83" t="n">
        <x:v>30</x:v>
      </x:c>
      <x:c r="O57" s="83" t="n">
        <x:v>28</x:v>
      </x:c>
      <x:c r="P57" s="83" t="str">
        <x:v>Table 8</x:v>
      </x:c>
      <x:c r="Q57" s="83" t="str">
        <x:v>Pipeline / connection request</x:v>
      </x:c>
      <x:c r="R57" s="83" t="str">
        <x:v>Direct</x:v>
      </x:c>
      <x:c r="S57" s="83" t="str">
        <x:v>A — Direct</x:v>
      </x:c>
      <x:c r="T57" s="83" t="str">
        <x:v>Siting/maturity context only.</x:v>
      </x:c>
      <x:c r="U57" s="83" t="str">
        <x:v>Pure and mixed pumping categories as defined by source.</x:v>
      </x:c>
    </x:row>
    <x:row r="58">
      <x:c r="A58" s="83" t="str">
        <x:v>HY-054</x:v>
      </x:c>
      <x:c r="B58" s="83" t="str"/>
      <x:c r="C58" s="83" t="n">
        <x:v>2024</x:v>
      </x:c>
      <x:c r="D58" s="83" t="str">
        <x:v>Connection requests at 31 Dec 2024</x:v>
      </x:c>
      <x:c r="E58" s="83" t="str">
        <x:v>Italia</x:v>
      </x:c>
      <x:c r="F58" s="83" t="str">
        <x:v>Sud</x:v>
      </x:c>
      <x:c r="G58" s="83" t="str">
        <x:v>Pumping pure</x:v>
      </x:c>
      <x:c r="H58" s="83" t="str">
        <x:v>Connection request power by market zone</x:v>
      </x:c>
      <x:c r="I58" s="197" t="n">
        <x:v>2.35</x:v>
      </x:c>
      <x:c r="J58" s="83" t="str">
        <x:v>GW</x:v>
      </x:c>
      <x:c r="K58" s="83" t="str">
        <x:v>Connection pipeline</x:v>
      </x:c>
      <x:c r="L58" s="83" t="str">
        <x:v>S04</x:v>
      </x:c>
      <x:c r="M58" s="83" t="str">
        <x:v>Programmazione territoriale efficiente e interventi di connessione</x:v>
      </x:c>
      <x:c r="N58" s="83" t="n">
        <x:v>30</x:v>
      </x:c>
      <x:c r="O58" s="83" t="n">
        <x:v>28</x:v>
      </x:c>
      <x:c r="P58" s="83" t="str">
        <x:v>Table 8</x:v>
      </x:c>
      <x:c r="Q58" s="83" t="str">
        <x:v>Pipeline / connection request</x:v>
      </x:c>
      <x:c r="R58" s="83" t="str">
        <x:v>Direct</x:v>
      </x:c>
      <x:c r="S58" s="83" t="str">
        <x:v>A — Direct</x:v>
      </x:c>
      <x:c r="T58" s="83" t="str">
        <x:v>Siting/maturity context only.</x:v>
      </x:c>
      <x:c r="U58" s="83" t="str">
        <x:v>Pure and mixed pumping categories as defined by source.</x:v>
      </x:c>
    </x:row>
    <x:row r="59">
      <x:c r="A59" s="83" t="str">
        <x:v>HY-055</x:v>
      </x:c>
      <x:c r="B59" s="83" t="str"/>
      <x:c r="C59" s="83" t="n">
        <x:v>2024</x:v>
      </x:c>
      <x:c r="D59" s="83" t="str">
        <x:v>Connection requests at 31 Dec 2024</x:v>
      </x:c>
      <x:c r="E59" s="83" t="str">
        <x:v>Italia</x:v>
      </x:c>
      <x:c r="F59" s="83" t="str">
        <x:v>Calabria</x:v>
      </x:c>
      <x:c r="G59" s="83" t="str">
        <x:v>Pumping mixed</x:v>
      </x:c>
      <x:c r="H59" s="83" t="str">
        <x:v>Connection request power by market zone</x:v>
      </x:c>
      <x:c r="I59" s="197" t="n">
        <x:v>0.15</x:v>
      </x:c>
      <x:c r="J59" s="83" t="str">
        <x:v>GW</x:v>
      </x:c>
      <x:c r="K59" s="83" t="str">
        <x:v>Connection pipeline</x:v>
      </x:c>
      <x:c r="L59" s="83" t="str">
        <x:v>S04</x:v>
      </x:c>
      <x:c r="M59" s="83" t="str">
        <x:v>Programmazione territoriale efficiente e interventi di connessione</x:v>
      </x:c>
      <x:c r="N59" s="83" t="n">
        <x:v>30</x:v>
      </x:c>
      <x:c r="O59" s="83" t="n">
        <x:v>28</x:v>
      </x:c>
      <x:c r="P59" s="83" t="str">
        <x:v>Table 8</x:v>
      </x:c>
      <x:c r="Q59" s="83" t="str">
        <x:v>Pipeline / connection request</x:v>
      </x:c>
      <x:c r="R59" s="83" t="str">
        <x:v>Direct</x:v>
      </x:c>
      <x:c r="S59" s="83" t="str">
        <x:v>A — Direct</x:v>
      </x:c>
      <x:c r="T59" s="83" t="str">
        <x:v>Siting/maturity context only.</x:v>
      </x:c>
      <x:c r="U59" s="83" t="str">
        <x:v>Pure and mixed pumping categories as defined by source.</x:v>
      </x:c>
    </x:row>
    <x:row r="60">
      <x:c r="A60" s="83" t="str">
        <x:v>HY-056</x:v>
      </x:c>
      <x:c r="B60" s="83" t="str"/>
      <x:c r="C60" s="83" t="n">
        <x:v>2024</x:v>
      </x:c>
      <x:c r="D60" s="83" t="str">
        <x:v>Connection requests at 31 Dec 2024</x:v>
      </x:c>
      <x:c r="E60" s="83" t="str">
        <x:v>Italia</x:v>
      </x:c>
      <x:c r="F60" s="83" t="str">
        <x:v>Calabria</x:v>
      </x:c>
      <x:c r="G60" s="83" t="str">
        <x:v>Pumping pure</x:v>
      </x:c>
      <x:c r="H60" s="83" t="str">
        <x:v>Connection request power by market zone</x:v>
      </x:c>
      <x:c r="I60" s="197" t="n">
        <x:v>0.56</x:v>
      </x:c>
      <x:c r="J60" s="83" t="str">
        <x:v>GW</x:v>
      </x:c>
      <x:c r="K60" s="83" t="str">
        <x:v>Connection pipeline</x:v>
      </x:c>
      <x:c r="L60" s="83" t="str">
        <x:v>S04</x:v>
      </x:c>
      <x:c r="M60" s="83" t="str">
        <x:v>Programmazione territoriale efficiente e interventi di connessione</x:v>
      </x:c>
      <x:c r="N60" s="83" t="n">
        <x:v>30</x:v>
      </x:c>
      <x:c r="O60" s="83" t="n">
        <x:v>28</x:v>
      </x:c>
      <x:c r="P60" s="83" t="str">
        <x:v>Table 8</x:v>
      </x:c>
      <x:c r="Q60" s="83" t="str">
        <x:v>Pipeline / connection request</x:v>
      </x:c>
      <x:c r="R60" s="83" t="str">
        <x:v>Direct</x:v>
      </x:c>
      <x:c r="S60" s="83" t="str">
        <x:v>A — Direct</x:v>
      </x:c>
      <x:c r="T60" s="83" t="str">
        <x:v>Siting/maturity context only.</x:v>
      </x:c>
      <x:c r="U60" s="83" t="str">
        <x:v>Pure and mixed pumping categories as defined by source.</x:v>
      </x:c>
    </x:row>
    <x:row r="61">
      <x:c r="A61" s="83" t="str">
        <x:v>HY-057</x:v>
      </x:c>
      <x:c r="B61" s="83" t="str"/>
      <x:c r="C61" s="83" t="n">
        <x:v>2024</x:v>
      </x:c>
      <x:c r="D61" s="83" t="str">
        <x:v>Connection requests at 31 Dec 2024</x:v>
      </x:c>
      <x:c r="E61" s="83" t="str">
        <x:v>Italia</x:v>
      </x:c>
      <x:c r="F61" s="83" t="str">
        <x:v>Sicilia</x:v>
      </x:c>
      <x:c r="G61" s="83" t="str">
        <x:v>Pumping mixed</x:v>
      </x:c>
      <x:c r="H61" s="83" t="str">
        <x:v>Connection request power by market zone</x:v>
      </x:c>
      <x:c r="I61" s="197" t="n">
        <x:v>0.33</x:v>
      </x:c>
      <x:c r="J61" s="83" t="str">
        <x:v>GW</x:v>
      </x:c>
      <x:c r="K61" s="83" t="str">
        <x:v>Connection pipeline</x:v>
      </x:c>
      <x:c r="L61" s="83" t="str">
        <x:v>S04</x:v>
      </x:c>
      <x:c r="M61" s="83" t="str">
        <x:v>Programmazione territoriale efficiente e interventi di connessione</x:v>
      </x:c>
      <x:c r="N61" s="83" t="n">
        <x:v>30</x:v>
      </x:c>
      <x:c r="O61" s="83" t="n">
        <x:v>28</x:v>
      </x:c>
      <x:c r="P61" s="83" t="str">
        <x:v>Table 8</x:v>
      </x:c>
      <x:c r="Q61" s="83" t="str">
        <x:v>Pipeline / connection request</x:v>
      </x:c>
      <x:c r="R61" s="83" t="str">
        <x:v>Direct</x:v>
      </x:c>
      <x:c r="S61" s="83" t="str">
        <x:v>A — Direct</x:v>
      </x:c>
      <x:c r="T61" s="83" t="str">
        <x:v>Siting/maturity context only.</x:v>
      </x:c>
      <x:c r="U61" s="83" t="str">
        <x:v>Pure and mixed pumping categories as defined by source.</x:v>
      </x:c>
    </x:row>
    <x:row r="62">
      <x:c r="A62" s="83" t="str">
        <x:v>HY-058</x:v>
      </x:c>
      <x:c r="B62" s="83" t="str"/>
      <x:c r="C62" s="83" t="n">
        <x:v>2024</x:v>
      </x:c>
      <x:c r="D62" s="83" t="str">
        <x:v>Connection requests at 31 Dec 2024</x:v>
      </x:c>
      <x:c r="E62" s="83" t="str">
        <x:v>Italia</x:v>
      </x:c>
      <x:c r="F62" s="83" t="str">
        <x:v>Sicilia</x:v>
      </x:c>
      <x:c r="G62" s="83" t="str">
        <x:v>Pumping pure</x:v>
      </x:c>
      <x:c r="H62" s="83" t="str">
        <x:v>Connection request power by market zone</x:v>
      </x:c>
      <x:c r="I62" s="197" t="n">
        <x:v>1.87</x:v>
      </x:c>
      <x:c r="J62" s="83" t="str">
        <x:v>GW</x:v>
      </x:c>
      <x:c r="K62" s="83" t="str">
        <x:v>Connection pipeline</x:v>
      </x:c>
      <x:c r="L62" s="83" t="str">
        <x:v>S04</x:v>
      </x:c>
      <x:c r="M62" s="83" t="str">
        <x:v>Programmazione territoriale efficiente e interventi di connessione</x:v>
      </x:c>
      <x:c r="N62" s="83" t="n">
        <x:v>30</x:v>
      </x:c>
      <x:c r="O62" s="83" t="n">
        <x:v>28</x:v>
      </x:c>
      <x:c r="P62" s="83" t="str">
        <x:v>Table 8</x:v>
      </x:c>
      <x:c r="Q62" s="83" t="str">
        <x:v>Pipeline / connection request</x:v>
      </x:c>
      <x:c r="R62" s="83" t="str">
        <x:v>Direct</x:v>
      </x:c>
      <x:c r="S62" s="83" t="str">
        <x:v>A — Direct</x:v>
      </x:c>
      <x:c r="T62" s="83" t="str">
        <x:v>Siting/maturity context only.</x:v>
      </x:c>
      <x:c r="U62" s="83" t="str">
        <x:v>Pure and mixed pumping categories as defined by source.</x:v>
      </x:c>
    </x:row>
    <x:row r="63">
      <x:c r="A63" s="83" t="str">
        <x:v>HY-059</x:v>
      </x:c>
      <x:c r="B63" s="83" t="str"/>
      <x:c r="C63" s="83" t="n">
        <x:v>2024</x:v>
      </x:c>
      <x:c r="D63" s="83" t="str">
        <x:v>Connection requests at 31 Dec 2024</x:v>
      </x:c>
      <x:c r="E63" s="83" t="str">
        <x:v>Italia</x:v>
      </x:c>
      <x:c r="F63" s="83" t="str">
        <x:v>Sardegna</x:v>
      </x:c>
      <x:c r="G63" s="83" t="str">
        <x:v>Pumping mixed</x:v>
      </x:c>
      <x:c r="H63" s="83" t="str">
        <x:v>Connection request power by market zone</x:v>
      </x:c>
      <x:c r="I63" s="197" t="n">
        <x:v>0</x:v>
      </x:c>
      <x:c r="J63" s="83" t="str">
        <x:v>GW</x:v>
      </x:c>
      <x:c r="K63" s="83" t="str">
        <x:v>Connection pipeline</x:v>
      </x:c>
      <x:c r="L63" s="83" t="str">
        <x:v>S04</x:v>
      </x:c>
      <x:c r="M63" s="83" t="str">
        <x:v>Programmazione territoriale efficiente e interventi di connessione</x:v>
      </x:c>
      <x:c r="N63" s="83" t="n">
        <x:v>30</x:v>
      </x:c>
      <x:c r="O63" s="83" t="n">
        <x:v>28</x:v>
      </x:c>
      <x:c r="P63" s="83" t="str">
        <x:v>Table 8</x:v>
      </x:c>
      <x:c r="Q63" s="83" t="str">
        <x:v>Pipeline / connection request</x:v>
      </x:c>
      <x:c r="R63" s="83" t="str">
        <x:v>Direct</x:v>
      </x:c>
      <x:c r="S63" s="83" t="str">
        <x:v>A — Direct</x:v>
      </x:c>
      <x:c r="T63" s="83" t="str">
        <x:v>Siting/maturity context only.</x:v>
      </x:c>
      <x:c r="U63" s="83" t="str">
        <x:v>Pure and mixed pumping categories as defined by source.</x:v>
      </x:c>
    </x:row>
    <x:row r="64">
      <x:c r="A64" s="83" t="str">
        <x:v>HY-060</x:v>
      </x:c>
      <x:c r="B64" s="83" t="str"/>
      <x:c r="C64" s="83" t="n">
        <x:v>2024</x:v>
      </x:c>
      <x:c r="D64" s="83" t="str">
        <x:v>Connection requests at 31 Dec 2024</x:v>
      </x:c>
      <x:c r="E64" s="83" t="str">
        <x:v>Italia</x:v>
      </x:c>
      <x:c r="F64" s="83" t="str">
        <x:v>Sardegna</x:v>
      </x:c>
      <x:c r="G64" s="83" t="str">
        <x:v>Pumping pure</x:v>
      </x:c>
      <x:c r="H64" s="83" t="str">
        <x:v>Connection request power by market zone</x:v>
      </x:c>
      <x:c r="I64" s="197" t="n">
        <x:v>1.3</x:v>
      </x:c>
      <x:c r="J64" s="83" t="str">
        <x:v>GW</x:v>
      </x:c>
      <x:c r="K64" s="83" t="str">
        <x:v>Connection pipeline</x:v>
      </x:c>
      <x:c r="L64" s="83" t="str">
        <x:v>S04</x:v>
      </x:c>
      <x:c r="M64" s="83" t="str">
        <x:v>Programmazione territoriale efficiente e interventi di connessione</x:v>
      </x:c>
      <x:c r="N64" s="83" t="n">
        <x:v>30</x:v>
      </x:c>
      <x:c r="O64" s="83" t="n">
        <x:v>28</x:v>
      </x:c>
      <x:c r="P64" s="83" t="str">
        <x:v>Table 8</x:v>
      </x:c>
      <x:c r="Q64" s="83" t="str">
        <x:v>Pipeline / connection request</x:v>
      </x:c>
      <x:c r="R64" s="83" t="str">
        <x:v>Direct</x:v>
      </x:c>
      <x:c r="S64" s="83" t="str">
        <x:v>A — Direct</x:v>
      </x:c>
      <x:c r="T64" s="83" t="str">
        <x:v>Siting/maturity context only.</x:v>
      </x:c>
      <x:c r="U64" s="83" t="str">
        <x:v>Pure and mixed pumping categories as defined by source.</x:v>
      </x:c>
    </x:row>
    <x:row r="65">
      <x:c r="A65" s="83" t="str">
        <x:v>HY-061</x:v>
      </x:c>
      <x:c r="B65" s="83" t="str"/>
      <x:c r="C65" s="83" t="n">
        <x:v>2040</x:v>
      </x:c>
      <x:c r="D65" s="83" t="str">
        <x:v>2040/2050 input gap</x:v>
      </x:c>
      <x:c r="E65" s="83" t="str">
        <x:v>Italia</x:v>
      </x:c>
      <x:c r="F65" s="83" t="str"/>
      <x:c r="G65" s="83" t="str">
        <x:v>Hydro parameter gap</x:v>
      </x:c>
      <x:c r="H65" s="83" t="str">
        <x:v>Run-of-river installed power by zone</x:v>
      </x:c>
      <x:c r="I65" s="197"/>
      <x:c r="J65" s="83" t="str">
        <x:v>GW</x:v>
      </x:c>
      <x:c r="K65" s="83" t="str">
        <x:v>Gap</x:v>
      </x:c>
      <x:c r="L65" s="83" t="str">
        <x:v>Corpus review</x:v>
      </x:c>
      <x:c r="M65" s="83" t="str">
        <x:v>Terna–PNIEC corpus</x:v>
      </x:c>
      <x:c r="N65" s="83"/>
      <x:c r="O65" s="83" t="str"/>
      <x:c r="P65" s="83" t="str">
        <x:v>Not available</x:v>
      </x:c>
      <x:c r="Q65" s="83" t="str">
        <x:v>Explicit gap</x:v>
      </x:c>
      <x:c r="R65" s="83" t="str">
        <x:v>Corpus completeness review</x:v>
      </x:c>
      <x:c r="S65" s="83" t="str">
        <x:v>E — Missing / external source required</x:v>
      </x:c>
      <x:c r="T65" s="83" t="str">
        <x:v>Generator p_nom and p_max_pu profile</x:v>
      </x:c>
      <x:c r="U65" s="83" t="str">
        <x:v>Resolve from PyPSA-Eur hydro data, ENTSO-E/JRC/Gaudì or plant-level official data in Phase 4.</x:v>
      </x:c>
    </x:row>
    <x:row r="66">
      <x:c r="A66" s="83" t="str">
        <x:v>HY-062</x:v>
      </x:c>
      <x:c r="B66" s="83" t="str"/>
      <x:c r="C66" s="83" t="n">
        <x:v>2040</x:v>
      </x:c>
      <x:c r="D66" s="83" t="str">
        <x:v>2040/2050 input gap</x:v>
      </x:c>
      <x:c r="E66" s="83" t="str">
        <x:v>Italia</x:v>
      </x:c>
      <x:c r="F66" s="83" t="str"/>
      <x:c r="G66" s="83" t="str">
        <x:v>Hydro parameter gap</x:v>
      </x:c>
      <x:c r="H66" s="83" t="str">
        <x:v>Reservoir turbine power by zone</x:v>
      </x:c>
      <x:c r="I66" s="197"/>
      <x:c r="J66" s="83" t="str">
        <x:v>GW</x:v>
      </x:c>
      <x:c r="K66" s="83" t="str">
        <x:v>Gap</x:v>
      </x:c>
      <x:c r="L66" s="83" t="str">
        <x:v>Corpus review</x:v>
      </x:c>
      <x:c r="M66" s="83" t="str">
        <x:v>Terna–PNIEC corpus</x:v>
      </x:c>
      <x:c r="N66" s="83"/>
      <x:c r="O66" s="83" t="str"/>
      <x:c r="P66" s="83" t="str">
        <x:v>Not available</x:v>
      </x:c>
      <x:c r="Q66" s="83" t="str">
        <x:v>Explicit gap</x:v>
      </x:c>
      <x:c r="R66" s="83" t="str">
        <x:v>Corpus completeness review</x:v>
      </x:c>
      <x:c r="S66" s="83" t="str">
        <x:v>E — Missing / external source required</x:v>
      </x:c>
      <x:c r="T66" s="83" t="str">
        <x:v>StorageUnit/Link p_nom</x:v>
      </x:c>
      <x:c r="U66" s="83" t="str">
        <x:v>Resolve from PyPSA-Eur hydro data, ENTSO-E/JRC/Gaudì or plant-level official data in Phase 4.</x:v>
      </x:c>
    </x:row>
    <x:row r="67">
      <x:c r="A67" s="83" t="str">
        <x:v>HY-063</x:v>
      </x:c>
      <x:c r="B67" s="83" t="str"/>
      <x:c r="C67" s="83" t="n">
        <x:v>2040</x:v>
      </x:c>
      <x:c r="D67" s="83" t="str">
        <x:v>2040/2050 input gap</x:v>
      </x:c>
      <x:c r="E67" s="83" t="str">
        <x:v>Italia</x:v>
      </x:c>
      <x:c r="F67" s="83" t="str"/>
      <x:c r="G67" s="83" t="str">
        <x:v>Hydro parameter gap</x:v>
      </x:c>
      <x:c r="H67" s="83" t="str">
        <x:v>Reservoir useful energy by zone</x:v>
      </x:c>
      <x:c r="I67" s="197"/>
      <x:c r="J67" s="83" t="str">
        <x:v>GWh</x:v>
      </x:c>
      <x:c r="K67" s="83" t="str">
        <x:v>Gap</x:v>
      </x:c>
      <x:c r="L67" s="83" t="str">
        <x:v>Corpus review</x:v>
      </x:c>
      <x:c r="M67" s="83" t="str">
        <x:v>Terna–PNIEC corpus</x:v>
      </x:c>
      <x:c r="N67" s="83"/>
      <x:c r="O67" s="83" t="str"/>
      <x:c r="P67" s="83" t="str">
        <x:v>Not available</x:v>
      </x:c>
      <x:c r="Q67" s="83" t="str">
        <x:v>Explicit gap</x:v>
      </x:c>
      <x:c r="R67" s="83" t="str">
        <x:v>Corpus completeness review</x:v>
      </x:c>
      <x:c r="S67" s="83" t="str">
        <x:v>E — Missing / external source required</x:v>
      </x:c>
      <x:c r="T67" s="83" t="str">
        <x:v>Store e_nom or max_hours</x:v>
      </x:c>
      <x:c r="U67" s="83" t="str">
        <x:v>Resolve from PyPSA-Eur hydro data, ENTSO-E/JRC/Gaudì or plant-level official data in Phase 4.</x:v>
      </x:c>
    </x:row>
    <x:row r="68">
      <x:c r="A68" s="83" t="str">
        <x:v>HY-064</x:v>
      </x:c>
      <x:c r="B68" s="83" t="str"/>
      <x:c r="C68" s="83" t="n">
        <x:v>2040</x:v>
      </x:c>
      <x:c r="D68" s="83" t="str">
        <x:v>2040/2050 input gap</x:v>
      </x:c>
      <x:c r="E68" s="83" t="str">
        <x:v>Italia</x:v>
      </x:c>
      <x:c r="F68" s="83" t="str"/>
      <x:c r="G68" s="83" t="str">
        <x:v>Hydro parameter gap</x:v>
      </x:c>
      <x:c r="H68" s="83" t="str">
        <x:v>Reservoir inflow time series</x:v>
      </x:c>
      <x:c r="I68" s="197"/>
      <x:c r="J68" s="83" t="str">
        <x:v>MW/TWh</x:v>
      </x:c>
      <x:c r="K68" s="83" t="str">
        <x:v>Gap</x:v>
      </x:c>
      <x:c r="L68" s="83" t="str">
        <x:v>Corpus review</x:v>
      </x:c>
      <x:c r="M68" s="83" t="str">
        <x:v>Terna–PNIEC corpus</x:v>
      </x:c>
      <x:c r="N68" s="83"/>
      <x:c r="O68" s="83" t="str"/>
      <x:c r="P68" s="83" t="str">
        <x:v>Not available</x:v>
      </x:c>
      <x:c r="Q68" s="83" t="str">
        <x:v>Explicit gap</x:v>
      </x:c>
      <x:c r="R68" s="83" t="str">
        <x:v>Corpus completeness review</x:v>
      </x:c>
      <x:c r="S68" s="83" t="str">
        <x:v>E — Missing / external source required</x:v>
      </x:c>
      <x:c r="T68" s="83" t="str">
        <x:v>Hourly/monthly inflow</x:v>
      </x:c>
      <x:c r="U68" s="83" t="str">
        <x:v>Resolve from PyPSA-Eur hydro data, ENTSO-E/JRC/Gaudì or plant-level official data in Phase 4.</x:v>
      </x:c>
    </x:row>
    <x:row r="69">
      <x:c r="A69" s="83" t="str">
        <x:v>HY-065</x:v>
      </x:c>
      <x:c r="B69" s="83" t="str"/>
      <x:c r="C69" s="83" t="n">
        <x:v>2040</x:v>
      </x:c>
      <x:c r="D69" s="83" t="str">
        <x:v>2040/2050 input gap</x:v>
      </x:c>
      <x:c r="E69" s="83" t="str">
        <x:v>Italia</x:v>
      </x:c>
      <x:c r="F69" s="83" t="str"/>
      <x:c r="G69" s="83" t="str">
        <x:v>Hydro parameter gap</x:v>
      </x:c>
      <x:c r="H69" s="83" t="str">
        <x:v>Pumped hydro charge/discharge efficiency</x:v>
      </x:c>
      <x:c r="I69" s="197"/>
      <x:c r="J69" s="83" t="str">
        <x:v>p.u.</x:v>
      </x:c>
      <x:c r="K69" s="83" t="str">
        <x:v>Gap</x:v>
      </x:c>
      <x:c r="L69" s="83" t="str">
        <x:v>Corpus review</x:v>
      </x:c>
      <x:c r="M69" s="83" t="str">
        <x:v>Terna–PNIEC corpus</x:v>
      </x:c>
      <x:c r="N69" s="83"/>
      <x:c r="O69" s="83" t="str"/>
      <x:c r="P69" s="83" t="str">
        <x:v>Not available</x:v>
      </x:c>
      <x:c r="Q69" s="83" t="str">
        <x:v>Explicit gap</x:v>
      </x:c>
      <x:c r="R69" s="83" t="str">
        <x:v>Corpus completeness review</x:v>
      </x:c>
      <x:c r="S69" s="83" t="str">
        <x:v>E — Missing / external source required</x:v>
      </x:c>
      <x:c r="T69" s="83" t="str">
        <x:v>Link efficiencies</x:v>
      </x:c>
      <x:c r="U69" s="83" t="str">
        <x:v>Resolve from PyPSA-Eur hydro data, ENTSO-E/JRC/Gaudì or plant-level official data in Phase 4.</x:v>
      </x:c>
    </x:row>
    <x:row r="70">
      <x:c r="A70" s="83" t="str">
        <x:v>HY-066</x:v>
      </x:c>
      <x:c r="B70" s="83" t="str"/>
      <x:c r="C70" s="83" t="n">
        <x:v>2040</x:v>
      </x:c>
      <x:c r="D70" s="83" t="str">
        <x:v>2040/2050 input gap</x:v>
      </x:c>
      <x:c r="E70" s="83" t="str">
        <x:v>Italia</x:v>
      </x:c>
      <x:c r="F70" s="83" t="str"/>
      <x:c r="G70" s="83" t="str">
        <x:v>Hydro parameter gap</x:v>
      </x:c>
      <x:c r="H70" s="83" t="str">
        <x:v>Hydro minimum flow and environmental constraints</x:v>
      </x:c>
      <x:c r="I70" s="197"/>
      <x:c r="J70" s="83" t="str">
        <x:v>MW/MWh</x:v>
      </x:c>
      <x:c r="K70" s="83" t="str">
        <x:v>Gap</x:v>
      </x:c>
      <x:c r="L70" s="83" t="str">
        <x:v>Corpus review</x:v>
      </x:c>
      <x:c r="M70" s="83" t="str">
        <x:v>Terna–PNIEC corpus</x:v>
      </x:c>
      <x:c r="N70" s="83"/>
      <x:c r="O70" s="83" t="str"/>
      <x:c r="P70" s="83" t="str">
        <x:v>Not available</x:v>
      </x:c>
      <x:c r="Q70" s="83" t="str">
        <x:v>Explicit gap</x:v>
      </x:c>
      <x:c r="R70" s="83" t="str">
        <x:v>Corpus completeness review</x:v>
      </x:c>
      <x:c r="S70" s="83" t="str">
        <x:v>E — Missing / external source required</x:v>
      </x:c>
      <x:c r="T70" s="83" t="str">
        <x:v>p_min_pu/custom constraints</x:v>
      </x:c>
      <x:c r="U70" s="83" t="str">
        <x:v>Resolve from PyPSA-Eur hydro data, ENTSO-E/JRC/Gaudì or plant-level official data in Phase 4.</x:v>
      </x:c>
    </x:row>
    <x:row r="71">
      <x:c r="A71" s="83" t="str">
        <x:v>HY-067</x:v>
      </x:c>
      <x:c r="B71" s="83" t="str"/>
      <x:c r="C71" s="83" t="n">
        <x:v>2040</x:v>
      </x:c>
      <x:c r="D71" s="83" t="str">
        <x:v>2040/2050 input gap</x:v>
      </x:c>
      <x:c r="E71" s="83" t="str">
        <x:v>Italia</x:v>
      </x:c>
      <x:c r="F71" s="83" t="str"/>
      <x:c r="G71" s="83" t="str">
        <x:v>Hydro parameter gap</x:v>
      </x:c>
      <x:c r="H71" s="83" t="str">
        <x:v>Initial and terminal reservoir SOC</x:v>
      </x:c>
      <x:c r="I71" s="197"/>
      <x:c r="J71" s="83" t="str">
        <x:v>MWh or p.u.</x:v>
      </x:c>
      <x:c r="K71" s="83" t="str">
        <x:v>Gap</x:v>
      </x:c>
      <x:c r="L71" s="83" t="str">
        <x:v>Corpus review</x:v>
      </x:c>
      <x:c r="M71" s="83" t="str">
        <x:v>Terna–PNIEC corpus</x:v>
      </x:c>
      <x:c r="N71" s="83"/>
      <x:c r="O71" s="83" t="str"/>
      <x:c r="P71" s="83" t="str">
        <x:v>Not available</x:v>
      </x:c>
      <x:c r="Q71" s="83" t="str">
        <x:v>Explicit gap</x:v>
      </x:c>
      <x:c r="R71" s="83" t="str">
        <x:v>Corpus completeness review</x:v>
      </x:c>
      <x:c r="S71" s="83" t="str">
        <x:v>E — Missing / external source required</x:v>
      </x:c>
      <x:c r="T71" s="83" t="str">
        <x:v>Cyclic or calibrated terminal constraint</x:v>
      </x:c>
      <x:c r="U71" s="83" t="str">
        <x:v>Resolve from PyPSA-Eur hydro data, ENTSO-E/JRC/Gaudì or plant-level official data in Phase 4.</x:v>
      </x:c>
    </x:row>
  </x:sheetData>
  <x:mergeCells>
    <x:mergeCell ref="A1:U1"/>
    <x:mergeCell ref="A2:U2"/>
  </x:mergeCells>
  <x:conditionalFormatting sqref="K5:K71">
    <x:cfRule type="expression" dxfId="39" priority="1">
      <x:formula>K5="Gap"</x:formula>
    </x:cfRule>
    <x:cfRule type="expression" dxfId="40" priority="2">
      <x:formula>K5="Connection pipeline"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095e674be74fef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30" hidden="0" customWidth="1"/>
    <x:col min="5" max="5" width="22" hidden="0" customWidth="1"/>
    <x:col min="6" max="6" width="28" hidden="0" customWidth="1"/>
    <x:col min="7" max="7" width="46" hidden="0" customWidth="1"/>
    <x:col min="8" max="8" width="11" hidden="0" customWidth="1"/>
    <x:col min="9" max="9" width="15" hidden="0" customWidth="1"/>
    <x:col min="10" max="10" width="20" hidden="0" customWidth="1"/>
    <x:col min="11" max="11" width="28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24" hidden="0" customWidth="1"/>
    <x:col min="17" max="17" width="30" hidden="0" customWidth="1"/>
    <x:col min="18" max="18" width="34" hidden="0" customWidth="1"/>
    <x:col min="19" max="19" width="20" hidden="0" customWidth="1"/>
    <x:col min="20" max="20" width="50" hidden="0" customWidth="1"/>
    <x:col min="21" max="21" width="54" hidden="0" customWidth="1"/>
  </x:cols>
  <x:sheetData>
    <x:row r="1" ht="34" customHeight="1">
      <x:c r="A1" s="188" t="str">
        <x:v>Flessibilità, carico residuo e risorse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</x:row>
    <x:row r="2" ht="30" customHeight="1">
      <x:c r="A2" s="192" t="str">
        <x:v>96 record: perdite, curtailment, elettrolizzatori, adequacy e flexibility needs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Scala temporale</x:v>
      </x:c>
      <x:c r="F4" s="196" t="str">
        <x:v>Categoria</x:v>
      </x:c>
      <x:c r="G4" s="196" t="str">
        <x:v>Metrica</x:v>
      </x:c>
      <x:c r="H4" s="196" t="str">
        <x:v>Operatore</x:v>
      </x:c>
      <x:c r="I4" s="196" t="str">
        <x:v>Valore</x:v>
      </x:c>
      <x:c r="J4" s="196" t="str">
        <x:v>Unità</x:v>
      </x:c>
      <x:c r="K4" s="196" t="str">
        <x:v>Status</x:v>
      </x:c>
      <x:c r="L4" s="196" t="str">
        <x:v>Fonte</x:v>
      </x:c>
      <x:c r="M4" s="196" t="str">
        <x:v>File fonte</x:v>
      </x:c>
      <x:c r="N4" s="196" t="str">
        <x:v>Pagina PDF</x:v>
      </x:c>
      <x:c r="O4" s="196" t="str">
        <x:v>Pagina stampata</x:v>
      </x:c>
      <x:c r="P4" s="196" t="str">
        <x:v>Tabella/Figura</x:v>
      </x:c>
      <x:c r="Q4" s="196" t="str">
        <x:v>Tipo evidenza</x:v>
      </x:c>
      <x:c r="R4" s="196" t="str">
        <x:v>Metodo</x:v>
      </x:c>
      <x:c r="S4" s="196" t="str">
        <x:v>Affidabilità</x:v>
      </x:c>
      <x:c r="T4" s="196" t="str">
        <x:v>Uso modello</x:v>
      </x:c>
      <x:c r="U4" s="196" t="str">
        <x:v>Note</x:v>
      </x:c>
    </x:row>
    <x:row r="5">
      <x:c r="A5" s="83" t="str">
        <x:v>FL-001</x:v>
      </x:c>
      <x:c r="B5" s="83" t="str">
        <x:v>PNIEC_POLICY_2030</x:v>
      </x:c>
      <x:c r="C5" s="83" t="n">
        <x:v>2030</x:v>
      </x:c>
      <x:c r="D5" s="83" t="str">
        <x:v>PNIEC Policy 2030</x:v>
      </x:c>
      <x:c r="E5" s="83" t="str">
        <x:v>Annual</x:v>
      </x:c>
      <x:c r="F5" s="83" t="str">
        <x:v>Storage</x:v>
      </x:c>
      <x:c r="G5" s="83" t="str">
        <x:v>Storage energy losses</x:v>
      </x:c>
      <x:c r="H5" s="83" t="str">
        <x:v>=</x:v>
      </x:c>
      <x:c r="I5" s="197" t="n">
        <x:v>4</x:v>
      </x:c>
      <x:c r="J5" s="83" t="str">
        <x:v>TWh</x:v>
      </x:c>
      <x:c r="K5" s="83" t="str">
        <x:v>Source model result</x:v>
      </x:c>
      <x:c r="L5" s="83" t="str">
        <x:v>S09</x:v>
      </x:c>
      <x:c r="M5" s="83" t="str">
        <x:v>Documento di Descrizione degli Scenari 2024</x:v>
      </x:c>
      <x:c r="N5" s="83" t="n">
        <x:v>66</x:v>
      </x:c>
      <x:c r="O5" s="83" t="n">
        <x:v>64</x:v>
      </x:c>
      <x:c r="P5" s="83" t="str">
        <x:v>Table 18</x:v>
      </x:c>
      <x:c r="Q5" s="83" t="str">
        <x:v>Risultato di modello della fonte</x:v>
      </x:c>
      <x:c r="R5" s="83" t="str">
        <x:v>Direct magnitude; source balance uses negative accounting signs</x:v>
      </x:c>
      <x:c r="S5" s="83" t="str">
        <x:v>A — Direct</x:v>
      </x:c>
      <x:c r="T5" s="83" t="str">
        <x:v>Annual QA after dispatch; not an efficiency parameter.</x:v>
      </x:c>
      <x:c r="U5" s="83" t="str">
        <x:v>Magnitude stored as positive value.</x:v>
      </x:c>
    </x:row>
    <x:row r="6">
      <x:c r="A6" s="83" t="str">
        <x:v>FL-002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Annual</x:v>
      </x:c>
      <x:c r="F6" s="83" t="str">
        <x:v>Curtailment</x:v>
      </x:c>
      <x:c r="G6" s="83" t="str">
        <x:v>Overgeneration / curtailment</x:v>
      </x:c>
      <x:c r="H6" s="83" t="str">
        <x:v>=</x:v>
      </x:c>
      <x:c r="I6" s="197" t="n">
        <x:v>5</x:v>
      </x:c>
      <x:c r="J6" s="83" t="str">
        <x:v>TWh</x:v>
      </x:c>
      <x:c r="K6" s="83" t="str">
        <x:v>Source model result</x:v>
      </x:c>
      <x:c r="L6" s="83" t="str">
        <x:v>S09</x:v>
      </x:c>
      <x:c r="M6" s="83" t="str">
        <x:v>Documento di Descrizione degli Scenari 2024</x:v>
      </x:c>
      <x:c r="N6" s="83" t="n">
        <x:v>66</x:v>
      </x:c>
      <x:c r="O6" s="83" t="n">
        <x:v>64</x:v>
      </x:c>
      <x:c r="P6" s="83" t="str">
        <x:v>Table 18</x:v>
      </x:c>
      <x:c r="Q6" s="83" t="str">
        <x:v>Risultato di modello della fonte</x:v>
      </x:c>
      <x:c r="R6" s="83" t="str">
        <x:v>Direct magnitude; source balance uses negative accounting signs</x:v>
      </x:c>
      <x:c r="S6" s="83" t="str">
        <x:v>A — Direct</x:v>
      </x:c>
      <x:c r="T6" s="83" t="str">
        <x:v>Annual QA after dispatch; not an efficiency parameter.</x:v>
      </x:c>
      <x:c r="U6" s="83" t="str">
        <x:v>Magnitude stored as positive value.</x:v>
      </x:c>
    </x:row>
    <x:row r="7">
      <x:c r="A7" s="83" t="str">
        <x:v>FL-003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Annual</x:v>
      </x:c>
      <x:c r="F7" s="83" t="str">
        <x:v>Storage</x:v>
      </x:c>
      <x:c r="G7" s="83" t="str">
        <x:v>Storage energy losses</x:v>
      </x:c>
      <x:c r="H7" s="83" t="str">
        <x:v>=</x:v>
      </x:c>
      <x:c r="I7" s="197" t="n">
        <x:v>3</x:v>
      </x:c>
      <x:c r="J7" s="83" t="str">
        <x:v>TWh</x:v>
      </x:c>
      <x:c r="K7" s="83" t="str">
        <x:v>Source model result</x:v>
      </x:c>
      <x:c r="L7" s="83" t="str">
        <x:v>S09</x:v>
      </x:c>
      <x:c r="M7" s="83" t="str">
        <x:v>Documento di Descrizione degli Scenari 2024</x:v>
      </x:c>
      <x:c r="N7" s="83" t="n">
        <x:v>66</x:v>
      </x:c>
      <x:c r="O7" s="83" t="n">
        <x:v>64</x:v>
      </x:c>
      <x:c r="P7" s="83" t="str">
        <x:v>Table 18</x:v>
      </x:c>
      <x:c r="Q7" s="83" t="str">
        <x:v>Risultato di modello della fonte</x:v>
      </x:c>
      <x:c r="R7" s="83" t="str">
        <x:v>Direct magnitude; source balance uses negative accounting signs</x:v>
      </x:c>
      <x:c r="S7" s="83" t="str">
        <x:v>A — Direct</x:v>
      </x:c>
      <x:c r="T7" s="83" t="str">
        <x:v>Annual QA after dispatch; not an efficiency parameter.</x:v>
      </x:c>
      <x:c r="U7" s="83" t="str">
        <x:v>Magnitude stored as positive value.</x:v>
      </x:c>
    </x:row>
    <x:row r="8">
      <x:c r="A8" s="83" t="str">
        <x:v>FL-004</x:v>
      </x:c>
      <x:c r="B8" s="83" t="str">
        <x:v>PNIEC_SLOW_2030</x:v>
      </x:c>
      <x:c r="C8" s="83" t="n">
        <x:v>2030</x:v>
      </x:c>
      <x:c r="D8" s="83" t="str">
        <x:v>PNIEC Slow 2030</x:v>
      </x:c>
      <x:c r="E8" s="83" t="str">
        <x:v>Annual</x:v>
      </x:c>
      <x:c r="F8" s="83" t="str">
        <x:v>Curtailment</x:v>
      </x:c>
      <x:c r="G8" s="83" t="str">
        <x:v>Overgeneration / curtailment</x:v>
      </x:c>
      <x:c r="H8" s="83" t="str">
        <x:v>=</x:v>
      </x:c>
      <x:c r="I8" s="197" t="n">
        <x:v>3</x:v>
      </x:c>
      <x:c r="J8" s="83" t="str">
        <x:v>TWh</x:v>
      </x:c>
      <x:c r="K8" s="83" t="str">
        <x:v>Source model result</x:v>
      </x:c>
      <x:c r="L8" s="83" t="str">
        <x:v>S09</x:v>
      </x:c>
      <x:c r="M8" s="83" t="str">
        <x:v>Documento di Descrizione degli Scenari 2024</x:v>
      </x:c>
      <x:c r="N8" s="83" t="n">
        <x:v>66</x:v>
      </x:c>
      <x:c r="O8" s="83" t="n">
        <x:v>64</x:v>
      </x:c>
      <x:c r="P8" s="83" t="str">
        <x:v>Table 18</x:v>
      </x:c>
      <x:c r="Q8" s="83" t="str">
        <x:v>Risultato di modello della fonte</x:v>
      </x:c>
      <x:c r="R8" s="83" t="str">
        <x:v>Direct magnitude; source balance uses negative accounting signs</x:v>
      </x:c>
      <x:c r="S8" s="83" t="str">
        <x:v>A — Direct</x:v>
      </x:c>
      <x:c r="T8" s="83" t="str">
        <x:v>Annual QA after dispatch; not an efficiency parameter.</x:v>
      </x:c>
      <x:c r="U8" s="83" t="str">
        <x:v>Magnitude stored as positive value.</x:v>
      </x:c>
    </x:row>
    <x:row r="9">
      <x:c r="A9" s="83" t="str">
        <x:v>FL-005</x:v>
      </x:c>
      <x:c r="B9" s="83" t="str">
        <x:v>DE_IT_2035</x:v>
      </x:c>
      <x:c r="C9" s="83" t="n">
        <x:v>2035</x:v>
      </x:c>
      <x:c r="D9" s="83" t="str">
        <x:v>DE-IT 2035</x:v>
      </x:c>
      <x:c r="E9" s="83" t="str">
        <x:v>Annual</x:v>
      </x:c>
      <x:c r="F9" s="83" t="str">
        <x:v>Storage</x:v>
      </x:c>
      <x:c r="G9" s="83" t="str">
        <x:v>Storage energy losses</x:v>
      </x:c>
      <x:c r="H9" s="83" t="str">
        <x:v>=</x:v>
      </x:c>
      <x:c r="I9" s="197" t="n">
        <x:v>6</x:v>
      </x:c>
      <x:c r="J9" s="83" t="str">
        <x:v>TWh</x:v>
      </x:c>
      <x:c r="K9" s="83" t="str">
        <x:v>Source model result</x:v>
      </x:c>
      <x:c r="L9" s="83" t="str">
        <x:v>S09</x:v>
      </x:c>
      <x:c r="M9" s="83" t="str">
        <x:v>Documento di Descrizione degli Scenari 2024</x:v>
      </x:c>
      <x:c r="N9" s="83" t="n">
        <x:v>66</x:v>
      </x:c>
      <x:c r="O9" s="83" t="n">
        <x:v>64</x:v>
      </x:c>
      <x:c r="P9" s="83" t="str">
        <x:v>Table 18</x:v>
      </x:c>
      <x:c r="Q9" s="83" t="str">
        <x:v>Risultato di modello della fonte</x:v>
      </x:c>
      <x:c r="R9" s="83" t="str">
        <x:v>Direct magnitude; source balance uses negative accounting signs</x:v>
      </x:c>
      <x:c r="S9" s="83" t="str">
        <x:v>A — Direct</x:v>
      </x:c>
      <x:c r="T9" s="83" t="str">
        <x:v>Annual QA after dispatch; not an efficiency parameter.</x:v>
      </x:c>
      <x:c r="U9" s="83" t="str">
        <x:v>Magnitude stored as positive value.</x:v>
      </x:c>
    </x:row>
    <x:row r="10">
      <x:c r="A10" s="83" t="str">
        <x:v>FL-006</x:v>
      </x:c>
      <x:c r="B10" s="83" t="str">
        <x:v>DE_IT_2035</x:v>
      </x:c>
      <x:c r="C10" s="83" t="n">
        <x:v>2035</x:v>
      </x:c>
      <x:c r="D10" s="83" t="str">
        <x:v>DE-IT 2035</x:v>
      </x:c>
      <x:c r="E10" s="83" t="str">
        <x:v>Annual</x:v>
      </x:c>
      <x:c r="F10" s="83" t="str">
        <x:v>Curtailment</x:v>
      </x:c>
      <x:c r="G10" s="83" t="str">
        <x:v>Overgeneration / curtailment</x:v>
      </x:c>
      <x:c r="H10" s="83" t="str">
        <x:v>=</x:v>
      </x:c>
      <x:c r="I10" s="197" t="n">
        <x:v>12</x:v>
      </x:c>
      <x:c r="J10" s="83" t="str">
        <x:v>TWh</x:v>
      </x:c>
      <x:c r="K10" s="83" t="str">
        <x:v>Source model result</x:v>
      </x:c>
      <x:c r="L10" s="83" t="str">
        <x:v>S09</x:v>
      </x:c>
      <x:c r="M10" s="83" t="str">
        <x:v>Documento di Descrizione degli Scenari 2024</x:v>
      </x:c>
      <x:c r="N10" s="83" t="n">
        <x:v>66</x:v>
      </x:c>
      <x:c r="O10" s="83" t="n">
        <x:v>64</x:v>
      </x:c>
      <x:c r="P10" s="83" t="str">
        <x:v>Table 18</x:v>
      </x:c>
      <x:c r="Q10" s="83" t="str">
        <x:v>Risultato di modello della fonte</x:v>
      </x:c>
      <x:c r="R10" s="83" t="str">
        <x:v>Direct magnitude; source balance uses negative accounting signs</x:v>
      </x:c>
      <x:c r="S10" s="83" t="str">
        <x:v>A — Direct</x:v>
      </x:c>
      <x:c r="T10" s="83" t="str">
        <x:v>Annual QA after dispatch; not an efficiency parameter.</x:v>
      </x:c>
      <x:c r="U10" s="83" t="str">
        <x:v>Magnitude stored as positive value.</x:v>
      </x:c>
    </x:row>
    <x:row r="11">
      <x:c r="A11" s="83" t="str">
        <x:v>FL-007</x:v>
      </x:c>
      <x:c r="B11" s="83" t="str">
        <x:v>GA_IT_2035</x:v>
      </x:c>
      <x:c r="C11" s="83" t="n">
        <x:v>2035</x:v>
      </x:c>
      <x:c r="D11" s="83" t="str">
        <x:v>GA-IT 2035</x:v>
      </x:c>
      <x:c r="E11" s="83" t="str">
        <x:v>Annual</x:v>
      </x:c>
      <x:c r="F11" s="83" t="str">
        <x:v>Storage</x:v>
      </x:c>
      <x:c r="G11" s="83" t="str">
        <x:v>Storage energy losses</x:v>
      </x:c>
      <x:c r="H11" s="83" t="str">
        <x:v>=</x:v>
      </x:c>
      <x:c r="I11" s="197" t="n">
        <x:v>5</x:v>
      </x:c>
      <x:c r="J11" s="83" t="str">
        <x:v>TWh</x:v>
      </x:c>
      <x:c r="K11" s="83" t="str">
        <x:v>Source model result</x:v>
      </x:c>
      <x:c r="L11" s="83" t="str">
        <x:v>S09</x:v>
      </x:c>
      <x:c r="M11" s="83" t="str">
        <x:v>Documento di Descrizione degli Scenari 2024</x:v>
      </x:c>
      <x:c r="N11" s="83" t="n">
        <x:v>66</x:v>
      </x:c>
      <x:c r="O11" s="83" t="n">
        <x:v>64</x:v>
      </x:c>
      <x:c r="P11" s="83" t="str">
        <x:v>Table 18</x:v>
      </x:c>
      <x:c r="Q11" s="83" t="str">
        <x:v>Risultato di modello della fonte</x:v>
      </x:c>
      <x:c r="R11" s="83" t="str">
        <x:v>Direct magnitude; source balance uses negative accounting signs</x:v>
      </x:c>
      <x:c r="S11" s="83" t="str">
        <x:v>A — Direct</x:v>
      </x:c>
      <x:c r="T11" s="83" t="str">
        <x:v>Annual QA after dispatch; not an efficiency parameter.</x:v>
      </x:c>
      <x:c r="U11" s="83" t="str">
        <x:v>Magnitude stored as positive value.</x:v>
      </x:c>
    </x:row>
    <x:row r="12">
      <x:c r="A12" s="83" t="str">
        <x:v>FL-008</x:v>
      </x:c>
      <x:c r="B12" s="83" t="str">
        <x:v>GA_IT_2035</x:v>
      </x:c>
      <x:c r="C12" s="83" t="n">
        <x:v>2035</x:v>
      </x:c>
      <x:c r="D12" s="83" t="str">
        <x:v>GA-IT 2035</x:v>
      </x:c>
      <x:c r="E12" s="83" t="str">
        <x:v>Annual</x:v>
      </x:c>
      <x:c r="F12" s="83" t="str">
        <x:v>Curtailment</x:v>
      </x:c>
      <x:c r="G12" s="83" t="str">
        <x:v>Overgeneration / curtailment</x:v>
      </x:c>
      <x:c r="H12" s="83" t="str">
        <x:v>=</x:v>
      </x:c>
      <x:c r="I12" s="197" t="n">
        <x:v>10</x:v>
      </x:c>
      <x:c r="J12" s="83" t="str">
        <x:v>TWh</x:v>
      </x:c>
      <x:c r="K12" s="83" t="str">
        <x:v>Source model result</x:v>
      </x:c>
      <x:c r="L12" s="83" t="str">
        <x:v>S09</x:v>
      </x:c>
      <x:c r="M12" s="83" t="str">
        <x:v>Documento di Descrizione degli Scenari 2024</x:v>
      </x:c>
      <x:c r="N12" s="83" t="n">
        <x:v>66</x:v>
      </x:c>
      <x:c r="O12" s="83" t="n">
        <x:v>64</x:v>
      </x:c>
      <x:c r="P12" s="83" t="str">
        <x:v>Table 18</x:v>
      </x:c>
      <x:c r="Q12" s="83" t="str">
        <x:v>Risultato di modello della fonte</x:v>
      </x:c>
      <x:c r="R12" s="83" t="str">
        <x:v>Direct magnitude; source balance uses negative accounting signs</x:v>
      </x:c>
      <x:c r="S12" s="83" t="str">
        <x:v>A — Direct</x:v>
      </x:c>
      <x:c r="T12" s="83" t="str">
        <x:v>Annual QA after dispatch; not an efficiency parameter.</x:v>
      </x:c>
      <x:c r="U12" s="83" t="str">
        <x:v>Magnitude stored as positive value.</x:v>
      </x:c>
    </x:row>
    <x:row r="13">
      <x:c r="A13" s="83" t="str">
        <x:v>FL-009</x:v>
      </x:c>
      <x:c r="B13" s="83" t="str">
        <x:v>PNIEC_SLOW_2035</x:v>
      </x:c>
      <x:c r="C13" s="83" t="n">
        <x:v>2035</x:v>
      </x:c>
      <x:c r="D13" s="83" t="str">
        <x:v>PNIEC Slow 2035</x:v>
      </x:c>
      <x:c r="E13" s="83" t="str">
        <x:v>Annual</x:v>
      </x:c>
      <x:c r="F13" s="83" t="str">
        <x:v>Storage</x:v>
      </x:c>
      <x:c r="G13" s="83" t="str">
        <x:v>Storage energy losses</x:v>
      </x:c>
      <x:c r="H13" s="83" t="str">
        <x:v>=</x:v>
      </x:c>
      <x:c r="I13" s="197" t="n">
        <x:v>5</x:v>
      </x:c>
      <x:c r="J13" s="83" t="str">
        <x:v>TWh</x:v>
      </x:c>
      <x:c r="K13" s="83" t="str">
        <x:v>Source model result</x:v>
      </x:c>
      <x:c r="L13" s="83" t="str">
        <x:v>S09</x:v>
      </x:c>
      <x:c r="M13" s="83" t="str">
        <x:v>Documento di Descrizione degli Scenari 2024</x:v>
      </x:c>
      <x:c r="N13" s="83" t="n">
        <x:v>66</x:v>
      </x:c>
      <x:c r="O13" s="83" t="n">
        <x:v>64</x:v>
      </x:c>
      <x:c r="P13" s="83" t="str">
        <x:v>Table 18</x:v>
      </x:c>
      <x:c r="Q13" s="83" t="str">
        <x:v>Risultato di modello della fonte</x:v>
      </x:c>
      <x:c r="R13" s="83" t="str">
        <x:v>Direct magnitude; source balance uses negative accounting signs</x:v>
      </x:c>
      <x:c r="S13" s="83" t="str">
        <x:v>A — Direct</x:v>
      </x:c>
      <x:c r="T13" s="83" t="str">
        <x:v>Annual QA after dispatch; not an efficiency parameter.</x:v>
      </x:c>
      <x:c r="U13" s="83" t="str">
        <x:v>Magnitude stored as positive value.</x:v>
      </x:c>
    </x:row>
    <x:row r="14">
      <x:c r="A14" s="83" t="str">
        <x:v>FL-010</x:v>
      </x:c>
      <x:c r="B14" s="83" t="str">
        <x:v>PNIEC_SLOW_2035</x:v>
      </x:c>
      <x:c r="C14" s="83" t="n">
        <x:v>2035</x:v>
      </x:c>
      <x:c r="D14" s="83" t="str">
        <x:v>PNIEC Slow 2035</x:v>
      </x:c>
      <x:c r="E14" s="83" t="str">
        <x:v>Annual</x:v>
      </x:c>
      <x:c r="F14" s="83" t="str">
        <x:v>Curtailment</x:v>
      </x:c>
      <x:c r="G14" s="83" t="str">
        <x:v>Overgeneration / curtailment</x:v>
      </x:c>
      <x:c r="H14" s="83" t="str">
        <x:v>=</x:v>
      </x:c>
      <x:c r="I14" s="197" t="n">
        <x:v>7</x:v>
      </x:c>
      <x:c r="J14" s="83" t="str">
        <x:v>TWh</x:v>
      </x:c>
      <x:c r="K14" s="83" t="str">
        <x:v>Source model result</x:v>
      </x:c>
      <x:c r="L14" s="83" t="str">
        <x:v>S09</x:v>
      </x:c>
      <x:c r="M14" s="83" t="str">
        <x:v>Documento di Descrizione degli Scenari 2024</x:v>
      </x:c>
      <x:c r="N14" s="83" t="n">
        <x:v>66</x:v>
      </x:c>
      <x:c r="O14" s="83" t="n">
        <x:v>64</x:v>
      </x:c>
      <x:c r="P14" s="83" t="str">
        <x:v>Table 18</x:v>
      </x:c>
      <x:c r="Q14" s="83" t="str">
        <x:v>Risultato di modello della fonte</x:v>
      </x:c>
      <x:c r="R14" s="83" t="str">
        <x:v>Direct magnitude; source balance uses negative accounting signs</x:v>
      </x:c>
      <x:c r="S14" s="83" t="str">
        <x:v>A — Direct</x:v>
      </x:c>
      <x:c r="T14" s="83" t="str">
        <x:v>Annual QA after dispatch; not an efficiency parameter.</x:v>
      </x:c>
      <x:c r="U14" s="83" t="str">
        <x:v>Magnitude stored as positive value.</x:v>
      </x:c>
    </x:row>
    <x:row r="15">
      <x:c r="A15" s="83" t="str">
        <x:v>FL-011</x:v>
      </x:c>
      <x:c r="B15" s="83" t="str">
        <x:v>DE_IT_2040</x:v>
      </x:c>
      <x:c r="C15" s="83" t="n">
        <x:v>2040</x:v>
      </x:c>
      <x:c r="D15" s="83" t="str">
        <x:v>DE-IT 2040</x:v>
      </x:c>
      <x:c r="E15" s="83" t="str">
        <x:v>Annual</x:v>
      </x:c>
      <x:c r="F15" s="83" t="str">
        <x:v>Storage</x:v>
      </x:c>
      <x:c r="G15" s="83" t="str">
        <x:v>Storage energy losses</x:v>
      </x:c>
      <x:c r="H15" s="83" t="str">
        <x:v>=</x:v>
      </x:c>
      <x:c r="I15" s="197" t="n">
        <x:v>9</x:v>
      </x:c>
      <x:c r="J15" s="83" t="str">
        <x:v>TWh</x:v>
      </x:c>
      <x:c r="K15" s="83" t="str">
        <x:v>Source model result</x:v>
      </x:c>
      <x:c r="L15" s="83" t="str">
        <x:v>S09</x:v>
      </x:c>
      <x:c r="M15" s="83" t="str">
        <x:v>Documento di Descrizione degli Scenari 2024</x:v>
      </x:c>
      <x:c r="N15" s="83" t="n">
        <x:v>66</x:v>
      </x:c>
      <x:c r="O15" s="83" t="n">
        <x:v>64</x:v>
      </x:c>
      <x:c r="P15" s="83" t="str">
        <x:v>Table 18</x:v>
      </x:c>
      <x:c r="Q15" s="83" t="str">
        <x:v>Risultato di modello della fonte</x:v>
      </x:c>
      <x:c r="R15" s="83" t="str">
        <x:v>Direct magnitude; source balance uses negative accounting signs</x:v>
      </x:c>
      <x:c r="S15" s="83" t="str">
        <x:v>A — Direct</x:v>
      </x:c>
      <x:c r="T15" s="83" t="str">
        <x:v>Annual QA after dispatch; not an efficiency parameter.</x:v>
      </x:c>
      <x:c r="U15" s="83" t="str">
        <x:v>Magnitude stored as positive value.</x:v>
      </x:c>
    </x:row>
    <x:row r="16">
      <x:c r="A16" s="83" t="str">
        <x:v>FL-012</x:v>
      </x:c>
      <x:c r="B16" s="83" t="str">
        <x:v>DE_IT_2040</x:v>
      </x:c>
      <x:c r="C16" s="83" t="n">
        <x:v>2040</x:v>
      </x:c>
      <x:c r="D16" s="83" t="str">
        <x:v>DE-IT 2040</x:v>
      </x:c>
      <x:c r="E16" s="83" t="str">
        <x:v>Annual</x:v>
      </x:c>
      <x:c r="F16" s="83" t="str">
        <x:v>Curtailment</x:v>
      </x:c>
      <x:c r="G16" s="83" t="str">
        <x:v>Overgeneration / curtailment</x:v>
      </x:c>
      <x:c r="H16" s="83" t="str">
        <x:v>=</x:v>
      </x:c>
      <x:c r="I16" s="197" t="n">
        <x:v>16</x:v>
      </x:c>
      <x:c r="J16" s="83" t="str">
        <x:v>TWh</x:v>
      </x:c>
      <x:c r="K16" s="83" t="str">
        <x:v>Source model result</x:v>
      </x:c>
      <x:c r="L16" s="83" t="str">
        <x:v>S09</x:v>
      </x:c>
      <x:c r="M16" s="83" t="str">
        <x:v>Documento di Descrizione degli Scenari 2024</x:v>
      </x:c>
      <x:c r="N16" s="83" t="n">
        <x:v>66</x:v>
      </x:c>
      <x:c r="O16" s="83" t="n">
        <x:v>64</x:v>
      </x:c>
      <x:c r="P16" s="83" t="str">
        <x:v>Table 18</x:v>
      </x:c>
      <x:c r="Q16" s="83" t="str">
        <x:v>Risultato di modello della fonte</x:v>
      </x:c>
      <x:c r="R16" s="83" t="str">
        <x:v>Direct magnitude; source balance uses negative accounting signs</x:v>
      </x:c>
      <x:c r="S16" s="83" t="str">
        <x:v>A — Direct</x:v>
      </x:c>
      <x:c r="T16" s="83" t="str">
        <x:v>Annual QA after dispatch; not an efficiency parameter.</x:v>
      </x:c>
      <x:c r="U16" s="83" t="str">
        <x:v>Magnitude stored as positive value.</x:v>
      </x:c>
    </x:row>
    <x:row r="17">
      <x:c r="A17" s="83" t="str">
        <x:v>FL-013</x:v>
      </x:c>
      <x:c r="B17" s="83" t="str">
        <x:v>GA_IT_2040</x:v>
      </x:c>
      <x:c r="C17" s="83" t="n">
        <x:v>2040</x:v>
      </x:c>
      <x:c r="D17" s="83" t="str">
        <x:v>GA-IT 2040</x:v>
      </x:c>
      <x:c r="E17" s="83" t="str">
        <x:v>Annual</x:v>
      </x:c>
      <x:c r="F17" s="83" t="str">
        <x:v>Storage</x:v>
      </x:c>
      <x:c r="G17" s="83" t="str">
        <x:v>Storage energy losses</x:v>
      </x:c>
      <x:c r="H17" s="83" t="str">
        <x:v>=</x:v>
      </x:c>
      <x:c r="I17" s="197" t="n">
        <x:v>7</x:v>
      </x:c>
      <x:c r="J17" s="83" t="str">
        <x:v>TWh</x:v>
      </x:c>
      <x:c r="K17" s="83" t="str">
        <x:v>Source model result</x:v>
      </x:c>
      <x:c r="L17" s="83" t="str">
        <x:v>S09</x:v>
      </x:c>
      <x:c r="M17" s="83" t="str">
        <x:v>Documento di Descrizione degli Scenari 2024</x:v>
      </x:c>
      <x:c r="N17" s="83" t="n">
        <x:v>66</x:v>
      </x:c>
      <x:c r="O17" s="83" t="n">
        <x:v>64</x:v>
      </x:c>
      <x:c r="P17" s="83" t="str">
        <x:v>Table 18</x:v>
      </x:c>
      <x:c r="Q17" s="83" t="str">
        <x:v>Risultato di modello della fonte</x:v>
      </x:c>
      <x:c r="R17" s="83" t="str">
        <x:v>Direct magnitude; source balance uses negative accounting signs</x:v>
      </x:c>
      <x:c r="S17" s="83" t="str">
        <x:v>A — Direct</x:v>
      </x:c>
      <x:c r="T17" s="83" t="str">
        <x:v>Annual QA after dispatch; not an efficiency parameter.</x:v>
      </x:c>
      <x:c r="U17" s="83" t="str">
        <x:v>Magnitude stored as positive value.</x:v>
      </x:c>
    </x:row>
    <x:row r="18">
      <x:c r="A18" s="83" t="str">
        <x:v>FL-014</x:v>
      </x:c>
      <x:c r="B18" s="83" t="str">
        <x:v>GA_IT_2040</x:v>
      </x:c>
      <x:c r="C18" s="83" t="n">
        <x:v>2040</x:v>
      </x:c>
      <x:c r="D18" s="83" t="str">
        <x:v>GA-IT 2040</x:v>
      </x:c>
      <x:c r="E18" s="83" t="str">
        <x:v>Annual</x:v>
      </x:c>
      <x:c r="F18" s="83" t="str">
        <x:v>Curtailment</x:v>
      </x:c>
      <x:c r="G18" s="83" t="str">
        <x:v>Overgeneration / curtailment</x:v>
      </x:c>
      <x:c r="H18" s="83" t="str">
        <x:v>=</x:v>
      </x:c>
      <x:c r="I18" s="197" t="n">
        <x:v>10</x:v>
      </x:c>
      <x:c r="J18" s="83" t="str">
        <x:v>TWh</x:v>
      </x:c>
      <x:c r="K18" s="83" t="str">
        <x:v>Source model result</x:v>
      </x:c>
      <x:c r="L18" s="83" t="str">
        <x:v>S09</x:v>
      </x:c>
      <x:c r="M18" s="83" t="str">
        <x:v>Documento di Descrizione degli Scenari 2024</x:v>
      </x:c>
      <x:c r="N18" s="83" t="n">
        <x:v>66</x:v>
      </x:c>
      <x:c r="O18" s="83" t="n">
        <x:v>64</x:v>
      </x:c>
      <x:c r="P18" s="83" t="str">
        <x:v>Table 18</x:v>
      </x:c>
      <x:c r="Q18" s="83" t="str">
        <x:v>Risultato di modello della fonte</x:v>
      </x:c>
      <x:c r="R18" s="83" t="str">
        <x:v>Direct magnitude; source balance uses negative accounting signs</x:v>
      </x:c>
      <x:c r="S18" s="83" t="str">
        <x:v>A — Direct</x:v>
      </x:c>
      <x:c r="T18" s="83" t="str">
        <x:v>Annual QA after dispatch; not an efficiency parameter.</x:v>
      </x:c>
      <x:c r="U18" s="83" t="str">
        <x:v>Magnitude stored as positive value.</x:v>
      </x:c>
    </x:row>
    <x:row r="19">
      <x:c r="A19" s="83" t="str">
        <x:v>FL-015</x:v>
      </x:c>
      <x:c r="B19" s="83" t="str">
        <x:v>PNIEC_SLOW_2040</x:v>
      </x:c>
      <x:c r="C19" s="83" t="n">
        <x:v>2040</x:v>
      </x:c>
      <x:c r="D19" s="83" t="str">
        <x:v>PNIEC Slow 2040</x:v>
      </x:c>
      <x:c r="E19" s="83" t="str">
        <x:v>Annual</x:v>
      </x:c>
      <x:c r="F19" s="83" t="str">
        <x:v>Storage</x:v>
      </x:c>
      <x:c r="G19" s="83" t="str">
        <x:v>Storage energy losses</x:v>
      </x:c>
      <x:c r="H19" s="83" t="str">
        <x:v>=</x:v>
      </x:c>
      <x:c r="I19" s="197" t="n">
        <x:v>6</x:v>
      </x:c>
      <x:c r="J19" s="83" t="str">
        <x:v>TWh</x:v>
      </x:c>
      <x:c r="K19" s="83" t="str">
        <x:v>Source model result</x:v>
      </x:c>
      <x:c r="L19" s="83" t="str">
        <x:v>S09</x:v>
      </x:c>
      <x:c r="M19" s="83" t="str">
        <x:v>Documento di Descrizione degli Scenari 2024</x:v>
      </x:c>
      <x:c r="N19" s="83" t="n">
        <x:v>66</x:v>
      </x:c>
      <x:c r="O19" s="83" t="n">
        <x:v>64</x:v>
      </x:c>
      <x:c r="P19" s="83" t="str">
        <x:v>Table 18</x:v>
      </x:c>
      <x:c r="Q19" s="83" t="str">
        <x:v>Risultato di modello della fonte</x:v>
      </x:c>
      <x:c r="R19" s="83" t="str">
        <x:v>Direct magnitude; source balance uses negative accounting signs</x:v>
      </x:c>
      <x:c r="S19" s="83" t="str">
        <x:v>A — Direct</x:v>
      </x:c>
      <x:c r="T19" s="83" t="str">
        <x:v>Annual QA after dispatch; not an efficiency parameter.</x:v>
      </x:c>
      <x:c r="U19" s="83" t="str">
        <x:v>Magnitude stored as positive value.</x:v>
      </x:c>
    </x:row>
    <x:row r="20">
      <x:c r="A20" s="83" t="str">
        <x:v>FL-016</x:v>
      </x:c>
      <x:c r="B20" s="83" t="str">
        <x:v>PNIEC_SLOW_2040</x:v>
      </x:c>
      <x:c r="C20" s="83" t="n">
        <x:v>2040</x:v>
      </x:c>
      <x:c r="D20" s="83" t="str">
        <x:v>PNIEC Slow 2040</x:v>
      </x:c>
      <x:c r="E20" s="83" t="str">
        <x:v>Annual</x:v>
      </x:c>
      <x:c r="F20" s="83" t="str">
        <x:v>Curtailment</x:v>
      </x:c>
      <x:c r="G20" s="83" t="str">
        <x:v>Overgeneration / curtailment</x:v>
      </x:c>
      <x:c r="H20" s="83" t="str">
        <x:v>=</x:v>
      </x:c>
      <x:c r="I20" s="197" t="n">
        <x:v>8</x:v>
      </x:c>
      <x:c r="J20" s="83" t="str">
        <x:v>TWh</x:v>
      </x:c>
      <x:c r="K20" s="83" t="str">
        <x:v>Source model result</x:v>
      </x:c>
      <x:c r="L20" s="83" t="str">
        <x:v>S09</x:v>
      </x:c>
      <x:c r="M20" s="83" t="str">
        <x:v>Documento di Descrizione degli Scenari 2024</x:v>
      </x:c>
      <x:c r="N20" s="83" t="n">
        <x:v>66</x:v>
      </x:c>
      <x:c r="O20" s="83" t="n">
        <x:v>64</x:v>
      </x:c>
      <x:c r="P20" s="83" t="str">
        <x:v>Table 18</x:v>
      </x:c>
      <x:c r="Q20" s="83" t="str">
        <x:v>Risultato di modello della fonte</x:v>
      </x:c>
      <x:c r="R20" s="83" t="str">
        <x:v>Direct magnitude; source balance uses negative accounting signs</x:v>
      </x:c>
      <x:c r="S20" s="83" t="str">
        <x:v>A — Direct</x:v>
      </x:c>
      <x:c r="T20" s="83" t="str">
        <x:v>Annual QA after dispatch; not an efficiency parameter.</x:v>
      </x:c>
      <x:c r="U20" s="83" t="str">
        <x:v>Magnitude stored as positive value.</x:v>
      </x:c>
    </x:row>
    <x:row r="21">
      <x:c r="A21" s="83" t="str">
        <x:v>FL-017</x:v>
      </x:c>
      <x:c r="B21" s="83" t="str">
        <x:v>PNIEC_POLICY_2030</x:v>
      </x:c>
      <x:c r="C21" s="83" t="n">
        <x:v>2030</x:v>
      </x:c>
      <x:c r="D21" s="83" t="str">
        <x:v>PNIEC Policy 2030</x:v>
      </x:c>
      <x:c r="E21" s="83" t="str">
        <x:v>Annual</x:v>
      </x:c>
      <x:c r="F21" s="83" t="str">
        <x:v>Storage operation</x:v>
      </x:c>
      <x:c r="G21" s="83" t="str">
        <x:v>Equivalent operating hours — total</x:v>
      </x:c>
      <x:c r="H21" s="83" t="str">
        <x:v>=</x:v>
      </x:c>
      <x:c r="I21" s="197" t="n">
        <x:v>3300</x:v>
      </x:c>
      <x:c r="J21" s="83" t="str">
        <x:v>h/year</x:v>
      </x:c>
      <x:c r="K21" s="83" t="str">
        <x:v>Indicative source operation</x:v>
      </x:c>
      <x:c r="L21" s="83" t="str">
        <x:v>S09</x:v>
      </x:c>
      <x:c r="M21" s="83" t="str">
        <x:v>Documento di Descrizione degli Scenari 2024</x:v>
      </x:c>
      <x:c r="N21" s="83" t="n">
        <x:v>70</x:v>
      </x:c>
      <x:c r="O21" s="83" t="n">
        <x:v>68</x:v>
      </x:c>
      <x:c r="P21" s="83" t="str">
        <x:v>Narrative before Figure 36</x:v>
      </x:c>
      <x:c r="Q21" s="83" t="str">
        <x:v>Direct</x:v>
      </x:c>
      <x:c r="R21" s="83" t="str">
        <x:v>Direct indicative value</x:v>
      </x:c>
      <x:c r="S21" s="83" t="str">
        <x:v>A direct / B derived</x:v>
      </x:c>
      <x:c r="T21" s="83" t="str">
        <x:v>Operational plausibility check; not a hard cycling constraint.</x:v>
      </x:c>
      <x:c r="U21" s="83" t="str">
        <x:v>Refers indicatively to an 8-hour storage resource in 2030.</x:v>
      </x:c>
    </x:row>
    <x:row r="22">
      <x:c r="A22" s="83" t="str">
        <x:v>FL-018</x:v>
      </x:c>
      <x:c r="B22" s="83" t="str">
        <x:v>PNIEC_POLICY_2030</x:v>
      </x:c>
      <x:c r="C22" s="83" t="n">
        <x:v>2030</x:v>
      </x:c>
      <x:c r="D22" s="83" t="str">
        <x:v>PNIEC Policy 2030</x:v>
      </x:c>
      <x:c r="E22" s="83" t="str">
        <x:v>Annual</x:v>
      </x:c>
      <x:c r="F22" s="83" t="str">
        <x:v>Storage operation</x:v>
      </x:c>
      <x:c r="G22" s="83" t="str">
        <x:v>Equivalent charging hours</x:v>
      </x:c>
      <x:c r="H22" s="83" t="str">
        <x:v>=</x:v>
      </x:c>
      <x:c r="I22" s="197" t="n">
        <x:v>1800</x:v>
      </x:c>
      <x:c r="J22" s="83" t="str">
        <x:v>h/year</x:v>
      </x:c>
      <x:c r="K22" s="83" t="str">
        <x:v>Indicative source operation</x:v>
      </x:c>
      <x:c r="L22" s="83" t="str">
        <x:v>S09</x:v>
      </x:c>
      <x:c r="M22" s="83" t="str">
        <x:v>Documento di Descrizione degli Scenari 2024</x:v>
      </x:c>
      <x:c r="N22" s="83" t="n">
        <x:v>70</x:v>
      </x:c>
      <x:c r="O22" s="83" t="n">
        <x:v>68</x:v>
      </x:c>
      <x:c r="P22" s="83" t="str">
        <x:v>Narrative before Figure 36</x:v>
      </x:c>
      <x:c r="Q22" s="83" t="str">
        <x:v>Direct</x:v>
      </x:c>
      <x:c r="R22" s="83" t="str">
        <x:v>Direct indicative value</x:v>
      </x:c>
      <x:c r="S22" s="83" t="str">
        <x:v>A direct / B derived</x:v>
      </x:c>
      <x:c r="T22" s="83" t="str">
        <x:v>Operational plausibility check; not a hard cycling constraint.</x:v>
      </x:c>
      <x:c r="U22" s="83" t="str">
        <x:v>Refers indicatively to an 8-hour storage resource in 2030.</x:v>
      </x:c>
    </x:row>
    <x:row r="23">
      <x:c r="A23" s="83" t="str">
        <x:v>FL-019</x:v>
      </x:c>
      <x:c r="B23" s="83" t="str">
        <x:v>PNIEC_POLICY_2030</x:v>
      </x:c>
      <x:c r="C23" s="83" t="n">
        <x:v>2030</x:v>
      </x:c>
      <x:c r="D23" s="83" t="str">
        <x:v>PNIEC Policy 2030</x:v>
      </x:c>
      <x:c r="E23" s="83" t="str">
        <x:v>Annual</x:v>
      </x:c>
      <x:c r="F23" s="83" t="str">
        <x:v>Storage operation</x:v>
      </x:c>
      <x:c r="G23" s="83" t="str">
        <x:v>Equivalent discharging hours</x:v>
      </x:c>
      <x:c r="H23" s="83" t="str">
        <x:v>=</x:v>
      </x:c>
      <x:c r="I23" s="197" t="n">
        <x:v>1500</x:v>
      </x:c>
      <x:c r="J23" s="83" t="str">
        <x:v>h/year</x:v>
      </x:c>
      <x:c r="K23" s="83" t="str">
        <x:v>Indicative source operation</x:v>
      </x:c>
      <x:c r="L23" s="83" t="str">
        <x:v>S09</x:v>
      </x:c>
      <x:c r="M23" s="83" t="str">
        <x:v>Documento di Descrizione degli Scenari 2024</x:v>
      </x:c>
      <x:c r="N23" s="83" t="n">
        <x:v>70</x:v>
      </x:c>
      <x:c r="O23" s="83" t="n">
        <x:v>68</x:v>
      </x:c>
      <x:c r="P23" s="83" t="str">
        <x:v>Narrative before Figure 36</x:v>
      </x:c>
      <x:c r="Q23" s="83" t="str">
        <x:v>Direct</x:v>
      </x:c>
      <x:c r="R23" s="83" t="str">
        <x:v>Direct indicative value</x:v>
      </x:c>
      <x:c r="S23" s="83" t="str">
        <x:v>A direct / B derived</x:v>
      </x:c>
      <x:c r="T23" s="83" t="str">
        <x:v>Operational plausibility check; not a hard cycling constraint.</x:v>
      </x:c>
      <x:c r="U23" s="83" t="str">
        <x:v>Refers indicatively to an 8-hour storage resource in 2030.</x:v>
      </x:c>
    </x:row>
    <x:row r="24">
      <x:c r="A24" s="83" t="str">
        <x:v>FL-020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Annual</x:v>
      </x:c>
      <x:c r="F24" s="83" t="str">
        <x:v>Storage operation</x:v>
      </x:c>
      <x:c r="G24" s="83" t="str">
        <x:v>Equivalent full charge cycles</x:v>
      </x:c>
      <x:c r="H24" s="83" t="str">
        <x:v>=</x:v>
      </x:c>
      <x:c r="I24" s="197" t="n">
        <x:v>225</x:v>
      </x:c>
      <x:c r="J24" s="83" t="str">
        <x:v>cycles/year</x:v>
      </x:c>
      <x:c r="K24" s="83" t="str">
        <x:v>Derived</x:v>
      </x:c>
      <x:c r="L24" s="83" t="str">
        <x:v>S09</x:v>
      </x:c>
      <x:c r="M24" s="83" t="str">
        <x:v>Documento di Descrizione degli Scenari 2024</x:v>
      </x:c>
      <x:c r="N24" s="83" t="n">
        <x:v>70</x:v>
      </x:c>
      <x:c r="O24" s="83" t="n">
        <x:v>68</x:v>
      </x:c>
      <x:c r="P24" s="83" t="str">
        <x:v>Narrative before Figure 36</x:v>
      </x:c>
      <x:c r="Q24" s="83" t="str">
        <x:v>B — Derived</x:v>
      </x:c>
      <x:c r="R24" s="83" t="str">
        <x:v>1800 h / 8 h</x:v>
      </x:c>
      <x:c r="S24" s="83" t="str">
        <x:v>A direct / B derived</x:v>
      </x:c>
      <x:c r="T24" s="83" t="str">
        <x:v>Operational plausibility check; not a hard cycling constraint.</x:v>
      </x:c>
      <x:c r="U24" s="83" t="str">
        <x:v>Refers indicatively to an 8-hour storage resource in 2030.</x:v>
      </x:c>
    </x:row>
    <x:row r="25">
      <x:c r="A25" s="83" t="str">
        <x:v>FL-021</x:v>
      </x:c>
      <x:c r="B25" s="83" t="str">
        <x:v>PNIEC_POLICY_2030</x:v>
      </x:c>
      <x:c r="C25" s="83" t="n">
        <x:v>2030</x:v>
      </x:c>
      <x:c r="D25" s="83" t="str">
        <x:v>PNIEC Policy 2030</x:v>
      </x:c>
      <x:c r="E25" s="83" t="str">
        <x:v>Annual</x:v>
      </x:c>
      <x:c r="F25" s="83" t="str">
        <x:v>Storage operation</x:v>
      </x:c>
      <x:c r="G25" s="83" t="str">
        <x:v>Equivalent full discharge cycles</x:v>
      </x:c>
      <x:c r="H25" s="83" t="str">
        <x:v>=</x:v>
      </x:c>
      <x:c r="I25" s="197" t="n">
        <x:v>187.5</x:v>
      </x:c>
      <x:c r="J25" s="83" t="str">
        <x:v>cycles/year</x:v>
      </x:c>
      <x:c r="K25" s="83" t="str">
        <x:v>Derived</x:v>
      </x:c>
      <x:c r="L25" s="83" t="str">
        <x:v>S09</x:v>
      </x:c>
      <x:c r="M25" s="83" t="str">
        <x:v>Documento di Descrizione degli Scenari 2024</x:v>
      </x:c>
      <x:c r="N25" s="83" t="n">
        <x:v>70</x:v>
      </x:c>
      <x:c r="O25" s="83" t="n">
        <x:v>68</x:v>
      </x:c>
      <x:c r="P25" s="83" t="str">
        <x:v>Narrative before Figure 36</x:v>
      </x:c>
      <x:c r="Q25" s="83" t="str">
        <x:v>B — Derived</x:v>
      </x:c>
      <x:c r="R25" s="83" t="str">
        <x:v>1500 h / 8 h</x:v>
      </x:c>
      <x:c r="S25" s="83" t="str">
        <x:v>A direct / B derived</x:v>
      </x:c>
      <x:c r="T25" s="83" t="str">
        <x:v>Operational plausibility check; not a hard cycling constraint.</x:v>
      </x:c>
      <x:c r="U25" s="83" t="str">
        <x:v>Refers indicatively to an 8-hour storage resource in 2030.</x:v>
      </x:c>
    </x:row>
    <x:row r="26">
      <x:c r="A26" s="83" t="str">
        <x:v>FL-022</x:v>
      </x:c>
      <x:c r="B26" s="83" t="str">
        <x:v>PNIEC_POLICY_2030</x:v>
      </x:c>
      <x:c r="C26" s="83" t="n">
        <x:v>2030</x:v>
      </x:c>
      <x:c r="D26" s="83" t="str">
        <x:v>PNIEC Policy 2030</x:v>
      </x:c>
      <x:c r="E26" s="83" t="str">
        <x:v>Annual</x:v>
      </x:c>
      <x:c r="F26" s="83" t="str">
        <x:v>Flexible demand / hydrogen</x:v>
      </x:c>
      <x:c r="G26" s="83" t="str">
        <x:v>Electrolyser installed power</x:v>
      </x:c>
      <x:c r="H26" s="83" t="str">
        <x:v>=</x:v>
      </x:c>
      <x:c r="I26" s="197" t="n">
        <x:v>3</x:v>
      </x:c>
      <x:c r="J26" s="83" t="str">
        <x:v>GW</x:v>
      </x:c>
      <x:c r="K26" s="83" t="str">
        <x:v>Scenario configuration</x:v>
      </x:c>
      <x:c r="L26" s="83" t="str">
        <x:v>S09</x:v>
      </x:c>
      <x:c r="M26" s="83" t="str">
        <x:v>Documento di Descrizione degli Scenari 2024</x:v>
      </x:c>
      <x:c r="N26" s="83" t="n">
        <x:v>63</x:v>
      </x:c>
      <x:c r="O26" s="83" t="str">
        <x:v>60-61 / 68</x:v>
      </x:c>
      <x:c r="P26" s="83" t="str">
        <x:v>Figure 29 / Figure 37</x:v>
      </x:c>
      <x:c r="Q26" s="83" t="str">
        <x:v>Assunzione di scenario</x:v>
      </x:c>
      <x:c r="R26" s="83" t="str">
        <x:v>Direct</x:v>
      </x:c>
      <x:c r="S26" s="83" t="str">
        <x:v>A direct / B derived</x:v>
      </x:c>
      <x:c r="T26" s="83" t="str">
        <x:v>Flexible Load/Link dispatch; at least 3,000 h and low-price activation.</x:v>
      </x:c>
      <x:c r="U26" s="83" t="str">
        <x:v>DDS models electrolysers as loads activated in low or zero price hours.</x:v>
      </x:c>
    </x:row>
    <x:row r="27">
      <x:c r="A27" s="83" t="str">
        <x:v>FL-023</x:v>
      </x:c>
      <x:c r="B27" s="83" t="str">
        <x:v>PNIEC_POLICY_2030</x:v>
      </x:c>
      <x:c r="C27" s="83" t="n">
        <x:v>2030</x:v>
      </x:c>
      <x:c r="D27" s="83" t="str">
        <x:v>PNIEC Policy 2030</x:v>
      </x:c>
      <x:c r="E27" s="83" t="str">
        <x:v>Annual</x:v>
      </x:c>
      <x:c r="F27" s="83" t="str">
        <x:v>Flexible demand / hydrogen</x:v>
      </x:c>
      <x:c r="G27" s="83" t="str">
        <x:v>Electrolyser electricity consumption</x:v>
      </x:c>
      <x:c r="H27" s="83" t="str">
        <x:v>=</x:v>
      </x:c>
      <x:c r="I27" s="197" t="n">
        <x:v>10</x:v>
      </x:c>
      <x:c r="J27" s="83" t="str">
        <x:v>TWh</x:v>
      </x:c>
      <x:c r="K27" s="83" t="str">
        <x:v>Scenario configuration</x:v>
      </x:c>
      <x:c r="L27" s="83" t="str">
        <x:v>S09</x:v>
      </x:c>
      <x:c r="M27" s="83" t="str">
        <x:v>Documento di Descrizione degli Scenari 2024</x:v>
      </x:c>
      <x:c r="N27" s="83" t="n">
        <x:v>70</x:v>
      </x:c>
      <x:c r="O27" s="83" t="str">
        <x:v>60-61 / 68</x:v>
      </x:c>
      <x:c r="P27" s="83" t="str">
        <x:v>Figure 29 / Figure 37</x:v>
      </x:c>
      <x:c r="Q27" s="83" t="str">
        <x:v>Assunzione di scenario</x:v>
      </x:c>
      <x:c r="R27" s="83" t="str">
        <x:v>Direct</x:v>
      </x:c>
      <x:c r="S27" s="83" t="str">
        <x:v>A direct / B derived</x:v>
      </x:c>
      <x:c r="T27" s="83" t="str">
        <x:v>Flexible Load/Link dispatch; at least 3,000 h and low-price activation.</x:v>
      </x:c>
      <x:c r="U27" s="83" t="str">
        <x:v>DDS models electrolysers as loads activated in low or zero price hours.</x:v>
      </x:c>
    </x:row>
    <x:row r="28">
      <x:c r="A28" s="83" t="str">
        <x:v>FL-024</x:v>
      </x:c>
      <x:c r="B28" s="83" t="str">
        <x:v>PNIEC_POLICY_2030</x:v>
      </x:c>
      <x:c r="C28" s="83" t="n">
        <x:v>2030</x:v>
      </x:c>
      <x:c r="D28" s="83" t="str">
        <x:v>PNIEC Policy 2030</x:v>
      </x:c>
      <x:c r="E28" s="83" t="str">
        <x:v>Annual</x:v>
      </x:c>
      <x:c r="F28" s="83" t="str">
        <x:v>Flexible demand / hydrogen</x:v>
      </x:c>
      <x:c r="G28" s="83" t="str">
        <x:v>Implied average operating hours</x:v>
      </x:c>
      <x:c r="H28" s="83" t="str">
        <x:v>=</x:v>
      </x:c>
      <x:c r="I28" s="197" t="n">
        <x:v>3333.3333333333335</x:v>
      </x:c>
      <x:c r="J28" s="83" t="str">
        <x:v>h/year</x:v>
      </x:c>
      <x:c r="K28" s="83" t="str">
        <x:v>Derived</x:v>
      </x:c>
      <x:c r="L28" s="83" t="str">
        <x:v>S09</x:v>
      </x:c>
      <x:c r="M28" s="83" t="str">
        <x:v>Documento di Descrizione degli Scenari 2024</x:v>
      </x:c>
      <x:c r="N28" s="83" t="n">
        <x:v>70</x:v>
      </x:c>
      <x:c r="O28" s="83" t="str">
        <x:v>60-61 / 68</x:v>
      </x:c>
      <x:c r="P28" s="83" t="str">
        <x:v>Figure 29 / Figure 37</x:v>
      </x:c>
      <x:c r="Q28" s="83" t="str">
        <x:v>B — Derived</x:v>
      </x:c>
      <x:c r="R28" s="83" t="str">
        <x:v>TWh × 1000 / GW</x:v>
      </x:c>
      <x:c r="S28" s="83" t="str">
        <x:v>A direct / B derived</x:v>
      </x:c>
      <x:c r="T28" s="83" t="str">
        <x:v>Flexible Load/Link dispatch; at least 3,000 h and low-price activation.</x:v>
      </x:c>
      <x:c r="U28" s="83" t="str">
        <x:v>DDS models electrolysers as loads activated in low or zero price hours.</x:v>
      </x:c>
    </x:row>
    <x:row r="29">
      <x:c r="A29" s="83" t="str">
        <x:v>FL-025</x:v>
      </x:c>
      <x:c r="B29" s="83" t="str">
        <x:v>PNIEC_SLOW_2030</x:v>
      </x:c>
      <x:c r="C29" s="83" t="n">
        <x:v>2030</x:v>
      </x:c>
      <x:c r="D29" s="83" t="str">
        <x:v>PNIEC Slow 2030</x:v>
      </x:c>
      <x:c r="E29" s="83" t="str">
        <x:v>Annual</x:v>
      </x:c>
      <x:c r="F29" s="83" t="str">
        <x:v>Flexible demand / hydrogen</x:v>
      </x:c>
      <x:c r="G29" s="83" t="str">
        <x:v>Electrolyser installed power</x:v>
      </x:c>
      <x:c r="H29" s="83" t="str">
        <x:v>=</x:v>
      </x:c>
      <x:c r="I29" s="197" t="n">
        <x:v>1.8</x:v>
      </x:c>
      <x:c r="J29" s="83" t="str">
        <x:v>GW</x:v>
      </x:c>
      <x:c r="K29" s="83" t="str">
        <x:v>Scenario configuration</x:v>
      </x:c>
      <x:c r="L29" s="83" t="str">
        <x:v>S09</x:v>
      </x:c>
      <x:c r="M29" s="83" t="str">
        <x:v>Documento di Descrizione degli Scenari 2024</x:v>
      </x:c>
      <x:c r="N29" s="83" t="n">
        <x:v>63</x:v>
      </x:c>
      <x:c r="O29" s="83" t="str">
        <x:v>60-61 / 68</x:v>
      </x:c>
      <x:c r="P29" s="83" t="str">
        <x:v>Figure 29 / Figure 37</x:v>
      </x:c>
      <x:c r="Q29" s="83" t="str">
        <x:v>Assunzione di scenario</x:v>
      </x:c>
      <x:c r="R29" s="83" t="str">
        <x:v>Direct</x:v>
      </x:c>
      <x:c r="S29" s="83" t="str">
        <x:v>A direct / B derived</x:v>
      </x:c>
      <x:c r="T29" s="83" t="str">
        <x:v>Flexible Load/Link dispatch; at least 3,000 h and low-price activation.</x:v>
      </x:c>
      <x:c r="U29" s="83" t="str">
        <x:v>DDS models electrolysers as loads activated in low or zero price hours.</x:v>
      </x:c>
    </x:row>
    <x:row r="30">
      <x:c r="A30" s="83" t="str">
        <x:v>FL-026</x:v>
      </x:c>
      <x:c r="B30" s="83" t="str">
        <x:v>PNIEC_SLOW_2030</x:v>
      </x:c>
      <x:c r="C30" s="83" t="n">
        <x:v>2030</x:v>
      </x:c>
      <x:c r="D30" s="83" t="str">
        <x:v>PNIEC Slow 2030</x:v>
      </x:c>
      <x:c r="E30" s="83" t="str">
        <x:v>Annual</x:v>
      </x:c>
      <x:c r="F30" s="83" t="str">
        <x:v>Flexible demand / hydrogen</x:v>
      </x:c>
      <x:c r="G30" s="83" t="str">
        <x:v>Electrolyser electricity consumption</x:v>
      </x:c>
      <x:c r="H30" s="83" t="str">
        <x:v>=</x:v>
      </x:c>
      <x:c r="I30" s="197" t="n">
        <x:v>6</x:v>
      </x:c>
      <x:c r="J30" s="83" t="str">
        <x:v>TWh</x:v>
      </x:c>
      <x:c r="K30" s="83" t="str">
        <x:v>Scenario configuration</x:v>
      </x:c>
      <x:c r="L30" s="83" t="str">
        <x:v>S09</x:v>
      </x:c>
      <x:c r="M30" s="83" t="str">
        <x:v>Documento di Descrizione degli Scenari 2024</x:v>
      </x:c>
      <x:c r="N30" s="83" t="n">
        <x:v>70</x:v>
      </x:c>
      <x:c r="O30" s="83" t="str">
        <x:v>60-61 / 68</x:v>
      </x:c>
      <x:c r="P30" s="83" t="str">
        <x:v>Figure 29 / Figure 37</x:v>
      </x:c>
      <x:c r="Q30" s="83" t="str">
        <x:v>Assunzione di scenario</x:v>
      </x:c>
      <x:c r="R30" s="83" t="str">
        <x:v>Direct</x:v>
      </x:c>
      <x:c r="S30" s="83" t="str">
        <x:v>A direct / B derived</x:v>
      </x:c>
      <x:c r="T30" s="83" t="str">
        <x:v>Flexible Load/Link dispatch; at least 3,000 h and low-price activation.</x:v>
      </x:c>
      <x:c r="U30" s="83" t="str">
        <x:v>DDS models electrolysers as loads activated in low or zero price hours.</x:v>
      </x:c>
    </x:row>
    <x:row r="31">
      <x:c r="A31" s="83" t="str">
        <x:v>FL-027</x:v>
      </x:c>
      <x:c r="B31" s="83" t="str">
        <x:v>PNIEC_SLOW_2030</x:v>
      </x:c>
      <x:c r="C31" s="83" t="n">
        <x:v>2030</x:v>
      </x:c>
      <x:c r="D31" s="83" t="str">
        <x:v>PNIEC Slow 2030</x:v>
      </x:c>
      <x:c r="E31" s="83" t="str">
        <x:v>Annual</x:v>
      </x:c>
      <x:c r="F31" s="83" t="str">
        <x:v>Flexible demand / hydrogen</x:v>
      </x:c>
      <x:c r="G31" s="83" t="str">
        <x:v>Implied average operating hours</x:v>
      </x:c>
      <x:c r="H31" s="83" t="str">
        <x:v>=</x:v>
      </x:c>
      <x:c r="I31" s="197" t="n">
        <x:v>3333.333333333333</x:v>
      </x:c>
      <x:c r="J31" s="83" t="str">
        <x:v>h/year</x:v>
      </x:c>
      <x:c r="K31" s="83" t="str">
        <x:v>Derived</x:v>
      </x:c>
      <x:c r="L31" s="83" t="str">
        <x:v>S09</x:v>
      </x:c>
      <x:c r="M31" s="83" t="str">
        <x:v>Documento di Descrizione degli Scenari 2024</x:v>
      </x:c>
      <x:c r="N31" s="83" t="n">
        <x:v>70</x:v>
      </x:c>
      <x:c r="O31" s="83" t="str">
        <x:v>60-61 / 68</x:v>
      </x:c>
      <x:c r="P31" s="83" t="str">
        <x:v>Figure 29 / Figure 37</x:v>
      </x:c>
      <x:c r="Q31" s="83" t="str">
        <x:v>B — Derived</x:v>
      </x:c>
      <x:c r="R31" s="83" t="str">
        <x:v>TWh × 1000 / GW</x:v>
      </x:c>
      <x:c r="S31" s="83" t="str">
        <x:v>A direct / B derived</x:v>
      </x:c>
      <x:c r="T31" s="83" t="str">
        <x:v>Flexible Load/Link dispatch; at least 3,000 h and low-price activation.</x:v>
      </x:c>
      <x:c r="U31" s="83" t="str">
        <x:v>DDS models electrolysers as loads activated in low or zero price hours.</x:v>
      </x:c>
    </x:row>
    <x:row r="32">
      <x:c r="A32" s="83" t="str">
        <x:v>FL-028</x:v>
      </x:c>
      <x:c r="B32" s="83" t="str">
        <x:v>DE_IT_2035</x:v>
      </x:c>
      <x:c r="C32" s="83" t="n">
        <x:v>2035</x:v>
      </x:c>
      <x:c r="D32" s="83" t="str">
        <x:v>DE-IT 2035</x:v>
      </x:c>
      <x:c r="E32" s="83" t="str">
        <x:v>Annual</x:v>
      </x:c>
      <x:c r="F32" s="83" t="str">
        <x:v>Flexible demand / hydrogen</x:v>
      </x:c>
      <x:c r="G32" s="83" t="str">
        <x:v>Electrolyser installed power</x:v>
      </x:c>
      <x:c r="H32" s="83" t="str">
        <x:v>=</x:v>
      </x:c>
      <x:c r="I32" s="197" t="n">
        <x:v>5.2</x:v>
      </x:c>
      <x:c r="J32" s="83" t="str">
        <x:v>GW</x:v>
      </x:c>
      <x:c r="K32" s="83" t="str">
        <x:v>Scenario configuration</x:v>
      </x:c>
      <x:c r="L32" s="83" t="str">
        <x:v>S09</x:v>
      </x:c>
      <x:c r="M32" s="83" t="str">
        <x:v>Documento di Descrizione degli Scenari 2024</x:v>
      </x:c>
      <x:c r="N32" s="83" t="n">
        <x:v>63</x:v>
      </x:c>
      <x:c r="O32" s="83" t="str">
        <x:v>60-61 / 68</x:v>
      </x:c>
      <x:c r="P32" s="83" t="str">
        <x:v>Figure 29 / Figure 37</x:v>
      </x:c>
      <x:c r="Q32" s="83" t="str">
        <x:v>Assunzione di scenario</x:v>
      </x:c>
      <x:c r="R32" s="83" t="str">
        <x:v>Direct</x:v>
      </x:c>
      <x:c r="S32" s="83" t="str">
        <x:v>A direct / B derived</x:v>
      </x:c>
      <x:c r="T32" s="83" t="str">
        <x:v>Flexible Load/Link dispatch; at least 3,000 h and low-price activation.</x:v>
      </x:c>
      <x:c r="U32" s="83" t="str">
        <x:v>DDS models electrolysers as loads activated in low or zero price hours.</x:v>
      </x:c>
    </x:row>
    <x:row r="33">
      <x:c r="A33" s="83" t="str">
        <x:v>FL-029</x:v>
      </x:c>
      <x:c r="B33" s="83" t="str">
        <x:v>DE_IT_2035</x:v>
      </x:c>
      <x:c r="C33" s="83" t="n">
        <x:v>2035</x:v>
      </x:c>
      <x:c r="D33" s="83" t="str">
        <x:v>DE-IT 2035</x:v>
      </x:c>
      <x:c r="E33" s="83" t="str">
        <x:v>Annual</x:v>
      </x:c>
      <x:c r="F33" s="83" t="str">
        <x:v>Flexible demand / hydrogen</x:v>
      </x:c>
      <x:c r="G33" s="83" t="str">
        <x:v>Electrolyser electricity consumption</x:v>
      </x:c>
      <x:c r="H33" s="83" t="str">
        <x:v>=</x:v>
      </x:c>
      <x:c r="I33" s="197" t="n">
        <x:v>19</x:v>
      </x:c>
      <x:c r="J33" s="83" t="str">
        <x:v>TWh</x:v>
      </x:c>
      <x:c r="K33" s="83" t="str">
        <x:v>Scenario configuration</x:v>
      </x:c>
      <x:c r="L33" s="83" t="str">
        <x:v>S09</x:v>
      </x:c>
      <x:c r="M33" s="83" t="str">
        <x:v>Documento di Descrizione degli Scenari 2024</x:v>
      </x:c>
      <x:c r="N33" s="83" t="n">
        <x:v>70</x:v>
      </x:c>
      <x:c r="O33" s="83" t="str">
        <x:v>60-61 / 68</x:v>
      </x:c>
      <x:c r="P33" s="83" t="str">
        <x:v>Figure 29 / Figure 37</x:v>
      </x:c>
      <x:c r="Q33" s="83" t="str">
        <x:v>Assunzione di scenario</x:v>
      </x:c>
      <x:c r="R33" s="83" t="str">
        <x:v>Direct</x:v>
      </x:c>
      <x:c r="S33" s="83" t="str">
        <x:v>A direct / B derived</x:v>
      </x:c>
      <x:c r="T33" s="83" t="str">
        <x:v>Flexible Load/Link dispatch; at least 3,000 h and low-price activation.</x:v>
      </x:c>
      <x:c r="U33" s="83" t="str">
        <x:v>DDS models electrolysers as loads activated in low or zero price hours.</x:v>
      </x:c>
    </x:row>
    <x:row r="34">
      <x:c r="A34" s="83" t="str">
        <x:v>FL-030</x:v>
      </x:c>
      <x:c r="B34" s="83" t="str">
        <x:v>DE_IT_2035</x:v>
      </x:c>
      <x:c r="C34" s="83" t="n">
        <x:v>2035</x:v>
      </x:c>
      <x:c r="D34" s="83" t="str">
        <x:v>DE-IT 2035</x:v>
      </x:c>
      <x:c r="E34" s="83" t="str">
        <x:v>Annual</x:v>
      </x:c>
      <x:c r="F34" s="83" t="str">
        <x:v>Flexible demand / hydrogen</x:v>
      </x:c>
      <x:c r="G34" s="83" t="str">
        <x:v>Implied average operating hours</x:v>
      </x:c>
      <x:c r="H34" s="83" t="str">
        <x:v>=</x:v>
      </x:c>
      <x:c r="I34" s="197" t="n">
        <x:v>3653.846153846154</x:v>
      </x:c>
      <x:c r="J34" s="83" t="str">
        <x:v>h/year</x:v>
      </x:c>
      <x:c r="K34" s="83" t="str">
        <x:v>Derived</x:v>
      </x:c>
      <x:c r="L34" s="83" t="str">
        <x:v>S09</x:v>
      </x:c>
      <x:c r="M34" s="83" t="str">
        <x:v>Documento di Descrizione degli Scenari 2024</x:v>
      </x:c>
      <x:c r="N34" s="83" t="n">
        <x:v>70</x:v>
      </x:c>
      <x:c r="O34" s="83" t="str">
        <x:v>60-61 / 68</x:v>
      </x:c>
      <x:c r="P34" s="83" t="str">
        <x:v>Figure 29 / Figure 37</x:v>
      </x:c>
      <x:c r="Q34" s="83" t="str">
        <x:v>B — Derived</x:v>
      </x:c>
      <x:c r="R34" s="83" t="str">
        <x:v>TWh × 1000 / GW</x:v>
      </x:c>
      <x:c r="S34" s="83" t="str">
        <x:v>A direct / B derived</x:v>
      </x:c>
      <x:c r="T34" s="83" t="str">
        <x:v>Flexible Load/Link dispatch; at least 3,000 h and low-price activation.</x:v>
      </x:c>
      <x:c r="U34" s="83" t="str">
        <x:v>DDS models electrolysers as loads activated in low or zero price hours.</x:v>
      </x:c>
    </x:row>
    <x:row r="35">
      <x:c r="A35" s="83" t="str">
        <x:v>FL-031</x:v>
      </x:c>
      <x:c r="B35" s="83" t="str">
        <x:v>GA_IT_2035</x:v>
      </x:c>
      <x:c r="C35" s="83" t="n">
        <x:v>2035</x:v>
      </x:c>
      <x:c r="D35" s="83" t="str">
        <x:v>GA-IT 2035</x:v>
      </x:c>
      <x:c r="E35" s="83" t="str">
        <x:v>Annual</x:v>
      </x:c>
      <x:c r="F35" s="83" t="str">
        <x:v>Flexible demand / hydrogen</x:v>
      </x:c>
      <x:c r="G35" s="83" t="str">
        <x:v>Electrolyser installed power</x:v>
      </x:c>
      <x:c r="H35" s="83" t="str">
        <x:v>=</x:v>
      </x:c>
      <x:c r="I35" s="197" t="n">
        <x:v>5.2</x:v>
      </x:c>
      <x:c r="J35" s="83" t="str">
        <x:v>GW</x:v>
      </x:c>
      <x:c r="K35" s="83" t="str">
        <x:v>Scenario configuration</x:v>
      </x:c>
      <x:c r="L35" s="83" t="str">
        <x:v>S09</x:v>
      </x:c>
      <x:c r="M35" s="83" t="str">
        <x:v>Documento di Descrizione degli Scenari 2024</x:v>
      </x:c>
      <x:c r="N35" s="83" t="n">
        <x:v>63</x:v>
      </x:c>
      <x:c r="O35" s="83" t="str">
        <x:v>60-61 / 68</x:v>
      </x:c>
      <x:c r="P35" s="83" t="str">
        <x:v>Figure 29 / Figure 37</x:v>
      </x:c>
      <x:c r="Q35" s="83" t="str">
        <x:v>Assunzione di scenario</x:v>
      </x:c>
      <x:c r="R35" s="83" t="str">
        <x:v>Direct</x:v>
      </x:c>
      <x:c r="S35" s="83" t="str">
        <x:v>A direct / B derived</x:v>
      </x:c>
      <x:c r="T35" s="83" t="str">
        <x:v>Flexible Load/Link dispatch; at least 3,000 h and low-price activation.</x:v>
      </x:c>
      <x:c r="U35" s="83" t="str">
        <x:v>DDS models electrolysers as loads activated in low or zero price hours.</x:v>
      </x:c>
    </x:row>
    <x:row r="36">
      <x:c r="A36" s="83" t="str">
        <x:v>FL-032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Annual</x:v>
      </x:c>
      <x:c r="F36" s="83" t="str">
        <x:v>Flexible demand / hydrogen</x:v>
      </x:c>
      <x:c r="G36" s="83" t="str">
        <x:v>Electrolyser electricity consumption</x:v>
      </x:c>
      <x:c r="H36" s="83" t="str">
        <x:v>=</x:v>
      </x:c>
      <x:c r="I36" s="197" t="n">
        <x:v>19</x:v>
      </x:c>
      <x:c r="J36" s="83" t="str">
        <x:v>TWh</x:v>
      </x:c>
      <x:c r="K36" s="83" t="str">
        <x:v>Scenario configuration</x:v>
      </x:c>
      <x:c r="L36" s="83" t="str">
        <x:v>S09</x:v>
      </x:c>
      <x:c r="M36" s="83" t="str">
        <x:v>Documento di Descrizione degli Scenari 2024</x:v>
      </x:c>
      <x:c r="N36" s="83" t="n">
        <x:v>70</x:v>
      </x:c>
      <x:c r="O36" s="83" t="str">
        <x:v>60-61 / 68</x:v>
      </x:c>
      <x:c r="P36" s="83" t="str">
        <x:v>Figure 29 / Figure 37</x:v>
      </x:c>
      <x:c r="Q36" s="83" t="str">
        <x:v>Assunzione di scenario</x:v>
      </x:c>
      <x:c r="R36" s="83" t="str">
        <x:v>Direct</x:v>
      </x:c>
      <x:c r="S36" s="83" t="str">
        <x:v>A direct / B derived</x:v>
      </x:c>
      <x:c r="T36" s="83" t="str">
        <x:v>Flexible Load/Link dispatch; at least 3,000 h and low-price activation.</x:v>
      </x:c>
      <x:c r="U36" s="83" t="str">
        <x:v>DDS models electrolysers as loads activated in low or zero price hours.</x:v>
      </x:c>
    </x:row>
    <x:row r="37">
      <x:c r="A37" s="83" t="str">
        <x:v>FL-033</x:v>
      </x:c>
      <x:c r="B37" s="83" t="str">
        <x:v>GA_IT_2035</x:v>
      </x:c>
      <x:c r="C37" s="83" t="n">
        <x:v>2035</x:v>
      </x:c>
      <x:c r="D37" s="83" t="str">
        <x:v>GA-IT 2035</x:v>
      </x:c>
      <x:c r="E37" s="83" t="str">
        <x:v>Annual</x:v>
      </x:c>
      <x:c r="F37" s="83" t="str">
        <x:v>Flexible demand / hydrogen</x:v>
      </x:c>
      <x:c r="G37" s="83" t="str">
        <x:v>Implied average operating hours</x:v>
      </x:c>
      <x:c r="H37" s="83" t="str">
        <x:v>=</x:v>
      </x:c>
      <x:c r="I37" s="197" t="n">
        <x:v>3653.846153846154</x:v>
      </x:c>
      <x:c r="J37" s="83" t="str">
        <x:v>h/year</x:v>
      </x:c>
      <x:c r="K37" s="83" t="str">
        <x:v>Derived</x:v>
      </x:c>
      <x:c r="L37" s="83" t="str">
        <x:v>S09</x:v>
      </x:c>
      <x:c r="M37" s="83" t="str">
        <x:v>Documento di Descrizione degli Scenari 2024</x:v>
      </x:c>
      <x:c r="N37" s="83" t="n">
        <x:v>70</x:v>
      </x:c>
      <x:c r="O37" s="83" t="str">
        <x:v>60-61 / 68</x:v>
      </x:c>
      <x:c r="P37" s="83" t="str">
        <x:v>Figure 29 / Figure 37</x:v>
      </x:c>
      <x:c r="Q37" s="83" t="str">
        <x:v>B — Derived</x:v>
      </x:c>
      <x:c r="R37" s="83" t="str">
        <x:v>TWh × 1000 / GW</x:v>
      </x:c>
      <x:c r="S37" s="83" t="str">
        <x:v>A direct / B derived</x:v>
      </x:c>
      <x:c r="T37" s="83" t="str">
        <x:v>Flexible Load/Link dispatch; at least 3,000 h and low-price activation.</x:v>
      </x:c>
      <x:c r="U37" s="83" t="str">
        <x:v>DDS models electrolysers as loads activated in low or zero price hours.</x:v>
      </x:c>
    </x:row>
    <x:row r="38">
      <x:c r="A38" s="83" t="str">
        <x:v>FL-034</x:v>
      </x:c>
      <x:c r="B38" s="83" t="str">
        <x:v>PNIEC_SLOW_2035</x:v>
      </x:c>
      <x:c r="C38" s="83" t="n">
        <x:v>2035</x:v>
      </x:c>
      <x:c r="D38" s="83" t="str">
        <x:v>PNIEC Slow 2035</x:v>
      </x:c>
      <x:c r="E38" s="83" t="str">
        <x:v>Annual</x:v>
      </x:c>
      <x:c r="F38" s="83" t="str">
        <x:v>Flexible demand / hydrogen</x:v>
      </x:c>
      <x:c r="G38" s="83" t="str">
        <x:v>Electrolyser installed power</x:v>
      </x:c>
      <x:c r="H38" s="83" t="str">
        <x:v>=</x:v>
      </x:c>
      <x:c r="I38" s="197" t="n">
        <x:v>3.5</x:v>
      </x:c>
      <x:c r="J38" s="83" t="str">
        <x:v>GW</x:v>
      </x:c>
      <x:c r="K38" s="83" t="str">
        <x:v>Scenario configuration</x:v>
      </x:c>
      <x:c r="L38" s="83" t="str">
        <x:v>S09</x:v>
      </x:c>
      <x:c r="M38" s="83" t="str">
        <x:v>Documento di Descrizione degli Scenari 2024</x:v>
      </x:c>
      <x:c r="N38" s="83" t="n">
        <x:v>63</x:v>
      </x:c>
      <x:c r="O38" s="83" t="str">
        <x:v>60-61 / 68</x:v>
      </x:c>
      <x:c r="P38" s="83" t="str">
        <x:v>Figure 29 / Figure 37</x:v>
      </x:c>
      <x:c r="Q38" s="83" t="str">
        <x:v>Assunzione di scenario</x:v>
      </x:c>
      <x:c r="R38" s="83" t="str">
        <x:v>Direct</x:v>
      </x:c>
      <x:c r="S38" s="83" t="str">
        <x:v>A direct / B derived</x:v>
      </x:c>
      <x:c r="T38" s="83" t="str">
        <x:v>Flexible Load/Link dispatch; at least 3,000 h and low-price activation.</x:v>
      </x:c>
      <x:c r="U38" s="83" t="str">
        <x:v>DDS models electrolysers as loads activated in low or zero price hours.</x:v>
      </x:c>
    </x:row>
    <x:row r="39">
      <x:c r="A39" s="83" t="str">
        <x:v>FL-035</x:v>
      </x:c>
      <x:c r="B39" s="83" t="str">
        <x:v>PNIEC_SLOW_2035</x:v>
      </x:c>
      <x:c r="C39" s="83" t="n">
        <x:v>2035</x:v>
      </x:c>
      <x:c r="D39" s="83" t="str">
        <x:v>PNIEC Slow 2035</x:v>
      </x:c>
      <x:c r="E39" s="83" t="str">
        <x:v>Annual</x:v>
      </x:c>
      <x:c r="F39" s="83" t="str">
        <x:v>Flexible demand / hydrogen</x:v>
      </x:c>
      <x:c r="G39" s="83" t="str">
        <x:v>Electrolyser electricity consumption</x:v>
      </x:c>
      <x:c r="H39" s="83" t="str">
        <x:v>=</x:v>
      </x:c>
      <x:c r="I39" s="197" t="n">
        <x:v>13</x:v>
      </x:c>
      <x:c r="J39" s="83" t="str">
        <x:v>TWh</x:v>
      </x:c>
      <x:c r="K39" s="83" t="str">
        <x:v>Scenario configuration</x:v>
      </x:c>
      <x:c r="L39" s="83" t="str">
        <x:v>S09</x:v>
      </x:c>
      <x:c r="M39" s="83" t="str">
        <x:v>Documento di Descrizione degli Scenari 2024</x:v>
      </x:c>
      <x:c r="N39" s="83" t="n">
        <x:v>70</x:v>
      </x:c>
      <x:c r="O39" s="83" t="str">
        <x:v>60-61 / 68</x:v>
      </x:c>
      <x:c r="P39" s="83" t="str">
        <x:v>Figure 29 / Figure 37</x:v>
      </x:c>
      <x:c r="Q39" s="83" t="str">
        <x:v>Assunzione di scenario</x:v>
      </x:c>
      <x:c r="R39" s="83" t="str">
        <x:v>Direct</x:v>
      </x:c>
      <x:c r="S39" s="83" t="str">
        <x:v>A direct / B derived</x:v>
      </x:c>
      <x:c r="T39" s="83" t="str">
        <x:v>Flexible Load/Link dispatch; at least 3,000 h and low-price activation.</x:v>
      </x:c>
      <x:c r="U39" s="83" t="str">
        <x:v>DDS models electrolysers as loads activated in low or zero price hours.</x:v>
      </x:c>
    </x:row>
    <x:row r="40">
      <x:c r="A40" s="83" t="str">
        <x:v>FL-036</x:v>
      </x:c>
      <x:c r="B40" s="83" t="str">
        <x:v>PNIEC_SLOW_2035</x:v>
      </x:c>
      <x:c r="C40" s="83" t="n">
        <x:v>2035</x:v>
      </x:c>
      <x:c r="D40" s="83" t="str">
        <x:v>PNIEC Slow 2035</x:v>
      </x:c>
      <x:c r="E40" s="83" t="str">
        <x:v>Annual</x:v>
      </x:c>
      <x:c r="F40" s="83" t="str">
        <x:v>Flexible demand / hydrogen</x:v>
      </x:c>
      <x:c r="G40" s="83" t="str">
        <x:v>Implied average operating hours</x:v>
      </x:c>
      <x:c r="H40" s="83" t="str">
        <x:v>=</x:v>
      </x:c>
      <x:c r="I40" s="197" t="n">
        <x:v>3714.285714285714</x:v>
      </x:c>
      <x:c r="J40" s="83" t="str">
        <x:v>h/year</x:v>
      </x:c>
      <x:c r="K40" s="83" t="str">
        <x:v>Derived</x:v>
      </x:c>
      <x:c r="L40" s="83" t="str">
        <x:v>S09</x:v>
      </x:c>
      <x:c r="M40" s="83" t="str">
        <x:v>Documento di Descrizione degli Scenari 2024</x:v>
      </x:c>
      <x:c r="N40" s="83" t="n">
        <x:v>70</x:v>
      </x:c>
      <x:c r="O40" s="83" t="str">
        <x:v>60-61 / 68</x:v>
      </x:c>
      <x:c r="P40" s="83" t="str">
        <x:v>Figure 29 / Figure 37</x:v>
      </x:c>
      <x:c r="Q40" s="83" t="str">
        <x:v>B — Derived</x:v>
      </x:c>
      <x:c r="R40" s="83" t="str">
        <x:v>TWh × 1000 / GW</x:v>
      </x:c>
      <x:c r="S40" s="83" t="str">
        <x:v>A direct / B derived</x:v>
      </x:c>
      <x:c r="T40" s="83" t="str">
        <x:v>Flexible Load/Link dispatch; at least 3,000 h and low-price activation.</x:v>
      </x:c>
      <x:c r="U40" s="83" t="str">
        <x:v>DDS models electrolysers as loads activated in low or zero price hours.</x:v>
      </x:c>
    </x:row>
    <x:row r="41">
      <x:c r="A41" s="83" t="str">
        <x:v>FL-037</x:v>
      </x:c>
      <x:c r="B41" s="83" t="str">
        <x:v>DE_IT_2040</x:v>
      </x:c>
      <x:c r="C41" s="83" t="n">
        <x:v>2040</x:v>
      </x:c>
      <x:c r="D41" s="83" t="str">
        <x:v>DE-IT 2040</x:v>
      </x:c>
      <x:c r="E41" s="83" t="str">
        <x:v>Annual</x:v>
      </x:c>
      <x:c r="F41" s="83" t="str">
        <x:v>Flexible demand / hydrogen</x:v>
      </x:c>
      <x:c r="G41" s="83" t="str">
        <x:v>Electrolyser installed power</x:v>
      </x:c>
      <x:c r="H41" s="83" t="str">
        <x:v>=</x:v>
      </x:c>
      <x:c r="I41" s="197" t="n">
        <x:v>7.4</x:v>
      </x:c>
      <x:c r="J41" s="83" t="str">
        <x:v>GW</x:v>
      </x:c>
      <x:c r="K41" s="83" t="str">
        <x:v>Scenario configuration</x:v>
      </x:c>
      <x:c r="L41" s="83" t="str">
        <x:v>S09</x:v>
      </x:c>
      <x:c r="M41" s="83" t="str">
        <x:v>Documento di Descrizione degli Scenari 2024</x:v>
      </x:c>
      <x:c r="N41" s="83" t="n">
        <x:v>63</x:v>
      </x:c>
      <x:c r="O41" s="83" t="str">
        <x:v>60-61 / 68</x:v>
      </x:c>
      <x:c r="P41" s="83" t="str">
        <x:v>Figure 29 / Figure 37</x:v>
      </x:c>
      <x:c r="Q41" s="83" t="str">
        <x:v>Assunzione di scenario</x:v>
      </x:c>
      <x:c r="R41" s="83" t="str">
        <x:v>Direct</x:v>
      </x:c>
      <x:c r="S41" s="83" t="str">
        <x:v>A direct / B derived</x:v>
      </x:c>
      <x:c r="T41" s="83" t="str">
        <x:v>Flexible Load/Link dispatch; at least 3,000 h and low-price activation.</x:v>
      </x:c>
      <x:c r="U41" s="83" t="str">
        <x:v>DDS models electrolysers as loads activated in low or zero price hours.</x:v>
      </x:c>
    </x:row>
    <x:row r="42">
      <x:c r="A42" s="83" t="str">
        <x:v>FL-038</x:v>
      </x:c>
      <x:c r="B42" s="83" t="str">
        <x:v>DE_IT_2040</x:v>
      </x:c>
      <x:c r="C42" s="83" t="n">
        <x:v>2040</x:v>
      </x:c>
      <x:c r="D42" s="83" t="str">
        <x:v>DE-IT 2040</x:v>
      </x:c>
      <x:c r="E42" s="83" t="str">
        <x:v>Annual</x:v>
      </x:c>
      <x:c r="F42" s="83" t="str">
        <x:v>Flexible demand / hydrogen</x:v>
      </x:c>
      <x:c r="G42" s="83" t="str">
        <x:v>Electrolyser electricity consumption</x:v>
      </x:c>
      <x:c r="H42" s="83" t="str">
        <x:v>=</x:v>
      </x:c>
      <x:c r="I42" s="197" t="n">
        <x:v>27.5</x:v>
      </x:c>
      <x:c r="J42" s="83" t="str">
        <x:v>TWh</x:v>
      </x:c>
      <x:c r="K42" s="83" t="str">
        <x:v>Scenario configuration</x:v>
      </x:c>
      <x:c r="L42" s="83" t="str">
        <x:v>S09</x:v>
      </x:c>
      <x:c r="M42" s="83" t="str">
        <x:v>Documento di Descrizione degli Scenari 2024</x:v>
      </x:c>
      <x:c r="N42" s="83" t="n">
        <x:v>70</x:v>
      </x:c>
      <x:c r="O42" s="83" t="str">
        <x:v>60-61 / 68</x:v>
      </x:c>
      <x:c r="P42" s="83" t="str">
        <x:v>Figure 29 / Figure 37</x:v>
      </x:c>
      <x:c r="Q42" s="83" t="str">
        <x:v>Assunzione di scenario</x:v>
      </x:c>
      <x:c r="R42" s="83" t="str">
        <x:v>Direct</x:v>
      </x:c>
      <x:c r="S42" s="83" t="str">
        <x:v>A direct / B derived</x:v>
      </x:c>
      <x:c r="T42" s="83" t="str">
        <x:v>Flexible Load/Link dispatch; at least 3,000 h and low-price activation.</x:v>
      </x:c>
      <x:c r="U42" s="83" t="str">
        <x:v>DDS models electrolysers as loads activated in low or zero price hours.</x:v>
      </x:c>
    </x:row>
    <x:row r="43">
      <x:c r="A43" s="83" t="str">
        <x:v>FL-039</x:v>
      </x:c>
      <x:c r="B43" s="83" t="str">
        <x:v>DE_IT_2040</x:v>
      </x:c>
      <x:c r="C43" s="83" t="n">
        <x:v>2040</x:v>
      </x:c>
      <x:c r="D43" s="83" t="str">
        <x:v>DE-IT 2040</x:v>
      </x:c>
      <x:c r="E43" s="83" t="str">
        <x:v>Annual</x:v>
      </x:c>
      <x:c r="F43" s="83" t="str">
        <x:v>Flexible demand / hydrogen</x:v>
      </x:c>
      <x:c r="G43" s="83" t="str">
        <x:v>Implied average operating hours</x:v>
      </x:c>
      <x:c r="H43" s="83" t="str">
        <x:v>=</x:v>
      </x:c>
      <x:c r="I43" s="197" t="n">
        <x:v>3716.2162162162163</x:v>
      </x:c>
      <x:c r="J43" s="83" t="str">
        <x:v>h/year</x:v>
      </x:c>
      <x:c r="K43" s="83" t="str">
        <x:v>Derived</x:v>
      </x:c>
      <x:c r="L43" s="83" t="str">
        <x:v>S09</x:v>
      </x:c>
      <x:c r="M43" s="83" t="str">
        <x:v>Documento di Descrizione degli Scenari 2024</x:v>
      </x:c>
      <x:c r="N43" s="83" t="n">
        <x:v>70</x:v>
      </x:c>
      <x:c r="O43" s="83" t="str">
        <x:v>60-61 / 68</x:v>
      </x:c>
      <x:c r="P43" s="83" t="str">
        <x:v>Figure 29 / Figure 37</x:v>
      </x:c>
      <x:c r="Q43" s="83" t="str">
        <x:v>B — Derived</x:v>
      </x:c>
      <x:c r="R43" s="83" t="str">
        <x:v>TWh × 1000 / GW</x:v>
      </x:c>
      <x:c r="S43" s="83" t="str">
        <x:v>A direct / B derived</x:v>
      </x:c>
      <x:c r="T43" s="83" t="str">
        <x:v>Flexible Load/Link dispatch; at least 3,000 h and low-price activation.</x:v>
      </x:c>
      <x:c r="U43" s="83" t="str">
        <x:v>DDS models electrolysers as loads activated in low or zero price hours.</x:v>
      </x:c>
    </x:row>
    <x:row r="44">
      <x:c r="A44" s="83" t="str">
        <x:v>FL-040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Annual</x:v>
      </x:c>
      <x:c r="F44" s="83" t="str">
        <x:v>Flexible demand / hydrogen</x:v>
      </x:c>
      <x:c r="G44" s="83" t="str">
        <x:v>Electrolyser installed power</x:v>
      </x:c>
      <x:c r="H44" s="83" t="str">
        <x:v>=</x:v>
      </x:c>
      <x:c r="I44" s="197" t="n">
        <x:v>7.4</x:v>
      </x:c>
      <x:c r="J44" s="83" t="str">
        <x:v>GW</x:v>
      </x:c>
      <x:c r="K44" s="83" t="str">
        <x:v>Scenario configuration</x:v>
      </x:c>
      <x:c r="L44" s="83" t="str">
        <x:v>S09</x:v>
      </x:c>
      <x:c r="M44" s="83" t="str">
        <x:v>Documento di Descrizione degli Scenari 2024</x:v>
      </x:c>
      <x:c r="N44" s="83" t="n">
        <x:v>63</x:v>
      </x:c>
      <x:c r="O44" s="83" t="str">
        <x:v>60-61 / 68</x:v>
      </x:c>
      <x:c r="P44" s="83" t="str">
        <x:v>Figure 29 / Figure 37</x:v>
      </x:c>
      <x:c r="Q44" s="83" t="str">
        <x:v>Assunzione di scenario</x:v>
      </x:c>
      <x:c r="R44" s="83" t="str">
        <x:v>Direct</x:v>
      </x:c>
      <x:c r="S44" s="83" t="str">
        <x:v>A direct / B derived</x:v>
      </x:c>
      <x:c r="T44" s="83" t="str">
        <x:v>Flexible Load/Link dispatch; at least 3,000 h and low-price activation.</x:v>
      </x:c>
      <x:c r="U44" s="83" t="str">
        <x:v>DDS models electrolysers as loads activated in low or zero price hours.</x:v>
      </x:c>
    </x:row>
    <x:row r="45">
      <x:c r="A45" s="83" t="str">
        <x:v>FL-041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Annual</x:v>
      </x:c>
      <x:c r="F45" s="83" t="str">
        <x:v>Flexible demand / hydrogen</x:v>
      </x:c>
      <x:c r="G45" s="83" t="str">
        <x:v>Electrolyser electricity consumption</x:v>
      </x:c>
      <x:c r="H45" s="83" t="str">
        <x:v>=</x:v>
      </x:c>
      <x:c r="I45" s="197" t="n">
        <x:v>27.5</x:v>
      </x:c>
      <x:c r="J45" s="83" t="str">
        <x:v>TWh</x:v>
      </x:c>
      <x:c r="K45" s="83" t="str">
        <x:v>Scenario configuration</x:v>
      </x:c>
      <x:c r="L45" s="83" t="str">
        <x:v>S09</x:v>
      </x:c>
      <x:c r="M45" s="83" t="str">
        <x:v>Documento di Descrizione degli Scenari 2024</x:v>
      </x:c>
      <x:c r="N45" s="83" t="n">
        <x:v>70</x:v>
      </x:c>
      <x:c r="O45" s="83" t="str">
        <x:v>60-61 / 68</x:v>
      </x:c>
      <x:c r="P45" s="83" t="str">
        <x:v>Figure 29 / Figure 37</x:v>
      </x:c>
      <x:c r="Q45" s="83" t="str">
        <x:v>Assunzione di scenario</x:v>
      </x:c>
      <x:c r="R45" s="83" t="str">
        <x:v>Direct</x:v>
      </x:c>
      <x:c r="S45" s="83" t="str">
        <x:v>A direct / B derived</x:v>
      </x:c>
      <x:c r="T45" s="83" t="str">
        <x:v>Flexible Load/Link dispatch; at least 3,000 h and low-price activation.</x:v>
      </x:c>
      <x:c r="U45" s="83" t="str">
        <x:v>DDS models electrolysers as loads activated in low or zero price hours.</x:v>
      </x:c>
    </x:row>
    <x:row r="46">
      <x:c r="A46" s="83" t="str">
        <x:v>FL-042</x:v>
      </x:c>
      <x:c r="B46" s="83" t="str">
        <x:v>GA_IT_2040</x:v>
      </x:c>
      <x:c r="C46" s="83" t="n">
        <x:v>2040</x:v>
      </x:c>
      <x:c r="D46" s="83" t="str">
        <x:v>GA-IT 2040</x:v>
      </x:c>
      <x:c r="E46" s="83" t="str">
        <x:v>Annual</x:v>
      </x:c>
      <x:c r="F46" s="83" t="str">
        <x:v>Flexible demand / hydrogen</x:v>
      </x:c>
      <x:c r="G46" s="83" t="str">
        <x:v>Implied average operating hours</x:v>
      </x:c>
      <x:c r="H46" s="83" t="str">
        <x:v>=</x:v>
      </x:c>
      <x:c r="I46" s="197" t="n">
        <x:v>3716.2162162162163</x:v>
      </x:c>
      <x:c r="J46" s="83" t="str">
        <x:v>h/year</x:v>
      </x:c>
      <x:c r="K46" s="83" t="str">
        <x:v>Derived</x:v>
      </x:c>
      <x:c r="L46" s="83" t="str">
        <x:v>S09</x:v>
      </x:c>
      <x:c r="M46" s="83" t="str">
        <x:v>Documento di Descrizione degli Scenari 2024</x:v>
      </x:c>
      <x:c r="N46" s="83" t="n">
        <x:v>70</x:v>
      </x:c>
      <x:c r="O46" s="83" t="str">
        <x:v>60-61 / 68</x:v>
      </x:c>
      <x:c r="P46" s="83" t="str">
        <x:v>Figure 29 / Figure 37</x:v>
      </x:c>
      <x:c r="Q46" s="83" t="str">
        <x:v>B — Derived</x:v>
      </x:c>
      <x:c r="R46" s="83" t="str">
        <x:v>TWh × 1000 / GW</x:v>
      </x:c>
      <x:c r="S46" s="83" t="str">
        <x:v>A direct / B derived</x:v>
      </x:c>
      <x:c r="T46" s="83" t="str">
        <x:v>Flexible Load/Link dispatch; at least 3,000 h and low-price activation.</x:v>
      </x:c>
      <x:c r="U46" s="83" t="str">
        <x:v>DDS models electrolysers as loads activated in low or zero price hours.</x:v>
      </x:c>
    </x:row>
    <x:row r="47">
      <x:c r="A47" s="83" t="str">
        <x:v>FL-043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Annual</x:v>
      </x:c>
      <x:c r="F47" s="83" t="str">
        <x:v>Flexible demand / hydrogen</x:v>
      </x:c>
      <x:c r="G47" s="83" t="str">
        <x:v>Electrolyser installed power</x:v>
      </x:c>
      <x:c r="H47" s="83" t="str">
        <x:v>=</x:v>
      </x:c>
      <x:c r="I47" s="197" t="n">
        <x:v>5.3</x:v>
      </x:c>
      <x:c r="J47" s="83" t="str">
        <x:v>GW</x:v>
      </x:c>
      <x:c r="K47" s="83" t="str">
        <x:v>Scenario configuration</x:v>
      </x:c>
      <x:c r="L47" s="83" t="str">
        <x:v>S09</x:v>
      </x:c>
      <x:c r="M47" s="83" t="str">
        <x:v>Documento di Descrizione degli Scenari 2024</x:v>
      </x:c>
      <x:c r="N47" s="83" t="n">
        <x:v>63</x:v>
      </x:c>
      <x:c r="O47" s="83" t="str">
        <x:v>60-61 / 68</x:v>
      </x:c>
      <x:c r="P47" s="83" t="str">
        <x:v>Figure 29 / Figure 37</x:v>
      </x:c>
      <x:c r="Q47" s="83" t="str">
        <x:v>Assunzione di scenario</x:v>
      </x:c>
      <x:c r="R47" s="83" t="str">
        <x:v>Direct</x:v>
      </x:c>
      <x:c r="S47" s="83" t="str">
        <x:v>A direct / B derived</x:v>
      </x:c>
      <x:c r="T47" s="83" t="str">
        <x:v>Flexible Load/Link dispatch; at least 3,000 h and low-price activation.</x:v>
      </x:c>
      <x:c r="U47" s="83" t="str">
        <x:v>DDS models electrolysers as loads activated in low or zero price hours.</x:v>
      </x:c>
    </x:row>
    <x:row r="48">
      <x:c r="A48" s="83" t="str">
        <x:v>FL-044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Annual</x:v>
      </x:c>
      <x:c r="F48" s="83" t="str">
        <x:v>Flexible demand / hydrogen</x:v>
      </x:c>
      <x:c r="G48" s="83" t="str">
        <x:v>Electrolyser electricity consumption</x:v>
      </x:c>
      <x:c r="H48" s="83" t="str">
        <x:v>=</x:v>
      </x:c>
      <x:c r="I48" s="197" t="n">
        <x:v>19.8</x:v>
      </x:c>
      <x:c r="J48" s="83" t="str">
        <x:v>TWh</x:v>
      </x:c>
      <x:c r="K48" s="83" t="str">
        <x:v>Scenario configuration</x:v>
      </x:c>
      <x:c r="L48" s="83" t="str">
        <x:v>S09</x:v>
      </x:c>
      <x:c r="M48" s="83" t="str">
        <x:v>Documento di Descrizione degli Scenari 2024</x:v>
      </x:c>
      <x:c r="N48" s="83" t="n">
        <x:v>70</x:v>
      </x:c>
      <x:c r="O48" s="83" t="str">
        <x:v>60-61 / 68</x:v>
      </x:c>
      <x:c r="P48" s="83" t="str">
        <x:v>Figure 29 / Figure 37</x:v>
      </x:c>
      <x:c r="Q48" s="83" t="str">
        <x:v>Assunzione di scenario</x:v>
      </x:c>
      <x:c r="R48" s="83" t="str">
        <x:v>Direct</x:v>
      </x:c>
      <x:c r="S48" s="83" t="str">
        <x:v>A direct / B derived</x:v>
      </x:c>
      <x:c r="T48" s="83" t="str">
        <x:v>Flexible Load/Link dispatch; at least 3,000 h and low-price activation.</x:v>
      </x:c>
      <x:c r="U48" s="83" t="str">
        <x:v>DDS models electrolysers as loads activated in low or zero price hours.</x:v>
      </x:c>
    </x:row>
    <x:row r="49">
      <x:c r="A49" s="83" t="str">
        <x:v>FL-045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Annual</x:v>
      </x:c>
      <x:c r="F49" s="83" t="str">
        <x:v>Flexible demand / hydrogen</x:v>
      </x:c>
      <x:c r="G49" s="83" t="str">
        <x:v>Implied average operating hours</x:v>
      </x:c>
      <x:c r="H49" s="83" t="str">
        <x:v>=</x:v>
      </x:c>
      <x:c r="I49" s="197" t="n">
        <x:v>3735.8490566037735</x:v>
      </x:c>
      <x:c r="J49" s="83" t="str">
        <x:v>h/year</x:v>
      </x:c>
      <x:c r="K49" s="83" t="str">
        <x:v>Derived</x:v>
      </x:c>
      <x:c r="L49" s="83" t="str">
        <x:v>S09</x:v>
      </x:c>
      <x:c r="M49" s="83" t="str">
        <x:v>Documento di Descrizione degli Scenari 2024</x:v>
      </x:c>
      <x:c r="N49" s="83" t="n">
        <x:v>70</x:v>
      </x:c>
      <x:c r="O49" s="83" t="str">
        <x:v>60-61 / 68</x:v>
      </x:c>
      <x:c r="P49" s="83" t="str">
        <x:v>Figure 29 / Figure 37</x:v>
      </x:c>
      <x:c r="Q49" s="83" t="str">
        <x:v>B — Derived</x:v>
      </x:c>
      <x:c r="R49" s="83" t="str">
        <x:v>TWh × 1000 / GW</x:v>
      </x:c>
      <x:c r="S49" s="83" t="str">
        <x:v>A direct / B derived</x:v>
      </x:c>
      <x:c r="T49" s="83" t="str">
        <x:v>Flexible Load/Link dispatch; at least 3,000 h and low-price activation.</x:v>
      </x:c>
      <x:c r="U49" s="83" t="str">
        <x:v>DDS models electrolysers as loads activated in low or zero price hours.</x:v>
      </x:c>
    </x:row>
    <x:row r="50">
      <x:c r="A50" s="83" t="str">
        <x:v>FL-046</x:v>
      </x:c>
      <x:c r="B50" s="83" t="str">
        <x:v>GA_IT_2040</x:v>
      </x:c>
      <x:c r="C50" s="83" t="n">
        <x:v>2040</x:v>
      </x:c>
      <x:c r="D50" s="83" t="str">
        <x:v>GA-IT 2040 — Base</x:v>
      </x:c>
      <x:c r="E50" s="83" t="str">
        <x:v>Annual</x:v>
      </x:c>
      <x:c r="F50" s="83" t="str">
        <x:v>Electrolyser sensitivity</x:v>
      </x:c>
      <x:c r="G50" s="83" t="str">
        <x:v>Electrolyser installed power sensitivity</x:v>
      </x:c>
      <x:c r="H50" s="83" t="str">
        <x:v>=</x:v>
      </x:c>
      <x:c r="I50" s="197" t="n">
        <x:v>7.4</x:v>
      </x:c>
      <x:c r="J50" s="83" t="str">
        <x:v>GW</x:v>
      </x:c>
      <x:c r="K50" s="83" t="str">
        <x:v>Source sensitivity result</x:v>
      </x:c>
      <x:c r="L50" s="83" t="str">
        <x:v>S09</x:v>
      </x:c>
      <x:c r="M50" s="83" t="str">
        <x:v>Documento di Descrizione degli Scenari 2024</x:v>
      </x:c>
      <x:c r="N50" s="83" t="n">
        <x:v>71</x:v>
      </x:c>
      <x:c r="O50" s="83" t="n">
        <x:v>69</x:v>
      </x:c>
      <x:c r="P50" s="83" t="str">
        <x:v>Table 20</x:v>
      </x:c>
      <x:c r="Q50" s="83" t="str">
        <x:v>Risultato di modello della fonte</x:v>
      </x:c>
      <x:c r="R50" s="83" t="str">
        <x:v>Direct</x:v>
      </x:c>
      <x:c r="S50" s="83" t="str">
        <x:v>A — Direct</x:v>
      </x:c>
      <x:c r="T50" s="83" t="str">
        <x:v>Sensitivity / validation; do not substitute baseline automatically.</x:v>
      </x:c>
      <x:c r="U50" s="83" t="str">
        <x:v>More than 35 GW additional electrolysers would be required to absorb all residual curtailment if used alone.</x:v>
      </x:c>
    </x:row>
    <x:row r="51">
      <x:c r="A51" s="83" t="str">
        <x:v>FL-047</x:v>
      </x:c>
      <x:c r="B51" s="83" t="str">
        <x:v>GA_IT_2040</x:v>
      </x:c>
      <x:c r="C51" s="83" t="n">
        <x:v>2040</x:v>
      </x:c>
      <x:c r="D51" s="83" t="str">
        <x:v>GA-IT 2040 — Base</x:v>
      </x:c>
      <x:c r="E51" s="83" t="str">
        <x:v>Annual</x:v>
      </x:c>
      <x:c r="F51" s="83" t="str">
        <x:v>Electrolyser sensitivity</x:v>
      </x:c>
      <x:c r="G51" s="83" t="str">
        <x:v>Residual curtailment</x:v>
      </x:c>
      <x:c r="H51" s="83" t="str">
        <x:v>=</x:v>
      </x:c>
      <x:c r="I51" s="197" t="n">
        <x:v>10</x:v>
      </x:c>
      <x:c r="J51" s="83" t="str">
        <x:v>TWh</x:v>
      </x:c>
      <x:c r="K51" s="83" t="str">
        <x:v>Source sensitivity result</x:v>
      </x:c>
      <x:c r="L51" s="83" t="str">
        <x:v>S09</x:v>
      </x:c>
      <x:c r="M51" s="83" t="str">
        <x:v>Documento di Descrizione degli Scenari 2024</x:v>
      </x:c>
      <x:c r="N51" s="83" t="n">
        <x:v>71</x:v>
      </x:c>
      <x:c r="O51" s="83" t="n">
        <x:v>69</x:v>
      </x:c>
      <x:c r="P51" s="83" t="str">
        <x:v>Table 20</x:v>
      </x:c>
      <x:c r="Q51" s="83" t="str">
        <x:v>Risultato di modello della fonte</x:v>
      </x:c>
      <x:c r="R51" s="83" t="str">
        <x:v>Direct</x:v>
      </x:c>
      <x:c r="S51" s="83" t="str">
        <x:v>A — Direct</x:v>
      </x:c>
      <x:c r="T51" s="83" t="str">
        <x:v>Sensitivity / validation; do not substitute baseline automatically.</x:v>
      </x:c>
      <x:c r="U51" s="83" t="str">
        <x:v>More than 35 GW additional electrolysers would be required to absorb all residual curtailment if used alone.</x:v>
      </x:c>
    </x:row>
    <x:row r="52">
      <x:c r="A52" s="83" t="str">
        <x:v>FL-048</x:v>
      </x:c>
      <x:c r="B52" s="83" t="str">
        <x:v>GA_IT_2040</x:v>
      </x:c>
      <x:c r="C52" s="83" t="n">
        <x:v>2040</x:v>
      </x:c>
      <x:c r="D52" s="83" t="str">
        <x:v>GA-IT 2040 — Base</x:v>
      </x:c>
      <x:c r="E52" s="83" t="str">
        <x:v>Annual</x:v>
      </x:c>
      <x:c r="F52" s="83" t="str">
        <x:v>Electrolyser sensitivity</x:v>
      </x:c>
      <x:c r="G52" s="83" t="str">
        <x:v>Total operating hours</x:v>
      </x:c>
      <x:c r="H52" s="83" t="str">
        <x:v>=</x:v>
      </x:c>
      <x:c r="I52" s="197" t="n">
        <x:v>3716</x:v>
      </x:c>
      <x:c r="J52" s="83" t="str">
        <x:v>h/year</x:v>
      </x:c>
      <x:c r="K52" s="83" t="str">
        <x:v>Source sensitivity result</x:v>
      </x:c>
      <x:c r="L52" s="83" t="str">
        <x:v>S09</x:v>
      </x:c>
      <x:c r="M52" s="83" t="str">
        <x:v>Documento di Descrizione degli Scenari 2024</x:v>
      </x:c>
      <x:c r="N52" s="83" t="n">
        <x:v>71</x:v>
      </x:c>
      <x:c r="O52" s="83" t="n">
        <x:v>69</x:v>
      </x:c>
      <x:c r="P52" s="83" t="str">
        <x:v>Table 20</x:v>
      </x:c>
      <x:c r="Q52" s="83" t="str">
        <x:v>Risultato di modello della fonte</x:v>
      </x:c>
      <x:c r="R52" s="83" t="str">
        <x:v>Direct</x:v>
      </x:c>
      <x:c r="S52" s="83" t="str">
        <x:v>A — Direct</x:v>
      </x:c>
      <x:c r="T52" s="83" t="str">
        <x:v>Sensitivity / validation; do not substitute baseline automatically.</x:v>
      </x:c>
      <x:c r="U52" s="83" t="str">
        <x:v>More than 35 GW additional electrolysers would be required to absorb all residual curtailment if used alone.</x:v>
      </x:c>
    </x:row>
    <x:row r="53">
      <x:c r="A53" s="83" t="str">
        <x:v>FL-049</x:v>
      </x:c>
      <x:c r="B53" s="83" t="str">
        <x:v>GA_IT_2040</x:v>
      </x:c>
      <x:c r="C53" s="83" t="n">
        <x:v>2040</x:v>
      </x:c>
      <x:c r="D53" s="83" t="str">
        <x:v>GA-IT 2040 — Base +5 GW</x:v>
      </x:c>
      <x:c r="E53" s="83" t="str">
        <x:v>Annual</x:v>
      </x:c>
      <x:c r="F53" s="83" t="str">
        <x:v>Electrolyser sensitivity</x:v>
      </x:c>
      <x:c r="G53" s="83" t="str">
        <x:v>Electrolyser installed power sensitivity</x:v>
      </x:c>
      <x:c r="H53" s="83" t="str">
        <x:v>=</x:v>
      </x:c>
      <x:c r="I53" s="197" t="n">
        <x:v>12.4</x:v>
      </x:c>
      <x:c r="J53" s="83" t="str">
        <x:v>GW</x:v>
      </x:c>
      <x:c r="K53" s="83" t="str">
        <x:v>Source sensitivity result</x:v>
      </x:c>
      <x:c r="L53" s="83" t="str">
        <x:v>S09</x:v>
      </x:c>
      <x:c r="M53" s="83" t="str">
        <x:v>Documento di Descrizione degli Scenari 2024</x:v>
      </x:c>
      <x:c r="N53" s="83" t="n">
        <x:v>71</x:v>
      </x:c>
      <x:c r="O53" s="83" t="n">
        <x:v>69</x:v>
      </x:c>
      <x:c r="P53" s="83" t="str">
        <x:v>Table 20</x:v>
      </x:c>
      <x:c r="Q53" s="83" t="str">
        <x:v>Risultato di modello della fonte</x:v>
      </x:c>
      <x:c r="R53" s="83" t="str">
        <x:v>Direct</x:v>
      </x:c>
      <x:c r="S53" s="83" t="str">
        <x:v>A — Direct</x:v>
      </x:c>
      <x:c r="T53" s="83" t="str">
        <x:v>Sensitivity / validation; do not substitute baseline automatically.</x:v>
      </x:c>
      <x:c r="U53" s="83" t="str">
        <x:v>More than 35 GW additional electrolysers would be required to absorb all residual curtailment if used alone.</x:v>
      </x:c>
    </x:row>
    <x:row r="54">
      <x:c r="A54" s="83" t="str">
        <x:v>FL-050</x:v>
      </x:c>
      <x:c r="B54" s="83" t="str">
        <x:v>GA_IT_2040</x:v>
      </x:c>
      <x:c r="C54" s="83" t="n">
        <x:v>2040</x:v>
      </x:c>
      <x:c r="D54" s="83" t="str">
        <x:v>GA-IT 2040 — Base +5 GW</x:v>
      </x:c>
      <x:c r="E54" s="83" t="str">
        <x:v>Annual</x:v>
      </x:c>
      <x:c r="F54" s="83" t="str">
        <x:v>Electrolyser sensitivity</x:v>
      </x:c>
      <x:c r="G54" s="83" t="str">
        <x:v>Residual curtailment</x:v>
      </x:c>
      <x:c r="H54" s="83" t="str">
        <x:v>=</x:v>
      </x:c>
      <x:c r="I54" s="197" t="n">
        <x:v>5</x:v>
      </x:c>
      <x:c r="J54" s="83" t="str">
        <x:v>TWh</x:v>
      </x:c>
      <x:c r="K54" s="83" t="str">
        <x:v>Source sensitivity result</x:v>
      </x:c>
      <x:c r="L54" s="83" t="str">
        <x:v>S09</x:v>
      </x:c>
      <x:c r="M54" s="83" t="str">
        <x:v>Documento di Descrizione degli Scenari 2024</x:v>
      </x:c>
      <x:c r="N54" s="83" t="n">
        <x:v>71</x:v>
      </x:c>
      <x:c r="O54" s="83" t="n">
        <x:v>69</x:v>
      </x:c>
      <x:c r="P54" s="83" t="str">
        <x:v>Table 20</x:v>
      </x:c>
      <x:c r="Q54" s="83" t="str">
        <x:v>Risultato di modello della fonte</x:v>
      </x:c>
      <x:c r="R54" s="83" t="str">
        <x:v>Direct</x:v>
      </x:c>
      <x:c r="S54" s="83" t="str">
        <x:v>A — Direct</x:v>
      </x:c>
      <x:c r="T54" s="83" t="str">
        <x:v>Sensitivity / validation; do not substitute baseline automatically.</x:v>
      </x:c>
      <x:c r="U54" s="83" t="str">
        <x:v>More than 35 GW additional electrolysers would be required to absorb all residual curtailment if used alone.</x:v>
      </x:c>
    </x:row>
    <x:row r="55">
      <x:c r="A55" s="83" t="str">
        <x:v>FL-051</x:v>
      </x:c>
      <x:c r="B55" s="83" t="str">
        <x:v>GA_IT_2040</x:v>
      </x:c>
      <x:c r="C55" s="83" t="n">
        <x:v>2040</x:v>
      </x:c>
      <x:c r="D55" s="83" t="str">
        <x:v>GA-IT 2040 — Base +5 GW</x:v>
      </x:c>
      <x:c r="E55" s="83" t="str">
        <x:v>Annual</x:v>
      </x:c>
      <x:c r="F55" s="83" t="str">
        <x:v>Electrolyser sensitivity</x:v>
      </x:c>
      <x:c r="G55" s="83" t="str">
        <x:v>Total operating hours</x:v>
      </x:c>
      <x:c r="H55" s="83" t="str">
        <x:v>=</x:v>
      </x:c>
      <x:c r="I55" s="197" t="n">
        <x:v>2558</x:v>
      </x:c>
      <x:c r="J55" s="83" t="str">
        <x:v>h/year</x:v>
      </x:c>
      <x:c r="K55" s="83" t="str">
        <x:v>Source sensitivity result</x:v>
      </x:c>
      <x:c r="L55" s="83" t="str">
        <x:v>S09</x:v>
      </x:c>
      <x:c r="M55" s="83" t="str">
        <x:v>Documento di Descrizione degli Scenari 2024</x:v>
      </x:c>
      <x:c r="N55" s="83" t="n">
        <x:v>71</x:v>
      </x:c>
      <x:c r="O55" s="83" t="n">
        <x:v>69</x:v>
      </x:c>
      <x:c r="P55" s="83" t="str">
        <x:v>Table 20</x:v>
      </x:c>
      <x:c r="Q55" s="83" t="str">
        <x:v>Risultato di modello della fonte</x:v>
      </x:c>
      <x:c r="R55" s="83" t="str">
        <x:v>Direct</x:v>
      </x:c>
      <x:c r="S55" s="83" t="str">
        <x:v>A — Direct</x:v>
      </x:c>
      <x:c r="T55" s="83" t="str">
        <x:v>Sensitivity / validation; do not substitute baseline automatically.</x:v>
      </x:c>
      <x:c r="U55" s="83" t="str">
        <x:v>More than 35 GW additional electrolysers would be required to absorb all residual curtailment if used alone.</x:v>
      </x:c>
    </x:row>
    <x:row r="56">
      <x:c r="A56" s="83" t="str">
        <x:v>FL-052</x:v>
      </x:c>
      <x:c r="B56" s="83" t="str">
        <x:v>GA_IT_2040</x:v>
      </x:c>
      <x:c r="C56" s="83" t="n">
        <x:v>2040</x:v>
      </x:c>
      <x:c r="D56" s="83" t="str">
        <x:v>GA-IT 2040 — Base +5 GW</x:v>
      </x:c>
      <x:c r="E56" s="83" t="str">
        <x:v>Annual</x:v>
      </x:c>
      <x:c r="F56" s="83" t="str">
        <x:v>Electrolyser sensitivity</x:v>
      </x:c>
      <x:c r="G56" s="83" t="str">
        <x:v>Marginal plant operating hours</x:v>
      </x:c>
      <x:c r="H56" s="83" t="str">
        <x:v>=</x:v>
      </x:c>
      <x:c r="I56" s="197" t="n">
        <x:v>843</x:v>
      </x:c>
      <x:c r="J56" s="83" t="str">
        <x:v>h/year</x:v>
      </x:c>
      <x:c r="K56" s="83" t="str">
        <x:v>Source sensitivity result</x:v>
      </x:c>
      <x:c r="L56" s="83" t="str">
        <x:v>S09</x:v>
      </x:c>
      <x:c r="M56" s="83" t="str">
        <x:v>Documento di Descrizione degli Scenari 2024</x:v>
      </x:c>
      <x:c r="N56" s="83" t="n">
        <x:v>71</x:v>
      </x:c>
      <x:c r="O56" s="83" t="n">
        <x:v>69</x:v>
      </x:c>
      <x:c r="P56" s="83" t="str">
        <x:v>Table 20</x:v>
      </x:c>
      <x:c r="Q56" s="83" t="str">
        <x:v>Risultato di modello della fonte</x:v>
      </x:c>
      <x:c r="R56" s="83" t="str">
        <x:v>Direct</x:v>
      </x:c>
      <x:c r="S56" s="83" t="str">
        <x:v>A — Direct</x:v>
      </x:c>
      <x:c r="T56" s="83" t="str">
        <x:v>Sensitivity / validation; do not substitute baseline automatically.</x:v>
      </x:c>
      <x:c r="U56" s="83" t="str">
        <x:v>More than 35 GW additional electrolysers would be required to absorb all residual curtailment if used alone.</x:v>
      </x:c>
    </x:row>
    <x:row r="57">
      <x:c r="A57" s="83" t="str">
        <x:v>FL-053</x:v>
      </x:c>
      <x:c r="B57" s="83" t="str">
        <x:v>GA_IT_2040</x:v>
      </x:c>
      <x:c r="C57" s="83" t="n">
        <x:v>2040</x:v>
      </x:c>
      <x:c r="D57" s="83" t="str">
        <x:v>GA-IT 2040 — Base +10 GW</x:v>
      </x:c>
      <x:c r="E57" s="83" t="str">
        <x:v>Annual</x:v>
      </x:c>
      <x:c r="F57" s="83" t="str">
        <x:v>Electrolyser sensitivity</x:v>
      </x:c>
      <x:c r="G57" s="83" t="str">
        <x:v>Electrolyser installed power sensitivity</x:v>
      </x:c>
      <x:c r="H57" s="83" t="str">
        <x:v>=</x:v>
      </x:c>
      <x:c r="I57" s="197" t="n">
        <x:v>17.4</x:v>
      </x:c>
      <x:c r="J57" s="83" t="str">
        <x:v>GW</x:v>
      </x:c>
      <x:c r="K57" s="83" t="str">
        <x:v>Source sensitivity result</x:v>
      </x:c>
      <x:c r="L57" s="83" t="str">
        <x:v>S09</x:v>
      </x:c>
      <x:c r="M57" s="83" t="str">
        <x:v>Documento di Descrizione degli Scenari 2024</x:v>
      </x:c>
      <x:c r="N57" s="83" t="n">
        <x:v>71</x:v>
      </x:c>
      <x:c r="O57" s="83" t="n">
        <x:v>69</x:v>
      </x:c>
      <x:c r="P57" s="83" t="str">
        <x:v>Table 20</x:v>
      </x:c>
      <x:c r="Q57" s="83" t="str">
        <x:v>Risultato di modello della fonte</x:v>
      </x:c>
      <x:c r="R57" s="83" t="str">
        <x:v>Direct</x:v>
      </x:c>
      <x:c r="S57" s="83" t="str">
        <x:v>A — Direct</x:v>
      </x:c>
      <x:c r="T57" s="83" t="str">
        <x:v>Sensitivity / validation; do not substitute baseline automatically.</x:v>
      </x:c>
      <x:c r="U57" s="83" t="str">
        <x:v>More than 35 GW additional electrolysers would be required to absorb all residual curtailment if used alone.</x:v>
      </x:c>
    </x:row>
    <x:row r="58">
      <x:c r="A58" s="83" t="str">
        <x:v>FL-054</x:v>
      </x:c>
      <x:c r="B58" s="83" t="str">
        <x:v>GA_IT_2040</x:v>
      </x:c>
      <x:c r="C58" s="83" t="n">
        <x:v>2040</x:v>
      </x:c>
      <x:c r="D58" s="83" t="str">
        <x:v>GA-IT 2040 — Base +10 GW</x:v>
      </x:c>
      <x:c r="E58" s="83" t="str">
        <x:v>Annual</x:v>
      </x:c>
      <x:c r="F58" s="83" t="str">
        <x:v>Electrolyser sensitivity</x:v>
      </x:c>
      <x:c r="G58" s="83" t="str">
        <x:v>Residual curtailment</x:v>
      </x:c>
      <x:c r="H58" s="83" t="str">
        <x:v>=</x:v>
      </x:c>
      <x:c r="I58" s="197" t="n">
        <x:v>3</x:v>
      </x:c>
      <x:c r="J58" s="83" t="str">
        <x:v>TWh</x:v>
      </x:c>
      <x:c r="K58" s="83" t="str">
        <x:v>Source sensitivity result</x:v>
      </x:c>
      <x:c r="L58" s="83" t="str">
        <x:v>S09</x:v>
      </x:c>
      <x:c r="M58" s="83" t="str">
        <x:v>Documento di Descrizione degli Scenari 2024</x:v>
      </x:c>
      <x:c r="N58" s="83" t="n">
        <x:v>71</x:v>
      </x:c>
      <x:c r="O58" s="83" t="n">
        <x:v>69</x:v>
      </x:c>
      <x:c r="P58" s="83" t="str">
        <x:v>Table 20</x:v>
      </x:c>
      <x:c r="Q58" s="83" t="str">
        <x:v>Risultato di modello della fonte</x:v>
      </x:c>
      <x:c r="R58" s="83" t="str">
        <x:v>Direct</x:v>
      </x:c>
      <x:c r="S58" s="83" t="str">
        <x:v>A — Direct</x:v>
      </x:c>
      <x:c r="T58" s="83" t="str">
        <x:v>Sensitivity / validation; do not substitute baseline automatically.</x:v>
      </x:c>
      <x:c r="U58" s="83" t="str">
        <x:v>More than 35 GW additional electrolysers would be required to absorb all residual curtailment if used alone.</x:v>
      </x:c>
    </x:row>
    <x:row r="59">
      <x:c r="A59" s="83" t="str">
        <x:v>FL-055</x:v>
      </x:c>
      <x:c r="B59" s="83" t="str">
        <x:v>GA_IT_2040</x:v>
      </x:c>
      <x:c r="C59" s="83" t="n">
        <x:v>2040</x:v>
      </x:c>
      <x:c r="D59" s="83" t="str">
        <x:v>GA-IT 2040 — Base +10 GW</x:v>
      </x:c>
      <x:c r="E59" s="83" t="str">
        <x:v>Annual</x:v>
      </x:c>
      <x:c r="F59" s="83" t="str">
        <x:v>Electrolyser sensitivity</x:v>
      </x:c>
      <x:c r="G59" s="83" t="str">
        <x:v>Total operating hours</x:v>
      </x:c>
      <x:c r="H59" s="83" t="str">
        <x:v>=</x:v>
      </x:c>
      <x:c r="I59" s="197" t="n">
        <x:v>1960</x:v>
      </x:c>
      <x:c r="J59" s="83" t="str">
        <x:v>h/year</x:v>
      </x:c>
      <x:c r="K59" s="83" t="str">
        <x:v>Source sensitivity result</x:v>
      </x:c>
      <x:c r="L59" s="83" t="str">
        <x:v>S09</x:v>
      </x:c>
      <x:c r="M59" s="83" t="str">
        <x:v>Documento di Descrizione degli Scenari 2024</x:v>
      </x:c>
      <x:c r="N59" s="83" t="n">
        <x:v>71</x:v>
      </x:c>
      <x:c r="O59" s="83" t="n">
        <x:v>69</x:v>
      </x:c>
      <x:c r="P59" s="83" t="str">
        <x:v>Table 20</x:v>
      </x:c>
      <x:c r="Q59" s="83" t="str">
        <x:v>Risultato di modello della fonte</x:v>
      </x:c>
      <x:c r="R59" s="83" t="str">
        <x:v>Direct</x:v>
      </x:c>
      <x:c r="S59" s="83" t="str">
        <x:v>A — Direct</x:v>
      </x:c>
      <x:c r="T59" s="83" t="str">
        <x:v>Sensitivity / validation; do not substitute baseline automatically.</x:v>
      </x:c>
      <x:c r="U59" s="83" t="str">
        <x:v>More than 35 GW additional electrolysers would be required to absorb all residual curtailment if used alone.</x:v>
      </x:c>
    </x:row>
    <x:row r="60">
      <x:c r="A60" s="83" t="str">
        <x:v>FL-056</x:v>
      </x:c>
      <x:c r="B60" s="83" t="str">
        <x:v>GA_IT_2040</x:v>
      </x:c>
      <x:c r="C60" s="83" t="n">
        <x:v>2040</x:v>
      </x:c>
      <x:c r="D60" s="83" t="str">
        <x:v>GA-IT 2040 — Base +10 GW</x:v>
      </x:c>
      <x:c r="E60" s="83" t="str">
        <x:v>Annual</x:v>
      </x:c>
      <x:c r="F60" s="83" t="str">
        <x:v>Electrolyser sensitivity</x:v>
      </x:c>
      <x:c r="G60" s="83" t="str">
        <x:v>Marginal plant operating hours</x:v>
      </x:c>
      <x:c r="H60" s="83" t="str">
        <x:v>=</x:v>
      </x:c>
      <x:c r="I60" s="197" t="n">
        <x:v>477</x:v>
      </x:c>
      <x:c r="J60" s="83" t="str">
        <x:v>h/year</x:v>
      </x:c>
      <x:c r="K60" s="83" t="str">
        <x:v>Source sensitivity result</x:v>
      </x:c>
      <x:c r="L60" s="83" t="str">
        <x:v>S09</x:v>
      </x:c>
      <x:c r="M60" s="83" t="str">
        <x:v>Documento di Descrizione degli Scenari 2024</x:v>
      </x:c>
      <x:c r="N60" s="83" t="n">
        <x:v>71</x:v>
      </x:c>
      <x:c r="O60" s="83" t="n">
        <x:v>69</x:v>
      </x:c>
      <x:c r="P60" s="83" t="str">
        <x:v>Table 20</x:v>
      </x:c>
      <x:c r="Q60" s="83" t="str">
        <x:v>Risultato di modello della fonte</x:v>
      </x:c>
      <x:c r="R60" s="83" t="str">
        <x:v>Direct</x:v>
      </x:c>
      <x:c r="S60" s="83" t="str">
        <x:v>A — Direct</x:v>
      </x:c>
      <x:c r="T60" s="83" t="str">
        <x:v>Sensitivity / validation; do not substitute baseline automatically.</x:v>
      </x:c>
      <x:c r="U60" s="83" t="str">
        <x:v>More than 35 GW additional electrolysers would be required to absorb all residual curtailment if used alone.</x:v>
      </x:c>
    </x:row>
    <x:row r="61">
      <x:c r="A61" s="83" t="str">
        <x:v>FL-057</x:v>
      </x:c>
      <x:c r="B61" s="83" t="str">
        <x:v>GA_IT_2040</x:v>
      </x:c>
      <x:c r="C61" s="83" t="n">
        <x:v>2040</x:v>
      </x:c>
      <x:c r="D61" s="83" t="str">
        <x:v>GA-IT 2040 — Base +15 GW</x:v>
      </x:c>
      <x:c r="E61" s="83" t="str">
        <x:v>Annual</x:v>
      </x:c>
      <x:c r="F61" s="83" t="str">
        <x:v>Electrolyser sensitivity</x:v>
      </x:c>
      <x:c r="G61" s="83" t="str">
        <x:v>Electrolyser installed power sensitivity</x:v>
      </x:c>
      <x:c r="H61" s="83" t="str">
        <x:v>=</x:v>
      </x:c>
      <x:c r="I61" s="197" t="n">
        <x:v>22.4</x:v>
      </x:c>
      <x:c r="J61" s="83" t="str">
        <x:v>GW</x:v>
      </x:c>
      <x:c r="K61" s="83" t="str">
        <x:v>Source sensitivity result</x:v>
      </x:c>
      <x:c r="L61" s="83" t="str">
        <x:v>S09</x:v>
      </x:c>
      <x:c r="M61" s="83" t="str">
        <x:v>Documento di Descrizione degli Scenari 2024</x:v>
      </x:c>
      <x:c r="N61" s="83" t="n">
        <x:v>71</x:v>
      </x:c>
      <x:c r="O61" s="83" t="n">
        <x:v>69</x:v>
      </x:c>
      <x:c r="P61" s="83" t="str">
        <x:v>Table 20</x:v>
      </x:c>
      <x:c r="Q61" s="83" t="str">
        <x:v>Risultato di modello della fonte</x:v>
      </x:c>
      <x:c r="R61" s="83" t="str">
        <x:v>Direct</x:v>
      </x:c>
      <x:c r="S61" s="83" t="str">
        <x:v>A — Direct</x:v>
      </x:c>
      <x:c r="T61" s="83" t="str">
        <x:v>Sensitivity / validation; do not substitute baseline automatically.</x:v>
      </x:c>
      <x:c r="U61" s="83" t="str">
        <x:v>More than 35 GW additional electrolysers would be required to absorb all residual curtailment if used alone.</x:v>
      </x:c>
    </x:row>
    <x:row r="62">
      <x:c r="A62" s="83" t="str">
        <x:v>FL-058</x:v>
      </x:c>
      <x:c r="B62" s="83" t="str">
        <x:v>GA_IT_2040</x:v>
      </x:c>
      <x:c r="C62" s="83" t="n">
        <x:v>2040</x:v>
      </x:c>
      <x:c r="D62" s="83" t="str">
        <x:v>GA-IT 2040 — Base +15 GW</x:v>
      </x:c>
      <x:c r="E62" s="83" t="str">
        <x:v>Annual</x:v>
      </x:c>
      <x:c r="F62" s="83" t="str">
        <x:v>Electrolyser sensitivity</x:v>
      </x:c>
      <x:c r="G62" s="83" t="str">
        <x:v>Residual curtailment</x:v>
      </x:c>
      <x:c r="H62" s="83" t="str">
        <x:v>=</x:v>
      </x:c>
      <x:c r="I62" s="197" t="n">
        <x:v>1.4</x:v>
      </x:c>
      <x:c r="J62" s="83" t="str">
        <x:v>TWh</x:v>
      </x:c>
      <x:c r="K62" s="83" t="str">
        <x:v>Source sensitivity result</x:v>
      </x:c>
      <x:c r="L62" s="83" t="str">
        <x:v>S09</x:v>
      </x:c>
      <x:c r="M62" s="83" t="str">
        <x:v>Documento di Descrizione degli Scenari 2024</x:v>
      </x:c>
      <x:c r="N62" s="83" t="n">
        <x:v>71</x:v>
      </x:c>
      <x:c r="O62" s="83" t="n">
        <x:v>69</x:v>
      </x:c>
      <x:c r="P62" s="83" t="str">
        <x:v>Table 20</x:v>
      </x:c>
      <x:c r="Q62" s="83" t="str">
        <x:v>Risultato di modello della fonte</x:v>
      </x:c>
      <x:c r="R62" s="83" t="str">
        <x:v>Direct</x:v>
      </x:c>
      <x:c r="S62" s="83" t="str">
        <x:v>A — Direct</x:v>
      </x:c>
      <x:c r="T62" s="83" t="str">
        <x:v>Sensitivity / validation; do not substitute baseline automatically.</x:v>
      </x:c>
      <x:c r="U62" s="83" t="str">
        <x:v>More than 35 GW additional electrolysers would be required to absorb all residual curtailment if used alone.</x:v>
      </x:c>
    </x:row>
    <x:row r="63">
      <x:c r="A63" s="83" t="str">
        <x:v>FL-059</x:v>
      </x:c>
      <x:c r="B63" s="83" t="str">
        <x:v>GA_IT_2040</x:v>
      </x:c>
      <x:c r="C63" s="83" t="n">
        <x:v>2040</x:v>
      </x:c>
      <x:c r="D63" s="83" t="str">
        <x:v>GA-IT 2040 — Base +15 GW</x:v>
      </x:c>
      <x:c r="E63" s="83" t="str">
        <x:v>Annual</x:v>
      </x:c>
      <x:c r="F63" s="83" t="str">
        <x:v>Electrolyser sensitivity</x:v>
      </x:c>
      <x:c r="G63" s="83" t="str">
        <x:v>Total operating hours</x:v>
      </x:c>
      <x:c r="H63" s="83" t="str">
        <x:v>=</x:v>
      </x:c>
      <x:c r="I63" s="197" t="n">
        <x:v>1592</x:v>
      </x:c>
      <x:c r="J63" s="83" t="str">
        <x:v>h/year</x:v>
      </x:c>
      <x:c r="K63" s="83" t="str">
        <x:v>Source sensitivity result</x:v>
      </x:c>
      <x:c r="L63" s="83" t="str">
        <x:v>S09</x:v>
      </x:c>
      <x:c r="M63" s="83" t="str">
        <x:v>Documento di Descrizione degli Scenari 2024</x:v>
      </x:c>
      <x:c r="N63" s="83" t="n">
        <x:v>71</x:v>
      </x:c>
      <x:c r="O63" s="83" t="n">
        <x:v>69</x:v>
      </x:c>
      <x:c r="P63" s="83" t="str">
        <x:v>Table 20</x:v>
      </x:c>
      <x:c r="Q63" s="83" t="str">
        <x:v>Risultato di modello della fonte</x:v>
      </x:c>
      <x:c r="R63" s="83" t="str">
        <x:v>Direct</x:v>
      </x:c>
      <x:c r="S63" s="83" t="str">
        <x:v>A — Direct</x:v>
      </x:c>
      <x:c r="T63" s="83" t="str">
        <x:v>Sensitivity / validation; do not substitute baseline automatically.</x:v>
      </x:c>
      <x:c r="U63" s="83" t="str">
        <x:v>More than 35 GW additional electrolysers would be required to absorb all residual curtailment if used alone.</x:v>
      </x:c>
    </x:row>
    <x:row r="64">
      <x:c r="A64" s="83" t="str">
        <x:v>FL-060</x:v>
      </x:c>
      <x:c r="B64" s="83" t="str">
        <x:v>GA_IT_2040</x:v>
      </x:c>
      <x:c r="C64" s="83" t="n">
        <x:v>2040</x:v>
      </x:c>
      <x:c r="D64" s="83" t="str">
        <x:v>GA-IT 2040 — Base +15 GW</x:v>
      </x:c>
      <x:c r="E64" s="83" t="str">
        <x:v>Annual</x:v>
      </x:c>
      <x:c r="F64" s="83" t="str">
        <x:v>Electrolyser sensitivity</x:v>
      </x:c>
      <x:c r="G64" s="83" t="str">
        <x:v>Marginal plant operating hours</x:v>
      </x:c>
      <x:c r="H64" s="83" t="str">
        <x:v>=</x:v>
      </x:c>
      <x:c r="I64" s="197" t="n">
        <x:v>312</x:v>
      </x:c>
      <x:c r="J64" s="83" t="str">
        <x:v>h/year</x:v>
      </x:c>
      <x:c r="K64" s="83" t="str">
        <x:v>Source sensitivity result</x:v>
      </x:c>
      <x:c r="L64" s="83" t="str">
        <x:v>S09</x:v>
      </x:c>
      <x:c r="M64" s="83" t="str">
        <x:v>Documento di Descrizione degli Scenari 2024</x:v>
      </x:c>
      <x:c r="N64" s="83" t="n">
        <x:v>71</x:v>
      </x:c>
      <x:c r="O64" s="83" t="n">
        <x:v>69</x:v>
      </x:c>
      <x:c r="P64" s="83" t="str">
        <x:v>Table 20</x:v>
      </x:c>
      <x:c r="Q64" s="83" t="str">
        <x:v>Risultato di modello della fonte</x:v>
      </x:c>
      <x:c r="R64" s="83" t="str">
        <x:v>Direct</x:v>
      </x:c>
      <x:c r="S64" s="83" t="str">
        <x:v>A — Direct</x:v>
      </x:c>
      <x:c r="T64" s="83" t="str">
        <x:v>Sensitivity / validation; do not substitute baseline automatically.</x:v>
      </x:c>
      <x:c r="U64" s="83" t="str">
        <x:v>More than 35 GW additional electrolysers would be required to absorb all residual curtailment if used alone.</x:v>
      </x:c>
    </x:row>
    <x:row r="65">
      <x:c r="A65" s="83" t="str">
        <x:v>FL-061</x:v>
      </x:c>
      <x:c r="B65" s="83" t="str">
        <x:v>TERNA_2050_NUCLEAR</x:v>
      </x:c>
      <x:c r="C65" s="83" t="n">
        <x:v>2050</x:v>
      </x:c>
      <x:c r="D65" s="83" t="str">
        <x:v>Terna 2050 con nucleare</x:v>
      </x:c>
      <x:c r="E65" s="83" t="str">
        <x:v>Annual</x:v>
      </x:c>
      <x:c r="F65" s="83" t="str">
        <x:v>Storage</x:v>
      </x:c>
      <x:c r="G65" s="83" t="str">
        <x:v>Storage energy losses</x:v>
      </x:c>
      <x:c r="H65" s="83" t="str">
        <x:v>=</x:v>
      </x:c>
      <x:c r="I65" s="197" t="n">
        <x:v>11</x:v>
      </x:c>
      <x:c r="J65" s="83" t="str">
        <x:v>TWh</x:v>
      </x:c>
      <x:c r="K65" s="83" t="str">
        <x:v>Source model result</x:v>
      </x:c>
      <x:c r="L65" s="83" t="str">
        <x:v>S07</x:v>
      </x:c>
      <x:c r="M65" s="83" t="str">
        <x:v>Prospettive di Sviluppo del Sistema Energetico 2050</x:v>
      </x:c>
      <x:c r="N65" s="83" t="n">
        <x:v>59</x:v>
      </x:c>
      <x:c r="O65" s="83" t="n">
        <x:v>57</x:v>
      </x:c>
      <x:c r="P65" s="83" t="str">
        <x:v>Table 5</x:v>
      </x:c>
      <x:c r="Q65" s="83" t="str">
        <x:v>Risultato di modello</x:v>
      </x:c>
      <x:c r="R65" s="83" t="str">
        <x:v>Direct magnitude</x:v>
      </x:c>
      <x:c r="S65" s="83" t="str">
        <x:v>A — Direct</x:v>
      </x:c>
      <x:c r="T65" s="83" t="str">
        <x:v>Annual QA; not intrinsic efficiency.</x:v>
      </x:c>
      <x:c r="U65" s="83" t="str"/>
    </x:row>
    <x:row r="66">
      <x:c r="A66" s="83" t="str">
        <x:v>FL-062</x:v>
      </x:c>
      <x:c r="B66" s="83" t="str">
        <x:v>TERNA_2050_NUCLEAR</x:v>
      </x:c>
      <x:c r="C66" s="83" t="n">
        <x:v>2050</x:v>
      </x:c>
      <x:c r="D66" s="83" t="str">
        <x:v>Terna 2050 con nucleare</x:v>
      </x:c>
      <x:c r="E66" s="83" t="str">
        <x:v>Annual</x:v>
      </x:c>
      <x:c r="F66" s="83" t="str">
        <x:v>Curtailment</x:v>
      </x:c>
      <x:c r="G66" s="83" t="str">
        <x:v>Overgeneration share of demand</x:v>
      </x:c>
      <x:c r="H66" s="83" t="str">
        <x:v>=</x:v>
      </x:c>
      <x:c r="I66" s="197" t="n">
        <x:v>4.8</x:v>
      </x:c>
      <x:c r="J66" s="83" t="str">
        <x:v>%</x:v>
      </x:c>
      <x:c r="K66" s="83" t="str">
        <x:v>Source model result</x:v>
      </x:c>
      <x:c r="L66" s="83" t="str">
        <x:v>S07</x:v>
      </x:c>
      <x:c r="M66" s="83" t="str">
        <x:v>Prospettive di Sviluppo del Sistema Energetico 2050</x:v>
      </x:c>
      <x:c r="N66" s="83" t="n">
        <x:v>59</x:v>
      </x:c>
      <x:c r="O66" s="83" t="n">
        <x:v>57</x:v>
      </x:c>
      <x:c r="P66" s="83" t="str">
        <x:v>Table 5</x:v>
      </x:c>
      <x:c r="Q66" s="83" t="str">
        <x:v>Risultato di modello</x:v>
      </x:c>
      <x:c r="R66" s="83" t="str">
        <x:v>Direct</x:v>
      </x:c>
      <x:c r="S66" s="83" t="str">
        <x:v>A — Direct</x:v>
      </x:c>
      <x:c r="T66" s="83" t="str">
        <x:v>Annual QA.</x:v>
      </x:c>
      <x:c r="U66" s="83" t="str"/>
    </x:row>
    <x:row r="67">
      <x:c r="A67" s="83" t="str">
        <x:v>FL-063</x:v>
      </x:c>
      <x:c r="B67" s="83" t="str">
        <x:v>TERNA_2050_NUCLEAR</x:v>
      </x:c>
      <x:c r="C67" s="83" t="n">
        <x:v>2050</x:v>
      </x:c>
      <x:c r="D67" s="83" t="str">
        <x:v>Terna 2050 con nucleare</x:v>
      </x:c>
      <x:c r="E67" s="83" t="str">
        <x:v>Annual</x:v>
      </x:c>
      <x:c r="F67" s="83" t="str">
        <x:v>Curtailment</x:v>
      </x:c>
      <x:c r="G67" s="83" t="str">
        <x:v>Implied overgeneration energy</x:v>
      </x:c>
      <x:c r="H67" s="83" t="str">
        <x:v>=</x:v>
      </x:c>
      <x:c r="I67" s="197" t="n">
        <x:v>27.984</x:v>
      </x:c>
      <x:c r="J67" s="83" t="str">
        <x:v>TWh</x:v>
      </x:c>
      <x:c r="K67" s="83" t="str">
        <x:v>Derived</x:v>
      </x:c>
      <x:c r="L67" s="83" t="str">
        <x:v>S07</x:v>
      </x:c>
      <x:c r="M67" s="83" t="str">
        <x:v>Prospettive di Sviluppo del Sistema Energetico 2050</x:v>
      </x:c>
      <x:c r="N67" s="83" t="n">
        <x:v>59</x:v>
      </x:c>
      <x:c r="O67" s="83" t="n">
        <x:v>57</x:v>
      </x:c>
      <x:c r="P67" s="83" t="str">
        <x:v>Table 5</x:v>
      </x:c>
      <x:c r="Q67" s="83" t="str">
        <x:v>B — Derived</x:v>
      </x:c>
      <x:c r="R67" s="83" t="str">
        <x:v>583 TWh × overgeneration %</x:v>
      </x:c>
      <x:c r="S67" s="83" t="str">
        <x:v>B — Derived</x:v>
      </x:c>
      <x:c r="T67" s="83" t="str">
        <x:v>Annual QA.</x:v>
      </x:c>
      <x:c r="U67" s="83" t="str"/>
    </x:row>
    <x:row r="68">
      <x:c r="A68" s="83" t="str">
        <x:v>FL-064</x:v>
      </x:c>
      <x:c r="B68" s="83" t="str">
        <x:v>TERNA_2050_NO_NUCLEAR</x:v>
      </x:c>
      <x:c r="C68" s="83" t="n">
        <x:v>2050</x:v>
      </x:c>
      <x:c r="D68" s="83" t="str">
        <x:v>Terna 2050 senza nucleare</x:v>
      </x:c>
      <x:c r="E68" s="83" t="str">
        <x:v>Annual</x:v>
      </x:c>
      <x:c r="F68" s="83" t="str">
        <x:v>Storage</x:v>
      </x:c>
      <x:c r="G68" s="83" t="str">
        <x:v>Storage energy losses</x:v>
      </x:c>
      <x:c r="H68" s="83" t="str">
        <x:v>=</x:v>
      </x:c>
      <x:c r="I68" s="197" t="n">
        <x:v>14</x:v>
      </x:c>
      <x:c r="J68" s="83" t="str">
        <x:v>TWh</x:v>
      </x:c>
      <x:c r="K68" s="83" t="str">
        <x:v>Source model result</x:v>
      </x:c>
      <x:c r="L68" s="83" t="str">
        <x:v>S07</x:v>
      </x:c>
      <x:c r="M68" s="83" t="str">
        <x:v>Prospettive di Sviluppo del Sistema Energetico 2050</x:v>
      </x:c>
      <x:c r="N68" s="83" t="n">
        <x:v>59</x:v>
      </x:c>
      <x:c r="O68" s="83" t="n">
        <x:v>57</x:v>
      </x:c>
      <x:c r="P68" s="83" t="str">
        <x:v>Table 5</x:v>
      </x:c>
      <x:c r="Q68" s="83" t="str">
        <x:v>Risultato di modello</x:v>
      </x:c>
      <x:c r="R68" s="83" t="str">
        <x:v>Direct magnitude</x:v>
      </x:c>
      <x:c r="S68" s="83" t="str">
        <x:v>A — Direct</x:v>
      </x:c>
      <x:c r="T68" s="83" t="str">
        <x:v>Annual QA; not intrinsic efficiency.</x:v>
      </x:c>
      <x:c r="U68" s="83" t="str"/>
    </x:row>
    <x:row r="69">
      <x:c r="A69" s="83" t="str">
        <x:v>FL-065</x:v>
      </x:c>
      <x:c r="B69" s="83" t="str">
        <x:v>TERNA_2050_NO_NUCLEAR</x:v>
      </x:c>
      <x:c r="C69" s="83" t="n">
        <x:v>2050</x:v>
      </x:c>
      <x:c r="D69" s="83" t="str">
        <x:v>Terna 2050 senza nucleare</x:v>
      </x:c>
      <x:c r="E69" s="83" t="str">
        <x:v>Annual</x:v>
      </x:c>
      <x:c r="F69" s="83" t="str">
        <x:v>Curtailment</x:v>
      </x:c>
      <x:c r="G69" s="83" t="str">
        <x:v>Overgeneration share of demand</x:v>
      </x:c>
      <x:c r="H69" s="83" t="str">
        <x:v>=</x:v>
      </x:c>
      <x:c r="I69" s="197" t="n">
        <x:v>4.4</x:v>
      </x:c>
      <x:c r="J69" s="83" t="str">
        <x:v>%</x:v>
      </x:c>
      <x:c r="K69" s="83" t="str">
        <x:v>Source model result</x:v>
      </x:c>
      <x:c r="L69" s="83" t="str">
        <x:v>S07</x:v>
      </x:c>
      <x:c r="M69" s="83" t="str">
        <x:v>Prospettive di Sviluppo del Sistema Energetico 2050</x:v>
      </x:c>
      <x:c r="N69" s="83" t="n">
        <x:v>59</x:v>
      </x:c>
      <x:c r="O69" s="83" t="n">
        <x:v>57</x:v>
      </x:c>
      <x:c r="P69" s="83" t="str">
        <x:v>Table 5</x:v>
      </x:c>
      <x:c r="Q69" s="83" t="str">
        <x:v>Risultato di modello</x:v>
      </x:c>
      <x:c r="R69" s="83" t="str">
        <x:v>Direct</x:v>
      </x:c>
      <x:c r="S69" s="83" t="str">
        <x:v>A — Direct</x:v>
      </x:c>
      <x:c r="T69" s="83" t="str">
        <x:v>Annual QA.</x:v>
      </x:c>
      <x:c r="U69" s="83" t="str"/>
    </x:row>
    <x:row r="70">
      <x:c r="A70" s="83" t="str">
        <x:v>FL-066</x:v>
      </x:c>
      <x:c r="B70" s="83" t="str">
        <x:v>TERNA_2050_NO_NUCLEAR</x:v>
      </x:c>
      <x:c r="C70" s="83" t="n">
        <x:v>2050</x:v>
      </x:c>
      <x:c r="D70" s="83" t="str">
        <x:v>Terna 2050 senza nucleare</x:v>
      </x:c>
      <x:c r="E70" s="83" t="str">
        <x:v>Annual</x:v>
      </x:c>
      <x:c r="F70" s="83" t="str">
        <x:v>Curtailment</x:v>
      </x:c>
      <x:c r="G70" s="83" t="str">
        <x:v>Implied overgeneration energy</x:v>
      </x:c>
      <x:c r="H70" s="83" t="str">
        <x:v>=</x:v>
      </x:c>
      <x:c r="I70" s="197" t="n">
        <x:v>25.652</x:v>
      </x:c>
      <x:c r="J70" s="83" t="str">
        <x:v>TWh</x:v>
      </x:c>
      <x:c r="K70" s="83" t="str">
        <x:v>Derived</x:v>
      </x:c>
      <x:c r="L70" s="83" t="str">
        <x:v>S07</x:v>
      </x:c>
      <x:c r="M70" s="83" t="str">
        <x:v>Prospettive di Sviluppo del Sistema Energetico 2050</x:v>
      </x:c>
      <x:c r="N70" s="83" t="n">
        <x:v>59</x:v>
      </x:c>
      <x:c r="O70" s="83" t="n">
        <x:v>57</x:v>
      </x:c>
      <x:c r="P70" s="83" t="str">
        <x:v>Table 5</x:v>
      </x:c>
      <x:c r="Q70" s="83" t="str">
        <x:v>B — Derived</x:v>
      </x:c>
      <x:c r="R70" s="83" t="str">
        <x:v>583 TWh × overgeneration %</x:v>
      </x:c>
      <x:c r="S70" s="83" t="str">
        <x:v>B — Derived</x:v>
      </x:c>
      <x:c r="T70" s="83" t="str">
        <x:v>Annual QA.</x:v>
      </x:c>
      <x:c r="U70" s="83" t="str"/>
    </x:row>
    <x:row r="71">
      <x:c r="A71" s="83" t="str">
        <x:v>FL-067</x:v>
      </x:c>
      <x:c r="B71" s="83" t="str">
        <x:v>TERNA_2050_NUCLEAR</x:v>
      </x:c>
      <x:c r="C71" s="83" t="n">
        <x:v>2050</x:v>
      </x:c>
      <x:c r="D71" s="83" t="str">
        <x:v>Terna 2050 con nucleare</x:v>
      </x:c>
      <x:c r="E71" s="83" t="str">
        <x:v>Hourly duration curve</x:v>
      </x:c>
      <x:c r="F71" s="83" t="str">
        <x:v>Residual load</x:v>
      </x:c>
      <x:c r="G71" s="83" t="str">
        <x:v>Residual load maximum</x:v>
      </x:c>
      <x:c r="H71" s="83" t="str">
        <x:v>≈</x:v>
      </x:c>
      <x:c r="I71" s="197" t="n">
        <x:v>75</x:v>
      </x:c>
      <x:c r="J71" s="83" t="str">
        <x:v>GW</x:v>
      </x:c>
      <x:c r="K71" s="83" t="str">
        <x:v>Source model result</x:v>
      </x:c>
      <x:c r="L71" s="83" t="str">
        <x:v>S07</x:v>
      </x:c>
      <x:c r="M71" s="83" t="str">
        <x:v>Prospettive di Sviluppo del Sistema Energetico 2050</x:v>
      </x:c>
      <x:c r="N71" s="83" t="n">
        <x:v>63</x:v>
      </x:c>
      <x:c r="O71" s="83" t="n">
        <x:v>61</x:v>
      </x:c>
      <x:c r="P71" s="83" t="str">
        <x:v>Figure 53</x:v>
      </x:c>
      <x:c r="Q71" s="83" t="str">
        <x:v>Risultato di modello</x:v>
      </x:c>
      <x:c r="R71" s="83" t="str">
        <x:v>Direct narrative/figure</x:v>
      </x:c>
      <x:c r="S71" s="83" t="str">
        <x:v>A — Direct</x:v>
      </x:c>
      <x:c r="T71" s="83" t="str">
        <x:v>Validation of hourly load/VRE profiles.</x:v>
      </x:c>
      <x:c r="U71" s="83" t="str">
        <x:v>Positive residual load.</x:v>
      </x:c>
    </x:row>
    <x:row r="72">
      <x:c r="A72" s="83" t="str">
        <x:v>FL-068</x:v>
      </x:c>
      <x:c r="B72" s="83" t="str">
        <x:v>TERNA_2050_NUCLEAR</x:v>
      </x:c>
      <x:c r="C72" s="83" t="n">
        <x:v>2050</x:v>
      </x:c>
      <x:c r="D72" s="83" t="str">
        <x:v>Terna 2050 con nucleare</x:v>
      </x:c>
      <x:c r="E72" s="83" t="str">
        <x:v>Hourly duration curve</x:v>
      </x:c>
      <x:c r="F72" s="83" t="str">
        <x:v>Residual load</x:v>
      </x:c>
      <x:c r="G72" s="83" t="str">
        <x:v>Residual load minimum</x:v>
      </x:c>
      <x:c r="H72" s="83" t="str">
        <x:v>≈</x:v>
      </x:c>
      <x:c r="I72" s="197" t="n">
        <x:v>-125</x:v>
      </x:c>
      <x:c r="J72" s="83" t="str">
        <x:v>GW</x:v>
      </x:c>
      <x:c r="K72" s="83" t="str">
        <x:v>Source model result</x:v>
      </x:c>
      <x:c r="L72" s="83" t="str">
        <x:v>S07</x:v>
      </x:c>
      <x:c r="M72" s="83" t="str">
        <x:v>Prospettive di Sviluppo del Sistema Energetico 2050</x:v>
      </x:c>
      <x:c r="N72" s="83" t="n">
        <x:v>63</x:v>
      </x:c>
      <x:c r="O72" s="83" t="n">
        <x:v>61</x:v>
      </x:c>
      <x:c r="P72" s="83" t="str">
        <x:v>Figure 53</x:v>
      </x:c>
      <x:c r="Q72" s="83" t="str">
        <x:v>Risultato di modello</x:v>
      </x:c>
      <x:c r="R72" s="83" t="str">
        <x:v>Direct narrative/figure</x:v>
      </x:c>
      <x:c r="S72" s="83" t="str">
        <x:v>A — Direct</x:v>
      </x:c>
      <x:c r="T72" s="83" t="str">
        <x:v>Validation of hourly load/VRE profiles.</x:v>
      </x:c>
      <x:c r="U72" s="83" t="str">
        <x:v>Negative residual load / renewable surplus.</x:v>
      </x:c>
    </x:row>
    <x:row r="73">
      <x:c r="A73" s="83" t="str">
        <x:v>FL-069</x:v>
      </x:c>
      <x:c r="B73" s="83" t="str">
        <x:v>TERNA_2050_NUCLEAR</x:v>
      </x:c>
      <x:c r="C73" s="83" t="n">
        <x:v>2050</x:v>
      </x:c>
      <x:c r="D73" s="83" t="str">
        <x:v>Terna 2050 con nucleare</x:v>
      </x:c>
      <x:c r="E73" s="83" t="str">
        <x:v>Hourly duration curve</x:v>
      </x:c>
      <x:c r="F73" s="83" t="str">
        <x:v>Residual load</x:v>
      </x:c>
      <x:c r="G73" s="83" t="str">
        <x:v>Hours with negative residual load</x:v>
      </x:c>
      <x:c r="H73" s="83" t="str">
        <x:v>&gt;</x:v>
      </x:c>
      <x:c r="I73" s="197" t="n">
        <x:v>3000</x:v>
      </x:c>
      <x:c r="J73" s="83" t="str">
        <x:v>h/year</x:v>
      </x:c>
      <x:c r="K73" s="83" t="str">
        <x:v>Source model result</x:v>
      </x:c>
      <x:c r="L73" s="83" t="str">
        <x:v>S07</x:v>
      </x:c>
      <x:c r="M73" s="83" t="str">
        <x:v>Prospettive di Sviluppo del Sistema Energetico 2050</x:v>
      </x:c>
      <x:c r="N73" s="83" t="n">
        <x:v>63</x:v>
      </x:c>
      <x:c r="O73" s="83" t="n">
        <x:v>61</x:v>
      </x:c>
      <x:c r="P73" s="83" t="str">
        <x:v>Figure 53</x:v>
      </x:c>
      <x:c r="Q73" s="83" t="str">
        <x:v>Risultato di modello</x:v>
      </x:c>
      <x:c r="R73" s="83" t="str">
        <x:v>Direct narrative/figure</x:v>
      </x:c>
      <x:c r="S73" s="83" t="str">
        <x:v>A — Direct</x:v>
      </x:c>
      <x:c r="T73" s="83" t="str">
        <x:v>Validation of hourly load/VRE profiles.</x:v>
      </x:c>
      <x:c r="U73" s="83" t="str">
        <x:v>Slightly more than 3,000 hours.</x:v>
      </x:c>
    </x:row>
    <x:row r="74">
      <x:c r="A74" s="83" t="str">
        <x:v>FL-070</x:v>
      </x:c>
      <x:c r="B74" s="83" t="str">
        <x:v>TERNA_2050_NUCLEAR</x:v>
      </x:c>
      <x:c r="C74" s="83" t="n">
        <x:v>2050</x:v>
      </x:c>
      <x:c r="D74" s="83" t="str">
        <x:v>Terna 2050 con nucleare</x:v>
      </x:c>
      <x:c r="E74" s="83" t="str">
        <x:v>Hourly duration curve</x:v>
      </x:c>
      <x:c r="F74" s="83" t="str">
        <x:v>Adequacy</x:v>
      </x:c>
      <x:c r="G74" s="83" t="str">
        <x:v>Programmable residual load maximum after storage and net imports</x:v>
      </x:c>
      <x:c r="H74" s="83" t="str">
        <x:v>≈</x:v>
      </x:c>
      <x:c r="I74" s="197" t="n">
        <x:v>25</x:v>
      </x:c>
      <x:c r="J74" s="83" t="str">
        <x:v>GW</x:v>
      </x:c>
      <x:c r="K74" s="83" t="str">
        <x:v>Source analytical estimate</x:v>
      </x:c>
      <x:c r="L74" s="83" t="str">
        <x:v>S07</x:v>
      </x:c>
      <x:c r="M74" s="83" t="str">
        <x:v>Prospettive di Sviluppo del Sistema Energetico 2050</x:v>
      </x:c>
      <x:c r="N74" s="83" t="n">
        <x:v>66</x:v>
      </x:c>
      <x:c r="O74" s="83" t="n">
        <x:v>64</x:v>
      </x:c>
      <x:c r="P74" s="83" t="str">
        <x:v>Figure 56 / narrative</x:v>
      </x:c>
      <x:c r="Q74" s="83" t="str">
        <x:v>Risultato/estimate della fonte</x:v>
      </x:c>
      <x:c r="R74" s="83" t="str">
        <x:v>Direct narrative</x:v>
      </x:c>
      <x:c r="S74" s="83" t="str">
        <x:v>A — Direct</x:v>
      </x:c>
      <x:c r="T74" s="83" t="str">
        <x:v>Adequacy context; dispatch-only model still requires fixed programmable capacity.</x:v>
      </x:c>
      <x:c r="U74" s="83" t="str">
        <x:v>Approximate maximum.</x:v>
      </x:c>
    </x:row>
    <x:row r="75">
      <x:c r="A75" s="83" t="str">
        <x:v>FL-071</x:v>
      </x:c>
      <x:c r="B75" s="83" t="str">
        <x:v>TERNA_2050_NUCLEAR</x:v>
      </x:c>
      <x:c r="C75" s="83" t="n">
        <x:v>2050</x:v>
      </x:c>
      <x:c r="D75" s="83" t="str">
        <x:v>Terna 2050 con nucleare</x:v>
      </x:c>
      <x:c r="E75" s="83" t="str">
        <x:v>Hourly duration curve</x:v>
      </x:c>
      <x:c r="F75" s="83" t="str">
        <x:v>Adequacy</x:v>
      </x:c>
      <x:c r="G75" s="83" t="str">
        <x:v>Minimum efficient programmable capacity with 15% rating</x:v>
      </x:c>
      <x:c r="H75" s="83" t="str">
        <x:v>≥</x:v>
      </x:c>
      <x:c r="I75" s="197" t="n">
        <x:v>30</x:v>
      </x:c>
      <x:c r="J75" s="83" t="str">
        <x:v>GW</x:v>
      </x:c>
      <x:c r="K75" s="83" t="str">
        <x:v>Source analytical estimate</x:v>
      </x:c>
      <x:c r="L75" s="83" t="str">
        <x:v>S07</x:v>
      </x:c>
      <x:c r="M75" s="83" t="str">
        <x:v>Prospettive di Sviluppo del Sistema Energetico 2050</x:v>
      </x:c>
      <x:c r="N75" s="83" t="n">
        <x:v>66</x:v>
      </x:c>
      <x:c r="O75" s="83" t="n">
        <x:v>64</x:v>
      </x:c>
      <x:c r="P75" s="83" t="str">
        <x:v>Figure 56 / narrative</x:v>
      </x:c>
      <x:c r="Q75" s="83" t="str">
        <x:v>Risultato/estimate della fonte</x:v>
      </x:c>
      <x:c r="R75" s="83" t="str">
        <x:v>Direct narrative</x:v>
      </x:c>
      <x:c r="S75" s="83" t="str">
        <x:v>A — Direct</x:v>
      </x:c>
      <x:c r="T75" s="83" t="str">
        <x:v>Adequacy context; dispatch-only model still requires fixed programmable capacity.</x:v>
      </x:c>
      <x:c r="U75" s="83" t="str">
        <x:v>Adequacy indication for 3 h/year LOLE.</x:v>
      </x:c>
    </x:row>
    <x:row r="76">
      <x:c r="A76" s="83" t="str">
        <x:v>FL-072</x:v>
      </x:c>
      <x:c r="B76" s="83" t="str">
        <x:v>HIST_2023</x:v>
      </x:c>
      <x:c r="C76" s="83" t="n">
        <x:v>2023</x:v>
      </x:c>
      <x:c r="D76" s="83" t="str">
        <x:v>Storico 2023</x:v>
      </x:c>
      <x:c r="E76" s="83" t="str">
        <x:v>Daily</x:v>
      </x:c>
      <x:c r="F76" s="83" t="str">
        <x:v>Flexibility need index</x:v>
      </x:c>
      <x:c r="G76" s="83" t="str">
        <x:v>Daily flexibility index</x:v>
      </x:c>
      <x:c r="H76" s="83" t="str">
        <x:v>=</x:v>
      </x:c>
      <x:c r="I76" s="197" t="n">
        <x:v>100</x:v>
      </x:c>
      <x:c r="J76" s="83" t="str">
        <x:v>index (Daily 2023=100)</x:v>
      </x:c>
      <x:c r="K76" s="83" t="str">
        <x:v>Source analytical index</x:v>
      </x:c>
      <x:c r="L76" s="83" t="str">
        <x:v>S07</x:v>
      </x:c>
      <x:c r="M76" s="83" t="str">
        <x:v>Prospettive di Sviluppo del Sistema Energetico 2050</x:v>
      </x:c>
      <x:c r="N76" s="83" t="n">
        <x:v>67</x:v>
      </x:c>
      <x:c r="O76" s="83" t="n">
        <x:v>65</x:v>
      </x:c>
      <x:c r="P76" s="83" t="str">
        <x:v>Figure 57</x:v>
      </x:c>
      <x:c r="Q76" s="83" t="str">
        <x:v>Risultato di modello/indicator</x:v>
      </x:c>
      <x:c r="R76" s="83" t="str">
        <x:v>Direct chart labels</x:v>
      </x:c>
      <x:c r="S76" s="83" t="str">
        <x:v>A — Direct</x:v>
      </x:c>
      <x:c r="T76" s="83" t="str">
        <x:v>Context/validation, not direct solver constraint.</x:v>
      </x:c>
      <x:c r="U76" s="83" t="str">
        <x:v>Daily 2023 is normalized to 100; other indices are reported on same graphic basis.</x:v>
      </x:c>
    </x:row>
    <x:row r="77">
      <x:c r="A77" s="83" t="str">
        <x:v>FL-073</x:v>
      </x:c>
      <x:c r="B77" s="83" t="str">
        <x:v>PNIEC_POLICY_2030</x:v>
      </x:c>
      <x:c r="C77" s="83" t="n">
        <x:v>2030</x:v>
      </x:c>
      <x:c r="D77" s="83" t="str">
        <x:v>PNIEC Policy 2030</x:v>
      </x:c>
      <x:c r="E77" s="83" t="str">
        <x:v>Daily</x:v>
      </x:c>
      <x:c r="F77" s="83" t="str">
        <x:v>Flexibility need index</x:v>
      </x:c>
      <x:c r="G77" s="83" t="str">
        <x:v>Daily flexibility index</x:v>
      </x:c>
      <x:c r="H77" s="83" t="str">
        <x:v>=</x:v>
      </x:c>
      <x:c r="I77" s="197" t="n">
        <x:v>240</x:v>
      </x:c>
      <x:c r="J77" s="83" t="str">
        <x:v>index (Daily 2023=100)</x:v>
      </x:c>
      <x:c r="K77" s="83" t="str">
        <x:v>Source analytical index</x:v>
      </x:c>
      <x:c r="L77" s="83" t="str">
        <x:v>S07</x:v>
      </x:c>
      <x:c r="M77" s="83" t="str">
        <x:v>Prospettive di Sviluppo del Sistema Energetico 2050</x:v>
      </x:c>
      <x:c r="N77" s="83" t="n">
        <x:v>67</x:v>
      </x:c>
      <x:c r="O77" s="83" t="n">
        <x:v>65</x:v>
      </x:c>
      <x:c r="P77" s="83" t="str">
        <x:v>Figure 57</x:v>
      </x:c>
      <x:c r="Q77" s="83" t="str">
        <x:v>Risultato di modello/indicator</x:v>
      </x:c>
      <x:c r="R77" s="83" t="str">
        <x:v>Direct chart labels</x:v>
      </x:c>
      <x:c r="S77" s="83" t="str">
        <x:v>A — Direct</x:v>
      </x:c>
      <x:c r="T77" s="83" t="str">
        <x:v>Context/validation, not direct solver constraint.</x:v>
      </x:c>
      <x:c r="U77" s="83" t="str">
        <x:v>Daily 2023 is normalized to 100; other indices are reported on same graphic basis.</x:v>
      </x:c>
    </x:row>
    <x:row r="78">
      <x:c r="A78" s="83" t="str">
        <x:v>FL-074</x:v>
      </x:c>
      <x:c r="B78" s="83" t="str">
        <x:v>DE_IT_2040</x:v>
      </x:c>
      <x:c r="C78" s="83" t="n">
        <x:v>2040</x:v>
      </x:c>
      <x:c r="D78" s="83" t="str">
        <x:v>DE-IT 2040</x:v>
      </x:c>
      <x:c r="E78" s="83" t="str">
        <x:v>Daily</x:v>
      </x:c>
      <x:c r="F78" s="83" t="str">
        <x:v>Flexibility need index</x:v>
      </x:c>
      <x:c r="G78" s="83" t="str">
        <x:v>Daily flexibility index</x:v>
      </x:c>
      <x:c r="H78" s="83" t="str">
        <x:v>=</x:v>
      </x:c>
      <x:c r="I78" s="197" t="n">
        <x:v>411</x:v>
      </x:c>
      <x:c r="J78" s="83" t="str">
        <x:v>index (Daily 2023=100)</x:v>
      </x:c>
      <x:c r="K78" s="83" t="str">
        <x:v>Source analytical index</x:v>
      </x:c>
      <x:c r="L78" s="83" t="str">
        <x:v>S07</x:v>
      </x:c>
      <x:c r="M78" s="83" t="str">
        <x:v>Prospettive di Sviluppo del Sistema Energetico 2050</x:v>
      </x:c>
      <x:c r="N78" s="83" t="n">
        <x:v>67</x:v>
      </x:c>
      <x:c r="O78" s="83" t="n">
        <x:v>65</x:v>
      </x:c>
      <x:c r="P78" s="83" t="str">
        <x:v>Figure 57</x:v>
      </x:c>
      <x:c r="Q78" s="83" t="str">
        <x:v>Risultato di modello/indicator</x:v>
      </x:c>
      <x:c r="R78" s="83" t="str">
        <x:v>Direct chart labels</x:v>
      </x:c>
      <x:c r="S78" s="83" t="str">
        <x:v>A — Direct</x:v>
      </x:c>
      <x:c r="T78" s="83" t="str">
        <x:v>Context/validation, not direct solver constraint.</x:v>
      </x:c>
      <x:c r="U78" s="83" t="str">
        <x:v>Daily 2023 is normalized to 100; other indices are reported on same graphic basis.</x:v>
      </x:c>
    </x:row>
    <x:row r="79">
      <x:c r="A79" s="83" t="str">
        <x:v>FL-075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Daily</x:v>
      </x:c>
      <x:c r="F79" s="83" t="str">
        <x:v>Flexibility need index</x:v>
      </x:c>
      <x:c r="G79" s="83" t="str">
        <x:v>Daily flexibility index</x:v>
      </x:c>
      <x:c r="H79" s="83" t="str">
        <x:v>=</x:v>
      </x:c>
      <x:c r="I79" s="197" t="n">
        <x:v>665</x:v>
      </x:c>
      <x:c r="J79" s="83" t="str">
        <x:v>index (Daily 2023=100)</x:v>
      </x:c>
      <x:c r="K79" s="83" t="str">
        <x:v>Source analytical index</x:v>
      </x:c>
      <x:c r="L79" s="83" t="str">
        <x:v>S07</x:v>
      </x:c>
      <x:c r="M79" s="83" t="str">
        <x:v>Prospettive di Sviluppo del Sistema Energetico 2050</x:v>
      </x:c>
      <x:c r="N79" s="83" t="n">
        <x:v>67</x:v>
      </x:c>
      <x:c r="O79" s="83" t="n">
        <x:v>65</x:v>
      </x:c>
      <x:c r="P79" s="83" t="str">
        <x:v>Figure 57</x:v>
      </x:c>
      <x:c r="Q79" s="83" t="str">
        <x:v>Risultato di modello/indicator</x:v>
      </x:c>
      <x:c r="R79" s="83" t="str">
        <x:v>Direct chart labels</x:v>
      </x:c>
      <x:c r="S79" s="83" t="str">
        <x:v>A — Direct</x:v>
      </x:c>
      <x:c r="T79" s="83" t="str">
        <x:v>Context/validation, not direct solver constraint.</x:v>
      </x:c>
      <x:c r="U79" s="83" t="str">
        <x:v>Daily 2023 is normalized to 100; other indices are reported on same graphic basis.</x:v>
      </x:c>
    </x:row>
    <x:row r="80">
      <x:c r="A80" s="83" t="str">
        <x:v>FL-076</x:v>
      </x:c>
      <x:c r="B80" s="83" t="str">
        <x:v>HIST_2023</x:v>
      </x:c>
      <x:c r="C80" s="83" t="n">
        <x:v>2023</x:v>
      </x:c>
      <x:c r="D80" s="83" t="str">
        <x:v>Storico 2023</x:v>
      </x:c>
      <x:c r="E80" s="83" t="str">
        <x:v>Weekly</x:v>
      </x:c>
      <x:c r="F80" s="83" t="str">
        <x:v>Flexibility need index</x:v>
      </x:c>
      <x:c r="G80" s="83" t="str">
        <x:v>Weekly flexibility index</x:v>
      </x:c>
      <x:c r="H80" s="83" t="str">
        <x:v>=</x:v>
      </x:c>
      <x:c r="I80" s="197" t="n">
        <x:v>87</x:v>
      </x:c>
      <x:c r="J80" s="83" t="str">
        <x:v>index (Daily 2023=100)</x:v>
      </x:c>
      <x:c r="K80" s="83" t="str">
        <x:v>Source analytical index</x:v>
      </x:c>
      <x:c r="L80" s="83" t="str">
        <x:v>S07</x:v>
      </x:c>
      <x:c r="M80" s="83" t="str">
        <x:v>Prospettive di Sviluppo del Sistema Energetico 2050</x:v>
      </x:c>
      <x:c r="N80" s="83" t="n">
        <x:v>67</x:v>
      </x:c>
      <x:c r="O80" s="83" t="n">
        <x:v>65</x:v>
      </x:c>
      <x:c r="P80" s="83" t="str">
        <x:v>Figure 57</x:v>
      </x:c>
      <x:c r="Q80" s="83" t="str">
        <x:v>Risultato di modello/indicator</x:v>
      </x:c>
      <x:c r="R80" s="83" t="str">
        <x:v>Direct chart labels</x:v>
      </x:c>
      <x:c r="S80" s="83" t="str">
        <x:v>A — Direct</x:v>
      </x:c>
      <x:c r="T80" s="83" t="str">
        <x:v>Context/validation, not direct solver constraint.</x:v>
      </x:c>
      <x:c r="U80" s="83" t="str">
        <x:v>Daily 2023 is normalized to 100; other indices are reported on same graphic basis.</x:v>
      </x:c>
    </x:row>
    <x:row r="81">
      <x:c r="A81" s="83" t="str">
        <x:v>FL-077</x:v>
      </x:c>
      <x:c r="B81" s="83" t="str">
        <x:v>PNIEC_POLICY_2030</x:v>
      </x:c>
      <x:c r="C81" s="83" t="n">
        <x:v>2030</x:v>
      </x:c>
      <x:c r="D81" s="83" t="str">
        <x:v>PNIEC Policy 2030</x:v>
      </x:c>
      <x:c r="E81" s="83" t="str">
        <x:v>Weekly</x:v>
      </x:c>
      <x:c r="F81" s="83" t="str">
        <x:v>Flexibility need index</x:v>
      </x:c>
      <x:c r="G81" s="83" t="str">
        <x:v>Weekly flexibility index</x:v>
      </x:c>
      <x:c r="H81" s="83" t="str">
        <x:v>=</x:v>
      </x:c>
      <x:c r="I81" s="197" t="n">
        <x:v>114</x:v>
      </x:c>
      <x:c r="J81" s="83" t="str">
        <x:v>index (Daily 2023=100)</x:v>
      </x:c>
      <x:c r="K81" s="83" t="str">
        <x:v>Source analytical index</x:v>
      </x:c>
      <x:c r="L81" s="83" t="str">
        <x:v>S07</x:v>
      </x:c>
      <x:c r="M81" s="83" t="str">
        <x:v>Prospettive di Sviluppo del Sistema Energetico 2050</x:v>
      </x:c>
      <x:c r="N81" s="83" t="n">
        <x:v>67</x:v>
      </x:c>
      <x:c r="O81" s="83" t="n">
        <x:v>65</x:v>
      </x:c>
      <x:c r="P81" s="83" t="str">
        <x:v>Figure 57</x:v>
      </x:c>
      <x:c r="Q81" s="83" t="str">
        <x:v>Risultato di modello/indicator</x:v>
      </x:c>
      <x:c r="R81" s="83" t="str">
        <x:v>Direct chart labels</x:v>
      </x:c>
      <x:c r="S81" s="83" t="str">
        <x:v>A — Direct</x:v>
      </x:c>
      <x:c r="T81" s="83" t="str">
        <x:v>Context/validation, not direct solver constraint.</x:v>
      </x:c>
      <x:c r="U81" s="83" t="str">
        <x:v>Daily 2023 is normalized to 100; other indices are reported on same graphic basis.</x:v>
      </x:c>
    </x:row>
    <x:row r="82">
      <x:c r="A82" s="83" t="str">
        <x:v>FL-078</x:v>
      </x:c>
      <x:c r="B82" s="83" t="str">
        <x:v>DE_IT_2040</x:v>
      </x:c>
      <x:c r="C82" s="83" t="n">
        <x:v>2040</x:v>
      </x:c>
      <x:c r="D82" s="83" t="str">
        <x:v>DE-IT 2040</x:v>
      </x:c>
      <x:c r="E82" s="83" t="str">
        <x:v>Weekly</x:v>
      </x:c>
      <x:c r="F82" s="83" t="str">
        <x:v>Flexibility need index</x:v>
      </x:c>
      <x:c r="G82" s="83" t="str">
        <x:v>Weekly flexibility index</x:v>
      </x:c>
      <x:c r="H82" s="83" t="str">
        <x:v>=</x:v>
      </x:c>
      <x:c r="I82" s="197" t="n">
        <x:v>161</x:v>
      </x:c>
      <x:c r="J82" s="83" t="str">
        <x:v>index (Daily 2023=100)</x:v>
      </x:c>
      <x:c r="K82" s="83" t="str">
        <x:v>Source analytical index</x:v>
      </x:c>
      <x:c r="L82" s="83" t="str">
        <x:v>S07</x:v>
      </x:c>
      <x:c r="M82" s="83" t="str">
        <x:v>Prospettive di Sviluppo del Sistema Energetico 2050</x:v>
      </x:c>
      <x:c r="N82" s="83" t="n">
        <x:v>67</x:v>
      </x:c>
      <x:c r="O82" s="83" t="n">
        <x:v>65</x:v>
      </x:c>
      <x:c r="P82" s="83" t="str">
        <x:v>Figure 57</x:v>
      </x:c>
      <x:c r="Q82" s="83" t="str">
        <x:v>Risultato di modello/indicator</x:v>
      </x:c>
      <x:c r="R82" s="83" t="str">
        <x:v>Direct chart labels</x:v>
      </x:c>
      <x:c r="S82" s="83" t="str">
        <x:v>A — Direct</x:v>
      </x:c>
      <x:c r="T82" s="83" t="str">
        <x:v>Context/validation, not direct solver constraint.</x:v>
      </x:c>
      <x:c r="U82" s="83" t="str">
        <x:v>Daily 2023 is normalized to 100; other indices are reported on same graphic basis.</x:v>
      </x:c>
    </x:row>
    <x:row r="83">
      <x:c r="A83" s="83" t="str">
        <x:v>FL-079</x:v>
      </x:c>
      <x:c r="B83" s="83" t="str">
        <x:v>TERNA_2050_NUCLEAR</x:v>
      </x:c>
      <x:c r="C83" s="83" t="n">
        <x:v>2050</x:v>
      </x:c>
      <x:c r="D83" s="83" t="str">
        <x:v>Terna 2050 con nucleare</x:v>
      </x:c>
      <x:c r="E83" s="83" t="str">
        <x:v>Weekly</x:v>
      </x:c>
      <x:c r="F83" s="83" t="str">
        <x:v>Flexibility need index</x:v>
      </x:c>
      <x:c r="G83" s="83" t="str">
        <x:v>Weekly flexibility index</x:v>
      </x:c>
      <x:c r="H83" s="83" t="str">
        <x:v>=</x:v>
      </x:c>
      <x:c r="I83" s="197" t="n">
        <x:v>206</x:v>
      </x:c>
      <x:c r="J83" s="83" t="str">
        <x:v>index (Daily 2023=100)</x:v>
      </x:c>
      <x:c r="K83" s="83" t="str">
        <x:v>Source analytical index</x:v>
      </x:c>
      <x:c r="L83" s="83" t="str">
        <x:v>S07</x:v>
      </x:c>
      <x:c r="M83" s="83" t="str">
        <x:v>Prospettive di Sviluppo del Sistema Energetico 2050</x:v>
      </x:c>
      <x:c r="N83" s="83" t="n">
        <x:v>67</x:v>
      </x:c>
      <x:c r="O83" s="83" t="n">
        <x:v>65</x:v>
      </x:c>
      <x:c r="P83" s="83" t="str">
        <x:v>Figure 57</x:v>
      </x:c>
      <x:c r="Q83" s="83" t="str">
        <x:v>Risultato di modello/indicator</x:v>
      </x:c>
      <x:c r="R83" s="83" t="str">
        <x:v>Direct chart labels</x:v>
      </x:c>
      <x:c r="S83" s="83" t="str">
        <x:v>A — Direct</x:v>
      </x:c>
      <x:c r="T83" s="83" t="str">
        <x:v>Context/validation, not direct solver constraint.</x:v>
      </x:c>
      <x:c r="U83" s="83" t="str">
        <x:v>Daily 2023 is normalized to 100; other indices are reported on same graphic basis.</x:v>
      </x:c>
    </x:row>
    <x:row r="84">
      <x:c r="A84" s="83" t="str">
        <x:v>FL-080</x:v>
      </x:c>
      <x:c r="B84" s="83" t="str">
        <x:v>HIST_2023</x:v>
      </x:c>
      <x:c r="C84" s="83" t="n">
        <x:v>2023</x:v>
      </x:c>
      <x:c r="D84" s="83" t="str">
        <x:v>Storico 2023</x:v>
      </x:c>
      <x:c r="E84" s="83" t="str">
        <x:v>Monthly</x:v>
      </x:c>
      <x:c r="F84" s="83" t="str">
        <x:v>Flexibility need index</x:v>
      </x:c>
      <x:c r="G84" s="83" t="str">
        <x:v>Monthly flexibility index</x:v>
      </x:c>
      <x:c r="H84" s="83" t="str">
        <x:v>=</x:v>
      </x:c>
      <x:c r="I84" s="197" t="n">
        <x:v>36</x:v>
      </x:c>
      <x:c r="J84" s="83" t="str">
        <x:v>index (Daily 2023=100)</x:v>
      </x:c>
      <x:c r="K84" s="83" t="str">
        <x:v>Source analytical index</x:v>
      </x:c>
      <x:c r="L84" s="83" t="str">
        <x:v>S07</x:v>
      </x:c>
      <x:c r="M84" s="83" t="str">
        <x:v>Prospettive di Sviluppo del Sistema Energetico 2050</x:v>
      </x:c>
      <x:c r="N84" s="83" t="n">
        <x:v>67</x:v>
      </x:c>
      <x:c r="O84" s="83" t="n">
        <x:v>65</x:v>
      </x:c>
      <x:c r="P84" s="83" t="str">
        <x:v>Figure 57</x:v>
      </x:c>
      <x:c r="Q84" s="83" t="str">
        <x:v>Risultato di modello/indicator</x:v>
      </x:c>
      <x:c r="R84" s="83" t="str">
        <x:v>Direct chart labels</x:v>
      </x:c>
      <x:c r="S84" s="83" t="str">
        <x:v>A — Direct</x:v>
      </x:c>
      <x:c r="T84" s="83" t="str">
        <x:v>Context/validation, not direct solver constraint.</x:v>
      </x:c>
      <x:c r="U84" s="83" t="str">
        <x:v>Daily 2023 is normalized to 100; other indices are reported on same graphic basis.</x:v>
      </x:c>
    </x:row>
    <x:row r="85">
      <x:c r="A85" s="83" t="str">
        <x:v>FL-081</x:v>
      </x:c>
      <x:c r="B85" s="83" t="str">
        <x:v>PNIEC_POLICY_2030</x:v>
      </x:c>
      <x:c r="C85" s="83" t="n">
        <x:v>2030</x:v>
      </x:c>
      <x:c r="D85" s="83" t="str">
        <x:v>PNIEC Policy 2030</x:v>
      </x:c>
      <x:c r="E85" s="83" t="str">
        <x:v>Monthly</x:v>
      </x:c>
      <x:c r="F85" s="83" t="str">
        <x:v>Flexibility need index</x:v>
      </x:c>
      <x:c r="G85" s="83" t="str">
        <x:v>Monthly flexibility index</x:v>
      </x:c>
      <x:c r="H85" s="83" t="str">
        <x:v>=</x:v>
      </x:c>
      <x:c r="I85" s="197" t="n">
        <x:v>80</x:v>
      </x:c>
      <x:c r="J85" s="83" t="str">
        <x:v>index (Daily 2023=100)</x:v>
      </x:c>
      <x:c r="K85" s="83" t="str">
        <x:v>Source analytical index</x:v>
      </x:c>
      <x:c r="L85" s="83" t="str">
        <x:v>S07</x:v>
      </x:c>
      <x:c r="M85" s="83" t="str">
        <x:v>Prospettive di Sviluppo del Sistema Energetico 2050</x:v>
      </x:c>
      <x:c r="N85" s="83" t="n">
        <x:v>67</x:v>
      </x:c>
      <x:c r="O85" s="83" t="n">
        <x:v>65</x:v>
      </x:c>
      <x:c r="P85" s="83" t="str">
        <x:v>Figure 57</x:v>
      </x:c>
      <x:c r="Q85" s="83" t="str">
        <x:v>Risultato di modello/indicator</x:v>
      </x:c>
      <x:c r="R85" s="83" t="str">
        <x:v>Direct chart labels</x:v>
      </x:c>
      <x:c r="S85" s="83" t="str">
        <x:v>A — Direct</x:v>
      </x:c>
      <x:c r="T85" s="83" t="str">
        <x:v>Context/validation, not direct solver constraint.</x:v>
      </x:c>
      <x:c r="U85" s="83" t="str">
        <x:v>Daily 2023 is normalized to 100; other indices are reported on same graphic basis.</x:v>
      </x:c>
    </x:row>
    <x:row r="86">
      <x:c r="A86" s="83" t="str">
        <x:v>FL-082</x:v>
      </x:c>
      <x:c r="B86" s="83" t="str">
        <x:v>DE_IT_2040</x:v>
      </x:c>
      <x:c r="C86" s="83" t="n">
        <x:v>2040</x:v>
      </x:c>
      <x:c r="D86" s="83" t="str">
        <x:v>DE-IT 2040</x:v>
      </x:c>
      <x:c r="E86" s="83" t="str">
        <x:v>Monthly</x:v>
      </x:c>
      <x:c r="F86" s="83" t="str">
        <x:v>Flexibility need index</x:v>
      </x:c>
      <x:c r="G86" s="83" t="str">
        <x:v>Monthly flexibility index</x:v>
      </x:c>
      <x:c r="H86" s="83" t="str">
        <x:v>=</x:v>
      </x:c>
      <x:c r="I86" s="197" t="n">
        <x:v>121</x:v>
      </x:c>
      <x:c r="J86" s="83" t="str">
        <x:v>index (Daily 2023=100)</x:v>
      </x:c>
      <x:c r="K86" s="83" t="str">
        <x:v>Source analytical index</x:v>
      </x:c>
      <x:c r="L86" s="83" t="str">
        <x:v>S07</x:v>
      </x:c>
      <x:c r="M86" s="83" t="str">
        <x:v>Prospettive di Sviluppo del Sistema Energetico 2050</x:v>
      </x:c>
      <x:c r="N86" s="83" t="n">
        <x:v>67</x:v>
      </x:c>
      <x:c r="O86" s="83" t="n">
        <x:v>65</x:v>
      </x:c>
      <x:c r="P86" s="83" t="str">
        <x:v>Figure 57</x:v>
      </x:c>
      <x:c r="Q86" s="83" t="str">
        <x:v>Risultato di modello/indicator</x:v>
      </x:c>
      <x:c r="R86" s="83" t="str">
        <x:v>Direct chart labels</x:v>
      </x:c>
      <x:c r="S86" s="83" t="str">
        <x:v>A — Direct</x:v>
      </x:c>
      <x:c r="T86" s="83" t="str">
        <x:v>Context/validation, not direct solver constraint.</x:v>
      </x:c>
      <x:c r="U86" s="83" t="str">
        <x:v>Daily 2023 is normalized to 100; other indices are reported on same graphic basis.</x:v>
      </x:c>
    </x:row>
    <x:row r="87">
      <x:c r="A87" s="83" t="str">
        <x:v>FL-083</x:v>
      </x:c>
      <x:c r="B87" s="83" t="str">
        <x:v>TERNA_2050_NUCLEAR</x:v>
      </x:c>
      <x:c r="C87" s="83" t="n">
        <x:v>2050</x:v>
      </x:c>
      <x:c r="D87" s="83" t="str">
        <x:v>Terna 2050 con nucleare</x:v>
      </x:c>
      <x:c r="E87" s="83" t="str">
        <x:v>Monthly</x:v>
      </x:c>
      <x:c r="F87" s="83" t="str">
        <x:v>Flexibility need index</x:v>
      </x:c>
      <x:c r="G87" s="83" t="str">
        <x:v>Monthly flexibility index</x:v>
      </x:c>
      <x:c r="H87" s="83" t="str">
        <x:v>=</x:v>
      </x:c>
      <x:c r="I87" s="197" t="n">
        <x:v>188</x:v>
      </x:c>
      <x:c r="J87" s="83" t="str">
        <x:v>index (Daily 2023=100)</x:v>
      </x:c>
      <x:c r="K87" s="83" t="str">
        <x:v>Source analytical index</x:v>
      </x:c>
      <x:c r="L87" s="83" t="str">
        <x:v>S07</x:v>
      </x:c>
      <x:c r="M87" s="83" t="str">
        <x:v>Prospettive di Sviluppo del Sistema Energetico 2050</x:v>
      </x:c>
      <x:c r="N87" s="83" t="n">
        <x:v>67</x:v>
      </x:c>
      <x:c r="O87" s="83" t="n">
        <x:v>65</x:v>
      </x:c>
      <x:c r="P87" s="83" t="str">
        <x:v>Figure 57</x:v>
      </x:c>
      <x:c r="Q87" s="83" t="str">
        <x:v>Risultato di modello/indicator</x:v>
      </x:c>
      <x:c r="R87" s="83" t="str">
        <x:v>Direct chart labels</x:v>
      </x:c>
      <x:c r="S87" s="83" t="str">
        <x:v>A — Direct</x:v>
      </x:c>
      <x:c r="T87" s="83" t="str">
        <x:v>Context/validation, not direct solver constraint.</x:v>
      </x:c>
      <x:c r="U87" s="83" t="str">
        <x:v>Daily 2023 is normalized to 100; other indices are reported on same graphic basis.</x:v>
      </x:c>
    </x:row>
    <x:row r="88">
      <x:c r="A88" s="83" t="str">
        <x:v>FL-084</x:v>
      </x:c>
      <x:c r="B88" s="83" t="str">
        <x:v>HIST_2023</x:v>
      </x:c>
      <x:c r="C88" s="83" t="n">
        <x:v>2023</x:v>
      </x:c>
      <x:c r="D88" s="83" t="str">
        <x:v>Storico 2023</x:v>
      </x:c>
      <x:c r="E88" s="83" t="str">
        <x:v>Daily</x:v>
      </x:c>
      <x:c r="F88" s="83" t="str">
        <x:v>Flexibility contribution</x:v>
      </x:c>
      <x:c r="G88" s="83" t="str">
        <x:v>Daily flexibility contribution — Thermal generation</x:v>
      </x:c>
      <x:c r="H88" s="83" t="str">
        <x:v>=</x:v>
      </x:c>
      <x:c r="I88" s="197" t="n">
        <x:v>65</x:v>
      </x:c>
      <x:c r="J88" s="83" t="str">
        <x:v>%</x:v>
      </x:c>
      <x:c r="K88" s="83" t="str">
        <x:v>Source share</x:v>
      </x:c>
      <x:c r="L88" s="83" t="str">
        <x:v>S07</x:v>
      </x:c>
      <x:c r="M88" s="83" t="str">
        <x:v>Prospettive di Sviluppo del Sistema Energetico 2050</x:v>
      </x:c>
      <x:c r="N88" s="83" t="n">
        <x:v>68</x:v>
      </x:c>
      <x:c r="O88" s="83" t="n">
        <x:v>66</x:v>
      </x:c>
      <x:c r="P88" s="83" t="str">
        <x:v>Figure 58 / narrative</x:v>
      </x:c>
      <x:c r="Q88" s="83" t="str">
        <x:v>Direct</x:v>
      </x:c>
      <x:c r="R88" s="83" t="str">
        <x:v>Direct narrative</x:v>
      </x:c>
      <x:c r="S88" s="83" t="str">
        <x:v>A direct / B derived</x:v>
      </x:c>
      <x:c r="T88" s="83" t="str">
        <x:v>Context for flexibility portfolio.</x:v>
      </x:c>
      <x:c r="U88" s="83" t="str">
        <x:v>Approximate 2023 daily share.</x:v>
      </x:c>
    </x:row>
    <x:row r="89">
      <x:c r="A89" s="83" t="str">
        <x:v>FL-085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Daily</x:v>
      </x:c>
      <x:c r="F89" s="83" t="str">
        <x:v>Flexibility contribution</x:v>
      </x:c>
      <x:c r="G89" s="83" t="str">
        <x:v>Daily flexibility contribution — Energy storage</x:v>
      </x:c>
      <x:c r="H89" s="83" t="str">
        <x:v>=</x:v>
      </x:c>
      <x:c r="I89" s="197" t="n">
        <x:v>58</x:v>
      </x:c>
      <x:c r="J89" s="83" t="str">
        <x:v>%</x:v>
      </x:c>
      <x:c r="K89" s="83" t="str">
        <x:v>Source share</x:v>
      </x:c>
      <x:c r="L89" s="83" t="str">
        <x:v>S07</x:v>
      </x:c>
      <x:c r="M89" s="83" t="str">
        <x:v>Prospettive di Sviluppo del Sistema Energetico 2050</x:v>
      </x:c>
      <x:c r="N89" s="83" t="n">
        <x:v>68</x:v>
      </x:c>
      <x:c r="O89" s="83" t="n">
        <x:v>66</x:v>
      </x:c>
      <x:c r="P89" s="83" t="str">
        <x:v>Figure 58 / narrative</x:v>
      </x:c>
      <x:c r="Q89" s="83" t="str">
        <x:v>Direct</x:v>
      </x:c>
      <x:c r="R89" s="83" t="str">
        <x:v>Direct narrative</x:v>
      </x:c>
      <x:c r="S89" s="83" t="str">
        <x:v>A direct / B derived</x:v>
      </x:c>
      <x:c r="T89" s="83" t="str">
        <x:v>Context for flexibility portfolio.</x:v>
      </x:c>
      <x:c r="U89" s="83" t="str">
        <x:v>Electrochemical plus pumped hydro.</x:v>
      </x:c>
    </x:row>
    <x:row r="90">
      <x:c r="A90" s="83" t="str">
        <x:v>FL-086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Daily</x:v>
      </x:c>
      <x:c r="F90" s="83" t="str">
        <x:v>Flexibility contribution</x:v>
      </x:c>
      <x:c r="G90" s="83" t="str">
        <x:v>Daily flexibility contribution — Electrolysers</x:v>
      </x:c>
      <x:c r="H90" s="83" t="str">
        <x:v>=</x:v>
      </x:c>
      <x:c r="I90" s="197" t="n">
        <x:v>17</x:v>
      </x:c>
      <x:c r="J90" s="83" t="str">
        <x:v>%</x:v>
      </x:c>
      <x:c r="K90" s="83" t="str">
        <x:v>Source share</x:v>
      </x:c>
      <x:c r="L90" s="83" t="str">
        <x:v>S07</x:v>
      </x:c>
      <x:c r="M90" s="83" t="str">
        <x:v>Prospettive di Sviluppo del Sistema Energetico 2050</x:v>
      </x:c>
      <x:c r="N90" s="83" t="n">
        <x:v>68</x:v>
      </x:c>
      <x:c r="O90" s="83" t="n">
        <x:v>66</x:v>
      </x:c>
      <x:c r="P90" s="83" t="str">
        <x:v>Figure 58 / narrative</x:v>
      </x:c>
      <x:c r="Q90" s="83" t="str">
        <x:v>Direct</x:v>
      </x:c>
      <x:c r="R90" s="83" t="str">
        <x:v>Direct narrative</x:v>
      </x:c>
      <x:c r="S90" s="83" t="str">
        <x:v>A direct / B derived</x:v>
      </x:c>
      <x:c r="T90" s="83" t="str">
        <x:v>Context for flexibility portfolio.</x:v>
      </x:c>
      <x:c r="U90" s="83" t="str">
        <x:v>Flexible hydrogen production.</x:v>
      </x:c>
    </x:row>
    <x:row r="91">
      <x:c r="A91" s="83" t="str">
        <x:v>FL-087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Daily</x:v>
      </x:c>
      <x:c r="F91" s="83" t="str">
        <x:v>Flexibility contribution</x:v>
      </x:c>
      <x:c r="G91" s="83" t="str">
        <x:v>Daily flexibility contribution — Curtailment</x:v>
      </x:c>
      <x:c r="H91" s="83" t="str">
        <x:v>=</x:v>
      </x:c>
      <x:c r="I91" s="197" t="n">
        <x:v>11</x:v>
      </x:c>
      <x:c r="J91" s="83" t="str">
        <x:v>%</x:v>
      </x:c>
      <x:c r="K91" s="83" t="str">
        <x:v>Source share</x:v>
      </x:c>
      <x:c r="L91" s="83" t="str">
        <x:v>S07</x:v>
      </x:c>
      <x:c r="M91" s="83" t="str">
        <x:v>Prospettive di Sviluppo del Sistema Energetico 2050</x:v>
      </x:c>
      <x:c r="N91" s="83" t="n">
        <x:v>68</x:v>
      </x:c>
      <x:c r="O91" s="83" t="n">
        <x:v>66</x:v>
      </x:c>
      <x:c r="P91" s="83" t="str">
        <x:v>Figure 58 / narrative</x:v>
      </x:c>
      <x:c r="Q91" s="83" t="str">
        <x:v>Direct</x:v>
      </x:c>
      <x:c r="R91" s="83" t="str">
        <x:v>Direct narrative</x:v>
      </x:c>
      <x:c r="S91" s="83" t="str">
        <x:v>A direct / B derived</x:v>
      </x:c>
      <x:c r="T91" s="83" t="str">
        <x:v>Context for flexibility portfolio.</x:v>
      </x:c>
      <x:c r="U91" s="83" t="str">
        <x:v>Downward flexibility.</x:v>
      </x:c>
    </x:row>
    <x:row r="92">
      <x:c r="A92" s="83" t="str">
        <x:v>FL-088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Daily</x:v>
      </x:c>
      <x:c r="F92" s="83" t="str">
        <x:v>Flexibility contribution</x:v>
      </x:c>
      <x:c r="G92" s="83" t="str">
        <x:v>Daily flexibility contribution — Other combined</x:v>
      </x:c>
      <x:c r="H92" s="83" t="str">
        <x:v>=</x:v>
      </x:c>
      <x:c r="I92" s="197" t="n">
        <x:v>14</x:v>
      </x:c>
      <x:c r="J92" s="83" t="str">
        <x:v>%</x:v>
      </x:c>
      <x:c r="K92" s="83" t="str">
        <x:v>Derived residual</x:v>
      </x:c>
      <x:c r="L92" s="83" t="str">
        <x:v>S07</x:v>
      </x:c>
      <x:c r="M92" s="83" t="str">
        <x:v>Prospettive di Sviluppo del Sistema Energetico 2050</x:v>
      </x:c>
      <x:c r="N92" s="83" t="n">
        <x:v>68</x:v>
      </x:c>
      <x:c r="O92" s="83" t="n">
        <x:v>66</x:v>
      </x:c>
      <x:c r="P92" s="83" t="str">
        <x:v>Figure 58 / narrative</x:v>
      </x:c>
      <x:c r="Q92" s="83" t="str">
        <x:v>B — Derived</x:v>
      </x:c>
      <x:c r="R92" s="83" t="str">
        <x:v>100 − 58 − 17 − 11</x:v>
      </x:c>
      <x:c r="S92" s="83" t="str">
        <x:v>A direct / B derived</x:v>
      </x:c>
      <x:c r="T92" s="83" t="str">
        <x:v>Context for flexibility portfolio.</x:v>
      </x:c>
      <x:c r="U92" s="83" t="str">
        <x:v>Derived residual: hydro, thermal+nuclear and interconnectors not split numerically.</x:v>
      </x:c>
    </x:row>
    <x:row r="93">
      <x:c r="A93" s="83" t="str">
        <x:v>FL-089</x:v>
      </x:c>
      <x:c r="B93" s="83" t="str">
        <x:v>TERNA_2050_NUCLEAR</x:v>
      </x:c>
      <x:c r="C93" s="83" t="n">
        <x:v>2050</x:v>
      </x:c>
      <x:c r="D93" s="83" t="str">
        <x:v>Terna 2050 con nucleare</x:v>
      </x:c>
      <x:c r="E93" s="83" t="str">
        <x:v>Monthly</x:v>
      </x:c>
      <x:c r="F93" s="83" t="str">
        <x:v>Flexibility contribution</x:v>
      </x:c>
      <x:c r="G93" s="83" t="str">
        <x:v>Monthly flexibility contribution — Programmable generation + interconnectors</x:v>
      </x:c>
      <x:c r="H93" s="83" t="str">
        <x:v>=</x:v>
      </x:c>
      <x:c r="I93" s="197" t="n">
        <x:v>40</x:v>
      </x:c>
      <x:c r="J93" s="83" t="str">
        <x:v>%</x:v>
      </x:c>
      <x:c r="K93" s="83" t="str">
        <x:v>Source share</x:v>
      </x:c>
      <x:c r="L93" s="83" t="str">
        <x:v>S07</x:v>
      </x:c>
      <x:c r="M93" s="83" t="str">
        <x:v>Prospettive di Sviluppo del Sistema Energetico 2050</x:v>
      </x:c>
      <x:c r="N93" s="83" t="n">
        <x:v>68</x:v>
      </x:c>
      <x:c r="O93" s="83" t="n">
        <x:v>66</x:v>
      </x:c>
      <x:c r="P93" s="83" t="str">
        <x:v>Figure 59 / narrative</x:v>
      </x:c>
      <x:c r="Q93" s="83" t="str">
        <x:v>Direct</x:v>
      </x:c>
      <x:c r="R93" s="83" t="str">
        <x:v>Direct narrative</x:v>
      </x:c>
      <x:c r="S93" s="83" t="str">
        <x:v>A — Direct</x:v>
      </x:c>
      <x:c r="T93" s="83" t="str">
        <x:v>Context; demonstrates seasonal limits of conventional storage.</x:v>
      </x:c>
      <x:c r="U93" s="83" t="str"/>
    </x:row>
    <x:row r="94">
      <x:c r="A94" s="83" t="str">
        <x:v>FL-090</x:v>
      </x:c>
      <x:c r="B94" s="83" t="str">
        <x:v>TERNA_2050_NUCLEAR</x:v>
      </x:c>
      <x:c r="C94" s="83" t="n">
        <x:v>2050</x:v>
      </x:c>
      <x:c r="D94" s="83" t="str">
        <x:v>Terna 2050 con nucleare</x:v>
      </x:c>
      <x:c r="E94" s="83" t="str">
        <x:v>Monthly</x:v>
      </x:c>
      <x:c r="F94" s="83" t="str">
        <x:v>Flexibility contribution</x:v>
      </x:c>
      <x:c r="G94" s="83" t="str">
        <x:v>Monthly flexibility contribution — Electrolysers</x:v>
      </x:c>
      <x:c r="H94" s="83" t="str">
        <x:v>=</x:v>
      </x:c>
      <x:c r="I94" s="197" t="n">
        <x:v>32</x:v>
      </x:c>
      <x:c r="J94" s="83" t="str">
        <x:v>%</x:v>
      </x:c>
      <x:c r="K94" s="83" t="str">
        <x:v>Source share</x:v>
      </x:c>
      <x:c r="L94" s="83" t="str">
        <x:v>S07</x:v>
      </x:c>
      <x:c r="M94" s="83" t="str">
        <x:v>Prospettive di Sviluppo del Sistema Energetico 2050</x:v>
      </x:c>
      <x:c r="N94" s="83" t="n">
        <x:v>68</x:v>
      </x:c>
      <x:c r="O94" s="83" t="n">
        <x:v>66</x:v>
      </x:c>
      <x:c r="P94" s="83" t="str">
        <x:v>Figure 59 / narrative</x:v>
      </x:c>
      <x:c r="Q94" s="83" t="str">
        <x:v>Direct</x:v>
      </x:c>
      <x:c r="R94" s="83" t="str">
        <x:v>Direct narrative</x:v>
      </x:c>
      <x:c r="S94" s="83" t="str">
        <x:v>A — Direct</x:v>
      </x:c>
      <x:c r="T94" s="83" t="str">
        <x:v>Context; demonstrates seasonal limits of conventional storage.</x:v>
      </x:c>
      <x:c r="U94" s="83" t="str"/>
    </x:row>
    <x:row r="95">
      <x:c r="A95" s="83" t="str">
        <x:v>FL-091</x:v>
      </x:c>
      <x:c r="B95" s="83" t="str">
        <x:v>TERNA_2050_NUCLEAR</x:v>
      </x:c>
      <x:c r="C95" s="83" t="n">
        <x:v>2050</x:v>
      </x:c>
      <x:c r="D95" s="83" t="str">
        <x:v>Terna 2050 con nucleare</x:v>
      </x:c>
      <x:c r="E95" s="83" t="str">
        <x:v>Monthly</x:v>
      </x:c>
      <x:c r="F95" s="83" t="str">
        <x:v>Flexibility contribution</x:v>
      </x:c>
      <x:c r="G95" s="83" t="str">
        <x:v>Monthly flexibility contribution — Curtailment</x:v>
      </x:c>
      <x:c r="H95" s="83" t="str">
        <x:v>=</x:v>
      </x:c>
      <x:c r="I95" s="197" t="n">
        <x:v>28</x:v>
      </x:c>
      <x:c r="J95" s="83" t="str">
        <x:v>%</x:v>
      </x:c>
      <x:c r="K95" s="83" t="str">
        <x:v>Source share</x:v>
      </x:c>
      <x:c r="L95" s="83" t="str">
        <x:v>S07</x:v>
      </x:c>
      <x:c r="M95" s="83" t="str">
        <x:v>Prospettive di Sviluppo del Sistema Energetico 2050</x:v>
      </x:c>
      <x:c r="N95" s="83" t="n">
        <x:v>68</x:v>
      </x:c>
      <x:c r="O95" s="83" t="n">
        <x:v>66</x:v>
      </x:c>
      <x:c r="P95" s="83" t="str">
        <x:v>Figure 59 / narrative</x:v>
      </x:c>
      <x:c r="Q95" s="83" t="str">
        <x:v>Direct</x:v>
      </x:c>
      <x:c r="R95" s="83" t="str">
        <x:v>Direct narrative</x:v>
      </x:c>
      <x:c r="S95" s="83" t="str">
        <x:v>A — Direct</x:v>
      </x:c>
      <x:c r="T95" s="83" t="str">
        <x:v>Context; demonstrates seasonal limits of conventional storage.</x:v>
      </x:c>
      <x:c r="U95" s="83" t="str"/>
    </x:row>
    <x:row r="96">
      <x:c r="A96" s="83" t="str">
        <x:v>FL-092</x:v>
      </x:c>
      <x:c r="B96" s="83" t="str">
        <x:v>TERNA_2050_NUCLEAR</x:v>
      </x:c>
      <x:c r="C96" s="83" t="n">
        <x:v>2050</x:v>
      </x:c>
      <x:c r="D96" s="83" t="str">
        <x:v>Terna 2050 con nucleare</x:v>
      </x:c>
      <x:c r="E96" s="83" t="str">
        <x:v>Critical spring hours</x:v>
      </x:c>
      <x:c r="F96" s="83" t="str">
        <x:v>Curtailment</x:v>
      </x:c>
      <x:c r="G96" s="83" t="str">
        <x:v>FER power curtailment in extreme hours</x:v>
      </x:c>
      <x:c r="H96" s="83" t="str">
        <x:v>&gt;</x:v>
      </x:c>
      <x:c r="I96" s="197" t="n">
        <x:v>100</x:v>
      </x:c>
      <x:c r="J96" s="83" t="str">
        <x:v>GW</x:v>
      </x:c>
      <x:c r="K96" s="83" t="str">
        <x:v>Source analytical result</x:v>
      </x:c>
      <x:c r="L96" s="83" t="str">
        <x:v>S07</x:v>
      </x:c>
      <x:c r="M96" s="83" t="str">
        <x:v>Prospettive di Sviluppo del Sistema Energetico 2050</x:v>
      </x:c>
      <x:c r="N96" s="83" t="n">
        <x:v>69</x:v>
      </x:c>
      <x:c r="O96" s="83" t="n">
        <x:v>67</x:v>
      </x:c>
      <x:c r="P96" s="83" t="str">
        <x:v>Figure 60 / narrative</x:v>
      </x:c>
      <x:c r="Q96" s="83" t="str">
        <x:v>Risultato di modello</x:v>
      </x:c>
      <x:c r="R96" s="83" t="str">
        <x:v>Direct threshold</x:v>
      </x:c>
      <x:c r="S96" s="83" t="str">
        <x:v>A — Direct</x:v>
      </x:c>
      <x:c r="T96" s="83" t="str">
        <x:v>Stress-test validation; requires curtailment capability.</x:v>
      </x:c>
      <x:c r="U96" s="83" t="str">
        <x:v>Even after storage and reasonable export.</x:v>
      </x:c>
    </x:row>
    <x:row r="97">
      <x:c r="A97" s="83" t="str">
        <x:v>FL-093</x:v>
      </x:c>
      <x:c r="B97" s="83" t="str"/>
      <x:c r="C97" s="83" t="n">
        <x:v>2050</x:v>
      </x:c>
      <x:c r="D97" s="83" t="str">
        <x:v>Storage economics illustration</x:v>
      </x:c>
      <x:c r="E97" s="83" t="str">
        <x:v>Annual</x:v>
      </x:c>
      <x:c r="F97" s="83" t="str">
        <x:v>Seasonal storage economics</x:v>
      </x:c>
      <x:c r="G97" s="83" t="str">
        <x:v>Cost of energy shifted — One cycle per day</x:v>
      </x:c>
      <x:c r="H97" s="83" t="str">
        <x:v>=</x:v>
      </x:c>
      <x:c r="I97" s="197" t="n">
        <x:v>60</x:v>
      </x:c>
      <x:c r="J97" s="83" t="str">
        <x:v>€/MWh</x:v>
      </x:c>
      <x:c r="K97" s="83" t="str">
        <x:v>Illustrative source estimate</x:v>
      </x:c>
      <x:c r="L97" s="83" t="str">
        <x:v>S07</x:v>
      </x:c>
      <x:c r="M97" s="83" t="str">
        <x:v>Prospettive di Sviluppo del Sistema Energetico 2050</x:v>
      </x:c>
      <x:c r="N97" s="83" t="n">
        <x:v>69</x:v>
      </x:c>
      <x:c r="O97" s="83" t="n">
        <x:v>67</x:v>
      </x:c>
      <x:c r="P97" s="83" t="str">
        <x:v>Narrative referring to Figure 44</x:v>
      </x:c>
      <x:c r="Q97" s="83" t="str">
        <x:v>Contextual cost estimate</x:v>
      </x:c>
      <x:c r="R97" s="83" t="str">
        <x:v>Direct</x:v>
      </x:c>
      <x:c r="S97" s="83" t="str">
        <x:v>A — Direct</x:v>
      </x:c>
      <x:c r="T97" s="83" t="str">
        <x:v>Explains why seasonal flexibility cannot be covered economically by daily-cycle batteries.</x:v>
      </x:c>
      <x:c r="U97" s="83" t="str">
        <x:v>Not a dispatch marginal cost input.</x:v>
      </x:c>
    </x:row>
    <x:row r="98">
      <x:c r="A98" s="83" t="str">
        <x:v>FL-094</x:v>
      </x:c>
      <x:c r="B98" s="83" t="str"/>
      <x:c r="C98" s="83" t="n">
        <x:v>2050</x:v>
      </x:c>
      <x:c r="D98" s="83" t="str">
        <x:v>Storage economics illustration</x:v>
      </x:c>
      <x:c r="E98" s="83" t="str">
        <x:v>Annual</x:v>
      </x:c>
      <x:c r="F98" s="83" t="str">
        <x:v>Seasonal storage economics</x:v>
      </x:c>
      <x:c r="G98" s="83" t="str">
        <x:v>Cost of energy shifted — One cycle per year</x:v>
      </x:c>
      <x:c r="H98" s="83" t="str">
        <x:v>=</x:v>
      </x:c>
      <x:c r="I98" s="197" t="n">
        <x:v>21000</x:v>
      </x:c>
      <x:c r="J98" s="83" t="str">
        <x:v>€/MWh</x:v>
      </x:c>
      <x:c r="K98" s="83" t="str">
        <x:v>Illustrative source estimate</x:v>
      </x:c>
      <x:c r="L98" s="83" t="str">
        <x:v>S07</x:v>
      </x:c>
      <x:c r="M98" s="83" t="str">
        <x:v>Prospettive di Sviluppo del Sistema Energetico 2050</x:v>
      </x:c>
      <x:c r="N98" s="83" t="n">
        <x:v>69</x:v>
      </x:c>
      <x:c r="O98" s="83" t="n">
        <x:v>67</x:v>
      </x:c>
      <x:c r="P98" s="83" t="str">
        <x:v>Narrative referring to Figure 44</x:v>
      </x:c>
      <x:c r="Q98" s="83" t="str">
        <x:v>Contextual cost estimate</x:v>
      </x:c>
      <x:c r="R98" s="83" t="str">
        <x:v>Direct</x:v>
      </x:c>
      <x:c r="S98" s="83" t="str">
        <x:v>A — Direct</x:v>
      </x:c>
      <x:c r="T98" s="83" t="str">
        <x:v>Explains why seasonal flexibility cannot be covered economically by daily-cycle batteries.</x:v>
      </x:c>
      <x:c r="U98" s="83" t="str">
        <x:v>Not a dispatch marginal cost input.</x:v>
      </x:c>
    </x:row>
    <x:row r="99">
      <x:c r="A99" s="83" t="str">
        <x:v>FL-095</x:v>
      </x:c>
      <x:c r="B99" s="83" t="str"/>
      <x:c r="C99" s="83" t="n">
        <x:v>2050</x:v>
      </x:c>
      <x:c r="D99" s="83" t="str">
        <x:v>Long-term flexibility context</x:v>
      </x:c>
      <x:c r="E99" s="83" t="str">
        <x:v>Intra-day</x:v>
      </x:c>
      <x:c r="F99" s="83" t="str">
        <x:v>Demand response</x:v>
      </x:c>
      <x:c r="G99" s="83" t="str">
        <x:v>Theoretical round-trip efficiency analogue</x:v>
      </x:c>
      <x:c r="H99" s="83" t="str">
        <x:v>=</x:v>
      </x:c>
      <x:c r="I99" s="197" t="n">
        <x:v>1</x:v>
      </x:c>
      <x:c r="J99" s="83" t="str">
        <x:v>p.u.</x:v>
      </x:c>
      <x:c r="K99" s="83" t="str">
        <x:v>Conceptual source statement</x:v>
      </x:c>
      <x:c r="L99" s="83" t="str">
        <x:v>S07</x:v>
      </x:c>
      <x:c r="M99" s="83" t="str">
        <x:v>Prospettive di Sviluppo del Sistema Energetico 2050</x:v>
      </x:c>
      <x:c r="N99" s="83" t="n">
        <x:v>70</x:v>
      </x:c>
      <x:c r="O99" s="83" t="n">
        <x:v>68</x:v>
      </x:c>
      <x:c r="P99" s="83" t="str">
        <x:v>Narrative</x:v>
      </x:c>
      <x:c r="Q99" s="83" t="str">
        <x:v>Conceptual</x:v>
      </x:c>
      <x:c r="R99" s="83" t="str">
        <x:v>Direct statement</x:v>
      </x:c>
      <x:c r="S99" s="83" t="str">
        <x:v>A — Direct</x:v>
      </x:c>
      <x:c r="T99" s="83" t="str">
        <x:v>Only if explicit shift windows, availability and opportunity costs are modeled.</x:v>
      </x:c>
      <x:c r="U99" s="83" t="str">
        <x:v>Demand response can be analogous to storage without energy losses, within consumer shift constraints.</x:v>
      </x:c>
    </x:row>
    <x:row r="100">
      <x:c r="A100" s="83" t="str">
        <x:v>FL-096</x:v>
      </x:c>
      <x:c r="B100" s="83" t="str"/>
      <x:c r="C100" s="83" t="n">
        <x:v>2050</x:v>
      </x:c>
      <x:c r="D100" s="83" t="str">
        <x:v>Long-term flexibility context</x:v>
      </x:c>
      <x:c r="E100" s="83" t="str">
        <x:v>Distributed</x:v>
      </x:c>
      <x:c r="F100" s="83" t="str">
        <x:v>Distributed flexibility</x:v>
      </x:c>
      <x:c r="G100" s="83" t="str">
        <x:v>Potential from EV, heat pumps and distributed batteries</x:v>
      </x:c>
      <x:c r="H100" s="83" t="str">
        <x:v>=</x:v>
      </x:c>
      <x:c r="I100" s="197"/>
      <x:c r="J100" s="83" t="str">
        <x:v>Qualitative</x:v>
      </x:c>
      <x:c r="K100" s="83" t="str">
        <x:v>Context / unquantified</x:v>
      </x:c>
      <x:c r="L100" s="83" t="str">
        <x:v>S07</x:v>
      </x:c>
      <x:c r="M100" s="83" t="str">
        <x:v>Prospettive di Sviluppo del Sistema Energetico 2050</x:v>
      </x:c>
      <x:c r="N100" s="83" t="n">
        <x:v>71</x:v>
      </x:c>
      <x:c r="O100" s="83" t="n">
        <x:v>69</x:v>
      </x:c>
      <x:c r="P100" s="83" t="str">
        <x:v>Narrative</x:v>
      </x:c>
      <x:c r="Q100" s="83" t="str">
        <x:v>Qualitative</x:v>
      </x:c>
      <x:c r="R100" s="83" t="str">
        <x:v>Direct narrative</x:v>
      </x:c>
      <x:c r="S100" s="83" t="str">
        <x:v>A — Direct qualitative</x:v>
      </x:c>
      <x:c r="T100" s="83" t="str">
        <x:v>Exclude from quantified base until profiles, participation and communication assumptions are defined.</x:v>
      </x:c>
      <x:c r="U100" s="83" t="str">
        <x:v>Theoretical potential is described as enormous; digital communication and aggregation standards are key enablers.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78176b6bcf34475b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70" hidden="0" customWidth="1"/>
    <x:col min="4" max="4" width="34" hidden="0" customWidth="1"/>
    <x:col min="5" max="5" width="30" hidden="0" customWidth="1"/>
    <x:col min="6" max="6" width="60" hidden="0" customWidth="1"/>
  </x:cols>
  <x:sheetData>
    <x:row r="1" ht="34" customHeight="1">
      <x:c r="A1" s="188" t="str">
        <x:v>Decisioni su potenza, energia e architettura</x:v>
      </x:c>
      <x:c r="B1" s="188"/>
      <x:c r="C1" s="188"/>
      <x:c r="D1" s="188"/>
      <x:c r="E1" s="188"/>
      <x:c r="F1" s="188"/>
    </x:row>
    <x:row r="2" ht="30" customHeight="1">
      <x:c r="A2" s="192" t="str">
        <x:v>9 decisioni/proposte operative; nessuna blocca l'avvio della Fase 3C</x:v>
      </x:c>
      <x:c r="B2" s="192"/>
      <x:c r="C2" s="192"/>
      <x:c r="D2" s="192"/>
      <x:c r="E2" s="192"/>
      <x:c r="F2" s="192"/>
    </x:row>
    <x:row r="4" ht="42" customHeight="1">
      <x:c r="A4" s="196" t="str">
        <x:v>ID</x:v>
      </x:c>
      <x:c r="B4" s="196" t="str">
        <x:v>Tema</x:v>
      </x:c>
      <x:c r="C4" s="196" t="str">
        <x:v>Impostazione raccomandata</x:v>
      </x:c>
      <x:c r="D4" s="196" t="str">
        <x:v>Status</x:v>
      </x:c>
      <x:c r="E4" s="196" t="str">
        <x:v>Bloccante</x:v>
      </x:c>
      <x:c r="F4" s="196" t="str">
        <x:v>Motivazione</x:v>
      </x:c>
    </x:row>
    <x:row r="5">
      <x:c r="A5" s="83" t="str">
        <x:v>D15</x:v>
      </x:c>
      <x:c r="B5" s="83" t="str">
        <x:v>Hydro architecture</x:v>
      </x:c>
      <x:c r="C5" s="83" t="str">
        <x:v>Three classes: run-of-river Generator; reservoir Store+Link/StorageUnit; pumping Store+Links with asymmetric power.</x:v>
      </x:c>
      <x:c r="D5" s="83" t="str">
        <x:v>Operational proposal confirmed by Phase 3B evidence</x:v>
      </x:c>
      <x:c r="E5" s="83" t="str">
        <x:v>No for Phase 3C; yes before Phase 4 build</x:v>
      </x:c>
      <x:c r="F5" s="83" t="str">
        <x:v>Corpus gives distinct operating roles and asymmetric pumping/generation power.</x:v>
      </x:c>
    </x:row>
    <x:row r="6">
      <x:c r="A6" s="83" t="str">
        <x:v>D16</x:v>
      </x:c>
      <x:c r="B6" s="83" t="str">
        <x:v>Hydro SOC closure</x:v>
      </x:c>
      <x:c r="C6" s="83" t="str">
        <x:v>Cyclic annual SOC or calibrated terminal target; no free final SOC.</x:v>
      </x:c>
      <x:c r="D6" s="83" t="str">
        <x:v>Open implementation parameter</x:v>
      </x:c>
      <x:c r="E6" s="83" t="str">
        <x:v>No for Phase 3C; yes before simulation</x:v>
      </x:c>
      <x:c r="F6" s="83" t="str">
        <x:v>Corpus does not supply initial/final reservoir levels.</x:v>
      </x:c>
    </x:row>
    <x:row r="7">
      <x:c r="A7" s="83" t="str">
        <x:v>D17</x:v>
      </x:c>
      <x:c r="B7" s="83" t="str">
        <x:v>Battery component architecture</x:v>
      </x:c>
      <x:c r="C7" s="83" t="str">
        <x:v>Store + separate charge/discharge Links.</x:v>
      </x:c>
      <x:c r="D7" s="83" t="str">
        <x:v>Operational proposal confirmed</x:v>
      </x:c>
      <x:c r="E7" s="83" t="str">
        <x:v>No</x:v>
      </x:c>
      <x:c r="F7" s="83" t="str">
        <x:v>Power and energy are reported independently and some classes have duration ranges.</x:v>
      </x:c>
    </x:row>
    <x:row r="8">
      <x:c r="A8" s="83" t="str">
        <x:v>D18</x:v>
      </x:c>
      <x:c r="B8" s="83" t="str">
        <x:v>Small-scale duration</x:v>
      </x:c>
      <x:c r="C8" s="83" t="str">
        <x:v>Prefer two 2h and 4h classes; if shares remain unavailable, retain lower/upper p_nom bounds rather than silently assume 3h.</x:v>
      </x:c>
      <x:c r="D8" s="83" t="str">
        <x:v>Choice/data gap</x:v>
      </x:c>
      <x:c r="E8" s="83" t="str">
        <x:v>No for Phase 3C; yes before Phase 4</x:v>
      </x:c>
      <x:c r="F8" s="83" t="str">
        <x:v>DDS says 2 or 4 hours, not one 3-hour class.</x:v>
      </x:c>
    </x:row>
    <x:row r="9">
      <x:c r="A9" s="83" t="str">
        <x:v>D19</x:v>
      </x:c>
      <x:c r="B9" s="83" t="str">
        <x:v>Certain vs target/pipeline storage</x:v>
      </x:c>
      <x:c r="C9" s="83" t="str">
        <x:v>Base includes observed, CM/MACSE awarded and scenario-explicit capacity; connection requests remain sensitivities.</x:v>
      </x:c>
      <x:c r="D9" s="83" t="str">
        <x:v>Operational proposal confirmed</x:v>
      </x:c>
      <x:c r="E9" s="83" t="str">
        <x:v>No</x:v>
      </x:c>
      <x:c r="F9" s="83" t="str">
        <x:v>253 GW BESS and 9 GW pumping requests are not installed capacity.</x:v>
      </x:c>
    </x:row>
    <x:row r="10">
      <x:c r="A10" s="83" t="str">
        <x:v>3B-01</x:v>
      </x:c>
      <x:c r="B10" s="83" t="str">
        <x:v>Existing pumping energy convention</x:v>
      </x:c>
      <x:c r="C10" s="83" t="str">
        <x:v>Use 53 GWh physical stock for asset representation; retain 50 GWh DDS convention as reconciliation control/sensitivity.</x:v>
      </x:c>
      <x:c r="D10" s="83" t="str">
        <x:v>User choice required before Phase 4</x:v>
      </x:c>
      <x:c r="E10" s="83" t="str">
        <x:v>No for Phase 3C</x:v>
      </x:c>
      <x:c r="F10" s="83" t="str">
        <x:v>S01 physical estimate and DDS scenario convention differ by 3 GWh.</x:v>
      </x:c>
    </x:row>
    <x:row r="11">
      <x:c r="A11" s="83" t="str">
        <x:v>3B-02</x:v>
      </x:c>
      <x:c r="B11" s="83" t="str">
        <x:v>Capacity Market storage power/duration</x:v>
      </x:c>
      <x:c r="C11" s="83" t="str">
        <x:v>Do not derive p_nom from 7.5–8 GWh until auction/asset durations are acquired.</x:v>
      </x:c>
      <x:c r="D11" s="83" t="str">
        <x:v>External data gap</x:v>
      </x:c>
      <x:c r="E11" s="83" t="str">
        <x:v>No for Phase 3C; yes before Phase 4</x:v>
      </x:c>
      <x:c r="F11" s="83" t="str">
        <x:v>DDS reports energy, not duration/power.</x:v>
      </x:c>
    </x:row>
    <x:row r="12">
      <x:c r="A12" s="83" t="str">
        <x:v>3B-03</x:v>
      </x:c>
      <x:c r="B12" s="83" t="str">
        <x:v>2050 no-nuclear BESS power</x:v>
      </x:c>
      <x:c r="C12" s="83" t="str">
        <x:v>Do not assume same duration as nuclear branch automatically; retain 216 GWh e_nom and leave p_nom open.</x:v>
      </x:c>
      <x:c r="D12" s="83" t="str">
        <x:v>Choice/data gap</x:v>
      </x:c>
      <x:c r="E12" s="83" t="str">
        <x:v>No for Phase 3C; yes before Phase 4</x:v>
      </x:c>
      <x:c r="F12" s="83" t="str">
        <x:v>S07 gives 36 GW only in the illustrated nuclear configuration.</x:v>
      </x:c>
    </x:row>
    <x:row r="13">
      <x:c r="A13" s="83" t="str">
        <x:v>3B-04</x:v>
      </x:c>
      <x:c r="B13" s="83" t="str">
        <x:v>Efficiencies and standing loss</x:v>
      </x:c>
      <x:c r="C13" s="83" t="str">
        <x:v>Source from one coherent technical dataset in Phase 3D; scenario annual losses remain QA only.</x:v>
      </x:c>
      <x:c r="D13" s="83" t="str">
        <x:v>External data gap</x:v>
      </x:c>
      <x:c r="E13" s="83" t="str">
        <x:v>No for Phase 3C; yes before simulation</x:v>
      </x:c>
      <x:c r="F13" s="83" t="str">
        <x:v>Annual system losses cannot identify intrinsic charge/discharge efficiency.</x:v>
      </x:c>
    </x:row>
  </x:sheetData>
  <x:mergeCells>
    <x:mergeCell ref="A1:F1"/>
    <x:mergeCell ref="A2:F2"/>
  </x:mergeCells>
  <x:conditionalFormatting sqref="E5:E13">
    <x:cfRule type="expression" dxfId="41" priority="1">
      <x:formula>LEFT(E5,2)="No"</x:formula>
    </x:cfRule>
    <x:cfRule type="expression" dxfId="42" priority="2">
      <x:formula>LEFT(E5,3)="Yes"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80cb69e6314337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8" hidden="0" customWidth="1"/>
    <x:col min="4" max="4" width="20" hidden="0" customWidth="1"/>
    <x:col min="5" max="5" width="30" hidden="0" customWidth="1"/>
    <x:col min="6" max="6" width="36" hidden="0" customWidth="1"/>
    <x:col min="7" max="7" width="20" hidden="0" customWidth="1"/>
    <x:col min="8" max="8" width="42" hidden="0" customWidth="1"/>
    <x:col min="9" max="9" width="60" hidden="0" customWidth="1"/>
  </x:cols>
  <x:sheetData>
    <x:row r="1" ht="34" customHeight="1">
      <x:c r="A1" s="188" t="str">
        <x:v>Registro di estrazione — Fase 3B</x:v>
      </x:c>
      <x:c r="B1" s="188"/>
      <x:c r="C1" s="188"/>
      <x:c r="D1" s="188"/>
      <x:c r="E1" s="188"/>
      <x:c r="F1" s="188"/>
      <x:c r="G1" s="188"/>
      <x:c r="H1" s="188"/>
      <x:c r="I1" s="188"/>
    </x:row>
    <x:row r="2" ht="30" customHeight="1">
      <x:c r="A2" s="192" t="str">
        <x:v>13 blocchi documentali verificati</x:v>
      </x:c>
      <x:c r="B2" s="192"/>
      <x:c r="C2" s="192"/>
      <x:c r="D2" s="192"/>
      <x:c r="E2" s="192"/>
      <x:c r="F2" s="192"/>
      <x:c r="G2" s="192"/>
      <x:c r="H2" s="192"/>
      <x:c r="I2" s="192"/>
    </x:row>
    <x:row r="4" ht="42" customHeight="1">
      <x:c r="A4" s="196" t="str">
        <x:v>Extraction ID</x:v>
      </x:c>
      <x:c r="B4" s="196" t="str">
        <x:v>Fonte</x:v>
      </x:c>
      <x:c r="C4" s="196" t="str">
        <x:v>Contenuto</x:v>
      </x:c>
      <x:c r="D4" s="196" t="str">
        <x:v>Pagine PDF</x:v>
      </x:c>
      <x:c r="E4" s="196" t="str">
        <x:v>Tabella/Figura</x:v>
      </x:c>
      <x:c r="F4" s="196" t="str">
        <x:v>Blocco output</x:v>
      </x:c>
      <x:c r="G4" s="196" t="str">
        <x:v>Stato</x:v>
      </x:c>
      <x:c r="H4" s="196" t="str">
        <x:v>Metodo</x:v>
      </x:c>
      <x:c r="I4" s="196" t="str">
        <x:v>Note</x:v>
      </x:c>
    </x:row>
    <x:row r="5">
      <x:c r="A5" s="83" t="str">
        <x:v>E3B-001</x:v>
      </x:c>
      <x:c r="B5" s="83" t="str">
        <x:v>S01</x:v>
      </x:c>
      <x:c r="C5" s="83" t="str">
        <x:v>Historical electrochemical energy/power 2023-2024</x:v>
      </x:c>
      <x:c r="D5" s="83" t="str">
        <x:v>27-28</x:v>
      </x:c>
      <x:c r="E5" s="83" t="str">
        <x:v>Narrative; Figures 12-14</x:v>
      </x:c>
      <x:c r="F5" s="83" t="str">
        <x:v>20_STORAGE</x:v>
      </x:c>
      <x:c r="G5" s="83" t="str">
        <x:v>Complete</x:v>
      </x:c>
      <x:c r="H5" s="83" t="str">
        <x:v>Direct extraction + derived E/P</x:v>
      </x:c>
      <x:c r="I5" s="83" t="str"/>
    </x:row>
    <x:row r="6">
      <x:c r="A6" s="83" t="str">
        <x:v>E3B-002</x:v>
      </x:c>
      <x:c r="B6" s="83" t="str">
        <x:v>S07</x:v>
      </x:c>
      <x:c r="C6" s="83" t="str">
        <x:v>June 2025 electrochemical stock</x:v>
      </x:c>
      <x:c r="D6" s="83" t="str">
        <x:v>14</x:v>
      </x:c>
      <x:c r="E6" s="83" t="str">
        <x:v>Narrative</x:v>
      </x:c>
      <x:c r="F6" s="83" t="str">
        <x:v>20_STORAGE</x:v>
      </x:c>
      <x:c r="G6" s="83" t="str">
        <x:v>Complete</x:v>
      </x:c>
      <x:c r="H6" s="83" t="str">
        <x:v>Direct extraction</x:v>
      </x:c>
      <x:c r="I6" s="83" t="str"/>
    </x:row>
    <x:row r="7">
      <x:c r="A7" s="83" t="str">
        <x:v>E3B-003</x:v>
      </x:c>
      <x:c r="B7" s="83" t="str">
        <x:v>S09</x:v>
      </x:c>
      <x:c r="C7" s="83" t="str">
        <x:v>Storage taxonomy and 2030 composition</x:v>
      </x:c>
      <x:c r="D7" s="83" t="str">
        <x:v>48-49</x:v>
      </x:c>
      <x:c r="E7" s="83" t="str">
        <x:v>Figures 19-20; Table 9</x:v>
      </x:c>
      <x:c r="F7" s="83" t="str">
        <x:v>20_STORAGE</x:v>
      </x:c>
      <x:c r="G7" s="83" t="str">
        <x:v>Complete</x:v>
      </x:c>
      <x:c r="H7" s="83" t="str">
        <x:v>Direct extraction</x:v>
      </x:c>
      <x:c r="I7" s="83" t="str"/>
    </x:row>
    <x:row r="8">
      <x:c r="A8" s="83" t="str">
        <x:v>E3B-004</x:v>
      </x:c>
      <x:c r="B8" s="83" t="str">
        <x:v>S09</x:v>
      </x:c>
      <x:c r="C8" s="83" t="str">
        <x:v>Zonal storage energy 2023-2040</x:v>
      </x:c>
      <x:c r="D8" s="83" t="str">
        <x:v>62-63</x:v>
      </x:c>
      <x:c r="E8" s="83" t="str">
        <x:v>Table 16</x:v>
      </x:c>
      <x:c r="F8" s="83" t="str">
        <x:v>21_STORAGE_ZONAL</x:v>
      </x:c>
      <x:c r="G8" s="83" t="str">
        <x:v>Complete</x:v>
      </x:c>
      <x:c r="H8" s="83" t="str">
        <x:v>Direct table extraction</x:v>
      </x:c>
      <x:c r="I8" s="83" t="str"/>
    </x:row>
    <x:row r="9">
      <x:c r="A9" s="83" t="str">
        <x:v>E3B-005</x:v>
      </x:c>
      <x:c r="B9" s="83" t="str">
        <x:v>S04/S07</x:v>
      </x:c>
      <x:c r="C9" s="83" t="str">
        <x:v>MACSE need and first auction award</x:v>
      </x:c>
      <x:c r="D9" s="83" t="str">
        <x:v>33; 40-41</x:v>
      </x:c>
      <x:c r="E9" s="83" t="str">
        <x:v>Narrative</x:v>
      </x:c>
      <x:c r="F9" s="83" t="str">
        <x:v>20_STORAGE</x:v>
      </x:c>
      <x:c r="G9" s="83" t="str">
        <x:v>Complete</x:v>
      </x:c>
      <x:c r="H9" s="83" t="str">
        <x:v>Direct extraction</x:v>
      </x:c>
      <x:c r="I9" s="83" t="str"/>
    </x:row>
    <x:row r="10">
      <x:c r="A10" s="83" t="str">
        <x:v>E3B-006</x:v>
      </x:c>
      <x:c r="B10" s="83" t="str">
        <x:v>S04</x:v>
      </x:c>
      <x:c r="C10" s="83" t="str">
        <x:v>Electrochemical and pumping connection pipeline</x:v>
      </x:c>
      <x:c r="D10" s="83" t="str">
        <x:v>4; 30</x:v>
      </x:c>
      <x:c r="E10" s="83" t="str">
        <x:v>Tables 1, 7, 8</x:v>
      </x:c>
      <x:c r="F10" s="83" t="str">
        <x:v>20_STORAGE; 22_HYDRO</x:v>
      </x:c>
      <x:c r="G10" s="83" t="str">
        <x:v>Complete</x:v>
      </x:c>
      <x:c r="H10" s="83" t="str">
        <x:v>Direct extraction</x:v>
      </x:c>
      <x:c r="I10" s="83" t="str">
        <x:v>Pipeline kept separate from installed capacity.</x:v>
      </x:c>
    </x:row>
    <x:row r="11">
      <x:c r="A11" s="83" t="str">
        <x:v>E3B-007</x:v>
      </x:c>
      <x:c r="B11" s="83" t="str">
        <x:v>S01</x:v>
      </x:c>
      <x:c r="C11" s="83" t="str">
        <x:v>Existing pumped hydro stock and services</x:v>
      </x:c>
      <x:c r="D11" s="83" t="str">
        <x:v>57-59</x:v>
      </x:c>
      <x:c r="E11" s="83" t="str">
        <x:v>Section 3.5.1; Figure 36</x:v>
      </x:c>
      <x:c r="F11" s="83" t="str">
        <x:v>22_HYDRO</x:v>
      </x:c>
      <x:c r="G11" s="83" t="str">
        <x:v>Complete</x:v>
      </x:c>
      <x:c r="H11" s="83" t="str">
        <x:v>Direct extraction + derived aggregate duration</x:v>
      </x:c>
      <x:c r="I11" s="83" t="str"/>
    </x:row>
    <x:row r="12">
      <x:c r="A12" s="83" t="str">
        <x:v>E3B-008</x:v>
      </x:c>
      <x:c r="B12" s="83" t="str">
        <x:v>S01/S09</x:v>
      </x:c>
      <x:c r="C12" s="83" t="str">
        <x:v>Hydro generation historical and scenario control</x:v>
      </x:c>
      <x:c r="D12" s="83" t="str">
        <x:v>29; 66</x:v>
      </x:c>
      <x:c r="E12" s="83" t="str">
        <x:v>Figure 16; Table 18</x:v>
      </x:c>
      <x:c r="F12" s="83" t="str">
        <x:v>22_HYDRO</x:v>
      </x:c>
      <x:c r="G12" s="83" t="str">
        <x:v>Complete</x:v>
      </x:c>
      <x:c r="H12" s="83" t="str">
        <x:v>Direct extraction</x:v>
      </x:c>
      <x:c r="I12" s="83" t="str">
        <x:v>Source perimeter difference retained.</x:v>
      </x:c>
    </x:row>
    <x:row r="13">
      <x:c r="A13" s="83" t="str">
        <x:v>E3B-009</x:v>
      </x:c>
      <x:c r="B13" s="83" t="str">
        <x:v>S09</x:v>
      </x:c>
      <x:c r="C13" s="83" t="str">
        <x:v>Storage operation, losses, curtailment and electrolysers</x:v>
      </x:c>
      <x:c r="D13" s="83" t="str">
        <x:v>66; 70-71</x:v>
      </x:c>
      <x:c r="E13" s="83" t="str">
        <x:v>Table 18; Figures 35-38; Table 20</x:v>
      </x:c>
      <x:c r="F13" s="83" t="str">
        <x:v>23_FLEXIBILITY_CONTEXT</x:v>
      </x:c>
      <x:c r="G13" s="83" t="str">
        <x:v>Complete</x:v>
      </x:c>
      <x:c r="H13" s="83" t="str">
        <x:v>Direct extraction + simple derivations</x:v>
      </x:c>
      <x:c r="I13" s="83" t="str"/>
    </x:row>
    <x:row r="14">
      <x:c r="A14" s="83" t="str">
        <x:v>E3B-010</x:v>
      </x:c>
      <x:c r="B14" s="83" t="str">
        <x:v>S07</x:v>
      </x:c>
      <x:c r="C14" s="83" t="str">
        <x:v>2050 efficient storage sizing and annual balance</x:v>
      </x:c>
      <x:c r="D14" s="83" t="str">
        <x:v>58-59</x:v>
      </x:c>
      <x:c r="E14" s="83" t="str">
        <x:v>Table 4; Figure 49; Table 5</x:v>
      </x:c>
      <x:c r="F14" s="83" t="str">
        <x:v>20_STORAGE; 23_FLEXIBILITY_CONTEXT</x:v>
      </x:c>
      <x:c r="G14" s="83" t="str">
        <x:v>Complete</x:v>
      </x:c>
      <x:c r="H14" s="83" t="str">
        <x:v>Direct extraction + derived duration/energy</x:v>
      </x:c>
      <x:c r="I14" s="83" t="str"/>
    </x:row>
    <x:row r="15">
      <x:c r="A15" s="83" t="str">
        <x:v>E3B-011</x:v>
      </x:c>
      <x:c r="B15" s="83" t="str">
        <x:v>S07</x:v>
      </x:c>
      <x:c r="C15" s="83" t="str">
        <x:v>2050 residual load, adequacy and flexibility indices</x:v>
      </x:c>
      <x:c r="D15" s="83" t="str">
        <x:v>63-69</x:v>
      </x:c>
      <x:c r="E15" s="83" t="str">
        <x:v>Figures 53-60</x:v>
      </x:c>
      <x:c r="F15" s="83" t="str">
        <x:v>23_FLEXIBILITY_CONTEXT</x:v>
      </x:c>
      <x:c r="G15" s="83" t="str">
        <x:v>Complete</x:v>
      </x:c>
      <x:c r="H15" s="83" t="str">
        <x:v>Direct extraction</x:v>
      </x:c>
      <x:c r="I15" s="83" t="str"/>
    </x:row>
    <x:row r="16">
      <x:c r="A16" s="83" t="str">
        <x:v>E3B-012</x:v>
      </x:c>
      <x:c r="B16" s="83" t="str">
        <x:v>S07</x:v>
      </x:c>
      <x:c r="C16" s="83" t="str">
        <x:v>Demand response and distributed flexibility</x:v>
      </x:c>
      <x:c r="D16" s="83" t="str">
        <x:v>70-71</x:v>
      </x:c>
      <x:c r="E16" s="83" t="str">
        <x:v>Narrative</x:v>
      </x:c>
      <x:c r="F16" s="83" t="str">
        <x:v>23_FLEXIBILITY_CONTEXT</x:v>
      </x:c>
      <x:c r="G16" s="83" t="str">
        <x:v>Complete</x:v>
      </x:c>
      <x:c r="H16" s="83" t="str">
        <x:v>Qualitative extraction</x:v>
      </x:c>
      <x:c r="I16" s="83" t="str"/>
    </x:row>
    <x:row r="17">
      <x:c r="A17" s="83" t="str">
        <x:v>E3B-013</x:v>
      </x:c>
      <x:c r="B17" s="83" t="str">
        <x:v>Corpus</x:v>
      </x:c>
      <x:c r="C17" s="83" t="str">
        <x:v>Battery and hydro efficiencies, inflow, SOC, outage</x:v>
      </x:c>
      <x:c r="D17" s="83" t="str">
        <x:v>All</x:v>
      </x:c>
      <x:c r="E17" s="83" t="str">
        <x:v>Completeness review</x:v>
      </x:c>
      <x:c r="F17" s="83" t="str">
        <x:v>22_HYDRO; gaps</x:v>
      </x:c>
      <x:c r="G17" s="83" t="str">
        <x:v>Gap recorded</x:v>
      </x:c>
      <x:c r="H17" s="83" t="str">
        <x:v>No direct data found</x:v>
      </x:c>
      <x:c r="I17" s="83" t="str">
        <x:v>Deferred to Phase 3D/4 external sources.</x:v>
      </x:c>
    </x:row>
  </x:sheetData>
  <x:mergeCells>
    <x:mergeCell ref="A1:I1"/>
    <x:mergeCell ref="A2:I2"/>
  </x:mergeCells>
  <x:conditionalFormatting sqref="G5:G17">
    <x:cfRule type="expression" dxfId="43" priority="1">
      <x:formula>G5="Complete"</x:formula>
    </x:cfRule>
    <x:cfRule type="expression" dxfId="44" priority="2">
      <x:formula>OR(G5="Gap recorded",G5="Partial")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e9e96a55474ab8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23" hidden="0" customWidth="1"/>
    <x:col min="4" max="4" width="48" hidden="0" customWidth="1"/>
    <x:col min="5" max="5" width="15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58" hidden="0" customWidth="1"/>
    <x:col min="11" max="11" width="70" hidden="0" customWidth="1"/>
  </x:cols>
  <x:sheetData>
    <x:row r="1" ht="34" customHeight="1">
      <x:c r="A1" s="188" t="str">
        <x:v>Controlli di qualità — Fase 3B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</x:row>
    <x:row r="2" ht="30" customHeight="1">
      <x:c r="A2" s="192" t="str">
        <x:v>46 controlli; formule ricalcolabili in Excel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</x:row>
    <x:row r="4" ht="40" customHeight="1">
      <x:c r="A4" s="194" t="str">
        <x:v>QA ID</x:v>
      </x:c>
      <x:c r="B4" s="194" t="str">
        <x:v>Tipo controllo</x:v>
      </x:c>
      <x:c r="C4" s="194" t="str">
        <x:v>Scenario ID</x:v>
      </x:c>
      <x:c r="D4" s="194" t="str">
        <x:v>Metrica</x:v>
      </x:c>
      <x:c r="E4" s="194" t="str">
        <x:v>Atteso</x:v>
      </x:c>
      <x:c r="F4" s="194" t="str">
        <x:v>Calcolato</x:v>
      </x:c>
      <x:c r="G4" s="194" t="str">
        <x:v>Differenza</x:v>
      </x:c>
      <x:c r="H4" s="194" t="str">
        <x:v>Tolleranza</x:v>
      </x:c>
      <x:c r="I4" s="194" t="str">
        <x:v>Stato</x:v>
      </x:c>
      <x:c r="J4" s="194" t="str">
        <x:v>Note</x:v>
      </x:c>
      <x:c r="K4" s="194" t="str">
        <x:v>Logica</x:v>
      </x:c>
    </x:row>
    <x:row r="5">
      <x:c r="A5" s="83" t="str">
        <x:v>QA3B-001</x:v>
      </x:c>
      <x:c r="B5" s="83" t="str">
        <x:v>Zonal sum vs national</x:v>
      </x:c>
      <x:c r="C5" s="83" t="str">
        <x:v>HIST_2023</x:v>
      </x:c>
      <x:c r="D5" s="83" t="str">
        <x:v>Small Scale</x:v>
      </x:c>
      <x:c r="E5" s="204" t="n">
        <x:v>6.6</x:v>
      </x:c>
      <x:c r="F5" s="204" t="n">
        <x:f>SUMIFS('21_STORAGE_ZONAL'!$G:$G,'21_STORAGE_ZONAL'!$B:$B,$C5,'21_STORAGE_ZONAL'!$F:$F,$D5)</x:f>
        <x:v>6.700000000000001</x:v>
      </x:c>
      <x:c r="G5" s="204" t="n">
        <x:f>F5-E5</x:f>
        <x:v>0.10000000000000142</x:v>
      </x:c>
      <x:c r="H5" s="204" t="n">
        <x:v>0.15</x:v>
      </x:c>
      <x:c r="I5" s="83" t="str">
        <x:f>IF(ABS(G5)&lt;=H5,"PASS","REVIEW")</x:f>
        <x:v>PASS</x:v>
      </x:c>
      <x:c r="J5" s="83" t="str">
        <x:v>Small deviations reflect one-decimal rounding by zone.</x:v>
      </x:c>
      <x:c r="K5" s="83" t="str">
        <x:v>SUMIFS delle sette zone per scenario e classe</x:v>
      </x:c>
    </x:row>
    <x:row r="6">
      <x:c r="A6" s="83" t="str">
        <x:v>QA3B-002</x:v>
      </x:c>
      <x:c r="B6" s="83" t="str">
        <x:v>Zonal sum vs national</x:v>
      </x:c>
      <x:c r="C6" s="83" t="str">
        <x:v>HIST_2023</x:v>
      </x:c>
      <x:c r="D6" s="83" t="str">
        <x:v>Utility Scale</x:v>
      </x:c>
      <x:c r="E6" s="204" t="n">
        <x:v>0</x:v>
      </x:c>
      <x:c r="F6" s="204" t="n">
        <x:f>SUMIFS('21_STORAGE_ZONAL'!$G:$G,'21_STORAGE_ZONAL'!$B:$B,$C6,'21_STORAGE_ZONAL'!$F:$F,$D6)</x:f>
        <x:v>0</x:v>
      </x:c>
      <x:c r="G6" s="204" t="n">
        <x:f>F6-E6</x:f>
        <x:v>0</x:v>
      </x:c>
      <x:c r="H6" s="204" t="n">
        <x:v>0.15</x:v>
      </x:c>
      <x:c r="I6" s="83" t="str">
        <x:f>IF(ABS(G6)&lt;=H6,"PASS","REVIEW")</x:f>
        <x:v>PASS</x:v>
      </x:c>
      <x:c r="J6" s="83" t="str">
        <x:v>Small deviations reflect one-decimal rounding by zone.</x:v>
      </x:c>
      <x:c r="K6" s="83" t="str">
        <x:v>SUMIFS delle sette zone per scenario e classe</x:v>
      </x:c>
    </x:row>
    <x:row r="7">
      <x:c r="A7" s="83" t="str">
        <x:v>QA3B-003</x:v>
      </x:c>
      <x:c r="B7" s="83" t="str">
        <x:v>Zonal sum vs national</x:v>
      </x:c>
      <x:c r="C7" s="83" t="str">
        <x:v>HIST_2023</x:v>
      </x:c>
      <x:c r="D7" s="83" t="str">
        <x:v>CM</x:v>
      </x:c>
      <x:c r="E7" s="204" t="n">
        <x:v>0</x:v>
      </x:c>
      <x:c r="F7" s="204" t="n">
        <x:f>SUMIFS('21_STORAGE_ZONAL'!$G:$G,'21_STORAGE_ZONAL'!$B:$B,$C7,'21_STORAGE_ZONAL'!$F:$F,$D7)</x:f>
        <x:v>0</x:v>
      </x:c>
      <x:c r="G7" s="204" t="n">
        <x:f>F7-E7</x:f>
        <x:v>0</x:v>
      </x:c>
      <x:c r="H7" s="204" t="n">
        <x:v>0.15</x:v>
      </x:c>
      <x:c r="I7" s="83" t="str">
        <x:f>IF(ABS(G7)&lt;=H7,"PASS","REVIEW")</x:f>
        <x:v>PASS</x:v>
      </x:c>
      <x:c r="J7" s="83" t="str">
        <x:v>Small deviations reflect one-decimal rounding by zone.</x:v>
      </x:c>
      <x:c r="K7" s="83" t="str">
        <x:v>SUMIFS delle sette zone per scenario e classe</x:v>
      </x:c>
    </x:row>
    <x:row r="8">
      <x:c r="A8" s="83" t="str">
        <x:v>QA3B-004</x:v>
      </x:c>
      <x:c r="B8" s="83" t="str">
        <x:v>Zonal sum vs national</x:v>
      </x:c>
      <x:c r="C8" s="83" t="str">
        <x:v>HIST_2023</x:v>
      </x:c>
      <x:c r="D8" s="83" t="str">
        <x:v>Totale</x:v>
      </x:c>
      <x:c r="E8" s="204" t="n">
        <x:v>6.6</x:v>
      </x:c>
      <x:c r="F8" s="204" t="n">
        <x:f>SUMIFS('21_STORAGE_ZONAL'!$G:$G,'21_STORAGE_ZONAL'!$B:$B,$C8,'21_STORAGE_ZONAL'!$F:$F,$D8)</x:f>
        <x:v>6.700000000000001</x:v>
      </x:c>
      <x:c r="G8" s="204" t="n">
        <x:f>F8-E8</x:f>
        <x:v>0.10000000000000142</x:v>
      </x:c>
      <x:c r="H8" s="204" t="n">
        <x:v>0.15</x:v>
      </x:c>
      <x:c r="I8" s="83" t="str">
        <x:f>IF(ABS(G8)&lt;=H8,"PASS","REVIEW")</x:f>
        <x:v>PASS</x:v>
      </x:c>
      <x:c r="J8" s="83" t="str">
        <x:v>Small deviations reflect one-decimal rounding by zone.</x:v>
      </x:c>
      <x:c r="K8" s="83" t="str">
        <x:v>SUMIFS delle sette zone per scenario e classe</x:v>
      </x:c>
    </x:row>
    <x:row r="9">
      <x:c r="A9" s="83" t="str">
        <x:v>QA3B-005</x:v>
      </x:c>
      <x:c r="B9" s="83" t="str">
        <x:v>Zonal sum vs national</x:v>
      </x:c>
      <x:c r="C9" s="83" t="str">
        <x:v>PNIEC_POLICY_2030</x:v>
      </x:c>
      <x:c r="D9" s="83" t="str">
        <x:v>Small Scale</x:v>
      </x:c>
      <x:c r="E9" s="204" t="n">
        <x:v>14</x:v>
      </x:c>
      <x:c r="F9" s="204" t="n">
        <x:f>SUMIFS('21_STORAGE_ZONAL'!$G:$G,'21_STORAGE_ZONAL'!$B:$B,$C9,'21_STORAGE_ZONAL'!$F:$F,$D9)</x:f>
        <x:v>13.9</x:v>
      </x:c>
      <x:c r="G9" s="204" t="n">
        <x:f>F9-E9</x:f>
        <x:v>-0.09999999999999964</x:v>
      </x:c>
      <x:c r="H9" s="204" t="n">
        <x:v>0.15</x:v>
      </x:c>
      <x:c r="I9" s="83" t="str">
        <x:f>IF(ABS(G9)&lt;=H9,"PASS","REVIEW")</x:f>
        <x:v>PASS</x:v>
      </x:c>
      <x:c r="J9" s="83" t="str">
        <x:v>Small deviations reflect one-decimal rounding by zone.</x:v>
      </x:c>
      <x:c r="K9" s="83" t="str">
        <x:v>SUMIFS delle sette zone per scenario e classe</x:v>
      </x:c>
    </x:row>
    <x:row r="10">
      <x:c r="A10" s="83" t="str">
        <x:v>QA3B-006</x:v>
      </x:c>
      <x:c r="B10" s="83" t="str">
        <x:v>Zonal sum vs national</x:v>
      </x:c>
      <x:c r="C10" s="83" t="str">
        <x:v>PNIEC_POLICY_2030</x:v>
      </x:c>
      <x:c r="D10" s="83" t="str">
        <x:v>Utility Scale</x:v>
      </x:c>
      <x:c r="E10" s="204" t="n">
        <x:v>50</x:v>
      </x:c>
      <x:c r="F10" s="204" t="n">
        <x:f>SUMIFS('21_STORAGE_ZONAL'!$G:$G,'21_STORAGE_ZONAL'!$B:$B,$C10,'21_STORAGE_ZONAL'!$F:$F,$D10)</x:f>
        <x:v>50</x:v>
      </x:c>
      <x:c r="G10" s="204" t="n">
        <x:f>F10-E10</x:f>
        <x:v>0</x:v>
      </x:c>
      <x:c r="H10" s="204" t="n">
        <x:v>0.15</x:v>
      </x:c>
      <x:c r="I10" s="83" t="str">
        <x:f>IF(ABS(G10)&lt;=H10,"PASS","REVIEW")</x:f>
        <x:v>PASS</x:v>
      </x:c>
      <x:c r="J10" s="83" t="str">
        <x:v>Small deviations reflect one-decimal rounding by zone.</x:v>
      </x:c>
      <x:c r="K10" s="83" t="str">
        <x:v>SUMIFS delle sette zone per scenario e classe</x:v>
      </x:c>
    </x:row>
    <x:row r="11">
      <x:c r="A11" s="83" t="str">
        <x:v>QA3B-007</x:v>
      </x:c>
      <x:c r="B11" s="83" t="str">
        <x:v>Zonal sum vs national</x:v>
      </x:c>
      <x:c r="C11" s="83" t="str">
        <x:v>PNIEC_POLICY_2030</x:v>
      </x:c>
      <x:c r="D11" s="83" t="str">
        <x:v>CM</x:v>
      </x:c>
      <x:c r="E11" s="204" t="n">
        <x:v>7.5</x:v>
      </x:c>
      <x:c r="F11" s="204" t="n">
        <x:f>SUMIFS('21_STORAGE_ZONAL'!$G:$G,'21_STORAGE_ZONAL'!$B:$B,$C11,'21_STORAGE_ZONAL'!$F:$F,$D11)</x:f>
        <x:v>7.4</x:v>
      </x:c>
      <x:c r="G11" s="204" t="n">
        <x:f>F11-E11</x:f>
        <x:v>-0.09999999999999964</x:v>
      </x:c>
      <x:c r="H11" s="204" t="n">
        <x:v>0.15</x:v>
      </x:c>
      <x:c r="I11" s="83" t="str">
        <x:f>IF(ABS(G11)&lt;=H11,"PASS","REVIEW")</x:f>
        <x:v>PASS</x:v>
      </x:c>
      <x:c r="J11" s="83" t="str">
        <x:v>Small deviations reflect one-decimal rounding by zone.</x:v>
      </x:c>
      <x:c r="K11" s="83" t="str">
        <x:v>SUMIFS delle sette zone per scenario e classe</x:v>
      </x:c>
    </x:row>
    <x:row r="12">
      <x:c r="A12" s="83" t="str">
        <x:v>QA3B-008</x:v>
      </x:c>
      <x:c r="B12" s="83" t="str">
        <x:v>Zonal sum vs national</x:v>
      </x:c>
      <x:c r="C12" s="83" t="str">
        <x:v>PNIEC_POLICY_2030</x:v>
      </x:c>
      <x:c r="D12" s="83" t="str">
        <x:v>Totale</x:v>
      </x:c>
      <x:c r="E12" s="204" t="n">
        <x:v>71.5</x:v>
      </x:c>
      <x:c r="F12" s="204" t="n">
        <x:f>SUMIFS('21_STORAGE_ZONAL'!$G:$G,'21_STORAGE_ZONAL'!$B:$B,$C12,'21_STORAGE_ZONAL'!$F:$F,$D12)</x:f>
        <x:v>71.3</x:v>
      </x:c>
      <x:c r="G12" s="204" t="n">
        <x:f>F12-E12</x:f>
        <x:v>-0.20000000000000284</x:v>
      </x:c>
      <x:c r="H12" s="204" t="n">
        <x:v>0.15</x:v>
      </x:c>
      <x:c r="I12" s="83" t="str">
        <x:f>IF(ABS(G12)&lt;=H12,"PASS","REVIEW")</x:f>
        <x:v>REVIEW</x:v>
      </x:c>
      <x:c r="J12" s="83" t="str">
        <x:v>Small deviations reflect one-decimal rounding by zone.</x:v>
      </x:c>
      <x:c r="K12" s="83" t="str">
        <x:v>SUMIFS delle sette zone per scenario e classe</x:v>
      </x:c>
    </x:row>
    <x:row r="13">
      <x:c r="A13" s="83" t="str">
        <x:v>QA3B-009</x:v>
      </x:c>
      <x:c r="B13" s="83" t="str">
        <x:v>Zonal sum vs national</x:v>
      </x:c>
      <x:c r="C13" s="83" t="str">
        <x:v>PNIEC_SLOW_2030</x:v>
      </x:c>
      <x:c r="D13" s="83" t="str">
        <x:v>Small Scale</x:v>
      </x:c>
      <x:c r="E13" s="204" t="n">
        <x:v>13.3</x:v>
      </x:c>
      <x:c r="F13" s="204" t="n">
        <x:f>SUMIFS('21_STORAGE_ZONAL'!$G:$G,'21_STORAGE_ZONAL'!$B:$B,$C13,'21_STORAGE_ZONAL'!$F:$F,$D13)</x:f>
        <x:v>13.200000000000001</x:v>
      </x:c>
      <x:c r="G13" s="204" t="n">
        <x:f>F13-E13</x:f>
        <x:v>-0.09999999999999964</x:v>
      </x:c>
      <x:c r="H13" s="204" t="n">
        <x:v>0.15</x:v>
      </x:c>
      <x:c r="I13" s="83" t="str">
        <x:f>IF(ABS(G13)&lt;=H13,"PASS","REVIEW")</x:f>
        <x:v>PASS</x:v>
      </x:c>
      <x:c r="J13" s="83" t="str">
        <x:v>Small deviations reflect one-decimal rounding by zone.</x:v>
      </x:c>
      <x:c r="K13" s="83" t="str">
        <x:v>SUMIFS delle sette zone per scenario e classe</x:v>
      </x:c>
    </x:row>
    <x:row r="14">
      <x:c r="A14" s="83" t="str">
        <x:v>QA3B-010</x:v>
      </x:c>
      <x:c r="B14" s="83" t="str">
        <x:v>Zonal sum vs national</x:v>
      </x:c>
      <x:c r="C14" s="83" t="str">
        <x:v>PNIEC_SLOW_2030</x:v>
      </x:c>
      <x:c r="D14" s="83" t="str">
        <x:v>Utility Scale</x:v>
      </x:c>
      <x:c r="E14" s="204" t="n">
        <x:v>24</x:v>
      </x:c>
      <x:c r="F14" s="204" t="n">
        <x:f>SUMIFS('21_STORAGE_ZONAL'!$G:$G,'21_STORAGE_ZONAL'!$B:$B,$C14,'21_STORAGE_ZONAL'!$F:$F,$D14)</x:f>
        <x:v>24</x:v>
      </x:c>
      <x:c r="G14" s="204" t="n">
        <x:f>F14-E14</x:f>
        <x:v>0</x:v>
      </x:c>
      <x:c r="H14" s="204" t="n">
        <x:v>0.15</x:v>
      </x:c>
      <x:c r="I14" s="83" t="str">
        <x:f>IF(ABS(G14)&lt;=H14,"PASS","REVIEW")</x:f>
        <x:v>PASS</x:v>
      </x:c>
      <x:c r="J14" s="83" t="str">
        <x:v>Small deviations reflect one-decimal rounding by zone.</x:v>
      </x:c>
      <x:c r="K14" s="83" t="str">
        <x:v>SUMIFS delle sette zone per scenario e classe</x:v>
      </x:c>
    </x:row>
    <x:row r="15">
      <x:c r="A15" s="83" t="str">
        <x:v>QA3B-011</x:v>
      </x:c>
      <x:c r="B15" s="83" t="str">
        <x:v>Zonal sum vs national</x:v>
      </x:c>
      <x:c r="C15" s="83" t="str">
        <x:v>PNIEC_SLOW_2030</x:v>
      </x:c>
      <x:c r="D15" s="83" t="str">
        <x:v>CM</x:v>
      </x:c>
      <x:c r="E15" s="204" t="n">
        <x:v>7.5</x:v>
      </x:c>
      <x:c r="F15" s="204" t="n">
        <x:f>SUMIFS('21_STORAGE_ZONAL'!$G:$G,'21_STORAGE_ZONAL'!$B:$B,$C15,'21_STORAGE_ZONAL'!$F:$F,$D15)</x:f>
        <x:v>7.4</x:v>
      </x:c>
      <x:c r="G15" s="204" t="n">
        <x:f>F15-E15</x:f>
        <x:v>-0.09999999999999964</x:v>
      </x:c>
      <x:c r="H15" s="204" t="n">
        <x:v>0.15</x:v>
      </x:c>
      <x:c r="I15" s="83" t="str">
        <x:f>IF(ABS(G15)&lt;=H15,"PASS","REVIEW")</x:f>
        <x:v>PASS</x:v>
      </x:c>
      <x:c r="J15" s="83" t="str">
        <x:v>Small deviations reflect one-decimal rounding by zone.</x:v>
      </x:c>
      <x:c r="K15" s="83" t="str">
        <x:v>SUMIFS delle sette zone per scenario e classe</x:v>
      </x:c>
    </x:row>
    <x:row r="16">
      <x:c r="A16" s="83" t="str">
        <x:v>QA3B-012</x:v>
      </x:c>
      <x:c r="B16" s="83" t="str">
        <x:v>Zonal sum vs national</x:v>
      </x:c>
      <x:c r="C16" s="83" t="str">
        <x:v>PNIEC_SLOW_2030</x:v>
      </x:c>
      <x:c r="D16" s="83" t="str">
        <x:v>Totale</x:v>
      </x:c>
      <x:c r="E16" s="204" t="n">
        <x:v>44.7</x:v>
      </x:c>
      <x:c r="F16" s="204" t="n">
        <x:f>SUMIFS('21_STORAGE_ZONAL'!$G:$G,'21_STORAGE_ZONAL'!$B:$B,$C16,'21_STORAGE_ZONAL'!$F:$F,$D16)</x:f>
        <x:v>44.8</x:v>
      </x:c>
      <x:c r="G16" s="204" t="n">
        <x:f>F16-E16</x:f>
        <x:v>0.09999999999999432</x:v>
      </x:c>
      <x:c r="H16" s="204" t="n">
        <x:v>0.15</x:v>
      </x:c>
      <x:c r="I16" s="83" t="str">
        <x:f>IF(ABS(G16)&lt;=H16,"PASS","REVIEW")</x:f>
        <x:v>PASS</x:v>
      </x:c>
      <x:c r="J16" s="83" t="str">
        <x:v>Small deviations reflect one-decimal rounding by zone.</x:v>
      </x:c>
      <x:c r="K16" s="83" t="str">
        <x:v>SUMIFS delle sette zone per scenario e classe</x:v>
      </x:c>
    </x:row>
    <x:row r="17">
      <x:c r="A17" s="83" t="str">
        <x:v>QA3B-013</x:v>
      </x:c>
      <x:c r="B17" s="83" t="str">
        <x:v>Zonal sum vs national</x:v>
      </x:c>
      <x:c r="C17" s="83" t="str">
        <x:v>DE_IT_2035</x:v>
      </x:c>
      <x:c r="D17" s="83" t="str">
        <x:v>Small Scale</x:v>
      </x:c>
      <x:c r="E17" s="204" t="n">
        <x:v>16.2</x:v>
      </x:c>
      <x:c r="F17" s="204" t="n">
        <x:f>SUMIFS('21_STORAGE_ZONAL'!$G:$G,'21_STORAGE_ZONAL'!$B:$B,$C17,'21_STORAGE_ZONAL'!$F:$F,$D17)</x:f>
        <x:v>16.1</x:v>
      </x:c>
      <x:c r="G17" s="204" t="n">
        <x:f>F17-E17</x:f>
        <x:v>-0.09999999999999787</x:v>
      </x:c>
      <x:c r="H17" s="204" t="n">
        <x:v>0.15</x:v>
      </x:c>
      <x:c r="I17" s="83" t="str">
        <x:f>IF(ABS(G17)&lt;=H17,"PASS","REVIEW")</x:f>
        <x:v>PASS</x:v>
      </x:c>
      <x:c r="J17" s="83" t="str">
        <x:v>Small deviations reflect one-decimal rounding by zone.</x:v>
      </x:c>
      <x:c r="K17" s="83" t="str">
        <x:v>SUMIFS delle sette zone per scenario e classe</x:v>
      </x:c>
    </x:row>
    <x:row r="18">
      <x:c r="A18" s="83" t="str">
        <x:v>QA3B-014</x:v>
      </x:c>
      <x:c r="B18" s="83" t="str">
        <x:v>Zonal sum vs national</x:v>
      </x:c>
      <x:c r="C18" s="83" t="str">
        <x:v>DE_IT_2035</x:v>
      </x:c>
      <x:c r="D18" s="83" t="str">
        <x:v>Utility Scale</x:v>
      </x:c>
      <x:c r="E18" s="204" t="n">
        <x:v>100</x:v>
      </x:c>
      <x:c r="F18" s="204" t="n">
        <x:f>SUMIFS('21_STORAGE_ZONAL'!$G:$G,'21_STORAGE_ZONAL'!$B:$B,$C18,'21_STORAGE_ZONAL'!$F:$F,$D18)</x:f>
        <x:v>100</x:v>
      </x:c>
      <x:c r="G18" s="204" t="n">
        <x:f>F18-E18</x:f>
        <x:v>0</x:v>
      </x:c>
      <x:c r="H18" s="204" t="n">
        <x:v>0.15</x:v>
      </x:c>
      <x:c r="I18" s="83" t="str">
        <x:f>IF(ABS(G18)&lt;=H18,"PASS","REVIEW")</x:f>
        <x:v>PASS</x:v>
      </x:c>
      <x:c r="J18" s="83" t="str">
        <x:v>Small deviations reflect one-decimal rounding by zone.</x:v>
      </x:c>
      <x:c r="K18" s="83" t="str">
        <x:v>SUMIFS delle sette zone per scenario e classe</x:v>
      </x:c>
    </x:row>
    <x:row r="19">
      <x:c r="A19" s="83" t="str">
        <x:v>QA3B-015</x:v>
      </x:c>
      <x:c r="B19" s="83" t="str">
        <x:v>Zonal sum vs national</x:v>
      </x:c>
      <x:c r="C19" s="83" t="str">
        <x:v>DE_IT_2035</x:v>
      </x:c>
      <x:c r="D19" s="83" t="str">
        <x:v>CM</x:v>
      </x:c>
      <x:c r="E19" s="204" t="n">
        <x:v>7.5</x:v>
      </x:c>
      <x:c r="F19" s="204" t="n">
        <x:f>SUMIFS('21_STORAGE_ZONAL'!$G:$G,'21_STORAGE_ZONAL'!$B:$B,$C19,'21_STORAGE_ZONAL'!$F:$F,$D19)</x:f>
        <x:v>7.4</x:v>
      </x:c>
      <x:c r="G19" s="204" t="n">
        <x:f>F19-E19</x:f>
        <x:v>-0.09999999999999964</x:v>
      </x:c>
      <x:c r="H19" s="204" t="n">
        <x:v>0.15</x:v>
      </x:c>
      <x:c r="I19" s="83" t="str">
        <x:f>IF(ABS(G19)&lt;=H19,"PASS","REVIEW")</x:f>
        <x:v>PASS</x:v>
      </x:c>
      <x:c r="J19" s="83" t="str">
        <x:v>Small deviations reflect one-decimal rounding by zone.</x:v>
      </x:c>
      <x:c r="K19" s="83" t="str">
        <x:v>SUMIFS delle sette zone per scenario e classe</x:v>
      </x:c>
    </x:row>
    <x:row r="20">
      <x:c r="A20" s="83" t="str">
        <x:v>QA3B-016</x:v>
      </x:c>
      <x:c r="B20" s="83" t="str">
        <x:v>Zonal sum vs national</x:v>
      </x:c>
      <x:c r="C20" s="83" t="str">
        <x:v>DE_IT_2035</x:v>
      </x:c>
      <x:c r="D20" s="83" t="str">
        <x:v>Totale</x:v>
      </x:c>
      <x:c r="E20" s="204" t="n">
        <x:v>123.7</x:v>
      </x:c>
      <x:c r="F20" s="204" t="n">
        <x:f>SUMIFS('21_STORAGE_ZONAL'!$G:$G,'21_STORAGE_ZONAL'!$B:$B,$C20,'21_STORAGE_ZONAL'!$F:$F,$D20)</x:f>
        <x:v>123.69999999999999</x:v>
      </x:c>
      <x:c r="G20" s="204" t="n">
        <x:f>F20-E20</x:f>
        <x:v>-1.4210854715202004e-14</x:v>
      </x:c>
      <x:c r="H20" s="204" t="n">
        <x:v>0.15</x:v>
      </x:c>
      <x:c r="I20" s="83" t="str">
        <x:f>IF(ABS(G20)&lt;=H20,"PASS","REVIEW")</x:f>
        <x:v>PASS</x:v>
      </x:c>
      <x:c r="J20" s="83" t="str">
        <x:v>Small deviations reflect one-decimal rounding by zone.</x:v>
      </x:c>
      <x:c r="K20" s="83" t="str">
        <x:v>SUMIFS delle sette zone per scenario e classe</x:v>
      </x:c>
    </x:row>
    <x:row r="21">
      <x:c r="A21" s="83" t="str">
        <x:v>QA3B-017</x:v>
      </x:c>
      <x:c r="B21" s="83" t="str">
        <x:v>Zonal sum vs national</x:v>
      </x:c>
      <x:c r="C21" s="83" t="str">
        <x:v>GA_IT_2035</x:v>
      </x:c>
      <x:c r="D21" s="83" t="str">
        <x:v>Small Scale</x:v>
      </x:c>
      <x:c r="E21" s="204" t="n">
        <x:v>15.6</x:v>
      </x:c>
      <x:c r="F21" s="204" t="n">
        <x:f>SUMIFS('21_STORAGE_ZONAL'!$G:$G,'21_STORAGE_ZONAL'!$B:$B,$C21,'21_STORAGE_ZONAL'!$F:$F,$D21)</x:f>
        <x:v>15.6</x:v>
      </x:c>
      <x:c r="G21" s="204" t="n">
        <x:f>F21-E21</x:f>
        <x:v>0</x:v>
      </x:c>
      <x:c r="H21" s="204" t="n">
        <x:v>0.15</x:v>
      </x:c>
      <x:c r="I21" s="83" t="str">
        <x:f>IF(ABS(G21)&lt;=H21,"PASS","REVIEW")</x:f>
        <x:v>PASS</x:v>
      </x:c>
      <x:c r="J21" s="83" t="str">
        <x:v>Small deviations reflect one-decimal rounding by zone.</x:v>
      </x:c>
      <x:c r="K21" s="83" t="str">
        <x:v>SUMIFS delle sette zone per scenario e classe</x:v>
      </x:c>
    </x:row>
    <x:row r="22">
      <x:c r="A22" s="83" t="str">
        <x:v>QA3B-018</x:v>
      </x:c>
      <x:c r="B22" s="83" t="str">
        <x:v>Zonal sum vs national</x:v>
      </x:c>
      <x:c r="C22" s="83" t="str">
        <x:v>GA_IT_2035</x:v>
      </x:c>
      <x:c r="D22" s="83" t="str">
        <x:v>Utility Scale</x:v>
      </x:c>
      <x:c r="E22" s="204" t="n">
        <x:v>64</x:v>
      </x:c>
      <x:c r="F22" s="204" t="n">
        <x:f>SUMIFS('21_STORAGE_ZONAL'!$G:$G,'21_STORAGE_ZONAL'!$B:$B,$C22,'21_STORAGE_ZONAL'!$F:$F,$D22)</x:f>
        <x:v>64</x:v>
      </x:c>
      <x:c r="G22" s="204" t="n">
        <x:f>F22-E22</x:f>
        <x:v>0</x:v>
      </x:c>
      <x:c r="H22" s="204" t="n">
        <x:v>0.15</x:v>
      </x:c>
      <x:c r="I22" s="83" t="str">
        <x:f>IF(ABS(G22)&lt;=H22,"PASS","REVIEW")</x:f>
        <x:v>PASS</x:v>
      </x:c>
      <x:c r="J22" s="83" t="str">
        <x:v>Small deviations reflect one-decimal rounding by zone.</x:v>
      </x:c>
      <x:c r="K22" s="83" t="str">
        <x:v>SUMIFS delle sette zone per scenario e classe</x:v>
      </x:c>
    </x:row>
    <x:row r="23">
      <x:c r="A23" s="83" t="str">
        <x:v>QA3B-019</x:v>
      </x:c>
      <x:c r="B23" s="83" t="str">
        <x:v>Zonal sum vs national</x:v>
      </x:c>
      <x:c r="C23" s="83" t="str">
        <x:v>GA_IT_2035</x:v>
      </x:c>
      <x:c r="D23" s="83" t="str">
        <x:v>CM</x:v>
      </x:c>
      <x:c r="E23" s="204" t="n">
        <x:v>7.5</x:v>
      </x:c>
      <x:c r="F23" s="204" t="n">
        <x:f>SUMIFS('21_STORAGE_ZONAL'!$G:$G,'21_STORAGE_ZONAL'!$B:$B,$C23,'21_STORAGE_ZONAL'!$F:$F,$D23)</x:f>
        <x:v>7.4</x:v>
      </x:c>
      <x:c r="G23" s="204" t="n">
        <x:f>F23-E23</x:f>
        <x:v>-0.09999999999999964</x:v>
      </x:c>
      <x:c r="H23" s="204" t="n">
        <x:v>0.15</x:v>
      </x:c>
      <x:c r="I23" s="83" t="str">
        <x:f>IF(ABS(G23)&lt;=H23,"PASS","REVIEW")</x:f>
        <x:v>PASS</x:v>
      </x:c>
      <x:c r="J23" s="83" t="str">
        <x:v>Small deviations reflect one-decimal rounding by zone.</x:v>
      </x:c>
      <x:c r="K23" s="83" t="str">
        <x:v>SUMIFS delle sette zone per scenario e classe</x:v>
      </x:c>
    </x:row>
    <x:row r="24">
      <x:c r="A24" s="83" t="str">
        <x:v>QA3B-020</x:v>
      </x:c>
      <x:c r="B24" s="83" t="str">
        <x:v>Zonal sum vs national</x:v>
      </x:c>
      <x:c r="C24" s="83" t="str">
        <x:v>GA_IT_2035</x:v>
      </x:c>
      <x:c r="D24" s="83" t="str">
        <x:v>Totale</x:v>
      </x:c>
      <x:c r="E24" s="204" t="n">
        <x:v>87</x:v>
      </x:c>
      <x:c r="F24" s="204" t="n">
        <x:f>SUMIFS('21_STORAGE_ZONAL'!$G:$G,'21_STORAGE_ZONAL'!$B:$B,$C24,'21_STORAGE_ZONAL'!$F:$F,$D24)</x:f>
        <x:v>87</x:v>
      </x:c>
      <x:c r="G24" s="204" t="n">
        <x:f>F24-E24</x:f>
        <x:v>0</x:v>
      </x:c>
      <x:c r="H24" s="204" t="n">
        <x:v>0.15</x:v>
      </x:c>
      <x:c r="I24" s="83" t="str">
        <x:f>IF(ABS(G24)&lt;=H24,"PASS","REVIEW")</x:f>
        <x:v>PASS</x:v>
      </x:c>
      <x:c r="J24" s="83" t="str">
        <x:v>Small deviations reflect one-decimal rounding by zone.</x:v>
      </x:c>
      <x:c r="K24" s="83" t="str">
        <x:v>SUMIFS delle sette zone per scenario e classe</x:v>
      </x:c>
    </x:row>
    <x:row r="25">
      <x:c r="A25" s="83" t="str">
        <x:v>QA3B-021</x:v>
      </x:c>
      <x:c r="B25" s="83" t="str">
        <x:v>Zonal sum vs national</x:v>
      </x:c>
      <x:c r="C25" s="83" t="str">
        <x:v>PNIEC_SLOW_2035</x:v>
      </x:c>
      <x:c r="D25" s="83" t="str">
        <x:v>Small Scale</x:v>
      </x:c>
      <x:c r="E25" s="204" t="n">
        <x:v>15.1</x:v>
      </x:c>
      <x:c r="F25" s="204" t="n">
        <x:f>SUMIFS('21_STORAGE_ZONAL'!$G:$G,'21_STORAGE_ZONAL'!$B:$B,$C25,'21_STORAGE_ZONAL'!$F:$F,$D25)</x:f>
        <x:v>15.2</x:v>
      </x:c>
      <x:c r="G25" s="204" t="n">
        <x:f>F25-E25</x:f>
        <x:v>0.09999999999999964</x:v>
      </x:c>
      <x:c r="H25" s="204" t="n">
        <x:v>0.15</x:v>
      </x:c>
      <x:c r="I25" s="83" t="str">
        <x:f>IF(ABS(G25)&lt;=H25,"PASS","REVIEW")</x:f>
        <x:v>PASS</x:v>
      </x:c>
      <x:c r="J25" s="83" t="str">
        <x:v>Small deviations reflect one-decimal rounding by zone.</x:v>
      </x:c>
      <x:c r="K25" s="83" t="str">
        <x:v>SUMIFS delle sette zone per scenario e classe</x:v>
      </x:c>
    </x:row>
    <x:row r="26">
      <x:c r="A26" s="83" t="str">
        <x:v>QA3B-022</x:v>
      </x:c>
      <x:c r="B26" s="83" t="str">
        <x:v>Zonal sum vs national</x:v>
      </x:c>
      <x:c r="C26" s="83" t="str">
        <x:v>PNIEC_SLOW_2035</x:v>
      </x:c>
      <x:c r="D26" s="83" t="str">
        <x:v>Utility Scale</x:v>
      </x:c>
      <x:c r="E26" s="204" t="n">
        <x:v>56</x:v>
      </x:c>
      <x:c r="F26" s="204" t="n">
        <x:f>SUMIFS('21_STORAGE_ZONAL'!$G:$G,'21_STORAGE_ZONAL'!$B:$B,$C26,'21_STORAGE_ZONAL'!$F:$F,$D26)</x:f>
        <x:v>55.9</x:v>
      </x:c>
      <x:c r="G26" s="204" t="n">
        <x:f>F26-E26</x:f>
        <x:v>-0.10000000000000142</x:v>
      </x:c>
      <x:c r="H26" s="204" t="n">
        <x:v>0.15</x:v>
      </x:c>
      <x:c r="I26" s="83" t="str">
        <x:f>IF(ABS(G26)&lt;=H26,"PASS","REVIEW")</x:f>
        <x:v>PASS</x:v>
      </x:c>
      <x:c r="J26" s="83" t="str">
        <x:v>Small deviations reflect one-decimal rounding by zone.</x:v>
      </x:c>
      <x:c r="K26" s="83" t="str">
        <x:v>SUMIFS delle sette zone per scenario e classe</x:v>
      </x:c>
    </x:row>
    <x:row r="27">
      <x:c r="A27" s="83" t="str">
        <x:v>QA3B-023</x:v>
      </x:c>
      <x:c r="B27" s="83" t="str">
        <x:v>Zonal sum vs national</x:v>
      </x:c>
      <x:c r="C27" s="83" t="str">
        <x:v>PNIEC_SLOW_2035</x:v>
      </x:c>
      <x:c r="D27" s="83" t="str">
        <x:v>CM</x:v>
      </x:c>
      <x:c r="E27" s="204" t="n">
        <x:v>7.5</x:v>
      </x:c>
      <x:c r="F27" s="204" t="n">
        <x:f>SUMIFS('21_STORAGE_ZONAL'!$G:$G,'21_STORAGE_ZONAL'!$B:$B,$C27,'21_STORAGE_ZONAL'!$F:$F,$D27)</x:f>
        <x:v>7.4</x:v>
      </x:c>
      <x:c r="G27" s="204" t="n">
        <x:f>F27-E27</x:f>
        <x:v>-0.09999999999999964</x:v>
      </x:c>
      <x:c r="H27" s="204" t="n">
        <x:v>0.15</x:v>
      </x:c>
      <x:c r="I27" s="83" t="str">
        <x:f>IF(ABS(G27)&lt;=H27,"PASS","REVIEW")</x:f>
        <x:v>PASS</x:v>
      </x:c>
      <x:c r="J27" s="83" t="str">
        <x:v>Small deviations reflect one-decimal rounding by zone.</x:v>
      </x:c>
      <x:c r="K27" s="83" t="str">
        <x:v>SUMIFS delle sette zone per scenario e classe</x:v>
      </x:c>
    </x:row>
    <x:row r="28">
      <x:c r="A28" s="83" t="str">
        <x:v>QA3B-024</x:v>
      </x:c>
      <x:c r="B28" s="83" t="str">
        <x:v>Zonal sum vs national</x:v>
      </x:c>
      <x:c r="C28" s="83" t="str">
        <x:v>PNIEC_SLOW_2035</x:v>
      </x:c>
      <x:c r="D28" s="83" t="str">
        <x:v>Totale</x:v>
      </x:c>
      <x:c r="E28" s="204" t="n">
        <x:v>78.6</x:v>
      </x:c>
      <x:c r="F28" s="204" t="n">
        <x:f>SUMIFS('21_STORAGE_ZONAL'!$G:$G,'21_STORAGE_ZONAL'!$B:$B,$C28,'21_STORAGE_ZONAL'!$F:$F,$D28)</x:f>
        <x:v>78.69999999999999</x:v>
      </x:c>
      <x:c r="G28" s="204" t="n">
        <x:f>F28-E28</x:f>
        <x:v>0.09999999999999432</x:v>
      </x:c>
      <x:c r="H28" s="204" t="n">
        <x:v>0.15</x:v>
      </x:c>
      <x:c r="I28" s="83" t="str">
        <x:f>IF(ABS(G28)&lt;=H28,"PASS","REVIEW")</x:f>
        <x:v>PASS</x:v>
      </x:c>
      <x:c r="J28" s="83" t="str">
        <x:v>Small deviations reflect one-decimal rounding by zone.</x:v>
      </x:c>
      <x:c r="K28" s="83" t="str">
        <x:v>SUMIFS delle sette zone per scenario e classe</x:v>
      </x:c>
    </x:row>
    <x:row r="29">
      <x:c r="A29" s="83" t="str">
        <x:v>QA3B-025</x:v>
      </x:c>
      <x:c r="B29" s="83" t="str">
        <x:v>Zonal sum vs national</x:v>
      </x:c>
      <x:c r="C29" s="83" t="str">
        <x:v>DE_IT_2040</x:v>
      </x:c>
      <x:c r="D29" s="83" t="str">
        <x:v>Small Scale</x:v>
      </x:c>
      <x:c r="E29" s="204" t="n">
        <x:v>19.1</x:v>
      </x:c>
      <x:c r="F29" s="204" t="n">
        <x:f>SUMIFS('21_STORAGE_ZONAL'!$G:$G,'21_STORAGE_ZONAL'!$B:$B,$C29,'21_STORAGE_ZONAL'!$F:$F,$D29)</x:f>
        <x:v>19</x:v>
      </x:c>
      <x:c r="G29" s="204" t="n">
        <x:f>F29-E29</x:f>
        <x:v>-0.10000000000000142</x:v>
      </x:c>
      <x:c r="H29" s="204" t="n">
        <x:v>0.15</x:v>
      </x:c>
      <x:c r="I29" s="83" t="str">
        <x:f>IF(ABS(G29)&lt;=H29,"PASS","REVIEW")</x:f>
        <x:v>PASS</x:v>
      </x:c>
      <x:c r="J29" s="83" t="str">
        <x:v>Small deviations reflect one-decimal rounding by zone.</x:v>
      </x:c>
      <x:c r="K29" s="83" t="str">
        <x:v>SUMIFS delle sette zone per scenario e classe</x:v>
      </x:c>
    </x:row>
    <x:row r="30">
      <x:c r="A30" s="83" t="str">
        <x:v>QA3B-026</x:v>
      </x:c>
      <x:c r="B30" s="83" t="str">
        <x:v>Zonal sum vs national</x:v>
      </x:c>
      <x:c r="C30" s="83" t="str">
        <x:v>DE_IT_2040</x:v>
      </x:c>
      <x:c r="D30" s="83" t="str">
        <x:v>Utility Scale</x:v>
      </x:c>
      <x:c r="E30" s="204" t="n">
        <x:v>140</x:v>
      </x:c>
      <x:c r="F30" s="204" t="n">
        <x:f>SUMIFS('21_STORAGE_ZONAL'!$G:$G,'21_STORAGE_ZONAL'!$B:$B,$C30,'21_STORAGE_ZONAL'!$F:$F,$D30)</x:f>
        <x:v>140.00000000000003</x:v>
      </x:c>
      <x:c r="G30" s="204" t="n">
        <x:f>F30-E30</x:f>
        <x:v>2.842170943040401e-14</x:v>
      </x:c>
      <x:c r="H30" s="204" t="n">
        <x:v>0.15</x:v>
      </x:c>
      <x:c r="I30" s="83" t="str">
        <x:f>IF(ABS(G30)&lt;=H30,"PASS","REVIEW")</x:f>
        <x:v>PASS</x:v>
      </x:c>
      <x:c r="J30" s="83" t="str">
        <x:v>Small deviations reflect one-decimal rounding by zone.</x:v>
      </x:c>
      <x:c r="K30" s="83" t="str">
        <x:v>SUMIFS delle sette zone per scenario e classe</x:v>
      </x:c>
    </x:row>
    <x:row r="31">
      <x:c r="A31" s="83" t="str">
        <x:v>QA3B-027</x:v>
      </x:c>
      <x:c r="B31" s="83" t="str">
        <x:v>Zonal sum vs national</x:v>
      </x:c>
      <x:c r="C31" s="83" t="str">
        <x:v>DE_IT_2040</x:v>
      </x:c>
      <x:c r="D31" s="83" t="str">
        <x:v>CM</x:v>
      </x:c>
      <x:c r="E31" s="204" t="n">
        <x:v>7.5</x:v>
      </x:c>
      <x:c r="F31" s="204" t="n">
        <x:f>SUMIFS('21_STORAGE_ZONAL'!$G:$G,'21_STORAGE_ZONAL'!$B:$B,$C31,'21_STORAGE_ZONAL'!$F:$F,$D31)</x:f>
        <x:v>7.4</x:v>
      </x:c>
      <x:c r="G31" s="204" t="n">
        <x:f>F31-E31</x:f>
        <x:v>-0.09999999999999964</x:v>
      </x:c>
      <x:c r="H31" s="204" t="n">
        <x:v>0.15</x:v>
      </x:c>
      <x:c r="I31" s="83" t="str">
        <x:f>IF(ABS(G31)&lt;=H31,"PASS","REVIEW")</x:f>
        <x:v>PASS</x:v>
      </x:c>
      <x:c r="J31" s="83" t="str">
        <x:v>Small deviations reflect one-decimal rounding by zone.</x:v>
      </x:c>
      <x:c r="K31" s="83" t="str">
        <x:v>SUMIFS delle sette zone per scenario e classe</x:v>
      </x:c>
    </x:row>
    <x:row r="32">
      <x:c r="A32" s="83" t="str">
        <x:v>QA3B-028</x:v>
      </x:c>
      <x:c r="B32" s="83" t="str">
        <x:v>Zonal sum vs national</x:v>
      </x:c>
      <x:c r="C32" s="83" t="str">
        <x:v>DE_IT_2040</x:v>
      </x:c>
      <x:c r="D32" s="83" t="str">
        <x:v>Totale</x:v>
      </x:c>
      <x:c r="E32" s="204" t="n">
        <x:v>166.5</x:v>
      </x:c>
      <x:c r="F32" s="204" t="n">
        <x:f>SUMIFS('21_STORAGE_ZONAL'!$G:$G,'21_STORAGE_ZONAL'!$B:$B,$C32,'21_STORAGE_ZONAL'!$F:$F,$D32)</x:f>
        <x:v>166.5</x:v>
      </x:c>
      <x:c r="G32" s="204" t="n">
        <x:f>F32-E32</x:f>
        <x:v>0</x:v>
      </x:c>
      <x:c r="H32" s="204" t="n">
        <x:v>0.15</x:v>
      </x:c>
      <x:c r="I32" s="83" t="str">
        <x:f>IF(ABS(G32)&lt;=H32,"PASS","REVIEW")</x:f>
        <x:v>PASS</x:v>
      </x:c>
      <x:c r="J32" s="83" t="str">
        <x:v>Small deviations reflect one-decimal rounding by zone.</x:v>
      </x:c>
      <x:c r="K32" s="83" t="str">
        <x:v>SUMIFS delle sette zone per scenario e classe</x:v>
      </x:c>
    </x:row>
    <x:row r="33">
      <x:c r="A33" s="83" t="str">
        <x:v>QA3B-029</x:v>
      </x:c>
      <x:c r="B33" s="83" t="str">
        <x:v>Zonal sum vs national</x:v>
      </x:c>
      <x:c r="C33" s="83" t="str">
        <x:v>GA_IT_2040</x:v>
      </x:c>
      <x:c r="D33" s="83" t="str">
        <x:v>Small Scale</x:v>
      </x:c>
      <x:c r="E33" s="204" t="n">
        <x:v>18.2</x:v>
      </x:c>
      <x:c r="F33" s="204" t="n">
        <x:f>SUMIFS('21_STORAGE_ZONAL'!$G:$G,'21_STORAGE_ZONAL'!$B:$B,$C33,'21_STORAGE_ZONAL'!$F:$F,$D33)</x:f>
        <x:v>18.400000000000002</x:v>
      </x:c>
      <x:c r="G33" s="204" t="n">
        <x:f>F33-E33</x:f>
        <x:v>0.20000000000000284</x:v>
      </x:c>
      <x:c r="H33" s="204" t="n">
        <x:v>0.15</x:v>
      </x:c>
      <x:c r="I33" s="83" t="str">
        <x:f>IF(ABS(G33)&lt;=H33,"PASS","REVIEW")</x:f>
        <x:v>REVIEW</x:v>
      </x:c>
      <x:c r="J33" s="83" t="str">
        <x:v>Small deviations reflect one-decimal rounding by zone.</x:v>
      </x:c>
      <x:c r="K33" s="83" t="str">
        <x:v>SUMIFS delle sette zone per scenario e classe</x:v>
      </x:c>
    </x:row>
    <x:row r="34">
      <x:c r="A34" s="83" t="str">
        <x:v>QA3B-030</x:v>
      </x:c>
      <x:c r="B34" s="83" t="str">
        <x:v>Zonal sum vs national</x:v>
      </x:c>
      <x:c r="C34" s="83" t="str">
        <x:v>GA_IT_2040</x:v>
      </x:c>
      <x:c r="D34" s="83" t="str">
        <x:v>Utility Scale</x:v>
      </x:c>
      <x:c r="E34" s="204" t="n">
        <x:v>108</x:v>
      </x:c>
      <x:c r="F34" s="204" t="n">
        <x:f>SUMIFS('21_STORAGE_ZONAL'!$G:$G,'21_STORAGE_ZONAL'!$B:$B,$C34,'21_STORAGE_ZONAL'!$F:$F,$D34)</x:f>
        <x:v>107.9</x:v>
      </x:c>
      <x:c r="G34" s="204" t="n">
        <x:f>F34-E34</x:f>
        <x:v>-0.09999999999999432</x:v>
      </x:c>
      <x:c r="H34" s="204" t="n">
        <x:v>0.15</x:v>
      </x:c>
      <x:c r="I34" s="83" t="str">
        <x:f>IF(ABS(G34)&lt;=H34,"PASS","REVIEW")</x:f>
        <x:v>PASS</x:v>
      </x:c>
      <x:c r="J34" s="83" t="str">
        <x:v>Small deviations reflect one-decimal rounding by zone.</x:v>
      </x:c>
      <x:c r="K34" s="83" t="str">
        <x:v>SUMIFS delle sette zone per scenario e classe</x:v>
      </x:c>
    </x:row>
    <x:row r="35">
      <x:c r="A35" s="83" t="str">
        <x:v>QA3B-031</x:v>
      </x:c>
      <x:c r="B35" s="83" t="str">
        <x:v>Zonal sum vs national</x:v>
      </x:c>
      <x:c r="C35" s="83" t="str">
        <x:v>GA_IT_2040</x:v>
      </x:c>
      <x:c r="D35" s="83" t="str">
        <x:v>CM</x:v>
      </x:c>
      <x:c r="E35" s="204" t="n">
        <x:v>7.5</x:v>
      </x:c>
      <x:c r="F35" s="204" t="n">
        <x:f>SUMIFS('21_STORAGE_ZONAL'!$G:$G,'21_STORAGE_ZONAL'!$B:$B,$C35,'21_STORAGE_ZONAL'!$F:$F,$D35)</x:f>
        <x:v>7.4</x:v>
      </x:c>
      <x:c r="G35" s="204" t="n">
        <x:f>F35-E35</x:f>
        <x:v>-0.09999999999999964</x:v>
      </x:c>
      <x:c r="H35" s="204" t="n">
        <x:v>0.15</x:v>
      </x:c>
      <x:c r="I35" s="83" t="str">
        <x:f>IF(ABS(G35)&lt;=H35,"PASS","REVIEW")</x:f>
        <x:v>PASS</x:v>
      </x:c>
      <x:c r="J35" s="83" t="str">
        <x:v>Small deviations reflect one-decimal rounding by zone.</x:v>
      </x:c>
      <x:c r="K35" s="83" t="str">
        <x:v>SUMIFS delle sette zone per scenario e classe</x:v>
      </x:c>
    </x:row>
    <x:row r="36">
      <x:c r="A36" s="83" t="str">
        <x:v>QA3B-032</x:v>
      </x:c>
      <x:c r="B36" s="83" t="str">
        <x:v>Zonal sum vs national</x:v>
      </x:c>
      <x:c r="C36" s="83" t="str">
        <x:v>GA_IT_2040</x:v>
      </x:c>
      <x:c r="D36" s="83" t="str">
        <x:v>Totale</x:v>
      </x:c>
      <x:c r="E36" s="204" t="n">
        <x:v>133.6</x:v>
      </x:c>
      <x:c r="F36" s="204" t="n">
        <x:f>SUMIFS('21_STORAGE_ZONAL'!$G:$G,'21_STORAGE_ZONAL'!$B:$B,$C36,'21_STORAGE_ZONAL'!$F:$F,$D36)</x:f>
        <x:v>133.6</x:v>
      </x:c>
      <x:c r="G36" s="204" t="n">
        <x:f>F36-E36</x:f>
        <x:v>0</x:v>
      </x:c>
      <x:c r="H36" s="204" t="n">
        <x:v>0.15</x:v>
      </x:c>
      <x:c r="I36" s="83" t="str">
        <x:f>IF(ABS(G36)&lt;=H36,"PASS","REVIEW")</x:f>
        <x:v>PASS</x:v>
      </x:c>
      <x:c r="J36" s="83" t="str">
        <x:v>Small deviations reflect one-decimal rounding by zone.</x:v>
      </x:c>
      <x:c r="K36" s="83" t="str">
        <x:v>SUMIFS delle sette zone per scenario e classe</x:v>
      </x:c>
    </x:row>
    <x:row r="37">
      <x:c r="A37" s="83" t="str">
        <x:v>QA3B-033</x:v>
      </x:c>
      <x:c r="B37" s="83" t="str">
        <x:v>Zonal sum vs national</x:v>
      </x:c>
      <x:c r="C37" s="83" t="str">
        <x:v>PNIEC_SLOW_2040</x:v>
      </x:c>
      <x:c r="D37" s="83" t="str">
        <x:v>Small Scale</x:v>
      </x:c>
      <x:c r="E37" s="204" t="n">
        <x:v>17.5</x:v>
      </x:c>
      <x:c r="F37" s="204" t="n">
        <x:f>SUMIFS('21_STORAGE_ZONAL'!$G:$G,'21_STORAGE_ZONAL'!$B:$B,$C37,'21_STORAGE_ZONAL'!$F:$F,$D37)</x:f>
        <x:v>17.4</x:v>
      </x:c>
      <x:c r="G37" s="204" t="n">
        <x:f>F37-E37</x:f>
        <x:v>-0.10000000000000142</x:v>
      </x:c>
      <x:c r="H37" s="204" t="n">
        <x:v>0.15</x:v>
      </x:c>
      <x:c r="I37" s="83" t="str">
        <x:f>IF(ABS(G37)&lt;=H37,"PASS","REVIEW")</x:f>
        <x:v>PASS</x:v>
      </x:c>
      <x:c r="J37" s="83" t="str">
        <x:v>Small deviations reflect one-decimal rounding by zone.</x:v>
      </x:c>
      <x:c r="K37" s="83" t="str">
        <x:v>SUMIFS delle sette zone per scenario e classe</x:v>
      </x:c>
    </x:row>
    <x:row r="38">
      <x:c r="A38" s="83" t="str">
        <x:v>QA3B-034</x:v>
      </x:c>
      <x:c r="B38" s="83" t="str">
        <x:v>Zonal sum vs national</x:v>
      </x:c>
      <x:c r="C38" s="83" t="str">
        <x:v>PNIEC_SLOW_2040</x:v>
      </x:c>
      <x:c r="D38" s="83" t="str">
        <x:v>Utility Scale</x:v>
      </x:c>
      <x:c r="E38" s="204" t="n">
        <x:v>92</x:v>
      </x:c>
      <x:c r="F38" s="204" t="n">
        <x:f>SUMIFS('21_STORAGE_ZONAL'!$G:$G,'21_STORAGE_ZONAL'!$B:$B,$C38,'21_STORAGE_ZONAL'!$F:$F,$D38)</x:f>
        <x:v>92</x:v>
      </x:c>
      <x:c r="G38" s="204" t="n">
        <x:f>F38-E38</x:f>
        <x:v>0</x:v>
      </x:c>
      <x:c r="H38" s="204" t="n">
        <x:v>0.15</x:v>
      </x:c>
      <x:c r="I38" s="83" t="str">
        <x:f>IF(ABS(G38)&lt;=H38,"PASS","REVIEW")</x:f>
        <x:v>PASS</x:v>
      </x:c>
      <x:c r="J38" s="83" t="str">
        <x:v>Small deviations reflect one-decimal rounding by zone.</x:v>
      </x:c>
      <x:c r="K38" s="83" t="str">
        <x:v>SUMIFS delle sette zone per scenario e classe</x:v>
      </x:c>
    </x:row>
    <x:row r="39">
      <x:c r="A39" s="83" t="str">
        <x:v>QA3B-035</x:v>
      </x:c>
      <x:c r="B39" s="83" t="str">
        <x:v>Zonal sum vs national</x:v>
      </x:c>
      <x:c r="C39" s="83" t="str">
        <x:v>PNIEC_SLOW_2040</x:v>
      </x:c>
      <x:c r="D39" s="83" t="str">
        <x:v>CM</x:v>
      </x:c>
      <x:c r="E39" s="204" t="n">
        <x:v>7.5</x:v>
      </x:c>
      <x:c r="F39" s="204" t="n">
        <x:f>SUMIFS('21_STORAGE_ZONAL'!$G:$G,'21_STORAGE_ZONAL'!$B:$B,$C39,'21_STORAGE_ZONAL'!$F:$F,$D39)</x:f>
        <x:v>7.4</x:v>
      </x:c>
      <x:c r="G39" s="204" t="n">
        <x:f>F39-E39</x:f>
        <x:v>-0.09999999999999964</x:v>
      </x:c>
      <x:c r="H39" s="204" t="n">
        <x:v>0.15</x:v>
      </x:c>
      <x:c r="I39" s="83" t="str">
        <x:f>IF(ABS(G39)&lt;=H39,"PASS","REVIEW")</x:f>
        <x:v>PASS</x:v>
      </x:c>
      <x:c r="J39" s="83" t="str">
        <x:v>Small deviations reflect one-decimal rounding by zone.</x:v>
      </x:c>
      <x:c r="K39" s="83" t="str">
        <x:v>SUMIFS delle sette zone per scenario e classe</x:v>
      </x:c>
    </x:row>
    <x:row r="40">
      <x:c r="A40" s="83" t="str">
        <x:v>QA3B-036</x:v>
      </x:c>
      <x:c r="B40" s="83" t="str">
        <x:v>Zonal sum vs national</x:v>
      </x:c>
      <x:c r="C40" s="83" t="str">
        <x:v>PNIEC_SLOW_2040</x:v>
      </x:c>
      <x:c r="D40" s="83" t="str">
        <x:v>Totale</x:v>
      </x:c>
      <x:c r="E40" s="204" t="n">
        <x:v>117</x:v>
      </x:c>
      <x:c r="F40" s="204" t="n">
        <x:f>SUMIFS('21_STORAGE_ZONAL'!$G:$G,'21_STORAGE_ZONAL'!$B:$B,$C40,'21_STORAGE_ZONAL'!$F:$F,$D40)</x:f>
        <x:v>117.00000000000001</x:v>
      </x:c>
      <x:c r="G40" s="204" t="n">
        <x:f>F40-E40</x:f>
        <x:v>1.4210854715202004e-14</x:v>
      </x:c>
      <x:c r="H40" s="204" t="n">
        <x:v>0.15</x:v>
      </x:c>
      <x:c r="I40" s="83" t="str">
        <x:f>IF(ABS(G40)&lt;=H40,"PASS","REVIEW")</x:f>
        <x:v>PASS</x:v>
      </x:c>
      <x:c r="J40" s="83" t="str">
        <x:v>Small deviations reflect one-decimal rounding by zone.</x:v>
      </x:c>
      <x:c r="K40" s="83" t="str">
        <x:v>SUMIFS delle sette zone per scenario e classe</x:v>
      </x:c>
    </x:row>
    <x:row r="41">
      <x:c r="A41" s="83" t="str">
        <x:v>QA3B-037</x:v>
      </x:c>
      <x:c r="B41" s="83" t="str">
        <x:v>Scenario storage accounting</x:v>
      </x:c>
      <x:c r="C41" s="83" t="str">
        <x:v>PNIEC_POLICY_2030</x:v>
      </x:c>
      <x:c r="D41" s="83" t="str">
        <x:v>Total including 50 GWh pumping</x:v>
      </x:c>
      <x:c r="E41" s="204" t="n">
        <x:v>122</x:v>
      </x:c>
      <x:c r="F41" s="204" t="n">
        <x:f>'20_STORAGE'!J20+50</x:f>
        <x:v>121.5</x:v>
      </x:c>
      <x:c r="G41" s="204" t="n">
        <x:f>F41-E41</x:f>
        <x:v>-0.5</x:v>
      </x:c>
      <x:c r="H41" s="204" t="n">
        <x:v>0.6</x:v>
      </x:c>
      <x:c r="I41" s="83" t="str">
        <x:f>IF(ABS(G41)&lt;=H41,"PASS","REVIEW")</x:f>
        <x:v>PASS</x:v>
      </x:c>
      <x:c r="J41" s="83" t="str">
        <x:v>Source reports approximately 122 GWh.</x:v>
      </x:c>
      <x:c r="K41" s="83" t="str">
        <x:v>Totale DDS ex pompaggi + convenzione 50 GWh</x:v>
      </x:c>
    </x:row>
    <x:row r="42">
      <x:c r="A42" s="83" t="str">
        <x:v>QA3B-038</x:v>
      </x:c>
      <x:c r="B42" s="83" t="str">
        <x:v>Duration calculation</x:v>
      </x:c>
      <x:c r="C42" s="83" t="str">
        <x:v>HIST_2023</x:v>
      </x:c>
      <x:c r="D42" s="83" t="str">
        <x:v>BESS duration 2023</x:v>
      </x:c>
      <x:c r="E42" s="204" t="n">
        <x:v>2.033781102166035</x:v>
      </x:c>
      <x:c r="F42" s="204" t="n">
        <x:f>'20_STORAGE'!J5/'20_STORAGE'!L5</x:f>
        <x:v>2.033781102166035</x:v>
      </x:c>
      <x:c r="G42" s="204" t="n">
        <x:f>F42-E42</x:f>
        <x:v>0</x:v>
      </x:c>
      <x:c r="H42" s="204" t="n">
        <x:v>0.000001</x:v>
      </x:c>
      <x:c r="I42" s="83" t="str">
        <x:f>IF(ABS(G42)&lt;=H42,"PASS","REVIEW")</x:f>
        <x:v>PASS</x:v>
      </x:c>
      <x:c r="J42" s="83" t="str">
        <x:v>Formula identity.</x:v>
      </x:c>
      <x:c r="K42" s="83" t="str">
        <x:v>Energia / potenza scarica</x:v>
      </x:c>
    </x:row>
    <x:row r="43">
      <x:c r="A43" s="83" t="str">
        <x:v>QA3B-039</x:v>
      </x:c>
      <x:c r="B43" s="83" t="str">
        <x:v>Duration calculation</x:v>
      </x:c>
      <x:c r="C43" s="83" t="str">
        <x:v>HIST_2024</x:v>
      </x:c>
      <x:c r="D43" s="83" t="str">
        <x:v>BESS duration 2024</x:v>
      </x:c>
      <x:c r="E43" s="204" t="n">
        <x:v>2.3250757805804065</x:v>
      </x:c>
      <x:c r="F43" s="204" t="n">
        <x:f>'20_STORAGE'!J8/'20_STORAGE'!L8</x:f>
        <x:v>2.3250757805804065</x:v>
      </x:c>
      <x:c r="G43" s="204" t="n">
        <x:f>F43-E43</x:f>
        <x:v>0</x:v>
      </x:c>
      <x:c r="H43" s="204" t="n">
        <x:v>0.000001</x:v>
      </x:c>
      <x:c r="I43" s="83" t="str">
        <x:f>IF(ABS(G43)&lt;=H43,"PASS","REVIEW")</x:f>
        <x:v>PASS</x:v>
      </x:c>
      <x:c r="J43" s="83" t="str">
        <x:v>Formula identity.</x:v>
      </x:c>
      <x:c r="K43" s="83" t="str">
        <x:v>Energia / potenza scarica</x:v>
      </x:c>
    </x:row>
    <x:row r="44">
      <x:c r="A44" s="83" t="str">
        <x:v>QA3B-040</x:v>
      </x:c>
      <x:c r="B44" s="83" t="str">
        <x:v>Duration calculation</x:v>
      </x:c>
      <x:c r="C44" s="83" t="str">
        <x:v>TERNA_2050_NUCLEAR</x:v>
      </x:c>
      <x:c r="D44" s="83" t="str">
        <x:v>BESS duration 2050</x:v>
      </x:c>
      <x:c r="E44" s="204" t="n">
        <x:v>5.444444444444445</x:v>
      </x:c>
      <x:c r="F44" s="204" t="n">
        <x:f>'20_STORAGE'!J61/'20_STORAGE'!L61</x:f>
        <x:v>5.444444444444445</x:v>
      </x:c>
      <x:c r="G44" s="204" t="n">
        <x:f>F44-E44</x:f>
        <x:v>0</x:v>
      </x:c>
      <x:c r="H44" s="204" t="n">
        <x:v>0.000001</x:v>
      </x:c>
      <x:c r="I44" s="83" t="str">
        <x:f>IF(ABS(G44)&lt;=H44,"PASS","REVIEW")</x:f>
        <x:v>PASS</x:v>
      </x:c>
      <x:c r="J44" s="83" t="str">
        <x:v>Aggregate implied duration.</x:v>
      </x:c>
      <x:c r="K44" s="83" t="str">
        <x:v>Energia / potenza scarica</x:v>
      </x:c>
    </x:row>
    <x:row r="45">
      <x:c r="A45" s="83" t="str">
        <x:v>QA3B-041</x:v>
      </x:c>
      <x:c r="B45" s="83" t="str">
        <x:v>Pumping pipeline reconciliation</x:v>
      </x:c>
      <x:c r="C45" s="83" t="str">
        <x:v>PIPELINE_2024</x:v>
      </x:c>
      <x:c r="D45" s="83" t="str">
        <x:v>Table 7 vs Table 8 totals</x:v>
      </x:c>
      <x:c r="E45" s="204" t="n">
        <x:v>9.14</x:v>
      </x:c>
      <x:c r="F45" s="204" t="n">
        <x:f>SUMIFS('22_HYDRO'!$I:$I,'22_HYDRO'!$P:$P,"Table 8")</x:f>
        <x:v>9.13</x:v>
      </x:c>
      <x:c r="G45" s="204" t="n">
        <x:f>F45-E45</x:f>
        <x:v>-0.009999999999999787</x:v>
      </x:c>
      <x:c r="H45" s="204" t="n">
        <x:v>0.02</x:v>
      </x:c>
      <x:c r="I45" s="83" t="str">
        <x:f>IF(ABS(G45)&lt;=H45,"PASS","REVIEW")</x:f>
        <x:v>PASS</x:v>
      </x:c>
      <x:c r="J45" s="83" t="str">
        <x:v>Independent rounding of tables.</x:v>
      </x:c>
      <x:c r="K45" s="83" t="str">
        <x:v>Somma zonale Tabella 8; atteso da Tabella 7</x:v>
      </x:c>
    </x:row>
    <x:row r="46">
      <x:c r="A46" s="83" t="str">
        <x:v>QA3B-042</x:v>
      </x:c>
      <x:c r="B46" s="83" t="str">
        <x:v>Derived overgeneration</x:v>
      </x:c>
      <x:c r="C46" s="83" t="str">
        <x:v>TERNA_2050_NUCLEAR</x:v>
      </x:c>
      <x:c r="D46" s="83" t="str">
        <x:v>583 TWh × 4.8%</x:v>
      </x:c>
      <x:c r="E46" s="204" t="n">
        <x:v>27.984</x:v>
      </x:c>
      <x:c r="F46" s="204" t="n">
        <x:f>583*'23_FLEXIBILITY_CONTEXT'!I66/100</x:f>
        <x:v>27.984</x:v>
      </x:c>
      <x:c r="G46" s="204" t="n">
        <x:f>F46-E46</x:f>
        <x:v>0</x:v>
      </x:c>
      <x:c r="H46" s="204" t="n">
        <x:v>0.000001</x:v>
      </x:c>
      <x:c r="I46" s="83" t="str">
        <x:f>IF(ABS(G46)&lt;=H46,"PASS","REVIEW")</x:f>
        <x:v>PASS</x:v>
      </x:c>
      <x:c r="J46" s="83" t="str"/>
      <x:c r="K46" s="83" t="str">
        <x:v>583 TWh × quota overgeneration</x:v>
      </x:c>
    </x:row>
    <x:row r="47">
      <x:c r="A47" s="83" t="str">
        <x:v>QA3B-043</x:v>
      </x:c>
      <x:c r="B47" s="83" t="str">
        <x:v>Derived overgeneration</x:v>
      </x:c>
      <x:c r="C47" s="83" t="str">
        <x:v>TERNA_2050_NO_NUCLEAR</x:v>
      </x:c>
      <x:c r="D47" s="83" t="str">
        <x:v>583 TWh × 4.4%</x:v>
      </x:c>
      <x:c r="E47" s="204" t="n">
        <x:v>25.652</x:v>
      </x:c>
      <x:c r="F47" s="204" t="n">
        <x:f>583*'23_FLEXIBILITY_CONTEXT'!I69/100</x:f>
        <x:v>25.652</x:v>
      </x:c>
      <x:c r="G47" s="204" t="n">
        <x:f>F47-E47</x:f>
        <x:v>0</x:v>
      </x:c>
      <x:c r="H47" s="204" t="n">
        <x:v>0.000001</x:v>
      </x:c>
      <x:c r="I47" s="83" t="str">
        <x:f>IF(ABS(G47)&lt;=H47,"PASS","REVIEW")</x:f>
        <x:v>PASS</x:v>
      </x:c>
      <x:c r="J47" s="83" t="str"/>
      <x:c r="K47" s="83" t="str">
        <x:v>583 TWh × quota overgeneration</x:v>
      </x:c>
    </x:row>
    <x:row r="48">
      <x:c r="A48" s="83" t="str">
        <x:v>QA3B-044</x:v>
      </x:c>
      <x:c r="B48" s="83" t="str">
        <x:v>Flexibility contribution shares</x:v>
      </x:c>
      <x:c r="C48" s="83" t="str">
        <x:v>TERNA_2050_NUCLEAR</x:v>
      </x:c>
      <x:c r="D48" s="83" t="str">
        <x:v>Daily shares sum</x:v>
      </x:c>
      <x:c r="E48" s="204" t="n">
        <x:v>100</x:v>
      </x:c>
      <x:c r="F48" s="204" t="n">
        <x:f>SUMIFS('23_FLEXIBILITY_CONTEXT'!$I:$I,'23_FLEXIBILITY_CONTEXT'!$B:$B,$C48,'23_FLEXIBILITY_CONTEXT'!$E:$E,"Daily",'23_FLEXIBILITY_CONTEXT'!$F:$F,"Flexibility contribution")</x:f>
        <x:v>100</x:v>
      </x:c>
      <x:c r="G48" s="204" t="n">
        <x:f>F48-E48</x:f>
        <x:v>0</x:v>
      </x:c>
      <x:c r="H48" s="204" t="n">
        <x:v>0.01</x:v>
      </x:c>
      <x:c r="I48" s="83" t="str">
        <x:f>IF(ABS(G48)&lt;=H48,"PASS","REVIEW")</x:f>
        <x:v>PASS</x:v>
      </x:c>
      <x:c r="J48" s="83" t="str"/>
      <x:c r="K48" s="83" t="str">
        <x:v>Somma quote daily 2050</x:v>
      </x:c>
    </x:row>
    <x:row r="49">
      <x:c r="A49" s="83" t="str">
        <x:v>QA3B-045</x:v>
      </x:c>
      <x:c r="B49" s="83" t="str">
        <x:v>Flexibility contribution shares</x:v>
      </x:c>
      <x:c r="C49" s="83" t="str">
        <x:v>TERNA_2050_NUCLEAR</x:v>
      </x:c>
      <x:c r="D49" s="83" t="str">
        <x:v>Monthly shares sum</x:v>
      </x:c>
      <x:c r="E49" s="204" t="n">
        <x:v>100</x:v>
      </x:c>
      <x:c r="F49" s="204" t="n">
        <x:f>SUMIFS('23_FLEXIBILITY_CONTEXT'!$I:$I,'23_FLEXIBILITY_CONTEXT'!$B:$B,$C49,'23_FLEXIBILITY_CONTEXT'!$E:$E,"Monthly",'23_FLEXIBILITY_CONTEXT'!$F:$F,"Flexibility contribution")</x:f>
        <x:v>100</x:v>
      </x:c>
      <x:c r="G49" s="204" t="n">
        <x:f>F49-E49</x:f>
        <x:v>0</x:v>
      </x:c>
      <x:c r="H49" s="204" t="n">
        <x:v>0.01</x:v>
      </x:c>
      <x:c r="I49" s="83" t="str">
        <x:f>IF(ABS(G49)&lt;=H49,"PASS","REVIEW")</x:f>
        <x:v>PASS</x:v>
      </x:c>
      <x:c r="J49" s="83" t="str"/>
      <x:c r="K49" s="83" t="str">
        <x:v>Somma quote monthly 2050</x:v>
      </x:c>
    </x:row>
    <x:row r="50">
      <x:c r="A50" s="83" t="str">
        <x:v>QA3B-046</x:v>
      </x:c>
      <x:c r="B50" s="83" t="str">
        <x:v>Source perimeter comparison</x:v>
      </x:c>
      <x:c r="C50" s="83" t="str">
        <x:v>HIST_2023</x:v>
      </x:c>
      <x:c r="D50" s="83" t="str">
        <x:v>DDS small-scale energy vs S01 installed BESS</x:v>
      </x:c>
      <x:c r="E50" s="204" t="n">
        <x:v>7.02047</x:v>
      </x:c>
      <x:c r="F50" s="204" t="n">
        <x:f>'20_STORAGE'!J13</x:f>
        <x:v>6.6</x:v>
      </x:c>
      <x:c r="G50" s="204" t="n">
        <x:f>F50-E50</x:f>
        <x:v>-0.4204700000000008</x:v>
      </x:c>
      <x:c r="H50" s="204" t="n">
        <x:v>0.15</x:v>
      </x:c>
      <x:c r="I50" s="83" t="str">
        <x:f>IF(ABS(G50)&lt;=H50,"PASS","REVIEW")</x:f>
        <x:v>REVIEW</x:v>
      </x:c>
      <x:c r="J50" s="83" t="str">
        <x:v>Expected REVIEW: DDS table uses a different/rounded perimeter or data cut than S01 year-end stock.</x:v>
      </x:c>
      <x:c r="K50" s="83" t="str">
        <x:v>Confronto DDS 2023 con stock S01</x:v>
      </x:c>
    </x:row>
  </x:sheetData>
  <x:mergeCells>
    <x:mergeCell ref="A1:K1"/>
    <x:mergeCell ref="A2:K2"/>
  </x:mergeCells>
  <x:conditionalFormatting sqref="I5:I50">
    <x:cfRule type="expression" dxfId="45" priority="1">
      <x:formula>I5="PASS"</x:formula>
    </x:cfRule>
    <x:cfRule type="expression" dxfId="46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7a901ac489490e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88" t="str">
        <x:v>Fase 3B — Accumuli, idroelettrico e flessibilità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</x:row>
    <x:row r="2" ht="30" customHeight="1">
      <x:c r="A2" s="192" t="str">
        <x:v>Capacità energetica e potenza mantenute separate; dati certi, scenari e pipeline non vengono confusi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228" t="str">
        <x:v>Indicatore</x:v>
      </x:c>
      <x:c r="B4" s="228" t="str">
        <x:v>Valore</x:v>
      </x:c>
      <x:c r="C4" s="45"/>
      <x:c r="D4" s="228" t="str">
        <x:v>Esito analitico</x:v>
      </x:c>
      <x:c r="E4" s="228"/>
      <x:c r="F4" s="228"/>
      <x:c r="G4" s="228"/>
      <x:c r="H4" s="228"/>
      <x:c r="I4" s="228"/>
      <x:c r="J4" s="228"/>
      <x:c r="K4" s="45"/>
      <x:c r="L4" s="45"/>
      <x:c r="M4" s="45"/>
      <x:c r="N4" s="45"/>
      <x:c r="O4" s="45"/>
      <x:c r="P4" s="45"/>
      <x:c r="Q4" s="45"/>
      <x:c r="R4" s="45"/>
    </x:row>
    <x:row r="5">
      <x:c r="A5" s="222" t="str">
        <x:v>Record storage</x:v>
      </x:c>
      <x:c r="B5" s="48" t="n">
        <x:v>58</x:v>
      </x:c>
      <x:c r="C5" s="45"/>
      <x:c r="D5" s="212" t="str">
        <x:v>Il DDS fornisce energia zonale completa per small-scale, utility-scale e Capacity Market. La potenza è derivabile direttamente solo per utility-scale 8h; small-scale resta un intervallo 2h/4h. Lo stock fisico dei pompaggi è 53 GWh, mentre il DDS usa 50 GWh come convenzione. Pipeline di connessione e capacità assegnata sono mantenute separate.</x:v>
      </x:c>
      <x:c r="E5" s="212"/>
      <x:c r="F5" s="212"/>
      <x:c r="G5" s="212"/>
      <x:c r="H5" s="212"/>
      <x:c r="I5" s="212"/>
      <x:c r="J5" s="212"/>
      <x:c r="K5" s="45"/>
      <x:c r="L5" s="45"/>
      <x:c r="M5" s="45"/>
      <x:c r="N5" s="45"/>
      <x:c r="O5" s="45"/>
      <x:c r="P5" s="45"/>
      <x:c r="Q5" s="45"/>
      <x:c r="R5" s="45"/>
    </x:row>
    <x:row r="6">
      <x:c r="A6" s="222" t="str">
        <x:v>Righe storage zonale</x:v>
      </x:c>
      <x:c r="B6" s="48" t="n">
        <x:v>252</x:v>
      </x:c>
      <x:c r="C6" s="45"/>
      <x:c r="D6" s="212"/>
      <x:c r="E6" s="212"/>
      <x:c r="F6" s="212"/>
      <x:c r="G6" s="212"/>
      <x:c r="H6" s="212"/>
      <x:c r="I6" s="212"/>
      <x:c r="J6" s="212"/>
      <x:c r="K6" s="45"/>
      <x:c r="L6" s="45"/>
      <x:c r="M6" s="45"/>
      <x:c r="N6" s="45"/>
      <x:c r="O6" s="45"/>
      <x:c r="P6" s="45"/>
      <x:c r="Q6" s="45"/>
      <x:c r="R6" s="45"/>
    </x:row>
    <x:row r="7">
      <x:c r="A7" s="222" t="str">
        <x:v>Record idroelettrico</x:v>
      </x:c>
      <x:c r="B7" s="48" t="n">
        <x:v>67</x:v>
      </x:c>
      <x:c r="C7" s="45"/>
      <x:c r="D7" s="212"/>
      <x:c r="E7" s="212"/>
      <x:c r="F7" s="212"/>
      <x:c r="G7" s="212"/>
      <x:c r="H7" s="212"/>
      <x:c r="I7" s="212"/>
      <x:c r="J7" s="212"/>
      <x:c r="K7" s="45"/>
      <x:c r="L7" s="45"/>
      <x:c r="M7" s="45"/>
      <x:c r="N7" s="45"/>
      <x:c r="O7" s="45"/>
      <x:c r="P7" s="45"/>
      <x:c r="Q7" s="45"/>
      <x:c r="R7" s="45"/>
    </x:row>
    <x:row r="8">
      <x:c r="A8" s="222" t="str">
        <x:v>Record flessibilità</x:v>
      </x:c>
      <x:c r="B8" s="48" t="n">
        <x:v>96</x:v>
      </x:c>
      <x:c r="C8" s="45"/>
      <x:c r="D8" s="212"/>
      <x:c r="E8" s="212"/>
      <x:c r="F8" s="212"/>
      <x:c r="G8" s="212"/>
      <x:c r="H8" s="212"/>
      <x:c r="I8" s="212"/>
      <x:c r="J8" s="212"/>
      <x:c r="K8" s="45"/>
      <x:c r="L8" s="45"/>
      <x:c r="M8" s="45"/>
      <x:c r="N8" s="45"/>
      <x:c r="O8" s="45"/>
      <x:c r="P8" s="45"/>
      <x:c r="Q8" s="45"/>
      <x:c r="R8" s="45"/>
    </x:row>
    <x:row r="9">
      <x:c r="A9" s="222" t="str">
        <x:v>Controlli QA</x:v>
      </x:c>
      <x:c r="B9" s="48" t="n">
        <x:v>46</x:v>
      </x:c>
      <x:c r="C9" s="45"/>
      <x:c r="D9" s="212"/>
      <x:c r="E9" s="212"/>
      <x:c r="F9" s="212"/>
      <x:c r="G9" s="212"/>
      <x:c r="H9" s="212"/>
      <x:c r="I9" s="212"/>
      <x:c r="J9" s="212"/>
      <x:c r="K9" s="45"/>
      <x:c r="L9" s="45"/>
      <x:c r="M9" s="45"/>
      <x:c r="N9" s="45"/>
      <x:c r="O9" s="45"/>
      <x:c r="P9" s="45"/>
      <x:c r="Q9" s="45"/>
      <x:c r="R9" s="45"/>
    </x:row>
    <x:row r="10">
      <x:c r="A10" s="222" t="str">
        <x:v>QA PASS</x:v>
      </x:c>
      <x:c r="B10" s="48" t="n">
        <x:v>43</x:v>
      </x:c>
      <x:c r="C10" s="45"/>
      <x:c r="D10" s="212"/>
      <x:c r="E10" s="212"/>
      <x:c r="F10" s="212"/>
      <x:c r="G10" s="212"/>
      <x:c r="H10" s="212"/>
      <x:c r="I10" s="212"/>
      <x:c r="J10" s="212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222" t="str">
        <x:v>QA REVIEW</x:v>
      </x:c>
      <x:c r="B11" s="48" t="n">
        <x:v>3</x:v>
      </x:c>
      <x:c r="C11" s="45"/>
      <x:c r="D11" s="212"/>
      <x:c r="E11" s="212"/>
      <x:c r="F11" s="212"/>
      <x:c r="G11" s="212"/>
      <x:c r="H11" s="212"/>
      <x:c r="I11" s="212"/>
      <x:c r="J11" s="212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222" t="str">
        <x:v>Blocchi estrazione</x:v>
      </x:c>
      <x:c r="B12" s="48" t="n">
        <x:v>13</x:v>
      </x:c>
      <x:c r="C12" s="45"/>
      <x:c r="D12" s="212"/>
      <x:c r="E12" s="212"/>
      <x:c r="F12" s="212"/>
      <x:c r="G12" s="212"/>
      <x:c r="H12" s="212"/>
      <x:c r="I12" s="212"/>
      <x:c r="J12" s="212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229" t="str">
        <x:v>Scenario 2040</x:v>
      </x:c>
      <x:c r="B15" s="229" t="str">
        <x:v>Small GWh</x:v>
      </x:c>
      <x:c r="C15" s="229" t="str">
        <x:v>Utility GWh</x:v>
      </x:c>
      <x:c r="D15" s="229" t="str">
        <x:v>Utility GW (8h)</x:v>
      </x:c>
      <x:c r="E15" s="229" t="str">
        <x:v>CM GWh</x:v>
      </x:c>
      <x:c r="F15" s="229" t="str">
        <x:v>Totale ex pomp. GWh</x:v>
      </x:c>
      <x:c r="G15" s="229" t="str">
        <x:v>Totale con 50 GWh</x:v>
      </x:c>
      <x:c r="H15" s="229" t="str">
        <x:v>Small power range GW</x:v>
      </x:c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224" t="n">
        <x:f>'20_STORAGE'!J42</x:f>
        <x:v>19.1</x:v>
      </x:c>
      <x:c r="C16" s="224" t="n">
        <x:f>'20_STORAGE'!J43</x:f>
        <x:v>140</x:v>
      </x:c>
      <x:c r="D16" s="224" t="n">
        <x:f>'20_STORAGE'!Q43</x:f>
        <x:v>17.5</x:v>
      </x:c>
      <x:c r="E16" s="224" t="n">
        <x:f>'20_STORAGE'!J44</x:f>
        <x:v>7.5</x:v>
      </x:c>
      <x:c r="F16" s="224" t="n">
        <x:f>'20_STORAGE'!J45</x:f>
        <x:v>166.5</x:v>
      </x:c>
      <x:c r="G16" s="224" t="n">
        <x:f>'20_STORAGE'!J46</x:f>
        <x:v>216.5</x:v>
      </x:c>
      <x:c r="H16" s="45" t="str">
        <x:f>" "&amp;TEXT('20_STORAGE'!P42,"0.000")&amp;"–"&amp;TEXT('20_STORAGE'!R42,"0.000")</x:f>
        <x:v> 4.775–9.550</x:v>
      </x:c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224" t="n">
        <x:f>'20_STORAGE'!J47</x:f>
        <x:v>18.2</x:v>
      </x:c>
      <x:c r="C17" s="224" t="n">
        <x:f>'20_STORAGE'!J48</x:f>
        <x:v>108</x:v>
      </x:c>
      <x:c r="D17" s="224" t="n">
        <x:f>'20_STORAGE'!Q48</x:f>
        <x:v>13.5</x:v>
      </x:c>
      <x:c r="E17" s="224" t="n">
        <x:f>'20_STORAGE'!J49</x:f>
        <x:v>7.5</x:v>
      </x:c>
      <x:c r="F17" s="224" t="n">
        <x:f>'20_STORAGE'!J50</x:f>
        <x:v>133.6</x:v>
      </x:c>
      <x:c r="G17" s="224" t="n">
        <x:f>'20_STORAGE'!J51</x:f>
        <x:v>183.6</x:v>
      </x:c>
      <x:c r="H17" s="45" t="str">
        <x:f>" "&amp;TEXT('20_STORAGE'!P47,"0.000")&amp;"–"&amp;TEXT('20_STORAGE'!R47,"0.000")</x:f>
        <x:v> 4.550–9.100</x:v>
      </x:c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224" t="n">
        <x:f>'20_STORAGE'!J52</x:f>
        <x:v>17.5</x:v>
      </x:c>
      <x:c r="C18" s="224" t="n">
        <x:f>'20_STORAGE'!J53</x:f>
        <x:v>92</x:v>
      </x:c>
      <x:c r="D18" s="224" t="n">
        <x:f>'20_STORAGE'!Q53</x:f>
        <x:v>11.5</x:v>
      </x:c>
      <x:c r="E18" s="224" t="n">
        <x:f>'20_STORAGE'!J54</x:f>
        <x:v>7.5</x:v>
      </x:c>
      <x:c r="F18" s="224" t="n">
        <x:f>'20_STORAGE'!J55</x:f>
        <x:v>117</x:v>
      </x:c>
      <x:c r="G18" s="224" t="n">
        <x:f>'20_STORAGE'!J56</x:f>
        <x:v>167</x:v>
      </x:c>
      <x:c r="H18" s="45" t="str">
        <x:f>" "&amp;TEXT('20_STORAGE'!P52,"0.000")&amp;"–"&amp;TEXT('20_STORAGE'!R52,"0.000")</x:f>
        <x:v> 4.375–8.750</x:v>
      </x:c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229" t="str">
        <x:v>Pompaggi esistenti</x:v>
      </x:c>
      <x:c r="B22" s="229" t="str">
        <x:v>Energia GWh</x:v>
      </x:c>
      <x:c r="C22" s="229" t="str">
        <x:v>Potenza carica GW</x:v>
      </x:c>
      <x:c r="D22" s="229" t="str">
        <x:v>Potenza scarica GW</x:v>
      </x:c>
      <x:c r="E22" s="229" t="str">
        <x:v>Durata su carica h</x:v>
      </x:c>
      <x:c r="F22" s="229" t="str">
        <x:v>Durata su scarica h</x:v>
      </x:c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Stock fisico S01</x:v>
      </x:c>
      <x:c r="B23" s="225" t="n">
        <x:f>'22_HYDRO'!I26</x:f>
        <x:v>53</x:v>
      </x:c>
      <x:c r="C23" s="225" t="n">
        <x:f>'22_HYDRO'!I24</x:f>
        <x:v>6.4</x:v>
      </x:c>
      <x:c r="D23" s="225" t="n">
        <x:f>'22_HYDRO'!I25</x:f>
        <x:v>7.3</x:v>
      </x:c>
      <x:c r="E23" s="225" t="n">
        <x:f>B23/C23</x:f>
        <x:v>8.28125</x:v>
      </x:c>
      <x:c r="F23" s="225" t="n">
        <x:f>B23/D23</x:f>
        <x:v>7.26027397260274</x:v>
      </x:c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Convenzione DDS</x:v>
      </x:c>
      <x:c r="B24" s="225" t="n">
        <x:v>50</x:v>
      </x:c>
      <x:c r="C24" s="225"/>
      <x:c r="D24" s="225"/>
      <x:c r="E24" s="225"/>
      <x:c r="F24" s="22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229" t="str">
        <x:v>Scenario 2050</x:v>
      </x:c>
      <x:c r="B27" s="229" t="str">
        <x:v>BESS GWh</x:v>
      </x:c>
      <x:c r="C27" s="229" t="str">
        <x:v>BESS GW</x:v>
      </x:c>
      <x:c r="D27" s="229" t="str">
        <x:v>Durata implicita h</x:v>
      </x:c>
      <x:c r="E27" s="229" t="str">
        <x:v>Perdite TWh</x:v>
      </x:c>
      <x:c r="F27" s="229" t="str">
        <x:v>Overgeneration %</x:v>
      </x:c>
      <x:c r="G27" s="229" t="str">
        <x:v>Overgeneration TWh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 t="str">
        <x:v>Con nucleare</x:v>
      </x:c>
      <x:c r="B28" s="225" t="n">
        <x:f>'20_STORAGE'!J61</x:f>
        <x:v>196</x:v>
      </x:c>
      <x:c r="C28" s="225" t="n">
        <x:f>IF('20_STORAGE'!L61="","",'20_STORAGE'!L61)</x:f>
        <x:v>36</x:v>
      </x:c>
      <x:c r="D28" s="225" t="n">
        <x:f>IF('20_STORAGE'!S61="","",'20_STORAGE'!S61)</x:f>
        <x:v>5.444444444444445</x:v>
      </x:c>
      <x:c r="E28" s="225" t="n">
        <x:f>'23_FLEXIBILITY_CONTEXT'!I65</x:f>
        <x:v>11</x:v>
      </x:c>
      <x:c r="F28" s="225" t="n">
        <x:f>'23_FLEXIBILITY_CONTEXT'!I66</x:f>
        <x:v>4.8</x:v>
      </x:c>
      <x:c r="G28" s="225" t="n">
        <x:f>'23_FLEXIBILITY_CONTEXT'!I67</x:f>
        <x:v>27.984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 t="str">
        <x:v>Senza nucleare</x:v>
      </x:c>
      <x:c r="B29" s="225" t="n">
        <x:f>'20_STORAGE'!J62</x:f>
        <x:v>216</x:v>
      </x:c>
      <x:c r="C29" s="225" t="str">
        <x:f>IF('20_STORAGE'!L62="","",'20_STORAGE'!L62)</x:f>
      </x:c>
      <x:c r="D29" s="225" t="str">
        <x:f>IF('20_STORAGE'!S62="","",'20_STORAGE'!S62)</x:f>
      </x:c>
      <x:c r="E29" s="225" t="n">
        <x:f>'23_FLEXIBILITY_CONTEXT'!I68</x:f>
        <x:v>14</x:v>
      </x:c>
      <x:c r="F29" s="225" t="n">
        <x:f>'23_FLEXIBILITY_CONTEXT'!I69</x:f>
        <x:v>4.4</x:v>
      </x:c>
      <x:c r="G29" s="225" t="n">
        <x:f>'23_FLEXIBILITY_CONTEXT'!I70</x:f>
        <x:v>25.652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229" t="str">
        <x:v>Scelte necessarie prima dell'armonizzazione e della simulazione</x:v>
      </x:c>
      <x:c r="B33" s="229"/>
      <x:c r="C33" s="229"/>
      <x:c r="D33" s="229"/>
      <x:c r="E33" s="229"/>
      <x:c r="F33" s="229"/>
      <x:c r="G33" s="229"/>
      <x:c r="H33" s="229"/>
      <x:c r="I33" s="229"/>
      <x:c r="J33" s="229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228" t="str">
        <x:v>Tema</x:v>
      </x:c>
      <x:c r="B34" s="228" t="str">
        <x:v>Raccomandazione</x:v>
      </x:c>
      <x:c r="C34" s="228" t="str">
        <x:v>Quando diventa bloccante</x:v>
      </x:c>
      <x:c r="D34" s="45"/>
      <x:c r="E34" s="228" t="str">
        <x:v>Scala</x:v>
      </x:c>
      <x:c r="F34" s="228" t="str">
        <x:v>2023</x:v>
      </x:c>
      <x:c r="G34" s="228" t="str">
        <x:v>2030</x:v>
      </x:c>
      <x:c r="H34" s="228" t="str">
        <x:v>2040</x:v>
      </x:c>
      <x:c r="I34" s="228" t="str">
        <x:v>2050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 ht="22" customHeight="1">
      <x:c r="A35" s="226" t="str">
        <x:v>Small-scale 2h/4h</x:v>
      </x:c>
      <x:c r="B35" s="226" t="str">
        <x:v>Due classi; fino ad allora usare intervallo di potenza</x:v>
      </x:c>
      <x:c r="C35" s="226" t="str">
        <x:v>Prima della Fase 4</x:v>
      </x:c>
      <x:c r="D35" s="45"/>
      <x:c r="E35" s="45" t="str">
        <x:v>Daily</x:v>
      </x:c>
      <x:c r="F35" s="227" t="n">
        <x:f>'23_FLEXIBILITY_CONTEXT'!I76</x:f>
        <x:v>100</x:v>
      </x:c>
      <x:c r="G35" s="227" t="n">
        <x:f>'23_FLEXIBILITY_CONTEXT'!I77</x:f>
        <x:v>240</x:v>
      </x:c>
      <x:c r="H35" s="227" t="n">
        <x:f>'23_FLEXIBILITY_CONTEXT'!I78</x:f>
        <x:v>411</x:v>
      </x:c>
      <x:c r="I35" s="227" t="n">
        <x:f>'23_FLEXIBILITY_CONTEXT'!I79</x:f>
        <x:v>665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 ht="22" customHeight="1">
      <x:c r="A36" s="226" t="str">
        <x:v>Pompaggi 53 vs 50 GWh</x:v>
      </x:c>
      <x:c r="B36" s="226" t="str">
        <x:v>53 GWh asset fisico; 50 GWh controllo DDS</x:v>
      </x:c>
      <x:c r="C36" s="226" t="str">
        <x:v>Prima della Fase 4</x:v>
      </x:c>
      <x:c r="D36" s="45"/>
      <x:c r="E36" s="45" t="str">
        <x:v>Weekly</x:v>
      </x:c>
      <x:c r="F36" s="227" t="n">
        <x:f>'23_FLEXIBILITY_CONTEXT'!I80</x:f>
        <x:v>87</x:v>
      </x:c>
      <x:c r="G36" s="227" t="n">
        <x:f>'23_FLEXIBILITY_CONTEXT'!I81</x:f>
        <x:v>114</x:v>
      </x:c>
      <x:c r="H36" s="227" t="n">
        <x:f>'23_FLEXIBILITY_CONTEXT'!I82</x:f>
        <x:v>161</x:v>
      </x:c>
      <x:c r="I36" s="227" t="n">
        <x:f>'23_FLEXIBILITY_CONTEXT'!I83</x:f>
        <x:v>206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 ht="22" customHeight="1">
      <x:c r="A37" s="226" t="str">
        <x:v>Capacity Market</x:v>
      </x:c>
      <x:c r="B37" s="226" t="str">
        <x:v>Non inferire potenza dalla sola energia</x:v>
      </x:c>
      <x:c r="C37" s="226" t="str">
        <x:v>Prima della Fase 4</x:v>
      </x:c>
      <x:c r="D37" s="45"/>
      <x:c r="E37" s="45" t="str">
        <x:v>Monthly</x:v>
      </x:c>
      <x:c r="F37" s="227" t="n">
        <x:f>'23_FLEXIBILITY_CONTEXT'!I84</x:f>
        <x:v>36</x:v>
      </x:c>
      <x:c r="G37" s="227" t="n">
        <x:f>'23_FLEXIBILITY_CONTEXT'!I85</x:f>
        <x:v>80</x:v>
      </x:c>
      <x:c r="H37" s="227" t="n">
        <x:f>'23_FLEXIBILITY_CONTEXT'!I86</x:f>
        <x:v>121</x:v>
      </x:c>
      <x:c r="I37" s="227" t="n">
        <x:f>'23_FLEXIBILITY_CONTEXT'!I87</x:f>
        <x:v>188</x:v>
      </x:c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 ht="34" customHeight="1">
      <x:c r="A38" s="226" t="str">
        <x:v>2050 senza nucleare</x:v>
      </x:c>
      <x:c r="B38" s="226" t="str">
        <x:v>216 GWh diretti; potenza lasciata aperta</x:v>
      </x:c>
      <x:c r="C38" s="226" t="str">
        <x:v>Prima della 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 ht="34" customHeight="1">
      <x:c r="A39" s="226" t="str">
        <x:v>Efficienze e standing loss</x:v>
      </x:c>
      <x:c r="B39" s="226" t="str">
        <x:v>Fonte tecnica coerente nella Fase 3D</x:v>
      </x:c>
      <x:c r="C39" s="226" t="str">
        <x:v>Prima della simulazione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 ht="34" customHeight="1">
      <x:c r="A40" s="226" t="str">
        <x:v>Idro a bacino</x:v>
      </x:c>
      <x:c r="B40" s="226" t="str">
        <x:v>Acquisire potenza, energia, inflow e SOC</x:v>
      </x:c>
      <x:c r="C40" s="226" t="str">
        <x:v>Fase 4</x:v>
      </x:c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 t="str">
        <x:v>Scenario</x:v>
      </x:c>
      <x:c r="B44" s="45" t="str">
        <x:v>Small GWh</x:v>
      </x:c>
      <x:c r="C44" s="45" t="str">
        <x:v>Utility GWh</x:v>
      </x:c>
      <x:c r="D44" s="45" t="str">
        <x:v>CM GWh</x:v>
      </x:c>
      <x:c r="E44" s="45"/>
      <x:c r="F44" s="45" t="str">
        <x:v>Anno</x:v>
      </x:c>
      <x:c r="G44" s="45" t="str">
        <x:v>Daily</x:v>
      </x:c>
      <x:c r="H44" s="45" t="str">
        <x:v>Weekly</x:v>
      </x:c>
      <x:c r="I44" s="45" t="str">
        <x:v>Monthly</x:v>
      </x:c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 t="str">
        <x:v>DE-IT 2040</x:v>
      </x:c>
      <x:c r="B45" s="45" t="n">
        <x:f>B16</x:f>
        <x:v>19.1</x:v>
      </x:c>
      <x:c r="C45" s="45" t="n">
        <x:f>C16</x:f>
        <x:v>140</x:v>
      </x:c>
      <x:c r="D45" s="45" t="n">
        <x:f>E16</x:f>
        <x:v>7.5</x:v>
      </x:c>
      <x:c r="E45" s="45"/>
      <x:c r="F45" s="45" t="n">
        <x:v>2023</x:v>
      </x:c>
      <x:c r="G45" s="45" t="n">
        <x:f>F35</x:f>
        <x:v>100</x:v>
      </x:c>
      <x:c r="H45" s="45" t="n">
        <x:f>F36</x:f>
        <x:v>87</x:v>
      </x:c>
      <x:c r="I45" s="45" t="n">
        <x:f>F37</x:f>
        <x:v>36</x:v>
      </x:c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 t="str">
        <x:v>GA-IT 2040</x:v>
      </x:c>
      <x:c r="B46" s="45" t="n">
        <x:f>B17</x:f>
        <x:v>18.2</x:v>
      </x:c>
      <x:c r="C46" s="45" t="n">
        <x:f>C17</x:f>
        <x:v>108</x:v>
      </x:c>
      <x:c r="D46" s="45" t="n">
        <x:f>E17</x:f>
        <x:v>7.5</x:v>
      </x:c>
      <x:c r="E46" s="45"/>
      <x:c r="F46" s="45" t="n">
        <x:v>2030</x:v>
      </x:c>
      <x:c r="G46" s="45" t="n">
        <x:f>G35</x:f>
        <x:v>240</x:v>
      </x:c>
      <x:c r="H46" s="45" t="n">
        <x:f>G36</x:f>
        <x:v>114</x:v>
      </x:c>
      <x:c r="I46" s="45" t="n">
        <x:f>G37</x:f>
        <x:v>80</x:v>
      </x:c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PNIEC Slow 2040</x:v>
      </x:c>
      <x:c r="B47" s="45" t="n">
        <x:f>B18</x:f>
        <x:v>17.5</x:v>
      </x:c>
      <x:c r="C47" s="45" t="n">
        <x:f>C18</x:f>
        <x:v>92</x:v>
      </x:c>
      <x:c r="D47" s="45" t="n">
        <x:f>E18</x:f>
        <x:v>7.5</x:v>
      </x:c>
      <x:c r="E47" s="45"/>
      <x:c r="F47" s="45" t="n">
        <x:v>2040</x:v>
      </x:c>
      <x:c r="G47" s="45" t="n">
        <x:f>H35</x:f>
        <x:v>411</x:v>
      </x:c>
      <x:c r="H47" s="45" t="n">
        <x:f>H36</x:f>
        <x:v>161</x:v>
      </x:c>
      <x:c r="I47" s="45" t="n">
        <x:f>H37</x:f>
        <x:v>121</x:v>
      </x:c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/>
      <x:c r="B48" s="45"/>
      <x:c r="C48" s="45"/>
      <x:c r="D48" s="45"/>
      <x:c r="E48" s="45"/>
      <x:c r="F48" s="45" t="n">
        <x:v>2050</x:v>
      </x:c>
      <x:c r="G48" s="45" t="n">
        <x:f>I35</x:f>
        <x:v>665</x:v>
      </x:c>
      <x:c r="H48" s="45" t="n">
        <x:f>I36</x:f>
        <x:v>206</x:v>
      </x:c>
      <x:c r="I48" s="45" t="n">
        <x:f>I37</x:f>
        <x:v>188</x:v>
      </x:c>
      <x:c r="J48" s="45"/>
      <x:c r="K48" s="45"/>
      <x:c r="L48" s="45"/>
      <x:c r="M48" s="45"/>
      <x:c r="N48" s="45"/>
      <x:c r="O48" s="45"/>
      <x:c r="P48" s="45"/>
      <x:c r="Q48" s="45"/>
      <x:c r="R48" s="45"/>
    </x:row>
  </x:sheetData>
  <x:mergeCells>
    <x:mergeCell ref="A1:R1"/>
    <x:mergeCell ref="A2:R2"/>
    <x:mergeCell ref="D4:J4"/>
    <x:mergeCell ref="D5:J12"/>
    <x:mergeCell ref="A33:J33"/>
  </x:mergeCells>
  <x:pageMargins left="0.7" right="0.7" top="0.75" bottom="0.75" header="0.3" footer="0.3"/>
  <x:drawing xmlns:r="http://schemas.openxmlformats.org/officeDocument/2006/relationships" r:id="Ra12031c4adb74e6b"/>
</x:worksheet>
</file>

<file path=xl/worksheets/sheet2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0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20" hidden="0" customWidth="1"/>
    <x:col min="10" max="10" width="30" hidden="0" customWidth="1"/>
    <x:col min="11" max="11" width="17" hidden="0" customWidth="1"/>
    <x:col min="12" max="12" width="20" hidden="0" customWidth="1"/>
    <x:col min="13" max="13" width="12" hidden="0" customWidth="1"/>
    <x:col min="14" max="14" width="52" hidden="0" customWidth="1"/>
    <x:col min="15" max="15" width="12" hidden="0" customWidth="1"/>
    <x:col min="16" max="16" width="16" hidden="0" customWidth="1"/>
    <x:col min="17" max="17" width="18" hidden="0" customWidth="1"/>
    <x:col min="18" max="18" width="55" hidden="0" customWidth="1"/>
    <x:col min="19" max="19" width="22" hidden="0" customWidth="1"/>
    <x:col min="20" max="20" width="50" hidden="0" customWidth="1"/>
    <x:col min="21" max="21" width="58" hidden="0" customWidth="1"/>
  </x:cols>
  <x:sheetData>
    <x:row r="1" ht="34" customHeight="1">
      <x:c r="A1" s="232" t="str">
        <x:v>Capacità interzonali direzionali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  <x:c r="U1" s="232"/>
    </x:row>
    <x:row r="2" ht="30" customHeight="1">
      <x:c r="A2" s="236" t="str">
        <x:v>184 record PDS 2025 e DDS 2024; la Figura 3 S03 governa il caso 2040 Base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  <x:c r="U2" s="236"/>
    </x:row>
    <x:row r="4" ht="42" customHeight="1">
      <x:c r="A4" s="240" t="str">
        <x:v>Record ID</x:v>
      </x:c>
      <x:c r="B4" s="240" t="str">
        <x:v>Dataset</x:v>
      </x:c>
      <x:c r="C4" s="240" t="str">
        <x:v>Anno</x:v>
      </x:c>
      <x:c r="D4" s="240" t="str">
        <x:v>Scenario / rete</x:v>
      </x:c>
      <x:c r="E4" s="240" t="str">
        <x:v>Da zona</x:v>
      </x:c>
      <x:c r="F4" s="240" t="str">
        <x:v>A zona</x:v>
      </x:c>
      <x:c r="G4" s="240" t="str">
        <x:v>Capacità MW</x:v>
      </x:c>
      <x:c r="H4" s="240" t="str">
        <x:v>Capacità GW</x:v>
      </x:c>
      <x:c r="I4" s="240" t="str">
        <x:v>Incremento vs orizzonte precedente MW</x:v>
      </x:c>
      <x:c r="J4" s="240" t="str">
        <x:v>Tipo capacità</x:v>
      </x:c>
      <x:c r="K4" s="240" t="str">
        <x:v>Direzionalità</x:v>
      </x:c>
      <x:c r="L4" s="240" t="str">
        <x:v>Status</x:v>
      </x:c>
      <x:c r="M4" s="240" t="str">
        <x:v>Fonte</x:v>
      </x:c>
      <x:c r="N4" s="240" t="str">
        <x:v>URL fonte</x:v>
      </x:c>
      <x:c r="O4" s="240" t="str">
        <x:v>Pagina PDF</x:v>
      </x:c>
      <x:c r="P4" s="240" t="str">
        <x:v>Pagina stampata</x:v>
      </x:c>
      <x:c r="Q4" s="240" t="str">
        <x:v>Tabella/Figura</x:v>
      </x:c>
      <x:c r="R4" s="240" t="str">
        <x:v>Metodo</x:v>
      </x:c>
      <x:c r="S4" s="240" t="str">
        <x:v>Affidabilità</x:v>
      </x:c>
      <x:c r="T4" s="240" t="str">
        <x:v>Uso modello</x:v>
      </x:c>
      <x:c r="U4" s="240" t="str">
        <x:v>Note</x:v>
      </x:c>
    </x:row>
    <x:row r="5">
      <x:c r="A5" s="83" t="str">
        <x:v>PDS-001</x:v>
      </x:c>
      <x:c r="B5" s="83" t="str">
        <x:v>PDS 2025 updated reference network</x:v>
      </x:c>
      <x:c r="C5" s="83" t="n">
        <x:v>2024</x:v>
      </x:c>
      <x:c r="D5" s="83" t="str">
        <x:v>Reference network for ACB / PDS 2025</x:v>
      </x:c>
      <x:c r="E5" s="83" t="str">
        <x:v>NORD</x:v>
      </x:c>
      <x:c r="F5" s="83" t="str">
        <x:v>CNOR</x:v>
      </x:c>
      <x:c r="G5" s="143" t="n">
        <x:v>4300</x:v>
      </x:c>
      <x:c r="H5" s="197" t="n">
        <x:f>IF(G5="","",G5/1000)</x:f>
        <x:v>4.3</x:v>
      </x:c>
      <x:c r="I5" s="143"/>
      <x:c r="J5" s="83" t="str">
        <x:v>Maximum market exchange limit</x:v>
      </x:c>
      <x:c r="K5" s="83" t="str">
        <x:v>Directional</x:v>
      </x:c>
      <x:c r="L5" s="83" t="str">
        <x:v>Current maximum</x:v>
      </x:c>
      <x:c r="M5" s="83" t="str">
        <x:v>S03</x:v>
      </x:c>
      <x:c r="N5" s="120" t="str">
        <x:v>https://download.terna.it/terna/Terna_Piano_Sviluppo_2025_Benefici_sistema_analisi_robustezza_rete_8dd62ecc98b2bc9.pdf</x:v>
      </x:c>
      <x:c r="O5" s="83" t="n">
        <x:v>19</x:v>
      </x:c>
      <x:c r="P5" s="83" t="n">
        <x:v>17</x:v>
      </x:c>
      <x:c r="Q5" s="83" t="str">
        <x:v>Figure 3</x:v>
      </x:c>
      <x:c r="R5" s="83" t="str">
        <x:v>Direct visual transcription; CA-SI 4.15 GW retained from 1.55+0.50+2.10 despite 4.1-GW rounded label</x:v>
      </x:c>
      <x:c r="S5" s="83" t="str">
        <x:v>A/B — Direct figure; rounded graphical labels</x:v>
      </x:c>
      <x:c r="T5" s="83" t="str">
        <x:v>Trajectory / QA</x:v>
      </x:c>
      <x:c r="U5" s="83" t="str">
        <x:v>Figure 3 is the authoritative corridor-level value; project increments are not mechanically additive because network interactions and modelling updates apply.</x:v>
      </x:c>
    </x:row>
    <x:row r="6">
      <x:c r="A6" s="83" t="str">
        <x:v>PDS-002</x:v>
      </x:c>
      <x:c r="B6" s="83" t="str">
        <x:v>PDS 2025 updated reference network</x:v>
      </x:c>
      <x:c r="C6" s="83" t="n">
        <x:v>2024</x:v>
      </x:c>
      <x:c r="D6" s="83" t="str">
        <x:v>Reference network for ACB / PDS 2025</x:v>
      </x:c>
      <x:c r="E6" s="83" t="str">
        <x:v>CNOR</x:v>
      </x:c>
      <x:c r="F6" s="83" t="str">
        <x:v>NORD</x:v>
      </x:c>
      <x:c r="G6" s="143" t="n">
        <x:v>3100</x:v>
      </x:c>
      <x:c r="H6" s="197" t="n">
        <x:f>IF(G6="","",G6/1000)</x:f>
        <x:v>3.1</x:v>
      </x:c>
      <x:c r="I6" s="143"/>
      <x:c r="J6" s="83" t="str">
        <x:v>Maximum market exchange limit</x:v>
      </x:c>
      <x:c r="K6" s="83" t="str">
        <x:v>Directional</x:v>
      </x:c>
      <x:c r="L6" s="83" t="str">
        <x:v>Current maximum</x:v>
      </x:c>
      <x:c r="M6" s="83" t="str">
        <x:v>S03</x:v>
      </x:c>
      <x:c r="N6" s="120" t="str">
        <x:v>https://download.terna.it/terna/Terna_Piano_Sviluppo_2025_Benefici_sistema_analisi_robustezza_rete_8dd62ecc98b2bc9.pdf</x:v>
      </x:c>
      <x:c r="O6" s="83" t="n">
        <x:v>19</x:v>
      </x:c>
      <x:c r="P6" s="83" t="n">
        <x:v>17</x:v>
      </x:c>
      <x:c r="Q6" s="83" t="str">
        <x:v>Figure 3</x:v>
      </x:c>
      <x:c r="R6" s="83" t="str">
        <x:v>Direct visual transcription; CA-SI 4.15 GW retained from 1.55+0.50+2.10 despite 4.1-GW rounded label</x:v>
      </x:c>
      <x:c r="S6" s="83" t="str">
        <x:v>A/B — Direct figure; rounded graphical labels</x:v>
      </x:c>
      <x:c r="T6" s="83" t="str">
        <x:v>Trajectory / QA</x:v>
      </x:c>
      <x:c r="U6" s="83" t="str">
        <x:v>Figure 3 is the authoritative corridor-level value; project increments are not mechanically additive because network interactions and modelling updates apply.</x:v>
      </x:c>
    </x:row>
    <x:row r="7">
      <x:c r="A7" s="83" t="str">
        <x:v>PDS-003</x:v>
      </x:c>
      <x:c r="B7" s="83" t="str">
        <x:v>PDS 2025 updated reference network</x:v>
      </x:c>
      <x:c r="C7" s="83" t="n">
        <x:v>2030</x:v>
      </x:c>
      <x:c r="D7" s="83" t="str">
        <x:v>Reference network for ACB / PDS 2025</x:v>
      </x:c>
      <x:c r="E7" s="83" t="str">
        <x:v>NORD</x:v>
      </x:c>
      <x:c r="F7" s="83" t="str">
        <x:v>CNOR</x:v>
      </x:c>
      <x:c r="G7" s="143" t="n">
        <x:v>5400</x:v>
      </x:c>
      <x:c r="H7" s="197" t="n">
        <x:f>IF(G7="","",G7/1000)</x:f>
        <x:v>5.4</x:v>
      </x:c>
      <x:c r="I7" s="143" t="n">
        <x:v>1100</x:v>
      </x:c>
      <x:c r="J7" s="83" t="str">
        <x:v>Maximum market exchange limit</x:v>
      </x:c>
      <x:c r="K7" s="83" t="str">
        <x:v>Directional</x:v>
      </x:c>
      <x:c r="L7" s="83" t="str">
        <x:v>Prospective</x:v>
      </x:c>
      <x:c r="M7" s="83" t="str">
        <x:v>S03</x:v>
      </x:c>
      <x:c r="N7" s="120" t="str">
        <x:v>https://download.terna.it/terna/Terna_Piano_Sviluppo_2025_Benefici_sistema_analisi_robustezza_rete_8dd62ecc98b2bc9.pdf</x:v>
      </x:c>
      <x:c r="O7" s="83" t="n">
        <x:v>19</x:v>
      </x:c>
      <x:c r="P7" s="83" t="n">
        <x:v>17</x:v>
      </x:c>
      <x:c r="Q7" s="83" t="str">
        <x:v>Figure 3</x:v>
      </x:c>
      <x:c r="R7" s="83" t="str">
        <x:v>Direct visual transcription; CA-SI 4.15 GW retained from 1.55+0.50+2.10 despite 4.1-GW rounded label</x:v>
      </x:c>
      <x:c r="S7" s="83" t="str">
        <x:v>A/B — Direct figure; rounded graphical labels</x:v>
      </x:c>
      <x:c r="T7" s="83" t="str">
        <x:v>Trajectory / QA</x:v>
      </x:c>
      <x:c r="U7" s="83" t="str">
        <x:v>Figure 3 is the authoritative corridor-level value; project increments are not mechanically additive because network interactions and modelling updates apply.</x:v>
      </x:c>
    </x:row>
    <x:row r="8">
      <x:c r="A8" s="83" t="str">
        <x:v>PDS-004</x:v>
      </x:c>
      <x:c r="B8" s="83" t="str">
        <x:v>PDS 2025 updated reference network</x:v>
      </x:c>
      <x:c r="C8" s="83" t="n">
        <x:v>2030</x:v>
      </x:c>
      <x:c r="D8" s="83" t="str">
        <x:v>Reference network for ACB / PDS 2025</x:v>
      </x:c>
      <x:c r="E8" s="83" t="str">
        <x:v>CNOR</x:v>
      </x:c>
      <x:c r="F8" s="83" t="str">
        <x:v>NORD</x:v>
      </x:c>
      <x:c r="G8" s="143" t="n">
        <x:v>4600</x:v>
      </x:c>
      <x:c r="H8" s="197" t="n">
        <x:f>IF(G8="","",G8/1000)</x:f>
        <x:v>4.6</x:v>
      </x:c>
      <x:c r="I8" s="143" t="n">
        <x:v>1500</x:v>
      </x:c>
      <x:c r="J8" s="83" t="str">
        <x:v>Maximum market exchange limit</x:v>
      </x:c>
      <x:c r="K8" s="83" t="str">
        <x:v>Directional</x:v>
      </x:c>
      <x:c r="L8" s="83" t="str">
        <x:v>Prospective</x:v>
      </x:c>
      <x:c r="M8" s="83" t="str">
        <x:v>S03</x:v>
      </x:c>
      <x:c r="N8" s="120" t="str">
        <x:v>https://download.terna.it/terna/Terna_Piano_Sviluppo_2025_Benefici_sistema_analisi_robustezza_rete_8dd62ecc98b2bc9.pdf</x:v>
      </x:c>
      <x:c r="O8" s="83" t="n">
        <x:v>19</x:v>
      </x:c>
      <x:c r="P8" s="83" t="n">
        <x:v>17</x:v>
      </x:c>
      <x:c r="Q8" s="83" t="str">
        <x:v>Figure 3</x:v>
      </x:c>
      <x:c r="R8" s="83" t="str">
        <x:v>Direct visual transcription; CA-SI 4.15 GW retained from 1.55+0.50+2.10 despite 4.1-GW rounded label</x:v>
      </x:c>
      <x:c r="S8" s="83" t="str">
        <x:v>A/B — Direct figure; rounded graphical labels</x:v>
      </x:c>
      <x:c r="T8" s="83" t="str">
        <x:v>Trajectory / QA</x:v>
      </x:c>
      <x:c r="U8" s="83" t="str">
        <x:v>Figure 3 is the authoritative corridor-level value; project increments are not mechanically additive because network interactions and modelling updates apply.</x:v>
      </x:c>
    </x:row>
    <x:row r="9">
      <x:c r="A9" s="83" t="str">
        <x:v>PDS-005</x:v>
      </x:c>
      <x:c r="B9" s="83" t="str">
        <x:v>PDS 2025 updated reference network</x:v>
      </x:c>
      <x:c r="C9" s="83" t="n">
        <x:v>2035</x:v>
      </x:c>
      <x:c r="D9" s="83" t="str">
        <x:v>Reference network for ACB / PDS 2025</x:v>
      </x:c>
      <x:c r="E9" s="83" t="str">
        <x:v>NORD</x:v>
      </x:c>
      <x:c r="F9" s="83" t="str">
        <x:v>CNOR</x:v>
      </x:c>
      <x:c r="G9" s="143" t="n">
        <x:v>6100</x:v>
      </x:c>
      <x:c r="H9" s="197" t="n">
        <x:f>IF(G9="","",G9/1000)</x:f>
        <x:v>6.1</x:v>
      </x:c>
      <x:c r="I9" s="143" t="n">
        <x:v>700</x:v>
      </x:c>
      <x:c r="J9" s="83" t="str">
        <x:v>Maximum market exchange limit</x:v>
      </x:c>
      <x:c r="K9" s="83" t="str">
        <x:v>Directional</x:v>
      </x:c>
      <x:c r="L9" s="83" t="str">
        <x:v>Prospective</x:v>
      </x:c>
      <x:c r="M9" s="83" t="str">
        <x:v>S03</x:v>
      </x:c>
      <x:c r="N9" s="120" t="str">
        <x:v>https://download.terna.it/terna/Terna_Piano_Sviluppo_2025_Benefici_sistema_analisi_robustezza_rete_8dd62ecc98b2bc9.pdf</x:v>
      </x:c>
      <x:c r="O9" s="83" t="n">
        <x:v>19</x:v>
      </x:c>
      <x:c r="P9" s="83" t="n">
        <x:v>17</x:v>
      </x:c>
      <x:c r="Q9" s="83" t="str">
        <x:v>Figure 3</x:v>
      </x:c>
      <x:c r="R9" s="83" t="str">
        <x:v>Direct visual transcription; CA-SI 4.15 GW retained from 1.55+0.50+2.10 despite 4.1-GW rounded label</x:v>
      </x:c>
      <x:c r="S9" s="83" t="str">
        <x:v>A/B — Direct figure; rounded graphical labels</x:v>
      </x:c>
      <x:c r="T9" s="83" t="str">
        <x:v>Trajectory / QA</x:v>
      </x:c>
      <x:c r="U9" s="83" t="str">
        <x:v>Figure 3 is the authoritative corridor-level value; project increments are not mechanically additive because network interactions and modelling updates apply.</x:v>
      </x:c>
    </x:row>
    <x:row r="10">
      <x:c r="A10" s="83" t="str">
        <x:v>PDS-006</x:v>
      </x:c>
      <x:c r="B10" s="83" t="str">
        <x:v>PDS 2025 updated reference network</x:v>
      </x:c>
      <x:c r="C10" s="83" t="n">
        <x:v>2035</x:v>
      </x:c>
      <x:c r="D10" s="83" t="str">
        <x:v>Reference network for ACB / PDS 2025</x:v>
      </x:c>
      <x:c r="E10" s="83" t="str">
        <x:v>CNOR</x:v>
      </x:c>
      <x:c r="F10" s="83" t="str">
        <x:v>NORD</x:v>
      </x:c>
      <x:c r="G10" s="143" t="n">
        <x:v>5300</x:v>
      </x:c>
      <x:c r="H10" s="197" t="n">
        <x:f>IF(G10="","",G10/1000)</x:f>
        <x:v>5.3</x:v>
      </x:c>
      <x:c r="I10" s="143" t="n">
        <x:v>700</x:v>
      </x:c>
      <x:c r="J10" s="83" t="str">
        <x:v>Maximum market exchange limit</x:v>
      </x:c>
      <x:c r="K10" s="83" t="str">
        <x:v>Directional</x:v>
      </x:c>
      <x:c r="L10" s="83" t="str">
        <x:v>Prospective</x:v>
      </x:c>
      <x:c r="M10" s="83" t="str">
        <x:v>S03</x:v>
      </x:c>
      <x:c r="N10" s="120" t="str">
        <x:v>https://download.terna.it/terna/Terna_Piano_Sviluppo_2025_Benefici_sistema_analisi_robustezza_rete_8dd62ecc98b2bc9.pdf</x:v>
      </x:c>
      <x:c r="O10" s="83" t="n">
        <x:v>19</x:v>
      </x:c>
      <x:c r="P10" s="83" t="n">
        <x:v>17</x:v>
      </x:c>
      <x:c r="Q10" s="83" t="str">
        <x:v>Figure 3</x:v>
      </x:c>
      <x:c r="R10" s="83" t="str">
        <x:v>Direct visual transcription; CA-SI 4.15 GW retained from 1.55+0.50+2.10 despite 4.1-GW rounded label</x:v>
      </x:c>
      <x:c r="S10" s="83" t="str">
        <x:v>A/B — Direct figure; rounded graphical labels</x:v>
      </x:c>
      <x:c r="T10" s="83" t="str">
        <x:v>Trajectory / QA</x:v>
      </x:c>
      <x:c r="U10" s="83" t="str">
        <x:v>Figure 3 is the authoritative corridor-level value; project increments are not mechanically additive because network interactions and modelling updates apply.</x:v>
      </x:c>
    </x:row>
    <x:row r="11">
      <x:c r="A11" s="83" t="str">
        <x:v>PDS-007</x:v>
      </x:c>
      <x:c r="B11" s="83" t="str">
        <x:v>PDS 2025 updated reference network</x:v>
      </x:c>
      <x:c r="C11" s="83" t="n">
        <x:v>2040</x:v>
      </x:c>
      <x:c r="D11" s="83" t="str">
        <x:v>Reference network for ACB / PDS 2025</x:v>
      </x:c>
      <x:c r="E11" s="83" t="str">
        <x:v>NORD</x:v>
      </x:c>
      <x:c r="F11" s="83" t="str">
        <x:v>CNOR</x:v>
      </x:c>
      <x:c r="G11" s="143" t="n">
        <x:v>6100</x:v>
      </x:c>
      <x:c r="H11" s="197" t="n">
        <x:f>IF(G11="","",G11/1000)</x:f>
        <x:v>6.1</x:v>
      </x:c>
      <x:c r="I11" s="143" t="n">
        <x:v>0</x:v>
      </x:c>
      <x:c r="J11" s="83" t="str">
        <x:v>Maximum market exchange limit</x:v>
      </x:c>
      <x:c r="K11" s="83" t="str">
        <x:v>Directional</x:v>
      </x:c>
      <x:c r="L11" s="83" t="str">
        <x:v>Prospective</x:v>
      </x:c>
      <x:c r="M11" s="83" t="str">
        <x:v>S03</x:v>
      </x:c>
      <x:c r="N11" s="120" t="str">
        <x:v>https://download.terna.it/terna/Terna_Piano_Sviluppo_2025_Benefici_sistema_analisi_robustezza_rete_8dd62ecc98b2bc9.pdf</x:v>
      </x:c>
      <x:c r="O11" s="83" t="n">
        <x:v>19</x:v>
      </x:c>
      <x:c r="P11" s="83" t="n">
        <x:v>17</x:v>
      </x:c>
      <x:c r="Q11" s="83" t="str">
        <x:v>Figure 3</x:v>
      </x:c>
      <x:c r="R11" s="83" t="str">
        <x:v>Direct visual transcription; CA-SI 4.15 GW retained from 1.55+0.50+2.10 despite 4.1-GW rounded label</x:v>
      </x:c>
      <x:c r="S11" s="83" t="str">
        <x:v>A/B — Direct figure; rounded graphical labels</x:v>
      </x:c>
      <x:c r="T11" s="83" t="str">
        <x:v>Primary internal-link capacity for 2040 Base</x:v>
      </x:c>
      <x:c r="U11" s="83" t="str">
        <x:v>Figure 3 is the authoritative corridor-level value; project increments are not mechanically additive because network interactions and modelling updates apply.</x:v>
      </x:c>
    </x:row>
    <x:row r="12">
      <x:c r="A12" s="83" t="str">
        <x:v>PDS-008</x:v>
      </x:c>
      <x:c r="B12" s="83" t="str">
        <x:v>PDS 2025 updated reference network</x:v>
      </x:c>
      <x:c r="C12" s="83" t="n">
        <x:v>2040</x:v>
      </x:c>
      <x:c r="D12" s="83" t="str">
        <x:v>Reference network for ACB / PDS 2025</x:v>
      </x:c>
      <x:c r="E12" s="83" t="str">
        <x:v>CNOR</x:v>
      </x:c>
      <x:c r="F12" s="83" t="str">
        <x:v>NORD</x:v>
      </x:c>
      <x:c r="G12" s="143" t="n">
        <x:v>5300</x:v>
      </x:c>
      <x:c r="H12" s="197" t="n">
        <x:f>IF(G12="","",G12/1000)</x:f>
        <x:v>5.3</x:v>
      </x:c>
      <x:c r="I12" s="143" t="n">
        <x:v>0</x:v>
      </x:c>
      <x:c r="J12" s="83" t="str">
        <x:v>Maximum market exchange limit</x:v>
      </x:c>
      <x:c r="K12" s="83" t="str">
        <x:v>Directional</x:v>
      </x:c>
      <x:c r="L12" s="83" t="str">
        <x:v>Prospective</x:v>
      </x:c>
      <x:c r="M12" s="83" t="str">
        <x:v>S03</x:v>
      </x:c>
      <x:c r="N12" s="120" t="str">
        <x:v>https://download.terna.it/terna/Terna_Piano_Sviluppo_2025_Benefici_sistema_analisi_robustezza_rete_8dd62ecc98b2bc9.pdf</x:v>
      </x:c>
      <x:c r="O12" s="83" t="n">
        <x:v>19</x:v>
      </x:c>
      <x:c r="P12" s="83" t="n">
        <x:v>17</x:v>
      </x:c>
      <x:c r="Q12" s="83" t="str">
        <x:v>Figure 3</x:v>
      </x:c>
      <x:c r="R12" s="83" t="str">
        <x:v>Direct visual transcription; CA-SI 4.15 GW retained from 1.55+0.50+2.10 despite 4.1-GW rounded label</x:v>
      </x:c>
      <x:c r="S12" s="83" t="str">
        <x:v>A/B — Direct figure; rounded graphical labels</x:v>
      </x:c>
      <x:c r="T12" s="83" t="str">
        <x:v>Primary internal-link capacity for 2040 Base</x:v>
      </x:c>
      <x:c r="U12" s="83" t="str">
        <x:v>Figure 3 is the authoritative corridor-level value; project increments are not mechanically additive because network interactions and modelling updates apply.</x:v>
      </x:c>
    </x:row>
    <x:row r="13">
      <x:c r="A13" s="83" t="str">
        <x:v>PDS-009</x:v>
      </x:c>
      <x:c r="B13" s="83" t="str">
        <x:v>PDS 2025 updated reference network</x:v>
      </x:c>
      <x:c r="C13" s="83" t="n">
        <x:v>2024</x:v>
      </x:c>
      <x:c r="D13" s="83" t="str">
        <x:v>Reference network for ACB / PDS 2025</x:v>
      </x:c>
      <x:c r="E13" s="83" t="str">
        <x:v>CNOR</x:v>
      </x:c>
      <x:c r="F13" s="83" t="str">
        <x:v>CSUD</x:v>
      </x:c>
      <x:c r="G13" s="143" t="n">
        <x:v>2900</x:v>
      </x:c>
      <x:c r="H13" s="197" t="n">
        <x:f>IF(G13="","",G13/1000)</x:f>
        <x:v>2.9</x:v>
      </x:c>
      <x:c r="I13" s="143"/>
      <x:c r="J13" s="83" t="str">
        <x:v>Maximum market exchange limit</x:v>
      </x:c>
      <x:c r="K13" s="83" t="str">
        <x:v>Directional</x:v>
      </x:c>
      <x:c r="L13" s="83" t="str">
        <x:v>Current maximum</x:v>
      </x:c>
      <x:c r="M13" s="83" t="str">
        <x:v>S03</x:v>
      </x:c>
      <x:c r="N13" s="120" t="str">
        <x:v>https://download.terna.it/terna/Terna_Piano_Sviluppo_2025_Benefici_sistema_analisi_robustezza_rete_8dd62ecc98b2bc9.pdf</x:v>
      </x:c>
      <x:c r="O13" s="83" t="n">
        <x:v>19</x:v>
      </x:c>
      <x:c r="P13" s="83" t="n">
        <x:v>17</x:v>
      </x:c>
      <x:c r="Q13" s="83" t="str">
        <x:v>Figure 3</x:v>
      </x:c>
      <x:c r="R13" s="83" t="str">
        <x:v>Direct visual transcription; CA-SI 4.15 GW retained from 1.55+0.50+2.10 despite 4.1-GW rounded label</x:v>
      </x:c>
      <x:c r="S13" s="83" t="str">
        <x:v>A/B — Direct figure; rounded graphical labels</x:v>
      </x:c>
      <x:c r="T13" s="83" t="str">
        <x:v>Trajectory / QA</x:v>
      </x:c>
      <x:c r="U13" s="83" t="str">
        <x:v>Figure 3 is the authoritative corridor-level value; project increments are not mechanically additive because network interactions and modelling updates apply.</x:v>
      </x:c>
    </x:row>
    <x:row r="14">
      <x:c r="A14" s="83" t="str">
        <x:v>PDS-010</x:v>
      </x:c>
      <x:c r="B14" s="83" t="str">
        <x:v>PDS 2025 updated reference network</x:v>
      </x:c>
      <x:c r="C14" s="83" t="n">
        <x:v>2024</x:v>
      </x:c>
      <x:c r="D14" s="83" t="str">
        <x:v>Reference network for ACB / PDS 2025</x:v>
      </x:c>
      <x:c r="E14" s="83" t="str">
        <x:v>CSUD</x:v>
      </x:c>
      <x:c r="F14" s="83" t="str">
        <x:v>CNOR</x:v>
      </x:c>
      <x:c r="G14" s="143" t="n">
        <x:v>2800</x:v>
      </x:c>
      <x:c r="H14" s="197" t="n">
        <x:f>IF(G14="","",G14/1000)</x:f>
        <x:v>2.8</x:v>
      </x:c>
      <x:c r="I14" s="143"/>
      <x:c r="J14" s="83" t="str">
        <x:v>Maximum market exchange limit</x:v>
      </x:c>
      <x:c r="K14" s="83" t="str">
        <x:v>Directional</x:v>
      </x:c>
      <x:c r="L14" s="83" t="str">
        <x:v>Current maximum</x:v>
      </x:c>
      <x:c r="M14" s="83" t="str">
        <x:v>S03</x:v>
      </x:c>
      <x:c r="N14" s="120" t="str">
        <x:v>https://download.terna.it/terna/Terna_Piano_Sviluppo_2025_Benefici_sistema_analisi_robustezza_rete_8dd62ecc98b2bc9.pdf</x:v>
      </x:c>
      <x:c r="O14" s="83" t="n">
        <x:v>19</x:v>
      </x:c>
      <x:c r="P14" s="83" t="n">
        <x:v>17</x:v>
      </x:c>
      <x:c r="Q14" s="83" t="str">
        <x:v>Figure 3</x:v>
      </x:c>
      <x:c r="R14" s="83" t="str">
        <x:v>Direct visual transcription; CA-SI 4.15 GW retained from 1.55+0.50+2.10 despite 4.1-GW rounded label</x:v>
      </x:c>
      <x:c r="S14" s="83" t="str">
        <x:v>A/B — Direct figure; rounded graphical labels</x:v>
      </x:c>
      <x:c r="T14" s="83" t="str">
        <x:v>Trajectory / QA</x:v>
      </x:c>
      <x:c r="U14" s="83" t="str">
        <x:v>Figure 3 is the authoritative corridor-level value; project increments are not mechanically additive because network interactions and modelling updates apply.</x:v>
      </x:c>
    </x:row>
    <x:row r="15">
      <x:c r="A15" s="83" t="str">
        <x:v>PDS-011</x:v>
      </x:c>
      <x:c r="B15" s="83" t="str">
        <x:v>PDS 2025 updated reference network</x:v>
      </x:c>
      <x:c r="C15" s="83" t="n">
        <x:v>2030</x:v>
      </x:c>
      <x:c r="D15" s="83" t="str">
        <x:v>Reference network for ACB / PDS 2025</x:v>
      </x:c>
      <x:c r="E15" s="83" t="str">
        <x:v>CNOR</x:v>
      </x:c>
      <x:c r="F15" s="83" t="str">
        <x:v>CSUD</x:v>
      </x:c>
      <x:c r="G15" s="143" t="n">
        <x:v>4600</x:v>
      </x:c>
      <x:c r="H15" s="197" t="n">
        <x:f>IF(G15="","",G15/1000)</x:f>
        <x:v>4.6</x:v>
      </x:c>
      <x:c r="I15" s="143" t="n">
        <x:v>1700</x:v>
      </x:c>
      <x:c r="J15" s="83" t="str">
        <x:v>Maximum market exchange limit</x:v>
      </x:c>
      <x:c r="K15" s="83" t="str">
        <x:v>Directional</x:v>
      </x:c>
      <x:c r="L15" s="83" t="str">
        <x:v>Prospective</x:v>
      </x:c>
      <x:c r="M15" s="83" t="str">
        <x:v>S03</x:v>
      </x:c>
      <x:c r="N15" s="120" t="str">
        <x:v>https://download.terna.it/terna/Terna_Piano_Sviluppo_2025_Benefici_sistema_analisi_robustezza_rete_8dd62ecc98b2bc9.pdf</x:v>
      </x:c>
      <x:c r="O15" s="83" t="n">
        <x:v>19</x:v>
      </x:c>
      <x:c r="P15" s="83" t="n">
        <x:v>17</x:v>
      </x:c>
      <x:c r="Q15" s="83" t="str">
        <x:v>Figure 3</x:v>
      </x:c>
      <x:c r="R15" s="83" t="str">
        <x:v>Direct visual transcription; CA-SI 4.15 GW retained from 1.55+0.50+2.10 despite 4.1-GW rounded label</x:v>
      </x:c>
      <x:c r="S15" s="83" t="str">
        <x:v>A/B — Direct figure; rounded graphical labels</x:v>
      </x:c>
      <x:c r="T15" s="83" t="str">
        <x:v>Trajectory / QA</x:v>
      </x:c>
      <x:c r="U15" s="83" t="str">
        <x:v>Figure 3 is the authoritative corridor-level value; project increments are not mechanically additive because network interactions and modelling updates apply.</x:v>
      </x:c>
    </x:row>
    <x:row r="16">
      <x:c r="A16" s="83" t="str">
        <x:v>PDS-012</x:v>
      </x:c>
      <x:c r="B16" s="83" t="str">
        <x:v>PDS 2025 updated reference network</x:v>
      </x:c>
      <x:c r="C16" s="83" t="n">
        <x:v>2030</x:v>
      </x:c>
      <x:c r="D16" s="83" t="str">
        <x:v>Reference network for ACB / PDS 2025</x:v>
      </x:c>
      <x:c r="E16" s="83" t="str">
        <x:v>CSUD</x:v>
      </x:c>
      <x:c r="F16" s="83" t="str">
        <x:v>CNOR</x:v>
      </x:c>
      <x:c r="G16" s="143" t="n">
        <x:v>4500</x:v>
      </x:c>
      <x:c r="H16" s="197" t="n">
        <x:f>IF(G16="","",G16/1000)</x:f>
        <x:v>4.5</x:v>
      </x:c>
      <x:c r="I16" s="143" t="n">
        <x:v>1700</x:v>
      </x:c>
      <x:c r="J16" s="83" t="str">
        <x:v>Maximum market exchange limit</x:v>
      </x:c>
      <x:c r="K16" s="83" t="str">
        <x:v>Directional</x:v>
      </x:c>
      <x:c r="L16" s="83" t="str">
        <x:v>Prospective</x:v>
      </x:c>
      <x:c r="M16" s="83" t="str">
        <x:v>S03</x:v>
      </x:c>
      <x:c r="N16" s="120" t="str">
        <x:v>https://download.terna.it/terna/Terna_Piano_Sviluppo_2025_Benefici_sistema_analisi_robustezza_rete_8dd62ecc98b2bc9.pdf</x:v>
      </x:c>
      <x:c r="O16" s="83" t="n">
        <x:v>19</x:v>
      </x:c>
      <x:c r="P16" s="83" t="n">
        <x:v>17</x:v>
      </x:c>
      <x:c r="Q16" s="83" t="str">
        <x:v>Figure 3</x:v>
      </x:c>
      <x:c r="R16" s="83" t="str">
        <x:v>Direct visual transcription; CA-SI 4.15 GW retained from 1.55+0.50+2.10 despite 4.1-GW rounded label</x:v>
      </x:c>
      <x:c r="S16" s="83" t="str">
        <x:v>A/B — Direct figure; rounded graphical labels</x:v>
      </x:c>
      <x:c r="T16" s="83" t="str">
        <x:v>Trajectory / QA</x:v>
      </x:c>
      <x:c r="U16" s="83" t="str">
        <x:v>Figure 3 is the authoritative corridor-level value; project increments are not mechanically additive because network interactions and modelling updates apply.</x:v>
      </x:c>
    </x:row>
    <x:row r="17">
      <x:c r="A17" s="83" t="str">
        <x:v>PDS-013</x:v>
      </x:c>
      <x:c r="B17" s="83" t="str">
        <x:v>PDS 2025 updated reference network</x:v>
      </x:c>
      <x:c r="C17" s="83" t="n">
        <x:v>2035</x:v>
      </x:c>
      <x:c r="D17" s="83" t="str">
        <x:v>Reference network for ACB / PDS 2025</x:v>
      </x:c>
      <x:c r="E17" s="83" t="str">
        <x:v>CNOR</x:v>
      </x:c>
      <x:c r="F17" s="83" t="str">
        <x:v>CSUD</x:v>
      </x:c>
      <x:c r="G17" s="143" t="n">
        <x:v>5200</x:v>
      </x:c>
      <x:c r="H17" s="197" t="n">
        <x:f>IF(G17="","",G17/1000)</x:f>
        <x:v>5.2</x:v>
      </x:c>
      <x:c r="I17" s="143" t="n">
        <x:v>600</x:v>
      </x:c>
      <x:c r="J17" s="83" t="str">
        <x:v>Maximum market exchange limit</x:v>
      </x:c>
      <x:c r="K17" s="83" t="str">
        <x:v>Directional</x:v>
      </x:c>
      <x:c r="L17" s="83" t="str">
        <x:v>Prospective</x:v>
      </x:c>
      <x:c r="M17" s="83" t="str">
        <x:v>S03</x:v>
      </x:c>
      <x:c r="N17" s="120" t="str">
        <x:v>https://download.terna.it/terna/Terna_Piano_Sviluppo_2025_Benefici_sistema_analisi_robustezza_rete_8dd62ecc98b2bc9.pdf</x:v>
      </x:c>
      <x:c r="O17" s="83" t="n">
        <x:v>19</x:v>
      </x:c>
      <x:c r="P17" s="83" t="n">
        <x:v>17</x:v>
      </x:c>
      <x:c r="Q17" s="83" t="str">
        <x:v>Figure 3</x:v>
      </x:c>
      <x:c r="R17" s="83" t="str">
        <x:v>Direct visual transcription; CA-SI 4.15 GW retained from 1.55+0.50+2.10 despite 4.1-GW rounded label</x:v>
      </x:c>
      <x:c r="S17" s="83" t="str">
        <x:v>A/B — Direct figure; rounded graphical labels</x:v>
      </x:c>
      <x:c r="T17" s="83" t="str">
        <x:v>Trajectory / QA</x:v>
      </x:c>
      <x:c r="U17" s="83" t="str">
        <x:v>Figure 3 is the authoritative corridor-level value; project increments are not mechanically additive because network interactions and modelling updates apply.</x:v>
      </x:c>
    </x:row>
    <x:row r="18">
      <x:c r="A18" s="83" t="str">
        <x:v>PDS-014</x:v>
      </x:c>
      <x:c r="B18" s="83" t="str">
        <x:v>PDS 2025 updated reference network</x:v>
      </x:c>
      <x:c r="C18" s="83" t="n">
        <x:v>2035</x:v>
      </x:c>
      <x:c r="D18" s="83" t="str">
        <x:v>Reference network for ACB / PDS 2025</x:v>
      </x:c>
      <x:c r="E18" s="83" t="str">
        <x:v>CSUD</x:v>
      </x:c>
      <x:c r="F18" s="83" t="str">
        <x:v>CNOR</x:v>
      </x:c>
      <x:c r="G18" s="143" t="n">
        <x:v>5900</x:v>
      </x:c>
      <x:c r="H18" s="197" t="n">
        <x:f>IF(G18="","",G18/1000)</x:f>
        <x:v>5.9</x:v>
      </x:c>
      <x:c r="I18" s="143" t="n">
        <x:v>1400</x:v>
      </x:c>
      <x:c r="J18" s="83" t="str">
        <x:v>Maximum market exchange limit</x:v>
      </x:c>
      <x:c r="K18" s="83" t="str">
        <x:v>Directional</x:v>
      </x:c>
      <x:c r="L18" s="83" t="str">
        <x:v>Prospective</x:v>
      </x:c>
      <x:c r="M18" s="83" t="str">
        <x:v>S03</x:v>
      </x:c>
      <x:c r="N18" s="120" t="str">
        <x:v>https://download.terna.it/terna/Terna_Piano_Sviluppo_2025_Benefici_sistema_analisi_robustezza_rete_8dd62ecc98b2bc9.pdf</x:v>
      </x:c>
      <x:c r="O18" s="83" t="n">
        <x:v>19</x:v>
      </x:c>
      <x:c r="P18" s="83" t="n">
        <x:v>17</x:v>
      </x:c>
      <x:c r="Q18" s="83" t="str">
        <x:v>Figure 3</x:v>
      </x:c>
      <x:c r="R18" s="83" t="str">
        <x:v>Direct visual transcription; CA-SI 4.15 GW retained from 1.55+0.50+2.10 despite 4.1-GW rounded label</x:v>
      </x:c>
      <x:c r="S18" s="83" t="str">
        <x:v>A/B — Direct figure; rounded graphical labels</x:v>
      </x:c>
      <x:c r="T18" s="83" t="str">
        <x:v>Trajectory / QA</x:v>
      </x:c>
      <x:c r="U18" s="83" t="str">
        <x:v>Figure 3 is the authoritative corridor-level value; project increments are not mechanically additive because network interactions and modelling updates apply.</x:v>
      </x:c>
    </x:row>
    <x:row r="19">
      <x:c r="A19" s="83" t="str">
        <x:v>PDS-015</x:v>
      </x:c>
      <x:c r="B19" s="83" t="str">
        <x:v>PDS 2025 updated reference network</x:v>
      </x:c>
      <x:c r="C19" s="83" t="n">
        <x:v>2040</x:v>
      </x:c>
      <x:c r="D19" s="83" t="str">
        <x:v>Reference network for ACB / PDS 2025</x:v>
      </x:c>
      <x:c r="E19" s="83" t="str">
        <x:v>CNOR</x:v>
      </x:c>
      <x:c r="F19" s="83" t="str">
        <x:v>CSUD</x:v>
      </x:c>
      <x:c r="G19" s="143" t="n">
        <x:v>5400</x:v>
      </x:c>
      <x:c r="H19" s="197" t="n">
        <x:f>IF(G19="","",G19/1000)</x:f>
        <x:v>5.4</x:v>
      </x:c>
      <x:c r="I19" s="143" t="n">
        <x:v>200</x:v>
      </x:c>
      <x:c r="J19" s="83" t="str">
        <x:v>Maximum market exchange limit</x:v>
      </x:c>
      <x:c r="K19" s="83" t="str">
        <x:v>Directional</x:v>
      </x:c>
      <x:c r="L19" s="83" t="str">
        <x:v>Prospective</x:v>
      </x:c>
      <x:c r="M19" s="83" t="str">
        <x:v>S03</x:v>
      </x:c>
      <x:c r="N19" s="120" t="str">
        <x:v>https://download.terna.it/terna/Terna_Piano_Sviluppo_2025_Benefici_sistema_analisi_robustezza_rete_8dd62ecc98b2bc9.pdf</x:v>
      </x:c>
      <x:c r="O19" s="83" t="n">
        <x:v>19</x:v>
      </x:c>
      <x:c r="P19" s="83" t="n">
        <x:v>17</x:v>
      </x:c>
      <x:c r="Q19" s="83" t="str">
        <x:v>Figure 3</x:v>
      </x:c>
      <x:c r="R19" s="83" t="str">
        <x:v>Direct visual transcription; CA-SI 4.15 GW retained from 1.55+0.50+2.10 despite 4.1-GW rounded label</x:v>
      </x:c>
      <x:c r="S19" s="83" t="str">
        <x:v>A/B — Direct figure; rounded graphical labels</x:v>
      </x:c>
      <x:c r="T19" s="83" t="str">
        <x:v>Primary internal-link capacity for 2040 Base</x:v>
      </x:c>
      <x:c r="U19" s="83" t="str">
        <x:v>Figure 3 is the authoritative corridor-level value; project increments are not mechanically additive because network interactions and modelling updates apply.</x:v>
      </x:c>
    </x:row>
    <x:row r="20">
      <x:c r="A20" s="83" t="str">
        <x:v>PDS-016</x:v>
      </x:c>
      <x:c r="B20" s="83" t="str">
        <x:v>PDS 2025 updated reference network</x:v>
      </x:c>
      <x:c r="C20" s="83" t="n">
        <x:v>2040</x:v>
      </x:c>
      <x:c r="D20" s="83" t="str">
        <x:v>Reference network for ACB / PDS 2025</x:v>
      </x:c>
      <x:c r="E20" s="83" t="str">
        <x:v>CSUD</x:v>
      </x:c>
      <x:c r="F20" s="83" t="str">
        <x:v>CNOR</x:v>
      </x:c>
      <x:c r="G20" s="143" t="n">
        <x:v>6100</x:v>
      </x:c>
      <x:c r="H20" s="197" t="n">
        <x:f>IF(G20="","",G20/1000)</x:f>
        <x:v>6.1</x:v>
      </x:c>
      <x:c r="I20" s="143" t="n">
        <x:v>200</x:v>
      </x:c>
      <x:c r="J20" s="83" t="str">
        <x:v>Maximum market exchange limit</x:v>
      </x:c>
      <x:c r="K20" s="83" t="str">
        <x:v>Directional</x:v>
      </x:c>
      <x:c r="L20" s="83" t="str">
        <x:v>Prospective</x:v>
      </x:c>
      <x:c r="M20" s="83" t="str">
        <x:v>S03</x:v>
      </x:c>
      <x:c r="N20" s="120" t="str">
        <x:v>https://download.terna.it/terna/Terna_Piano_Sviluppo_2025_Benefici_sistema_analisi_robustezza_rete_8dd62ecc98b2bc9.pdf</x:v>
      </x:c>
      <x:c r="O20" s="83" t="n">
        <x:v>19</x:v>
      </x:c>
      <x:c r="P20" s="83" t="n">
        <x:v>17</x:v>
      </x:c>
      <x:c r="Q20" s="83" t="str">
        <x:v>Figure 3</x:v>
      </x:c>
      <x:c r="R20" s="83" t="str">
        <x:v>Direct visual transcription; CA-SI 4.15 GW retained from 1.55+0.50+2.10 despite 4.1-GW rounded label</x:v>
      </x:c>
      <x:c r="S20" s="83" t="str">
        <x:v>A/B — Direct figure; rounded graphical labels</x:v>
      </x:c>
      <x:c r="T20" s="83" t="str">
        <x:v>Primary internal-link capacity for 2040 Base</x:v>
      </x:c>
      <x:c r="U20" s="83" t="str">
        <x:v>Figure 3 is the authoritative corridor-level value; project increments are not mechanically additive because network interactions and modelling updates apply.</x:v>
      </x:c>
    </x:row>
    <x:row r="21">
      <x:c r="A21" s="83" t="str">
        <x:v>PDS-017</x:v>
      </x:c>
      <x:c r="B21" s="83" t="str">
        <x:v>PDS 2025 updated reference network</x:v>
      </x:c>
      <x:c r="C21" s="83" t="n">
        <x:v>2024</x:v>
      </x:c>
      <x:c r="D21" s="83" t="str">
        <x:v>Reference network for ACB / PDS 2025</x:v>
      </x:c>
      <x:c r="E21" s="83" t="str">
        <x:v>CSUD</x:v>
      </x:c>
      <x:c r="F21" s="83" t="str">
        <x:v>SUD</x:v>
      </x:c>
      <x:c r="G21" s="143" t="n">
        <x:v>2400</x:v>
      </x:c>
      <x:c r="H21" s="197" t="n">
        <x:f>IF(G21="","",G21/1000)</x:f>
        <x:v>2.4</x:v>
      </x:c>
      <x:c r="I21" s="143"/>
      <x:c r="J21" s="83" t="str">
        <x:v>Maximum market exchange limit</x:v>
      </x:c>
      <x:c r="K21" s="83" t="str">
        <x:v>Directional</x:v>
      </x:c>
      <x:c r="L21" s="83" t="str">
        <x:v>Current maximum</x:v>
      </x:c>
      <x:c r="M21" s="83" t="str">
        <x:v>S03</x:v>
      </x:c>
      <x:c r="N21" s="120" t="str">
        <x:v>https://download.terna.it/terna/Terna_Piano_Sviluppo_2025_Benefici_sistema_analisi_robustezza_rete_8dd62ecc98b2bc9.pdf</x:v>
      </x:c>
      <x:c r="O21" s="83" t="n">
        <x:v>19</x:v>
      </x:c>
      <x:c r="P21" s="83" t="n">
        <x:v>17</x:v>
      </x:c>
      <x:c r="Q21" s="83" t="str">
        <x:v>Figure 3</x:v>
      </x:c>
      <x:c r="R21" s="83" t="str">
        <x:v>Direct visual transcription; CA-SI 4.15 GW retained from 1.55+0.50+2.10 despite 4.1-GW rounded label</x:v>
      </x:c>
      <x:c r="S21" s="83" t="str">
        <x:v>A/B — Direct figure; rounded graphical labels</x:v>
      </x:c>
      <x:c r="T21" s="83" t="str">
        <x:v>Trajectory / QA</x:v>
      </x:c>
      <x:c r="U21" s="83" t="str">
        <x:v>Figure 3 is the authoritative corridor-level value; project increments are not mechanically additive because network interactions and modelling updates apply.</x:v>
      </x:c>
    </x:row>
    <x:row r="22">
      <x:c r="A22" s="83" t="str">
        <x:v>PDS-018</x:v>
      </x:c>
      <x:c r="B22" s="83" t="str">
        <x:v>PDS 2025 updated reference network</x:v>
      </x:c>
      <x:c r="C22" s="83" t="n">
        <x:v>2024</x:v>
      </x:c>
      <x:c r="D22" s="83" t="str">
        <x:v>Reference network for ACB / PDS 2025</x:v>
      </x:c>
      <x:c r="E22" s="83" t="str">
        <x:v>SUD</x:v>
      </x:c>
      <x:c r="F22" s="83" t="str">
        <x:v>CSUD</x:v>
      </x:c>
      <x:c r="G22" s="143" t="n">
        <x:v>5200</x:v>
      </x:c>
      <x:c r="H22" s="197" t="n">
        <x:f>IF(G22="","",G22/1000)</x:f>
        <x:v>5.2</x:v>
      </x:c>
      <x:c r="I22" s="143"/>
      <x:c r="J22" s="83" t="str">
        <x:v>Maximum market exchange limit</x:v>
      </x:c>
      <x:c r="K22" s="83" t="str">
        <x:v>Directional</x:v>
      </x:c>
      <x:c r="L22" s="83" t="str">
        <x:v>Current maximum</x:v>
      </x:c>
      <x:c r="M22" s="83" t="str">
        <x:v>S03</x:v>
      </x:c>
      <x:c r="N22" s="120" t="str">
        <x:v>https://download.terna.it/terna/Terna_Piano_Sviluppo_2025_Benefici_sistema_analisi_robustezza_rete_8dd62ecc98b2bc9.pdf</x:v>
      </x:c>
      <x:c r="O22" s="83" t="n">
        <x:v>19</x:v>
      </x:c>
      <x:c r="P22" s="83" t="n">
        <x:v>17</x:v>
      </x:c>
      <x:c r="Q22" s="83" t="str">
        <x:v>Figure 3</x:v>
      </x:c>
      <x:c r="R22" s="83" t="str">
        <x:v>Direct visual transcription; CA-SI 4.15 GW retained from 1.55+0.50+2.10 despite 4.1-GW rounded label</x:v>
      </x:c>
      <x:c r="S22" s="83" t="str">
        <x:v>A/B — Direct figure; rounded graphical labels</x:v>
      </x:c>
      <x:c r="T22" s="83" t="str">
        <x:v>Trajectory / QA</x:v>
      </x:c>
      <x:c r="U22" s="83" t="str">
        <x:v>Figure 3 is the authoritative corridor-level value; project increments are not mechanically additive because network interactions and modelling updates apply.</x:v>
      </x:c>
    </x:row>
    <x:row r="23">
      <x:c r="A23" s="83" t="str">
        <x:v>PDS-019</x:v>
      </x:c>
      <x:c r="B23" s="83" t="str">
        <x:v>PDS 2025 updated reference network</x:v>
      </x:c>
      <x:c r="C23" s="83" t="n">
        <x:v>2030</x:v>
      </x:c>
      <x:c r="D23" s="83" t="str">
        <x:v>Reference network for ACB / PDS 2025</x:v>
      </x:c>
      <x:c r="E23" s="83" t="str">
        <x:v>CSUD</x:v>
      </x:c>
      <x:c r="F23" s="83" t="str">
        <x:v>SUD</x:v>
      </x:c>
      <x:c r="G23" s="143" t="n">
        <x:v>2900</x:v>
      </x:c>
      <x:c r="H23" s="197" t="n">
        <x:f>IF(G23="","",G23/1000)</x:f>
        <x:v>2.9</x:v>
      </x:c>
      <x:c r="I23" s="143" t="n">
        <x:v>500</x:v>
      </x:c>
      <x:c r="J23" s="83" t="str">
        <x:v>Maximum market exchange limit</x:v>
      </x:c>
      <x:c r="K23" s="83" t="str">
        <x:v>Directional</x:v>
      </x:c>
      <x:c r="L23" s="83" t="str">
        <x:v>Prospective</x:v>
      </x:c>
      <x:c r="M23" s="83" t="str">
        <x:v>S03</x:v>
      </x:c>
      <x:c r="N23" s="120" t="str">
        <x:v>https://download.terna.it/terna/Terna_Piano_Sviluppo_2025_Benefici_sistema_analisi_robustezza_rete_8dd62ecc98b2bc9.pdf</x:v>
      </x:c>
      <x:c r="O23" s="83" t="n">
        <x:v>19</x:v>
      </x:c>
      <x:c r="P23" s="83" t="n">
        <x:v>17</x:v>
      </x:c>
      <x:c r="Q23" s="83" t="str">
        <x:v>Figure 3</x:v>
      </x:c>
      <x:c r="R23" s="83" t="str">
        <x:v>Direct visual transcription; CA-SI 4.15 GW retained from 1.55+0.50+2.10 despite 4.1-GW rounded label</x:v>
      </x:c>
      <x:c r="S23" s="83" t="str">
        <x:v>A/B — Direct figure; rounded graphical labels</x:v>
      </x:c>
      <x:c r="T23" s="83" t="str">
        <x:v>Trajectory / QA</x:v>
      </x:c>
      <x:c r="U23" s="83" t="str">
        <x:v>Figure 3 is the authoritative corridor-level value; project increments are not mechanically additive because network interactions and modelling updates apply.</x:v>
      </x:c>
    </x:row>
    <x:row r="24">
      <x:c r="A24" s="83" t="str">
        <x:v>PDS-020</x:v>
      </x:c>
      <x:c r="B24" s="83" t="str">
        <x:v>PDS 2025 updated reference network</x:v>
      </x:c>
      <x:c r="C24" s="83" t="n">
        <x:v>2030</x:v>
      </x:c>
      <x:c r="D24" s="83" t="str">
        <x:v>Reference network for ACB / PDS 2025</x:v>
      </x:c>
      <x:c r="E24" s="83" t="str">
        <x:v>SUD</x:v>
      </x:c>
      <x:c r="F24" s="83" t="str">
        <x:v>CSUD</x:v>
      </x:c>
      <x:c r="G24" s="143" t="n">
        <x:v>5700</x:v>
      </x:c>
      <x:c r="H24" s="197" t="n">
        <x:f>IF(G24="","",G24/1000)</x:f>
        <x:v>5.7</x:v>
      </x:c>
      <x:c r="I24" s="143" t="n">
        <x:v>500</x:v>
      </x:c>
      <x:c r="J24" s="83" t="str">
        <x:v>Maximum market exchange limit</x:v>
      </x:c>
      <x:c r="K24" s="83" t="str">
        <x:v>Directional</x:v>
      </x:c>
      <x:c r="L24" s="83" t="str">
        <x:v>Prospective</x:v>
      </x:c>
      <x:c r="M24" s="83" t="str">
        <x:v>S03</x:v>
      </x:c>
      <x:c r="N24" s="120" t="str">
        <x:v>https://download.terna.it/terna/Terna_Piano_Sviluppo_2025_Benefici_sistema_analisi_robustezza_rete_8dd62ecc98b2bc9.pdf</x:v>
      </x:c>
      <x:c r="O24" s="83" t="n">
        <x:v>19</x:v>
      </x:c>
      <x:c r="P24" s="83" t="n">
        <x:v>17</x:v>
      </x:c>
      <x:c r="Q24" s="83" t="str">
        <x:v>Figure 3</x:v>
      </x:c>
      <x:c r="R24" s="83" t="str">
        <x:v>Direct visual transcription; CA-SI 4.15 GW retained from 1.55+0.50+2.10 despite 4.1-GW rounded label</x:v>
      </x:c>
      <x:c r="S24" s="83" t="str">
        <x:v>A/B — Direct figure; rounded graphical labels</x:v>
      </x:c>
      <x:c r="T24" s="83" t="str">
        <x:v>Trajectory / QA</x:v>
      </x:c>
      <x:c r="U24" s="83" t="str">
        <x:v>Figure 3 is the authoritative corridor-level value; project increments are not mechanically additive because network interactions and modelling updates apply.</x:v>
      </x:c>
    </x:row>
    <x:row r="25">
      <x:c r="A25" s="83" t="str">
        <x:v>PDS-021</x:v>
      </x:c>
      <x:c r="B25" s="83" t="str">
        <x:v>PDS 2025 updated reference network</x:v>
      </x:c>
      <x:c r="C25" s="83" t="n">
        <x:v>2035</x:v>
      </x:c>
      <x:c r="D25" s="83" t="str">
        <x:v>Reference network for ACB / PDS 2025</x:v>
      </x:c>
      <x:c r="E25" s="83" t="str">
        <x:v>CSUD</x:v>
      </x:c>
      <x:c r="F25" s="83" t="str">
        <x:v>SUD</x:v>
      </x:c>
      <x:c r="G25" s="143" t="n">
        <x:v>3900</x:v>
      </x:c>
      <x:c r="H25" s="197" t="n">
        <x:f>IF(G25="","",G25/1000)</x:f>
        <x:v>3.9</x:v>
      </x:c>
      <x:c r="I25" s="143" t="n">
        <x:v>1000</x:v>
      </x:c>
      <x:c r="J25" s="83" t="str">
        <x:v>Maximum market exchange limit</x:v>
      </x:c>
      <x:c r="K25" s="83" t="str">
        <x:v>Directional</x:v>
      </x:c>
      <x:c r="L25" s="83" t="str">
        <x:v>Prospective</x:v>
      </x:c>
      <x:c r="M25" s="83" t="str">
        <x:v>S03</x:v>
      </x:c>
      <x:c r="N25" s="120" t="str">
        <x:v>https://download.terna.it/terna/Terna_Piano_Sviluppo_2025_Benefici_sistema_analisi_robustezza_rete_8dd62ecc98b2bc9.pdf</x:v>
      </x:c>
      <x:c r="O25" s="83" t="n">
        <x:v>19</x:v>
      </x:c>
      <x:c r="P25" s="83" t="n">
        <x:v>17</x:v>
      </x:c>
      <x:c r="Q25" s="83" t="str">
        <x:v>Figure 3</x:v>
      </x:c>
      <x:c r="R25" s="83" t="str">
        <x:v>Direct visual transcription; CA-SI 4.15 GW retained from 1.55+0.50+2.10 despite 4.1-GW rounded label</x:v>
      </x:c>
      <x:c r="S25" s="83" t="str">
        <x:v>A/B — Direct figure; rounded graphical labels</x:v>
      </x:c>
      <x:c r="T25" s="83" t="str">
        <x:v>Trajectory / QA</x:v>
      </x:c>
      <x:c r="U25" s="83" t="str">
        <x:v>Figure 3 is the authoritative corridor-level value; project increments are not mechanically additive because network interactions and modelling updates apply.</x:v>
      </x:c>
    </x:row>
    <x:row r="26">
      <x:c r="A26" s="83" t="str">
        <x:v>PDS-022</x:v>
      </x:c>
      <x:c r="B26" s="83" t="str">
        <x:v>PDS 2025 updated reference network</x:v>
      </x:c>
      <x:c r="C26" s="83" t="n">
        <x:v>2035</x:v>
      </x:c>
      <x:c r="D26" s="83" t="str">
        <x:v>Reference network for ACB / PDS 2025</x:v>
      </x:c>
      <x:c r="E26" s="83" t="str">
        <x:v>SUD</x:v>
      </x:c>
      <x:c r="F26" s="83" t="str">
        <x:v>CSUD</x:v>
      </x:c>
      <x:c r="G26" s="143" t="n">
        <x:v>6700</x:v>
      </x:c>
      <x:c r="H26" s="197" t="n">
        <x:f>IF(G26="","",G26/1000)</x:f>
        <x:v>6.7</x:v>
      </x:c>
      <x:c r="I26" s="143" t="n">
        <x:v>1000</x:v>
      </x:c>
      <x:c r="J26" s="83" t="str">
        <x:v>Maximum market exchange limit</x:v>
      </x:c>
      <x:c r="K26" s="83" t="str">
        <x:v>Directional</x:v>
      </x:c>
      <x:c r="L26" s="83" t="str">
        <x:v>Prospective</x:v>
      </x:c>
      <x:c r="M26" s="83" t="str">
        <x:v>S03</x:v>
      </x:c>
      <x:c r="N26" s="120" t="str">
        <x:v>https://download.terna.it/terna/Terna_Piano_Sviluppo_2025_Benefici_sistema_analisi_robustezza_rete_8dd62ecc98b2bc9.pdf</x:v>
      </x:c>
      <x:c r="O26" s="83" t="n">
        <x:v>19</x:v>
      </x:c>
      <x:c r="P26" s="83" t="n">
        <x:v>17</x:v>
      </x:c>
      <x:c r="Q26" s="83" t="str">
        <x:v>Figure 3</x:v>
      </x:c>
      <x:c r="R26" s="83" t="str">
        <x:v>Direct visual transcription; CA-SI 4.15 GW retained from 1.55+0.50+2.10 despite 4.1-GW rounded label</x:v>
      </x:c>
      <x:c r="S26" s="83" t="str">
        <x:v>A/B — Direct figure; rounded graphical labels</x:v>
      </x:c>
      <x:c r="T26" s="83" t="str">
        <x:v>Trajectory / QA</x:v>
      </x:c>
      <x:c r="U26" s="83" t="str">
        <x:v>Figure 3 is the authoritative corridor-level value; project increments are not mechanically additive because network interactions and modelling updates apply.</x:v>
      </x:c>
    </x:row>
    <x:row r="27">
      <x:c r="A27" s="83" t="str">
        <x:v>PDS-023</x:v>
      </x:c>
      <x:c r="B27" s="83" t="str">
        <x:v>PDS 2025 updated reference network</x:v>
      </x:c>
      <x:c r="C27" s="83" t="n">
        <x:v>2040</x:v>
      </x:c>
      <x:c r="D27" s="83" t="str">
        <x:v>Reference network for ACB / PDS 2025</x:v>
      </x:c>
      <x:c r="E27" s="83" t="str">
        <x:v>CSUD</x:v>
      </x:c>
      <x:c r="F27" s="83" t="str">
        <x:v>SUD</x:v>
      </x:c>
      <x:c r="G27" s="143" t="n">
        <x:v>6300</x:v>
      </x:c>
      <x:c r="H27" s="197" t="n">
        <x:f>IF(G27="","",G27/1000)</x:f>
        <x:v>6.3</x:v>
      </x:c>
      <x:c r="I27" s="143" t="n">
        <x:v>2400</x:v>
      </x:c>
      <x:c r="J27" s="83" t="str">
        <x:v>Maximum market exchange limit</x:v>
      </x:c>
      <x:c r="K27" s="83" t="str">
        <x:v>Directional</x:v>
      </x:c>
      <x:c r="L27" s="83" t="str">
        <x:v>Prospective</x:v>
      </x:c>
      <x:c r="M27" s="83" t="str">
        <x:v>S03</x:v>
      </x:c>
      <x:c r="N27" s="120" t="str">
        <x:v>https://download.terna.it/terna/Terna_Piano_Sviluppo_2025_Benefici_sistema_analisi_robustezza_rete_8dd62ecc98b2bc9.pdf</x:v>
      </x:c>
      <x:c r="O27" s="83" t="n">
        <x:v>19</x:v>
      </x:c>
      <x:c r="P27" s="83" t="n">
        <x:v>17</x:v>
      </x:c>
      <x:c r="Q27" s="83" t="str">
        <x:v>Figure 3</x:v>
      </x:c>
      <x:c r="R27" s="83" t="str">
        <x:v>Direct visual transcription; CA-SI 4.15 GW retained from 1.55+0.50+2.10 despite 4.1-GW rounded label</x:v>
      </x:c>
      <x:c r="S27" s="83" t="str">
        <x:v>A/B — Direct figure; rounded graphical labels</x:v>
      </x:c>
      <x:c r="T27" s="83" t="str">
        <x:v>Primary internal-link capacity for 2040 Base</x:v>
      </x:c>
      <x:c r="U27" s="83" t="str">
        <x:v>Figure 3 is the authoritative corridor-level value; project increments are not mechanically additive because network interactions and modelling updates apply.</x:v>
      </x:c>
    </x:row>
    <x:row r="28">
      <x:c r="A28" s="83" t="str">
        <x:v>PDS-024</x:v>
      </x:c>
      <x:c r="B28" s="83" t="str">
        <x:v>PDS 2025 updated reference network</x:v>
      </x:c>
      <x:c r="C28" s="83" t="n">
        <x:v>2040</x:v>
      </x:c>
      <x:c r="D28" s="83" t="str">
        <x:v>Reference network for ACB / PDS 2025</x:v>
      </x:c>
      <x:c r="E28" s="83" t="str">
        <x:v>SUD</x:v>
      </x:c>
      <x:c r="F28" s="83" t="str">
        <x:v>CSUD</x:v>
      </x:c>
      <x:c r="G28" s="143" t="n">
        <x:v>9100</x:v>
      </x:c>
      <x:c r="H28" s="197" t="n">
        <x:f>IF(G28="","",G28/1000)</x:f>
        <x:v>9.1</x:v>
      </x:c>
      <x:c r="I28" s="143" t="n">
        <x:v>2400</x:v>
      </x:c>
      <x:c r="J28" s="83" t="str">
        <x:v>Maximum market exchange limit</x:v>
      </x:c>
      <x:c r="K28" s="83" t="str">
        <x:v>Directional</x:v>
      </x:c>
      <x:c r="L28" s="83" t="str">
        <x:v>Prospective</x:v>
      </x:c>
      <x:c r="M28" s="83" t="str">
        <x:v>S03</x:v>
      </x:c>
      <x:c r="N28" s="120" t="str">
        <x:v>https://download.terna.it/terna/Terna_Piano_Sviluppo_2025_Benefici_sistema_analisi_robustezza_rete_8dd62ecc98b2bc9.pdf</x:v>
      </x:c>
      <x:c r="O28" s="83" t="n">
        <x:v>19</x:v>
      </x:c>
      <x:c r="P28" s="83" t="n">
        <x:v>17</x:v>
      </x:c>
      <x:c r="Q28" s="83" t="str">
        <x:v>Figure 3</x:v>
      </x:c>
      <x:c r="R28" s="83" t="str">
        <x:v>Direct visual transcription; CA-SI 4.15 GW retained from 1.55+0.50+2.10 despite 4.1-GW rounded label</x:v>
      </x:c>
      <x:c r="S28" s="83" t="str">
        <x:v>A/B — Direct figure; rounded graphical labels</x:v>
      </x:c>
      <x:c r="T28" s="83" t="str">
        <x:v>Primary internal-link capacity for 2040 Base</x:v>
      </x:c>
      <x:c r="U28" s="83" t="str">
        <x:v>Figure 3 is the authoritative corridor-level value; project increments are not mechanically additive because network interactions and modelling updates apply.</x:v>
      </x:c>
    </x:row>
    <x:row r="29">
      <x:c r="A29" s="83" t="str">
        <x:v>PDS-025</x:v>
      </x:c>
      <x:c r="B29" s="83" t="str">
        <x:v>PDS 2025 updated reference network</x:v>
      </x:c>
      <x:c r="C29" s="83" t="n">
        <x:v>2024</x:v>
      </x:c>
      <x:c r="D29" s="83" t="str">
        <x:v>Reference network for ACB / PDS 2025</x:v>
      </x:c>
      <x:c r="E29" s="83" t="str">
        <x:v>SUD</x:v>
      </x:c>
      <x:c r="F29" s="83" t="str">
        <x:v>CALA</x:v>
      </x:c>
      <x:c r="G29" s="143" t="n">
        <x:v>1100</x:v>
      </x:c>
      <x:c r="H29" s="197" t="n">
        <x:f>IF(G29="","",G29/1000)</x:f>
        <x:v>1.1</x:v>
      </x:c>
      <x:c r="I29" s="143"/>
      <x:c r="J29" s="83" t="str">
        <x:v>Maximum market exchange limit</x:v>
      </x:c>
      <x:c r="K29" s="83" t="str">
        <x:v>Directional</x:v>
      </x:c>
      <x:c r="L29" s="83" t="str">
        <x:v>Current maximum</x:v>
      </x:c>
      <x:c r="M29" s="83" t="str">
        <x:v>S03</x:v>
      </x:c>
      <x:c r="N29" s="120" t="str">
        <x:v>https://download.terna.it/terna/Terna_Piano_Sviluppo_2025_Benefici_sistema_analisi_robustezza_rete_8dd62ecc98b2bc9.pdf</x:v>
      </x:c>
      <x:c r="O29" s="83" t="n">
        <x:v>19</x:v>
      </x:c>
      <x:c r="P29" s="83" t="n">
        <x:v>17</x:v>
      </x:c>
      <x:c r="Q29" s="83" t="str">
        <x:v>Figure 3</x:v>
      </x:c>
      <x:c r="R29" s="83" t="str">
        <x:v>Direct visual transcription; CA-SI 4.15 GW retained from 1.55+0.50+2.10 despite 4.1-GW rounded label</x:v>
      </x:c>
      <x:c r="S29" s="83" t="str">
        <x:v>A/B — Direct figure; rounded graphical labels</x:v>
      </x:c>
      <x:c r="T29" s="83" t="str">
        <x:v>Trajectory / QA</x:v>
      </x:c>
      <x:c r="U29" s="83" t="str">
        <x:v>Figure 3 is the authoritative corridor-level value; project increments are not mechanically additive because network interactions and modelling updates apply.</x:v>
      </x:c>
    </x:row>
    <x:row r="30">
      <x:c r="A30" s="83" t="str">
        <x:v>PDS-026</x:v>
      </x:c>
      <x:c r="B30" s="83" t="str">
        <x:v>PDS 2025 updated reference network</x:v>
      </x:c>
      <x:c r="C30" s="83" t="n">
        <x:v>2024</x:v>
      </x:c>
      <x:c r="D30" s="83" t="str">
        <x:v>Reference network for ACB / PDS 2025</x:v>
      </x:c>
      <x:c r="E30" s="83" t="str">
        <x:v>CALA</x:v>
      </x:c>
      <x:c r="F30" s="83" t="str">
        <x:v>SUD</x:v>
      </x:c>
      <x:c r="G30" s="143" t="n">
        <x:v>2350</x:v>
      </x:c>
      <x:c r="H30" s="197" t="n">
        <x:f>IF(G30="","",G30/1000)</x:f>
        <x:v>2.35</x:v>
      </x:c>
      <x:c r="I30" s="143"/>
      <x:c r="J30" s="83" t="str">
        <x:v>Maximum market exchange limit</x:v>
      </x:c>
      <x:c r="K30" s="83" t="str">
        <x:v>Directional</x:v>
      </x:c>
      <x:c r="L30" s="83" t="str">
        <x:v>Current maximum</x:v>
      </x:c>
      <x:c r="M30" s="83" t="str">
        <x:v>S03</x:v>
      </x:c>
      <x:c r="N30" s="120" t="str">
        <x:v>https://download.terna.it/terna/Terna_Piano_Sviluppo_2025_Benefici_sistema_analisi_robustezza_rete_8dd62ecc98b2bc9.pdf</x:v>
      </x:c>
      <x:c r="O30" s="83" t="n">
        <x:v>19</x:v>
      </x:c>
      <x:c r="P30" s="83" t="n">
        <x:v>17</x:v>
      </x:c>
      <x:c r="Q30" s="83" t="str">
        <x:v>Figure 3</x:v>
      </x:c>
      <x:c r="R30" s="83" t="str">
        <x:v>Direct visual transcription; CA-SI 4.15 GW retained from 1.55+0.50+2.10 despite 4.1-GW rounded label</x:v>
      </x:c>
      <x:c r="S30" s="83" t="str">
        <x:v>A/B — Direct figure; rounded graphical labels</x:v>
      </x:c>
      <x:c r="T30" s="83" t="str">
        <x:v>Trajectory / QA</x:v>
      </x:c>
      <x:c r="U30" s="83" t="str">
        <x:v>Figure 3 is the authoritative corridor-level value; project increments are not mechanically additive because network interactions and modelling updates apply.</x:v>
      </x:c>
    </x:row>
    <x:row r="31">
      <x:c r="A31" s="83" t="str">
        <x:v>PDS-027</x:v>
      </x:c>
      <x:c r="B31" s="83" t="str">
        <x:v>PDS 2025 updated reference network</x:v>
      </x:c>
      <x:c r="C31" s="83" t="n">
        <x:v>2030</x:v>
      </x:c>
      <x:c r="D31" s="83" t="str">
        <x:v>Reference network for ACB / PDS 2025</x:v>
      </x:c>
      <x:c r="E31" s="83" t="str">
        <x:v>SUD</x:v>
      </x:c>
      <x:c r="F31" s="83" t="str">
        <x:v>CALA</x:v>
      </x:c>
      <x:c r="G31" s="143" t="n">
        <x:v>1400</x:v>
      </x:c>
      <x:c r="H31" s="197" t="n">
        <x:f>IF(G31="","",G31/1000)</x:f>
        <x:v>1.4</x:v>
      </x:c>
      <x:c r="I31" s="143" t="n">
        <x:v>300</x:v>
      </x:c>
      <x:c r="J31" s="83" t="str">
        <x:v>Maximum market exchange limit</x:v>
      </x:c>
      <x:c r="K31" s="83" t="str">
        <x:v>Directional</x:v>
      </x:c>
      <x:c r="L31" s="83" t="str">
        <x:v>Prospective</x:v>
      </x:c>
      <x:c r="M31" s="83" t="str">
        <x:v>S03</x:v>
      </x:c>
      <x:c r="N31" s="120" t="str">
        <x:v>https://download.terna.it/terna/Terna_Piano_Sviluppo_2025_Benefici_sistema_analisi_robustezza_rete_8dd62ecc98b2bc9.pdf</x:v>
      </x:c>
      <x:c r="O31" s="83" t="n">
        <x:v>19</x:v>
      </x:c>
      <x:c r="P31" s="83" t="n">
        <x:v>17</x:v>
      </x:c>
      <x:c r="Q31" s="83" t="str">
        <x:v>Figure 3</x:v>
      </x:c>
      <x:c r="R31" s="83" t="str">
        <x:v>Direct visual transcription; CA-SI 4.15 GW retained from 1.55+0.50+2.10 despite 4.1-GW rounded label</x:v>
      </x:c>
      <x:c r="S31" s="83" t="str">
        <x:v>A/B — Direct figure; rounded graphical labels</x:v>
      </x:c>
      <x:c r="T31" s="83" t="str">
        <x:v>Trajectory / QA</x:v>
      </x:c>
      <x:c r="U31" s="83" t="str">
        <x:v>Figure 3 is the authoritative corridor-level value; project increments are not mechanically additive because network interactions and modelling updates apply.</x:v>
      </x:c>
    </x:row>
    <x:row r="32">
      <x:c r="A32" s="83" t="str">
        <x:v>PDS-028</x:v>
      </x:c>
      <x:c r="B32" s="83" t="str">
        <x:v>PDS 2025 updated reference network</x:v>
      </x:c>
      <x:c r="C32" s="83" t="n">
        <x:v>2030</x:v>
      </x:c>
      <x:c r="D32" s="83" t="str">
        <x:v>Reference network for ACB / PDS 2025</x:v>
      </x:c>
      <x:c r="E32" s="83" t="str">
        <x:v>CALA</x:v>
      </x:c>
      <x:c r="F32" s="83" t="str">
        <x:v>SUD</x:v>
      </x:c>
      <x:c r="G32" s="143" t="n">
        <x:v>2650</x:v>
      </x:c>
      <x:c r="H32" s="197" t="n">
        <x:f>IF(G32="","",G32/1000)</x:f>
        <x:v>2.65</x:v>
      </x:c>
      <x:c r="I32" s="143" t="n">
        <x:v>300</x:v>
      </x:c>
      <x:c r="J32" s="83" t="str">
        <x:v>Maximum market exchange limit</x:v>
      </x:c>
      <x:c r="K32" s="83" t="str">
        <x:v>Directional</x:v>
      </x:c>
      <x:c r="L32" s="83" t="str">
        <x:v>Prospective</x:v>
      </x:c>
      <x:c r="M32" s="83" t="str">
        <x:v>S03</x:v>
      </x:c>
      <x:c r="N32" s="120" t="str">
        <x:v>https://download.terna.it/terna/Terna_Piano_Sviluppo_2025_Benefici_sistema_analisi_robustezza_rete_8dd62ecc98b2bc9.pdf</x:v>
      </x:c>
      <x:c r="O32" s="83" t="n">
        <x:v>19</x:v>
      </x:c>
      <x:c r="P32" s="83" t="n">
        <x:v>17</x:v>
      </x:c>
      <x:c r="Q32" s="83" t="str">
        <x:v>Figure 3</x:v>
      </x:c>
      <x:c r="R32" s="83" t="str">
        <x:v>Direct visual transcription; CA-SI 4.15 GW retained from 1.55+0.50+2.10 despite 4.1-GW rounded label</x:v>
      </x:c>
      <x:c r="S32" s="83" t="str">
        <x:v>A/B — Direct figure; rounded graphical labels</x:v>
      </x:c>
      <x:c r="T32" s="83" t="str">
        <x:v>Trajectory / QA</x:v>
      </x:c>
      <x:c r="U32" s="83" t="str">
        <x:v>Figure 3 is the authoritative corridor-level value; project increments are not mechanically additive because network interactions and modelling updates apply.</x:v>
      </x:c>
    </x:row>
    <x:row r="33">
      <x:c r="A33" s="83" t="str">
        <x:v>PDS-029</x:v>
      </x:c>
      <x:c r="B33" s="83" t="str">
        <x:v>PDS 2025 updated reference network</x:v>
      </x:c>
      <x:c r="C33" s="83" t="n">
        <x:v>2035</x:v>
      </x:c>
      <x:c r="D33" s="83" t="str">
        <x:v>Reference network for ACB / PDS 2025</x:v>
      </x:c>
      <x:c r="E33" s="83" t="str">
        <x:v>SUD</x:v>
      </x:c>
      <x:c r="F33" s="83" t="str">
        <x:v>CALA</x:v>
      </x:c>
      <x:c r="G33" s="143" t="n">
        <x:v>2000</x:v>
      </x:c>
      <x:c r="H33" s="197" t="n">
        <x:f>IF(G33="","",G33/1000)</x:f>
        <x:v>2</x:v>
      </x:c>
      <x:c r="I33" s="143" t="n">
        <x:v>600</x:v>
      </x:c>
      <x:c r="J33" s="83" t="str">
        <x:v>Maximum market exchange limit</x:v>
      </x:c>
      <x:c r="K33" s="83" t="str">
        <x:v>Directional</x:v>
      </x:c>
      <x:c r="L33" s="83" t="str">
        <x:v>Prospective</x:v>
      </x:c>
      <x:c r="M33" s="83" t="str">
        <x:v>S03</x:v>
      </x:c>
      <x:c r="N33" s="120" t="str">
        <x:v>https://download.terna.it/terna/Terna_Piano_Sviluppo_2025_Benefici_sistema_analisi_robustezza_rete_8dd62ecc98b2bc9.pdf</x:v>
      </x:c>
      <x:c r="O33" s="83" t="n">
        <x:v>19</x:v>
      </x:c>
      <x:c r="P33" s="83" t="n">
        <x:v>17</x:v>
      </x:c>
      <x:c r="Q33" s="83" t="str">
        <x:v>Figure 3</x:v>
      </x:c>
      <x:c r="R33" s="83" t="str">
        <x:v>Direct visual transcription; CA-SI 4.15 GW retained from 1.55+0.50+2.10 despite 4.1-GW rounded label</x:v>
      </x:c>
      <x:c r="S33" s="83" t="str">
        <x:v>A/B — Direct figure; rounded graphical labels</x:v>
      </x:c>
      <x:c r="T33" s="83" t="str">
        <x:v>Trajectory / QA</x:v>
      </x:c>
      <x:c r="U33" s="83" t="str">
        <x:v>Figure 3 is the authoritative corridor-level value; project increments are not mechanically additive because network interactions and modelling updates apply.</x:v>
      </x:c>
    </x:row>
    <x:row r="34">
      <x:c r="A34" s="83" t="str">
        <x:v>PDS-030</x:v>
      </x:c>
      <x:c r="B34" s="83" t="str">
        <x:v>PDS 2025 updated reference network</x:v>
      </x:c>
      <x:c r="C34" s="83" t="n">
        <x:v>2035</x:v>
      </x:c>
      <x:c r="D34" s="83" t="str">
        <x:v>Reference network for ACB / PDS 2025</x:v>
      </x:c>
      <x:c r="E34" s="83" t="str">
        <x:v>CALA</x:v>
      </x:c>
      <x:c r="F34" s="83" t="str">
        <x:v>SUD</x:v>
      </x:c>
      <x:c r="G34" s="143" t="n">
        <x:v>3250</x:v>
      </x:c>
      <x:c r="H34" s="197" t="n">
        <x:f>IF(G34="","",G34/1000)</x:f>
        <x:v>3.25</x:v>
      </x:c>
      <x:c r="I34" s="143" t="n">
        <x:v>600</x:v>
      </x:c>
      <x:c r="J34" s="83" t="str">
        <x:v>Maximum market exchange limit</x:v>
      </x:c>
      <x:c r="K34" s="83" t="str">
        <x:v>Directional</x:v>
      </x:c>
      <x:c r="L34" s="83" t="str">
        <x:v>Prospective</x:v>
      </x:c>
      <x:c r="M34" s="83" t="str">
        <x:v>S03</x:v>
      </x:c>
      <x:c r="N34" s="120" t="str">
        <x:v>https://download.terna.it/terna/Terna_Piano_Sviluppo_2025_Benefici_sistema_analisi_robustezza_rete_8dd62ecc98b2bc9.pdf</x:v>
      </x:c>
      <x:c r="O34" s="83" t="n">
        <x:v>19</x:v>
      </x:c>
      <x:c r="P34" s="83" t="n">
        <x:v>17</x:v>
      </x:c>
      <x:c r="Q34" s="83" t="str">
        <x:v>Figure 3</x:v>
      </x:c>
      <x:c r="R34" s="83" t="str">
        <x:v>Direct visual transcription; CA-SI 4.15 GW retained from 1.55+0.50+2.10 despite 4.1-GW rounded label</x:v>
      </x:c>
      <x:c r="S34" s="83" t="str">
        <x:v>A/B — Direct figure; rounded graphical labels</x:v>
      </x:c>
      <x:c r="T34" s="83" t="str">
        <x:v>Trajectory / QA</x:v>
      </x:c>
      <x:c r="U34" s="83" t="str">
        <x:v>Figure 3 is the authoritative corridor-level value; project increments are not mechanically additive because network interactions and modelling updates apply.</x:v>
      </x:c>
    </x:row>
    <x:row r="35">
      <x:c r="A35" s="83" t="str">
        <x:v>PDS-031</x:v>
      </x:c>
      <x:c r="B35" s="83" t="str">
        <x:v>PDS 2025 updated reference network</x:v>
      </x:c>
      <x:c r="C35" s="83" t="n">
        <x:v>2040</x:v>
      </x:c>
      <x:c r="D35" s="83" t="str">
        <x:v>Reference network for ACB / PDS 2025</x:v>
      </x:c>
      <x:c r="E35" s="83" t="str">
        <x:v>SUD</x:v>
      </x:c>
      <x:c r="F35" s="83" t="str">
        <x:v>CALA</x:v>
      </x:c>
      <x:c r="G35" s="143" t="n">
        <x:v>4100</x:v>
      </x:c>
      <x:c r="H35" s="197" t="n">
        <x:f>IF(G35="","",G35/1000)</x:f>
        <x:v>4.1</x:v>
      </x:c>
      <x:c r="I35" s="143" t="n">
        <x:v>2100</x:v>
      </x:c>
      <x:c r="J35" s="83" t="str">
        <x:v>Maximum market exchange limit</x:v>
      </x:c>
      <x:c r="K35" s="83" t="str">
        <x:v>Directional</x:v>
      </x:c>
      <x:c r="L35" s="83" t="str">
        <x:v>Prospective</x:v>
      </x:c>
      <x:c r="M35" s="83" t="str">
        <x:v>S03</x:v>
      </x:c>
      <x:c r="N35" s="120" t="str">
        <x:v>https://download.terna.it/terna/Terna_Piano_Sviluppo_2025_Benefici_sistema_analisi_robustezza_rete_8dd62ecc98b2bc9.pdf</x:v>
      </x:c>
      <x:c r="O35" s="83" t="n">
        <x:v>19</x:v>
      </x:c>
      <x:c r="P35" s="83" t="n">
        <x:v>17</x:v>
      </x:c>
      <x:c r="Q35" s="83" t="str">
        <x:v>Figure 3</x:v>
      </x:c>
      <x:c r="R35" s="83" t="str">
        <x:v>Direct visual transcription; CA-SI 4.15 GW retained from 1.55+0.50+2.10 despite 4.1-GW rounded label</x:v>
      </x:c>
      <x:c r="S35" s="83" t="str">
        <x:v>A/B — Direct figure; rounded graphical labels</x:v>
      </x:c>
      <x:c r="T35" s="83" t="str">
        <x:v>Primary internal-link capacity for 2040 Base</x:v>
      </x:c>
      <x:c r="U35" s="83" t="str">
        <x:v>Figure 3 is the authoritative corridor-level value; project increments are not mechanically additive because network interactions and modelling updates apply.</x:v>
      </x:c>
    </x:row>
    <x:row r="36">
      <x:c r="A36" s="83" t="str">
        <x:v>PDS-032</x:v>
      </x:c>
      <x:c r="B36" s="83" t="str">
        <x:v>PDS 2025 updated reference network</x:v>
      </x:c>
      <x:c r="C36" s="83" t="n">
        <x:v>2040</x:v>
      </x:c>
      <x:c r="D36" s="83" t="str">
        <x:v>Reference network for ACB / PDS 2025</x:v>
      </x:c>
      <x:c r="E36" s="83" t="str">
        <x:v>CALA</x:v>
      </x:c>
      <x:c r="F36" s="83" t="str">
        <x:v>SUD</x:v>
      </x:c>
      <x:c r="G36" s="143" t="n">
        <x:v>5350</x:v>
      </x:c>
      <x:c r="H36" s="197" t="n">
        <x:f>IF(G36="","",G36/1000)</x:f>
        <x:v>5.35</x:v>
      </x:c>
      <x:c r="I36" s="143" t="n">
        <x:v>2100</x:v>
      </x:c>
      <x:c r="J36" s="83" t="str">
        <x:v>Maximum market exchange limit</x:v>
      </x:c>
      <x:c r="K36" s="83" t="str">
        <x:v>Directional</x:v>
      </x:c>
      <x:c r="L36" s="83" t="str">
        <x:v>Prospective</x:v>
      </x:c>
      <x:c r="M36" s="83" t="str">
        <x:v>S03</x:v>
      </x:c>
      <x:c r="N36" s="120" t="str">
        <x:v>https://download.terna.it/terna/Terna_Piano_Sviluppo_2025_Benefici_sistema_analisi_robustezza_rete_8dd62ecc98b2bc9.pdf</x:v>
      </x:c>
      <x:c r="O36" s="83" t="n">
        <x:v>19</x:v>
      </x:c>
      <x:c r="P36" s="83" t="n">
        <x:v>17</x:v>
      </x:c>
      <x:c r="Q36" s="83" t="str">
        <x:v>Figure 3</x:v>
      </x:c>
      <x:c r="R36" s="83" t="str">
        <x:v>Direct visual transcription; CA-SI 4.15 GW retained from 1.55+0.50+2.10 despite 4.1-GW rounded label</x:v>
      </x:c>
      <x:c r="S36" s="83" t="str">
        <x:v>A/B — Direct figure; rounded graphical labels</x:v>
      </x:c>
      <x:c r="T36" s="83" t="str">
        <x:v>Primary internal-link capacity for 2040 Base</x:v>
      </x:c>
      <x:c r="U36" s="83" t="str">
        <x:v>Figure 3 is the authoritative corridor-level value; project increments are not mechanically additive because network interactions and modelling updates apply.</x:v>
      </x:c>
    </x:row>
    <x:row r="37">
      <x:c r="A37" s="83" t="str">
        <x:v>PDS-033</x:v>
      </x:c>
      <x:c r="B37" s="83" t="str">
        <x:v>PDS 2025 updated reference network</x:v>
      </x:c>
      <x:c r="C37" s="83" t="n">
        <x:v>2024</x:v>
      </x:c>
      <x:c r="D37" s="83" t="str">
        <x:v>Reference network for ACB / PDS 2025</x:v>
      </x:c>
      <x:c r="E37" s="83" t="str">
        <x:v>CALA</x:v>
      </x:c>
      <x:c r="F37" s="83" t="str">
        <x:v>SICI</x:v>
      </x:c>
      <x:c r="G37" s="143" t="n">
        <x:v>1550</x:v>
      </x:c>
      <x:c r="H37" s="197" t="n">
        <x:f>IF(G37="","",G37/1000)</x:f>
        <x:v>1.55</x:v>
      </x:c>
      <x:c r="I37" s="143"/>
      <x:c r="J37" s="83" t="str">
        <x:v>Maximum market exchange limit</x:v>
      </x:c>
      <x:c r="K37" s="83" t="str">
        <x:v>Directional</x:v>
      </x:c>
      <x:c r="L37" s="83" t="str">
        <x:v>Current maximum</x:v>
      </x:c>
      <x:c r="M37" s="83" t="str">
        <x:v>S03</x:v>
      </x:c>
      <x:c r="N37" s="120" t="str">
        <x:v>https://download.terna.it/terna/Terna_Piano_Sviluppo_2025_Benefici_sistema_analisi_robustezza_rete_8dd62ecc98b2bc9.pdf</x:v>
      </x:c>
      <x:c r="O37" s="83" t="n">
        <x:v>19</x:v>
      </x:c>
      <x:c r="P37" s="83" t="n">
        <x:v>17</x:v>
      </x:c>
      <x:c r="Q37" s="83" t="str">
        <x:v>Figure 3</x:v>
      </x:c>
      <x:c r="R37" s="83" t="str">
        <x:v>Direct visual transcription; CA-SI 4.15 GW retained from 1.55+0.50+2.10 despite 4.1-GW rounded label</x:v>
      </x:c>
      <x:c r="S37" s="83" t="str">
        <x:v>A/B — Direct figure; rounded graphical labels</x:v>
      </x:c>
      <x:c r="T37" s="83" t="str">
        <x:v>Trajectory / QA</x:v>
      </x:c>
      <x:c r="U37" s="83" t="str">
        <x:v>Figure 3 is the authoritative corridor-level value; project increments are not mechanically additive because network interactions and modelling updates apply.</x:v>
      </x:c>
    </x:row>
    <x:row r="38">
      <x:c r="A38" s="83" t="str">
        <x:v>PDS-034</x:v>
      </x:c>
      <x:c r="B38" s="83" t="str">
        <x:v>PDS 2025 updated reference network</x:v>
      </x:c>
      <x:c r="C38" s="83" t="n">
        <x:v>2024</x:v>
      </x:c>
      <x:c r="D38" s="83" t="str">
        <x:v>Reference network for ACB / PDS 2025</x:v>
      </x:c>
      <x:c r="E38" s="83" t="str">
        <x:v>SICI</x:v>
      </x:c>
      <x:c r="F38" s="83" t="str">
        <x:v>CALA</x:v>
      </x:c>
      <x:c r="G38" s="143" t="n">
        <x:v>1300</x:v>
      </x:c>
      <x:c r="H38" s="197" t="n">
        <x:f>IF(G38="","",G38/1000)</x:f>
        <x:v>1.3</x:v>
      </x:c>
      <x:c r="I38" s="143"/>
      <x:c r="J38" s="83" t="str">
        <x:v>Maximum market exchange limit</x:v>
      </x:c>
      <x:c r="K38" s="83" t="str">
        <x:v>Directional</x:v>
      </x:c>
      <x:c r="L38" s="83" t="str">
        <x:v>Current maximum</x:v>
      </x:c>
      <x:c r="M38" s="83" t="str">
        <x:v>S03</x:v>
      </x:c>
      <x:c r="N38" s="120" t="str">
        <x:v>https://download.terna.it/terna/Terna_Piano_Sviluppo_2025_Benefici_sistema_analisi_robustezza_rete_8dd62ecc98b2bc9.pdf</x:v>
      </x:c>
      <x:c r="O38" s="83" t="n">
        <x:v>19</x:v>
      </x:c>
      <x:c r="P38" s="83" t="n">
        <x:v>17</x:v>
      </x:c>
      <x:c r="Q38" s="83" t="str">
        <x:v>Figure 3</x:v>
      </x:c>
      <x:c r="R38" s="83" t="str">
        <x:v>Direct visual transcription; CA-SI 4.15 GW retained from 1.55+0.50+2.10 despite 4.1-GW rounded label</x:v>
      </x:c>
      <x:c r="S38" s="83" t="str">
        <x:v>A/B — Direct figure; rounded graphical labels</x:v>
      </x:c>
      <x:c r="T38" s="83" t="str">
        <x:v>Trajectory / QA</x:v>
      </x:c>
      <x:c r="U38" s="83" t="str">
        <x:v>Figure 3 is the authoritative corridor-level value; project increments are not mechanically additive because network interactions and modelling updates apply.</x:v>
      </x:c>
    </x:row>
    <x:row r="39">
      <x:c r="A39" s="83" t="str">
        <x:v>PDS-035</x:v>
      </x:c>
      <x:c r="B39" s="83" t="str">
        <x:v>PDS 2025 updated reference network</x:v>
      </x:c>
      <x:c r="C39" s="83" t="n">
        <x:v>2030</x:v>
      </x:c>
      <x:c r="D39" s="83" t="str">
        <x:v>Reference network for ACB / PDS 2025</x:v>
      </x:c>
      <x:c r="E39" s="83" t="str">
        <x:v>CALA</x:v>
      </x:c>
      <x:c r="F39" s="83" t="str">
        <x:v>SICI</x:v>
      </x:c>
      <x:c r="G39" s="143" t="n">
        <x:v>2050</x:v>
      </x:c>
      <x:c r="H39" s="197" t="n">
        <x:f>IF(G39="","",G39/1000)</x:f>
        <x:v>2.05</x:v>
      </x:c>
      <x:c r="I39" s="143" t="n">
        <x:v>500</x:v>
      </x:c>
      <x:c r="J39" s="83" t="str">
        <x:v>Maximum market exchange limit</x:v>
      </x:c>
      <x:c r="K39" s="83" t="str">
        <x:v>Directional</x:v>
      </x:c>
      <x:c r="L39" s="83" t="str">
        <x:v>Prospective</x:v>
      </x:c>
      <x:c r="M39" s="83" t="str">
        <x:v>S03</x:v>
      </x:c>
      <x:c r="N39" s="120" t="str">
        <x:v>https://download.terna.it/terna/Terna_Piano_Sviluppo_2025_Benefici_sistema_analisi_robustezza_rete_8dd62ecc98b2bc9.pdf</x:v>
      </x:c>
      <x:c r="O39" s="83" t="n">
        <x:v>19</x:v>
      </x:c>
      <x:c r="P39" s="83" t="n">
        <x:v>17</x:v>
      </x:c>
      <x:c r="Q39" s="83" t="str">
        <x:v>Figure 3</x:v>
      </x:c>
      <x:c r="R39" s="83" t="str">
        <x:v>Direct visual transcription; CA-SI 4.15 GW retained from 1.55+0.50+2.10 despite 4.1-GW rounded label</x:v>
      </x:c>
      <x:c r="S39" s="83" t="str">
        <x:v>A/B — Direct figure; rounded graphical labels</x:v>
      </x:c>
      <x:c r="T39" s="83" t="str">
        <x:v>Trajectory / QA</x:v>
      </x:c>
      <x:c r="U39" s="83" t="str">
        <x:v>Figure 3 is the authoritative corridor-level value; project increments are not mechanically additive because network interactions and modelling updates apply.</x:v>
      </x:c>
    </x:row>
    <x:row r="40">
      <x:c r="A40" s="83" t="str">
        <x:v>PDS-036</x:v>
      </x:c>
      <x:c r="B40" s="83" t="str">
        <x:v>PDS 2025 updated reference network</x:v>
      </x:c>
      <x:c r="C40" s="83" t="n">
        <x:v>2030</x:v>
      </x:c>
      <x:c r="D40" s="83" t="str">
        <x:v>Reference network for ACB / PDS 2025</x:v>
      </x:c>
      <x:c r="E40" s="83" t="str">
        <x:v>SICI</x:v>
      </x:c>
      <x:c r="F40" s="83" t="str">
        <x:v>CALA</x:v>
      </x:c>
      <x:c r="G40" s="143" t="n">
        <x:v>2000</x:v>
      </x:c>
      <x:c r="H40" s="197" t="n">
        <x:f>IF(G40="","",G40/1000)</x:f>
        <x:v>2</x:v>
      </x:c>
      <x:c r="I40" s="143" t="n">
        <x:v>700</x:v>
      </x:c>
      <x:c r="J40" s="83" t="str">
        <x:v>Maximum market exchange limit</x:v>
      </x:c>
      <x:c r="K40" s="83" t="str">
        <x:v>Directional</x:v>
      </x:c>
      <x:c r="L40" s="83" t="str">
        <x:v>Prospective</x:v>
      </x:c>
      <x:c r="M40" s="83" t="str">
        <x:v>S03</x:v>
      </x:c>
      <x:c r="N40" s="120" t="str">
        <x:v>https://download.terna.it/terna/Terna_Piano_Sviluppo_2025_Benefici_sistema_analisi_robustezza_rete_8dd62ecc98b2bc9.pdf</x:v>
      </x:c>
      <x:c r="O40" s="83" t="n">
        <x:v>19</x:v>
      </x:c>
      <x:c r="P40" s="83" t="n">
        <x:v>17</x:v>
      </x:c>
      <x:c r="Q40" s="83" t="str">
        <x:v>Figure 3</x:v>
      </x:c>
      <x:c r="R40" s="83" t="str">
        <x:v>Direct visual transcription; CA-SI 4.15 GW retained from 1.55+0.50+2.10 despite 4.1-GW rounded label</x:v>
      </x:c>
      <x:c r="S40" s="83" t="str">
        <x:v>A/B — Direct figure; rounded graphical labels</x:v>
      </x:c>
      <x:c r="T40" s="83" t="str">
        <x:v>Trajectory / QA</x:v>
      </x:c>
      <x:c r="U40" s="83" t="str">
        <x:v>Figure 3 is the authoritative corridor-level value; project increments are not mechanically additive because network interactions and modelling updates apply.</x:v>
      </x:c>
    </x:row>
    <x:row r="41">
      <x:c r="A41" s="83" t="str">
        <x:v>PDS-037</x:v>
      </x:c>
      <x:c r="B41" s="83" t="str">
        <x:v>PDS 2025 updated reference network</x:v>
      </x:c>
      <x:c r="C41" s="83" t="n">
        <x:v>2035</x:v>
      </x:c>
      <x:c r="D41" s="83" t="str">
        <x:v>Reference network for ACB / PDS 2025</x:v>
      </x:c>
      <x:c r="E41" s="83" t="str">
        <x:v>CALA</x:v>
      </x:c>
      <x:c r="F41" s="83" t="str">
        <x:v>SICI</x:v>
      </x:c>
      <x:c r="G41" s="143" t="n">
        <x:v>2050</x:v>
      </x:c>
      <x:c r="H41" s="197" t="n">
        <x:f>IF(G41="","",G41/1000)</x:f>
        <x:v>2.05</x:v>
      </x:c>
      <x:c r="I41" s="143" t="n">
        <x:v>0</x:v>
      </x:c>
      <x:c r="J41" s="83" t="str">
        <x:v>Maximum market exchange limit</x:v>
      </x:c>
      <x:c r="K41" s="83" t="str">
        <x:v>Directional</x:v>
      </x:c>
      <x:c r="L41" s="83" t="str">
        <x:v>Prospective</x:v>
      </x:c>
      <x:c r="M41" s="83" t="str">
        <x:v>S03</x:v>
      </x:c>
      <x:c r="N41" s="120" t="str">
        <x:v>https://download.terna.it/terna/Terna_Piano_Sviluppo_2025_Benefici_sistema_analisi_robustezza_rete_8dd62ecc98b2bc9.pdf</x:v>
      </x:c>
      <x:c r="O41" s="83" t="n">
        <x:v>19</x:v>
      </x:c>
      <x:c r="P41" s="83" t="n">
        <x:v>17</x:v>
      </x:c>
      <x:c r="Q41" s="83" t="str">
        <x:v>Figure 3</x:v>
      </x:c>
      <x:c r="R41" s="83" t="str">
        <x:v>Direct visual transcription; CA-SI 4.15 GW retained from 1.55+0.50+2.10 despite 4.1-GW rounded label</x:v>
      </x:c>
      <x:c r="S41" s="83" t="str">
        <x:v>A/B — Direct figure; rounded graphical labels</x:v>
      </x:c>
      <x:c r="T41" s="83" t="str">
        <x:v>Trajectory / QA</x:v>
      </x:c>
      <x:c r="U41" s="83" t="str">
        <x:v>Figure 3 is the authoritative corridor-level value; project increments are not mechanically additive because network interactions and modelling updates apply.</x:v>
      </x:c>
    </x:row>
    <x:row r="42">
      <x:c r="A42" s="83" t="str">
        <x:v>PDS-038</x:v>
      </x:c>
      <x:c r="B42" s="83" t="str">
        <x:v>PDS 2025 updated reference network</x:v>
      </x:c>
      <x:c r="C42" s="83" t="n">
        <x:v>2035</x:v>
      </x:c>
      <x:c r="D42" s="83" t="str">
        <x:v>Reference network for ACB / PDS 2025</x:v>
      </x:c>
      <x:c r="E42" s="83" t="str">
        <x:v>SICI</x:v>
      </x:c>
      <x:c r="F42" s="83" t="str">
        <x:v>CALA</x:v>
      </x:c>
      <x:c r="G42" s="143" t="n">
        <x:v>2000</x:v>
      </x:c>
      <x:c r="H42" s="197" t="n">
        <x:f>IF(G42="","",G42/1000)</x:f>
        <x:v>2</x:v>
      </x:c>
      <x:c r="I42" s="143" t="n">
        <x:v>0</x:v>
      </x:c>
      <x:c r="J42" s="83" t="str">
        <x:v>Maximum market exchange limit</x:v>
      </x:c>
      <x:c r="K42" s="83" t="str">
        <x:v>Directional</x:v>
      </x:c>
      <x:c r="L42" s="83" t="str">
        <x:v>Prospective</x:v>
      </x:c>
      <x:c r="M42" s="83" t="str">
        <x:v>S03</x:v>
      </x:c>
      <x:c r="N42" s="120" t="str">
        <x:v>https://download.terna.it/terna/Terna_Piano_Sviluppo_2025_Benefici_sistema_analisi_robustezza_rete_8dd62ecc98b2bc9.pdf</x:v>
      </x:c>
      <x:c r="O42" s="83" t="n">
        <x:v>19</x:v>
      </x:c>
      <x:c r="P42" s="83" t="n">
        <x:v>17</x:v>
      </x:c>
      <x:c r="Q42" s="83" t="str">
        <x:v>Figure 3</x:v>
      </x:c>
      <x:c r="R42" s="83" t="str">
        <x:v>Direct visual transcription; CA-SI 4.15 GW retained from 1.55+0.50+2.10 despite 4.1-GW rounded label</x:v>
      </x:c>
      <x:c r="S42" s="83" t="str">
        <x:v>A/B — Direct figure; rounded graphical labels</x:v>
      </x:c>
      <x:c r="T42" s="83" t="str">
        <x:v>Trajectory / QA</x:v>
      </x:c>
      <x:c r="U42" s="83" t="str">
        <x:v>Figure 3 is the authoritative corridor-level value; project increments are not mechanically additive because network interactions and modelling updates apply.</x:v>
      </x:c>
    </x:row>
    <x:row r="43">
      <x:c r="A43" s="83" t="str">
        <x:v>PDS-039</x:v>
      </x:c>
      <x:c r="B43" s="83" t="str">
        <x:v>PDS 2025 updated reference network</x:v>
      </x:c>
      <x:c r="C43" s="83" t="n">
        <x:v>2040</x:v>
      </x:c>
      <x:c r="D43" s="83" t="str">
        <x:v>Reference network for ACB / PDS 2025</x:v>
      </x:c>
      <x:c r="E43" s="83" t="str">
        <x:v>CALA</x:v>
      </x:c>
      <x:c r="F43" s="83" t="str">
        <x:v>SICI</x:v>
      </x:c>
      <x:c r="G43" s="143" t="n">
        <x:v>4150</x:v>
      </x:c>
      <x:c r="H43" s="197" t="n">
        <x:f>IF(G43="","",G43/1000)</x:f>
        <x:v>4.15</x:v>
      </x:c>
      <x:c r="I43" s="143" t="n">
        <x:v>2100</x:v>
      </x:c>
      <x:c r="J43" s="83" t="str">
        <x:v>Maximum market exchange limit</x:v>
      </x:c>
      <x:c r="K43" s="83" t="str">
        <x:v>Directional</x:v>
      </x:c>
      <x:c r="L43" s="83" t="str">
        <x:v>Prospective</x:v>
      </x:c>
      <x:c r="M43" s="83" t="str">
        <x:v>S03</x:v>
      </x:c>
      <x:c r="N43" s="120" t="str">
        <x:v>https://download.terna.it/terna/Terna_Piano_Sviluppo_2025_Benefici_sistema_analisi_robustezza_rete_8dd62ecc98b2bc9.pdf</x:v>
      </x:c>
      <x:c r="O43" s="83" t="n">
        <x:v>19</x:v>
      </x:c>
      <x:c r="P43" s="83" t="n">
        <x:v>17</x:v>
      </x:c>
      <x:c r="Q43" s="83" t="str">
        <x:v>Figure 3</x:v>
      </x:c>
      <x:c r="R43" s="83" t="str">
        <x:v>Direct visual transcription; CA-SI 4.15 GW retained from 1.55+0.50+2.10 despite 4.1-GW rounded label</x:v>
      </x:c>
      <x:c r="S43" s="83" t="str">
        <x:v>A/B — Direct figure; rounded graphical labels</x:v>
      </x:c>
      <x:c r="T43" s="83" t="str">
        <x:v>Primary internal-link capacity for 2040 Base</x:v>
      </x:c>
      <x:c r="U43" s="83" t="str">
        <x:v>Figure 3 is the authoritative corridor-level value; project increments are not mechanically additive because network interactions and modelling updates apply.</x:v>
      </x:c>
    </x:row>
    <x:row r="44">
      <x:c r="A44" s="83" t="str">
        <x:v>PDS-040</x:v>
      </x:c>
      <x:c r="B44" s="83" t="str">
        <x:v>PDS 2025 updated reference network</x:v>
      </x:c>
      <x:c r="C44" s="83" t="n">
        <x:v>2040</x:v>
      </x:c>
      <x:c r="D44" s="83" t="str">
        <x:v>Reference network for ACB / PDS 2025</x:v>
      </x:c>
      <x:c r="E44" s="83" t="str">
        <x:v>SICI</x:v>
      </x:c>
      <x:c r="F44" s="83" t="str">
        <x:v>CALA</x:v>
      </x:c>
      <x:c r="G44" s="143" t="n">
        <x:v>4100</x:v>
      </x:c>
      <x:c r="H44" s="197" t="n">
        <x:f>IF(G44="","",G44/1000)</x:f>
        <x:v>4.1</x:v>
      </x:c>
      <x:c r="I44" s="143" t="n">
        <x:v>2100</x:v>
      </x:c>
      <x:c r="J44" s="83" t="str">
        <x:v>Maximum market exchange limit</x:v>
      </x:c>
      <x:c r="K44" s="83" t="str">
        <x:v>Directional</x:v>
      </x:c>
      <x:c r="L44" s="83" t="str">
        <x:v>Prospective</x:v>
      </x:c>
      <x:c r="M44" s="83" t="str">
        <x:v>S03</x:v>
      </x:c>
      <x:c r="N44" s="120" t="str">
        <x:v>https://download.terna.it/terna/Terna_Piano_Sviluppo_2025_Benefici_sistema_analisi_robustezza_rete_8dd62ecc98b2bc9.pdf</x:v>
      </x:c>
      <x:c r="O44" s="83" t="n">
        <x:v>19</x:v>
      </x:c>
      <x:c r="P44" s="83" t="n">
        <x:v>17</x:v>
      </x:c>
      <x:c r="Q44" s="83" t="str">
        <x:v>Figure 3</x:v>
      </x:c>
      <x:c r="R44" s="83" t="str">
        <x:v>Direct visual transcription; CA-SI 4.15 GW retained from 1.55+0.50+2.10 despite 4.1-GW rounded label</x:v>
      </x:c>
      <x:c r="S44" s="83" t="str">
        <x:v>A/B — Direct figure; rounded graphical labels</x:v>
      </x:c>
      <x:c r="T44" s="83" t="str">
        <x:v>Primary internal-link capacity for 2040 Base</x:v>
      </x:c>
      <x:c r="U44" s="83" t="str">
        <x:v>Figure 3 is the authoritative corridor-level value; project increments are not mechanically additive because network interactions and modelling updates apply.</x:v>
      </x:c>
    </x:row>
    <x:row r="45">
      <x:c r="A45" s="83" t="str">
        <x:v>PDS-041</x:v>
      </x:c>
      <x:c r="B45" s="83" t="str">
        <x:v>PDS 2025 updated reference network</x:v>
      </x:c>
      <x:c r="C45" s="83" t="n">
        <x:v>2024</x:v>
      </x:c>
      <x:c r="D45" s="83" t="str">
        <x:v>Reference network for ACB / PDS 2025</x:v>
      </x:c>
      <x:c r="E45" s="83" t="str">
        <x:v>CSUD</x:v>
      </x:c>
      <x:c r="F45" s="83" t="str">
        <x:v>SARD</x:v>
      </x:c>
      <x:c r="G45" s="143" t="n">
        <x:v>720</x:v>
      </x:c>
      <x:c r="H45" s="197" t="n">
        <x:f>IF(G45="","",G45/1000)</x:f>
        <x:v>0.72</x:v>
      </x:c>
      <x:c r="I45" s="143"/>
      <x:c r="J45" s="83" t="str">
        <x:v>Maximum market exchange limit</x:v>
      </x:c>
      <x:c r="K45" s="83" t="str">
        <x:v>Directional</x:v>
      </x:c>
      <x:c r="L45" s="83" t="str">
        <x:v>Current maximum</x:v>
      </x:c>
      <x:c r="M45" s="83" t="str">
        <x:v>S03</x:v>
      </x:c>
      <x:c r="N45" s="120" t="str">
        <x:v>https://download.terna.it/terna/Terna_Piano_Sviluppo_2025_Benefici_sistema_analisi_robustezza_rete_8dd62ecc98b2bc9.pdf</x:v>
      </x:c>
      <x:c r="O45" s="83" t="n">
        <x:v>19</x:v>
      </x:c>
      <x:c r="P45" s="83" t="n">
        <x:v>17</x:v>
      </x:c>
      <x:c r="Q45" s="83" t="str">
        <x:v>Figure 3</x:v>
      </x:c>
      <x:c r="R45" s="83" t="str">
        <x:v>Direct visual transcription; CA-SI 4.15 GW retained from 1.55+0.50+2.10 despite 4.1-GW rounded label</x:v>
      </x:c>
      <x:c r="S45" s="83" t="str">
        <x:v>A/B — Direct figure; rounded graphical labels</x:v>
      </x:c>
      <x:c r="T45" s="83" t="str">
        <x:v>Trajectory / QA</x:v>
      </x:c>
      <x:c r="U45" s="83" t="str">
        <x:v>Figure 3 is the authoritative corridor-level value; project increments are not mechanically additive because network interactions and modelling updates apply.</x:v>
      </x:c>
    </x:row>
    <x:row r="46">
      <x:c r="A46" s="83" t="str">
        <x:v>PDS-042</x:v>
      </x:c>
      <x:c r="B46" s="83" t="str">
        <x:v>PDS 2025 updated reference network</x:v>
      </x:c>
      <x:c r="C46" s="83" t="n">
        <x:v>2024</x:v>
      </x:c>
      <x:c r="D46" s="83" t="str">
        <x:v>Reference network for ACB / PDS 2025</x:v>
      </x:c>
      <x:c r="E46" s="83" t="str">
        <x:v>SARD</x:v>
      </x:c>
      <x:c r="F46" s="83" t="str">
        <x:v>CSUD</x:v>
      </x:c>
      <x:c r="G46" s="143" t="n">
        <x:v>900</x:v>
      </x:c>
      <x:c r="H46" s="197" t="n">
        <x:f>IF(G46="","",G46/1000)</x:f>
        <x:v>0.9</x:v>
      </x:c>
      <x:c r="I46" s="143"/>
      <x:c r="J46" s="83" t="str">
        <x:v>Maximum market exchange limit</x:v>
      </x:c>
      <x:c r="K46" s="83" t="str">
        <x:v>Directional</x:v>
      </x:c>
      <x:c r="L46" s="83" t="str">
        <x:v>Current maximum</x:v>
      </x:c>
      <x:c r="M46" s="83" t="str">
        <x:v>S03</x:v>
      </x:c>
      <x:c r="N46" s="120" t="str">
        <x:v>https://download.terna.it/terna/Terna_Piano_Sviluppo_2025_Benefici_sistema_analisi_robustezza_rete_8dd62ecc98b2bc9.pdf</x:v>
      </x:c>
      <x:c r="O46" s="83" t="n">
        <x:v>19</x:v>
      </x:c>
      <x:c r="P46" s="83" t="n">
        <x:v>17</x:v>
      </x:c>
      <x:c r="Q46" s="83" t="str">
        <x:v>Figure 3</x:v>
      </x:c>
      <x:c r="R46" s="83" t="str">
        <x:v>Direct visual transcription; CA-SI 4.15 GW retained from 1.55+0.50+2.10 despite 4.1-GW rounded label</x:v>
      </x:c>
      <x:c r="S46" s="83" t="str">
        <x:v>A/B — Direct figure; rounded graphical labels</x:v>
      </x:c>
      <x:c r="T46" s="83" t="str">
        <x:v>Trajectory / QA</x:v>
      </x:c>
      <x:c r="U46" s="83" t="str">
        <x:v>Figure 3 is the authoritative corridor-level value; project increments are not mechanically additive because network interactions and modelling updates apply.</x:v>
      </x:c>
    </x:row>
    <x:row r="47">
      <x:c r="A47" s="83" t="str">
        <x:v>PDS-043</x:v>
      </x:c>
      <x:c r="B47" s="83" t="str">
        <x:v>PDS 2025 updated reference network</x:v>
      </x:c>
      <x:c r="C47" s="83" t="n">
        <x:v>2030</x:v>
      </x:c>
      <x:c r="D47" s="83" t="str">
        <x:v>Reference network for ACB / PDS 2025</x:v>
      </x:c>
      <x:c r="E47" s="83" t="str">
        <x:v>CSUD</x:v>
      </x:c>
      <x:c r="F47" s="83" t="str">
        <x:v>SARD</x:v>
      </x:c>
      <x:c r="G47" s="143" t="n">
        <x:v>720</x:v>
      </x:c>
      <x:c r="H47" s="197" t="n">
        <x:f>IF(G47="","",G47/1000)</x:f>
        <x:v>0.72</x:v>
      </x:c>
      <x:c r="I47" s="143" t="n">
        <x:v>0</x:v>
      </x:c>
      <x:c r="J47" s="83" t="str">
        <x:v>Maximum market exchange limit</x:v>
      </x:c>
      <x:c r="K47" s="83" t="str">
        <x:v>Directional</x:v>
      </x:c>
      <x:c r="L47" s="83" t="str">
        <x:v>Prospective</x:v>
      </x:c>
      <x:c r="M47" s="83" t="str">
        <x:v>S03</x:v>
      </x:c>
      <x:c r="N47" s="120" t="str">
        <x:v>https://download.terna.it/terna/Terna_Piano_Sviluppo_2025_Benefici_sistema_analisi_robustezza_rete_8dd62ecc98b2bc9.pdf</x:v>
      </x:c>
      <x:c r="O47" s="83" t="n">
        <x:v>19</x:v>
      </x:c>
      <x:c r="P47" s="83" t="n">
        <x:v>17</x:v>
      </x:c>
      <x:c r="Q47" s="83" t="str">
        <x:v>Figure 3</x:v>
      </x:c>
      <x:c r="R47" s="83" t="str">
        <x:v>Direct visual transcription; CA-SI 4.15 GW retained from 1.55+0.50+2.10 despite 4.1-GW rounded label</x:v>
      </x:c>
      <x:c r="S47" s="83" t="str">
        <x:v>A/B — Direct figure; rounded graphical labels</x:v>
      </x:c>
      <x:c r="T47" s="83" t="str">
        <x:v>Trajectory / QA</x:v>
      </x:c>
      <x:c r="U47" s="83" t="str">
        <x:v>Figure 3 is the authoritative corridor-level value; project increments are not mechanically additive because network interactions and modelling updates apply.</x:v>
      </x:c>
    </x:row>
    <x:row r="48">
      <x:c r="A48" s="83" t="str">
        <x:v>PDS-044</x:v>
      </x:c>
      <x:c r="B48" s="83" t="str">
        <x:v>PDS 2025 updated reference network</x:v>
      </x:c>
      <x:c r="C48" s="83" t="n">
        <x:v>2030</x:v>
      </x:c>
      <x:c r="D48" s="83" t="str">
        <x:v>Reference network for ACB / PDS 2025</x:v>
      </x:c>
      <x:c r="E48" s="83" t="str">
        <x:v>SARD</x:v>
      </x:c>
      <x:c r="F48" s="83" t="str">
        <x:v>CSUD</x:v>
      </x:c>
      <x:c r="G48" s="143" t="n">
        <x:v>900</x:v>
      </x:c>
      <x:c r="H48" s="197" t="n">
        <x:f>IF(G48="","",G48/1000)</x:f>
        <x:v>0.9</x:v>
      </x:c>
      <x:c r="I48" s="143" t="n">
        <x:v>0</x:v>
      </x:c>
      <x:c r="J48" s="83" t="str">
        <x:v>Maximum market exchange limit</x:v>
      </x:c>
      <x:c r="K48" s="83" t="str">
        <x:v>Directional</x:v>
      </x:c>
      <x:c r="L48" s="83" t="str">
        <x:v>Prospective</x:v>
      </x:c>
      <x:c r="M48" s="83" t="str">
        <x:v>S03</x:v>
      </x:c>
      <x:c r="N48" s="120" t="str">
        <x:v>https://download.terna.it/terna/Terna_Piano_Sviluppo_2025_Benefici_sistema_analisi_robustezza_rete_8dd62ecc98b2bc9.pdf</x:v>
      </x:c>
      <x:c r="O48" s="83" t="n">
        <x:v>19</x:v>
      </x:c>
      <x:c r="P48" s="83" t="n">
        <x:v>17</x:v>
      </x:c>
      <x:c r="Q48" s="83" t="str">
        <x:v>Figure 3</x:v>
      </x:c>
      <x:c r="R48" s="83" t="str">
        <x:v>Direct visual transcription; CA-SI 4.15 GW retained from 1.55+0.50+2.10 despite 4.1-GW rounded label</x:v>
      </x:c>
      <x:c r="S48" s="83" t="str">
        <x:v>A/B — Direct figure; rounded graphical labels</x:v>
      </x:c>
      <x:c r="T48" s="83" t="str">
        <x:v>Trajectory / QA</x:v>
      </x:c>
      <x:c r="U48" s="83" t="str">
        <x:v>Figure 3 is the authoritative corridor-level value; project increments are not mechanically additive because network interactions and modelling updates apply.</x:v>
      </x:c>
    </x:row>
    <x:row r="49">
      <x:c r="A49" s="83" t="str">
        <x:v>PDS-045</x:v>
      </x:c>
      <x:c r="B49" s="83" t="str">
        <x:v>PDS 2025 updated reference network</x:v>
      </x:c>
      <x:c r="C49" s="83" t="n">
        <x:v>2035</x:v>
      </x:c>
      <x:c r="D49" s="83" t="str">
        <x:v>Reference network for ACB / PDS 2025</x:v>
      </x:c>
      <x:c r="E49" s="83" t="str">
        <x:v>CSUD</x:v>
      </x:c>
      <x:c r="F49" s="83" t="str">
        <x:v>SARD</x:v>
      </x:c>
      <x:c r="G49" s="143" t="n">
        <x:v>720</x:v>
      </x:c>
      <x:c r="H49" s="197" t="n">
        <x:f>IF(G49="","",G49/1000)</x:f>
        <x:v>0.72</x:v>
      </x:c>
      <x:c r="I49" s="143" t="n">
        <x:v>0</x:v>
      </x:c>
      <x:c r="J49" s="83" t="str">
        <x:v>Maximum market exchange limit</x:v>
      </x:c>
      <x:c r="K49" s="83" t="str">
        <x:v>Directional</x:v>
      </x:c>
      <x:c r="L49" s="83" t="str">
        <x:v>Prospective</x:v>
      </x:c>
      <x:c r="M49" s="83" t="str">
        <x:v>S03</x:v>
      </x:c>
      <x:c r="N49" s="120" t="str">
        <x:v>https://download.terna.it/terna/Terna_Piano_Sviluppo_2025_Benefici_sistema_analisi_robustezza_rete_8dd62ecc98b2bc9.pdf</x:v>
      </x:c>
      <x:c r="O49" s="83" t="n">
        <x:v>19</x:v>
      </x:c>
      <x:c r="P49" s="83" t="n">
        <x:v>17</x:v>
      </x:c>
      <x:c r="Q49" s="83" t="str">
        <x:v>Figure 3</x:v>
      </x:c>
      <x:c r="R49" s="83" t="str">
        <x:v>Direct visual transcription; CA-SI 4.15 GW retained from 1.55+0.50+2.10 despite 4.1-GW rounded label</x:v>
      </x:c>
      <x:c r="S49" s="83" t="str">
        <x:v>A/B — Direct figure; rounded graphical labels</x:v>
      </x:c>
      <x:c r="T49" s="83" t="str">
        <x:v>Trajectory / QA</x:v>
      </x:c>
      <x:c r="U49" s="83" t="str">
        <x:v>Figure 3 is the authoritative corridor-level value; project increments are not mechanically additive because network interactions and modelling updates apply.</x:v>
      </x:c>
    </x:row>
    <x:row r="50">
      <x:c r="A50" s="83" t="str">
        <x:v>PDS-046</x:v>
      </x:c>
      <x:c r="B50" s="83" t="str">
        <x:v>PDS 2025 updated reference network</x:v>
      </x:c>
      <x:c r="C50" s="83" t="n">
        <x:v>2035</x:v>
      </x:c>
      <x:c r="D50" s="83" t="str">
        <x:v>Reference network for ACB / PDS 2025</x:v>
      </x:c>
      <x:c r="E50" s="83" t="str">
        <x:v>SARD</x:v>
      </x:c>
      <x:c r="F50" s="83" t="str">
        <x:v>CSUD</x:v>
      </x:c>
      <x:c r="G50" s="143" t="n">
        <x:v>900</x:v>
      </x:c>
      <x:c r="H50" s="197" t="n">
        <x:f>IF(G50="","",G50/1000)</x:f>
        <x:v>0.9</x:v>
      </x:c>
      <x:c r="I50" s="143" t="n">
        <x:v>0</x:v>
      </x:c>
      <x:c r="J50" s="83" t="str">
        <x:v>Maximum market exchange limit</x:v>
      </x:c>
      <x:c r="K50" s="83" t="str">
        <x:v>Directional</x:v>
      </x:c>
      <x:c r="L50" s="83" t="str">
        <x:v>Prospective</x:v>
      </x:c>
      <x:c r="M50" s="83" t="str">
        <x:v>S03</x:v>
      </x:c>
      <x:c r="N50" s="120" t="str">
        <x:v>https://download.terna.it/terna/Terna_Piano_Sviluppo_2025_Benefici_sistema_analisi_robustezza_rete_8dd62ecc98b2bc9.pdf</x:v>
      </x:c>
      <x:c r="O50" s="83" t="n">
        <x:v>19</x:v>
      </x:c>
      <x:c r="P50" s="83" t="n">
        <x:v>17</x:v>
      </x:c>
      <x:c r="Q50" s="83" t="str">
        <x:v>Figure 3</x:v>
      </x:c>
      <x:c r="R50" s="83" t="str">
        <x:v>Direct visual transcription; CA-SI 4.15 GW retained from 1.55+0.50+2.10 despite 4.1-GW rounded label</x:v>
      </x:c>
      <x:c r="S50" s="83" t="str">
        <x:v>A/B — Direct figure; rounded graphical labels</x:v>
      </x:c>
      <x:c r="T50" s="83" t="str">
        <x:v>Trajectory / QA</x:v>
      </x:c>
      <x:c r="U50" s="83" t="str">
        <x:v>Figure 3 is the authoritative corridor-level value; project increments are not mechanically additive because network interactions and modelling updates apply.</x:v>
      </x:c>
    </x:row>
    <x:row r="51">
      <x:c r="A51" s="83" t="str">
        <x:v>PDS-047</x:v>
      </x:c>
      <x:c r="B51" s="83" t="str">
        <x:v>PDS 2025 updated reference network</x:v>
      </x:c>
      <x:c r="C51" s="83" t="n">
        <x:v>2040</x:v>
      </x:c>
      <x:c r="D51" s="83" t="str">
        <x:v>Reference network for ACB / PDS 2025</x:v>
      </x:c>
      <x:c r="E51" s="83" t="str">
        <x:v>CSUD</x:v>
      </x:c>
      <x:c r="F51" s="83" t="str">
        <x:v>SARD</x:v>
      </x:c>
      <x:c r="G51" s="143" t="n">
        <x:v>1720</x:v>
      </x:c>
      <x:c r="H51" s="197" t="n">
        <x:f>IF(G51="","",G51/1000)</x:f>
        <x:v>1.72</x:v>
      </x:c>
      <x:c r="I51" s="143" t="n">
        <x:v>1000</x:v>
      </x:c>
      <x:c r="J51" s="83" t="str">
        <x:v>Maximum market exchange limit</x:v>
      </x:c>
      <x:c r="K51" s="83" t="str">
        <x:v>Directional</x:v>
      </x:c>
      <x:c r="L51" s="83" t="str">
        <x:v>Prospective</x:v>
      </x:c>
      <x:c r="M51" s="83" t="str">
        <x:v>S03</x:v>
      </x:c>
      <x:c r="N51" s="120" t="str">
        <x:v>https://download.terna.it/terna/Terna_Piano_Sviluppo_2025_Benefici_sistema_analisi_robustezza_rete_8dd62ecc98b2bc9.pdf</x:v>
      </x:c>
      <x:c r="O51" s="83" t="n">
        <x:v>19</x:v>
      </x:c>
      <x:c r="P51" s="83" t="n">
        <x:v>17</x:v>
      </x:c>
      <x:c r="Q51" s="83" t="str">
        <x:v>Figure 3</x:v>
      </x:c>
      <x:c r="R51" s="83" t="str">
        <x:v>Direct visual transcription; CA-SI 4.15 GW retained from 1.55+0.50+2.10 despite 4.1-GW rounded label</x:v>
      </x:c>
      <x:c r="S51" s="83" t="str">
        <x:v>A/B — Direct figure; rounded graphical labels</x:v>
      </x:c>
      <x:c r="T51" s="83" t="str">
        <x:v>Primary internal-link capacity for 2040 Base</x:v>
      </x:c>
      <x:c r="U51" s="83" t="str">
        <x:v>Figure 3 is the authoritative corridor-level value; project increments are not mechanically additive because network interactions and modelling updates apply.</x:v>
      </x:c>
    </x:row>
    <x:row r="52">
      <x:c r="A52" s="83" t="str">
        <x:v>PDS-048</x:v>
      </x:c>
      <x:c r="B52" s="83" t="str">
        <x:v>PDS 2025 updated reference network</x:v>
      </x:c>
      <x:c r="C52" s="83" t="n">
        <x:v>2040</x:v>
      </x:c>
      <x:c r="D52" s="83" t="str">
        <x:v>Reference network for ACB / PDS 2025</x:v>
      </x:c>
      <x:c r="E52" s="83" t="str">
        <x:v>SARD</x:v>
      </x:c>
      <x:c r="F52" s="83" t="str">
        <x:v>CSUD</x:v>
      </x:c>
      <x:c r="G52" s="143" t="n">
        <x:v>1900</x:v>
      </x:c>
      <x:c r="H52" s="197" t="n">
        <x:f>IF(G52="","",G52/1000)</x:f>
        <x:v>1.9</x:v>
      </x:c>
      <x:c r="I52" s="143" t="n">
        <x:v>1000</x:v>
      </x:c>
      <x:c r="J52" s="83" t="str">
        <x:v>Maximum market exchange limit</x:v>
      </x:c>
      <x:c r="K52" s="83" t="str">
        <x:v>Directional</x:v>
      </x:c>
      <x:c r="L52" s="83" t="str">
        <x:v>Prospective</x:v>
      </x:c>
      <x:c r="M52" s="83" t="str">
        <x:v>S03</x:v>
      </x:c>
      <x:c r="N52" s="120" t="str">
        <x:v>https://download.terna.it/terna/Terna_Piano_Sviluppo_2025_Benefici_sistema_analisi_robustezza_rete_8dd62ecc98b2bc9.pdf</x:v>
      </x:c>
      <x:c r="O52" s="83" t="n">
        <x:v>19</x:v>
      </x:c>
      <x:c r="P52" s="83" t="n">
        <x:v>17</x:v>
      </x:c>
      <x:c r="Q52" s="83" t="str">
        <x:v>Figure 3</x:v>
      </x:c>
      <x:c r="R52" s="83" t="str">
        <x:v>Direct visual transcription; CA-SI 4.15 GW retained from 1.55+0.50+2.10 despite 4.1-GW rounded label</x:v>
      </x:c>
      <x:c r="S52" s="83" t="str">
        <x:v>A/B — Direct figure; rounded graphical labels</x:v>
      </x:c>
      <x:c r="T52" s="83" t="str">
        <x:v>Primary internal-link capacity for 2040 Base</x:v>
      </x:c>
      <x:c r="U52" s="83" t="str">
        <x:v>Figure 3 is the authoritative corridor-level value; project increments are not mechanically additive because network interactions and modelling updates apply.</x:v>
      </x:c>
    </x:row>
    <x:row r="53">
      <x:c r="A53" s="83" t="str">
        <x:v>PDS-049</x:v>
      </x:c>
      <x:c r="B53" s="83" t="str">
        <x:v>PDS 2025 updated reference network</x:v>
      </x:c>
      <x:c r="C53" s="83" t="n">
        <x:v>2024</x:v>
      </x:c>
      <x:c r="D53" s="83" t="str">
        <x:v>Reference network for ACB / PDS 2025</x:v>
      </x:c>
      <x:c r="E53" s="83" t="str">
        <x:v>CNOR</x:v>
      </x:c>
      <x:c r="F53" s="83" t="str">
        <x:v>CORS</x:v>
      </x:c>
      <x:c r="G53" s="143" t="n">
        <x:v>300</x:v>
      </x:c>
      <x:c r="H53" s="197" t="n">
        <x:f>IF(G53="","",G53/1000)</x:f>
        <x:v>0.3</x:v>
      </x:c>
      <x:c r="I53" s="143"/>
      <x:c r="J53" s="83" t="str">
        <x:v>Maximum market exchange limit</x:v>
      </x:c>
      <x:c r="K53" s="83" t="str">
        <x:v>Directional</x:v>
      </x:c>
      <x:c r="L53" s="83" t="str">
        <x:v>Current maximum</x:v>
      </x:c>
      <x:c r="M53" s="83" t="str">
        <x:v>S03</x:v>
      </x:c>
      <x:c r="N53" s="120" t="str">
        <x:v>https://download.terna.it/terna/Terna_Piano_Sviluppo_2025_Benefici_sistema_analisi_robustezza_rete_8dd62ecc98b2bc9.pdf</x:v>
      </x:c>
      <x:c r="O53" s="83" t="n">
        <x:v>19</x:v>
      </x:c>
      <x:c r="P53" s="83" t="n">
        <x:v>17</x:v>
      </x:c>
      <x:c r="Q53" s="83" t="str">
        <x:v>Figure 3</x:v>
      </x:c>
      <x:c r="R53" s="83" t="str">
        <x:v>Direct visual transcription; CA-SI 4.15 GW retained from 1.55+0.50+2.10 despite 4.1-GW rounded label</x:v>
      </x:c>
      <x:c r="S53" s="83" t="str">
        <x:v>A/B — Direct figure; rounded graphical labels</x:v>
      </x:c>
      <x:c r="T53" s="83" t="str">
        <x:v>Trajectory / QA</x:v>
      </x:c>
      <x:c r="U53" s="83" t="str">
        <x:v>Figure 3 is the authoritative corridor-level value; project increments are not mechanically additive because network interactions and modelling updates apply.</x:v>
      </x:c>
    </x:row>
    <x:row r="54">
      <x:c r="A54" s="83" t="str">
        <x:v>PDS-050</x:v>
      </x:c>
      <x:c r="B54" s="83" t="str">
        <x:v>PDS 2025 updated reference network</x:v>
      </x:c>
      <x:c r="C54" s="83" t="n">
        <x:v>2024</x:v>
      </x:c>
      <x:c r="D54" s="83" t="str">
        <x:v>Reference network for ACB / PDS 2025</x:v>
      </x:c>
      <x:c r="E54" s="83" t="str">
        <x:v>CORS</x:v>
      </x:c>
      <x:c r="F54" s="83" t="str">
        <x:v>CNOR</x:v>
      </x:c>
      <x:c r="G54" s="143" t="n">
        <x:v>300</x:v>
      </x:c>
      <x:c r="H54" s="197" t="n">
        <x:f>IF(G54="","",G54/1000)</x:f>
        <x:v>0.3</x:v>
      </x:c>
      <x:c r="I54" s="143"/>
      <x:c r="J54" s="83" t="str">
        <x:v>Maximum market exchange limit</x:v>
      </x:c>
      <x:c r="K54" s="83" t="str">
        <x:v>Directional</x:v>
      </x:c>
      <x:c r="L54" s="83" t="str">
        <x:v>Current maximum</x:v>
      </x:c>
      <x:c r="M54" s="83" t="str">
        <x:v>S03</x:v>
      </x:c>
      <x:c r="N54" s="120" t="str">
        <x:v>https://download.terna.it/terna/Terna_Piano_Sviluppo_2025_Benefici_sistema_analisi_robustezza_rete_8dd62ecc98b2bc9.pdf</x:v>
      </x:c>
      <x:c r="O54" s="83" t="n">
        <x:v>19</x:v>
      </x:c>
      <x:c r="P54" s="83" t="n">
        <x:v>17</x:v>
      </x:c>
      <x:c r="Q54" s="83" t="str">
        <x:v>Figure 3</x:v>
      </x:c>
      <x:c r="R54" s="83" t="str">
        <x:v>Direct visual transcription; CA-SI 4.15 GW retained from 1.55+0.50+2.10 despite 4.1-GW rounded label</x:v>
      </x:c>
      <x:c r="S54" s="83" t="str">
        <x:v>A/B — Direct figure; rounded graphical labels</x:v>
      </x:c>
      <x:c r="T54" s="83" t="str">
        <x:v>Trajectory / QA</x:v>
      </x:c>
      <x:c r="U54" s="83" t="str">
        <x:v>Figure 3 is the authoritative corridor-level value; project increments are not mechanically additive because network interactions and modelling updates apply.</x:v>
      </x:c>
    </x:row>
    <x:row r="55">
      <x:c r="A55" s="83" t="str">
        <x:v>PDS-051</x:v>
      </x:c>
      <x:c r="B55" s="83" t="str">
        <x:v>PDS 2025 updated reference network</x:v>
      </x:c>
      <x:c r="C55" s="83" t="n">
        <x:v>2030</x:v>
      </x:c>
      <x:c r="D55" s="83" t="str">
        <x:v>Reference network for ACB / PDS 2025</x:v>
      </x:c>
      <x:c r="E55" s="83" t="str">
        <x:v>CNOR</x:v>
      </x:c>
      <x:c r="F55" s="83" t="str">
        <x:v>CORS</x:v>
      </x:c>
      <x:c r="G55" s="143" t="n">
        <x:v>400</x:v>
      </x:c>
      <x:c r="H55" s="197" t="n">
        <x:f>IF(G55="","",G55/1000)</x:f>
        <x:v>0.4</x:v>
      </x:c>
      <x:c r="I55" s="143" t="n">
        <x:v>100</x:v>
      </x:c>
      <x:c r="J55" s="83" t="str">
        <x:v>Maximum market exchange limit</x:v>
      </x:c>
      <x:c r="K55" s="83" t="str">
        <x:v>Directional</x:v>
      </x:c>
      <x:c r="L55" s="83" t="str">
        <x:v>Prospective</x:v>
      </x:c>
      <x:c r="M55" s="83" t="str">
        <x:v>S03</x:v>
      </x:c>
      <x:c r="N55" s="120" t="str">
        <x:v>https://download.terna.it/terna/Terna_Piano_Sviluppo_2025_Benefici_sistema_analisi_robustezza_rete_8dd62ecc98b2bc9.pdf</x:v>
      </x:c>
      <x:c r="O55" s="83" t="n">
        <x:v>19</x:v>
      </x:c>
      <x:c r="P55" s="83" t="n">
        <x:v>17</x:v>
      </x:c>
      <x:c r="Q55" s="83" t="str">
        <x:v>Figure 3</x:v>
      </x:c>
      <x:c r="R55" s="83" t="str">
        <x:v>Direct visual transcription; CA-SI 4.15 GW retained from 1.55+0.50+2.10 despite 4.1-GW rounded label</x:v>
      </x:c>
      <x:c r="S55" s="83" t="str">
        <x:v>A/B — Direct figure; rounded graphical labels</x:v>
      </x:c>
      <x:c r="T55" s="83" t="str">
        <x:v>Trajectory / QA</x:v>
      </x:c>
      <x:c r="U55" s="83" t="str">
        <x:v>Figure 3 is the authoritative corridor-level value; project increments are not mechanically additive because network interactions and modelling updates apply.</x:v>
      </x:c>
    </x:row>
    <x:row r="56">
      <x:c r="A56" s="83" t="str">
        <x:v>PDS-052</x:v>
      </x:c>
      <x:c r="B56" s="83" t="str">
        <x:v>PDS 2025 updated reference network</x:v>
      </x:c>
      <x:c r="C56" s="83" t="n">
        <x:v>2030</x:v>
      </x:c>
      <x:c r="D56" s="83" t="str">
        <x:v>Reference network for ACB / PDS 2025</x:v>
      </x:c>
      <x:c r="E56" s="83" t="str">
        <x:v>CORS</x:v>
      </x:c>
      <x:c r="F56" s="83" t="str">
        <x:v>CNOR</x:v>
      </x:c>
      <x:c r="G56" s="143" t="n">
        <x:v>400</x:v>
      </x:c>
      <x:c r="H56" s="197" t="n">
        <x:f>IF(G56="","",G56/1000)</x:f>
        <x:v>0.4</x:v>
      </x:c>
      <x:c r="I56" s="143" t="n">
        <x:v>100</x:v>
      </x:c>
      <x:c r="J56" s="83" t="str">
        <x:v>Maximum market exchange limit</x:v>
      </x:c>
      <x:c r="K56" s="83" t="str">
        <x:v>Directional</x:v>
      </x:c>
      <x:c r="L56" s="83" t="str">
        <x:v>Prospective</x:v>
      </x:c>
      <x:c r="M56" s="83" t="str">
        <x:v>S03</x:v>
      </x:c>
      <x:c r="N56" s="120" t="str">
        <x:v>https://download.terna.it/terna/Terna_Piano_Sviluppo_2025_Benefici_sistema_analisi_robustezza_rete_8dd62ecc98b2bc9.pdf</x:v>
      </x:c>
      <x:c r="O56" s="83" t="n">
        <x:v>19</x:v>
      </x:c>
      <x:c r="P56" s="83" t="n">
        <x:v>17</x:v>
      </x:c>
      <x:c r="Q56" s="83" t="str">
        <x:v>Figure 3</x:v>
      </x:c>
      <x:c r="R56" s="83" t="str">
        <x:v>Direct visual transcription; CA-SI 4.15 GW retained from 1.55+0.50+2.10 despite 4.1-GW rounded label</x:v>
      </x:c>
      <x:c r="S56" s="83" t="str">
        <x:v>A/B — Direct figure; rounded graphical labels</x:v>
      </x:c>
      <x:c r="T56" s="83" t="str">
        <x:v>Trajectory / QA</x:v>
      </x:c>
      <x:c r="U56" s="83" t="str">
        <x:v>Figure 3 is the authoritative corridor-level value; project increments are not mechanically additive because network interactions and modelling updates apply.</x:v>
      </x:c>
    </x:row>
    <x:row r="57">
      <x:c r="A57" s="83" t="str">
        <x:v>PDS-053</x:v>
      </x:c>
      <x:c r="B57" s="83" t="str">
        <x:v>PDS 2025 updated reference network</x:v>
      </x:c>
      <x:c r="C57" s="83" t="n">
        <x:v>2035</x:v>
      </x:c>
      <x:c r="D57" s="83" t="str">
        <x:v>Reference network for ACB / PDS 2025</x:v>
      </x:c>
      <x:c r="E57" s="83" t="str">
        <x:v>CNOR</x:v>
      </x:c>
      <x:c r="F57" s="83" t="str">
        <x:v>CORS</x:v>
      </x:c>
      <x:c r="G57" s="143" t="n">
        <x:v>400</x:v>
      </x:c>
      <x:c r="H57" s="197" t="n">
        <x:f>IF(G57="","",G57/1000)</x:f>
        <x:v>0.4</x:v>
      </x:c>
      <x:c r="I57" s="143" t="n">
        <x:v>0</x:v>
      </x:c>
      <x:c r="J57" s="83" t="str">
        <x:v>Maximum market exchange limit</x:v>
      </x:c>
      <x:c r="K57" s="83" t="str">
        <x:v>Directional</x:v>
      </x:c>
      <x:c r="L57" s="83" t="str">
        <x:v>Prospective</x:v>
      </x:c>
      <x:c r="M57" s="83" t="str">
        <x:v>S03</x:v>
      </x:c>
      <x:c r="N57" s="120" t="str">
        <x:v>https://download.terna.it/terna/Terna_Piano_Sviluppo_2025_Benefici_sistema_analisi_robustezza_rete_8dd62ecc98b2bc9.pdf</x:v>
      </x:c>
      <x:c r="O57" s="83" t="n">
        <x:v>19</x:v>
      </x:c>
      <x:c r="P57" s="83" t="n">
        <x:v>17</x:v>
      </x:c>
      <x:c r="Q57" s="83" t="str">
        <x:v>Figure 3</x:v>
      </x:c>
      <x:c r="R57" s="83" t="str">
        <x:v>Direct visual transcription; CA-SI 4.15 GW retained from 1.55+0.50+2.10 despite 4.1-GW rounded label</x:v>
      </x:c>
      <x:c r="S57" s="83" t="str">
        <x:v>A/B — Direct figure; rounded graphical labels</x:v>
      </x:c>
      <x:c r="T57" s="83" t="str">
        <x:v>Trajectory / QA</x:v>
      </x:c>
      <x:c r="U57" s="83" t="str">
        <x:v>Figure 3 is the authoritative corridor-level value; project increments are not mechanically additive because network interactions and modelling updates apply.</x:v>
      </x:c>
    </x:row>
    <x:row r="58">
      <x:c r="A58" s="83" t="str">
        <x:v>PDS-054</x:v>
      </x:c>
      <x:c r="B58" s="83" t="str">
        <x:v>PDS 2025 updated reference network</x:v>
      </x:c>
      <x:c r="C58" s="83" t="n">
        <x:v>2035</x:v>
      </x:c>
      <x:c r="D58" s="83" t="str">
        <x:v>Reference network for ACB / PDS 2025</x:v>
      </x:c>
      <x:c r="E58" s="83" t="str">
        <x:v>CORS</x:v>
      </x:c>
      <x:c r="F58" s="83" t="str">
        <x:v>CNOR</x:v>
      </x:c>
      <x:c r="G58" s="143" t="n">
        <x:v>400</x:v>
      </x:c>
      <x:c r="H58" s="197" t="n">
        <x:f>IF(G58="","",G58/1000)</x:f>
        <x:v>0.4</x:v>
      </x:c>
      <x:c r="I58" s="143" t="n">
        <x:v>0</x:v>
      </x:c>
      <x:c r="J58" s="83" t="str">
        <x:v>Maximum market exchange limit</x:v>
      </x:c>
      <x:c r="K58" s="83" t="str">
        <x:v>Directional</x:v>
      </x:c>
      <x:c r="L58" s="83" t="str">
        <x:v>Prospective</x:v>
      </x:c>
      <x:c r="M58" s="83" t="str">
        <x:v>S03</x:v>
      </x:c>
      <x:c r="N58" s="120" t="str">
        <x:v>https://download.terna.it/terna/Terna_Piano_Sviluppo_2025_Benefici_sistema_analisi_robustezza_rete_8dd62ecc98b2bc9.pdf</x:v>
      </x:c>
      <x:c r="O58" s="83" t="n">
        <x:v>19</x:v>
      </x:c>
      <x:c r="P58" s="83" t="n">
        <x:v>17</x:v>
      </x:c>
      <x:c r="Q58" s="83" t="str">
        <x:v>Figure 3</x:v>
      </x:c>
      <x:c r="R58" s="83" t="str">
        <x:v>Direct visual transcription; CA-SI 4.15 GW retained from 1.55+0.50+2.10 despite 4.1-GW rounded label</x:v>
      </x:c>
      <x:c r="S58" s="83" t="str">
        <x:v>A/B — Direct figure; rounded graphical labels</x:v>
      </x:c>
      <x:c r="T58" s="83" t="str">
        <x:v>Trajectory / QA</x:v>
      </x:c>
      <x:c r="U58" s="83" t="str">
        <x:v>Figure 3 is the authoritative corridor-level value; project increments are not mechanically additive because network interactions and modelling updates apply.</x:v>
      </x:c>
    </x:row>
    <x:row r="59">
      <x:c r="A59" s="83" t="str">
        <x:v>PDS-055</x:v>
      </x:c>
      <x:c r="B59" s="83" t="str">
        <x:v>PDS 2025 updated reference network</x:v>
      </x:c>
      <x:c r="C59" s="83" t="n">
        <x:v>2040</x:v>
      </x:c>
      <x:c r="D59" s="83" t="str">
        <x:v>Reference network for ACB / PDS 2025</x:v>
      </x:c>
      <x:c r="E59" s="83" t="str">
        <x:v>CNOR</x:v>
      </x:c>
      <x:c r="F59" s="83" t="str">
        <x:v>CORS</x:v>
      </x:c>
      <x:c r="G59" s="143" t="n">
        <x:v>400</x:v>
      </x:c>
      <x:c r="H59" s="197" t="n">
        <x:f>IF(G59="","",G59/1000)</x:f>
        <x:v>0.4</x:v>
      </x:c>
      <x:c r="I59" s="143" t="n">
        <x:v>0</x:v>
      </x:c>
      <x:c r="J59" s="83" t="str">
        <x:v>Maximum market exchange limit</x:v>
      </x:c>
      <x:c r="K59" s="83" t="str">
        <x:v>Directional</x:v>
      </x:c>
      <x:c r="L59" s="83" t="str">
        <x:v>Prospective</x:v>
      </x:c>
      <x:c r="M59" s="83" t="str">
        <x:v>S03</x:v>
      </x:c>
      <x:c r="N59" s="120" t="str">
        <x:v>https://download.terna.it/terna/Terna_Piano_Sviluppo_2025_Benefici_sistema_analisi_robustezza_rete_8dd62ecc98b2bc9.pdf</x:v>
      </x:c>
      <x:c r="O59" s="83" t="n">
        <x:v>19</x:v>
      </x:c>
      <x:c r="P59" s="83" t="n">
        <x:v>17</x:v>
      </x:c>
      <x:c r="Q59" s="83" t="str">
        <x:v>Figure 3</x:v>
      </x:c>
      <x:c r="R59" s="83" t="str">
        <x:v>Direct visual transcription; CA-SI 4.15 GW retained from 1.55+0.50+2.10 despite 4.1-GW rounded label</x:v>
      </x:c>
      <x:c r="S59" s="83" t="str">
        <x:v>A/B — Direct figure; rounded graphical labels</x:v>
      </x:c>
      <x:c r="T59" s="83" t="str">
        <x:v>Primary internal-link capacity for 2040 Base</x:v>
      </x:c>
      <x:c r="U59" s="83" t="str">
        <x:v>Figure 3 is the authoritative corridor-level value; project increments are not mechanically additive because network interactions and modelling updates apply.</x:v>
      </x:c>
    </x:row>
    <x:row r="60">
      <x:c r="A60" s="83" t="str">
        <x:v>PDS-056</x:v>
      </x:c>
      <x:c r="B60" s="83" t="str">
        <x:v>PDS 2025 updated reference network</x:v>
      </x:c>
      <x:c r="C60" s="83" t="n">
        <x:v>2040</x:v>
      </x:c>
      <x:c r="D60" s="83" t="str">
        <x:v>Reference network for ACB / PDS 2025</x:v>
      </x:c>
      <x:c r="E60" s="83" t="str">
        <x:v>CORS</x:v>
      </x:c>
      <x:c r="F60" s="83" t="str">
        <x:v>CNOR</x:v>
      </x:c>
      <x:c r="G60" s="143" t="n">
        <x:v>400</x:v>
      </x:c>
      <x:c r="H60" s="197" t="n">
        <x:f>IF(G60="","",G60/1000)</x:f>
        <x:v>0.4</x:v>
      </x:c>
      <x:c r="I60" s="143" t="n">
        <x:v>0</x:v>
      </x:c>
      <x:c r="J60" s="83" t="str">
        <x:v>Maximum market exchange limit</x:v>
      </x:c>
      <x:c r="K60" s="83" t="str">
        <x:v>Directional</x:v>
      </x:c>
      <x:c r="L60" s="83" t="str">
        <x:v>Prospective</x:v>
      </x:c>
      <x:c r="M60" s="83" t="str">
        <x:v>S03</x:v>
      </x:c>
      <x:c r="N60" s="120" t="str">
        <x:v>https://download.terna.it/terna/Terna_Piano_Sviluppo_2025_Benefici_sistema_analisi_robustezza_rete_8dd62ecc98b2bc9.pdf</x:v>
      </x:c>
      <x:c r="O60" s="83" t="n">
        <x:v>19</x:v>
      </x:c>
      <x:c r="P60" s="83" t="n">
        <x:v>17</x:v>
      </x:c>
      <x:c r="Q60" s="83" t="str">
        <x:v>Figure 3</x:v>
      </x:c>
      <x:c r="R60" s="83" t="str">
        <x:v>Direct visual transcription; CA-SI 4.15 GW retained from 1.55+0.50+2.10 despite 4.1-GW rounded label</x:v>
      </x:c>
      <x:c r="S60" s="83" t="str">
        <x:v>A/B — Direct figure; rounded graphical labels</x:v>
      </x:c>
      <x:c r="T60" s="83" t="str">
        <x:v>Primary internal-link capacity for 2040 Base</x:v>
      </x:c>
      <x:c r="U60" s="83" t="str">
        <x:v>Figure 3 is the authoritative corridor-level value; project increments are not mechanically additive because network interactions and modelling updates apply.</x:v>
      </x:c>
    </x:row>
    <x:row r="61">
      <x:c r="A61" s="83" t="str">
        <x:v>PDS-057</x:v>
      </x:c>
      <x:c r="B61" s="83" t="str">
        <x:v>PDS 2025 updated reference network</x:v>
      </x:c>
      <x:c r="C61" s="83" t="n">
        <x:v>2024</x:v>
      </x:c>
      <x:c r="D61" s="83" t="str">
        <x:v>Reference network for ACB / PDS 2025</x:v>
      </x:c>
      <x:c r="E61" s="83" t="str">
        <x:v>CORS</x:v>
      </x:c>
      <x:c r="F61" s="83" t="str">
        <x:v>SARD</x:v>
      </x:c>
      <x:c r="G61" s="143" t="n">
        <x:v>300</x:v>
      </x:c>
      <x:c r="H61" s="197" t="n">
        <x:f>IF(G61="","",G61/1000)</x:f>
        <x:v>0.3</x:v>
      </x:c>
      <x:c r="I61" s="143"/>
      <x:c r="J61" s="83" t="str">
        <x:v>Maximum market exchange limit</x:v>
      </x:c>
      <x:c r="K61" s="83" t="str">
        <x:v>Directional</x:v>
      </x:c>
      <x:c r="L61" s="83" t="str">
        <x:v>Current maximum</x:v>
      </x:c>
      <x:c r="M61" s="83" t="str">
        <x:v>S03</x:v>
      </x:c>
      <x:c r="N61" s="120" t="str">
        <x:v>https://download.terna.it/terna/Terna_Piano_Sviluppo_2025_Benefici_sistema_analisi_robustezza_rete_8dd62ecc98b2bc9.pdf</x:v>
      </x:c>
      <x:c r="O61" s="83" t="n">
        <x:v>19</x:v>
      </x:c>
      <x:c r="P61" s="83" t="n">
        <x:v>17</x:v>
      </x:c>
      <x:c r="Q61" s="83" t="str">
        <x:v>Figure 3</x:v>
      </x:c>
      <x:c r="R61" s="83" t="str">
        <x:v>Direct visual transcription; CA-SI 4.15 GW retained from 1.55+0.50+2.10 despite 4.1-GW rounded label</x:v>
      </x:c>
      <x:c r="S61" s="83" t="str">
        <x:v>A/B — Direct figure; rounded graphical labels</x:v>
      </x:c>
      <x:c r="T61" s="83" t="str">
        <x:v>Trajectory / QA</x:v>
      </x:c>
      <x:c r="U61" s="83" t="str">
        <x:v>Figure 3 is the authoritative corridor-level value; project increments are not mechanically additive because network interactions and modelling updates apply.</x:v>
      </x:c>
    </x:row>
    <x:row r="62">
      <x:c r="A62" s="83" t="str">
        <x:v>PDS-058</x:v>
      </x:c>
      <x:c r="B62" s="83" t="str">
        <x:v>PDS 2025 updated reference network</x:v>
      </x:c>
      <x:c r="C62" s="83" t="n">
        <x:v>2024</x:v>
      </x:c>
      <x:c r="D62" s="83" t="str">
        <x:v>Reference network for ACB / PDS 2025</x:v>
      </x:c>
      <x:c r="E62" s="83" t="str">
        <x:v>SARD</x:v>
      </x:c>
      <x:c r="F62" s="83" t="str">
        <x:v>CORS</x:v>
      </x:c>
      <x:c r="G62" s="143" t="n">
        <x:v>300</x:v>
      </x:c>
      <x:c r="H62" s="197" t="n">
        <x:f>IF(G62="","",G62/1000)</x:f>
        <x:v>0.3</x:v>
      </x:c>
      <x:c r="I62" s="143"/>
      <x:c r="J62" s="83" t="str">
        <x:v>Maximum market exchange limit</x:v>
      </x:c>
      <x:c r="K62" s="83" t="str">
        <x:v>Directional</x:v>
      </x:c>
      <x:c r="L62" s="83" t="str">
        <x:v>Current maximum</x:v>
      </x:c>
      <x:c r="M62" s="83" t="str">
        <x:v>S03</x:v>
      </x:c>
      <x:c r="N62" s="120" t="str">
        <x:v>https://download.terna.it/terna/Terna_Piano_Sviluppo_2025_Benefici_sistema_analisi_robustezza_rete_8dd62ecc98b2bc9.pdf</x:v>
      </x:c>
      <x:c r="O62" s="83" t="n">
        <x:v>19</x:v>
      </x:c>
      <x:c r="P62" s="83" t="n">
        <x:v>17</x:v>
      </x:c>
      <x:c r="Q62" s="83" t="str">
        <x:v>Figure 3</x:v>
      </x:c>
      <x:c r="R62" s="83" t="str">
        <x:v>Direct visual transcription; CA-SI 4.15 GW retained from 1.55+0.50+2.10 despite 4.1-GW rounded label</x:v>
      </x:c>
      <x:c r="S62" s="83" t="str">
        <x:v>A/B — Direct figure; rounded graphical labels</x:v>
      </x:c>
      <x:c r="T62" s="83" t="str">
        <x:v>Trajectory / QA</x:v>
      </x:c>
      <x:c r="U62" s="83" t="str">
        <x:v>Figure 3 is the authoritative corridor-level value; project increments are not mechanically additive because network interactions and modelling updates apply.</x:v>
      </x:c>
    </x:row>
    <x:row r="63">
      <x:c r="A63" s="83" t="str">
        <x:v>PDS-059</x:v>
      </x:c>
      <x:c r="B63" s="83" t="str">
        <x:v>PDS 2025 updated reference network</x:v>
      </x:c>
      <x:c r="C63" s="83" t="n">
        <x:v>2030</x:v>
      </x:c>
      <x:c r="D63" s="83" t="str">
        <x:v>Reference network for ACB / PDS 2025</x:v>
      </x:c>
      <x:c r="E63" s="83" t="str">
        <x:v>CORS</x:v>
      </x:c>
      <x:c r="F63" s="83" t="str">
        <x:v>SARD</x:v>
      </x:c>
      <x:c r="G63" s="143" t="n">
        <x:v>400</x:v>
      </x:c>
      <x:c r="H63" s="197" t="n">
        <x:f>IF(G63="","",G63/1000)</x:f>
        <x:v>0.4</x:v>
      </x:c>
      <x:c r="I63" s="143" t="n">
        <x:v>100</x:v>
      </x:c>
      <x:c r="J63" s="83" t="str">
        <x:v>Maximum market exchange limit</x:v>
      </x:c>
      <x:c r="K63" s="83" t="str">
        <x:v>Directional</x:v>
      </x:c>
      <x:c r="L63" s="83" t="str">
        <x:v>Prospective</x:v>
      </x:c>
      <x:c r="M63" s="83" t="str">
        <x:v>S03</x:v>
      </x:c>
      <x:c r="N63" s="120" t="str">
        <x:v>https://download.terna.it/terna/Terna_Piano_Sviluppo_2025_Benefici_sistema_analisi_robustezza_rete_8dd62ecc98b2bc9.pdf</x:v>
      </x:c>
      <x:c r="O63" s="83" t="n">
        <x:v>19</x:v>
      </x:c>
      <x:c r="P63" s="83" t="n">
        <x:v>17</x:v>
      </x:c>
      <x:c r="Q63" s="83" t="str">
        <x:v>Figure 3</x:v>
      </x:c>
      <x:c r="R63" s="83" t="str">
        <x:v>Direct visual transcription; CA-SI 4.15 GW retained from 1.55+0.50+2.10 despite 4.1-GW rounded label</x:v>
      </x:c>
      <x:c r="S63" s="83" t="str">
        <x:v>A/B — Direct figure; rounded graphical labels</x:v>
      </x:c>
      <x:c r="T63" s="83" t="str">
        <x:v>Trajectory / QA</x:v>
      </x:c>
      <x:c r="U63" s="83" t="str">
        <x:v>Figure 3 is the authoritative corridor-level value; project increments are not mechanically additive because network interactions and modelling updates apply.</x:v>
      </x:c>
    </x:row>
    <x:row r="64">
      <x:c r="A64" s="83" t="str">
        <x:v>PDS-060</x:v>
      </x:c>
      <x:c r="B64" s="83" t="str">
        <x:v>PDS 2025 updated reference network</x:v>
      </x:c>
      <x:c r="C64" s="83" t="n">
        <x:v>2030</x:v>
      </x:c>
      <x:c r="D64" s="83" t="str">
        <x:v>Reference network for ACB / PDS 2025</x:v>
      </x:c>
      <x:c r="E64" s="83" t="str">
        <x:v>SARD</x:v>
      </x:c>
      <x:c r="F64" s="83" t="str">
        <x:v>CORS</x:v>
      </x:c>
      <x:c r="G64" s="143" t="n">
        <x:v>400</x:v>
      </x:c>
      <x:c r="H64" s="197" t="n">
        <x:f>IF(G64="","",G64/1000)</x:f>
        <x:v>0.4</x:v>
      </x:c>
      <x:c r="I64" s="143" t="n">
        <x:v>100</x:v>
      </x:c>
      <x:c r="J64" s="83" t="str">
        <x:v>Maximum market exchange limit</x:v>
      </x:c>
      <x:c r="K64" s="83" t="str">
        <x:v>Directional</x:v>
      </x:c>
      <x:c r="L64" s="83" t="str">
        <x:v>Prospective</x:v>
      </x:c>
      <x:c r="M64" s="83" t="str">
        <x:v>S03</x:v>
      </x:c>
      <x:c r="N64" s="120" t="str">
        <x:v>https://download.terna.it/terna/Terna_Piano_Sviluppo_2025_Benefici_sistema_analisi_robustezza_rete_8dd62ecc98b2bc9.pdf</x:v>
      </x:c>
      <x:c r="O64" s="83" t="n">
        <x:v>19</x:v>
      </x:c>
      <x:c r="P64" s="83" t="n">
        <x:v>17</x:v>
      </x:c>
      <x:c r="Q64" s="83" t="str">
        <x:v>Figure 3</x:v>
      </x:c>
      <x:c r="R64" s="83" t="str">
        <x:v>Direct visual transcription; CA-SI 4.15 GW retained from 1.55+0.50+2.10 despite 4.1-GW rounded label</x:v>
      </x:c>
      <x:c r="S64" s="83" t="str">
        <x:v>A/B — Direct figure; rounded graphical labels</x:v>
      </x:c>
      <x:c r="T64" s="83" t="str">
        <x:v>Trajectory / QA</x:v>
      </x:c>
      <x:c r="U64" s="83" t="str">
        <x:v>Figure 3 is the authoritative corridor-level value; project increments are not mechanically additive because network interactions and modelling updates apply.</x:v>
      </x:c>
    </x:row>
    <x:row r="65">
      <x:c r="A65" s="83" t="str">
        <x:v>PDS-061</x:v>
      </x:c>
      <x:c r="B65" s="83" t="str">
        <x:v>PDS 2025 updated reference network</x:v>
      </x:c>
      <x:c r="C65" s="83" t="n">
        <x:v>2035</x:v>
      </x:c>
      <x:c r="D65" s="83" t="str">
        <x:v>Reference network for ACB / PDS 2025</x:v>
      </x:c>
      <x:c r="E65" s="83" t="str">
        <x:v>CORS</x:v>
      </x:c>
      <x:c r="F65" s="83" t="str">
        <x:v>SARD</x:v>
      </x:c>
      <x:c r="G65" s="143" t="n">
        <x:v>400</x:v>
      </x:c>
      <x:c r="H65" s="197" t="n">
        <x:f>IF(G65="","",G65/1000)</x:f>
        <x:v>0.4</x:v>
      </x:c>
      <x:c r="I65" s="143" t="n">
        <x:v>0</x:v>
      </x:c>
      <x:c r="J65" s="83" t="str">
        <x:v>Maximum market exchange limit</x:v>
      </x:c>
      <x:c r="K65" s="83" t="str">
        <x:v>Directional</x:v>
      </x:c>
      <x:c r="L65" s="83" t="str">
        <x:v>Prospective</x:v>
      </x:c>
      <x:c r="M65" s="83" t="str">
        <x:v>S03</x:v>
      </x:c>
      <x:c r="N65" s="120" t="str">
        <x:v>https://download.terna.it/terna/Terna_Piano_Sviluppo_2025_Benefici_sistema_analisi_robustezza_rete_8dd62ecc98b2bc9.pdf</x:v>
      </x:c>
      <x:c r="O65" s="83" t="n">
        <x:v>19</x:v>
      </x:c>
      <x:c r="P65" s="83" t="n">
        <x:v>17</x:v>
      </x:c>
      <x:c r="Q65" s="83" t="str">
        <x:v>Figure 3</x:v>
      </x:c>
      <x:c r="R65" s="83" t="str">
        <x:v>Direct visual transcription; CA-SI 4.15 GW retained from 1.55+0.50+2.10 despite 4.1-GW rounded label</x:v>
      </x:c>
      <x:c r="S65" s="83" t="str">
        <x:v>A/B — Direct figure; rounded graphical labels</x:v>
      </x:c>
      <x:c r="T65" s="83" t="str">
        <x:v>Trajectory / QA</x:v>
      </x:c>
      <x:c r="U65" s="83" t="str">
        <x:v>Figure 3 is the authoritative corridor-level value; project increments are not mechanically additive because network interactions and modelling updates apply.</x:v>
      </x:c>
    </x:row>
    <x:row r="66">
      <x:c r="A66" s="83" t="str">
        <x:v>PDS-062</x:v>
      </x:c>
      <x:c r="B66" s="83" t="str">
        <x:v>PDS 2025 updated reference network</x:v>
      </x:c>
      <x:c r="C66" s="83" t="n">
        <x:v>2035</x:v>
      </x:c>
      <x:c r="D66" s="83" t="str">
        <x:v>Reference network for ACB / PDS 2025</x:v>
      </x:c>
      <x:c r="E66" s="83" t="str">
        <x:v>SARD</x:v>
      </x:c>
      <x:c r="F66" s="83" t="str">
        <x:v>CORS</x:v>
      </x:c>
      <x:c r="G66" s="143" t="n">
        <x:v>400</x:v>
      </x:c>
      <x:c r="H66" s="197" t="n">
        <x:f>IF(G66="","",G66/1000)</x:f>
        <x:v>0.4</x:v>
      </x:c>
      <x:c r="I66" s="143" t="n">
        <x:v>0</x:v>
      </x:c>
      <x:c r="J66" s="83" t="str">
        <x:v>Maximum market exchange limit</x:v>
      </x:c>
      <x:c r="K66" s="83" t="str">
        <x:v>Directional</x:v>
      </x:c>
      <x:c r="L66" s="83" t="str">
        <x:v>Prospective</x:v>
      </x:c>
      <x:c r="M66" s="83" t="str">
        <x:v>S03</x:v>
      </x:c>
      <x:c r="N66" s="120" t="str">
        <x:v>https://download.terna.it/terna/Terna_Piano_Sviluppo_2025_Benefici_sistema_analisi_robustezza_rete_8dd62ecc98b2bc9.pdf</x:v>
      </x:c>
      <x:c r="O66" s="83" t="n">
        <x:v>19</x:v>
      </x:c>
      <x:c r="P66" s="83" t="n">
        <x:v>17</x:v>
      </x:c>
      <x:c r="Q66" s="83" t="str">
        <x:v>Figure 3</x:v>
      </x:c>
      <x:c r="R66" s="83" t="str">
        <x:v>Direct visual transcription; CA-SI 4.15 GW retained from 1.55+0.50+2.10 despite 4.1-GW rounded label</x:v>
      </x:c>
      <x:c r="S66" s="83" t="str">
        <x:v>A/B — Direct figure; rounded graphical labels</x:v>
      </x:c>
      <x:c r="T66" s="83" t="str">
        <x:v>Trajectory / QA</x:v>
      </x:c>
      <x:c r="U66" s="83" t="str">
        <x:v>Figure 3 is the authoritative corridor-level value; project increments are not mechanically additive because network interactions and modelling updates apply.</x:v>
      </x:c>
    </x:row>
    <x:row r="67">
      <x:c r="A67" s="83" t="str">
        <x:v>PDS-063</x:v>
      </x:c>
      <x:c r="B67" s="83" t="str">
        <x:v>PDS 2025 updated reference network</x:v>
      </x:c>
      <x:c r="C67" s="83" t="n">
        <x:v>2040</x:v>
      </x:c>
      <x:c r="D67" s="83" t="str">
        <x:v>Reference network for ACB / PDS 2025</x:v>
      </x:c>
      <x:c r="E67" s="83" t="str">
        <x:v>CORS</x:v>
      </x:c>
      <x:c r="F67" s="83" t="str">
        <x:v>SARD</x:v>
      </x:c>
      <x:c r="G67" s="143" t="n">
        <x:v>400</x:v>
      </x:c>
      <x:c r="H67" s="197" t="n">
        <x:f>IF(G67="","",G67/1000)</x:f>
        <x:v>0.4</x:v>
      </x:c>
      <x:c r="I67" s="143" t="n">
        <x:v>0</x:v>
      </x:c>
      <x:c r="J67" s="83" t="str">
        <x:v>Maximum market exchange limit</x:v>
      </x:c>
      <x:c r="K67" s="83" t="str">
        <x:v>Directional</x:v>
      </x:c>
      <x:c r="L67" s="83" t="str">
        <x:v>Prospective</x:v>
      </x:c>
      <x:c r="M67" s="83" t="str">
        <x:v>S03</x:v>
      </x:c>
      <x:c r="N67" s="120" t="str">
        <x:v>https://download.terna.it/terna/Terna_Piano_Sviluppo_2025_Benefici_sistema_analisi_robustezza_rete_8dd62ecc98b2bc9.pdf</x:v>
      </x:c>
      <x:c r="O67" s="83" t="n">
        <x:v>19</x:v>
      </x:c>
      <x:c r="P67" s="83" t="n">
        <x:v>17</x:v>
      </x:c>
      <x:c r="Q67" s="83" t="str">
        <x:v>Figure 3</x:v>
      </x:c>
      <x:c r="R67" s="83" t="str">
        <x:v>Direct visual transcription; CA-SI 4.15 GW retained from 1.55+0.50+2.10 despite 4.1-GW rounded label</x:v>
      </x:c>
      <x:c r="S67" s="83" t="str">
        <x:v>A/B — Direct figure; rounded graphical labels</x:v>
      </x:c>
      <x:c r="T67" s="83" t="str">
        <x:v>Primary internal-link capacity for 2040 Base</x:v>
      </x:c>
      <x:c r="U67" s="83" t="str">
        <x:v>Figure 3 is the authoritative corridor-level value; project increments are not mechanically additive because network interactions and modelling updates apply.</x:v>
      </x:c>
    </x:row>
    <x:row r="68">
      <x:c r="A68" s="83" t="str">
        <x:v>PDS-064</x:v>
      </x:c>
      <x:c r="B68" s="83" t="str">
        <x:v>PDS 2025 updated reference network</x:v>
      </x:c>
      <x:c r="C68" s="83" t="n">
        <x:v>2040</x:v>
      </x:c>
      <x:c r="D68" s="83" t="str">
        <x:v>Reference network for ACB / PDS 2025</x:v>
      </x:c>
      <x:c r="E68" s="83" t="str">
        <x:v>SARD</x:v>
      </x:c>
      <x:c r="F68" s="83" t="str">
        <x:v>CORS</x:v>
      </x:c>
      <x:c r="G68" s="143" t="n">
        <x:v>400</x:v>
      </x:c>
      <x:c r="H68" s="197" t="n">
        <x:f>IF(G68="","",G68/1000)</x:f>
        <x:v>0.4</x:v>
      </x:c>
      <x:c r="I68" s="143" t="n">
        <x:v>0</x:v>
      </x:c>
      <x:c r="J68" s="83" t="str">
        <x:v>Maximum market exchange limit</x:v>
      </x:c>
      <x:c r="K68" s="83" t="str">
        <x:v>Directional</x:v>
      </x:c>
      <x:c r="L68" s="83" t="str">
        <x:v>Prospective</x:v>
      </x:c>
      <x:c r="M68" s="83" t="str">
        <x:v>S03</x:v>
      </x:c>
      <x:c r="N68" s="120" t="str">
        <x:v>https://download.terna.it/terna/Terna_Piano_Sviluppo_2025_Benefici_sistema_analisi_robustezza_rete_8dd62ecc98b2bc9.pdf</x:v>
      </x:c>
      <x:c r="O68" s="83" t="n">
        <x:v>19</x:v>
      </x:c>
      <x:c r="P68" s="83" t="n">
        <x:v>17</x:v>
      </x:c>
      <x:c r="Q68" s="83" t="str">
        <x:v>Figure 3</x:v>
      </x:c>
      <x:c r="R68" s="83" t="str">
        <x:v>Direct visual transcription; CA-SI 4.15 GW retained from 1.55+0.50+2.10 despite 4.1-GW rounded label</x:v>
      </x:c>
      <x:c r="S68" s="83" t="str">
        <x:v>A/B — Direct figure; rounded graphical labels</x:v>
      </x:c>
      <x:c r="T68" s="83" t="str">
        <x:v>Primary internal-link capacity for 2040 Base</x:v>
      </x:c>
      <x:c r="U68" s="83" t="str">
        <x:v>Figure 3 is the authoritative corridor-level value; project increments are not mechanically additive because network interactions and modelling updates apply.</x:v>
      </x:c>
    </x:row>
    <x:row r="69">
      <x:c r="A69" s="83" t="str">
        <x:v>PDS-065</x:v>
      </x:c>
      <x:c r="B69" s="83" t="str">
        <x:v>PDS 2025 updated reference network</x:v>
      </x:c>
      <x:c r="C69" s="83" t="n">
        <x:v>2024</x:v>
      </x:c>
      <x:c r="D69" s="83" t="str">
        <x:v>Reference network for ACB / PDS 2025</x:v>
      </x:c>
      <x:c r="E69" s="83" t="str">
        <x:v>NORD</x:v>
      </x:c>
      <x:c r="F69" s="83" t="str">
        <x:v>SUD</x:v>
      </x:c>
      <x:c r="G69" s="143" t="n">
        <x:v>0</x:v>
      </x:c>
      <x:c r="H69" s="197" t="str">
        <x:f>IF(G69="","",G69/1000)</x:f>
      </x:c>
      <x:c r="I69" s="143"/>
      <x:c r="J69" s="83" t="str">
        <x:v>Maximum market exchange limit</x:v>
      </x:c>
      <x:c r="K69" s="83" t="str">
        <x:v>Directional</x:v>
      </x:c>
      <x:c r="L69" s="83" t="str">
        <x:v>Current maximum</x:v>
      </x:c>
      <x:c r="M69" s="83" t="str">
        <x:v>S03</x:v>
      </x:c>
      <x:c r="N69" s="120" t="str">
        <x:v>https://download.terna.it/terna/Terna_Piano_Sviluppo_2025_Benefici_sistema_analisi_robustezza_rete_8dd62ecc98b2bc9.pdf</x:v>
      </x:c>
      <x:c r="O69" s="83" t="n">
        <x:v>19</x:v>
      </x:c>
      <x:c r="P69" s="83" t="n">
        <x:v>17</x:v>
      </x:c>
      <x:c r="Q69" s="83" t="str">
        <x:v>Figure 3</x:v>
      </x:c>
      <x:c r="R69" s="83" t="str">
        <x:v>Direct visual transcription; CA-SI 4.15 GW retained from 1.55+0.50+2.10 despite 4.1-GW rounded label</x:v>
      </x:c>
      <x:c r="S69" s="83" t="str">
        <x:v>A/B — Direct figure; rounded graphical labels</x:v>
      </x:c>
      <x:c r="T69" s="83" t="str">
        <x:v>Trajectory / QA</x:v>
      </x:c>
      <x:c r="U69" s="83" t="str">
        <x:v>Figure 3 is the authoritative corridor-level value; project increments are not mechanically additive because network interactions and modelling updates apply.</x:v>
      </x:c>
    </x:row>
    <x:row r="70">
      <x:c r="A70" s="83" t="str">
        <x:v>PDS-066</x:v>
      </x:c>
      <x:c r="B70" s="83" t="str">
        <x:v>PDS 2025 updated reference network</x:v>
      </x:c>
      <x:c r="C70" s="83" t="n">
        <x:v>2024</x:v>
      </x:c>
      <x:c r="D70" s="83" t="str">
        <x:v>Reference network for ACB / PDS 2025</x:v>
      </x:c>
      <x:c r="E70" s="83" t="str">
        <x:v>SUD</x:v>
      </x:c>
      <x:c r="F70" s="83" t="str">
        <x:v>NORD</x:v>
      </x:c>
      <x:c r="G70" s="143" t="n">
        <x:v>0</x:v>
      </x:c>
      <x:c r="H70" s="197" t="str">
        <x:f>IF(G70="","",G70/1000)</x:f>
      </x:c>
      <x:c r="I70" s="143"/>
      <x:c r="J70" s="83" t="str">
        <x:v>Maximum market exchange limit</x:v>
      </x:c>
      <x:c r="K70" s="83" t="str">
        <x:v>Directional</x:v>
      </x:c>
      <x:c r="L70" s="83" t="str">
        <x:v>Current maximum</x:v>
      </x:c>
      <x:c r="M70" s="83" t="str">
        <x:v>S03</x:v>
      </x:c>
      <x:c r="N70" s="120" t="str">
        <x:v>https://download.terna.it/terna/Terna_Piano_Sviluppo_2025_Benefici_sistema_analisi_robustezza_rete_8dd62ecc98b2bc9.pdf</x:v>
      </x:c>
      <x:c r="O70" s="83" t="n">
        <x:v>19</x:v>
      </x:c>
      <x:c r="P70" s="83" t="n">
        <x:v>17</x:v>
      </x:c>
      <x:c r="Q70" s="83" t="str">
        <x:v>Figure 3</x:v>
      </x:c>
      <x:c r="R70" s="83" t="str">
        <x:v>Direct visual transcription; CA-SI 4.15 GW retained from 1.55+0.50+2.10 despite 4.1-GW rounded label</x:v>
      </x:c>
      <x:c r="S70" s="83" t="str">
        <x:v>A/B — Direct figure; rounded graphical labels</x:v>
      </x:c>
      <x:c r="T70" s="83" t="str">
        <x:v>Trajectory / QA</x:v>
      </x:c>
      <x:c r="U70" s="83" t="str">
        <x:v>Figure 3 is the authoritative corridor-level value; project increments are not mechanically additive because network interactions and modelling updates apply.</x:v>
      </x:c>
    </x:row>
    <x:row r="71">
      <x:c r="A71" s="83" t="str">
        <x:v>PDS-067</x:v>
      </x:c>
      <x:c r="B71" s="83" t="str">
        <x:v>PDS 2025 updated reference network</x:v>
      </x:c>
      <x:c r="C71" s="83" t="n">
        <x:v>2030</x:v>
      </x:c>
      <x:c r="D71" s="83" t="str">
        <x:v>Reference network for ACB / PDS 2025</x:v>
      </x:c>
      <x:c r="E71" s="83" t="str">
        <x:v>NORD</x:v>
      </x:c>
      <x:c r="F71" s="83" t="str">
        <x:v>SUD</x:v>
      </x:c>
      <x:c r="G71" s="143" t="n">
        <x:v>0</x:v>
      </x:c>
      <x:c r="H71" s="197" t="str">
        <x:f>IF(G71="","",G71/1000)</x:f>
      </x:c>
      <x:c r="I71" s="143" t="n">
        <x:v>0</x:v>
      </x:c>
      <x:c r="J71" s="83" t="str">
        <x:v>Maximum market exchange limit</x:v>
      </x:c>
      <x:c r="K71" s="83" t="str">
        <x:v>Directional</x:v>
      </x:c>
      <x:c r="L71" s="83" t="str">
        <x:v>Prospective</x:v>
      </x:c>
      <x:c r="M71" s="83" t="str">
        <x:v>S03</x:v>
      </x:c>
      <x:c r="N71" s="120" t="str">
        <x:v>https://download.terna.it/terna/Terna_Piano_Sviluppo_2025_Benefici_sistema_analisi_robustezza_rete_8dd62ecc98b2bc9.pdf</x:v>
      </x:c>
      <x:c r="O71" s="83" t="n">
        <x:v>19</x:v>
      </x:c>
      <x:c r="P71" s="83" t="n">
        <x:v>17</x:v>
      </x:c>
      <x:c r="Q71" s="83" t="str">
        <x:v>Figure 3</x:v>
      </x:c>
      <x:c r="R71" s="83" t="str">
        <x:v>Direct visual transcription; CA-SI 4.15 GW retained from 1.55+0.50+2.10 despite 4.1-GW rounded label</x:v>
      </x:c>
      <x:c r="S71" s="83" t="str">
        <x:v>A/B — Direct figure; rounded graphical labels</x:v>
      </x:c>
      <x:c r="T71" s="83" t="str">
        <x:v>Trajectory / QA</x:v>
      </x:c>
      <x:c r="U71" s="83" t="str">
        <x:v>Figure 3 is the authoritative corridor-level value; project increments are not mechanically additive because network interactions and modelling updates apply.</x:v>
      </x:c>
    </x:row>
    <x:row r="72">
      <x:c r="A72" s="83" t="str">
        <x:v>PDS-068</x:v>
      </x:c>
      <x:c r="B72" s="83" t="str">
        <x:v>PDS 2025 updated reference network</x:v>
      </x:c>
      <x:c r="C72" s="83" t="n">
        <x:v>2030</x:v>
      </x:c>
      <x:c r="D72" s="83" t="str">
        <x:v>Reference network for ACB / PDS 2025</x:v>
      </x:c>
      <x:c r="E72" s="83" t="str">
        <x:v>SUD</x:v>
      </x:c>
      <x:c r="F72" s="83" t="str">
        <x:v>NORD</x:v>
      </x:c>
      <x:c r="G72" s="143" t="n">
        <x:v>0</x:v>
      </x:c>
      <x:c r="H72" s="197" t="str">
        <x:f>IF(G72="","",G72/1000)</x:f>
      </x:c>
      <x:c r="I72" s="143" t="n">
        <x:v>0</x:v>
      </x:c>
      <x:c r="J72" s="83" t="str">
        <x:v>Maximum market exchange limit</x:v>
      </x:c>
      <x:c r="K72" s="83" t="str">
        <x:v>Directional</x:v>
      </x:c>
      <x:c r="L72" s="83" t="str">
        <x:v>Prospective</x:v>
      </x:c>
      <x:c r="M72" s="83" t="str">
        <x:v>S03</x:v>
      </x:c>
      <x:c r="N72" s="120" t="str">
        <x:v>https://download.terna.it/terna/Terna_Piano_Sviluppo_2025_Benefici_sistema_analisi_robustezza_rete_8dd62ecc98b2bc9.pdf</x:v>
      </x:c>
      <x:c r="O72" s="83" t="n">
        <x:v>19</x:v>
      </x:c>
      <x:c r="P72" s="83" t="n">
        <x:v>17</x:v>
      </x:c>
      <x:c r="Q72" s="83" t="str">
        <x:v>Figure 3</x:v>
      </x:c>
      <x:c r="R72" s="83" t="str">
        <x:v>Direct visual transcription; CA-SI 4.15 GW retained from 1.55+0.50+2.10 despite 4.1-GW rounded label</x:v>
      </x:c>
      <x:c r="S72" s="83" t="str">
        <x:v>A/B — Direct figure; rounded graphical labels</x:v>
      </x:c>
      <x:c r="T72" s="83" t="str">
        <x:v>Trajectory / QA</x:v>
      </x:c>
      <x:c r="U72" s="83" t="str">
        <x:v>Figure 3 is the authoritative corridor-level value; project increments are not mechanically additive because network interactions and modelling updates apply.</x:v>
      </x:c>
    </x:row>
    <x:row r="73">
      <x:c r="A73" s="83" t="str">
        <x:v>PDS-069</x:v>
      </x:c>
      <x:c r="B73" s="83" t="str">
        <x:v>PDS 2025 updated reference network</x:v>
      </x:c>
      <x:c r="C73" s="83" t="n">
        <x:v>2035</x:v>
      </x:c>
      <x:c r="D73" s="83" t="str">
        <x:v>Reference network for ACB / PDS 2025</x:v>
      </x:c>
      <x:c r="E73" s="83" t="str">
        <x:v>NORD</x:v>
      </x:c>
      <x:c r="F73" s="83" t="str">
        <x:v>SUD</x:v>
      </x:c>
      <x:c r="G73" s="143" t="n">
        <x:v>2100</x:v>
      </x:c>
      <x:c r="H73" s="197" t="n">
        <x:f>IF(G73="","",G73/1000)</x:f>
        <x:v>2.1</x:v>
      </x:c>
      <x:c r="I73" s="143" t="n">
        <x:v>2100</x:v>
      </x:c>
      <x:c r="J73" s="83" t="str">
        <x:v>Maximum market exchange limit</x:v>
      </x:c>
      <x:c r="K73" s="83" t="str">
        <x:v>Directional</x:v>
      </x:c>
      <x:c r="L73" s="83" t="str">
        <x:v>Prospective</x:v>
      </x:c>
      <x:c r="M73" s="83" t="str">
        <x:v>S03</x:v>
      </x:c>
      <x:c r="N73" s="120" t="str">
        <x:v>https://download.terna.it/terna/Terna_Piano_Sviluppo_2025_Benefici_sistema_analisi_robustezza_rete_8dd62ecc98b2bc9.pdf</x:v>
      </x:c>
      <x:c r="O73" s="83" t="n">
        <x:v>19</x:v>
      </x:c>
      <x:c r="P73" s="83" t="n">
        <x:v>17</x:v>
      </x:c>
      <x:c r="Q73" s="83" t="str">
        <x:v>Figure 3</x:v>
      </x:c>
      <x:c r="R73" s="83" t="str">
        <x:v>Direct visual transcription; CA-SI 4.15 GW retained from 1.55+0.50+2.10 despite 4.1-GW rounded label</x:v>
      </x:c>
      <x:c r="S73" s="83" t="str">
        <x:v>A/B — Direct figure; rounded graphical labels</x:v>
      </x:c>
      <x:c r="T73" s="83" t="str">
        <x:v>Trajectory / QA</x:v>
      </x:c>
      <x:c r="U73" s="83" t="str">
        <x:v>Figure 3 is the authoritative corridor-level value; project increments are not mechanically additive because network interactions and modelling updates apply.</x:v>
      </x:c>
    </x:row>
    <x:row r="74">
      <x:c r="A74" s="83" t="str">
        <x:v>PDS-070</x:v>
      </x:c>
      <x:c r="B74" s="83" t="str">
        <x:v>PDS 2025 updated reference network</x:v>
      </x:c>
      <x:c r="C74" s="83" t="n">
        <x:v>2035</x:v>
      </x:c>
      <x:c r="D74" s="83" t="str">
        <x:v>Reference network for ACB / PDS 2025</x:v>
      </x:c>
      <x:c r="E74" s="83" t="str">
        <x:v>SUD</x:v>
      </x:c>
      <x:c r="F74" s="83" t="str">
        <x:v>NORD</x:v>
      </x:c>
      <x:c r="G74" s="143" t="n">
        <x:v>2100</x:v>
      </x:c>
      <x:c r="H74" s="197" t="n">
        <x:f>IF(G74="","",G74/1000)</x:f>
        <x:v>2.1</x:v>
      </x:c>
      <x:c r="I74" s="143" t="n">
        <x:v>2100</x:v>
      </x:c>
      <x:c r="J74" s="83" t="str">
        <x:v>Maximum market exchange limit</x:v>
      </x:c>
      <x:c r="K74" s="83" t="str">
        <x:v>Directional</x:v>
      </x:c>
      <x:c r="L74" s="83" t="str">
        <x:v>Prospective</x:v>
      </x:c>
      <x:c r="M74" s="83" t="str">
        <x:v>S03</x:v>
      </x:c>
      <x:c r="N74" s="120" t="str">
        <x:v>https://download.terna.it/terna/Terna_Piano_Sviluppo_2025_Benefici_sistema_analisi_robustezza_rete_8dd62ecc98b2bc9.pdf</x:v>
      </x:c>
      <x:c r="O74" s="83" t="n">
        <x:v>19</x:v>
      </x:c>
      <x:c r="P74" s="83" t="n">
        <x:v>17</x:v>
      </x:c>
      <x:c r="Q74" s="83" t="str">
        <x:v>Figure 3</x:v>
      </x:c>
      <x:c r="R74" s="83" t="str">
        <x:v>Direct visual transcription; CA-SI 4.15 GW retained from 1.55+0.50+2.10 despite 4.1-GW rounded label</x:v>
      </x:c>
      <x:c r="S74" s="83" t="str">
        <x:v>A/B — Direct figure; rounded graphical labels</x:v>
      </x:c>
      <x:c r="T74" s="83" t="str">
        <x:v>Trajectory / QA</x:v>
      </x:c>
      <x:c r="U74" s="83" t="str">
        <x:v>Figure 3 is the authoritative corridor-level value; project increments are not mechanically additive because network interactions and modelling updates apply.</x:v>
      </x:c>
    </x:row>
    <x:row r="75">
      <x:c r="A75" s="83" t="str">
        <x:v>PDS-071</x:v>
      </x:c>
      <x:c r="B75" s="83" t="str">
        <x:v>PDS 2025 updated reference network</x:v>
      </x:c>
      <x:c r="C75" s="83" t="n">
        <x:v>2040</x:v>
      </x:c>
      <x:c r="D75" s="83" t="str">
        <x:v>Reference network for ACB / PDS 2025</x:v>
      </x:c>
      <x:c r="E75" s="83" t="str">
        <x:v>NORD</x:v>
      </x:c>
      <x:c r="F75" s="83" t="str">
        <x:v>SUD</x:v>
      </x:c>
      <x:c r="G75" s="143" t="n">
        <x:v>2100</x:v>
      </x:c>
      <x:c r="H75" s="197" t="n">
        <x:f>IF(G75="","",G75/1000)</x:f>
        <x:v>2.1</x:v>
      </x:c>
      <x:c r="I75" s="143" t="n">
        <x:v>0</x:v>
      </x:c>
      <x:c r="J75" s="83" t="str">
        <x:v>Maximum market exchange limit</x:v>
      </x:c>
      <x:c r="K75" s="83" t="str">
        <x:v>Directional</x:v>
      </x:c>
      <x:c r="L75" s="83" t="str">
        <x:v>Prospective</x:v>
      </x:c>
      <x:c r="M75" s="83" t="str">
        <x:v>S03</x:v>
      </x:c>
      <x:c r="N75" s="120" t="str">
        <x:v>https://download.terna.it/terna/Terna_Piano_Sviluppo_2025_Benefici_sistema_analisi_robustezza_rete_8dd62ecc98b2bc9.pdf</x:v>
      </x:c>
      <x:c r="O75" s="83" t="n">
        <x:v>19</x:v>
      </x:c>
      <x:c r="P75" s="83" t="n">
        <x:v>17</x:v>
      </x:c>
      <x:c r="Q75" s="83" t="str">
        <x:v>Figure 3</x:v>
      </x:c>
      <x:c r="R75" s="83" t="str">
        <x:v>Direct visual transcription; CA-SI 4.15 GW retained from 1.55+0.50+2.10 despite 4.1-GW rounded label</x:v>
      </x:c>
      <x:c r="S75" s="83" t="str">
        <x:v>A/B — Direct figure; rounded graphical labels</x:v>
      </x:c>
      <x:c r="T75" s="83" t="str">
        <x:v>Primary internal-link capacity for 2040 Base</x:v>
      </x:c>
      <x:c r="U75" s="83" t="str">
        <x:v>Figure 3 is the authoritative corridor-level value; project increments are not mechanically additive because network interactions and modelling updates apply.</x:v>
      </x:c>
    </x:row>
    <x:row r="76">
      <x:c r="A76" s="83" t="str">
        <x:v>PDS-072</x:v>
      </x:c>
      <x:c r="B76" s="83" t="str">
        <x:v>PDS 2025 updated reference network</x:v>
      </x:c>
      <x:c r="C76" s="83" t="n">
        <x:v>2040</x:v>
      </x:c>
      <x:c r="D76" s="83" t="str">
        <x:v>Reference network for ACB / PDS 2025</x:v>
      </x:c>
      <x:c r="E76" s="83" t="str">
        <x:v>SUD</x:v>
      </x:c>
      <x:c r="F76" s="83" t="str">
        <x:v>NORD</x:v>
      </x:c>
      <x:c r="G76" s="143" t="n">
        <x:v>2100</x:v>
      </x:c>
      <x:c r="H76" s="197" t="n">
        <x:f>IF(G76="","",G76/1000)</x:f>
        <x:v>2.1</x:v>
      </x:c>
      <x:c r="I76" s="143" t="n">
        <x:v>0</x:v>
      </x:c>
      <x:c r="J76" s="83" t="str">
        <x:v>Maximum market exchange limit</x:v>
      </x:c>
      <x:c r="K76" s="83" t="str">
        <x:v>Directional</x:v>
      </x:c>
      <x:c r="L76" s="83" t="str">
        <x:v>Prospective</x:v>
      </x:c>
      <x:c r="M76" s="83" t="str">
        <x:v>S03</x:v>
      </x:c>
      <x:c r="N76" s="120" t="str">
        <x:v>https://download.terna.it/terna/Terna_Piano_Sviluppo_2025_Benefici_sistema_analisi_robustezza_rete_8dd62ecc98b2bc9.pdf</x:v>
      </x:c>
      <x:c r="O76" s="83" t="n">
        <x:v>19</x:v>
      </x:c>
      <x:c r="P76" s="83" t="n">
        <x:v>17</x:v>
      </x:c>
      <x:c r="Q76" s="83" t="str">
        <x:v>Figure 3</x:v>
      </x:c>
      <x:c r="R76" s="83" t="str">
        <x:v>Direct visual transcription; CA-SI 4.15 GW retained from 1.55+0.50+2.10 despite 4.1-GW rounded label</x:v>
      </x:c>
      <x:c r="S76" s="83" t="str">
        <x:v>A/B — Direct figure; rounded graphical labels</x:v>
      </x:c>
      <x:c r="T76" s="83" t="str">
        <x:v>Primary internal-link capacity for 2040 Base</x:v>
      </x:c>
      <x:c r="U76" s="83" t="str">
        <x:v>Figure 3 is the authoritative corridor-level value; project increments are not mechanically additive because network interactions and modelling updates apply.</x:v>
      </x:c>
    </x:row>
    <x:row r="77">
      <x:c r="A77" s="83" t="str">
        <x:v>PDS-073</x:v>
      </x:c>
      <x:c r="B77" s="83" t="str">
        <x:v>PDS 2025 updated reference network</x:v>
      </x:c>
      <x:c r="C77" s="83" t="n">
        <x:v>2024</x:v>
      </x:c>
      <x:c r="D77" s="83" t="str">
        <x:v>Reference network for ACB / PDS 2025</x:v>
      </x:c>
      <x:c r="E77" s="83" t="str">
        <x:v>NORD</x:v>
      </x:c>
      <x:c r="F77" s="83" t="str">
        <x:v>CSUD</x:v>
      </x:c>
      <x:c r="G77" s="143" t="n">
        <x:v>0</x:v>
      </x:c>
      <x:c r="H77" s="197" t="str">
        <x:f>IF(G77="","",G77/1000)</x:f>
      </x:c>
      <x:c r="I77" s="143"/>
      <x:c r="J77" s="83" t="str">
        <x:v>Maximum market exchange limit</x:v>
      </x:c>
      <x:c r="K77" s="83" t="str">
        <x:v>Directional</x:v>
      </x:c>
      <x:c r="L77" s="83" t="str">
        <x:v>Current maximum</x:v>
      </x:c>
      <x:c r="M77" s="83" t="str">
        <x:v>S03</x:v>
      </x:c>
      <x:c r="N77" s="120" t="str">
        <x:v>https://download.terna.it/terna/Terna_Piano_Sviluppo_2025_Benefici_sistema_analisi_robustezza_rete_8dd62ecc98b2bc9.pdf</x:v>
      </x:c>
      <x:c r="O77" s="83" t="n">
        <x:v>19</x:v>
      </x:c>
      <x:c r="P77" s="83" t="n">
        <x:v>17</x:v>
      </x:c>
      <x:c r="Q77" s="83" t="str">
        <x:v>Figure 3</x:v>
      </x:c>
      <x:c r="R77" s="83" t="str">
        <x:v>Direct visual transcription; CA-SI 4.15 GW retained from 1.55+0.50+2.10 despite 4.1-GW rounded label</x:v>
      </x:c>
      <x:c r="S77" s="83" t="str">
        <x:v>A/B — Direct figure; rounded graphical labels</x:v>
      </x:c>
      <x:c r="T77" s="83" t="str">
        <x:v>Trajectory / QA</x:v>
      </x:c>
      <x:c r="U77" s="83" t="str">
        <x:v>Figure 3 is the authoritative corridor-level value; project increments are not mechanically additive because network interactions and modelling updates apply.</x:v>
      </x:c>
    </x:row>
    <x:row r="78">
      <x:c r="A78" s="83" t="str">
        <x:v>PDS-074</x:v>
      </x:c>
      <x:c r="B78" s="83" t="str">
        <x:v>PDS 2025 updated reference network</x:v>
      </x:c>
      <x:c r="C78" s="83" t="n">
        <x:v>2024</x:v>
      </x:c>
      <x:c r="D78" s="83" t="str">
        <x:v>Reference network for ACB / PDS 2025</x:v>
      </x:c>
      <x:c r="E78" s="83" t="str">
        <x:v>CSUD</x:v>
      </x:c>
      <x:c r="F78" s="83" t="str">
        <x:v>NORD</x:v>
      </x:c>
      <x:c r="G78" s="143" t="n">
        <x:v>0</x:v>
      </x:c>
      <x:c r="H78" s="197" t="str">
        <x:f>IF(G78="","",G78/1000)</x:f>
      </x:c>
      <x:c r="I78" s="143"/>
      <x:c r="J78" s="83" t="str">
        <x:v>Maximum market exchange limit</x:v>
      </x:c>
      <x:c r="K78" s="83" t="str">
        <x:v>Directional</x:v>
      </x:c>
      <x:c r="L78" s="83" t="str">
        <x:v>Current maximum</x:v>
      </x:c>
      <x:c r="M78" s="83" t="str">
        <x:v>S03</x:v>
      </x:c>
      <x:c r="N78" s="120" t="str">
        <x:v>https://download.terna.it/terna/Terna_Piano_Sviluppo_2025_Benefici_sistema_analisi_robustezza_rete_8dd62ecc98b2bc9.pdf</x:v>
      </x:c>
      <x:c r="O78" s="83" t="n">
        <x:v>19</x:v>
      </x:c>
      <x:c r="P78" s="83" t="n">
        <x:v>17</x:v>
      </x:c>
      <x:c r="Q78" s="83" t="str">
        <x:v>Figure 3</x:v>
      </x:c>
      <x:c r="R78" s="83" t="str">
        <x:v>Direct visual transcription; CA-SI 4.15 GW retained from 1.55+0.50+2.10 despite 4.1-GW rounded label</x:v>
      </x:c>
      <x:c r="S78" s="83" t="str">
        <x:v>A/B — Direct figure; rounded graphical labels</x:v>
      </x:c>
      <x:c r="T78" s="83" t="str">
        <x:v>Trajectory / QA</x:v>
      </x:c>
      <x:c r="U78" s="83" t="str">
        <x:v>Figure 3 is the authoritative corridor-level value; project increments are not mechanically additive because network interactions and modelling updates apply.</x:v>
      </x:c>
    </x:row>
    <x:row r="79">
      <x:c r="A79" s="83" t="str">
        <x:v>PDS-075</x:v>
      </x:c>
      <x:c r="B79" s="83" t="str">
        <x:v>PDS 2025 updated reference network</x:v>
      </x:c>
      <x:c r="C79" s="83" t="n">
        <x:v>2030</x:v>
      </x:c>
      <x:c r="D79" s="83" t="str">
        <x:v>Reference network for ACB / PDS 2025</x:v>
      </x:c>
      <x:c r="E79" s="83" t="str">
        <x:v>NORD</x:v>
      </x:c>
      <x:c r="F79" s="83" t="str">
        <x:v>CSUD</x:v>
      </x:c>
      <x:c r="G79" s="143" t="n">
        <x:v>0</x:v>
      </x:c>
      <x:c r="H79" s="197" t="str">
        <x:f>IF(G79="","",G79/1000)</x:f>
      </x:c>
      <x:c r="I79" s="143" t="n">
        <x:v>0</x:v>
      </x:c>
      <x:c r="J79" s="83" t="str">
        <x:v>Maximum market exchange limit</x:v>
      </x:c>
      <x:c r="K79" s="83" t="str">
        <x:v>Directional</x:v>
      </x:c>
      <x:c r="L79" s="83" t="str">
        <x:v>Prospective</x:v>
      </x:c>
      <x:c r="M79" s="83" t="str">
        <x:v>S03</x:v>
      </x:c>
      <x:c r="N79" s="120" t="str">
        <x:v>https://download.terna.it/terna/Terna_Piano_Sviluppo_2025_Benefici_sistema_analisi_robustezza_rete_8dd62ecc98b2bc9.pdf</x:v>
      </x:c>
      <x:c r="O79" s="83" t="n">
        <x:v>19</x:v>
      </x:c>
      <x:c r="P79" s="83" t="n">
        <x:v>17</x:v>
      </x:c>
      <x:c r="Q79" s="83" t="str">
        <x:v>Figure 3</x:v>
      </x:c>
      <x:c r="R79" s="83" t="str">
        <x:v>Direct visual transcription; CA-SI 4.15 GW retained from 1.55+0.50+2.10 despite 4.1-GW rounded label</x:v>
      </x:c>
      <x:c r="S79" s="83" t="str">
        <x:v>A/B — Direct figure; rounded graphical labels</x:v>
      </x:c>
      <x:c r="T79" s="83" t="str">
        <x:v>Trajectory / QA</x:v>
      </x:c>
      <x:c r="U79" s="83" t="str">
        <x:v>Figure 3 is the authoritative corridor-level value; project increments are not mechanically additive because network interactions and modelling updates apply.</x:v>
      </x:c>
    </x:row>
    <x:row r="80">
      <x:c r="A80" s="83" t="str">
        <x:v>PDS-076</x:v>
      </x:c>
      <x:c r="B80" s="83" t="str">
        <x:v>PDS 2025 updated reference network</x:v>
      </x:c>
      <x:c r="C80" s="83" t="n">
        <x:v>2030</x:v>
      </x:c>
      <x:c r="D80" s="83" t="str">
        <x:v>Reference network for ACB / PDS 2025</x:v>
      </x:c>
      <x:c r="E80" s="83" t="str">
        <x:v>CSUD</x:v>
      </x:c>
      <x:c r="F80" s="83" t="str">
        <x:v>NORD</x:v>
      </x:c>
      <x:c r="G80" s="143" t="n">
        <x:v>0</x:v>
      </x:c>
      <x:c r="H80" s="197" t="str">
        <x:f>IF(G80="","",G80/1000)</x:f>
      </x:c>
      <x:c r="I80" s="143" t="n">
        <x:v>0</x:v>
      </x:c>
      <x:c r="J80" s="83" t="str">
        <x:v>Maximum market exchange limit</x:v>
      </x:c>
      <x:c r="K80" s="83" t="str">
        <x:v>Directional</x:v>
      </x:c>
      <x:c r="L80" s="83" t="str">
        <x:v>Prospective</x:v>
      </x:c>
      <x:c r="M80" s="83" t="str">
        <x:v>S03</x:v>
      </x:c>
      <x:c r="N80" s="120" t="str">
        <x:v>https://download.terna.it/terna/Terna_Piano_Sviluppo_2025_Benefici_sistema_analisi_robustezza_rete_8dd62ecc98b2bc9.pdf</x:v>
      </x:c>
      <x:c r="O80" s="83" t="n">
        <x:v>19</x:v>
      </x:c>
      <x:c r="P80" s="83" t="n">
        <x:v>17</x:v>
      </x:c>
      <x:c r="Q80" s="83" t="str">
        <x:v>Figure 3</x:v>
      </x:c>
      <x:c r="R80" s="83" t="str">
        <x:v>Direct visual transcription; CA-SI 4.15 GW retained from 1.55+0.50+2.10 despite 4.1-GW rounded label</x:v>
      </x:c>
      <x:c r="S80" s="83" t="str">
        <x:v>A/B — Direct figure; rounded graphical labels</x:v>
      </x:c>
      <x:c r="T80" s="83" t="str">
        <x:v>Trajectory / QA</x:v>
      </x:c>
      <x:c r="U80" s="83" t="str">
        <x:v>Figure 3 is the authoritative corridor-level value; project increments are not mechanically additive because network interactions and modelling updates apply.</x:v>
      </x:c>
    </x:row>
    <x:row r="81">
      <x:c r="A81" s="83" t="str">
        <x:v>PDS-077</x:v>
      </x:c>
      <x:c r="B81" s="83" t="str">
        <x:v>PDS 2025 updated reference network</x:v>
      </x:c>
      <x:c r="C81" s="83" t="n">
        <x:v>2035</x:v>
      </x:c>
      <x:c r="D81" s="83" t="str">
        <x:v>Reference network for ACB / PDS 2025</x:v>
      </x:c>
      <x:c r="E81" s="83" t="str">
        <x:v>NORD</x:v>
      </x:c>
      <x:c r="F81" s="83" t="str">
        <x:v>CSUD</x:v>
      </x:c>
      <x:c r="G81" s="143" t="n">
        <x:v>2100</x:v>
      </x:c>
      <x:c r="H81" s="197" t="n">
        <x:f>IF(G81="","",G81/1000)</x:f>
        <x:v>2.1</x:v>
      </x:c>
      <x:c r="I81" s="143" t="n">
        <x:v>2100</x:v>
      </x:c>
      <x:c r="J81" s="83" t="str">
        <x:v>Maximum market exchange limit</x:v>
      </x:c>
      <x:c r="K81" s="83" t="str">
        <x:v>Directional</x:v>
      </x:c>
      <x:c r="L81" s="83" t="str">
        <x:v>Prospective</x:v>
      </x:c>
      <x:c r="M81" s="83" t="str">
        <x:v>S03</x:v>
      </x:c>
      <x:c r="N81" s="120" t="str">
        <x:v>https://download.terna.it/terna/Terna_Piano_Sviluppo_2025_Benefici_sistema_analisi_robustezza_rete_8dd62ecc98b2bc9.pdf</x:v>
      </x:c>
      <x:c r="O81" s="83" t="n">
        <x:v>19</x:v>
      </x:c>
      <x:c r="P81" s="83" t="n">
        <x:v>17</x:v>
      </x:c>
      <x:c r="Q81" s="83" t="str">
        <x:v>Figure 3</x:v>
      </x:c>
      <x:c r="R81" s="83" t="str">
        <x:v>Direct visual transcription; CA-SI 4.15 GW retained from 1.55+0.50+2.10 despite 4.1-GW rounded label</x:v>
      </x:c>
      <x:c r="S81" s="83" t="str">
        <x:v>A/B — Direct figure; rounded graphical labels</x:v>
      </x:c>
      <x:c r="T81" s="83" t="str">
        <x:v>Trajectory / QA</x:v>
      </x:c>
      <x:c r="U81" s="83" t="str">
        <x:v>Figure 3 is the authoritative corridor-level value; project increments are not mechanically additive because network interactions and modelling updates apply.</x:v>
      </x:c>
    </x:row>
    <x:row r="82">
      <x:c r="A82" s="83" t="str">
        <x:v>PDS-078</x:v>
      </x:c>
      <x:c r="B82" s="83" t="str">
        <x:v>PDS 2025 updated reference network</x:v>
      </x:c>
      <x:c r="C82" s="83" t="n">
        <x:v>2035</x:v>
      </x:c>
      <x:c r="D82" s="83" t="str">
        <x:v>Reference network for ACB / PDS 2025</x:v>
      </x:c>
      <x:c r="E82" s="83" t="str">
        <x:v>CSUD</x:v>
      </x:c>
      <x:c r="F82" s="83" t="str">
        <x:v>NORD</x:v>
      </x:c>
      <x:c r="G82" s="143" t="n">
        <x:v>2100</x:v>
      </x:c>
      <x:c r="H82" s="197" t="n">
        <x:f>IF(G82="","",G82/1000)</x:f>
        <x:v>2.1</x:v>
      </x:c>
      <x:c r="I82" s="143" t="n">
        <x:v>2100</x:v>
      </x:c>
      <x:c r="J82" s="83" t="str">
        <x:v>Maximum market exchange limit</x:v>
      </x:c>
      <x:c r="K82" s="83" t="str">
        <x:v>Directional</x:v>
      </x:c>
      <x:c r="L82" s="83" t="str">
        <x:v>Prospective</x:v>
      </x:c>
      <x:c r="M82" s="83" t="str">
        <x:v>S03</x:v>
      </x:c>
      <x:c r="N82" s="120" t="str">
        <x:v>https://download.terna.it/terna/Terna_Piano_Sviluppo_2025_Benefici_sistema_analisi_robustezza_rete_8dd62ecc98b2bc9.pdf</x:v>
      </x:c>
      <x:c r="O82" s="83" t="n">
        <x:v>19</x:v>
      </x:c>
      <x:c r="P82" s="83" t="n">
        <x:v>17</x:v>
      </x:c>
      <x:c r="Q82" s="83" t="str">
        <x:v>Figure 3</x:v>
      </x:c>
      <x:c r="R82" s="83" t="str">
        <x:v>Direct visual transcription; CA-SI 4.15 GW retained from 1.55+0.50+2.10 despite 4.1-GW rounded label</x:v>
      </x:c>
      <x:c r="S82" s="83" t="str">
        <x:v>A/B — Direct figure; rounded graphical labels</x:v>
      </x:c>
      <x:c r="T82" s="83" t="str">
        <x:v>Trajectory / QA</x:v>
      </x:c>
      <x:c r="U82" s="83" t="str">
        <x:v>Figure 3 is the authoritative corridor-level value; project increments are not mechanically additive because network interactions and modelling updates apply.</x:v>
      </x:c>
    </x:row>
    <x:row r="83">
      <x:c r="A83" s="83" t="str">
        <x:v>PDS-079</x:v>
      </x:c>
      <x:c r="B83" s="83" t="str">
        <x:v>PDS 2025 updated reference network</x:v>
      </x:c>
      <x:c r="C83" s="83" t="n">
        <x:v>2040</x:v>
      </x:c>
      <x:c r="D83" s="83" t="str">
        <x:v>Reference network for ACB / PDS 2025</x:v>
      </x:c>
      <x:c r="E83" s="83" t="str">
        <x:v>NORD</x:v>
      </x:c>
      <x:c r="F83" s="83" t="str">
        <x:v>CSUD</x:v>
      </x:c>
      <x:c r="G83" s="143" t="n">
        <x:v>2100</x:v>
      </x:c>
      <x:c r="H83" s="197" t="n">
        <x:f>IF(G83="","",G83/1000)</x:f>
        <x:v>2.1</x:v>
      </x:c>
      <x:c r="I83" s="143" t="n">
        <x:v>0</x:v>
      </x:c>
      <x:c r="J83" s="83" t="str">
        <x:v>Maximum market exchange limit</x:v>
      </x:c>
      <x:c r="K83" s="83" t="str">
        <x:v>Directional</x:v>
      </x:c>
      <x:c r="L83" s="83" t="str">
        <x:v>Prospective</x:v>
      </x:c>
      <x:c r="M83" s="83" t="str">
        <x:v>S03</x:v>
      </x:c>
      <x:c r="N83" s="120" t="str">
        <x:v>https://download.terna.it/terna/Terna_Piano_Sviluppo_2025_Benefici_sistema_analisi_robustezza_rete_8dd62ecc98b2bc9.pdf</x:v>
      </x:c>
      <x:c r="O83" s="83" t="n">
        <x:v>19</x:v>
      </x:c>
      <x:c r="P83" s="83" t="n">
        <x:v>17</x:v>
      </x:c>
      <x:c r="Q83" s="83" t="str">
        <x:v>Figure 3</x:v>
      </x:c>
      <x:c r="R83" s="83" t="str">
        <x:v>Direct visual transcription; CA-SI 4.15 GW retained from 1.55+0.50+2.10 despite 4.1-GW rounded label</x:v>
      </x:c>
      <x:c r="S83" s="83" t="str">
        <x:v>A/B — Direct figure; rounded graphical labels</x:v>
      </x:c>
      <x:c r="T83" s="83" t="str">
        <x:v>Primary internal-link capacity for 2040 Base</x:v>
      </x:c>
      <x:c r="U83" s="83" t="str">
        <x:v>Figure 3 is the authoritative corridor-level value; project increments are not mechanically additive because network interactions and modelling updates apply.</x:v>
      </x:c>
    </x:row>
    <x:row r="84">
      <x:c r="A84" s="83" t="str">
        <x:v>PDS-080</x:v>
      </x:c>
      <x:c r="B84" s="83" t="str">
        <x:v>PDS 2025 updated reference network</x:v>
      </x:c>
      <x:c r="C84" s="83" t="n">
        <x:v>2040</x:v>
      </x:c>
      <x:c r="D84" s="83" t="str">
        <x:v>Reference network for ACB / PDS 2025</x:v>
      </x:c>
      <x:c r="E84" s="83" t="str">
        <x:v>CSUD</x:v>
      </x:c>
      <x:c r="F84" s="83" t="str">
        <x:v>NORD</x:v>
      </x:c>
      <x:c r="G84" s="143" t="n">
        <x:v>2100</x:v>
      </x:c>
      <x:c r="H84" s="197" t="n">
        <x:f>IF(G84="","",G84/1000)</x:f>
        <x:v>2.1</x:v>
      </x:c>
      <x:c r="I84" s="143" t="n">
        <x:v>0</x:v>
      </x:c>
      <x:c r="J84" s="83" t="str">
        <x:v>Maximum market exchange limit</x:v>
      </x:c>
      <x:c r="K84" s="83" t="str">
        <x:v>Directional</x:v>
      </x:c>
      <x:c r="L84" s="83" t="str">
        <x:v>Prospective</x:v>
      </x:c>
      <x:c r="M84" s="83" t="str">
        <x:v>S03</x:v>
      </x:c>
      <x:c r="N84" s="120" t="str">
        <x:v>https://download.terna.it/terna/Terna_Piano_Sviluppo_2025_Benefici_sistema_analisi_robustezza_rete_8dd62ecc98b2bc9.pdf</x:v>
      </x:c>
      <x:c r="O84" s="83" t="n">
        <x:v>19</x:v>
      </x:c>
      <x:c r="P84" s="83" t="n">
        <x:v>17</x:v>
      </x:c>
      <x:c r="Q84" s="83" t="str">
        <x:v>Figure 3</x:v>
      </x:c>
      <x:c r="R84" s="83" t="str">
        <x:v>Direct visual transcription; CA-SI 4.15 GW retained from 1.55+0.50+2.10 despite 4.1-GW rounded label</x:v>
      </x:c>
      <x:c r="S84" s="83" t="str">
        <x:v>A/B — Direct figure; rounded graphical labels</x:v>
      </x:c>
      <x:c r="T84" s="83" t="str">
        <x:v>Primary internal-link capacity for 2040 Base</x:v>
      </x:c>
      <x:c r="U84" s="83" t="str">
        <x:v>Figure 3 is the authoritative corridor-level value; project increments are not mechanically additive because network interactions and modelling updates apply.</x:v>
      </x:c>
    </x:row>
    <x:row r="85">
      <x:c r="A85" s="83" t="str">
        <x:v>PDS-081</x:v>
      </x:c>
      <x:c r="B85" s="83" t="str">
        <x:v>PDS 2025 updated reference network</x:v>
      </x:c>
      <x:c r="C85" s="83" t="n">
        <x:v>2024</x:v>
      </x:c>
      <x:c r="D85" s="83" t="str">
        <x:v>Reference network for ACB / PDS 2025</x:v>
      </x:c>
      <x:c r="E85" s="83" t="str">
        <x:v>CSUD</x:v>
      </x:c>
      <x:c r="F85" s="83" t="str">
        <x:v>SICI</x:v>
      </x:c>
      <x:c r="G85" s="143" t="n">
        <x:v>0</x:v>
      </x:c>
      <x:c r="H85" s="197" t="str">
        <x:f>IF(G85="","",G85/1000)</x:f>
      </x:c>
      <x:c r="I85" s="143"/>
      <x:c r="J85" s="83" t="str">
        <x:v>Maximum market exchange limit</x:v>
      </x:c>
      <x:c r="K85" s="83" t="str">
        <x:v>Directional</x:v>
      </x:c>
      <x:c r="L85" s="83" t="str">
        <x:v>Current maximum</x:v>
      </x:c>
      <x:c r="M85" s="83" t="str">
        <x:v>S03</x:v>
      </x:c>
      <x:c r="N85" s="120" t="str">
        <x:v>https://download.terna.it/terna/Terna_Piano_Sviluppo_2025_Benefici_sistema_analisi_robustezza_rete_8dd62ecc98b2bc9.pdf</x:v>
      </x:c>
      <x:c r="O85" s="83" t="n">
        <x:v>19</x:v>
      </x:c>
      <x:c r="P85" s="83" t="n">
        <x:v>17</x:v>
      </x:c>
      <x:c r="Q85" s="83" t="str">
        <x:v>Figure 3</x:v>
      </x:c>
      <x:c r="R85" s="83" t="str">
        <x:v>Direct visual transcription; CA-SI 4.15 GW retained from 1.55+0.50+2.10 despite 4.1-GW rounded label</x:v>
      </x:c>
      <x:c r="S85" s="83" t="str">
        <x:v>A/B — Direct figure; rounded graphical labels</x:v>
      </x:c>
      <x:c r="T85" s="83" t="str">
        <x:v>Trajectory / QA</x:v>
      </x:c>
      <x:c r="U85" s="83" t="str">
        <x:v>Figure 3 is the authoritative corridor-level value; project increments are not mechanically additive because network interactions and modelling updates apply.</x:v>
      </x:c>
    </x:row>
    <x:row r="86">
      <x:c r="A86" s="83" t="str">
        <x:v>PDS-082</x:v>
      </x:c>
      <x:c r="B86" s="83" t="str">
        <x:v>PDS 2025 updated reference network</x:v>
      </x:c>
      <x:c r="C86" s="83" t="n">
        <x:v>2024</x:v>
      </x:c>
      <x:c r="D86" s="83" t="str">
        <x:v>Reference network for ACB / PDS 2025</x:v>
      </x:c>
      <x:c r="E86" s="83" t="str">
        <x:v>SICI</x:v>
      </x:c>
      <x:c r="F86" s="83" t="str">
        <x:v>CSUD</x:v>
      </x:c>
      <x:c r="G86" s="143" t="n">
        <x:v>0</x:v>
      </x:c>
      <x:c r="H86" s="197" t="str">
        <x:f>IF(G86="","",G86/1000)</x:f>
      </x:c>
      <x:c r="I86" s="143"/>
      <x:c r="J86" s="83" t="str">
        <x:v>Maximum market exchange limit</x:v>
      </x:c>
      <x:c r="K86" s="83" t="str">
        <x:v>Directional</x:v>
      </x:c>
      <x:c r="L86" s="83" t="str">
        <x:v>Current maximum</x:v>
      </x:c>
      <x:c r="M86" s="83" t="str">
        <x:v>S03</x:v>
      </x:c>
      <x:c r="N86" s="120" t="str">
        <x:v>https://download.terna.it/terna/Terna_Piano_Sviluppo_2025_Benefici_sistema_analisi_robustezza_rete_8dd62ecc98b2bc9.pdf</x:v>
      </x:c>
      <x:c r="O86" s="83" t="n">
        <x:v>19</x:v>
      </x:c>
      <x:c r="P86" s="83" t="n">
        <x:v>17</x:v>
      </x:c>
      <x:c r="Q86" s="83" t="str">
        <x:v>Figure 3</x:v>
      </x:c>
      <x:c r="R86" s="83" t="str">
        <x:v>Direct visual transcription; CA-SI 4.15 GW retained from 1.55+0.50+2.10 despite 4.1-GW rounded label</x:v>
      </x:c>
      <x:c r="S86" s="83" t="str">
        <x:v>A/B — Direct figure; rounded graphical labels</x:v>
      </x:c>
      <x:c r="T86" s="83" t="str">
        <x:v>Trajectory / QA</x:v>
      </x:c>
      <x:c r="U86" s="83" t="str">
        <x:v>Figure 3 is the authoritative corridor-level value; project increments are not mechanically additive because network interactions and modelling updates apply.</x:v>
      </x:c>
    </x:row>
    <x:row r="87">
      <x:c r="A87" s="83" t="str">
        <x:v>PDS-083</x:v>
      </x:c>
      <x:c r="B87" s="83" t="str">
        <x:v>PDS 2025 updated reference network</x:v>
      </x:c>
      <x:c r="C87" s="83" t="n">
        <x:v>2030</x:v>
      </x:c>
      <x:c r="D87" s="83" t="str">
        <x:v>Reference network for ACB / PDS 2025</x:v>
      </x:c>
      <x:c r="E87" s="83" t="str">
        <x:v>CSUD</x:v>
      </x:c>
      <x:c r="F87" s="83" t="str">
        <x:v>SICI</x:v>
      </x:c>
      <x:c r="G87" s="143" t="n">
        <x:v>1000</x:v>
      </x:c>
      <x:c r="H87" s="197" t="n">
        <x:f>IF(G87="","",G87/1000)</x:f>
        <x:v>1</x:v>
      </x:c>
      <x:c r="I87" s="143" t="n">
        <x:v>1000</x:v>
      </x:c>
      <x:c r="J87" s="83" t="str">
        <x:v>Maximum market exchange limit</x:v>
      </x:c>
      <x:c r="K87" s="83" t="str">
        <x:v>Directional</x:v>
      </x:c>
      <x:c r="L87" s="83" t="str">
        <x:v>Prospective</x:v>
      </x:c>
      <x:c r="M87" s="83" t="str">
        <x:v>S03</x:v>
      </x:c>
      <x:c r="N87" s="120" t="str">
        <x:v>https://download.terna.it/terna/Terna_Piano_Sviluppo_2025_Benefici_sistema_analisi_robustezza_rete_8dd62ecc98b2bc9.pdf</x:v>
      </x:c>
      <x:c r="O87" s="83" t="n">
        <x:v>19</x:v>
      </x:c>
      <x:c r="P87" s="83" t="n">
        <x:v>17</x:v>
      </x:c>
      <x:c r="Q87" s="83" t="str">
        <x:v>Figure 3</x:v>
      </x:c>
      <x:c r="R87" s="83" t="str">
        <x:v>Direct visual transcription; CA-SI 4.15 GW retained from 1.55+0.50+2.10 despite 4.1-GW rounded label</x:v>
      </x:c>
      <x:c r="S87" s="83" t="str">
        <x:v>A/B — Direct figure; rounded graphical labels</x:v>
      </x:c>
      <x:c r="T87" s="83" t="str">
        <x:v>Trajectory / QA</x:v>
      </x:c>
      <x:c r="U87" s="83" t="str">
        <x:v>Figure 3 is the authoritative corridor-level value; project increments are not mechanically additive because network interactions and modelling updates apply.</x:v>
      </x:c>
    </x:row>
    <x:row r="88">
      <x:c r="A88" s="83" t="str">
        <x:v>PDS-084</x:v>
      </x:c>
      <x:c r="B88" s="83" t="str">
        <x:v>PDS 2025 updated reference network</x:v>
      </x:c>
      <x:c r="C88" s="83" t="n">
        <x:v>2030</x:v>
      </x:c>
      <x:c r="D88" s="83" t="str">
        <x:v>Reference network for ACB / PDS 2025</x:v>
      </x:c>
      <x:c r="E88" s="83" t="str">
        <x:v>SICI</x:v>
      </x:c>
      <x:c r="F88" s="83" t="str">
        <x:v>CSUD</x:v>
      </x:c>
      <x:c r="G88" s="143" t="n">
        <x:v>1000</x:v>
      </x:c>
      <x:c r="H88" s="197" t="n">
        <x:f>IF(G88="","",G88/1000)</x:f>
        <x:v>1</x:v>
      </x:c>
      <x:c r="I88" s="143" t="n">
        <x:v>1000</x:v>
      </x:c>
      <x:c r="J88" s="83" t="str">
        <x:v>Maximum market exchange limit</x:v>
      </x:c>
      <x:c r="K88" s="83" t="str">
        <x:v>Directional</x:v>
      </x:c>
      <x:c r="L88" s="83" t="str">
        <x:v>Prospective</x:v>
      </x:c>
      <x:c r="M88" s="83" t="str">
        <x:v>S03</x:v>
      </x:c>
      <x:c r="N88" s="120" t="str">
        <x:v>https://download.terna.it/terna/Terna_Piano_Sviluppo_2025_Benefici_sistema_analisi_robustezza_rete_8dd62ecc98b2bc9.pdf</x:v>
      </x:c>
      <x:c r="O88" s="83" t="n">
        <x:v>19</x:v>
      </x:c>
      <x:c r="P88" s="83" t="n">
        <x:v>17</x:v>
      </x:c>
      <x:c r="Q88" s="83" t="str">
        <x:v>Figure 3</x:v>
      </x:c>
      <x:c r="R88" s="83" t="str">
        <x:v>Direct visual transcription; CA-SI 4.15 GW retained from 1.55+0.50+2.10 despite 4.1-GW rounded label</x:v>
      </x:c>
      <x:c r="S88" s="83" t="str">
        <x:v>A/B — Direct figure; rounded graphical labels</x:v>
      </x:c>
      <x:c r="T88" s="83" t="str">
        <x:v>Trajectory / QA</x:v>
      </x:c>
      <x:c r="U88" s="83" t="str">
        <x:v>Figure 3 is the authoritative corridor-level value; project increments are not mechanically additive because network interactions and modelling updates apply.</x:v>
      </x:c>
    </x:row>
    <x:row r="89">
      <x:c r="A89" s="83" t="str">
        <x:v>PDS-085</x:v>
      </x:c>
      <x:c r="B89" s="83" t="str">
        <x:v>PDS 2025 updated reference network</x:v>
      </x:c>
      <x:c r="C89" s="83" t="n">
        <x:v>2035</x:v>
      </x:c>
      <x:c r="D89" s="83" t="str">
        <x:v>Reference network for ACB / PDS 2025</x:v>
      </x:c>
      <x:c r="E89" s="83" t="str">
        <x:v>CSUD</x:v>
      </x:c>
      <x:c r="F89" s="83" t="str">
        <x:v>SICI</x:v>
      </x:c>
      <x:c r="G89" s="143" t="n">
        <x:v>1000</x:v>
      </x:c>
      <x:c r="H89" s="197" t="n">
        <x:f>IF(G89="","",G89/1000)</x:f>
        <x:v>1</x:v>
      </x:c>
      <x:c r="I89" s="143" t="n">
        <x:v>0</x:v>
      </x:c>
      <x:c r="J89" s="83" t="str">
        <x:v>Maximum market exchange limit</x:v>
      </x:c>
      <x:c r="K89" s="83" t="str">
        <x:v>Directional</x:v>
      </x:c>
      <x:c r="L89" s="83" t="str">
        <x:v>Prospective</x:v>
      </x:c>
      <x:c r="M89" s="83" t="str">
        <x:v>S03</x:v>
      </x:c>
      <x:c r="N89" s="120" t="str">
        <x:v>https://download.terna.it/terna/Terna_Piano_Sviluppo_2025_Benefici_sistema_analisi_robustezza_rete_8dd62ecc98b2bc9.pdf</x:v>
      </x:c>
      <x:c r="O89" s="83" t="n">
        <x:v>19</x:v>
      </x:c>
      <x:c r="P89" s="83" t="n">
        <x:v>17</x:v>
      </x:c>
      <x:c r="Q89" s="83" t="str">
        <x:v>Figure 3</x:v>
      </x:c>
      <x:c r="R89" s="83" t="str">
        <x:v>Direct visual transcription; CA-SI 4.15 GW retained from 1.55+0.50+2.10 despite 4.1-GW rounded label</x:v>
      </x:c>
      <x:c r="S89" s="83" t="str">
        <x:v>A/B — Direct figure; rounded graphical labels</x:v>
      </x:c>
      <x:c r="T89" s="83" t="str">
        <x:v>Trajectory / QA</x:v>
      </x:c>
      <x:c r="U89" s="83" t="str">
        <x:v>Figure 3 is the authoritative corridor-level value; project increments are not mechanically additive because network interactions and modelling updates apply.</x:v>
      </x:c>
    </x:row>
    <x:row r="90">
      <x:c r="A90" s="83" t="str">
        <x:v>PDS-086</x:v>
      </x:c>
      <x:c r="B90" s="83" t="str">
        <x:v>PDS 2025 updated reference network</x:v>
      </x:c>
      <x:c r="C90" s="83" t="n">
        <x:v>2035</x:v>
      </x:c>
      <x:c r="D90" s="83" t="str">
        <x:v>Reference network for ACB / PDS 2025</x:v>
      </x:c>
      <x:c r="E90" s="83" t="str">
        <x:v>SICI</x:v>
      </x:c>
      <x:c r="F90" s="83" t="str">
        <x:v>CSUD</x:v>
      </x:c>
      <x:c r="G90" s="143" t="n">
        <x:v>1000</x:v>
      </x:c>
      <x:c r="H90" s="197" t="n">
        <x:f>IF(G90="","",G90/1000)</x:f>
        <x:v>1</x:v>
      </x:c>
      <x:c r="I90" s="143" t="n">
        <x:v>0</x:v>
      </x:c>
      <x:c r="J90" s="83" t="str">
        <x:v>Maximum market exchange limit</x:v>
      </x:c>
      <x:c r="K90" s="83" t="str">
        <x:v>Directional</x:v>
      </x:c>
      <x:c r="L90" s="83" t="str">
        <x:v>Prospective</x:v>
      </x:c>
      <x:c r="M90" s="83" t="str">
        <x:v>S03</x:v>
      </x:c>
      <x:c r="N90" s="120" t="str">
        <x:v>https://download.terna.it/terna/Terna_Piano_Sviluppo_2025_Benefici_sistema_analisi_robustezza_rete_8dd62ecc98b2bc9.pdf</x:v>
      </x:c>
      <x:c r="O90" s="83" t="n">
        <x:v>19</x:v>
      </x:c>
      <x:c r="P90" s="83" t="n">
        <x:v>17</x:v>
      </x:c>
      <x:c r="Q90" s="83" t="str">
        <x:v>Figure 3</x:v>
      </x:c>
      <x:c r="R90" s="83" t="str">
        <x:v>Direct visual transcription; CA-SI 4.15 GW retained from 1.55+0.50+2.10 despite 4.1-GW rounded label</x:v>
      </x:c>
      <x:c r="S90" s="83" t="str">
        <x:v>A/B — Direct figure; rounded graphical labels</x:v>
      </x:c>
      <x:c r="T90" s="83" t="str">
        <x:v>Trajectory / QA</x:v>
      </x:c>
      <x:c r="U90" s="83" t="str">
        <x:v>Figure 3 is the authoritative corridor-level value; project increments are not mechanically additive because network interactions and modelling updates apply.</x:v>
      </x:c>
    </x:row>
    <x:row r="91">
      <x:c r="A91" s="83" t="str">
        <x:v>PDS-087</x:v>
      </x:c>
      <x:c r="B91" s="83" t="str">
        <x:v>PDS 2025 updated reference network</x:v>
      </x:c>
      <x:c r="C91" s="83" t="n">
        <x:v>2040</x:v>
      </x:c>
      <x:c r="D91" s="83" t="str">
        <x:v>Reference network for ACB / PDS 2025</x:v>
      </x:c>
      <x:c r="E91" s="83" t="str">
        <x:v>CSUD</x:v>
      </x:c>
      <x:c r="F91" s="83" t="str">
        <x:v>SICI</x:v>
      </x:c>
      <x:c r="G91" s="143" t="n">
        <x:v>1000</x:v>
      </x:c>
      <x:c r="H91" s="197" t="n">
        <x:f>IF(G91="","",G91/1000)</x:f>
        <x:v>1</x:v>
      </x:c>
      <x:c r="I91" s="143" t="n">
        <x:v>0</x:v>
      </x:c>
      <x:c r="J91" s="83" t="str">
        <x:v>Maximum market exchange limit</x:v>
      </x:c>
      <x:c r="K91" s="83" t="str">
        <x:v>Directional</x:v>
      </x:c>
      <x:c r="L91" s="83" t="str">
        <x:v>Prospective</x:v>
      </x:c>
      <x:c r="M91" s="83" t="str">
        <x:v>S03</x:v>
      </x:c>
      <x:c r="N91" s="120" t="str">
        <x:v>https://download.terna.it/terna/Terna_Piano_Sviluppo_2025_Benefici_sistema_analisi_robustezza_rete_8dd62ecc98b2bc9.pdf</x:v>
      </x:c>
      <x:c r="O91" s="83" t="n">
        <x:v>19</x:v>
      </x:c>
      <x:c r="P91" s="83" t="n">
        <x:v>17</x:v>
      </x:c>
      <x:c r="Q91" s="83" t="str">
        <x:v>Figure 3</x:v>
      </x:c>
      <x:c r="R91" s="83" t="str">
        <x:v>Direct visual transcription; CA-SI 4.15 GW retained from 1.55+0.50+2.10 despite 4.1-GW rounded label</x:v>
      </x:c>
      <x:c r="S91" s="83" t="str">
        <x:v>A/B — Direct figure; rounded graphical labels</x:v>
      </x:c>
      <x:c r="T91" s="83" t="str">
        <x:v>Primary internal-link capacity for 2040 Base</x:v>
      </x:c>
      <x:c r="U91" s="83" t="str">
        <x:v>Figure 3 is the authoritative corridor-level value; project increments are not mechanically additive because network interactions and modelling updates apply.</x:v>
      </x:c>
    </x:row>
    <x:row r="92">
      <x:c r="A92" s="83" t="str">
        <x:v>PDS-088</x:v>
      </x:c>
      <x:c r="B92" s="83" t="str">
        <x:v>PDS 2025 updated reference network</x:v>
      </x:c>
      <x:c r="C92" s="83" t="n">
        <x:v>2040</x:v>
      </x:c>
      <x:c r="D92" s="83" t="str">
        <x:v>Reference network for ACB / PDS 2025</x:v>
      </x:c>
      <x:c r="E92" s="83" t="str">
        <x:v>SICI</x:v>
      </x:c>
      <x:c r="F92" s="83" t="str">
        <x:v>CSUD</x:v>
      </x:c>
      <x:c r="G92" s="143" t="n">
        <x:v>1000</x:v>
      </x:c>
      <x:c r="H92" s="197" t="n">
        <x:f>IF(G92="","",G92/1000)</x:f>
        <x:v>1</x:v>
      </x:c>
      <x:c r="I92" s="143" t="n">
        <x:v>0</x:v>
      </x:c>
      <x:c r="J92" s="83" t="str">
        <x:v>Maximum market exchange limit</x:v>
      </x:c>
      <x:c r="K92" s="83" t="str">
        <x:v>Directional</x:v>
      </x:c>
      <x:c r="L92" s="83" t="str">
        <x:v>Prospective</x:v>
      </x:c>
      <x:c r="M92" s="83" t="str">
        <x:v>S03</x:v>
      </x:c>
      <x:c r="N92" s="120" t="str">
        <x:v>https://download.terna.it/terna/Terna_Piano_Sviluppo_2025_Benefici_sistema_analisi_robustezza_rete_8dd62ecc98b2bc9.pdf</x:v>
      </x:c>
      <x:c r="O92" s="83" t="n">
        <x:v>19</x:v>
      </x:c>
      <x:c r="P92" s="83" t="n">
        <x:v>17</x:v>
      </x:c>
      <x:c r="Q92" s="83" t="str">
        <x:v>Figure 3</x:v>
      </x:c>
      <x:c r="R92" s="83" t="str">
        <x:v>Direct visual transcription; CA-SI 4.15 GW retained from 1.55+0.50+2.10 despite 4.1-GW rounded label</x:v>
      </x:c>
      <x:c r="S92" s="83" t="str">
        <x:v>A/B — Direct figure; rounded graphical labels</x:v>
      </x:c>
      <x:c r="T92" s="83" t="str">
        <x:v>Primary internal-link capacity for 2040 Base</x:v>
      </x:c>
      <x:c r="U92" s="83" t="str">
        <x:v>Figure 3 is the authoritative corridor-level value; project increments are not mechanically additive because network interactions and modelling updates apply.</x:v>
      </x:c>
    </x:row>
    <x:row r="93">
      <x:c r="A93" s="83" t="str">
        <x:v>PDS-089</x:v>
      </x:c>
      <x:c r="B93" s="83" t="str">
        <x:v>PDS 2025 updated reference network</x:v>
      </x:c>
      <x:c r="C93" s="83" t="n">
        <x:v>2024</x:v>
      </x:c>
      <x:c r="D93" s="83" t="str">
        <x:v>Reference network for ACB / PDS 2025</x:v>
      </x:c>
      <x:c r="E93" s="83" t="str">
        <x:v>SARD</x:v>
      </x:c>
      <x:c r="F93" s="83" t="str">
        <x:v>SICI</x:v>
      </x:c>
      <x:c r="G93" s="143" t="n">
        <x:v>0</x:v>
      </x:c>
      <x:c r="H93" s="197" t="str">
        <x:f>IF(G93="","",G93/1000)</x:f>
      </x:c>
      <x:c r="I93" s="143"/>
      <x:c r="J93" s="83" t="str">
        <x:v>Maximum market exchange limit</x:v>
      </x:c>
      <x:c r="K93" s="83" t="str">
        <x:v>Directional</x:v>
      </x:c>
      <x:c r="L93" s="83" t="str">
        <x:v>Current maximum</x:v>
      </x:c>
      <x:c r="M93" s="83" t="str">
        <x:v>S03</x:v>
      </x:c>
      <x:c r="N93" s="120" t="str">
        <x:v>https://download.terna.it/terna/Terna_Piano_Sviluppo_2025_Benefici_sistema_analisi_robustezza_rete_8dd62ecc98b2bc9.pdf</x:v>
      </x:c>
      <x:c r="O93" s="83" t="n">
        <x:v>19</x:v>
      </x:c>
      <x:c r="P93" s="83" t="n">
        <x:v>17</x:v>
      </x:c>
      <x:c r="Q93" s="83" t="str">
        <x:v>Figure 3</x:v>
      </x:c>
      <x:c r="R93" s="83" t="str">
        <x:v>Direct visual transcription; CA-SI 4.15 GW retained from 1.55+0.50+2.10 despite 4.1-GW rounded label</x:v>
      </x:c>
      <x:c r="S93" s="83" t="str">
        <x:v>A/B — Direct figure; rounded graphical labels</x:v>
      </x:c>
      <x:c r="T93" s="83" t="str">
        <x:v>Trajectory / QA</x:v>
      </x:c>
      <x:c r="U93" s="83" t="str">
        <x:v>Figure 3 is the authoritative corridor-level value; project increments are not mechanically additive because network interactions and modelling updates apply.</x:v>
      </x:c>
    </x:row>
    <x:row r="94">
      <x:c r="A94" s="83" t="str">
        <x:v>PDS-090</x:v>
      </x:c>
      <x:c r="B94" s="83" t="str">
        <x:v>PDS 2025 updated reference network</x:v>
      </x:c>
      <x:c r="C94" s="83" t="n">
        <x:v>2024</x:v>
      </x:c>
      <x:c r="D94" s="83" t="str">
        <x:v>Reference network for ACB / PDS 2025</x:v>
      </x:c>
      <x:c r="E94" s="83" t="str">
        <x:v>SICI</x:v>
      </x:c>
      <x:c r="F94" s="83" t="str">
        <x:v>SARD</x:v>
      </x:c>
      <x:c r="G94" s="143" t="n">
        <x:v>0</x:v>
      </x:c>
      <x:c r="H94" s="197" t="str">
        <x:f>IF(G94="","",G94/1000)</x:f>
      </x:c>
      <x:c r="I94" s="143"/>
      <x:c r="J94" s="83" t="str">
        <x:v>Maximum market exchange limit</x:v>
      </x:c>
      <x:c r="K94" s="83" t="str">
        <x:v>Directional</x:v>
      </x:c>
      <x:c r="L94" s="83" t="str">
        <x:v>Current maximum</x:v>
      </x:c>
      <x:c r="M94" s="83" t="str">
        <x:v>S03</x:v>
      </x:c>
      <x:c r="N94" s="120" t="str">
        <x:v>https://download.terna.it/terna/Terna_Piano_Sviluppo_2025_Benefici_sistema_analisi_robustezza_rete_8dd62ecc98b2bc9.pdf</x:v>
      </x:c>
      <x:c r="O94" s="83" t="n">
        <x:v>19</x:v>
      </x:c>
      <x:c r="P94" s="83" t="n">
        <x:v>17</x:v>
      </x:c>
      <x:c r="Q94" s="83" t="str">
        <x:v>Figure 3</x:v>
      </x:c>
      <x:c r="R94" s="83" t="str">
        <x:v>Direct visual transcription; CA-SI 4.15 GW retained from 1.55+0.50+2.10 despite 4.1-GW rounded label</x:v>
      </x:c>
      <x:c r="S94" s="83" t="str">
        <x:v>A/B — Direct figure; rounded graphical labels</x:v>
      </x:c>
      <x:c r="T94" s="83" t="str">
        <x:v>Trajectory / QA</x:v>
      </x:c>
      <x:c r="U94" s="83" t="str">
        <x:v>Figure 3 is the authoritative corridor-level value; project increments are not mechanically additive because network interactions and modelling updates apply.</x:v>
      </x:c>
    </x:row>
    <x:row r="95">
      <x:c r="A95" s="83" t="str">
        <x:v>PDS-091</x:v>
      </x:c>
      <x:c r="B95" s="83" t="str">
        <x:v>PDS 2025 updated reference network</x:v>
      </x:c>
      <x:c r="C95" s="83" t="n">
        <x:v>2030</x:v>
      </x:c>
      <x:c r="D95" s="83" t="str">
        <x:v>Reference network for ACB / PDS 2025</x:v>
      </x:c>
      <x:c r="E95" s="83" t="str">
        <x:v>SARD</x:v>
      </x:c>
      <x:c r="F95" s="83" t="str">
        <x:v>SICI</x:v>
      </x:c>
      <x:c r="G95" s="143" t="n">
        <x:v>1000</x:v>
      </x:c>
      <x:c r="H95" s="197" t="n">
        <x:f>IF(G95="","",G95/1000)</x:f>
        <x:v>1</x:v>
      </x:c>
      <x:c r="I95" s="143" t="n">
        <x:v>1000</x:v>
      </x:c>
      <x:c r="J95" s="83" t="str">
        <x:v>Maximum market exchange limit</x:v>
      </x:c>
      <x:c r="K95" s="83" t="str">
        <x:v>Directional</x:v>
      </x:c>
      <x:c r="L95" s="83" t="str">
        <x:v>Prospective</x:v>
      </x:c>
      <x:c r="M95" s="83" t="str">
        <x:v>S03</x:v>
      </x:c>
      <x:c r="N95" s="120" t="str">
        <x:v>https://download.terna.it/terna/Terna_Piano_Sviluppo_2025_Benefici_sistema_analisi_robustezza_rete_8dd62ecc98b2bc9.pdf</x:v>
      </x:c>
      <x:c r="O95" s="83" t="n">
        <x:v>19</x:v>
      </x:c>
      <x:c r="P95" s="83" t="n">
        <x:v>17</x:v>
      </x:c>
      <x:c r="Q95" s="83" t="str">
        <x:v>Figure 3</x:v>
      </x:c>
      <x:c r="R95" s="83" t="str">
        <x:v>Direct visual transcription; CA-SI 4.15 GW retained from 1.55+0.50+2.10 despite 4.1-GW rounded label</x:v>
      </x:c>
      <x:c r="S95" s="83" t="str">
        <x:v>A/B — Direct figure; rounded graphical labels</x:v>
      </x:c>
      <x:c r="T95" s="83" t="str">
        <x:v>Trajectory / QA</x:v>
      </x:c>
      <x:c r="U95" s="83" t="str">
        <x:v>Figure 3 is the authoritative corridor-level value; project increments are not mechanically additive because network interactions and modelling updates apply.</x:v>
      </x:c>
    </x:row>
    <x:row r="96">
      <x:c r="A96" s="83" t="str">
        <x:v>PDS-092</x:v>
      </x:c>
      <x:c r="B96" s="83" t="str">
        <x:v>PDS 2025 updated reference network</x:v>
      </x:c>
      <x:c r="C96" s="83" t="n">
        <x:v>2030</x:v>
      </x:c>
      <x:c r="D96" s="83" t="str">
        <x:v>Reference network for ACB / PDS 2025</x:v>
      </x:c>
      <x:c r="E96" s="83" t="str">
        <x:v>SICI</x:v>
      </x:c>
      <x:c r="F96" s="83" t="str">
        <x:v>SARD</x:v>
      </x:c>
      <x:c r="G96" s="143" t="n">
        <x:v>1000</x:v>
      </x:c>
      <x:c r="H96" s="197" t="n">
        <x:f>IF(G96="","",G96/1000)</x:f>
        <x:v>1</x:v>
      </x:c>
      <x:c r="I96" s="143" t="n">
        <x:v>1000</x:v>
      </x:c>
      <x:c r="J96" s="83" t="str">
        <x:v>Maximum market exchange limit</x:v>
      </x:c>
      <x:c r="K96" s="83" t="str">
        <x:v>Directional</x:v>
      </x:c>
      <x:c r="L96" s="83" t="str">
        <x:v>Prospective</x:v>
      </x:c>
      <x:c r="M96" s="83" t="str">
        <x:v>S03</x:v>
      </x:c>
      <x:c r="N96" s="120" t="str">
        <x:v>https://download.terna.it/terna/Terna_Piano_Sviluppo_2025_Benefici_sistema_analisi_robustezza_rete_8dd62ecc98b2bc9.pdf</x:v>
      </x:c>
      <x:c r="O96" s="83" t="n">
        <x:v>19</x:v>
      </x:c>
      <x:c r="P96" s="83" t="n">
        <x:v>17</x:v>
      </x:c>
      <x:c r="Q96" s="83" t="str">
        <x:v>Figure 3</x:v>
      </x:c>
      <x:c r="R96" s="83" t="str">
        <x:v>Direct visual transcription; CA-SI 4.15 GW retained from 1.55+0.50+2.10 despite 4.1-GW rounded label</x:v>
      </x:c>
      <x:c r="S96" s="83" t="str">
        <x:v>A/B — Direct figure; rounded graphical labels</x:v>
      </x:c>
      <x:c r="T96" s="83" t="str">
        <x:v>Trajectory / QA</x:v>
      </x:c>
      <x:c r="U96" s="83" t="str">
        <x:v>Figure 3 is the authoritative corridor-level value; project increments are not mechanically additive because network interactions and modelling updates apply.</x:v>
      </x:c>
    </x:row>
    <x:row r="97">
      <x:c r="A97" s="83" t="str">
        <x:v>PDS-093</x:v>
      </x:c>
      <x:c r="B97" s="83" t="str">
        <x:v>PDS 2025 updated reference network</x:v>
      </x:c>
      <x:c r="C97" s="83" t="n">
        <x:v>2035</x:v>
      </x:c>
      <x:c r="D97" s="83" t="str">
        <x:v>Reference network for ACB / PDS 2025</x:v>
      </x:c>
      <x:c r="E97" s="83" t="str">
        <x:v>SARD</x:v>
      </x:c>
      <x:c r="F97" s="83" t="str">
        <x:v>SICI</x:v>
      </x:c>
      <x:c r="G97" s="143" t="n">
        <x:v>1000</x:v>
      </x:c>
      <x:c r="H97" s="197" t="n">
        <x:f>IF(G97="","",G97/1000)</x:f>
        <x:v>1</x:v>
      </x:c>
      <x:c r="I97" s="143" t="n">
        <x:v>0</x:v>
      </x:c>
      <x:c r="J97" s="83" t="str">
        <x:v>Maximum market exchange limit</x:v>
      </x:c>
      <x:c r="K97" s="83" t="str">
        <x:v>Directional</x:v>
      </x:c>
      <x:c r="L97" s="83" t="str">
        <x:v>Prospective</x:v>
      </x:c>
      <x:c r="M97" s="83" t="str">
        <x:v>S03</x:v>
      </x:c>
      <x:c r="N97" s="120" t="str">
        <x:v>https://download.terna.it/terna/Terna_Piano_Sviluppo_2025_Benefici_sistema_analisi_robustezza_rete_8dd62ecc98b2bc9.pdf</x:v>
      </x:c>
      <x:c r="O97" s="83" t="n">
        <x:v>19</x:v>
      </x:c>
      <x:c r="P97" s="83" t="n">
        <x:v>17</x:v>
      </x:c>
      <x:c r="Q97" s="83" t="str">
        <x:v>Figure 3</x:v>
      </x:c>
      <x:c r="R97" s="83" t="str">
        <x:v>Direct visual transcription; CA-SI 4.15 GW retained from 1.55+0.50+2.10 despite 4.1-GW rounded label</x:v>
      </x:c>
      <x:c r="S97" s="83" t="str">
        <x:v>A/B — Direct figure; rounded graphical labels</x:v>
      </x:c>
      <x:c r="T97" s="83" t="str">
        <x:v>Trajectory / QA</x:v>
      </x:c>
      <x:c r="U97" s="83" t="str">
        <x:v>Figure 3 is the authoritative corridor-level value; project increments are not mechanically additive because network interactions and modelling updates apply.</x:v>
      </x:c>
    </x:row>
    <x:row r="98">
      <x:c r="A98" s="83" t="str">
        <x:v>PDS-094</x:v>
      </x:c>
      <x:c r="B98" s="83" t="str">
        <x:v>PDS 2025 updated reference network</x:v>
      </x:c>
      <x:c r="C98" s="83" t="n">
        <x:v>2035</x:v>
      </x:c>
      <x:c r="D98" s="83" t="str">
        <x:v>Reference network for ACB / PDS 2025</x:v>
      </x:c>
      <x:c r="E98" s="83" t="str">
        <x:v>SICI</x:v>
      </x:c>
      <x:c r="F98" s="83" t="str">
        <x:v>SARD</x:v>
      </x:c>
      <x:c r="G98" s="143" t="n">
        <x:v>1000</x:v>
      </x:c>
      <x:c r="H98" s="197" t="n">
        <x:f>IF(G98="","",G98/1000)</x:f>
        <x:v>1</x:v>
      </x:c>
      <x:c r="I98" s="143" t="n">
        <x:v>0</x:v>
      </x:c>
      <x:c r="J98" s="83" t="str">
        <x:v>Maximum market exchange limit</x:v>
      </x:c>
      <x:c r="K98" s="83" t="str">
        <x:v>Directional</x:v>
      </x:c>
      <x:c r="L98" s="83" t="str">
        <x:v>Prospective</x:v>
      </x:c>
      <x:c r="M98" s="83" t="str">
        <x:v>S03</x:v>
      </x:c>
      <x:c r="N98" s="120" t="str">
        <x:v>https://download.terna.it/terna/Terna_Piano_Sviluppo_2025_Benefici_sistema_analisi_robustezza_rete_8dd62ecc98b2bc9.pdf</x:v>
      </x:c>
      <x:c r="O98" s="83" t="n">
        <x:v>19</x:v>
      </x:c>
      <x:c r="P98" s="83" t="n">
        <x:v>17</x:v>
      </x:c>
      <x:c r="Q98" s="83" t="str">
        <x:v>Figure 3</x:v>
      </x:c>
      <x:c r="R98" s="83" t="str">
        <x:v>Direct visual transcription; CA-SI 4.15 GW retained from 1.55+0.50+2.10 despite 4.1-GW rounded label</x:v>
      </x:c>
      <x:c r="S98" s="83" t="str">
        <x:v>A/B — Direct figure; rounded graphical labels</x:v>
      </x:c>
      <x:c r="T98" s="83" t="str">
        <x:v>Trajectory / QA</x:v>
      </x:c>
      <x:c r="U98" s="83" t="str">
        <x:v>Figure 3 is the authoritative corridor-level value; project increments are not mechanically additive because network interactions and modelling updates apply.</x:v>
      </x:c>
    </x:row>
    <x:row r="99">
      <x:c r="A99" s="83" t="str">
        <x:v>PDS-095</x:v>
      </x:c>
      <x:c r="B99" s="83" t="str">
        <x:v>PDS 2025 updated reference network</x:v>
      </x:c>
      <x:c r="C99" s="83" t="n">
        <x:v>2040</x:v>
      </x:c>
      <x:c r="D99" s="83" t="str">
        <x:v>Reference network for ACB / PDS 2025</x:v>
      </x:c>
      <x:c r="E99" s="83" t="str">
        <x:v>SARD</x:v>
      </x:c>
      <x:c r="F99" s="83" t="str">
        <x:v>SICI</x:v>
      </x:c>
      <x:c r="G99" s="143" t="n">
        <x:v>1000</x:v>
      </x:c>
      <x:c r="H99" s="197" t="n">
        <x:f>IF(G99="","",G99/1000)</x:f>
        <x:v>1</x:v>
      </x:c>
      <x:c r="I99" s="143" t="n">
        <x:v>0</x:v>
      </x:c>
      <x:c r="J99" s="83" t="str">
        <x:v>Maximum market exchange limit</x:v>
      </x:c>
      <x:c r="K99" s="83" t="str">
        <x:v>Directional</x:v>
      </x:c>
      <x:c r="L99" s="83" t="str">
        <x:v>Prospective</x:v>
      </x:c>
      <x:c r="M99" s="83" t="str">
        <x:v>S03</x:v>
      </x:c>
      <x:c r="N99" s="120" t="str">
        <x:v>https://download.terna.it/terna/Terna_Piano_Sviluppo_2025_Benefici_sistema_analisi_robustezza_rete_8dd62ecc98b2bc9.pdf</x:v>
      </x:c>
      <x:c r="O99" s="83" t="n">
        <x:v>19</x:v>
      </x:c>
      <x:c r="P99" s="83" t="n">
        <x:v>17</x:v>
      </x:c>
      <x:c r="Q99" s="83" t="str">
        <x:v>Figure 3</x:v>
      </x:c>
      <x:c r="R99" s="83" t="str">
        <x:v>Direct visual transcription; CA-SI 4.15 GW retained from 1.55+0.50+2.10 despite 4.1-GW rounded label</x:v>
      </x:c>
      <x:c r="S99" s="83" t="str">
        <x:v>A/B — Direct figure; rounded graphical labels</x:v>
      </x:c>
      <x:c r="T99" s="83" t="str">
        <x:v>Primary internal-link capacity for 2040 Base</x:v>
      </x:c>
      <x:c r="U99" s="83" t="str">
        <x:v>Figure 3 is the authoritative corridor-level value; project increments are not mechanically additive because network interactions and modelling updates apply.</x:v>
      </x:c>
    </x:row>
    <x:row r="100">
      <x:c r="A100" s="83" t="str">
        <x:v>PDS-096</x:v>
      </x:c>
      <x:c r="B100" s="83" t="str">
        <x:v>PDS 2025 updated reference network</x:v>
      </x:c>
      <x:c r="C100" s="83" t="n">
        <x:v>2040</x:v>
      </x:c>
      <x:c r="D100" s="83" t="str">
        <x:v>Reference network for ACB / PDS 2025</x:v>
      </x:c>
      <x:c r="E100" s="83" t="str">
        <x:v>SICI</x:v>
      </x:c>
      <x:c r="F100" s="83" t="str">
        <x:v>SARD</x:v>
      </x:c>
      <x:c r="G100" s="143" t="n">
        <x:v>1000</x:v>
      </x:c>
      <x:c r="H100" s="197" t="n">
        <x:f>IF(G100="","",G100/1000)</x:f>
        <x:v>1</x:v>
      </x:c>
      <x:c r="I100" s="143" t="n">
        <x:v>0</x:v>
      </x:c>
      <x:c r="J100" s="83" t="str">
        <x:v>Maximum market exchange limit</x:v>
      </x:c>
      <x:c r="K100" s="83" t="str">
        <x:v>Directional</x:v>
      </x:c>
      <x:c r="L100" s="83" t="str">
        <x:v>Prospective</x:v>
      </x:c>
      <x:c r="M100" s="83" t="str">
        <x:v>S03</x:v>
      </x:c>
      <x:c r="N100" s="120" t="str">
        <x:v>https://download.terna.it/terna/Terna_Piano_Sviluppo_2025_Benefici_sistema_analisi_robustezza_rete_8dd62ecc98b2bc9.pdf</x:v>
      </x:c>
      <x:c r="O100" s="83" t="n">
        <x:v>19</x:v>
      </x:c>
      <x:c r="P100" s="83" t="n">
        <x:v>17</x:v>
      </x:c>
      <x:c r="Q100" s="83" t="str">
        <x:v>Figure 3</x:v>
      </x:c>
      <x:c r="R100" s="83" t="str">
        <x:v>Direct visual transcription; CA-SI 4.15 GW retained from 1.55+0.50+2.10 despite 4.1-GW rounded label</x:v>
      </x:c>
      <x:c r="S100" s="83" t="str">
        <x:v>A/B — Direct figure; rounded graphical labels</x:v>
      </x:c>
      <x:c r="T100" s="83" t="str">
        <x:v>Primary internal-link capacity for 2040 Base</x:v>
      </x:c>
      <x:c r="U100" s="83" t="str">
        <x:v>Figure 3 is the authoritative corridor-level value; project increments are not mechanically additive because network interactions and modelling updates apply.</x:v>
      </x:c>
    </x:row>
    <x:row r="101">
      <x:c r="A101" s="83" t="str">
        <x:v>DDS-097</x:v>
      </x:c>
      <x:c r="B101" s="83" t="str">
        <x:v>DDS 2024 scenario-network benchmark</x:v>
      </x:c>
      <x:c r="C101" s="83" t="n">
        <x:v>2023</x:v>
      </x:c>
      <x:c r="D101" s="83" t="str">
        <x:v>DDS 2024 common electricity-network assumption</x:v>
      </x:c>
      <x:c r="E101" s="83" t="str">
        <x:v>CNOR</x:v>
      </x:c>
      <x:c r="F101" s="83" t="str">
        <x:v>CORS</x:v>
      </x:c>
      <x:c r="G101" s="143" t="n">
        <x:v>300</x:v>
      </x:c>
      <x:c r="H101" s="197" t="n">
        <x:f>IF(G101="","",G101/1000)</x:f>
        <x:v>0.3</x:v>
      </x:c>
      <x:c r="I101" s="143"/>
      <x:c r="J101" s="83" t="str">
        <x:v>Maximum exchange capacity</x:v>
      </x:c>
      <x:c r="K101" s="83" t="str">
        <x:v>Directional</x:v>
      </x:c>
      <x:c r="L101" s="83" t="str">
        <x:v>Scenario assumption</x:v>
      </x:c>
      <x:c r="M101" s="83" t="str">
        <x:v>S09</x:v>
      </x:c>
      <x:c r="N101" s="120" t="str">
        <x:v>https://download.terna.it/terna/Documento_Descrizione_Scenari_2024_8dce2430d44d101.pdf</x:v>
      </x:c>
      <x:c r="O101" s="83" t="n">
        <x:v>35</x:v>
      </x:c>
      <x:c r="P101" s="83" t="n">
        <x:v>33</x:v>
      </x:c>
      <x:c r="Q101" s="83" t="str">
        <x:v>Figure 12</x:v>
      </x:c>
      <x:c r="R101" s="83" t="str">
        <x:v>Direct visual transcription, converted GW→MW</x:v>
      </x:c>
      <x:c r="S101" s="83" t="str">
        <x:v>A — Direct figure</x:v>
      </x:c>
      <x:c r="T101" s="83" t="str">
        <x:v>Reference/comparison; superseded by PDS 2025 Figure 3 for 2040 Base</x:v>
      </x:c>
      <x:c r="U101" s="83" t="str">
        <x:v>Retained to identify revisions between DDS 2024 and the updated PDS 2025 network.</x:v>
      </x:c>
    </x:row>
    <x:row r="102">
      <x:c r="A102" s="83" t="str">
        <x:v>DDS-098</x:v>
      </x:c>
      <x:c r="B102" s="83" t="str">
        <x:v>DDS 2024 scenario-network benchmark</x:v>
      </x:c>
      <x:c r="C102" s="83" t="n">
        <x:v>2023</x:v>
      </x:c>
      <x:c r="D102" s="83" t="str">
        <x:v>DDS 2024 common electricity-network assumption</x:v>
      </x:c>
      <x:c r="E102" s="83" t="str">
        <x:v>CORS</x:v>
      </x:c>
      <x:c r="F102" s="83" t="str">
        <x:v>CNOR</x:v>
      </x:c>
      <x:c r="G102" s="143" t="n">
        <x:v>300</x:v>
      </x:c>
      <x:c r="H102" s="197" t="n">
        <x:f>IF(G102="","",G102/1000)</x:f>
        <x:v>0.3</x:v>
      </x:c>
      <x:c r="I102" s="143"/>
      <x:c r="J102" s="83" t="str">
        <x:v>Maximum exchange capacity</x:v>
      </x:c>
      <x:c r="K102" s="83" t="str">
        <x:v>Directional</x:v>
      </x:c>
      <x:c r="L102" s="83" t="str">
        <x:v>Scenario assumption</x:v>
      </x:c>
      <x:c r="M102" s="83" t="str">
        <x:v>S09</x:v>
      </x:c>
      <x:c r="N102" s="120" t="str">
        <x:v>https://download.terna.it/terna/Documento_Descrizione_Scenari_2024_8dce2430d44d101.pdf</x:v>
      </x:c>
      <x:c r="O102" s="83" t="n">
        <x:v>35</x:v>
      </x:c>
      <x:c r="P102" s="83" t="n">
        <x:v>33</x:v>
      </x:c>
      <x:c r="Q102" s="83" t="str">
        <x:v>Figure 12</x:v>
      </x:c>
      <x:c r="R102" s="83" t="str">
        <x:v>Direct visual transcription, converted GW→MW</x:v>
      </x:c>
      <x:c r="S102" s="83" t="str">
        <x:v>A — Direct figure</x:v>
      </x:c>
      <x:c r="T102" s="83" t="str">
        <x:v>Reference/comparison; superseded by PDS 2025 Figure 3 for 2040 Base</x:v>
      </x:c>
      <x:c r="U102" s="83" t="str">
        <x:v>Retained to identify revisions between DDS 2024 and the updated PDS 2025 network.</x:v>
      </x:c>
    </x:row>
    <x:row r="103">
      <x:c r="A103" s="83" t="str">
        <x:v>DDS-099</x:v>
      </x:c>
      <x:c r="B103" s="83" t="str">
        <x:v>DDS 2024 scenario-network benchmark</x:v>
      </x:c>
      <x:c r="C103" s="83" t="n">
        <x:v>2030</x:v>
      </x:c>
      <x:c r="D103" s="83" t="str">
        <x:v>DDS 2024 common electricity-network assumption</x:v>
      </x:c>
      <x:c r="E103" s="83" t="str">
        <x:v>CNOR</x:v>
      </x:c>
      <x:c r="F103" s="83" t="str">
        <x:v>CORS</x:v>
      </x:c>
      <x:c r="G103" s="143" t="n">
        <x:v>400</x:v>
      </x:c>
      <x:c r="H103" s="197" t="n">
        <x:f>IF(G103="","",G103/1000)</x:f>
        <x:v>0.4</x:v>
      </x:c>
      <x:c r="I103" s="143"/>
      <x:c r="J103" s="83" t="str">
        <x:v>Maximum exchange capacity</x:v>
      </x:c>
      <x:c r="K103" s="83" t="str">
        <x:v>Directional</x:v>
      </x:c>
      <x:c r="L103" s="83" t="str">
        <x:v>Scenario assumption</x:v>
      </x:c>
      <x:c r="M103" s="83" t="str">
        <x:v>S09</x:v>
      </x:c>
      <x:c r="N103" s="120" t="str">
        <x:v>https://download.terna.it/terna/Documento_Descrizione_Scenari_2024_8dce2430d44d101.pdf</x:v>
      </x:c>
      <x:c r="O103" s="83" t="n">
        <x:v>35</x:v>
      </x:c>
      <x:c r="P103" s="83" t="n">
        <x:v>33</x:v>
      </x:c>
      <x:c r="Q103" s="83" t="str">
        <x:v>Figure 12</x:v>
      </x:c>
      <x:c r="R103" s="83" t="str">
        <x:v>Direct visual transcription, converted GW→MW</x:v>
      </x:c>
      <x:c r="S103" s="83" t="str">
        <x:v>A — Direct figure</x:v>
      </x:c>
      <x:c r="T103" s="83" t="str">
        <x:v>Reference/comparison; superseded by PDS 2025 Figure 3 for 2040 Base</x:v>
      </x:c>
      <x:c r="U103" s="83" t="str">
        <x:v>Retained to identify revisions between DDS 2024 and the updated PDS 2025 network.</x:v>
      </x:c>
    </x:row>
    <x:row r="104">
      <x:c r="A104" s="83" t="str">
        <x:v>DDS-100</x:v>
      </x:c>
      <x:c r="B104" s="83" t="str">
        <x:v>DDS 2024 scenario-network benchmark</x:v>
      </x:c>
      <x:c r="C104" s="83" t="n">
        <x:v>2030</x:v>
      </x:c>
      <x:c r="D104" s="83" t="str">
        <x:v>DDS 2024 common electricity-network assumption</x:v>
      </x:c>
      <x:c r="E104" s="83" t="str">
        <x:v>CORS</x:v>
      </x:c>
      <x:c r="F104" s="83" t="str">
        <x:v>CNOR</x:v>
      </x:c>
      <x:c r="G104" s="143" t="n">
        <x:v>400</x:v>
      </x:c>
      <x:c r="H104" s="197" t="n">
        <x:f>IF(G104="","",G104/1000)</x:f>
        <x:v>0.4</x:v>
      </x:c>
      <x:c r="I104" s="143"/>
      <x:c r="J104" s="83" t="str">
        <x:v>Maximum exchange capacity</x:v>
      </x:c>
      <x:c r="K104" s="83" t="str">
        <x:v>Directional</x:v>
      </x:c>
      <x:c r="L104" s="83" t="str">
        <x:v>Scenario assumption</x:v>
      </x:c>
      <x:c r="M104" s="83" t="str">
        <x:v>S09</x:v>
      </x:c>
      <x:c r="N104" s="120" t="str">
        <x:v>https://download.terna.it/terna/Documento_Descrizione_Scenari_2024_8dce2430d44d101.pdf</x:v>
      </x:c>
      <x:c r="O104" s="83" t="n">
        <x:v>35</x:v>
      </x:c>
      <x:c r="P104" s="83" t="n">
        <x:v>33</x:v>
      </x:c>
      <x:c r="Q104" s="83" t="str">
        <x:v>Figure 12</x:v>
      </x:c>
      <x:c r="R104" s="83" t="str">
        <x:v>Direct visual transcription, converted GW→MW</x:v>
      </x:c>
      <x:c r="S104" s="83" t="str">
        <x:v>A — Direct figure</x:v>
      </x:c>
      <x:c r="T104" s="83" t="str">
        <x:v>Reference/comparison; superseded by PDS 2025 Figure 3 for 2040 Base</x:v>
      </x:c>
      <x:c r="U104" s="83" t="str">
        <x:v>Retained to identify revisions between DDS 2024 and the updated PDS 2025 network.</x:v>
      </x:c>
    </x:row>
    <x:row r="105">
      <x:c r="A105" s="83" t="str">
        <x:v>DDS-101</x:v>
      </x:c>
      <x:c r="B105" s="83" t="str">
        <x:v>DDS 2024 scenario-network benchmark</x:v>
      </x:c>
      <x:c r="C105" s="83" t="n">
        <x:v>2035</x:v>
      </x:c>
      <x:c r="D105" s="83" t="str">
        <x:v>DDS 2024 common electricity-network assumption</x:v>
      </x:c>
      <x:c r="E105" s="83" t="str">
        <x:v>CNOR</x:v>
      </x:c>
      <x:c r="F105" s="83" t="str">
        <x:v>CORS</x:v>
      </x:c>
      <x:c r="G105" s="143" t="n">
        <x:v>400</x:v>
      </x:c>
      <x:c r="H105" s="197" t="n">
        <x:f>IF(G105="","",G105/1000)</x:f>
        <x:v>0.4</x:v>
      </x:c>
      <x:c r="I105" s="143"/>
      <x:c r="J105" s="83" t="str">
        <x:v>Maximum exchange capacity</x:v>
      </x:c>
      <x:c r="K105" s="83" t="str">
        <x:v>Directional</x:v>
      </x:c>
      <x:c r="L105" s="83" t="str">
        <x:v>Scenario assumption</x:v>
      </x:c>
      <x:c r="M105" s="83" t="str">
        <x:v>S09</x:v>
      </x:c>
      <x:c r="N105" s="120" t="str">
        <x:v>https://download.terna.it/terna/Documento_Descrizione_Scenari_2024_8dce2430d44d101.pdf</x:v>
      </x:c>
      <x:c r="O105" s="83" t="n">
        <x:v>35</x:v>
      </x:c>
      <x:c r="P105" s="83" t="n">
        <x:v>33</x:v>
      </x:c>
      <x:c r="Q105" s="83" t="str">
        <x:v>Figure 12</x:v>
      </x:c>
      <x:c r="R105" s="83" t="str">
        <x:v>Direct visual transcription, converted GW→MW</x:v>
      </x:c>
      <x:c r="S105" s="83" t="str">
        <x:v>A — Direct figure</x:v>
      </x:c>
      <x:c r="T105" s="83" t="str">
        <x:v>Reference/comparison; superseded by PDS 2025 Figure 3 for 2040 Base</x:v>
      </x:c>
      <x:c r="U105" s="83" t="str">
        <x:v>Retained to identify revisions between DDS 2024 and the updated PDS 2025 network.</x:v>
      </x:c>
    </x:row>
    <x:row r="106">
      <x:c r="A106" s="83" t="str">
        <x:v>DDS-102</x:v>
      </x:c>
      <x:c r="B106" s="83" t="str">
        <x:v>DDS 2024 scenario-network benchmark</x:v>
      </x:c>
      <x:c r="C106" s="83" t="n">
        <x:v>2035</x:v>
      </x:c>
      <x:c r="D106" s="83" t="str">
        <x:v>DDS 2024 common electricity-network assumption</x:v>
      </x:c>
      <x:c r="E106" s="83" t="str">
        <x:v>CORS</x:v>
      </x:c>
      <x:c r="F106" s="83" t="str">
        <x:v>CNOR</x:v>
      </x:c>
      <x:c r="G106" s="143" t="n">
        <x:v>400</x:v>
      </x:c>
      <x:c r="H106" s="197" t="n">
        <x:f>IF(G106="","",G106/1000)</x:f>
        <x:v>0.4</x:v>
      </x:c>
      <x:c r="I106" s="143"/>
      <x:c r="J106" s="83" t="str">
        <x:v>Maximum exchange capacity</x:v>
      </x:c>
      <x:c r="K106" s="83" t="str">
        <x:v>Directional</x:v>
      </x:c>
      <x:c r="L106" s="83" t="str">
        <x:v>Scenario assumption</x:v>
      </x:c>
      <x:c r="M106" s="83" t="str">
        <x:v>S09</x:v>
      </x:c>
      <x:c r="N106" s="120" t="str">
        <x:v>https://download.terna.it/terna/Documento_Descrizione_Scenari_2024_8dce2430d44d101.pdf</x:v>
      </x:c>
      <x:c r="O106" s="83" t="n">
        <x:v>35</x:v>
      </x:c>
      <x:c r="P106" s="83" t="n">
        <x:v>33</x:v>
      </x:c>
      <x:c r="Q106" s="83" t="str">
        <x:v>Figure 12</x:v>
      </x:c>
      <x:c r="R106" s="83" t="str">
        <x:v>Direct visual transcription, converted GW→MW</x:v>
      </x:c>
      <x:c r="S106" s="83" t="str">
        <x:v>A — Direct figure</x:v>
      </x:c>
      <x:c r="T106" s="83" t="str">
        <x:v>Reference/comparison; superseded by PDS 2025 Figure 3 for 2040 Base</x:v>
      </x:c>
      <x:c r="U106" s="83" t="str">
        <x:v>Retained to identify revisions between DDS 2024 and the updated PDS 2025 network.</x:v>
      </x:c>
    </x:row>
    <x:row r="107">
      <x:c r="A107" s="83" t="str">
        <x:v>DDS-103</x:v>
      </x:c>
      <x:c r="B107" s="83" t="str">
        <x:v>DDS 2024 scenario-network benchmark</x:v>
      </x:c>
      <x:c r="C107" s="83" t="n">
        <x:v>2040</x:v>
      </x:c>
      <x:c r="D107" s="83" t="str">
        <x:v>DDS 2024 common electricity-network assumption</x:v>
      </x:c>
      <x:c r="E107" s="83" t="str">
        <x:v>CNOR</x:v>
      </x:c>
      <x:c r="F107" s="83" t="str">
        <x:v>CORS</x:v>
      </x:c>
      <x:c r="G107" s="143" t="n">
        <x:v>400</x:v>
      </x:c>
      <x:c r="H107" s="197" t="n">
        <x:f>IF(G107="","",G107/1000)</x:f>
        <x:v>0.4</x:v>
      </x:c>
      <x:c r="I107" s="143"/>
      <x:c r="J107" s="83" t="str">
        <x:v>Maximum exchange capacity</x:v>
      </x:c>
      <x:c r="K107" s="83" t="str">
        <x:v>Directional</x:v>
      </x:c>
      <x:c r="L107" s="83" t="str">
        <x:v>Scenario assumption</x:v>
      </x:c>
      <x:c r="M107" s="83" t="str">
        <x:v>S09</x:v>
      </x:c>
      <x:c r="N107" s="120" t="str">
        <x:v>https://download.terna.it/terna/Documento_Descrizione_Scenari_2024_8dce2430d44d101.pdf</x:v>
      </x:c>
      <x:c r="O107" s="83" t="n">
        <x:v>35</x:v>
      </x:c>
      <x:c r="P107" s="83" t="n">
        <x:v>33</x:v>
      </x:c>
      <x:c r="Q107" s="83" t="str">
        <x:v>Figure 12</x:v>
      </x:c>
      <x:c r="R107" s="83" t="str">
        <x:v>Direct visual transcription, converted GW→MW</x:v>
      </x:c>
      <x:c r="S107" s="83" t="str">
        <x:v>A — Direct figure</x:v>
      </x:c>
      <x:c r="T107" s="83" t="str">
        <x:v>Reference/comparison; superseded by PDS 2025 Figure 3 for 2040 Base</x:v>
      </x:c>
      <x:c r="U107" s="83" t="str">
        <x:v>Retained to identify revisions between DDS 2024 and the updated PDS 2025 network.</x:v>
      </x:c>
    </x:row>
    <x:row r="108">
      <x:c r="A108" s="83" t="str">
        <x:v>DDS-104</x:v>
      </x:c>
      <x:c r="B108" s="83" t="str">
        <x:v>DDS 2024 scenario-network benchmark</x:v>
      </x:c>
      <x:c r="C108" s="83" t="n">
        <x:v>2040</x:v>
      </x:c>
      <x:c r="D108" s="83" t="str">
        <x:v>DDS 2024 common electricity-network assumption</x:v>
      </x:c>
      <x:c r="E108" s="83" t="str">
        <x:v>CORS</x:v>
      </x:c>
      <x:c r="F108" s="83" t="str">
        <x:v>CNOR</x:v>
      </x:c>
      <x:c r="G108" s="143" t="n">
        <x:v>400</x:v>
      </x:c>
      <x:c r="H108" s="197" t="n">
        <x:f>IF(G108="","",G108/1000)</x:f>
        <x:v>0.4</x:v>
      </x:c>
      <x:c r="I108" s="143"/>
      <x:c r="J108" s="83" t="str">
        <x:v>Maximum exchange capacity</x:v>
      </x:c>
      <x:c r="K108" s="83" t="str">
        <x:v>Directional</x:v>
      </x:c>
      <x:c r="L108" s="83" t="str">
        <x:v>Scenario assumption</x:v>
      </x:c>
      <x:c r="M108" s="83" t="str">
        <x:v>S09</x:v>
      </x:c>
      <x:c r="N108" s="120" t="str">
        <x:v>https://download.terna.it/terna/Documento_Descrizione_Scenari_2024_8dce2430d44d101.pdf</x:v>
      </x:c>
      <x:c r="O108" s="83" t="n">
        <x:v>35</x:v>
      </x:c>
      <x:c r="P108" s="83" t="n">
        <x:v>33</x:v>
      </x:c>
      <x:c r="Q108" s="83" t="str">
        <x:v>Figure 12</x:v>
      </x:c>
      <x:c r="R108" s="83" t="str">
        <x:v>Direct visual transcription, converted GW→MW</x:v>
      </x:c>
      <x:c r="S108" s="83" t="str">
        <x:v>A — Direct figure</x:v>
      </x:c>
      <x:c r="T108" s="83" t="str">
        <x:v>Reference/comparison; superseded by PDS 2025 Figure 3 for 2040 Base</x:v>
      </x:c>
      <x:c r="U108" s="83" t="str">
        <x:v>Retained to identify revisions between DDS 2024 and the updated PDS 2025 network.</x:v>
      </x:c>
    </x:row>
    <x:row r="109">
      <x:c r="A109" s="83" t="str">
        <x:v>DDS-105</x:v>
      </x:c>
      <x:c r="B109" s="83" t="str">
        <x:v>DDS 2024 scenario-network benchmark</x:v>
      </x:c>
      <x:c r="C109" s="83" t="n">
        <x:v>2023</x:v>
      </x:c>
      <x:c r="D109" s="83" t="str">
        <x:v>DDS 2024 common electricity-network assumption</x:v>
      </x:c>
      <x:c r="E109" s="83" t="str">
        <x:v>CORS</x:v>
      </x:c>
      <x:c r="F109" s="83" t="str">
        <x:v>SARD</x:v>
      </x:c>
      <x:c r="G109" s="143" t="n">
        <x:v>400</x:v>
      </x:c>
      <x:c r="H109" s="197" t="n">
        <x:f>IF(G109="","",G109/1000)</x:f>
        <x:v>0.4</x:v>
      </x:c>
      <x:c r="I109" s="143"/>
      <x:c r="J109" s="83" t="str">
        <x:v>Maximum exchange capacity</x:v>
      </x:c>
      <x:c r="K109" s="83" t="str">
        <x:v>Directional</x:v>
      </x:c>
      <x:c r="L109" s="83" t="str">
        <x:v>Scenario assumption</x:v>
      </x:c>
      <x:c r="M109" s="83" t="str">
        <x:v>S09</x:v>
      </x:c>
      <x:c r="N109" s="120" t="str">
        <x:v>https://download.terna.it/terna/Documento_Descrizione_Scenari_2024_8dce2430d44d101.pdf</x:v>
      </x:c>
      <x:c r="O109" s="83" t="n">
        <x:v>35</x:v>
      </x:c>
      <x:c r="P109" s="83" t="n">
        <x:v>33</x:v>
      </x:c>
      <x:c r="Q109" s="83" t="str">
        <x:v>Figure 12</x:v>
      </x:c>
      <x:c r="R109" s="83" t="str">
        <x:v>Direct visual transcription, converted GW→MW</x:v>
      </x:c>
      <x:c r="S109" s="83" t="str">
        <x:v>A — Direct figure</x:v>
      </x:c>
      <x:c r="T109" s="83" t="str">
        <x:v>Reference/comparison; superseded by PDS 2025 Figure 3 for 2040 Base</x:v>
      </x:c>
      <x:c r="U109" s="83" t="str">
        <x:v>Retained to identify revisions between DDS 2024 and the updated PDS 2025 network.</x:v>
      </x:c>
    </x:row>
    <x:row r="110">
      <x:c r="A110" s="83" t="str">
        <x:v>DDS-106</x:v>
      </x:c>
      <x:c r="B110" s="83" t="str">
        <x:v>DDS 2024 scenario-network benchmark</x:v>
      </x:c>
      <x:c r="C110" s="83" t="n">
        <x:v>2023</x:v>
      </x:c>
      <x:c r="D110" s="83" t="str">
        <x:v>DDS 2024 common electricity-network assumption</x:v>
      </x:c>
      <x:c r="E110" s="83" t="str">
        <x:v>SARD</x:v>
      </x:c>
      <x:c r="F110" s="83" t="str">
        <x:v>CORS</x:v>
      </x:c>
      <x:c r="G110" s="143" t="n">
        <x:v>500</x:v>
      </x:c>
      <x:c r="H110" s="197" t="n">
        <x:f>IF(G110="","",G110/1000)</x:f>
        <x:v>0.5</x:v>
      </x:c>
      <x:c r="I110" s="143"/>
      <x:c r="J110" s="83" t="str">
        <x:v>Maximum exchange capacity</x:v>
      </x:c>
      <x:c r="K110" s="83" t="str">
        <x:v>Directional</x:v>
      </x:c>
      <x:c r="L110" s="83" t="str">
        <x:v>Scenario assumption</x:v>
      </x:c>
      <x:c r="M110" s="83" t="str">
        <x:v>S09</x:v>
      </x:c>
      <x:c r="N110" s="120" t="str">
        <x:v>https://download.terna.it/terna/Documento_Descrizione_Scenari_2024_8dce2430d44d101.pdf</x:v>
      </x:c>
      <x:c r="O110" s="83" t="n">
        <x:v>35</x:v>
      </x:c>
      <x:c r="P110" s="83" t="n">
        <x:v>33</x:v>
      </x:c>
      <x:c r="Q110" s="83" t="str">
        <x:v>Figure 12</x:v>
      </x:c>
      <x:c r="R110" s="83" t="str">
        <x:v>Direct visual transcription, converted GW→MW</x:v>
      </x:c>
      <x:c r="S110" s="83" t="str">
        <x:v>A — Direct figure</x:v>
      </x:c>
      <x:c r="T110" s="83" t="str">
        <x:v>Reference/comparison; superseded by PDS 2025 Figure 3 for 2040 Base</x:v>
      </x:c>
      <x:c r="U110" s="83" t="str">
        <x:v>Retained to identify revisions between DDS 2024 and the updated PDS 2025 network.</x:v>
      </x:c>
    </x:row>
    <x:row r="111">
      <x:c r="A111" s="83" t="str">
        <x:v>DDS-107</x:v>
      </x:c>
      <x:c r="B111" s="83" t="str">
        <x:v>DDS 2024 scenario-network benchmark</x:v>
      </x:c>
      <x:c r="C111" s="83" t="n">
        <x:v>2030</x:v>
      </x:c>
      <x:c r="D111" s="83" t="str">
        <x:v>DDS 2024 common electricity-network assumption</x:v>
      </x:c>
      <x:c r="E111" s="83" t="str">
        <x:v>CORS</x:v>
      </x:c>
      <x:c r="F111" s="83" t="str">
        <x:v>SARD</x:v>
      </x:c>
      <x:c r="G111" s="143" t="n">
        <x:v>400</x:v>
      </x:c>
      <x:c r="H111" s="197" t="n">
        <x:f>IF(G111="","",G111/1000)</x:f>
        <x:v>0.4</x:v>
      </x:c>
      <x:c r="I111" s="143"/>
      <x:c r="J111" s="83" t="str">
        <x:v>Maximum exchange capacity</x:v>
      </x:c>
      <x:c r="K111" s="83" t="str">
        <x:v>Directional</x:v>
      </x:c>
      <x:c r="L111" s="83" t="str">
        <x:v>Scenario assumption</x:v>
      </x:c>
      <x:c r="M111" s="83" t="str">
        <x:v>S09</x:v>
      </x:c>
      <x:c r="N111" s="120" t="str">
        <x:v>https://download.terna.it/terna/Documento_Descrizione_Scenari_2024_8dce2430d44d101.pdf</x:v>
      </x:c>
      <x:c r="O111" s="83" t="n">
        <x:v>35</x:v>
      </x:c>
      <x:c r="P111" s="83" t="n">
        <x:v>33</x:v>
      </x:c>
      <x:c r="Q111" s="83" t="str">
        <x:v>Figure 12</x:v>
      </x:c>
      <x:c r="R111" s="83" t="str">
        <x:v>Direct visual transcription, converted GW→MW</x:v>
      </x:c>
      <x:c r="S111" s="83" t="str">
        <x:v>A — Direct figure</x:v>
      </x:c>
      <x:c r="T111" s="83" t="str">
        <x:v>Reference/comparison; superseded by PDS 2025 Figure 3 for 2040 Base</x:v>
      </x:c>
      <x:c r="U111" s="83" t="str">
        <x:v>Retained to identify revisions between DDS 2024 and the updated PDS 2025 network.</x:v>
      </x:c>
    </x:row>
    <x:row r="112">
      <x:c r="A112" s="83" t="str">
        <x:v>DDS-108</x:v>
      </x:c>
      <x:c r="B112" s="83" t="str">
        <x:v>DDS 2024 scenario-network benchmark</x:v>
      </x:c>
      <x:c r="C112" s="83" t="n">
        <x:v>2030</x:v>
      </x:c>
      <x:c r="D112" s="83" t="str">
        <x:v>DDS 2024 common electricity-network assumption</x:v>
      </x:c>
      <x:c r="E112" s="83" t="str">
        <x:v>SARD</x:v>
      </x:c>
      <x:c r="F112" s="83" t="str">
        <x:v>CORS</x:v>
      </x:c>
      <x:c r="G112" s="143" t="n">
        <x:v>500</x:v>
      </x:c>
      <x:c r="H112" s="197" t="n">
        <x:f>IF(G112="","",G112/1000)</x:f>
        <x:v>0.5</x:v>
      </x:c>
      <x:c r="I112" s="143"/>
      <x:c r="J112" s="83" t="str">
        <x:v>Maximum exchange capacity</x:v>
      </x:c>
      <x:c r="K112" s="83" t="str">
        <x:v>Directional</x:v>
      </x:c>
      <x:c r="L112" s="83" t="str">
        <x:v>Scenario assumption</x:v>
      </x:c>
      <x:c r="M112" s="83" t="str">
        <x:v>S09</x:v>
      </x:c>
      <x:c r="N112" s="120" t="str">
        <x:v>https://download.terna.it/terna/Documento_Descrizione_Scenari_2024_8dce2430d44d101.pdf</x:v>
      </x:c>
      <x:c r="O112" s="83" t="n">
        <x:v>35</x:v>
      </x:c>
      <x:c r="P112" s="83" t="n">
        <x:v>33</x:v>
      </x:c>
      <x:c r="Q112" s="83" t="str">
        <x:v>Figure 12</x:v>
      </x:c>
      <x:c r="R112" s="83" t="str">
        <x:v>Direct visual transcription, converted GW→MW</x:v>
      </x:c>
      <x:c r="S112" s="83" t="str">
        <x:v>A — Direct figure</x:v>
      </x:c>
      <x:c r="T112" s="83" t="str">
        <x:v>Reference/comparison; superseded by PDS 2025 Figure 3 for 2040 Base</x:v>
      </x:c>
      <x:c r="U112" s="83" t="str">
        <x:v>Retained to identify revisions between DDS 2024 and the updated PDS 2025 network.</x:v>
      </x:c>
    </x:row>
    <x:row r="113">
      <x:c r="A113" s="83" t="str">
        <x:v>DDS-109</x:v>
      </x:c>
      <x:c r="B113" s="83" t="str">
        <x:v>DDS 2024 scenario-network benchmark</x:v>
      </x:c>
      <x:c r="C113" s="83" t="n">
        <x:v>2035</x:v>
      </x:c>
      <x:c r="D113" s="83" t="str">
        <x:v>DDS 2024 common electricity-network assumption</x:v>
      </x:c>
      <x:c r="E113" s="83" t="str">
        <x:v>CORS</x:v>
      </x:c>
      <x:c r="F113" s="83" t="str">
        <x:v>SARD</x:v>
      </x:c>
      <x:c r="G113" s="143" t="n">
        <x:v>400</x:v>
      </x:c>
      <x:c r="H113" s="197" t="n">
        <x:f>IF(G113="","",G113/1000)</x:f>
        <x:v>0.4</x:v>
      </x:c>
      <x:c r="I113" s="143"/>
      <x:c r="J113" s="83" t="str">
        <x:v>Maximum exchange capacity</x:v>
      </x:c>
      <x:c r="K113" s="83" t="str">
        <x:v>Directional</x:v>
      </x:c>
      <x:c r="L113" s="83" t="str">
        <x:v>Scenario assumption</x:v>
      </x:c>
      <x:c r="M113" s="83" t="str">
        <x:v>S09</x:v>
      </x:c>
      <x:c r="N113" s="120" t="str">
        <x:v>https://download.terna.it/terna/Documento_Descrizione_Scenari_2024_8dce2430d44d101.pdf</x:v>
      </x:c>
      <x:c r="O113" s="83" t="n">
        <x:v>35</x:v>
      </x:c>
      <x:c r="P113" s="83" t="n">
        <x:v>33</x:v>
      </x:c>
      <x:c r="Q113" s="83" t="str">
        <x:v>Figure 12</x:v>
      </x:c>
      <x:c r="R113" s="83" t="str">
        <x:v>Direct visual transcription, converted GW→MW</x:v>
      </x:c>
      <x:c r="S113" s="83" t="str">
        <x:v>A — Direct figure</x:v>
      </x:c>
      <x:c r="T113" s="83" t="str">
        <x:v>Reference/comparison; superseded by PDS 2025 Figure 3 for 2040 Base</x:v>
      </x:c>
      <x:c r="U113" s="83" t="str">
        <x:v>Retained to identify revisions between DDS 2024 and the updated PDS 2025 network.</x:v>
      </x:c>
    </x:row>
    <x:row r="114">
      <x:c r="A114" s="83" t="str">
        <x:v>DDS-110</x:v>
      </x:c>
      <x:c r="B114" s="83" t="str">
        <x:v>DDS 2024 scenario-network benchmark</x:v>
      </x:c>
      <x:c r="C114" s="83" t="n">
        <x:v>2035</x:v>
      </x:c>
      <x:c r="D114" s="83" t="str">
        <x:v>DDS 2024 common electricity-network assumption</x:v>
      </x:c>
      <x:c r="E114" s="83" t="str">
        <x:v>SARD</x:v>
      </x:c>
      <x:c r="F114" s="83" t="str">
        <x:v>CORS</x:v>
      </x:c>
      <x:c r="G114" s="143" t="n">
        <x:v>500</x:v>
      </x:c>
      <x:c r="H114" s="197" t="n">
        <x:f>IF(G114="","",G114/1000)</x:f>
        <x:v>0.5</x:v>
      </x:c>
      <x:c r="I114" s="143"/>
      <x:c r="J114" s="83" t="str">
        <x:v>Maximum exchange capacity</x:v>
      </x:c>
      <x:c r="K114" s="83" t="str">
        <x:v>Directional</x:v>
      </x:c>
      <x:c r="L114" s="83" t="str">
        <x:v>Scenario assumption</x:v>
      </x:c>
      <x:c r="M114" s="83" t="str">
        <x:v>S09</x:v>
      </x:c>
      <x:c r="N114" s="120" t="str">
        <x:v>https://download.terna.it/terna/Documento_Descrizione_Scenari_2024_8dce2430d44d101.pdf</x:v>
      </x:c>
      <x:c r="O114" s="83" t="n">
        <x:v>35</x:v>
      </x:c>
      <x:c r="P114" s="83" t="n">
        <x:v>33</x:v>
      </x:c>
      <x:c r="Q114" s="83" t="str">
        <x:v>Figure 12</x:v>
      </x:c>
      <x:c r="R114" s="83" t="str">
        <x:v>Direct visual transcription, converted GW→MW</x:v>
      </x:c>
      <x:c r="S114" s="83" t="str">
        <x:v>A — Direct figure</x:v>
      </x:c>
      <x:c r="T114" s="83" t="str">
        <x:v>Reference/comparison; superseded by PDS 2025 Figure 3 for 2040 Base</x:v>
      </x:c>
      <x:c r="U114" s="83" t="str">
        <x:v>Retained to identify revisions between DDS 2024 and the updated PDS 2025 network.</x:v>
      </x:c>
    </x:row>
    <x:row r="115">
      <x:c r="A115" s="83" t="str">
        <x:v>DDS-111</x:v>
      </x:c>
      <x:c r="B115" s="83" t="str">
        <x:v>DDS 2024 scenario-network benchmark</x:v>
      </x:c>
      <x:c r="C115" s="83" t="n">
        <x:v>2040</x:v>
      </x:c>
      <x:c r="D115" s="83" t="str">
        <x:v>DDS 2024 common electricity-network assumption</x:v>
      </x:c>
      <x:c r="E115" s="83" t="str">
        <x:v>CORS</x:v>
      </x:c>
      <x:c r="F115" s="83" t="str">
        <x:v>SARD</x:v>
      </x:c>
      <x:c r="G115" s="143" t="n">
        <x:v>400</x:v>
      </x:c>
      <x:c r="H115" s="197" t="n">
        <x:f>IF(G115="","",G115/1000)</x:f>
        <x:v>0.4</x:v>
      </x:c>
      <x:c r="I115" s="143"/>
      <x:c r="J115" s="83" t="str">
        <x:v>Maximum exchange capacity</x:v>
      </x:c>
      <x:c r="K115" s="83" t="str">
        <x:v>Directional</x:v>
      </x:c>
      <x:c r="L115" s="83" t="str">
        <x:v>Scenario assumption</x:v>
      </x:c>
      <x:c r="M115" s="83" t="str">
        <x:v>S09</x:v>
      </x:c>
      <x:c r="N115" s="120" t="str">
        <x:v>https://download.terna.it/terna/Documento_Descrizione_Scenari_2024_8dce2430d44d101.pdf</x:v>
      </x:c>
      <x:c r="O115" s="83" t="n">
        <x:v>35</x:v>
      </x:c>
      <x:c r="P115" s="83" t="n">
        <x:v>33</x:v>
      </x:c>
      <x:c r="Q115" s="83" t="str">
        <x:v>Figure 12</x:v>
      </x:c>
      <x:c r="R115" s="83" t="str">
        <x:v>Direct visual transcription, converted GW→MW</x:v>
      </x:c>
      <x:c r="S115" s="83" t="str">
        <x:v>A — Direct figure</x:v>
      </x:c>
      <x:c r="T115" s="83" t="str">
        <x:v>Reference/comparison; superseded by PDS 2025 Figure 3 for 2040 Base</x:v>
      </x:c>
      <x:c r="U115" s="83" t="str">
        <x:v>Retained to identify revisions between DDS 2024 and the updated PDS 2025 network.</x:v>
      </x:c>
    </x:row>
    <x:row r="116">
      <x:c r="A116" s="83" t="str">
        <x:v>DDS-112</x:v>
      </x:c>
      <x:c r="B116" s="83" t="str">
        <x:v>DDS 2024 scenario-network benchmark</x:v>
      </x:c>
      <x:c r="C116" s="83" t="n">
        <x:v>2040</x:v>
      </x:c>
      <x:c r="D116" s="83" t="str">
        <x:v>DDS 2024 common electricity-network assumption</x:v>
      </x:c>
      <x:c r="E116" s="83" t="str">
        <x:v>SARD</x:v>
      </x:c>
      <x:c r="F116" s="83" t="str">
        <x:v>CORS</x:v>
      </x:c>
      <x:c r="G116" s="143" t="n">
        <x:v>500</x:v>
      </x:c>
      <x:c r="H116" s="197" t="n">
        <x:f>IF(G116="","",G116/1000)</x:f>
        <x:v>0.5</x:v>
      </x:c>
      <x:c r="I116" s="143"/>
      <x:c r="J116" s="83" t="str">
        <x:v>Maximum exchange capacity</x:v>
      </x:c>
      <x:c r="K116" s="83" t="str">
        <x:v>Directional</x:v>
      </x:c>
      <x:c r="L116" s="83" t="str">
        <x:v>Scenario assumption</x:v>
      </x:c>
      <x:c r="M116" s="83" t="str">
        <x:v>S09</x:v>
      </x:c>
      <x:c r="N116" s="120" t="str">
        <x:v>https://download.terna.it/terna/Documento_Descrizione_Scenari_2024_8dce2430d44d101.pdf</x:v>
      </x:c>
      <x:c r="O116" s="83" t="n">
        <x:v>35</x:v>
      </x:c>
      <x:c r="P116" s="83" t="n">
        <x:v>33</x:v>
      </x:c>
      <x:c r="Q116" s="83" t="str">
        <x:v>Figure 12</x:v>
      </x:c>
      <x:c r="R116" s="83" t="str">
        <x:v>Direct visual transcription, converted GW→MW</x:v>
      </x:c>
      <x:c r="S116" s="83" t="str">
        <x:v>A — Direct figure</x:v>
      </x:c>
      <x:c r="T116" s="83" t="str">
        <x:v>Reference/comparison; superseded by PDS 2025 Figure 3 for 2040 Base</x:v>
      </x:c>
      <x:c r="U116" s="83" t="str">
        <x:v>Retained to identify revisions between DDS 2024 and the updated PDS 2025 network.</x:v>
      </x:c>
    </x:row>
    <x:row r="117">
      <x:c r="A117" s="83" t="str">
        <x:v>DDS-113</x:v>
      </x:c>
      <x:c r="B117" s="83" t="str">
        <x:v>DDS 2024 scenario-network benchmark</x:v>
      </x:c>
      <x:c r="C117" s="83" t="n">
        <x:v>2023</x:v>
      </x:c>
      <x:c r="D117" s="83" t="str">
        <x:v>DDS 2024 common electricity-network assumption</x:v>
      </x:c>
      <x:c r="E117" s="83" t="str">
        <x:v>CSUD</x:v>
      </x:c>
      <x:c r="F117" s="83" t="str">
        <x:v>SARD</x:v>
      </x:c>
      <x:c r="G117" s="143" t="n">
        <x:v>700</x:v>
      </x:c>
      <x:c r="H117" s="197" t="n">
        <x:f>IF(G117="","",G117/1000)</x:f>
        <x:v>0.7</x:v>
      </x:c>
      <x:c r="I117" s="143"/>
      <x:c r="J117" s="83" t="str">
        <x:v>Maximum exchange capacity</x:v>
      </x:c>
      <x:c r="K117" s="83" t="str">
        <x:v>Directional</x:v>
      </x:c>
      <x:c r="L117" s="83" t="str">
        <x:v>Scenario assumption</x:v>
      </x:c>
      <x:c r="M117" s="83" t="str">
        <x:v>S09</x:v>
      </x:c>
      <x:c r="N117" s="120" t="str">
        <x:v>https://download.terna.it/terna/Documento_Descrizione_Scenari_2024_8dce2430d44d101.pdf</x:v>
      </x:c>
      <x:c r="O117" s="83" t="n">
        <x:v>35</x:v>
      </x:c>
      <x:c r="P117" s="83" t="n">
        <x:v>33</x:v>
      </x:c>
      <x:c r="Q117" s="83" t="str">
        <x:v>Figure 12</x:v>
      </x:c>
      <x:c r="R117" s="83" t="str">
        <x:v>Direct visual transcription, converted GW→MW</x:v>
      </x:c>
      <x:c r="S117" s="83" t="str">
        <x:v>A — Direct figure</x:v>
      </x:c>
      <x:c r="T117" s="83" t="str">
        <x:v>Reference/comparison; superseded by PDS 2025 Figure 3 for 2040 Base</x:v>
      </x:c>
      <x:c r="U117" s="83" t="str">
        <x:v>Retained to identify revisions between DDS 2024 and the updated PDS 2025 network.</x:v>
      </x:c>
    </x:row>
    <x:row r="118">
      <x:c r="A118" s="83" t="str">
        <x:v>DDS-114</x:v>
      </x:c>
      <x:c r="B118" s="83" t="str">
        <x:v>DDS 2024 scenario-network benchmark</x:v>
      </x:c>
      <x:c r="C118" s="83" t="n">
        <x:v>2023</x:v>
      </x:c>
      <x:c r="D118" s="83" t="str">
        <x:v>DDS 2024 common electricity-network assumption</x:v>
      </x:c>
      <x:c r="E118" s="83" t="str">
        <x:v>SARD</x:v>
      </x:c>
      <x:c r="F118" s="83" t="str">
        <x:v>CSUD</x:v>
      </x:c>
      <x:c r="G118" s="143" t="n">
        <x:v>900</x:v>
      </x:c>
      <x:c r="H118" s="197" t="n">
        <x:f>IF(G118="","",G118/1000)</x:f>
        <x:v>0.9</x:v>
      </x:c>
      <x:c r="I118" s="143"/>
      <x:c r="J118" s="83" t="str">
        <x:v>Maximum exchange capacity</x:v>
      </x:c>
      <x:c r="K118" s="83" t="str">
        <x:v>Directional</x:v>
      </x:c>
      <x:c r="L118" s="83" t="str">
        <x:v>Scenario assumption</x:v>
      </x:c>
      <x:c r="M118" s="83" t="str">
        <x:v>S09</x:v>
      </x:c>
      <x:c r="N118" s="120" t="str">
        <x:v>https://download.terna.it/terna/Documento_Descrizione_Scenari_2024_8dce2430d44d101.pdf</x:v>
      </x:c>
      <x:c r="O118" s="83" t="n">
        <x:v>35</x:v>
      </x:c>
      <x:c r="P118" s="83" t="n">
        <x:v>33</x:v>
      </x:c>
      <x:c r="Q118" s="83" t="str">
        <x:v>Figure 12</x:v>
      </x:c>
      <x:c r="R118" s="83" t="str">
        <x:v>Direct visual transcription, converted GW→MW</x:v>
      </x:c>
      <x:c r="S118" s="83" t="str">
        <x:v>A — Direct figure</x:v>
      </x:c>
      <x:c r="T118" s="83" t="str">
        <x:v>Reference/comparison; superseded by PDS 2025 Figure 3 for 2040 Base</x:v>
      </x:c>
      <x:c r="U118" s="83" t="str">
        <x:v>Retained to identify revisions between DDS 2024 and the updated PDS 2025 network.</x:v>
      </x:c>
    </x:row>
    <x:row r="119">
      <x:c r="A119" s="83" t="str">
        <x:v>DDS-115</x:v>
      </x:c>
      <x:c r="B119" s="83" t="str">
        <x:v>DDS 2024 scenario-network benchmark</x:v>
      </x:c>
      <x:c r="C119" s="83" t="n">
        <x:v>2030</x:v>
      </x:c>
      <x:c r="D119" s="83" t="str">
        <x:v>DDS 2024 common electricity-network assumption</x:v>
      </x:c>
      <x:c r="E119" s="83" t="str">
        <x:v>CSUD</x:v>
      </x:c>
      <x:c r="F119" s="83" t="str">
        <x:v>SARD</x:v>
      </x:c>
      <x:c r="G119" s="143" t="n">
        <x:v>700</x:v>
      </x:c>
      <x:c r="H119" s="197" t="n">
        <x:f>IF(G119="","",G119/1000)</x:f>
        <x:v>0.7</x:v>
      </x:c>
      <x:c r="I119" s="143"/>
      <x:c r="J119" s="83" t="str">
        <x:v>Maximum exchange capacity</x:v>
      </x:c>
      <x:c r="K119" s="83" t="str">
        <x:v>Directional</x:v>
      </x:c>
      <x:c r="L119" s="83" t="str">
        <x:v>Scenario assumption</x:v>
      </x:c>
      <x:c r="M119" s="83" t="str">
        <x:v>S09</x:v>
      </x:c>
      <x:c r="N119" s="120" t="str">
        <x:v>https://download.terna.it/terna/Documento_Descrizione_Scenari_2024_8dce2430d44d101.pdf</x:v>
      </x:c>
      <x:c r="O119" s="83" t="n">
        <x:v>35</x:v>
      </x:c>
      <x:c r="P119" s="83" t="n">
        <x:v>33</x:v>
      </x:c>
      <x:c r="Q119" s="83" t="str">
        <x:v>Figure 12</x:v>
      </x:c>
      <x:c r="R119" s="83" t="str">
        <x:v>Direct visual transcription, converted GW→MW</x:v>
      </x:c>
      <x:c r="S119" s="83" t="str">
        <x:v>A — Direct figure</x:v>
      </x:c>
      <x:c r="T119" s="83" t="str">
        <x:v>Reference/comparison; superseded by PDS 2025 Figure 3 for 2040 Base</x:v>
      </x:c>
      <x:c r="U119" s="83" t="str">
        <x:v>Retained to identify revisions between DDS 2024 and the updated PDS 2025 network.</x:v>
      </x:c>
    </x:row>
    <x:row r="120">
      <x:c r="A120" s="83" t="str">
        <x:v>DDS-116</x:v>
      </x:c>
      <x:c r="B120" s="83" t="str">
        <x:v>DDS 2024 scenario-network benchmark</x:v>
      </x:c>
      <x:c r="C120" s="83" t="n">
        <x:v>2030</x:v>
      </x:c>
      <x:c r="D120" s="83" t="str">
        <x:v>DDS 2024 common electricity-network assumption</x:v>
      </x:c>
      <x:c r="E120" s="83" t="str">
        <x:v>SARD</x:v>
      </x:c>
      <x:c r="F120" s="83" t="str">
        <x:v>CSUD</x:v>
      </x:c>
      <x:c r="G120" s="143" t="n">
        <x:v>900</x:v>
      </x:c>
      <x:c r="H120" s="197" t="n">
        <x:f>IF(G120="","",G120/1000)</x:f>
        <x:v>0.9</x:v>
      </x:c>
      <x:c r="I120" s="143"/>
      <x:c r="J120" s="83" t="str">
        <x:v>Maximum exchange capacity</x:v>
      </x:c>
      <x:c r="K120" s="83" t="str">
        <x:v>Directional</x:v>
      </x:c>
      <x:c r="L120" s="83" t="str">
        <x:v>Scenario assumption</x:v>
      </x:c>
      <x:c r="M120" s="83" t="str">
        <x:v>S09</x:v>
      </x:c>
      <x:c r="N120" s="120" t="str">
        <x:v>https://download.terna.it/terna/Documento_Descrizione_Scenari_2024_8dce2430d44d101.pdf</x:v>
      </x:c>
      <x:c r="O120" s="83" t="n">
        <x:v>35</x:v>
      </x:c>
      <x:c r="P120" s="83" t="n">
        <x:v>33</x:v>
      </x:c>
      <x:c r="Q120" s="83" t="str">
        <x:v>Figure 12</x:v>
      </x:c>
      <x:c r="R120" s="83" t="str">
        <x:v>Direct visual transcription, converted GW→MW</x:v>
      </x:c>
      <x:c r="S120" s="83" t="str">
        <x:v>A — Direct figure</x:v>
      </x:c>
      <x:c r="T120" s="83" t="str">
        <x:v>Reference/comparison; superseded by PDS 2025 Figure 3 for 2040 Base</x:v>
      </x:c>
      <x:c r="U120" s="83" t="str">
        <x:v>Retained to identify revisions between DDS 2024 and the updated PDS 2025 network.</x:v>
      </x:c>
    </x:row>
    <x:row r="121">
      <x:c r="A121" s="83" t="str">
        <x:v>DDS-117</x:v>
      </x:c>
      <x:c r="B121" s="83" t="str">
        <x:v>DDS 2024 scenario-network benchmark</x:v>
      </x:c>
      <x:c r="C121" s="83" t="n">
        <x:v>2035</x:v>
      </x:c>
      <x:c r="D121" s="83" t="str">
        <x:v>DDS 2024 common electricity-network assumption</x:v>
      </x:c>
      <x:c r="E121" s="83" t="str">
        <x:v>CSUD</x:v>
      </x:c>
      <x:c r="F121" s="83" t="str">
        <x:v>SARD</x:v>
      </x:c>
      <x:c r="G121" s="143" t="n">
        <x:v>700</x:v>
      </x:c>
      <x:c r="H121" s="197" t="n">
        <x:f>IF(G121="","",G121/1000)</x:f>
        <x:v>0.7</x:v>
      </x:c>
      <x:c r="I121" s="143"/>
      <x:c r="J121" s="83" t="str">
        <x:v>Maximum exchange capacity</x:v>
      </x:c>
      <x:c r="K121" s="83" t="str">
        <x:v>Directional</x:v>
      </x:c>
      <x:c r="L121" s="83" t="str">
        <x:v>Scenario assumption</x:v>
      </x:c>
      <x:c r="M121" s="83" t="str">
        <x:v>S09</x:v>
      </x:c>
      <x:c r="N121" s="120" t="str">
        <x:v>https://download.terna.it/terna/Documento_Descrizione_Scenari_2024_8dce2430d44d101.pdf</x:v>
      </x:c>
      <x:c r="O121" s="83" t="n">
        <x:v>35</x:v>
      </x:c>
      <x:c r="P121" s="83" t="n">
        <x:v>33</x:v>
      </x:c>
      <x:c r="Q121" s="83" t="str">
        <x:v>Figure 12</x:v>
      </x:c>
      <x:c r="R121" s="83" t="str">
        <x:v>Direct visual transcription, converted GW→MW</x:v>
      </x:c>
      <x:c r="S121" s="83" t="str">
        <x:v>A — Direct figure</x:v>
      </x:c>
      <x:c r="T121" s="83" t="str">
        <x:v>Reference/comparison; superseded by PDS 2025 Figure 3 for 2040 Base</x:v>
      </x:c>
      <x:c r="U121" s="83" t="str">
        <x:v>Retained to identify revisions between DDS 2024 and the updated PDS 2025 network.</x:v>
      </x:c>
    </x:row>
    <x:row r="122">
      <x:c r="A122" s="83" t="str">
        <x:v>DDS-118</x:v>
      </x:c>
      <x:c r="B122" s="83" t="str">
        <x:v>DDS 2024 scenario-network benchmark</x:v>
      </x:c>
      <x:c r="C122" s="83" t="n">
        <x:v>2035</x:v>
      </x:c>
      <x:c r="D122" s="83" t="str">
        <x:v>DDS 2024 common electricity-network assumption</x:v>
      </x:c>
      <x:c r="E122" s="83" t="str">
        <x:v>SARD</x:v>
      </x:c>
      <x:c r="F122" s="83" t="str">
        <x:v>CSUD</x:v>
      </x:c>
      <x:c r="G122" s="143" t="n">
        <x:v>900</x:v>
      </x:c>
      <x:c r="H122" s="197" t="n">
        <x:f>IF(G122="","",G122/1000)</x:f>
        <x:v>0.9</x:v>
      </x:c>
      <x:c r="I122" s="143"/>
      <x:c r="J122" s="83" t="str">
        <x:v>Maximum exchange capacity</x:v>
      </x:c>
      <x:c r="K122" s="83" t="str">
        <x:v>Directional</x:v>
      </x:c>
      <x:c r="L122" s="83" t="str">
        <x:v>Scenario assumption</x:v>
      </x:c>
      <x:c r="M122" s="83" t="str">
        <x:v>S09</x:v>
      </x:c>
      <x:c r="N122" s="120" t="str">
        <x:v>https://download.terna.it/terna/Documento_Descrizione_Scenari_2024_8dce2430d44d101.pdf</x:v>
      </x:c>
      <x:c r="O122" s="83" t="n">
        <x:v>35</x:v>
      </x:c>
      <x:c r="P122" s="83" t="n">
        <x:v>33</x:v>
      </x:c>
      <x:c r="Q122" s="83" t="str">
        <x:v>Figure 12</x:v>
      </x:c>
      <x:c r="R122" s="83" t="str">
        <x:v>Direct visual transcription, converted GW→MW</x:v>
      </x:c>
      <x:c r="S122" s="83" t="str">
        <x:v>A — Direct figure</x:v>
      </x:c>
      <x:c r="T122" s="83" t="str">
        <x:v>Reference/comparison; superseded by PDS 2025 Figure 3 for 2040 Base</x:v>
      </x:c>
      <x:c r="U122" s="83" t="str">
        <x:v>Retained to identify revisions between DDS 2024 and the updated PDS 2025 network.</x:v>
      </x:c>
    </x:row>
    <x:row r="123">
      <x:c r="A123" s="83" t="str">
        <x:v>DDS-119</x:v>
      </x:c>
      <x:c r="B123" s="83" t="str">
        <x:v>DDS 2024 scenario-network benchmark</x:v>
      </x:c>
      <x:c r="C123" s="83" t="n">
        <x:v>2040</x:v>
      </x:c>
      <x:c r="D123" s="83" t="str">
        <x:v>DDS 2024 common electricity-network assumption</x:v>
      </x:c>
      <x:c r="E123" s="83" t="str">
        <x:v>CSUD</x:v>
      </x:c>
      <x:c r="F123" s="83" t="str">
        <x:v>SARD</x:v>
      </x:c>
      <x:c r="G123" s="143" t="n">
        <x:v>1700</x:v>
      </x:c>
      <x:c r="H123" s="197" t="n">
        <x:f>IF(G123="","",G123/1000)</x:f>
        <x:v>1.7</x:v>
      </x:c>
      <x:c r="I123" s="143"/>
      <x:c r="J123" s="83" t="str">
        <x:v>Maximum exchange capacity</x:v>
      </x:c>
      <x:c r="K123" s="83" t="str">
        <x:v>Directional</x:v>
      </x:c>
      <x:c r="L123" s="83" t="str">
        <x:v>Scenario assumption</x:v>
      </x:c>
      <x:c r="M123" s="83" t="str">
        <x:v>S09</x:v>
      </x:c>
      <x:c r="N123" s="120" t="str">
        <x:v>https://download.terna.it/terna/Documento_Descrizione_Scenari_2024_8dce2430d44d101.pdf</x:v>
      </x:c>
      <x:c r="O123" s="83" t="n">
        <x:v>35</x:v>
      </x:c>
      <x:c r="P123" s="83" t="n">
        <x:v>33</x:v>
      </x:c>
      <x:c r="Q123" s="83" t="str">
        <x:v>Figure 12</x:v>
      </x:c>
      <x:c r="R123" s="83" t="str">
        <x:v>Direct visual transcription, converted GW→MW</x:v>
      </x:c>
      <x:c r="S123" s="83" t="str">
        <x:v>A — Direct figure</x:v>
      </x:c>
      <x:c r="T123" s="83" t="str">
        <x:v>Reference/comparison; superseded by PDS 2025 Figure 3 for 2040 Base</x:v>
      </x:c>
      <x:c r="U123" s="83" t="str">
        <x:v>Retained to identify revisions between DDS 2024 and the updated PDS 2025 network.</x:v>
      </x:c>
    </x:row>
    <x:row r="124">
      <x:c r="A124" s="83" t="str">
        <x:v>DDS-120</x:v>
      </x:c>
      <x:c r="B124" s="83" t="str">
        <x:v>DDS 2024 scenario-network benchmark</x:v>
      </x:c>
      <x:c r="C124" s="83" t="n">
        <x:v>2040</x:v>
      </x:c>
      <x:c r="D124" s="83" t="str">
        <x:v>DDS 2024 common electricity-network assumption</x:v>
      </x:c>
      <x:c r="E124" s="83" t="str">
        <x:v>SARD</x:v>
      </x:c>
      <x:c r="F124" s="83" t="str">
        <x:v>CSUD</x:v>
      </x:c>
      <x:c r="G124" s="143" t="n">
        <x:v>1900</x:v>
      </x:c>
      <x:c r="H124" s="197" t="n">
        <x:f>IF(G124="","",G124/1000)</x:f>
        <x:v>1.9</x:v>
      </x:c>
      <x:c r="I124" s="143"/>
      <x:c r="J124" s="83" t="str">
        <x:v>Maximum exchange capacity</x:v>
      </x:c>
      <x:c r="K124" s="83" t="str">
        <x:v>Directional</x:v>
      </x:c>
      <x:c r="L124" s="83" t="str">
        <x:v>Scenario assumption</x:v>
      </x:c>
      <x:c r="M124" s="83" t="str">
        <x:v>S09</x:v>
      </x:c>
      <x:c r="N124" s="120" t="str">
        <x:v>https://download.terna.it/terna/Documento_Descrizione_Scenari_2024_8dce2430d44d101.pdf</x:v>
      </x:c>
      <x:c r="O124" s="83" t="n">
        <x:v>35</x:v>
      </x:c>
      <x:c r="P124" s="83" t="n">
        <x:v>33</x:v>
      </x:c>
      <x:c r="Q124" s="83" t="str">
        <x:v>Figure 12</x:v>
      </x:c>
      <x:c r="R124" s="83" t="str">
        <x:v>Direct visual transcription, converted GW→MW</x:v>
      </x:c>
      <x:c r="S124" s="83" t="str">
        <x:v>A — Direct figure</x:v>
      </x:c>
      <x:c r="T124" s="83" t="str">
        <x:v>Reference/comparison; superseded by PDS 2025 Figure 3 for 2040 Base</x:v>
      </x:c>
      <x:c r="U124" s="83" t="str">
        <x:v>Retained to identify revisions between DDS 2024 and the updated PDS 2025 network.</x:v>
      </x:c>
    </x:row>
    <x:row r="125">
      <x:c r="A125" s="83" t="str">
        <x:v>DDS-121</x:v>
      </x:c>
      <x:c r="B125" s="83" t="str">
        <x:v>DDS 2024 scenario-network benchmark</x:v>
      </x:c>
      <x:c r="C125" s="83" t="n">
        <x:v>2023</x:v>
      </x:c>
      <x:c r="D125" s="83" t="str">
        <x:v>DDS 2024 common electricity-network assumption</x:v>
      </x:c>
      <x:c r="E125" s="83" t="str">
        <x:v>SARD</x:v>
      </x:c>
      <x:c r="F125" s="83" t="str">
        <x:v>SICI</x:v>
      </x:c>
      <x:c r="G125" s="143" t="n">
        <x:v>0</x:v>
      </x:c>
      <x:c r="H125" s="197" t="str">
        <x:f>IF(G125="","",G125/1000)</x:f>
      </x:c>
      <x:c r="I125" s="143"/>
      <x:c r="J125" s="83" t="str">
        <x:v>Maximum exchange capacity</x:v>
      </x:c>
      <x:c r="K125" s="83" t="str">
        <x:v>Directional</x:v>
      </x:c>
      <x:c r="L125" s="83" t="str">
        <x:v>Scenario assumption</x:v>
      </x:c>
      <x:c r="M125" s="83" t="str">
        <x:v>S09</x:v>
      </x:c>
      <x:c r="N125" s="120" t="str">
        <x:v>https://download.terna.it/terna/Documento_Descrizione_Scenari_2024_8dce2430d44d101.pdf</x:v>
      </x:c>
      <x:c r="O125" s="83" t="n">
        <x:v>35</x:v>
      </x:c>
      <x:c r="P125" s="83" t="n">
        <x:v>33</x:v>
      </x:c>
      <x:c r="Q125" s="83" t="str">
        <x:v>Figure 12</x:v>
      </x:c>
      <x:c r="R125" s="83" t="str">
        <x:v>Direct visual transcription, converted GW→MW</x:v>
      </x:c>
      <x:c r="S125" s="83" t="str">
        <x:v>A — Direct figure</x:v>
      </x:c>
      <x:c r="T125" s="83" t="str">
        <x:v>Reference/comparison; superseded by PDS 2025 Figure 3 for 2040 Base</x:v>
      </x:c>
      <x:c r="U125" s="83" t="str">
        <x:v>Retained to identify revisions between DDS 2024 and the updated PDS 2025 network.</x:v>
      </x:c>
    </x:row>
    <x:row r="126">
      <x:c r="A126" s="83" t="str">
        <x:v>DDS-122</x:v>
      </x:c>
      <x:c r="B126" s="83" t="str">
        <x:v>DDS 2024 scenario-network benchmark</x:v>
      </x:c>
      <x:c r="C126" s="83" t="n">
        <x:v>2023</x:v>
      </x:c>
      <x:c r="D126" s="83" t="str">
        <x:v>DDS 2024 common electricity-network assumption</x:v>
      </x:c>
      <x:c r="E126" s="83" t="str">
        <x:v>SICI</x:v>
      </x:c>
      <x:c r="F126" s="83" t="str">
        <x:v>SARD</x:v>
      </x:c>
      <x:c r="G126" s="143" t="n">
        <x:v>0</x:v>
      </x:c>
      <x:c r="H126" s="197" t="str">
        <x:f>IF(G126="","",G126/1000)</x:f>
      </x:c>
      <x:c r="I126" s="143"/>
      <x:c r="J126" s="83" t="str">
        <x:v>Maximum exchange capacity</x:v>
      </x:c>
      <x:c r="K126" s="83" t="str">
        <x:v>Directional</x:v>
      </x:c>
      <x:c r="L126" s="83" t="str">
        <x:v>Scenario assumption</x:v>
      </x:c>
      <x:c r="M126" s="83" t="str">
        <x:v>S09</x:v>
      </x:c>
      <x:c r="N126" s="120" t="str">
        <x:v>https://download.terna.it/terna/Documento_Descrizione_Scenari_2024_8dce2430d44d101.pdf</x:v>
      </x:c>
      <x:c r="O126" s="83" t="n">
        <x:v>35</x:v>
      </x:c>
      <x:c r="P126" s="83" t="n">
        <x:v>33</x:v>
      </x:c>
      <x:c r="Q126" s="83" t="str">
        <x:v>Figure 12</x:v>
      </x:c>
      <x:c r="R126" s="83" t="str">
        <x:v>Direct visual transcription, converted GW→MW</x:v>
      </x:c>
      <x:c r="S126" s="83" t="str">
        <x:v>A — Direct figure</x:v>
      </x:c>
      <x:c r="T126" s="83" t="str">
        <x:v>Reference/comparison; superseded by PDS 2025 Figure 3 for 2040 Base</x:v>
      </x:c>
      <x:c r="U126" s="83" t="str">
        <x:v>Retained to identify revisions between DDS 2024 and the updated PDS 2025 network.</x:v>
      </x:c>
    </x:row>
    <x:row r="127">
      <x:c r="A127" s="83" t="str">
        <x:v>DDS-123</x:v>
      </x:c>
      <x:c r="B127" s="83" t="str">
        <x:v>DDS 2024 scenario-network benchmark</x:v>
      </x:c>
      <x:c r="C127" s="83" t="n">
        <x:v>2030</x:v>
      </x:c>
      <x:c r="D127" s="83" t="str">
        <x:v>DDS 2024 common electricity-network assumption</x:v>
      </x:c>
      <x:c r="E127" s="83" t="str">
        <x:v>SARD</x:v>
      </x:c>
      <x:c r="F127" s="83" t="str">
        <x:v>SICI</x:v>
      </x:c>
      <x:c r="G127" s="143" t="n">
        <x:v>1000</x:v>
      </x:c>
      <x:c r="H127" s="197" t="n">
        <x:f>IF(G127="","",G127/1000)</x:f>
        <x:v>1</x:v>
      </x:c>
      <x:c r="I127" s="143"/>
      <x:c r="J127" s="83" t="str">
        <x:v>Maximum exchange capacity</x:v>
      </x:c>
      <x:c r="K127" s="83" t="str">
        <x:v>Directional</x:v>
      </x:c>
      <x:c r="L127" s="83" t="str">
        <x:v>Scenario assumption</x:v>
      </x:c>
      <x:c r="M127" s="83" t="str">
        <x:v>S09</x:v>
      </x:c>
      <x:c r="N127" s="120" t="str">
        <x:v>https://download.terna.it/terna/Documento_Descrizione_Scenari_2024_8dce2430d44d101.pdf</x:v>
      </x:c>
      <x:c r="O127" s="83" t="n">
        <x:v>35</x:v>
      </x:c>
      <x:c r="P127" s="83" t="n">
        <x:v>33</x:v>
      </x:c>
      <x:c r="Q127" s="83" t="str">
        <x:v>Figure 12</x:v>
      </x:c>
      <x:c r="R127" s="83" t="str">
        <x:v>Direct visual transcription, converted GW→MW</x:v>
      </x:c>
      <x:c r="S127" s="83" t="str">
        <x:v>A — Direct figure</x:v>
      </x:c>
      <x:c r="T127" s="83" t="str">
        <x:v>Reference/comparison; superseded by PDS 2025 Figure 3 for 2040 Base</x:v>
      </x:c>
      <x:c r="U127" s="83" t="str">
        <x:v>Retained to identify revisions between DDS 2024 and the updated PDS 2025 network.</x:v>
      </x:c>
    </x:row>
    <x:row r="128">
      <x:c r="A128" s="83" t="str">
        <x:v>DDS-124</x:v>
      </x:c>
      <x:c r="B128" s="83" t="str">
        <x:v>DDS 2024 scenario-network benchmark</x:v>
      </x:c>
      <x:c r="C128" s="83" t="n">
        <x:v>2030</x:v>
      </x:c>
      <x:c r="D128" s="83" t="str">
        <x:v>DDS 2024 common electricity-network assumption</x:v>
      </x:c>
      <x:c r="E128" s="83" t="str">
        <x:v>SICI</x:v>
      </x:c>
      <x:c r="F128" s="83" t="str">
        <x:v>SARD</x:v>
      </x:c>
      <x:c r="G128" s="143" t="n">
        <x:v>1000</x:v>
      </x:c>
      <x:c r="H128" s="197" t="n">
        <x:f>IF(G128="","",G128/1000)</x:f>
        <x:v>1</x:v>
      </x:c>
      <x:c r="I128" s="143"/>
      <x:c r="J128" s="83" t="str">
        <x:v>Maximum exchange capacity</x:v>
      </x:c>
      <x:c r="K128" s="83" t="str">
        <x:v>Directional</x:v>
      </x:c>
      <x:c r="L128" s="83" t="str">
        <x:v>Scenario assumption</x:v>
      </x:c>
      <x:c r="M128" s="83" t="str">
        <x:v>S09</x:v>
      </x:c>
      <x:c r="N128" s="120" t="str">
        <x:v>https://download.terna.it/terna/Documento_Descrizione_Scenari_2024_8dce2430d44d101.pdf</x:v>
      </x:c>
      <x:c r="O128" s="83" t="n">
        <x:v>35</x:v>
      </x:c>
      <x:c r="P128" s="83" t="n">
        <x:v>33</x:v>
      </x:c>
      <x:c r="Q128" s="83" t="str">
        <x:v>Figure 12</x:v>
      </x:c>
      <x:c r="R128" s="83" t="str">
        <x:v>Direct visual transcription, converted GW→MW</x:v>
      </x:c>
      <x:c r="S128" s="83" t="str">
        <x:v>A — Direct figure</x:v>
      </x:c>
      <x:c r="T128" s="83" t="str">
        <x:v>Reference/comparison; superseded by PDS 2025 Figure 3 for 2040 Base</x:v>
      </x:c>
      <x:c r="U128" s="83" t="str">
        <x:v>Retained to identify revisions between DDS 2024 and the updated PDS 2025 network.</x:v>
      </x:c>
    </x:row>
    <x:row r="129">
      <x:c r="A129" s="83" t="str">
        <x:v>DDS-125</x:v>
      </x:c>
      <x:c r="B129" s="83" t="str">
        <x:v>DDS 2024 scenario-network benchmark</x:v>
      </x:c>
      <x:c r="C129" s="83" t="n">
        <x:v>2035</x:v>
      </x:c>
      <x:c r="D129" s="83" t="str">
        <x:v>DDS 2024 common electricity-network assumption</x:v>
      </x:c>
      <x:c r="E129" s="83" t="str">
        <x:v>SARD</x:v>
      </x:c>
      <x:c r="F129" s="83" t="str">
        <x:v>SICI</x:v>
      </x:c>
      <x:c r="G129" s="143" t="n">
        <x:v>1000</x:v>
      </x:c>
      <x:c r="H129" s="197" t="n">
        <x:f>IF(G129="","",G129/1000)</x:f>
        <x:v>1</x:v>
      </x:c>
      <x:c r="I129" s="143"/>
      <x:c r="J129" s="83" t="str">
        <x:v>Maximum exchange capacity</x:v>
      </x:c>
      <x:c r="K129" s="83" t="str">
        <x:v>Directional</x:v>
      </x:c>
      <x:c r="L129" s="83" t="str">
        <x:v>Scenario assumption</x:v>
      </x:c>
      <x:c r="M129" s="83" t="str">
        <x:v>S09</x:v>
      </x:c>
      <x:c r="N129" s="120" t="str">
        <x:v>https://download.terna.it/terna/Documento_Descrizione_Scenari_2024_8dce2430d44d101.pdf</x:v>
      </x:c>
      <x:c r="O129" s="83" t="n">
        <x:v>35</x:v>
      </x:c>
      <x:c r="P129" s="83" t="n">
        <x:v>33</x:v>
      </x:c>
      <x:c r="Q129" s="83" t="str">
        <x:v>Figure 12</x:v>
      </x:c>
      <x:c r="R129" s="83" t="str">
        <x:v>Direct visual transcription, converted GW→MW</x:v>
      </x:c>
      <x:c r="S129" s="83" t="str">
        <x:v>A — Direct figure</x:v>
      </x:c>
      <x:c r="T129" s="83" t="str">
        <x:v>Reference/comparison; superseded by PDS 2025 Figure 3 for 2040 Base</x:v>
      </x:c>
      <x:c r="U129" s="83" t="str">
        <x:v>Retained to identify revisions between DDS 2024 and the updated PDS 2025 network.</x:v>
      </x:c>
    </x:row>
    <x:row r="130">
      <x:c r="A130" s="83" t="str">
        <x:v>DDS-126</x:v>
      </x:c>
      <x:c r="B130" s="83" t="str">
        <x:v>DDS 2024 scenario-network benchmark</x:v>
      </x:c>
      <x:c r="C130" s="83" t="n">
        <x:v>2035</x:v>
      </x:c>
      <x:c r="D130" s="83" t="str">
        <x:v>DDS 2024 common electricity-network assumption</x:v>
      </x:c>
      <x:c r="E130" s="83" t="str">
        <x:v>SICI</x:v>
      </x:c>
      <x:c r="F130" s="83" t="str">
        <x:v>SARD</x:v>
      </x:c>
      <x:c r="G130" s="143" t="n">
        <x:v>1000</x:v>
      </x:c>
      <x:c r="H130" s="197" t="n">
        <x:f>IF(G130="","",G130/1000)</x:f>
        <x:v>1</x:v>
      </x:c>
      <x:c r="I130" s="143"/>
      <x:c r="J130" s="83" t="str">
        <x:v>Maximum exchange capacity</x:v>
      </x:c>
      <x:c r="K130" s="83" t="str">
        <x:v>Directional</x:v>
      </x:c>
      <x:c r="L130" s="83" t="str">
        <x:v>Scenario assumption</x:v>
      </x:c>
      <x:c r="M130" s="83" t="str">
        <x:v>S09</x:v>
      </x:c>
      <x:c r="N130" s="120" t="str">
        <x:v>https://download.terna.it/terna/Documento_Descrizione_Scenari_2024_8dce2430d44d101.pdf</x:v>
      </x:c>
      <x:c r="O130" s="83" t="n">
        <x:v>35</x:v>
      </x:c>
      <x:c r="P130" s="83" t="n">
        <x:v>33</x:v>
      </x:c>
      <x:c r="Q130" s="83" t="str">
        <x:v>Figure 12</x:v>
      </x:c>
      <x:c r="R130" s="83" t="str">
        <x:v>Direct visual transcription, converted GW→MW</x:v>
      </x:c>
      <x:c r="S130" s="83" t="str">
        <x:v>A — Direct figure</x:v>
      </x:c>
      <x:c r="T130" s="83" t="str">
        <x:v>Reference/comparison; superseded by PDS 2025 Figure 3 for 2040 Base</x:v>
      </x:c>
      <x:c r="U130" s="83" t="str">
        <x:v>Retained to identify revisions between DDS 2024 and the updated PDS 2025 network.</x:v>
      </x:c>
    </x:row>
    <x:row r="131">
      <x:c r="A131" s="83" t="str">
        <x:v>DDS-127</x:v>
      </x:c>
      <x:c r="B131" s="83" t="str">
        <x:v>DDS 2024 scenario-network benchmark</x:v>
      </x:c>
      <x:c r="C131" s="83" t="n">
        <x:v>2040</x:v>
      </x:c>
      <x:c r="D131" s="83" t="str">
        <x:v>DDS 2024 common electricity-network assumption</x:v>
      </x:c>
      <x:c r="E131" s="83" t="str">
        <x:v>SARD</x:v>
      </x:c>
      <x:c r="F131" s="83" t="str">
        <x:v>SICI</x:v>
      </x:c>
      <x:c r="G131" s="143" t="n">
        <x:v>1000</x:v>
      </x:c>
      <x:c r="H131" s="197" t="n">
        <x:f>IF(G131="","",G131/1000)</x:f>
        <x:v>1</x:v>
      </x:c>
      <x:c r="I131" s="143"/>
      <x:c r="J131" s="83" t="str">
        <x:v>Maximum exchange capacity</x:v>
      </x:c>
      <x:c r="K131" s="83" t="str">
        <x:v>Directional</x:v>
      </x:c>
      <x:c r="L131" s="83" t="str">
        <x:v>Scenario assumption</x:v>
      </x:c>
      <x:c r="M131" s="83" t="str">
        <x:v>S09</x:v>
      </x:c>
      <x:c r="N131" s="120" t="str">
        <x:v>https://download.terna.it/terna/Documento_Descrizione_Scenari_2024_8dce2430d44d101.pdf</x:v>
      </x:c>
      <x:c r="O131" s="83" t="n">
        <x:v>35</x:v>
      </x:c>
      <x:c r="P131" s="83" t="n">
        <x:v>33</x:v>
      </x:c>
      <x:c r="Q131" s="83" t="str">
        <x:v>Figure 12</x:v>
      </x:c>
      <x:c r="R131" s="83" t="str">
        <x:v>Direct visual transcription, converted GW→MW</x:v>
      </x:c>
      <x:c r="S131" s="83" t="str">
        <x:v>A — Direct figure</x:v>
      </x:c>
      <x:c r="T131" s="83" t="str">
        <x:v>Reference/comparison; superseded by PDS 2025 Figure 3 for 2040 Base</x:v>
      </x:c>
      <x:c r="U131" s="83" t="str">
        <x:v>Retained to identify revisions between DDS 2024 and the updated PDS 2025 network.</x:v>
      </x:c>
    </x:row>
    <x:row r="132">
      <x:c r="A132" s="83" t="str">
        <x:v>DDS-128</x:v>
      </x:c>
      <x:c r="B132" s="83" t="str">
        <x:v>DDS 2024 scenario-network benchmark</x:v>
      </x:c>
      <x:c r="C132" s="83" t="n">
        <x:v>2040</x:v>
      </x:c>
      <x:c r="D132" s="83" t="str">
        <x:v>DDS 2024 common electricity-network assumption</x:v>
      </x:c>
      <x:c r="E132" s="83" t="str">
        <x:v>SICI</x:v>
      </x:c>
      <x:c r="F132" s="83" t="str">
        <x:v>SARD</x:v>
      </x:c>
      <x:c r="G132" s="143" t="n">
        <x:v>1000</x:v>
      </x:c>
      <x:c r="H132" s="197" t="n">
        <x:f>IF(G132="","",G132/1000)</x:f>
        <x:v>1</x:v>
      </x:c>
      <x:c r="I132" s="143"/>
      <x:c r="J132" s="83" t="str">
        <x:v>Maximum exchange capacity</x:v>
      </x:c>
      <x:c r="K132" s="83" t="str">
        <x:v>Directional</x:v>
      </x:c>
      <x:c r="L132" s="83" t="str">
        <x:v>Scenario assumption</x:v>
      </x:c>
      <x:c r="M132" s="83" t="str">
        <x:v>S09</x:v>
      </x:c>
      <x:c r="N132" s="120" t="str">
        <x:v>https://download.terna.it/terna/Documento_Descrizione_Scenari_2024_8dce2430d44d101.pdf</x:v>
      </x:c>
      <x:c r="O132" s="83" t="n">
        <x:v>35</x:v>
      </x:c>
      <x:c r="P132" s="83" t="n">
        <x:v>33</x:v>
      </x:c>
      <x:c r="Q132" s="83" t="str">
        <x:v>Figure 12</x:v>
      </x:c>
      <x:c r="R132" s="83" t="str">
        <x:v>Direct visual transcription, converted GW→MW</x:v>
      </x:c>
      <x:c r="S132" s="83" t="str">
        <x:v>A — Direct figure</x:v>
      </x:c>
      <x:c r="T132" s="83" t="str">
        <x:v>Reference/comparison; superseded by PDS 2025 Figure 3 for 2040 Base</x:v>
      </x:c>
      <x:c r="U132" s="83" t="str">
        <x:v>Retained to identify revisions between DDS 2024 and the updated PDS 2025 network.</x:v>
      </x:c>
    </x:row>
    <x:row r="133">
      <x:c r="A133" s="83" t="str">
        <x:v>DDS-129</x:v>
      </x:c>
      <x:c r="B133" s="83" t="str">
        <x:v>DDS 2024 scenario-network benchmark</x:v>
      </x:c>
      <x:c r="C133" s="83" t="n">
        <x:v>2023</x:v>
      </x:c>
      <x:c r="D133" s="83" t="str">
        <x:v>DDS 2024 common electricity-network assumption</x:v>
      </x:c>
      <x:c r="E133" s="83" t="str">
        <x:v>NORD</x:v>
      </x:c>
      <x:c r="F133" s="83" t="str">
        <x:v>CNOR</x:v>
      </x:c>
      <x:c r="G133" s="143" t="n">
        <x:v>4300</x:v>
      </x:c>
      <x:c r="H133" s="197" t="n">
        <x:f>IF(G133="","",G133/1000)</x:f>
        <x:v>4.3</x:v>
      </x:c>
      <x:c r="I133" s="143"/>
      <x:c r="J133" s="83" t="str">
        <x:v>Maximum exchange capacity</x:v>
      </x:c>
      <x:c r="K133" s="83" t="str">
        <x:v>Directional</x:v>
      </x:c>
      <x:c r="L133" s="83" t="str">
        <x:v>Scenario assumption</x:v>
      </x:c>
      <x:c r="M133" s="83" t="str">
        <x:v>S09</x:v>
      </x:c>
      <x:c r="N133" s="120" t="str">
        <x:v>https://download.terna.it/terna/Documento_Descrizione_Scenari_2024_8dce2430d44d101.pdf</x:v>
      </x:c>
      <x:c r="O133" s="83" t="n">
        <x:v>35</x:v>
      </x:c>
      <x:c r="P133" s="83" t="n">
        <x:v>33</x:v>
      </x:c>
      <x:c r="Q133" s="83" t="str">
        <x:v>Figure 12</x:v>
      </x:c>
      <x:c r="R133" s="83" t="str">
        <x:v>Direct visual transcription, converted GW→MW</x:v>
      </x:c>
      <x:c r="S133" s="83" t="str">
        <x:v>A — Direct figure</x:v>
      </x:c>
      <x:c r="T133" s="83" t="str">
        <x:v>Reference/comparison; superseded by PDS 2025 Figure 3 for 2040 Base</x:v>
      </x:c>
      <x:c r="U133" s="83" t="str">
        <x:v>Retained to identify revisions between DDS 2024 and the updated PDS 2025 network.</x:v>
      </x:c>
    </x:row>
    <x:row r="134">
      <x:c r="A134" s="83" t="str">
        <x:v>DDS-130</x:v>
      </x:c>
      <x:c r="B134" s="83" t="str">
        <x:v>DDS 2024 scenario-network benchmark</x:v>
      </x:c>
      <x:c r="C134" s="83" t="n">
        <x:v>2023</x:v>
      </x:c>
      <x:c r="D134" s="83" t="str">
        <x:v>DDS 2024 common electricity-network assumption</x:v>
      </x:c>
      <x:c r="E134" s="83" t="str">
        <x:v>CNOR</x:v>
      </x:c>
      <x:c r="F134" s="83" t="str">
        <x:v>NORD</x:v>
      </x:c>
      <x:c r="G134" s="143" t="n">
        <x:v>3100</x:v>
      </x:c>
      <x:c r="H134" s="197" t="n">
        <x:f>IF(G134="","",G134/1000)</x:f>
        <x:v>3.1</x:v>
      </x:c>
      <x:c r="I134" s="143"/>
      <x:c r="J134" s="83" t="str">
        <x:v>Maximum exchange capacity</x:v>
      </x:c>
      <x:c r="K134" s="83" t="str">
        <x:v>Directional</x:v>
      </x:c>
      <x:c r="L134" s="83" t="str">
        <x:v>Scenario assumption</x:v>
      </x:c>
      <x:c r="M134" s="83" t="str">
        <x:v>S09</x:v>
      </x:c>
      <x:c r="N134" s="120" t="str">
        <x:v>https://download.terna.it/terna/Documento_Descrizione_Scenari_2024_8dce2430d44d101.pdf</x:v>
      </x:c>
      <x:c r="O134" s="83" t="n">
        <x:v>35</x:v>
      </x:c>
      <x:c r="P134" s="83" t="n">
        <x:v>33</x:v>
      </x:c>
      <x:c r="Q134" s="83" t="str">
        <x:v>Figure 12</x:v>
      </x:c>
      <x:c r="R134" s="83" t="str">
        <x:v>Direct visual transcription, converted GW→MW</x:v>
      </x:c>
      <x:c r="S134" s="83" t="str">
        <x:v>A — Direct figure</x:v>
      </x:c>
      <x:c r="T134" s="83" t="str">
        <x:v>Reference/comparison; superseded by PDS 2025 Figure 3 for 2040 Base</x:v>
      </x:c>
      <x:c r="U134" s="83" t="str">
        <x:v>Retained to identify revisions between DDS 2024 and the updated PDS 2025 network.</x:v>
      </x:c>
    </x:row>
    <x:row r="135">
      <x:c r="A135" s="83" t="str">
        <x:v>DDS-131</x:v>
      </x:c>
      <x:c r="B135" s="83" t="str">
        <x:v>DDS 2024 scenario-network benchmark</x:v>
      </x:c>
      <x:c r="C135" s="83" t="n">
        <x:v>2030</x:v>
      </x:c>
      <x:c r="D135" s="83" t="str">
        <x:v>DDS 2024 common electricity-network assumption</x:v>
      </x:c>
      <x:c r="E135" s="83" t="str">
        <x:v>NORD</x:v>
      </x:c>
      <x:c r="F135" s="83" t="str">
        <x:v>CNOR</x:v>
      </x:c>
      <x:c r="G135" s="143" t="n">
        <x:v>5500</x:v>
      </x:c>
      <x:c r="H135" s="197" t="n">
        <x:f>IF(G135="","",G135/1000)</x:f>
        <x:v>5.5</x:v>
      </x:c>
      <x:c r="I135" s="143"/>
      <x:c r="J135" s="83" t="str">
        <x:v>Maximum exchange capacity</x:v>
      </x:c>
      <x:c r="K135" s="83" t="str">
        <x:v>Directional</x:v>
      </x:c>
      <x:c r="L135" s="83" t="str">
        <x:v>Scenario assumption</x:v>
      </x:c>
      <x:c r="M135" s="83" t="str">
        <x:v>S09</x:v>
      </x:c>
      <x:c r="N135" s="120" t="str">
        <x:v>https://download.terna.it/terna/Documento_Descrizione_Scenari_2024_8dce2430d44d101.pdf</x:v>
      </x:c>
      <x:c r="O135" s="83" t="n">
        <x:v>35</x:v>
      </x:c>
      <x:c r="P135" s="83" t="n">
        <x:v>33</x:v>
      </x:c>
      <x:c r="Q135" s="83" t="str">
        <x:v>Figure 12</x:v>
      </x:c>
      <x:c r="R135" s="83" t="str">
        <x:v>Direct visual transcription, converted GW→MW</x:v>
      </x:c>
      <x:c r="S135" s="83" t="str">
        <x:v>A — Direct figure</x:v>
      </x:c>
      <x:c r="T135" s="83" t="str">
        <x:v>Reference/comparison; superseded by PDS 2025 Figure 3 for 2040 Base</x:v>
      </x:c>
      <x:c r="U135" s="83" t="str">
        <x:v>Retained to identify revisions between DDS 2024 and the updated PDS 2025 network.</x:v>
      </x:c>
    </x:row>
    <x:row r="136">
      <x:c r="A136" s="83" t="str">
        <x:v>DDS-132</x:v>
      </x:c>
      <x:c r="B136" s="83" t="str">
        <x:v>DDS 2024 scenario-network benchmark</x:v>
      </x:c>
      <x:c r="C136" s="83" t="n">
        <x:v>2030</x:v>
      </x:c>
      <x:c r="D136" s="83" t="str">
        <x:v>DDS 2024 common electricity-network assumption</x:v>
      </x:c>
      <x:c r="E136" s="83" t="str">
        <x:v>CNOR</x:v>
      </x:c>
      <x:c r="F136" s="83" t="str">
        <x:v>NORD</x:v>
      </x:c>
      <x:c r="G136" s="143" t="n">
        <x:v>4700</x:v>
      </x:c>
      <x:c r="H136" s="197" t="n">
        <x:f>IF(G136="","",G136/1000)</x:f>
        <x:v>4.7</x:v>
      </x:c>
      <x:c r="I136" s="143"/>
      <x:c r="J136" s="83" t="str">
        <x:v>Maximum exchange capacity</x:v>
      </x:c>
      <x:c r="K136" s="83" t="str">
        <x:v>Directional</x:v>
      </x:c>
      <x:c r="L136" s="83" t="str">
        <x:v>Scenario assumption</x:v>
      </x:c>
      <x:c r="M136" s="83" t="str">
        <x:v>S09</x:v>
      </x:c>
      <x:c r="N136" s="120" t="str">
        <x:v>https://download.terna.it/terna/Documento_Descrizione_Scenari_2024_8dce2430d44d101.pdf</x:v>
      </x:c>
      <x:c r="O136" s="83" t="n">
        <x:v>35</x:v>
      </x:c>
      <x:c r="P136" s="83" t="n">
        <x:v>33</x:v>
      </x:c>
      <x:c r="Q136" s="83" t="str">
        <x:v>Figure 12</x:v>
      </x:c>
      <x:c r="R136" s="83" t="str">
        <x:v>Direct visual transcription, converted GW→MW</x:v>
      </x:c>
      <x:c r="S136" s="83" t="str">
        <x:v>A — Direct figure</x:v>
      </x:c>
      <x:c r="T136" s="83" t="str">
        <x:v>Reference/comparison; superseded by PDS 2025 Figure 3 for 2040 Base</x:v>
      </x:c>
      <x:c r="U136" s="83" t="str">
        <x:v>Retained to identify revisions between DDS 2024 and the updated PDS 2025 network.</x:v>
      </x:c>
    </x:row>
    <x:row r="137">
      <x:c r="A137" s="83" t="str">
        <x:v>DDS-133</x:v>
      </x:c>
      <x:c r="B137" s="83" t="str">
        <x:v>DDS 2024 scenario-network benchmark</x:v>
      </x:c>
      <x:c r="C137" s="83" t="n">
        <x:v>2035</x:v>
      </x:c>
      <x:c r="D137" s="83" t="str">
        <x:v>DDS 2024 common electricity-network assumption</x:v>
      </x:c>
      <x:c r="E137" s="83" t="str">
        <x:v>NORD</x:v>
      </x:c>
      <x:c r="F137" s="83" t="str">
        <x:v>CNOR</x:v>
      </x:c>
      <x:c r="G137" s="143" t="n">
        <x:v>5500</x:v>
      </x:c>
      <x:c r="H137" s="197" t="n">
        <x:f>IF(G137="","",G137/1000)</x:f>
        <x:v>5.5</x:v>
      </x:c>
      <x:c r="I137" s="143"/>
      <x:c r="J137" s="83" t="str">
        <x:v>Maximum exchange capacity</x:v>
      </x:c>
      <x:c r="K137" s="83" t="str">
        <x:v>Directional</x:v>
      </x:c>
      <x:c r="L137" s="83" t="str">
        <x:v>Scenario assumption</x:v>
      </x:c>
      <x:c r="M137" s="83" t="str">
        <x:v>S09</x:v>
      </x:c>
      <x:c r="N137" s="120" t="str">
        <x:v>https://download.terna.it/terna/Documento_Descrizione_Scenari_2024_8dce2430d44d101.pdf</x:v>
      </x:c>
      <x:c r="O137" s="83" t="n">
        <x:v>35</x:v>
      </x:c>
      <x:c r="P137" s="83" t="n">
        <x:v>33</x:v>
      </x:c>
      <x:c r="Q137" s="83" t="str">
        <x:v>Figure 12</x:v>
      </x:c>
      <x:c r="R137" s="83" t="str">
        <x:v>Direct visual transcription, converted GW→MW</x:v>
      </x:c>
      <x:c r="S137" s="83" t="str">
        <x:v>A — Direct figure</x:v>
      </x:c>
      <x:c r="T137" s="83" t="str">
        <x:v>Reference/comparison; superseded by PDS 2025 Figure 3 for 2040 Base</x:v>
      </x:c>
      <x:c r="U137" s="83" t="str">
        <x:v>Retained to identify revisions between DDS 2024 and the updated PDS 2025 network.</x:v>
      </x:c>
    </x:row>
    <x:row r="138">
      <x:c r="A138" s="83" t="str">
        <x:v>DDS-134</x:v>
      </x:c>
      <x:c r="B138" s="83" t="str">
        <x:v>DDS 2024 scenario-network benchmark</x:v>
      </x:c>
      <x:c r="C138" s="83" t="n">
        <x:v>2035</x:v>
      </x:c>
      <x:c r="D138" s="83" t="str">
        <x:v>DDS 2024 common electricity-network assumption</x:v>
      </x:c>
      <x:c r="E138" s="83" t="str">
        <x:v>CNOR</x:v>
      </x:c>
      <x:c r="F138" s="83" t="str">
        <x:v>NORD</x:v>
      </x:c>
      <x:c r="G138" s="143" t="n">
        <x:v>4700</x:v>
      </x:c>
      <x:c r="H138" s="197" t="n">
        <x:f>IF(G138="","",G138/1000)</x:f>
        <x:v>4.7</x:v>
      </x:c>
      <x:c r="I138" s="143"/>
      <x:c r="J138" s="83" t="str">
        <x:v>Maximum exchange capacity</x:v>
      </x:c>
      <x:c r="K138" s="83" t="str">
        <x:v>Directional</x:v>
      </x:c>
      <x:c r="L138" s="83" t="str">
        <x:v>Scenario assumption</x:v>
      </x:c>
      <x:c r="M138" s="83" t="str">
        <x:v>S09</x:v>
      </x:c>
      <x:c r="N138" s="120" t="str">
        <x:v>https://download.terna.it/terna/Documento_Descrizione_Scenari_2024_8dce2430d44d101.pdf</x:v>
      </x:c>
      <x:c r="O138" s="83" t="n">
        <x:v>35</x:v>
      </x:c>
      <x:c r="P138" s="83" t="n">
        <x:v>33</x:v>
      </x:c>
      <x:c r="Q138" s="83" t="str">
        <x:v>Figure 12</x:v>
      </x:c>
      <x:c r="R138" s="83" t="str">
        <x:v>Direct visual transcription, converted GW→MW</x:v>
      </x:c>
      <x:c r="S138" s="83" t="str">
        <x:v>A — Direct figure</x:v>
      </x:c>
      <x:c r="T138" s="83" t="str">
        <x:v>Reference/comparison; superseded by PDS 2025 Figure 3 for 2040 Base</x:v>
      </x:c>
      <x:c r="U138" s="83" t="str">
        <x:v>Retained to identify revisions between DDS 2024 and the updated PDS 2025 network.</x:v>
      </x:c>
    </x:row>
    <x:row r="139">
      <x:c r="A139" s="83" t="str">
        <x:v>DDS-135</x:v>
      </x:c>
      <x:c r="B139" s="83" t="str">
        <x:v>DDS 2024 scenario-network benchmark</x:v>
      </x:c>
      <x:c r="C139" s="83" t="n">
        <x:v>2040</x:v>
      </x:c>
      <x:c r="D139" s="83" t="str">
        <x:v>DDS 2024 common electricity-network assumption</x:v>
      </x:c>
      <x:c r="E139" s="83" t="str">
        <x:v>NORD</x:v>
      </x:c>
      <x:c r="F139" s="83" t="str">
        <x:v>CNOR</x:v>
      </x:c>
      <x:c r="G139" s="143" t="n">
        <x:v>5500</x:v>
      </x:c>
      <x:c r="H139" s="197" t="n">
        <x:f>IF(G139="","",G139/1000)</x:f>
        <x:v>5.5</x:v>
      </x:c>
      <x:c r="I139" s="143"/>
      <x:c r="J139" s="83" t="str">
        <x:v>Maximum exchange capacity</x:v>
      </x:c>
      <x:c r="K139" s="83" t="str">
        <x:v>Directional</x:v>
      </x:c>
      <x:c r="L139" s="83" t="str">
        <x:v>Scenario assumption</x:v>
      </x:c>
      <x:c r="M139" s="83" t="str">
        <x:v>S09</x:v>
      </x:c>
      <x:c r="N139" s="120" t="str">
        <x:v>https://download.terna.it/terna/Documento_Descrizione_Scenari_2024_8dce2430d44d101.pdf</x:v>
      </x:c>
      <x:c r="O139" s="83" t="n">
        <x:v>35</x:v>
      </x:c>
      <x:c r="P139" s="83" t="n">
        <x:v>33</x:v>
      </x:c>
      <x:c r="Q139" s="83" t="str">
        <x:v>Figure 12</x:v>
      </x:c>
      <x:c r="R139" s="83" t="str">
        <x:v>Direct visual transcription, converted GW→MW</x:v>
      </x:c>
      <x:c r="S139" s="83" t="str">
        <x:v>A — Direct figure</x:v>
      </x:c>
      <x:c r="T139" s="83" t="str">
        <x:v>Reference/comparison; superseded by PDS 2025 Figure 3 for 2040 Base</x:v>
      </x:c>
      <x:c r="U139" s="83" t="str">
        <x:v>Retained to identify revisions between DDS 2024 and the updated PDS 2025 network.</x:v>
      </x:c>
    </x:row>
    <x:row r="140">
      <x:c r="A140" s="83" t="str">
        <x:v>DDS-136</x:v>
      </x:c>
      <x:c r="B140" s="83" t="str">
        <x:v>DDS 2024 scenario-network benchmark</x:v>
      </x:c>
      <x:c r="C140" s="83" t="n">
        <x:v>2040</x:v>
      </x:c>
      <x:c r="D140" s="83" t="str">
        <x:v>DDS 2024 common electricity-network assumption</x:v>
      </x:c>
      <x:c r="E140" s="83" t="str">
        <x:v>CNOR</x:v>
      </x:c>
      <x:c r="F140" s="83" t="str">
        <x:v>NORD</x:v>
      </x:c>
      <x:c r="G140" s="143" t="n">
        <x:v>4700</x:v>
      </x:c>
      <x:c r="H140" s="197" t="n">
        <x:f>IF(G140="","",G140/1000)</x:f>
        <x:v>4.7</x:v>
      </x:c>
      <x:c r="I140" s="143"/>
      <x:c r="J140" s="83" t="str">
        <x:v>Maximum exchange capacity</x:v>
      </x:c>
      <x:c r="K140" s="83" t="str">
        <x:v>Directional</x:v>
      </x:c>
      <x:c r="L140" s="83" t="str">
        <x:v>Scenario assumption</x:v>
      </x:c>
      <x:c r="M140" s="83" t="str">
        <x:v>S09</x:v>
      </x:c>
      <x:c r="N140" s="120" t="str">
        <x:v>https://download.terna.it/terna/Documento_Descrizione_Scenari_2024_8dce2430d44d101.pdf</x:v>
      </x:c>
      <x:c r="O140" s="83" t="n">
        <x:v>35</x:v>
      </x:c>
      <x:c r="P140" s="83" t="n">
        <x:v>33</x:v>
      </x:c>
      <x:c r="Q140" s="83" t="str">
        <x:v>Figure 12</x:v>
      </x:c>
      <x:c r="R140" s="83" t="str">
        <x:v>Direct visual transcription, converted GW→MW</x:v>
      </x:c>
      <x:c r="S140" s="83" t="str">
        <x:v>A — Direct figure</x:v>
      </x:c>
      <x:c r="T140" s="83" t="str">
        <x:v>Reference/comparison; superseded by PDS 2025 Figure 3 for 2040 Base</x:v>
      </x:c>
      <x:c r="U140" s="83" t="str">
        <x:v>Retained to identify revisions between DDS 2024 and the updated PDS 2025 network.</x:v>
      </x:c>
    </x:row>
    <x:row r="141">
      <x:c r="A141" s="83" t="str">
        <x:v>DDS-137</x:v>
      </x:c>
      <x:c r="B141" s="83" t="str">
        <x:v>DDS 2024 scenario-network benchmark</x:v>
      </x:c>
      <x:c r="C141" s="83" t="n">
        <x:v>2023</x:v>
      </x:c>
      <x:c r="D141" s="83" t="str">
        <x:v>DDS 2024 common electricity-network assumption</x:v>
      </x:c>
      <x:c r="E141" s="83" t="str">
        <x:v>NORD</x:v>
      </x:c>
      <x:c r="F141" s="83" t="str">
        <x:v>SUD</x:v>
      </x:c>
      <x:c r="G141" s="143" t="n">
        <x:v>0</x:v>
      </x:c>
      <x:c r="H141" s="197" t="str">
        <x:f>IF(G141="","",G141/1000)</x:f>
      </x:c>
      <x:c r="I141" s="143"/>
      <x:c r="J141" s="83" t="str">
        <x:v>Maximum exchange capacity</x:v>
      </x:c>
      <x:c r="K141" s="83" t="str">
        <x:v>Directional</x:v>
      </x:c>
      <x:c r="L141" s="83" t="str">
        <x:v>Scenario assumption</x:v>
      </x:c>
      <x:c r="M141" s="83" t="str">
        <x:v>S09</x:v>
      </x:c>
      <x:c r="N141" s="120" t="str">
        <x:v>https://download.terna.it/terna/Documento_Descrizione_Scenari_2024_8dce2430d44d101.pdf</x:v>
      </x:c>
      <x:c r="O141" s="83" t="n">
        <x:v>35</x:v>
      </x:c>
      <x:c r="P141" s="83" t="n">
        <x:v>33</x:v>
      </x:c>
      <x:c r="Q141" s="83" t="str">
        <x:v>Figure 12</x:v>
      </x:c>
      <x:c r="R141" s="83" t="str">
        <x:v>Direct visual transcription, converted GW→MW</x:v>
      </x:c>
      <x:c r="S141" s="83" t="str">
        <x:v>A — Direct figure</x:v>
      </x:c>
      <x:c r="T141" s="83" t="str">
        <x:v>Reference/comparison; superseded by PDS 2025 Figure 3 for 2040 Base</x:v>
      </x:c>
      <x:c r="U141" s="83" t="str">
        <x:v>Retained to identify revisions between DDS 2024 and the updated PDS 2025 network.</x:v>
      </x:c>
    </x:row>
    <x:row r="142">
      <x:c r="A142" s="83" t="str">
        <x:v>DDS-138</x:v>
      </x:c>
      <x:c r="B142" s="83" t="str">
        <x:v>DDS 2024 scenario-network benchmark</x:v>
      </x:c>
      <x:c r="C142" s="83" t="n">
        <x:v>2023</x:v>
      </x:c>
      <x:c r="D142" s="83" t="str">
        <x:v>DDS 2024 common electricity-network assumption</x:v>
      </x:c>
      <x:c r="E142" s="83" t="str">
        <x:v>SUD</x:v>
      </x:c>
      <x:c r="F142" s="83" t="str">
        <x:v>NORD</x:v>
      </x:c>
      <x:c r="G142" s="143" t="n">
        <x:v>0</x:v>
      </x:c>
      <x:c r="H142" s="197" t="str">
        <x:f>IF(G142="","",G142/1000)</x:f>
      </x:c>
      <x:c r="I142" s="143"/>
      <x:c r="J142" s="83" t="str">
        <x:v>Maximum exchange capacity</x:v>
      </x:c>
      <x:c r="K142" s="83" t="str">
        <x:v>Directional</x:v>
      </x:c>
      <x:c r="L142" s="83" t="str">
        <x:v>Scenario assumption</x:v>
      </x:c>
      <x:c r="M142" s="83" t="str">
        <x:v>S09</x:v>
      </x:c>
      <x:c r="N142" s="120" t="str">
        <x:v>https://download.terna.it/terna/Documento_Descrizione_Scenari_2024_8dce2430d44d101.pdf</x:v>
      </x:c>
      <x:c r="O142" s="83" t="n">
        <x:v>35</x:v>
      </x:c>
      <x:c r="P142" s="83" t="n">
        <x:v>33</x:v>
      </x:c>
      <x:c r="Q142" s="83" t="str">
        <x:v>Figure 12</x:v>
      </x:c>
      <x:c r="R142" s="83" t="str">
        <x:v>Direct visual transcription, converted GW→MW</x:v>
      </x:c>
      <x:c r="S142" s="83" t="str">
        <x:v>A — Direct figure</x:v>
      </x:c>
      <x:c r="T142" s="83" t="str">
        <x:v>Reference/comparison; superseded by PDS 2025 Figure 3 for 2040 Base</x:v>
      </x:c>
      <x:c r="U142" s="83" t="str">
        <x:v>Retained to identify revisions between DDS 2024 and the updated PDS 2025 network.</x:v>
      </x:c>
    </x:row>
    <x:row r="143">
      <x:c r="A143" s="83" t="str">
        <x:v>DDS-139</x:v>
      </x:c>
      <x:c r="B143" s="83" t="str">
        <x:v>DDS 2024 scenario-network benchmark</x:v>
      </x:c>
      <x:c r="C143" s="83" t="n">
        <x:v>2030</x:v>
      </x:c>
      <x:c r="D143" s="83" t="str">
        <x:v>DDS 2024 common electricity-network assumption</x:v>
      </x:c>
      <x:c r="E143" s="83" t="str">
        <x:v>NORD</x:v>
      </x:c>
      <x:c r="F143" s="83" t="str">
        <x:v>SUD</x:v>
      </x:c>
      <x:c r="G143" s="143" t="n">
        <x:v>0</x:v>
      </x:c>
      <x:c r="H143" s="197" t="str">
        <x:f>IF(G143="","",G143/1000)</x:f>
      </x:c>
      <x:c r="I143" s="143"/>
      <x:c r="J143" s="83" t="str">
        <x:v>Maximum exchange capacity</x:v>
      </x:c>
      <x:c r="K143" s="83" t="str">
        <x:v>Directional</x:v>
      </x:c>
      <x:c r="L143" s="83" t="str">
        <x:v>Scenario assumption</x:v>
      </x:c>
      <x:c r="M143" s="83" t="str">
        <x:v>S09</x:v>
      </x:c>
      <x:c r="N143" s="120" t="str">
        <x:v>https://download.terna.it/terna/Documento_Descrizione_Scenari_2024_8dce2430d44d101.pdf</x:v>
      </x:c>
      <x:c r="O143" s="83" t="n">
        <x:v>35</x:v>
      </x:c>
      <x:c r="P143" s="83" t="n">
        <x:v>33</x:v>
      </x:c>
      <x:c r="Q143" s="83" t="str">
        <x:v>Figure 12</x:v>
      </x:c>
      <x:c r="R143" s="83" t="str">
        <x:v>Direct visual transcription, converted GW→MW</x:v>
      </x:c>
      <x:c r="S143" s="83" t="str">
        <x:v>A — Direct figure</x:v>
      </x:c>
      <x:c r="T143" s="83" t="str">
        <x:v>Reference/comparison; superseded by PDS 2025 Figure 3 for 2040 Base</x:v>
      </x:c>
      <x:c r="U143" s="83" t="str">
        <x:v>Retained to identify revisions between DDS 2024 and the updated PDS 2025 network.</x:v>
      </x:c>
    </x:row>
    <x:row r="144">
      <x:c r="A144" s="83" t="str">
        <x:v>DDS-140</x:v>
      </x:c>
      <x:c r="B144" s="83" t="str">
        <x:v>DDS 2024 scenario-network benchmark</x:v>
      </x:c>
      <x:c r="C144" s="83" t="n">
        <x:v>2030</x:v>
      </x:c>
      <x:c r="D144" s="83" t="str">
        <x:v>DDS 2024 common electricity-network assumption</x:v>
      </x:c>
      <x:c r="E144" s="83" t="str">
        <x:v>SUD</x:v>
      </x:c>
      <x:c r="F144" s="83" t="str">
        <x:v>NORD</x:v>
      </x:c>
      <x:c r="G144" s="143" t="n">
        <x:v>0</x:v>
      </x:c>
      <x:c r="H144" s="197" t="str">
        <x:f>IF(G144="","",G144/1000)</x:f>
      </x:c>
      <x:c r="I144" s="143"/>
      <x:c r="J144" s="83" t="str">
        <x:v>Maximum exchange capacity</x:v>
      </x:c>
      <x:c r="K144" s="83" t="str">
        <x:v>Directional</x:v>
      </x:c>
      <x:c r="L144" s="83" t="str">
        <x:v>Scenario assumption</x:v>
      </x:c>
      <x:c r="M144" s="83" t="str">
        <x:v>S09</x:v>
      </x:c>
      <x:c r="N144" s="120" t="str">
        <x:v>https://download.terna.it/terna/Documento_Descrizione_Scenari_2024_8dce2430d44d101.pdf</x:v>
      </x:c>
      <x:c r="O144" s="83" t="n">
        <x:v>35</x:v>
      </x:c>
      <x:c r="P144" s="83" t="n">
        <x:v>33</x:v>
      </x:c>
      <x:c r="Q144" s="83" t="str">
        <x:v>Figure 12</x:v>
      </x:c>
      <x:c r="R144" s="83" t="str">
        <x:v>Direct visual transcription, converted GW→MW</x:v>
      </x:c>
      <x:c r="S144" s="83" t="str">
        <x:v>A — Direct figure</x:v>
      </x:c>
      <x:c r="T144" s="83" t="str">
        <x:v>Reference/comparison; superseded by PDS 2025 Figure 3 for 2040 Base</x:v>
      </x:c>
      <x:c r="U144" s="83" t="str">
        <x:v>Retained to identify revisions between DDS 2024 and the updated PDS 2025 network.</x:v>
      </x:c>
    </x:row>
    <x:row r="145">
      <x:c r="A145" s="83" t="str">
        <x:v>DDS-141</x:v>
      </x:c>
      <x:c r="B145" s="83" t="str">
        <x:v>DDS 2024 scenario-network benchmark</x:v>
      </x:c>
      <x:c r="C145" s="83" t="n">
        <x:v>2035</x:v>
      </x:c>
      <x:c r="D145" s="83" t="str">
        <x:v>DDS 2024 common electricity-network assumption</x:v>
      </x:c>
      <x:c r="E145" s="83" t="str">
        <x:v>NORD</x:v>
      </x:c>
      <x:c r="F145" s="83" t="str">
        <x:v>SUD</x:v>
      </x:c>
      <x:c r="G145" s="143" t="n">
        <x:v>0</x:v>
      </x:c>
      <x:c r="H145" s="197" t="str">
        <x:f>IF(G145="","",G145/1000)</x:f>
      </x:c>
      <x:c r="I145" s="143"/>
      <x:c r="J145" s="83" t="str">
        <x:v>Maximum exchange capacity</x:v>
      </x:c>
      <x:c r="K145" s="83" t="str">
        <x:v>Directional</x:v>
      </x:c>
      <x:c r="L145" s="83" t="str">
        <x:v>Scenario assumption</x:v>
      </x:c>
      <x:c r="M145" s="83" t="str">
        <x:v>S09</x:v>
      </x:c>
      <x:c r="N145" s="120" t="str">
        <x:v>https://download.terna.it/terna/Documento_Descrizione_Scenari_2024_8dce2430d44d101.pdf</x:v>
      </x:c>
      <x:c r="O145" s="83" t="n">
        <x:v>35</x:v>
      </x:c>
      <x:c r="P145" s="83" t="n">
        <x:v>33</x:v>
      </x:c>
      <x:c r="Q145" s="83" t="str">
        <x:v>Figure 12</x:v>
      </x:c>
      <x:c r="R145" s="83" t="str">
        <x:v>Direct visual transcription, converted GW→MW</x:v>
      </x:c>
      <x:c r="S145" s="83" t="str">
        <x:v>A — Direct figure</x:v>
      </x:c>
      <x:c r="T145" s="83" t="str">
        <x:v>Reference/comparison; superseded by PDS 2025 Figure 3 for 2040 Base</x:v>
      </x:c>
      <x:c r="U145" s="83" t="str">
        <x:v>Retained to identify revisions between DDS 2024 and the updated PDS 2025 network.</x:v>
      </x:c>
    </x:row>
    <x:row r="146">
      <x:c r="A146" s="83" t="str">
        <x:v>DDS-142</x:v>
      </x:c>
      <x:c r="B146" s="83" t="str">
        <x:v>DDS 2024 scenario-network benchmark</x:v>
      </x:c>
      <x:c r="C146" s="83" t="n">
        <x:v>2035</x:v>
      </x:c>
      <x:c r="D146" s="83" t="str">
        <x:v>DDS 2024 common electricity-network assumption</x:v>
      </x:c>
      <x:c r="E146" s="83" t="str">
        <x:v>SUD</x:v>
      </x:c>
      <x:c r="F146" s="83" t="str">
        <x:v>NORD</x:v>
      </x:c>
      <x:c r="G146" s="143" t="n">
        <x:v>0</x:v>
      </x:c>
      <x:c r="H146" s="197" t="str">
        <x:f>IF(G146="","",G146/1000)</x:f>
      </x:c>
      <x:c r="I146" s="143"/>
      <x:c r="J146" s="83" t="str">
        <x:v>Maximum exchange capacity</x:v>
      </x:c>
      <x:c r="K146" s="83" t="str">
        <x:v>Directional</x:v>
      </x:c>
      <x:c r="L146" s="83" t="str">
        <x:v>Scenario assumption</x:v>
      </x:c>
      <x:c r="M146" s="83" t="str">
        <x:v>S09</x:v>
      </x:c>
      <x:c r="N146" s="120" t="str">
        <x:v>https://download.terna.it/terna/Documento_Descrizione_Scenari_2024_8dce2430d44d101.pdf</x:v>
      </x:c>
      <x:c r="O146" s="83" t="n">
        <x:v>35</x:v>
      </x:c>
      <x:c r="P146" s="83" t="n">
        <x:v>33</x:v>
      </x:c>
      <x:c r="Q146" s="83" t="str">
        <x:v>Figure 12</x:v>
      </x:c>
      <x:c r="R146" s="83" t="str">
        <x:v>Direct visual transcription, converted GW→MW</x:v>
      </x:c>
      <x:c r="S146" s="83" t="str">
        <x:v>A — Direct figure</x:v>
      </x:c>
      <x:c r="T146" s="83" t="str">
        <x:v>Reference/comparison; superseded by PDS 2025 Figure 3 for 2040 Base</x:v>
      </x:c>
      <x:c r="U146" s="83" t="str">
        <x:v>Retained to identify revisions between DDS 2024 and the updated PDS 2025 network.</x:v>
      </x:c>
    </x:row>
    <x:row r="147">
      <x:c r="A147" s="83" t="str">
        <x:v>DDS-143</x:v>
      </x:c>
      <x:c r="B147" s="83" t="str">
        <x:v>DDS 2024 scenario-network benchmark</x:v>
      </x:c>
      <x:c r="C147" s="83" t="n">
        <x:v>2040</x:v>
      </x:c>
      <x:c r="D147" s="83" t="str">
        <x:v>DDS 2024 common electricity-network assumption</x:v>
      </x:c>
      <x:c r="E147" s="83" t="str">
        <x:v>NORD</x:v>
      </x:c>
      <x:c r="F147" s="83" t="str">
        <x:v>SUD</x:v>
      </x:c>
      <x:c r="G147" s="143" t="n">
        <x:v>2000</x:v>
      </x:c>
      <x:c r="H147" s="197" t="n">
        <x:f>IF(G147="","",G147/1000)</x:f>
        <x:v>2</x:v>
      </x:c>
      <x:c r="I147" s="143"/>
      <x:c r="J147" s="83" t="str">
        <x:v>Maximum exchange capacity</x:v>
      </x:c>
      <x:c r="K147" s="83" t="str">
        <x:v>Directional</x:v>
      </x:c>
      <x:c r="L147" s="83" t="str">
        <x:v>Scenario assumption</x:v>
      </x:c>
      <x:c r="M147" s="83" t="str">
        <x:v>S09</x:v>
      </x:c>
      <x:c r="N147" s="120" t="str">
        <x:v>https://download.terna.it/terna/Documento_Descrizione_Scenari_2024_8dce2430d44d101.pdf</x:v>
      </x:c>
      <x:c r="O147" s="83" t="n">
        <x:v>35</x:v>
      </x:c>
      <x:c r="P147" s="83" t="n">
        <x:v>33</x:v>
      </x:c>
      <x:c r="Q147" s="83" t="str">
        <x:v>Figure 12</x:v>
      </x:c>
      <x:c r="R147" s="83" t="str">
        <x:v>Direct visual transcription, converted GW→MW</x:v>
      </x:c>
      <x:c r="S147" s="83" t="str">
        <x:v>A — Direct figure</x:v>
      </x:c>
      <x:c r="T147" s="83" t="str">
        <x:v>Reference/comparison; superseded by PDS 2025 Figure 3 for 2040 Base</x:v>
      </x:c>
      <x:c r="U147" s="83" t="str">
        <x:v>Retained to identify revisions between DDS 2024 and the updated PDS 2025 network.</x:v>
      </x:c>
    </x:row>
    <x:row r="148">
      <x:c r="A148" s="83" t="str">
        <x:v>DDS-144</x:v>
      </x:c>
      <x:c r="B148" s="83" t="str">
        <x:v>DDS 2024 scenario-network benchmark</x:v>
      </x:c>
      <x:c r="C148" s="83" t="n">
        <x:v>2040</x:v>
      </x:c>
      <x:c r="D148" s="83" t="str">
        <x:v>DDS 2024 common electricity-network assumption</x:v>
      </x:c>
      <x:c r="E148" s="83" t="str">
        <x:v>SUD</x:v>
      </x:c>
      <x:c r="F148" s="83" t="str">
        <x:v>NORD</x:v>
      </x:c>
      <x:c r="G148" s="143" t="n">
        <x:v>2000</x:v>
      </x:c>
      <x:c r="H148" s="197" t="n">
        <x:f>IF(G148="","",G148/1000)</x:f>
        <x:v>2</x:v>
      </x:c>
      <x:c r="I148" s="143"/>
      <x:c r="J148" s="83" t="str">
        <x:v>Maximum exchange capacity</x:v>
      </x:c>
      <x:c r="K148" s="83" t="str">
        <x:v>Directional</x:v>
      </x:c>
      <x:c r="L148" s="83" t="str">
        <x:v>Scenario assumption</x:v>
      </x:c>
      <x:c r="M148" s="83" t="str">
        <x:v>S09</x:v>
      </x:c>
      <x:c r="N148" s="120" t="str">
        <x:v>https://download.terna.it/terna/Documento_Descrizione_Scenari_2024_8dce2430d44d101.pdf</x:v>
      </x:c>
      <x:c r="O148" s="83" t="n">
        <x:v>35</x:v>
      </x:c>
      <x:c r="P148" s="83" t="n">
        <x:v>33</x:v>
      </x:c>
      <x:c r="Q148" s="83" t="str">
        <x:v>Figure 12</x:v>
      </x:c>
      <x:c r="R148" s="83" t="str">
        <x:v>Direct visual transcription, converted GW→MW</x:v>
      </x:c>
      <x:c r="S148" s="83" t="str">
        <x:v>A — Direct figure</x:v>
      </x:c>
      <x:c r="T148" s="83" t="str">
        <x:v>Reference/comparison; superseded by PDS 2025 Figure 3 for 2040 Base</x:v>
      </x:c>
      <x:c r="U148" s="83" t="str">
        <x:v>Retained to identify revisions between DDS 2024 and the updated PDS 2025 network.</x:v>
      </x:c>
    </x:row>
    <x:row r="149">
      <x:c r="A149" s="83" t="str">
        <x:v>DDS-145</x:v>
      </x:c>
      <x:c r="B149" s="83" t="str">
        <x:v>DDS 2024 scenario-network benchmark</x:v>
      </x:c>
      <x:c r="C149" s="83" t="n">
        <x:v>2023</x:v>
      </x:c>
      <x:c r="D149" s="83" t="str">
        <x:v>DDS 2024 common electricity-network assumption</x:v>
      </x:c>
      <x:c r="E149" s="83" t="str">
        <x:v>CNOR</x:v>
      </x:c>
      <x:c r="F149" s="83" t="str">
        <x:v>CSUD</x:v>
      </x:c>
      <x:c r="G149" s="143" t="n">
        <x:v>2900</x:v>
      </x:c>
      <x:c r="H149" s="197" t="n">
        <x:f>IF(G149="","",G149/1000)</x:f>
        <x:v>2.9</x:v>
      </x:c>
      <x:c r="I149" s="143"/>
      <x:c r="J149" s="83" t="str">
        <x:v>Maximum exchange capacity</x:v>
      </x:c>
      <x:c r="K149" s="83" t="str">
        <x:v>Directional</x:v>
      </x:c>
      <x:c r="L149" s="83" t="str">
        <x:v>Scenario assumption</x:v>
      </x:c>
      <x:c r="M149" s="83" t="str">
        <x:v>S09</x:v>
      </x:c>
      <x:c r="N149" s="120" t="str">
        <x:v>https://download.terna.it/terna/Documento_Descrizione_Scenari_2024_8dce2430d44d101.pdf</x:v>
      </x:c>
      <x:c r="O149" s="83" t="n">
        <x:v>35</x:v>
      </x:c>
      <x:c r="P149" s="83" t="n">
        <x:v>33</x:v>
      </x:c>
      <x:c r="Q149" s="83" t="str">
        <x:v>Figure 12</x:v>
      </x:c>
      <x:c r="R149" s="83" t="str">
        <x:v>Direct visual transcription, converted GW→MW</x:v>
      </x:c>
      <x:c r="S149" s="83" t="str">
        <x:v>A — Direct figure</x:v>
      </x:c>
      <x:c r="T149" s="83" t="str">
        <x:v>Reference/comparison; superseded by PDS 2025 Figure 3 for 2040 Base</x:v>
      </x:c>
      <x:c r="U149" s="83" t="str">
        <x:v>Retained to identify revisions between DDS 2024 and the updated PDS 2025 network.</x:v>
      </x:c>
    </x:row>
    <x:row r="150">
      <x:c r="A150" s="83" t="str">
        <x:v>DDS-146</x:v>
      </x:c>
      <x:c r="B150" s="83" t="str">
        <x:v>DDS 2024 scenario-network benchmark</x:v>
      </x:c>
      <x:c r="C150" s="83" t="n">
        <x:v>2023</x:v>
      </x:c>
      <x:c r="D150" s="83" t="str">
        <x:v>DDS 2024 common electricity-network assumption</x:v>
      </x:c>
      <x:c r="E150" s="83" t="str">
        <x:v>CSUD</x:v>
      </x:c>
      <x:c r="F150" s="83" t="str">
        <x:v>CNOR</x:v>
      </x:c>
      <x:c r="G150" s="143" t="n">
        <x:v>2800</x:v>
      </x:c>
      <x:c r="H150" s="197" t="n">
        <x:f>IF(G150="","",G150/1000)</x:f>
        <x:v>2.8</x:v>
      </x:c>
      <x:c r="I150" s="143"/>
      <x:c r="J150" s="83" t="str">
        <x:v>Maximum exchange capacity</x:v>
      </x:c>
      <x:c r="K150" s="83" t="str">
        <x:v>Directional</x:v>
      </x:c>
      <x:c r="L150" s="83" t="str">
        <x:v>Scenario assumption</x:v>
      </x:c>
      <x:c r="M150" s="83" t="str">
        <x:v>S09</x:v>
      </x:c>
      <x:c r="N150" s="120" t="str">
        <x:v>https://download.terna.it/terna/Documento_Descrizione_Scenari_2024_8dce2430d44d101.pdf</x:v>
      </x:c>
      <x:c r="O150" s="83" t="n">
        <x:v>35</x:v>
      </x:c>
      <x:c r="P150" s="83" t="n">
        <x:v>33</x:v>
      </x:c>
      <x:c r="Q150" s="83" t="str">
        <x:v>Figure 12</x:v>
      </x:c>
      <x:c r="R150" s="83" t="str">
        <x:v>Direct visual transcription, converted GW→MW</x:v>
      </x:c>
      <x:c r="S150" s="83" t="str">
        <x:v>A — Direct figure</x:v>
      </x:c>
      <x:c r="T150" s="83" t="str">
        <x:v>Reference/comparison; superseded by PDS 2025 Figure 3 for 2040 Base</x:v>
      </x:c>
      <x:c r="U150" s="83" t="str">
        <x:v>Retained to identify revisions between DDS 2024 and the updated PDS 2025 network.</x:v>
      </x:c>
    </x:row>
    <x:row r="151">
      <x:c r="A151" s="83" t="str">
        <x:v>DDS-147</x:v>
      </x:c>
      <x:c r="B151" s="83" t="str">
        <x:v>DDS 2024 scenario-network benchmark</x:v>
      </x:c>
      <x:c r="C151" s="83" t="n">
        <x:v>2030</x:v>
      </x:c>
      <x:c r="D151" s="83" t="str">
        <x:v>DDS 2024 common electricity-network assumption</x:v>
      </x:c>
      <x:c r="E151" s="83" t="str">
        <x:v>CNOR</x:v>
      </x:c>
      <x:c r="F151" s="83" t="str">
        <x:v>CSUD</x:v>
      </x:c>
      <x:c r="G151" s="143" t="n">
        <x:v>4600</x:v>
      </x:c>
      <x:c r="H151" s="197" t="n">
        <x:f>IF(G151="","",G151/1000)</x:f>
        <x:v>4.6</x:v>
      </x:c>
      <x:c r="I151" s="143"/>
      <x:c r="J151" s="83" t="str">
        <x:v>Maximum exchange capacity</x:v>
      </x:c>
      <x:c r="K151" s="83" t="str">
        <x:v>Directional</x:v>
      </x:c>
      <x:c r="L151" s="83" t="str">
        <x:v>Scenario assumption</x:v>
      </x:c>
      <x:c r="M151" s="83" t="str">
        <x:v>S09</x:v>
      </x:c>
      <x:c r="N151" s="120" t="str">
        <x:v>https://download.terna.it/terna/Documento_Descrizione_Scenari_2024_8dce2430d44d101.pdf</x:v>
      </x:c>
      <x:c r="O151" s="83" t="n">
        <x:v>35</x:v>
      </x:c>
      <x:c r="P151" s="83" t="n">
        <x:v>33</x:v>
      </x:c>
      <x:c r="Q151" s="83" t="str">
        <x:v>Figure 12</x:v>
      </x:c>
      <x:c r="R151" s="83" t="str">
        <x:v>Direct visual transcription, converted GW→MW</x:v>
      </x:c>
      <x:c r="S151" s="83" t="str">
        <x:v>A — Direct figure</x:v>
      </x:c>
      <x:c r="T151" s="83" t="str">
        <x:v>Reference/comparison; superseded by PDS 2025 Figure 3 for 2040 Base</x:v>
      </x:c>
      <x:c r="U151" s="83" t="str">
        <x:v>Retained to identify revisions between DDS 2024 and the updated PDS 2025 network.</x:v>
      </x:c>
    </x:row>
    <x:row r="152">
      <x:c r="A152" s="83" t="str">
        <x:v>DDS-148</x:v>
      </x:c>
      <x:c r="B152" s="83" t="str">
        <x:v>DDS 2024 scenario-network benchmark</x:v>
      </x:c>
      <x:c r="C152" s="83" t="n">
        <x:v>2030</x:v>
      </x:c>
      <x:c r="D152" s="83" t="str">
        <x:v>DDS 2024 common electricity-network assumption</x:v>
      </x:c>
      <x:c r="E152" s="83" t="str">
        <x:v>CSUD</x:v>
      </x:c>
      <x:c r="F152" s="83" t="str">
        <x:v>CNOR</x:v>
      </x:c>
      <x:c r="G152" s="143" t="n">
        <x:v>4500</x:v>
      </x:c>
      <x:c r="H152" s="197" t="n">
        <x:f>IF(G152="","",G152/1000)</x:f>
        <x:v>4.5</x:v>
      </x:c>
      <x:c r="I152" s="143"/>
      <x:c r="J152" s="83" t="str">
        <x:v>Maximum exchange capacity</x:v>
      </x:c>
      <x:c r="K152" s="83" t="str">
        <x:v>Directional</x:v>
      </x:c>
      <x:c r="L152" s="83" t="str">
        <x:v>Scenario assumption</x:v>
      </x:c>
      <x:c r="M152" s="83" t="str">
        <x:v>S09</x:v>
      </x:c>
      <x:c r="N152" s="120" t="str">
        <x:v>https://download.terna.it/terna/Documento_Descrizione_Scenari_2024_8dce2430d44d101.pdf</x:v>
      </x:c>
      <x:c r="O152" s="83" t="n">
        <x:v>35</x:v>
      </x:c>
      <x:c r="P152" s="83" t="n">
        <x:v>33</x:v>
      </x:c>
      <x:c r="Q152" s="83" t="str">
        <x:v>Figure 12</x:v>
      </x:c>
      <x:c r="R152" s="83" t="str">
        <x:v>Direct visual transcription, converted GW→MW</x:v>
      </x:c>
      <x:c r="S152" s="83" t="str">
        <x:v>A — Direct figure</x:v>
      </x:c>
      <x:c r="T152" s="83" t="str">
        <x:v>Reference/comparison; superseded by PDS 2025 Figure 3 for 2040 Base</x:v>
      </x:c>
      <x:c r="U152" s="83" t="str">
        <x:v>Retained to identify revisions between DDS 2024 and the updated PDS 2025 network.</x:v>
      </x:c>
    </x:row>
    <x:row r="153">
      <x:c r="A153" s="83" t="str">
        <x:v>DDS-149</x:v>
      </x:c>
      <x:c r="B153" s="83" t="str">
        <x:v>DDS 2024 scenario-network benchmark</x:v>
      </x:c>
      <x:c r="C153" s="83" t="n">
        <x:v>2035</x:v>
      </x:c>
      <x:c r="D153" s="83" t="str">
        <x:v>DDS 2024 common electricity-network assumption</x:v>
      </x:c>
      <x:c r="E153" s="83" t="str">
        <x:v>CNOR</x:v>
      </x:c>
      <x:c r="F153" s="83" t="str">
        <x:v>CSUD</x:v>
      </x:c>
      <x:c r="G153" s="143" t="n">
        <x:v>5200</x:v>
      </x:c>
      <x:c r="H153" s="197" t="n">
        <x:f>IF(G153="","",G153/1000)</x:f>
        <x:v>5.2</x:v>
      </x:c>
      <x:c r="I153" s="143"/>
      <x:c r="J153" s="83" t="str">
        <x:v>Maximum exchange capacity</x:v>
      </x:c>
      <x:c r="K153" s="83" t="str">
        <x:v>Directional</x:v>
      </x:c>
      <x:c r="L153" s="83" t="str">
        <x:v>Scenario assumption</x:v>
      </x:c>
      <x:c r="M153" s="83" t="str">
        <x:v>S09</x:v>
      </x:c>
      <x:c r="N153" s="120" t="str">
        <x:v>https://download.terna.it/terna/Documento_Descrizione_Scenari_2024_8dce2430d44d101.pdf</x:v>
      </x:c>
      <x:c r="O153" s="83" t="n">
        <x:v>35</x:v>
      </x:c>
      <x:c r="P153" s="83" t="n">
        <x:v>33</x:v>
      </x:c>
      <x:c r="Q153" s="83" t="str">
        <x:v>Figure 12</x:v>
      </x:c>
      <x:c r="R153" s="83" t="str">
        <x:v>Direct visual transcription, converted GW→MW</x:v>
      </x:c>
      <x:c r="S153" s="83" t="str">
        <x:v>A — Direct figure</x:v>
      </x:c>
      <x:c r="T153" s="83" t="str">
        <x:v>Reference/comparison; superseded by PDS 2025 Figure 3 for 2040 Base</x:v>
      </x:c>
      <x:c r="U153" s="83" t="str">
        <x:v>Retained to identify revisions between DDS 2024 and the updated PDS 2025 network.</x:v>
      </x:c>
    </x:row>
    <x:row r="154">
      <x:c r="A154" s="83" t="str">
        <x:v>DDS-150</x:v>
      </x:c>
      <x:c r="B154" s="83" t="str">
        <x:v>DDS 2024 scenario-network benchmark</x:v>
      </x:c>
      <x:c r="C154" s="83" t="n">
        <x:v>2035</x:v>
      </x:c>
      <x:c r="D154" s="83" t="str">
        <x:v>DDS 2024 common electricity-network assumption</x:v>
      </x:c>
      <x:c r="E154" s="83" t="str">
        <x:v>CSUD</x:v>
      </x:c>
      <x:c r="F154" s="83" t="str">
        <x:v>CNOR</x:v>
      </x:c>
      <x:c r="G154" s="143" t="n">
        <x:v>5900</x:v>
      </x:c>
      <x:c r="H154" s="197" t="n">
        <x:f>IF(G154="","",G154/1000)</x:f>
        <x:v>5.9</x:v>
      </x:c>
      <x:c r="I154" s="143"/>
      <x:c r="J154" s="83" t="str">
        <x:v>Maximum exchange capacity</x:v>
      </x:c>
      <x:c r="K154" s="83" t="str">
        <x:v>Directional</x:v>
      </x:c>
      <x:c r="L154" s="83" t="str">
        <x:v>Scenario assumption</x:v>
      </x:c>
      <x:c r="M154" s="83" t="str">
        <x:v>S09</x:v>
      </x:c>
      <x:c r="N154" s="120" t="str">
        <x:v>https://download.terna.it/terna/Documento_Descrizione_Scenari_2024_8dce2430d44d101.pdf</x:v>
      </x:c>
      <x:c r="O154" s="83" t="n">
        <x:v>35</x:v>
      </x:c>
      <x:c r="P154" s="83" t="n">
        <x:v>33</x:v>
      </x:c>
      <x:c r="Q154" s="83" t="str">
        <x:v>Figure 12</x:v>
      </x:c>
      <x:c r="R154" s="83" t="str">
        <x:v>Direct visual transcription, converted GW→MW</x:v>
      </x:c>
      <x:c r="S154" s="83" t="str">
        <x:v>A — Direct figure</x:v>
      </x:c>
      <x:c r="T154" s="83" t="str">
        <x:v>Reference/comparison; superseded by PDS 2025 Figure 3 for 2040 Base</x:v>
      </x:c>
      <x:c r="U154" s="83" t="str">
        <x:v>Retained to identify revisions between DDS 2024 and the updated PDS 2025 network.</x:v>
      </x:c>
    </x:row>
    <x:row r="155">
      <x:c r="A155" s="83" t="str">
        <x:v>DDS-151</x:v>
      </x:c>
      <x:c r="B155" s="83" t="str">
        <x:v>DDS 2024 scenario-network benchmark</x:v>
      </x:c>
      <x:c r="C155" s="83" t="n">
        <x:v>2040</x:v>
      </x:c>
      <x:c r="D155" s="83" t="str">
        <x:v>DDS 2024 common electricity-network assumption</x:v>
      </x:c>
      <x:c r="E155" s="83" t="str">
        <x:v>CNOR</x:v>
      </x:c>
      <x:c r="F155" s="83" t="str">
        <x:v>CSUD</x:v>
      </x:c>
      <x:c r="G155" s="143" t="n">
        <x:v>5200</x:v>
      </x:c>
      <x:c r="H155" s="197" t="n">
        <x:f>IF(G155="","",G155/1000)</x:f>
        <x:v>5.2</x:v>
      </x:c>
      <x:c r="I155" s="143"/>
      <x:c r="J155" s="83" t="str">
        <x:v>Maximum exchange capacity</x:v>
      </x:c>
      <x:c r="K155" s="83" t="str">
        <x:v>Directional</x:v>
      </x:c>
      <x:c r="L155" s="83" t="str">
        <x:v>Scenario assumption</x:v>
      </x:c>
      <x:c r="M155" s="83" t="str">
        <x:v>S09</x:v>
      </x:c>
      <x:c r="N155" s="120" t="str">
        <x:v>https://download.terna.it/terna/Documento_Descrizione_Scenari_2024_8dce2430d44d101.pdf</x:v>
      </x:c>
      <x:c r="O155" s="83" t="n">
        <x:v>35</x:v>
      </x:c>
      <x:c r="P155" s="83" t="n">
        <x:v>33</x:v>
      </x:c>
      <x:c r="Q155" s="83" t="str">
        <x:v>Figure 12</x:v>
      </x:c>
      <x:c r="R155" s="83" t="str">
        <x:v>Direct visual transcription, converted GW→MW</x:v>
      </x:c>
      <x:c r="S155" s="83" t="str">
        <x:v>A — Direct figure</x:v>
      </x:c>
      <x:c r="T155" s="83" t="str">
        <x:v>Reference/comparison; superseded by PDS 2025 Figure 3 for 2040 Base</x:v>
      </x:c>
      <x:c r="U155" s="83" t="str">
        <x:v>Retained to identify revisions between DDS 2024 and the updated PDS 2025 network.</x:v>
      </x:c>
    </x:row>
    <x:row r="156">
      <x:c r="A156" s="83" t="str">
        <x:v>DDS-152</x:v>
      </x:c>
      <x:c r="B156" s="83" t="str">
        <x:v>DDS 2024 scenario-network benchmark</x:v>
      </x:c>
      <x:c r="C156" s="83" t="n">
        <x:v>2040</x:v>
      </x:c>
      <x:c r="D156" s="83" t="str">
        <x:v>DDS 2024 common electricity-network assumption</x:v>
      </x:c>
      <x:c r="E156" s="83" t="str">
        <x:v>CSUD</x:v>
      </x:c>
      <x:c r="F156" s="83" t="str">
        <x:v>CNOR</x:v>
      </x:c>
      <x:c r="G156" s="143" t="n">
        <x:v>5900</x:v>
      </x:c>
      <x:c r="H156" s="197" t="n">
        <x:f>IF(G156="","",G156/1000)</x:f>
        <x:v>5.9</x:v>
      </x:c>
      <x:c r="I156" s="143"/>
      <x:c r="J156" s="83" t="str">
        <x:v>Maximum exchange capacity</x:v>
      </x:c>
      <x:c r="K156" s="83" t="str">
        <x:v>Directional</x:v>
      </x:c>
      <x:c r="L156" s="83" t="str">
        <x:v>Scenario assumption</x:v>
      </x:c>
      <x:c r="M156" s="83" t="str">
        <x:v>S09</x:v>
      </x:c>
      <x:c r="N156" s="120" t="str">
        <x:v>https://download.terna.it/terna/Documento_Descrizione_Scenari_2024_8dce2430d44d101.pdf</x:v>
      </x:c>
      <x:c r="O156" s="83" t="n">
        <x:v>35</x:v>
      </x:c>
      <x:c r="P156" s="83" t="n">
        <x:v>33</x:v>
      </x:c>
      <x:c r="Q156" s="83" t="str">
        <x:v>Figure 12</x:v>
      </x:c>
      <x:c r="R156" s="83" t="str">
        <x:v>Direct visual transcription, converted GW→MW</x:v>
      </x:c>
      <x:c r="S156" s="83" t="str">
        <x:v>A — Direct figure</x:v>
      </x:c>
      <x:c r="T156" s="83" t="str">
        <x:v>Reference/comparison; superseded by PDS 2025 Figure 3 for 2040 Base</x:v>
      </x:c>
      <x:c r="U156" s="83" t="str">
        <x:v>Retained to identify revisions between DDS 2024 and the updated PDS 2025 network.</x:v>
      </x:c>
    </x:row>
    <x:row r="157">
      <x:c r="A157" s="83" t="str">
        <x:v>DDS-153</x:v>
      </x:c>
      <x:c r="B157" s="83" t="str">
        <x:v>DDS 2024 scenario-network benchmark</x:v>
      </x:c>
      <x:c r="C157" s="83" t="n">
        <x:v>2023</x:v>
      </x:c>
      <x:c r="D157" s="83" t="str">
        <x:v>DDS 2024 common electricity-network assumption</x:v>
      </x:c>
      <x:c r="E157" s="83" t="str">
        <x:v>CSUD</x:v>
      </x:c>
      <x:c r="F157" s="83" t="str">
        <x:v>SUD</x:v>
      </x:c>
      <x:c r="G157" s="143" t="n">
        <x:v>2400</x:v>
      </x:c>
      <x:c r="H157" s="197" t="n">
        <x:f>IF(G157="","",G157/1000)</x:f>
        <x:v>2.4</x:v>
      </x:c>
      <x:c r="I157" s="143"/>
      <x:c r="J157" s="83" t="str">
        <x:v>Maximum exchange capacity</x:v>
      </x:c>
      <x:c r="K157" s="83" t="str">
        <x:v>Directional</x:v>
      </x:c>
      <x:c r="L157" s="83" t="str">
        <x:v>Scenario assumption</x:v>
      </x:c>
      <x:c r="M157" s="83" t="str">
        <x:v>S09</x:v>
      </x:c>
      <x:c r="N157" s="120" t="str">
        <x:v>https://download.terna.it/terna/Documento_Descrizione_Scenari_2024_8dce2430d44d101.pdf</x:v>
      </x:c>
      <x:c r="O157" s="83" t="n">
        <x:v>35</x:v>
      </x:c>
      <x:c r="P157" s="83" t="n">
        <x:v>33</x:v>
      </x:c>
      <x:c r="Q157" s="83" t="str">
        <x:v>Figure 12</x:v>
      </x:c>
      <x:c r="R157" s="83" t="str">
        <x:v>Direct visual transcription, converted GW→MW</x:v>
      </x:c>
      <x:c r="S157" s="83" t="str">
        <x:v>A — Direct figure</x:v>
      </x:c>
      <x:c r="T157" s="83" t="str">
        <x:v>Reference/comparison; superseded by PDS 2025 Figure 3 for 2040 Base</x:v>
      </x:c>
      <x:c r="U157" s="83" t="str">
        <x:v>Retained to identify revisions between DDS 2024 and the updated PDS 2025 network.</x:v>
      </x:c>
    </x:row>
    <x:row r="158">
      <x:c r="A158" s="83" t="str">
        <x:v>DDS-154</x:v>
      </x:c>
      <x:c r="B158" s="83" t="str">
        <x:v>DDS 2024 scenario-network benchmark</x:v>
      </x:c>
      <x:c r="C158" s="83" t="n">
        <x:v>2023</x:v>
      </x:c>
      <x:c r="D158" s="83" t="str">
        <x:v>DDS 2024 common electricity-network assumption</x:v>
      </x:c>
      <x:c r="E158" s="83" t="str">
        <x:v>SUD</x:v>
      </x:c>
      <x:c r="F158" s="83" t="str">
        <x:v>CSUD</x:v>
      </x:c>
      <x:c r="G158" s="143" t="n">
        <x:v>5200</x:v>
      </x:c>
      <x:c r="H158" s="197" t="n">
        <x:f>IF(G158="","",G158/1000)</x:f>
        <x:v>5.2</x:v>
      </x:c>
      <x:c r="I158" s="143"/>
      <x:c r="J158" s="83" t="str">
        <x:v>Maximum exchange capacity</x:v>
      </x:c>
      <x:c r="K158" s="83" t="str">
        <x:v>Directional</x:v>
      </x:c>
      <x:c r="L158" s="83" t="str">
        <x:v>Scenario assumption</x:v>
      </x:c>
      <x:c r="M158" s="83" t="str">
        <x:v>S09</x:v>
      </x:c>
      <x:c r="N158" s="120" t="str">
        <x:v>https://download.terna.it/terna/Documento_Descrizione_Scenari_2024_8dce2430d44d101.pdf</x:v>
      </x:c>
      <x:c r="O158" s="83" t="n">
        <x:v>35</x:v>
      </x:c>
      <x:c r="P158" s="83" t="n">
        <x:v>33</x:v>
      </x:c>
      <x:c r="Q158" s="83" t="str">
        <x:v>Figure 12</x:v>
      </x:c>
      <x:c r="R158" s="83" t="str">
        <x:v>Direct visual transcription, converted GW→MW</x:v>
      </x:c>
      <x:c r="S158" s="83" t="str">
        <x:v>A — Direct figure</x:v>
      </x:c>
      <x:c r="T158" s="83" t="str">
        <x:v>Reference/comparison; superseded by PDS 2025 Figure 3 for 2040 Base</x:v>
      </x:c>
      <x:c r="U158" s="83" t="str">
        <x:v>Retained to identify revisions between DDS 2024 and the updated PDS 2025 network.</x:v>
      </x:c>
    </x:row>
    <x:row r="159">
      <x:c r="A159" s="83" t="str">
        <x:v>DDS-155</x:v>
      </x:c>
      <x:c r="B159" s="83" t="str">
        <x:v>DDS 2024 scenario-network benchmark</x:v>
      </x:c>
      <x:c r="C159" s="83" t="n">
        <x:v>2030</x:v>
      </x:c>
      <x:c r="D159" s="83" t="str">
        <x:v>DDS 2024 common electricity-network assumption</x:v>
      </x:c>
      <x:c r="E159" s="83" t="str">
        <x:v>CSUD</x:v>
      </x:c>
      <x:c r="F159" s="83" t="str">
        <x:v>SUD</x:v>
      </x:c>
      <x:c r="G159" s="143" t="n">
        <x:v>2900</x:v>
      </x:c>
      <x:c r="H159" s="197" t="n">
        <x:f>IF(G159="","",G159/1000)</x:f>
        <x:v>2.9</x:v>
      </x:c>
      <x:c r="I159" s="143"/>
      <x:c r="J159" s="83" t="str">
        <x:v>Maximum exchange capacity</x:v>
      </x:c>
      <x:c r="K159" s="83" t="str">
        <x:v>Directional</x:v>
      </x:c>
      <x:c r="L159" s="83" t="str">
        <x:v>Scenario assumption</x:v>
      </x:c>
      <x:c r="M159" s="83" t="str">
        <x:v>S09</x:v>
      </x:c>
      <x:c r="N159" s="120" t="str">
        <x:v>https://download.terna.it/terna/Documento_Descrizione_Scenari_2024_8dce2430d44d101.pdf</x:v>
      </x:c>
      <x:c r="O159" s="83" t="n">
        <x:v>35</x:v>
      </x:c>
      <x:c r="P159" s="83" t="n">
        <x:v>33</x:v>
      </x:c>
      <x:c r="Q159" s="83" t="str">
        <x:v>Figure 12</x:v>
      </x:c>
      <x:c r="R159" s="83" t="str">
        <x:v>Direct visual transcription, converted GW→MW</x:v>
      </x:c>
      <x:c r="S159" s="83" t="str">
        <x:v>A — Direct figure</x:v>
      </x:c>
      <x:c r="T159" s="83" t="str">
        <x:v>Reference/comparison; superseded by PDS 2025 Figure 3 for 2040 Base</x:v>
      </x:c>
      <x:c r="U159" s="83" t="str">
        <x:v>Retained to identify revisions between DDS 2024 and the updated PDS 2025 network.</x:v>
      </x:c>
    </x:row>
    <x:row r="160">
      <x:c r="A160" s="83" t="str">
        <x:v>DDS-156</x:v>
      </x:c>
      <x:c r="B160" s="83" t="str">
        <x:v>DDS 2024 scenario-network benchmark</x:v>
      </x:c>
      <x:c r="C160" s="83" t="n">
        <x:v>2030</x:v>
      </x:c>
      <x:c r="D160" s="83" t="str">
        <x:v>DDS 2024 common electricity-network assumption</x:v>
      </x:c>
      <x:c r="E160" s="83" t="str">
        <x:v>SUD</x:v>
      </x:c>
      <x:c r="F160" s="83" t="str">
        <x:v>CSUD</x:v>
      </x:c>
      <x:c r="G160" s="143" t="n">
        <x:v>5700</x:v>
      </x:c>
      <x:c r="H160" s="197" t="n">
        <x:f>IF(G160="","",G160/1000)</x:f>
        <x:v>5.7</x:v>
      </x:c>
      <x:c r="I160" s="143"/>
      <x:c r="J160" s="83" t="str">
        <x:v>Maximum exchange capacity</x:v>
      </x:c>
      <x:c r="K160" s="83" t="str">
        <x:v>Directional</x:v>
      </x:c>
      <x:c r="L160" s="83" t="str">
        <x:v>Scenario assumption</x:v>
      </x:c>
      <x:c r="M160" s="83" t="str">
        <x:v>S09</x:v>
      </x:c>
      <x:c r="N160" s="120" t="str">
        <x:v>https://download.terna.it/terna/Documento_Descrizione_Scenari_2024_8dce2430d44d101.pdf</x:v>
      </x:c>
      <x:c r="O160" s="83" t="n">
        <x:v>35</x:v>
      </x:c>
      <x:c r="P160" s="83" t="n">
        <x:v>33</x:v>
      </x:c>
      <x:c r="Q160" s="83" t="str">
        <x:v>Figure 12</x:v>
      </x:c>
      <x:c r="R160" s="83" t="str">
        <x:v>Direct visual transcription, converted GW→MW</x:v>
      </x:c>
      <x:c r="S160" s="83" t="str">
        <x:v>A — Direct figure</x:v>
      </x:c>
      <x:c r="T160" s="83" t="str">
        <x:v>Reference/comparison; superseded by PDS 2025 Figure 3 for 2040 Base</x:v>
      </x:c>
      <x:c r="U160" s="83" t="str">
        <x:v>Retained to identify revisions between DDS 2024 and the updated PDS 2025 network.</x:v>
      </x:c>
    </x:row>
    <x:row r="161">
      <x:c r="A161" s="83" t="str">
        <x:v>DDS-157</x:v>
      </x:c>
      <x:c r="B161" s="83" t="str">
        <x:v>DDS 2024 scenario-network benchmark</x:v>
      </x:c>
      <x:c r="C161" s="83" t="n">
        <x:v>2035</x:v>
      </x:c>
      <x:c r="D161" s="83" t="str">
        <x:v>DDS 2024 common electricity-network assumption</x:v>
      </x:c>
      <x:c r="E161" s="83" t="str">
        <x:v>CSUD</x:v>
      </x:c>
      <x:c r="F161" s="83" t="str">
        <x:v>SUD</x:v>
      </x:c>
      <x:c r="G161" s="143" t="n">
        <x:v>3300</x:v>
      </x:c>
      <x:c r="H161" s="197" t="n">
        <x:f>IF(G161="","",G161/1000)</x:f>
        <x:v>3.3</x:v>
      </x:c>
      <x:c r="I161" s="143"/>
      <x:c r="J161" s="83" t="str">
        <x:v>Maximum exchange capacity</x:v>
      </x:c>
      <x:c r="K161" s="83" t="str">
        <x:v>Directional</x:v>
      </x:c>
      <x:c r="L161" s="83" t="str">
        <x:v>Scenario assumption</x:v>
      </x:c>
      <x:c r="M161" s="83" t="str">
        <x:v>S09</x:v>
      </x:c>
      <x:c r="N161" s="120" t="str">
        <x:v>https://download.terna.it/terna/Documento_Descrizione_Scenari_2024_8dce2430d44d101.pdf</x:v>
      </x:c>
      <x:c r="O161" s="83" t="n">
        <x:v>35</x:v>
      </x:c>
      <x:c r="P161" s="83" t="n">
        <x:v>33</x:v>
      </x:c>
      <x:c r="Q161" s="83" t="str">
        <x:v>Figure 12</x:v>
      </x:c>
      <x:c r="R161" s="83" t="str">
        <x:v>Direct visual transcription, converted GW→MW</x:v>
      </x:c>
      <x:c r="S161" s="83" t="str">
        <x:v>A — Direct figure</x:v>
      </x:c>
      <x:c r="T161" s="83" t="str">
        <x:v>Reference/comparison; superseded by PDS 2025 Figure 3 for 2040 Base</x:v>
      </x:c>
      <x:c r="U161" s="83" t="str">
        <x:v>Retained to identify revisions between DDS 2024 and the updated PDS 2025 network.</x:v>
      </x:c>
    </x:row>
    <x:row r="162">
      <x:c r="A162" s="83" t="str">
        <x:v>DDS-158</x:v>
      </x:c>
      <x:c r="B162" s="83" t="str">
        <x:v>DDS 2024 scenario-network benchmark</x:v>
      </x:c>
      <x:c r="C162" s="83" t="n">
        <x:v>2035</x:v>
      </x:c>
      <x:c r="D162" s="83" t="str">
        <x:v>DDS 2024 common electricity-network assumption</x:v>
      </x:c>
      <x:c r="E162" s="83" t="str">
        <x:v>SUD</x:v>
      </x:c>
      <x:c r="F162" s="83" t="str">
        <x:v>CSUD</x:v>
      </x:c>
      <x:c r="G162" s="143" t="n">
        <x:v>6100</x:v>
      </x:c>
      <x:c r="H162" s="197" t="n">
        <x:f>IF(G162="","",G162/1000)</x:f>
        <x:v>6.1</x:v>
      </x:c>
      <x:c r="I162" s="143"/>
      <x:c r="J162" s="83" t="str">
        <x:v>Maximum exchange capacity</x:v>
      </x:c>
      <x:c r="K162" s="83" t="str">
        <x:v>Directional</x:v>
      </x:c>
      <x:c r="L162" s="83" t="str">
        <x:v>Scenario assumption</x:v>
      </x:c>
      <x:c r="M162" s="83" t="str">
        <x:v>S09</x:v>
      </x:c>
      <x:c r="N162" s="120" t="str">
        <x:v>https://download.terna.it/terna/Documento_Descrizione_Scenari_2024_8dce2430d44d101.pdf</x:v>
      </x:c>
      <x:c r="O162" s="83" t="n">
        <x:v>35</x:v>
      </x:c>
      <x:c r="P162" s="83" t="n">
        <x:v>33</x:v>
      </x:c>
      <x:c r="Q162" s="83" t="str">
        <x:v>Figure 12</x:v>
      </x:c>
      <x:c r="R162" s="83" t="str">
        <x:v>Direct visual transcription, converted GW→MW</x:v>
      </x:c>
      <x:c r="S162" s="83" t="str">
        <x:v>A — Direct figure</x:v>
      </x:c>
      <x:c r="T162" s="83" t="str">
        <x:v>Reference/comparison; superseded by PDS 2025 Figure 3 for 2040 Base</x:v>
      </x:c>
      <x:c r="U162" s="83" t="str">
        <x:v>Retained to identify revisions between DDS 2024 and the updated PDS 2025 network.</x:v>
      </x:c>
    </x:row>
    <x:row r="163">
      <x:c r="A163" s="83" t="str">
        <x:v>DDS-159</x:v>
      </x:c>
      <x:c r="B163" s="83" t="str">
        <x:v>DDS 2024 scenario-network benchmark</x:v>
      </x:c>
      <x:c r="C163" s="83" t="n">
        <x:v>2040</x:v>
      </x:c>
      <x:c r="D163" s="83" t="str">
        <x:v>DDS 2024 common electricity-network assumption</x:v>
      </x:c>
      <x:c r="E163" s="83" t="str">
        <x:v>CSUD</x:v>
      </x:c>
      <x:c r="F163" s="83" t="str">
        <x:v>SUD</x:v>
      </x:c>
      <x:c r="G163" s="143" t="n">
        <x:v>6000</x:v>
      </x:c>
      <x:c r="H163" s="197" t="n">
        <x:f>IF(G163="","",G163/1000)</x:f>
        <x:v>6</x:v>
      </x:c>
      <x:c r="I163" s="143"/>
      <x:c r="J163" s="83" t="str">
        <x:v>Maximum exchange capacity</x:v>
      </x:c>
      <x:c r="K163" s="83" t="str">
        <x:v>Directional</x:v>
      </x:c>
      <x:c r="L163" s="83" t="str">
        <x:v>Scenario assumption</x:v>
      </x:c>
      <x:c r="M163" s="83" t="str">
        <x:v>S09</x:v>
      </x:c>
      <x:c r="N163" s="120" t="str">
        <x:v>https://download.terna.it/terna/Documento_Descrizione_Scenari_2024_8dce2430d44d101.pdf</x:v>
      </x:c>
      <x:c r="O163" s="83" t="n">
        <x:v>35</x:v>
      </x:c>
      <x:c r="P163" s="83" t="n">
        <x:v>33</x:v>
      </x:c>
      <x:c r="Q163" s="83" t="str">
        <x:v>Figure 12</x:v>
      </x:c>
      <x:c r="R163" s="83" t="str">
        <x:v>Direct visual transcription, converted GW→MW</x:v>
      </x:c>
      <x:c r="S163" s="83" t="str">
        <x:v>A — Direct figure</x:v>
      </x:c>
      <x:c r="T163" s="83" t="str">
        <x:v>Reference/comparison; superseded by PDS 2025 Figure 3 for 2040 Base</x:v>
      </x:c>
      <x:c r="U163" s="83" t="str">
        <x:v>Retained to identify revisions between DDS 2024 and the updated PDS 2025 network.</x:v>
      </x:c>
    </x:row>
    <x:row r="164">
      <x:c r="A164" s="83" t="str">
        <x:v>DDS-160</x:v>
      </x:c>
      <x:c r="B164" s="83" t="str">
        <x:v>DDS 2024 scenario-network benchmark</x:v>
      </x:c>
      <x:c r="C164" s="83" t="n">
        <x:v>2040</x:v>
      </x:c>
      <x:c r="D164" s="83" t="str">
        <x:v>DDS 2024 common electricity-network assumption</x:v>
      </x:c>
      <x:c r="E164" s="83" t="str">
        <x:v>SUD</x:v>
      </x:c>
      <x:c r="F164" s="83" t="str">
        <x:v>CSUD</x:v>
      </x:c>
      <x:c r="G164" s="143" t="n">
        <x:v>8800</x:v>
      </x:c>
      <x:c r="H164" s="197" t="n">
        <x:f>IF(G164="","",G164/1000)</x:f>
        <x:v>8.8</x:v>
      </x:c>
      <x:c r="I164" s="143"/>
      <x:c r="J164" s="83" t="str">
        <x:v>Maximum exchange capacity</x:v>
      </x:c>
      <x:c r="K164" s="83" t="str">
        <x:v>Directional</x:v>
      </x:c>
      <x:c r="L164" s="83" t="str">
        <x:v>Scenario assumption</x:v>
      </x:c>
      <x:c r="M164" s="83" t="str">
        <x:v>S09</x:v>
      </x:c>
      <x:c r="N164" s="120" t="str">
        <x:v>https://download.terna.it/terna/Documento_Descrizione_Scenari_2024_8dce2430d44d101.pdf</x:v>
      </x:c>
      <x:c r="O164" s="83" t="n">
        <x:v>35</x:v>
      </x:c>
      <x:c r="P164" s="83" t="n">
        <x:v>33</x:v>
      </x:c>
      <x:c r="Q164" s="83" t="str">
        <x:v>Figure 12</x:v>
      </x:c>
      <x:c r="R164" s="83" t="str">
        <x:v>Direct visual transcription, converted GW→MW</x:v>
      </x:c>
      <x:c r="S164" s="83" t="str">
        <x:v>A — Direct figure</x:v>
      </x:c>
      <x:c r="T164" s="83" t="str">
        <x:v>Reference/comparison; superseded by PDS 2025 Figure 3 for 2040 Base</x:v>
      </x:c>
      <x:c r="U164" s="83" t="str">
        <x:v>Retained to identify revisions between DDS 2024 and the updated PDS 2025 network.</x:v>
      </x:c>
    </x:row>
    <x:row r="165">
      <x:c r="A165" s="83" t="str">
        <x:v>DDS-161</x:v>
      </x:c>
      <x:c r="B165" s="83" t="str">
        <x:v>DDS 2024 scenario-network benchmark</x:v>
      </x:c>
      <x:c r="C165" s="83" t="n">
        <x:v>2023</x:v>
      </x:c>
      <x:c r="D165" s="83" t="str">
        <x:v>DDS 2024 common electricity-network assumption</x:v>
      </x:c>
      <x:c r="E165" s="83" t="str">
        <x:v>SUD</x:v>
      </x:c>
      <x:c r="F165" s="83" t="str">
        <x:v>CALA</x:v>
      </x:c>
      <x:c r="G165" s="143" t="n">
        <x:v>1100</x:v>
      </x:c>
      <x:c r="H165" s="197" t="n">
        <x:f>IF(G165="","",G165/1000)</x:f>
        <x:v>1.1</x:v>
      </x:c>
      <x:c r="I165" s="143"/>
      <x:c r="J165" s="83" t="str">
        <x:v>Maximum exchange capacity</x:v>
      </x:c>
      <x:c r="K165" s="83" t="str">
        <x:v>Directional</x:v>
      </x:c>
      <x:c r="L165" s="83" t="str">
        <x:v>Scenario assumption</x:v>
      </x:c>
      <x:c r="M165" s="83" t="str">
        <x:v>S09</x:v>
      </x:c>
      <x:c r="N165" s="120" t="str">
        <x:v>https://download.terna.it/terna/Documento_Descrizione_Scenari_2024_8dce2430d44d101.pdf</x:v>
      </x:c>
      <x:c r="O165" s="83" t="n">
        <x:v>35</x:v>
      </x:c>
      <x:c r="P165" s="83" t="n">
        <x:v>33</x:v>
      </x:c>
      <x:c r="Q165" s="83" t="str">
        <x:v>Figure 12</x:v>
      </x:c>
      <x:c r="R165" s="83" t="str">
        <x:v>Direct visual transcription, converted GW→MW</x:v>
      </x:c>
      <x:c r="S165" s="83" t="str">
        <x:v>A — Direct figure</x:v>
      </x:c>
      <x:c r="T165" s="83" t="str">
        <x:v>Reference/comparison; superseded by PDS 2025 Figure 3 for 2040 Base</x:v>
      </x:c>
      <x:c r="U165" s="83" t="str">
        <x:v>Retained to identify revisions between DDS 2024 and the updated PDS 2025 network.</x:v>
      </x:c>
    </x:row>
    <x:row r="166">
      <x:c r="A166" s="83" t="str">
        <x:v>DDS-162</x:v>
      </x:c>
      <x:c r="B166" s="83" t="str">
        <x:v>DDS 2024 scenario-network benchmark</x:v>
      </x:c>
      <x:c r="C166" s="83" t="n">
        <x:v>2023</x:v>
      </x:c>
      <x:c r="D166" s="83" t="str">
        <x:v>DDS 2024 common electricity-network assumption</x:v>
      </x:c>
      <x:c r="E166" s="83" t="str">
        <x:v>CALA</x:v>
      </x:c>
      <x:c r="F166" s="83" t="str">
        <x:v>SUD</x:v>
      </x:c>
      <x:c r="G166" s="143" t="n">
        <x:v>2400</x:v>
      </x:c>
      <x:c r="H166" s="197" t="n">
        <x:f>IF(G166="","",G166/1000)</x:f>
        <x:v>2.4</x:v>
      </x:c>
      <x:c r="I166" s="143"/>
      <x:c r="J166" s="83" t="str">
        <x:v>Maximum exchange capacity</x:v>
      </x:c>
      <x:c r="K166" s="83" t="str">
        <x:v>Directional</x:v>
      </x:c>
      <x:c r="L166" s="83" t="str">
        <x:v>Scenario assumption</x:v>
      </x:c>
      <x:c r="M166" s="83" t="str">
        <x:v>S09</x:v>
      </x:c>
      <x:c r="N166" s="120" t="str">
        <x:v>https://download.terna.it/terna/Documento_Descrizione_Scenari_2024_8dce2430d44d101.pdf</x:v>
      </x:c>
      <x:c r="O166" s="83" t="n">
        <x:v>35</x:v>
      </x:c>
      <x:c r="P166" s="83" t="n">
        <x:v>33</x:v>
      </x:c>
      <x:c r="Q166" s="83" t="str">
        <x:v>Figure 12</x:v>
      </x:c>
      <x:c r="R166" s="83" t="str">
        <x:v>Direct visual transcription, converted GW→MW</x:v>
      </x:c>
      <x:c r="S166" s="83" t="str">
        <x:v>A — Direct figure</x:v>
      </x:c>
      <x:c r="T166" s="83" t="str">
        <x:v>Reference/comparison; superseded by PDS 2025 Figure 3 for 2040 Base</x:v>
      </x:c>
      <x:c r="U166" s="83" t="str">
        <x:v>Retained to identify revisions between DDS 2024 and the updated PDS 2025 network.</x:v>
      </x:c>
    </x:row>
    <x:row r="167">
      <x:c r="A167" s="83" t="str">
        <x:v>DDS-163</x:v>
      </x:c>
      <x:c r="B167" s="83" t="str">
        <x:v>DDS 2024 scenario-network benchmark</x:v>
      </x:c>
      <x:c r="C167" s="83" t="n">
        <x:v>2030</x:v>
      </x:c>
      <x:c r="D167" s="83" t="str">
        <x:v>DDS 2024 common electricity-network assumption</x:v>
      </x:c>
      <x:c r="E167" s="83" t="str">
        <x:v>SUD</x:v>
      </x:c>
      <x:c r="F167" s="83" t="str">
        <x:v>CALA</x:v>
      </x:c>
      <x:c r="G167" s="143" t="n">
        <x:v>1700</x:v>
      </x:c>
      <x:c r="H167" s="197" t="n">
        <x:f>IF(G167="","",G167/1000)</x:f>
        <x:v>1.7</x:v>
      </x:c>
      <x:c r="I167" s="143"/>
      <x:c r="J167" s="83" t="str">
        <x:v>Maximum exchange capacity</x:v>
      </x:c>
      <x:c r="K167" s="83" t="str">
        <x:v>Directional</x:v>
      </x:c>
      <x:c r="L167" s="83" t="str">
        <x:v>Scenario assumption</x:v>
      </x:c>
      <x:c r="M167" s="83" t="str">
        <x:v>S09</x:v>
      </x:c>
      <x:c r="N167" s="120" t="str">
        <x:v>https://download.terna.it/terna/Documento_Descrizione_Scenari_2024_8dce2430d44d101.pdf</x:v>
      </x:c>
      <x:c r="O167" s="83" t="n">
        <x:v>35</x:v>
      </x:c>
      <x:c r="P167" s="83" t="n">
        <x:v>33</x:v>
      </x:c>
      <x:c r="Q167" s="83" t="str">
        <x:v>Figure 12</x:v>
      </x:c>
      <x:c r="R167" s="83" t="str">
        <x:v>Direct visual transcription, converted GW→MW</x:v>
      </x:c>
      <x:c r="S167" s="83" t="str">
        <x:v>A — Direct figure</x:v>
      </x:c>
      <x:c r="T167" s="83" t="str">
        <x:v>Reference/comparison; superseded by PDS 2025 Figure 3 for 2040 Base</x:v>
      </x:c>
      <x:c r="U167" s="83" t="str">
        <x:v>Retained to identify revisions between DDS 2024 and the updated PDS 2025 network.</x:v>
      </x:c>
    </x:row>
    <x:row r="168">
      <x:c r="A168" s="83" t="str">
        <x:v>DDS-164</x:v>
      </x:c>
      <x:c r="B168" s="83" t="str">
        <x:v>DDS 2024 scenario-network benchmark</x:v>
      </x:c>
      <x:c r="C168" s="83" t="n">
        <x:v>2030</x:v>
      </x:c>
      <x:c r="D168" s="83" t="str">
        <x:v>DDS 2024 common electricity-network assumption</x:v>
      </x:c>
      <x:c r="E168" s="83" t="str">
        <x:v>CALA</x:v>
      </x:c>
      <x:c r="F168" s="83" t="str">
        <x:v>SUD</x:v>
      </x:c>
      <x:c r="G168" s="143" t="n">
        <x:v>3000</x:v>
      </x:c>
      <x:c r="H168" s="197" t="n">
        <x:f>IF(G168="","",G168/1000)</x:f>
        <x:v>3</x:v>
      </x:c>
      <x:c r="I168" s="143"/>
      <x:c r="J168" s="83" t="str">
        <x:v>Maximum exchange capacity</x:v>
      </x:c>
      <x:c r="K168" s="83" t="str">
        <x:v>Directional</x:v>
      </x:c>
      <x:c r="L168" s="83" t="str">
        <x:v>Scenario assumption</x:v>
      </x:c>
      <x:c r="M168" s="83" t="str">
        <x:v>S09</x:v>
      </x:c>
      <x:c r="N168" s="120" t="str">
        <x:v>https://download.terna.it/terna/Documento_Descrizione_Scenari_2024_8dce2430d44d101.pdf</x:v>
      </x:c>
      <x:c r="O168" s="83" t="n">
        <x:v>35</x:v>
      </x:c>
      <x:c r="P168" s="83" t="n">
        <x:v>33</x:v>
      </x:c>
      <x:c r="Q168" s="83" t="str">
        <x:v>Figure 12</x:v>
      </x:c>
      <x:c r="R168" s="83" t="str">
        <x:v>Direct visual transcription, converted GW→MW</x:v>
      </x:c>
      <x:c r="S168" s="83" t="str">
        <x:v>A — Direct figure</x:v>
      </x:c>
      <x:c r="T168" s="83" t="str">
        <x:v>Reference/comparison; superseded by PDS 2025 Figure 3 for 2040 Base</x:v>
      </x:c>
      <x:c r="U168" s="83" t="str">
        <x:v>Retained to identify revisions between DDS 2024 and the updated PDS 2025 network.</x:v>
      </x:c>
    </x:row>
    <x:row r="169">
      <x:c r="A169" s="83" t="str">
        <x:v>DDS-165</x:v>
      </x:c>
      <x:c r="B169" s="83" t="str">
        <x:v>DDS 2024 scenario-network benchmark</x:v>
      </x:c>
      <x:c r="C169" s="83" t="n">
        <x:v>2035</x:v>
      </x:c>
      <x:c r="D169" s="83" t="str">
        <x:v>DDS 2024 common electricity-network assumption</x:v>
      </x:c>
      <x:c r="E169" s="83" t="str">
        <x:v>SUD</x:v>
      </x:c>
      <x:c r="F169" s="83" t="str">
        <x:v>CALA</x:v>
      </x:c>
      <x:c r="G169" s="143" t="n">
        <x:v>2200</x:v>
      </x:c>
      <x:c r="H169" s="197" t="n">
        <x:f>IF(G169="","",G169/1000)</x:f>
        <x:v>2.2</x:v>
      </x:c>
      <x:c r="I169" s="143"/>
      <x:c r="J169" s="83" t="str">
        <x:v>Maximum exchange capacity</x:v>
      </x:c>
      <x:c r="K169" s="83" t="str">
        <x:v>Directional</x:v>
      </x:c>
      <x:c r="L169" s="83" t="str">
        <x:v>Scenario assumption</x:v>
      </x:c>
      <x:c r="M169" s="83" t="str">
        <x:v>S09</x:v>
      </x:c>
      <x:c r="N169" s="120" t="str">
        <x:v>https://download.terna.it/terna/Documento_Descrizione_Scenari_2024_8dce2430d44d101.pdf</x:v>
      </x:c>
      <x:c r="O169" s="83" t="n">
        <x:v>35</x:v>
      </x:c>
      <x:c r="P169" s="83" t="n">
        <x:v>33</x:v>
      </x:c>
      <x:c r="Q169" s="83" t="str">
        <x:v>Figure 12</x:v>
      </x:c>
      <x:c r="R169" s="83" t="str">
        <x:v>Direct visual transcription, converted GW→MW</x:v>
      </x:c>
      <x:c r="S169" s="83" t="str">
        <x:v>A — Direct figure</x:v>
      </x:c>
      <x:c r="T169" s="83" t="str">
        <x:v>Reference/comparison; superseded by PDS 2025 Figure 3 for 2040 Base</x:v>
      </x:c>
      <x:c r="U169" s="83" t="str">
        <x:v>Retained to identify revisions between DDS 2024 and the updated PDS 2025 network.</x:v>
      </x:c>
    </x:row>
    <x:row r="170">
      <x:c r="A170" s="83" t="str">
        <x:v>DDS-166</x:v>
      </x:c>
      <x:c r="B170" s="83" t="str">
        <x:v>DDS 2024 scenario-network benchmark</x:v>
      </x:c>
      <x:c r="C170" s="83" t="n">
        <x:v>2035</x:v>
      </x:c>
      <x:c r="D170" s="83" t="str">
        <x:v>DDS 2024 common electricity-network assumption</x:v>
      </x:c>
      <x:c r="E170" s="83" t="str">
        <x:v>CALA</x:v>
      </x:c>
      <x:c r="F170" s="83" t="str">
        <x:v>SUD</x:v>
      </x:c>
      <x:c r="G170" s="143" t="n">
        <x:v>3500</x:v>
      </x:c>
      <x:c r="H170" s="197" t="n">
        <x:f>IF(G170="","",G170/1000)</x:f>
        <x:v>3.5</x:v>
      </x:c>
      <x:c r="I170" s="143"/>
      <x:c r="J170" s="83" t="str">
        <x:v>Maximum exchange capacity</x:v>
      </x:c>
      <x:c r="K170" s="83" t="str">
        <x:v>Directional</x:v>
      </x:c>
      <x:c r="L170" s="83" t="str">
        <x:v>Scenario assumption</x:v>
      </x:c>
      <x:c r="M170" s="83" t="str">
        <x:v>S09</x:v>
      </x:c>
      <x:c r="N170" s="120" t="str">
        <x:v>https://download.terna.it/terna/Documento_Descrizione_Scenari_2024_8dce2430d44d101.pdf</x:v>
      </x:c>
      <x:c r="O170" s="83" t="n">
        <x:v>35</x:v>
      </x:c>
      <x:c r="P170" s="83" t="n">
        <x:v>33</x:v>
      </x:c>
      <x:c r="Q170" s="83" t="str">
        <x:v>Figure 12</x:v>
      </x:c>
      <x:c r="R170" s="83" t="str">
        <x:v>Direct visual transcription, converted GW→MW</x:v>
      </x:c>
      <x:c r="S170" s="83" t="str">
        <x:v>A — Direct figure</x:v>
      </x:c>
      <x:c r="T170" s="83" t="str">
        <x:v>Reference/comparison; superseded by PDS 2025 Figure 3 for 2040 Base</x:v>
      </x:c>
      <x:c r="U170" s="83" t="str">
        <x:v>Retained to identify revisions between DDS 2024 and the updated PDS 2025 network.</x:v>
      </x:c>
    </x:row>
    <x:row r="171">
      <x:c r="A171" s="83" t="str">
        <x:v>DDS-167</x:v>
      </x:c>
      <x:c r="B171" s="83" t="str">
        <x:v>DDS 2024 scenario-network benchmark</x:v>
      </x:c>
      <x:c r="C171" s="83" t="n">
        <x:v>2040</x:v>
      </x:c>
      <x:c r="D171" s="83" t="str">
        <x:v>DDS 2024 common electricity-network assumption</x:v>
      </x:c>
      <x:c r="E171" s="83" t="str">
        <x:v>SUD</x:v>
      </x:c>
      <x:c r="F171" s="83" t="str">
        <x:v>CALA</x:v>
      </x:c>
      <x:c r="G171" s="143" t="n">
        <x:v>4200</x:v>
      </x:c>
      <x:c r="H171" s="197" t="n">
        <x:f>IF(G171="","",G171/1000)</x:f>
        <x:v>4.2</x:v>
      </x:c>
      <x:c r="I171" s="143"/>
      <x:c r="J171" s="83" t="str">
        <x:v>Maximum exchange capacity</x:v>
      </x:c>
      <x:c r="K171" s="83" t="str">
        <x:v>Directional</x:v>
      </x:c>
      <x:c r="L171" s="83" t="str">
        <x:v>Scenario assumption</x:v>
      </x:c>
      <x:c r="M171" s="83" t="str">
        <x:v>S09</x:v>
      </x:c>
      <x:c r="N171" s="120" t="str">
        <x:v>https://download.terna.it/terna/Documento_Descrizione_Scenari_2024_8dce2430d44d101.pdf</x:v>
      </x:c>
      <x:c r="O171" s="83" t="n">
        <x:v>35</x:v>
      </x:c>
      <x:c r="P171" s="83" t="n">
        <x:v>33</x:v>
      </x:c>
      <x:c r="Q171" s="83" t="str">
        <x:v>Figure 12</x:v>
      </x:c>
      <x:c r="R171" s="83" t="str">
        <x:v>Direct visual transcription, converted GW→MW</x:v>
      </x:c>
      <x:c r="S171" s="83" t="str">
        <x:v>A — Direct figure</x:v>
      </x:c>
      <x:c r="T171" s="83" t="str">
        <x:v>Reference/comparison; superseded by PDS 2025 Figure 3 for 2040 Base</x:v>
      </x:c>
      <x:c r="U171" s="83" t="str">
        <x:v>Retained to identify revisions between DDS 2024 and the updated PDS 2025 network.</x:v>
      </x:c>
    </x:row>
    <x:row r="172">
      <x:c r="A172" s="83" t="str">
        <x:v>DDS-168</x:v>
      </x:c>
      <x:c r="B172" s="83" t="str">
        <x:v>DDS 2024 scenario-network benchmark</x:v>
      </x:c>
      <x:c r="C172" s="83" t="n">
        <x:v>2040</x:v>
      </x:c>
      <x:c r="D172" s="83" t="str">
        <x:v>DDS 2024 common electricity-network assumption</x:v>
      </x:c>
      <x:c r="E172" s="83" t="str">
        <x:v>CALA</x:v>
      </x:c>
      <x:c r="F172" s="83" t="str">
        <x:v>SUD</x:v>
      </x:c>
      <x:c r="G172" s="143" t="n">
        <x:v>5500</x:v>
      </x:c>
      <x:c r="H172" s="197" t="n">
        <x:f>IF(G172="","",G172/1000)</x:f>
        <x:v>5.5</x:v>
      </x:c>
      <x:c r="I172" s="143"/>
      <x:c r="J172" s="83" t="str">
        <x:v>Maximum exchange capacity</x:v>
      </x:c>
      <x:c r="K172" s="83" t="str">
        <x:v>Directional</x:v>
      </x:c>
      <x:c r="L172" s="83" t="str">
        <x:v>Scenario assumption</x:v>
      </x:c>
      <x:c r="M172" s="83" t="str">
        <x:v>S09</x:v>
      </x:c>
      <x:c r="N172" s="120" t="str">
        <x:v>https://download.terna.it/terna/Documento_Descrizione_Scenari_2024_8dce2430d44d101.pdf</x:v>
      </x:c>
      <x:c r="O172" s="83" t="n">
        <x:v>35</x:v>
      </x:c>
      <x:c r="P172" s="83" t="n">
        <x:v>33</x:v>
      </x:c>
      <x:c r="Q172" s="83" t="str">
        <x:v>Figure 12</x:v>
      </x:c>
      <x:c r="R172" s="83" t="str">
        <x:v>Direct visual transcription, converted GW→MW</x:v>
      </x:c>
      <x:c r="S172" s="83" t="str">
        <x:v>A — Direct figure</x:v>
      </x:c>
      <x:c r="T172" s="83" t="str">
        <x:v>Reference/comparison; superseded by PDS 2025 Figure 3 for 2040 Base</x:v>
      </x:c>
      <x:c r="U172" s="83" t="str">
        <x:v>Retained to identify revisions between DDS 2024 and the updated PDS 2025 network.</x:v>
      </x:c>
    </x:row>
    <x:row r="173">
      <x:c r="A173" s="83" t="str">
        <x:v>DDS-169</x:v>
      </x:c>
      <x:c r="B173" s="83" t="str">
        <x:v>DDS 2024 scenario-network benchmark</x:v>
      </x:c>
      <x:c r="C173" s="83" t="n">
        <x:v>2023</x:v>
      </x:c>
      <x:c r="D173" s="83" t="str">
        <x:v>DDS 2024 common electricity-network assumption</x:v>
      </x:c>
      <x:c r="E173" s="83" t="str">
        <x:v>CALA</x:v>
      </x:c>
      <x:c r="F173" s="83" t="str">
        <x:v>SICI</x:v>
      </x:c>
      <x:c r="G173" s="143" t="n">
        <x:v>1600</x:v>
      </x:c>
      <x:c r="H173" s="197" t="n">
        <x:f>IF(G173="","",G173/1000)</x:f>
        <x:v>1.6</x:v>
      </x:c>
      <x:c r="I173" s="143"/>
      <x:c r="J173" s="83" t="str">
        <x:v>Maximum exchange capacity</x:v>
      </x:c>
      <x:c r="K173" s="83" t="str">
        <x:v>Directional</x:v>
      </x:c>
      <x:c r="L173" s="83" t="str">
        <x:v>Scenario assumption</x:v>
      </x:c>
      <x:c r="M173" s="83" t="str">
        <x:v>S09</x:v>
      </x:c>
      <x:c r="N173" s="120" t="str">
        <x:v>https://download.terna.it/terna/Documento_Descrizione_Scenari_2024_8dce2430d44d101.pdf</x:v>
      </x:c>
      <x:c r="O173" s="83" t="n">
        <x:v>35</x:v>
      </x:c>
      <x:c r="P173" s="83" t="n">
        <x:v>33</x:v>
      </x:c>
      <x:c r="Q173" s="83" t="str">
        <x:v>Figure 12</x:v>
      </x:c>
      <x:c r="R173" s="83" t="str">
        <x:v>Direct visual transcription, converted GW→MW</x:v>
      </x:c>
      <x:c r="S173" s="83" t="str">
        <x:v>A — Direct figure</x:v>
      </x:c>
      <x:c r="T173" s="83" t="str">
        <x:v>Reference/comparison; superseded by PDS 2025 Figure 3 for 2040 Base</x:v>
      </x:c>
      <x:c r="U173" s="83" t="str">
        <x:v>Retained to identify revisions between DDS 2024 and the updated PDS 2025 network.</x:v>
      </x:c>
    </x:row>
    <x:row r="174">
      <x:c r="A174" s="83" t="str">
        <x:v>DDS-170</x:v>
      </x:c>
      <x:c r="B174" s="83" t="str">
        <x:v>DDS 2024 scenario-network benchmark</x:v>
      </x:c>
      <x:c r="C174" s="83" t="n">
        <x:v>2023</x:v>
      </x:c>
      <x:c r="D174" s="83" t="str">
        <x:v>DDS 2024 common electricity-network assumption</x:v>
      </x:c>
      <x:c r="E174" s="83" t="str">
        <x:v>SICI</x:v>
      </x:c>
      <x:c r="F174" s="83" t="str">
        <x:v>CALA</x:v>
      </x:c>
      <x:c r="G174" s="143" t="n">
        <x:v>1300</x:v>
      </x:c>
      <x:c r="H174" s="197" t="n">
        <x:f>IF(G174="","",G174/1000)</x:f>
        <x:v>1.3</x:v>
      </x:c>
      <x:c r="I174" s="143"/>
      <x:c r="J174" s="83" t="str">
        <x:v>Maximum exchange capacity</x:v>
      </x:c>
      <x:c r="K174" s="83" t="str">
        <x:v>Directional</x:v>
      </x:c>
      <x:c r="L174" s="83" t="str">
        <x:v>Scenario assumption</x:v>
      </x:c>
      <x:c r="M174" s="83" t="str">
        <x:v>S09</x:v>
      </x:c>
      <x:c r="N174" s="120" t="str">
        <x:v>https://download.terna.it/terna/Documento_Descrizione_Scenari_2024_8dce2430d44d101.pdf</x:v>
      </x:c>
      <x:c r="O174" s="83" t="n">
        <x:v>35</x:v>
      </x:c>
      <x:c r="P174" s="83" t="n">
        <x:v>33</x:v>
      </x:c>
      <x:c r="Q174" s="83" t="str">
        <x:v>Figure 12</x:v>
      </x:c>
      <x:c r="R174" s="83" t="str">
        <x:v>Direct visual transcription, converted GW→MW</x:v>
      </x:c>
      <x:c r="S174" s="83" t="str">
        <x:v>A — Direct figure</x:v>
      </x:c>
      <x:c r="T174" s="83" t="str">
        <x:v>Reference/comparison; superseded by PDS 2025 Figure 3 for 2040 Base</x:v>
      </x:c>
      <x:c r="U174" s="83" t="str">
        <x:v>Retained to identify revisions between DDS 2024 and the updated PDS 2025 network.</x:v>
      </x:c>
    </x:row>
    <x:row r="175">
      <x:c r="A175" s="83" t="str">
        <x:v>DDS-171</x:v>
      </x:c>
      <x:c r="B175" s="83" t="str">
        <x:v>DDS 2024 scenario-network benchmark</x:v>
      </x:c>
      <x:c r="C175" s="83" t="n">
        <x:v>2030</x:v>
      </x:c>
      <x:c r="D175" s="83" t="str">
        <x:v>DDS 2024 common electricity-network assumption</x:v>
      </x:c>
      <x:c r="E175" s="83" t="str">
        <x:v>CALA</x:v>
      </x:c>
      <x:c r="F175" s="83" t="str">
        <x:v>SICI</x:v>
      </x:c>
      <x:c r="G175" s="143" t="n">
        <x:v>2100</x:v>
      </x:c>
      <x:c r="H175" s="197" t="n">
        <x:f>IF(G175="","",G175/1000)</x:f>
        <x:v>2.1</x:v>
      </x:c>
      <x:c r="I175" s="143"/>
      <x:c r="J175" s="83" t="str">
        <x:v>Maximum exchange capacity</x:v>
      </x:c>
      <x:c r="K175" s="83" t="str">
        <x:v>Directional</x:v>
      </x:c>
      <x:c r="L175" s="83" t="str">
        <x:v>Scenario assumption</x:v>
      </x:c>
      <x:c r="M175" s="83" t="str">
        <x:v>S09</x:v>
      </x:c>
      <x:c r="N175" s="120" t="str">
        <x:v>https://download.terna.it/terna/Documento_Descrizione_Scenari_2024_8dce2430d44d101.pdf</x:v>
      </x:c>
      <x:c r="O175" s="83" t="n">
        <x:v>35</x:v>
      </x:c>
      <x:c r="P175" s="83" t="n">
        <x:v>33</x:v>
      </x:c>
      <x:c r="Q175" s="83" t="str">
        <x:v>Figure 12</x:v>
      </x:c>
      <x:c r="R175" s="83" t="str">
        <x:v>Direct visual transcription, converted GW→MW</x:v>
      </x:c>
      <x:c r="S175" s="83" t="str">
        <x:v>A — Direct figure</x:v>
      </x:c>
      <x:c r="T175" s="83" t="str">
        <x:v>Reference/comparison; superseded by PDS 2025 Figure 3 for 2040 Base</x:v>
      </x:c>
      <x:c r="U175" s="83" t="str">
        <x:v>Retained to identify revisions between DDS 2024 and the updated PDS 2025 network.</x:v>
      </x:c>
    </x:row>
    <x:row r="176">
      <x:c r="A176" s="83" t="str">
        <x:v>DDS-172</x:v>
      </x:c>
      <x:c r="B176" s="83" t="str">
        <x:v>DDS 2024 scenario-network benchmark</x:v>
      </x:c>
      <x:c r="C176" s="83" t="n">
        <x:v>2030</x:v>
      </x:c>
      <x:c r="D176" s="83" t="str">
        <x:v>DDS 2024 common electricity-network assumption</x:v>
      </x:c>
      <x:c r="E176" s="83" t="str">
        <x:v>SICI</x:v>
      </x:c>
      <x:c r="F176" s="83" t="str">
        <x:v>CALA</x:v>
      </x:c>
      <x:c r="G176" s="143" t="n">
        <x:v>2000</x:v>
      </x:c>
      <x:c r="H176" s="197" t="n">
        <x:f>IF(G176="","",G176/1000)</x:f>
        <x:v>2</x:v>
      </x:c>
      <x:c r="I176" s="143"/>
      <x:c r="J176" s="83" t="str">
        <x:v>Maximum exchange capacity</x:v>
      </x:c>
      <x:c r="K176" s="83" t="str">
        <x:v>Directional</x:v>
      </x:c>
      <x:c r="L176" s="83" t="str">
        <x:v>Scenario assumption</x:v>
      </x:c>
      <x:c r="M176" s="83" t="str">
        <x:v>S09</x:v>
      </x:c>
      <x:c r="N176" s="120" t="str">
        <x:v>https://download.terna.it/terna/Documento_Descrizione_Scenari_2024_8dce2430d44d101.pdf</x:v>
      </x:c>
      <x:c r="O176" s="83" t="n">
        <x:v>35</x:v>
      </x:c>
      <x:c r="P176" s="83" t="n">
        <x:v>33</x:v>
      </x:c>
      <x:c r="Q176" s="83" t="str">
        <x:v>Figure 12</x:v>
      </x:c>
      <x:c r="R176" s="83" t="str">
        <x:v>Direct visual transcription, converted GW→MW</x:v>
      </x:c>
      <x:c r="S176" s="83" t="str">
        <x:v>A — Direct figure</x:v>
      </x:c>
      <x:c r="T176" s="83" t="str">
        <x:v>Reference/comparison; superseded by PDS 2025 Figure 3 for 2040 Base</x:v>
      </x:c>
      <x:c r="U176" s="83" t="str">
        <x:v>Retained to identify revisions between DDS 2024 and the updated PDS 2025 network.</x:v>
      </x:c>
    </x:row>
    <x:row r="177">
      <x:c r="A177" s="83" t="str">
        <x:v>DDS-173</x:v>
      </x:c>
      <x:c r="B177" s="83" t="str">
        <x:v>DDS 2024 scenario-network benchmark</x:v>
      </x:c>
      <x:c r="C177" s="83" t="n">
        <x:v>2035</x:v>
      </x:c>
      <x:c r="D177" s="83" t="str">
        <x:v>DDS 2024 common electricity-network assumption</x:v>
      </x:c>
      <x:c r="E177" s="83" t="str">
        <x:v>CALA</x:v>
      </x:c>
      <x:c r="F177" s="83" t="str">
        <x:v>SICI</x:v>
      </x:c>
      <x:c r="G177" s="143" t="n">
        <x:v>2100</x:v>
      </x:c>
      <x:c r="H177" s="197" t="n">
        <x:f>IF(G177="","",G177/1000)</x:f>
        <x:v>2.1</x:v>
      </x:c>
      <x:c r="I177" s="143"/>
      <x:c r="J177" s="83" t="str">
        <x:v>Maximum exchange capacity</x:v>
      </x:c>
      <x:c r="K177" s="83" t="str">
        <x:v>Directional</x:v>
      </x:c>
      <x:c r="L177" s="83" t="str">
        <x:v>Scenario assumption</x:v>
      </x:c>
      <x:c r="M177" s="83" t="str">
        <x:v>S09</x:v>
      </x:c>
      <x:c r="N177" s="120" t="str">
        <x:v>https://download.terna.it/terna/Documento_Descrizione_Scenari_2024_8dce2430d44d101.pdf</x:v>
      </x:c>
      <x:c r="O177" s="83" t="n">
        <x:v>35</x:v>
      </x:c>
      <x:c r="P177" s="83" t="n">
        <x:v>33</x:v>
      </x:c>
      <x:c r="Q177" s="83" t="str">
        <x:v>Figure 12</x:v>
      </x:c>
      <x:c r="R177" s="83" t="str">
        <x:v>Direct visual transcription, converted GW→MW</x:v>
      </x:c>
      <x:c r="S177" s="83" t="str">
        <x:v>A — Direct figure</x:v>
      </x:c>
      <x:c r="T177" s="83" t="str">
        <x:v>Reference/comparison; superseded by PDS 2025 Figure 3 for 2040 Base</x:v>
      </x:c>
      <x:c r="U177" s="83" t="str">
        <x:v>Retained to identify revisions between DDS 2024 and the updated PDS 2025 network.</x:v>
      </x:c>
    </x:row>
    <x:row r="178">
      <x:c r="A178" s="83" t="str">
        <x:v>DDS-174</x:v>
      </x:c>
      <x:c r="B178" s="83" t="str">
        <x:v>DDS 2024 scenario-network benchmark</x:v>
      </x:c>
      <x:c r="C178" s="83" t="n">
        <x:v>2035</x:v>
      </x:c>
      <x:c r="D178" s="83" t="str">
        <x:v>DDS 2024 common electricity-network assumption</x:v>
      </x:c>
      <x:c r="E178" s="83" t="str">
        <x:v>SICI</x:v>
      </x:c>
      <x:c r="F178" s="83" t="str">
        <x:v>CALA</x:v>
      </x:c>
      <x:c r="G178" s="143" t="n">
        <x:v>2000</x:v>
      </x:c>
      <x:c r="H178" s="197" t="n">
        <x:f>IF(G178="","",G178/1000)</x:f>
        <x:v>2</x:v>
      </x:c>
      <x:c r="I178" s="143"/>
      <x:c r="J178" s="83" t="str">
        <x:v>Maximum exchange capacity</x:v>
      </x:c>
      <x:c r="K178" s="83" t="str">
        <x:v>Directional</x:v>
      </x:c>
      <x:c r="L178" s="83" t="str">
        <x:v>Scenario assumption</x:v>
      </x:c>
      <x:c r="M178" s="83" t="str">
        <x:v>S09</x:v>
      </x:c>
      <x:c r="N178" s="120" t="str">
        <x:v>https://download.terna.it/terna/Documento_Descrizione_Scenari_2024_8dce2430d44d101.pdf</x:v>
      </x:c>
      <x:c r="O178" s="83" t="n">
        <x:v>35</x:v>
      </x:c>
      <x:c r="P178" s="83" t="n">
        <x:v>33</x:v>
      </x:c>
      <x:c r="Q178" s="83" t="str">
        <x:v>Figure 12</x:v>
      </x:c>
      <x:c r="R178" s="83" t="str">
        <x:v>Direct visual transcription, converted GW→MW</x:v>
      </x:c>
      <x:c r="S178" s="83" t="str">
        <x:v>A — Direct figure</x:v>
      </x:c>
      <x:c r="T178" s="83" t="str">
        <x:v>Reference/comparison; superseded by PDS 2025 Figure 3 for 2040 Base</x:v>
      </x:c>
      <x:c r="U178" s="83" t="str">
        <x:v>Retained to identify revisions between DDS 2024 and the updated PDS 2025 network.</x:v>
      </x:c>
    </x:row>
    <x:row r="179">
      <x:c r="A179" s="83" t="str">
        <x:v>DDS-175</x:v>
      </x:c>
      <x:c r="B179" s="83" t="str">
        <x:v>DDS 2024 scenario-network benchmark</x:v>
      </x:c>
      <x:c r="C179" s="83" t="n">
        <x:v>2040</x:v>
      </x:c>
      <x:c r="D179" s="83" t="str">
        <x:v>DDS 2024 common electricity-network assumption</x:v>
      </x:c>
      <x:c r="E179" s="83" t="str">
        <x:v>CALA</x:v>
      </x:c>
      <x:c r="F179" s="83" t="str">
        <x:v>SICI</x:v>
      </x:c>
      <x:c r="G179" s="143" t="n">
        <x:v>4100</x:v>
      </x:c>
      <x:c r="H179" s="197" t="n">
        <x:f>IF(G179="","",G179/1000)</x:f>
        <x:v>4.1</x:v>
      </x:c>
      <x:c r="I179" s="143"/>
      <x:c r="J179" s="83" t="str">
        <x:v>Maximum exchange capacity</x:v>
      </x:c>
      <x:c r="K179" s="83" t="str">
        <x:v>Directional</x:v>
      </x:c>
      <x:c r="L179" s="83" t="str">
        <x:v>Scenario assumption</x:v>
      </x:c>
      <x:c r="M179" s="83" t="str">
        <x:v>S09</x:v>
      </x:c>
      <x:c r="N179" s="120" t="str">
        <x:v>https://download.terna.it/terna/Documento_Descrizione_Scenari_2024_8dce2430d44d101.pdf</x:v>
      </x:c>
      <x:c r="O179" s="83" t="n">
        <x:v>35</x:v>
      </x:c>
      <x:c r="P179" s="83" t="n">
        <x:v>33</x:v>
      </x:c>
      <x:c r="Q179" s="83" t="str">
        <x:v>Figure 12</x:v>
      </x:c>
      <x:c r="R179" s="83" t="str">
        <x:v>Direct visual transcription, converted GW→MW</x:v>
      </x:c>
      <x:c r="S179" s="83" t="str">
        <x:v>A — Direct figure</x:v>
      </x:c>
      <x:c r="T179" s="83" t="str">
        <x:v>Reference/comparison; superseded by PDS 2025 Figure 3 for 2040 Base</x:v>
      </x:c>
      <x:c r="U179" s="83" t="str">
        <x:v>Retained to identify revisions between DDS 2024 and the updated PDS 2025 network.</x:v>
      </x:c>
    </x:row>
    <x:row r="180">
      <x:c r="A180" s="83" t="str">
        <x:v>DDS-176</x:v>
      </x:c>
      <x:c r="B180" s="83" t="str">
        <x:v>DDS 2024 scenario-network benchmark</x:v>
      </x:c>
      <x:c r="C180" s="83" t="n">
        <x:v>2040</x:v>
      </x:c>
      <x:c r="D180" s="83" t="str">
        <x:v>DDS 2024 common electricity-network assumption</x:v>
      </x:c>
      <x:c r="E180" s="83" t="str">
        <x:v>SICI</x:v>
      </x:c>
      <x:c r="F180" s="83" t="str">
        <x:v>CALA</x:v>
      </x:c>
      <x:c r="G180" s="143" t="n">
        <x:v>4000</x:v>
      </x:c>
      <x:c r="H180" s="197" t="n">
        <x:f>IF(G180="","",G180/1000)</x:f>
        <x:v>4</x:v>
      </x:c>
      <x:c r="I180" s="143"/>
      <x:c r="J180" s="83" t="str">
        <x:v>Maximum exchange capacity</x:v>
      </x:c>
      <x:c r="K180" s="83" t="str">
        <x:v>Directional</x:v>
      </x:c>
      <x:c r="L180" s="83" t="str">
        <x:v>Scenario assumption</x:v>
      </x:c>
      <x:c r="M180" s="83" t="str">
        <x:v>S09</x:v>
      </x:c>
      <x:c r="N180" s="120" t="str">
        <x:v>https://download.terna.it/terna/Documento_Descrizione_Scenari_2024_8dce2430d44d101.pdf</x:v>
      </x:c>
      <x:c r="O180" s="83" t="n">
        <x:v>35</x:v>
      </x:c>
      <x:c r="P180" s="83" t="n">
        <x:v>33</x:v>
      </x:c>
      <x:c r="Q180" s="83" t="str">
        <x:v>Figure 12</x:v>
      </x:c>
      <x:c r="R180" s="83" t="str">
        <x:v>Direct visual transcription, converted GW→MW</x:v>
      </x:c>
      <x:c r="S180" s="83" t="str">
        <x:v>A — Direct figure</x:v>
      </x:c>
      <x:c r="T180" s="83" t="str">
        <x:v>Reference/comparison; superseded by PDS 2025 Figure 3 for 2040 Base</x:v>
      </x:c>
      <x:c r="U180" s="83" t="str">
        <x:v>Retained to identify revisions between DDS 2024 and the updated PDS 2025 network.</x:v>
      </x:c>
    </x:row>
    <x:row r="181">
      <x:c r="A181" s="83" t="str">
        <x:v>DDS-177</x:v>
      </x:c>
      <x:c r="B181" s="83" t="str">
        <x:v>DDS 2024 scenario-network benchmark</x:v>
      </x:c>
      <x:c r="C181" s="83" t="n">
        <x:v>2023</x:v>
      </x:c>
      <x:c r="D181" s="83" t="str">
        <x:v>DDS 2024 common electricity-network assumption</x:v>
      </x:c>
      <x:c r="E181" s="83" t="str">
        <x:v>CSUD</x:v>
      </x:c>
      <x:c r="F181" s="83" t="str">
        <x:v>SICI</x:v>
      </x:c>
      <x:c r="G181" s="143" t="n">
        <x:v>0</x:v>
      </x:c>
      <x:c r="H181" s="197" t="str">
        <x:f>IF(G181="","",G181/1000)</x:f>
      </x:c>
      <x:c r="I181" s="143"/>
      <x:c r="J181" s="83" t="str">
        <x:v>Maximum exchange capacity</x:v>
      </x:c>
      <x:c r="K181" s="83" t="str">
        <x:v>Directional</x:v>
      </x:c>
      <x:c r="L181" s="83" t="str">
        <x:v>Scenario assumption</x:v>
      </x:c>
      <x:c r="M181" s="83" t="str">
        <x:v>S09</x:v>
      </x:c>
      <x:c r="N181" s="120" t="str">
        <x:v>https://download.terna.it/terna/Documento_Descrizione_Scenari_2024_8dce2430d44d101.pdf</x:v>
      </x:c>
      <x:c r="O181" s="83" t="n">
        <x:v>35</x:v>
      </x:c>
      <x:c r="P181" s="83" t="n">
        <x:v>33</x:v>
      </x:c>
      <x:c r="Q181" s="83" t="str">
        <x:v>Figure 12</x:v>
      </x:c>
      <x:c r="R181" s="83" t="str">
        <x:v>Direct visual transcription, converted GW→MW</x:v>
      </x:c>
      <x:c r="S181" s="83" t="str">
        <x:v>A — Direct figure</x:v>
      </x:c>
      <x:c r="T181" s="83" t="str">
        <x:v>Reference/comparison; superseded by PDS 2025 Figure 3 for 2040 Base</x:v>
      </x:c>
      <x:c r="U181" s="83" t="str">
        <x:v>Retained to identify revisions between DDS 2024 and the updated PDS 2025 network.</x:v>
      </x:c>
    </x:row>
    <x:row r="182">
      <x:c r="A182" s="83" t="str">
        <x:v>DDS-178</x:v>
      </x:c>
      <x:c r="B182" s="83" t="str">
        <x:v>DDS 2024 scenario-network benchmark</x:v>
      </x:c>
      <x:c r="C182" s="83" t="n">
        <x:v>2023</x:v>
      </x:c>
      <x:c r="D182" s="83" t="str">
        <x:v>DDS 2024 common electricity-network assumption</x:v>
      </x:c>
      <x:c r="E182" s="83" t="str">
        <x:v>SICI</x:v>
      </x:c>
      <x:c r="F182" s="83" t="str">
        <x:v>CSUD</x:v>
      </x:c>
      <x:c r="G182" s="143" t="n">
        <x:v>0</x:v>
      </x:c>
      <x:c r="H182" s="197" t="str">
        <x:f>IF(G182="","",G182/1000)</x:f>
      </x:c>
      <x:c r="I182" s="143"/>
      <x:c r="J182" s="83" t="str">
        <x:v>Maximum exchange capacity</x:v>
      </x:c>
      <x:c r="K182" s="83" t="str">
        <x:v>Directional</x:v>
      </x:c>
      <x:c r="L182" s="83" t="str">
        <x:v>Scenario assumption</x:v>
      </x:c>
      <x:c r="M182" s="83" t="str">
        <x:v>S09</x:v>
      </x:c>
      <x:c r="N182" s="120" t="str">
        <x:v>https://download.terna.it/terna/Documento_Descrizione_Scenari_2024_8dce2430d44d101.pdf</x:v>
      </x:c>
      <x:c r="O182" s="83" t="n">
        <x:v>35</x:v>
      </x:c>
      <x:c r="P182" s="83" t="n">
        <x:v>33</x:v>
      </x:c>
      <x:c r="Q182" s="83" t="str">
        <x:v>Figure 12</x:v>
      </x:c>
      <x:c r="R182" s="83" t="str">
        <x:v>Direct visual transcription, converted GW→MW</x:v>
      </x:c>
      <x:c r="S182" s="83" t="str">
        <x:v>A — Direct figure</x:v>
      </x:c>
      <x:c r="T182" s="83" t="str">
        <x:v>Reference/comparison; superseded by PDS 2025 Figure 3 for 2040 Base</x:v>
      </x:c>
      <x:c r="U182" s="83" t="str">
        <x:v>Retained to identify revisions between DDS 2024 and the updated PDS 2025 network.</x:v>
      </x:c>
    </x:row>
    <x:row r="183">
      <x:c r="A183" s="83" t="str">
        <x:v>DDS-179</x:v>
      </x:c>
      <x:c r="B183" s="83" t="str">
        <x:v>DDS 2024 scenario-network benchmark</x:v>
      </x:c>
      <x:c r="C183" s="83" t="n">
        <x:v>2030</x:v>
      </x:c>
      <x:c r="D183" s="83" t="str">
        <x:v>DDS 2024 common electricity-network assumption</x:v>
      </x:c>
      <x:c r="E183" s="83" t="str">
        <x:v>CSUD</x:v>
      </x:c>
      <x:c r="F183" s="83" t="str">
        <x:v>SICI</x:v>
      </x:c>
      <x:c r="G183" s="143" t="n">
        <x:v>1000</x:v>
      </x:c>
      <x:c r="H183" s="197" t="n">
        <x:f>IF(G183="","",G183/1000)</x:f>
        <x:v>1</x:v>
      </x:c>
      <x:c r="I183" s="143"/>
      <x:c r="J183" s="83" t="str">
        <x:v>Maximum exchange capacity</x:v>
      </x:c>
      <x:c r="K183" s="83" t="str">
        <x:v>Directional</x:v>
      </x:c>
      <x:c r="L183" s="83" t="str">
        <x:v>Scenario assumption</x:v>
      </x:c>
      <x:c r="M183" s="83" t="str">
        <x:v>S09</x:v>
      </x:c>
      <x:c r="N183" s="120" t="str">
        <x:v>https://download.terna.it/terna/Documento_Descrizione_Scenari_2024_8dce2430d44d101.pdf</x:v>
      </x:c>
      <x:c r="O183" s="83" t="n">
        <x:v>35</x:v>
      </x:c>
      <x:c r="P183" s="83" t="n">
        <x:v>33</x:v>
      </x:c>
      <x:c r="Q183" s="83" t="str">
        <x:v>Figure 12</x:v>
      </x:c>
      <x:c r="R183" s="83" t="str">
        <x:v>Direct visual transcription, converted GW→MW</x:v>
      </x:c>
      <x:c r="S183" s="83" t="str">
        <x:v>A — Direct figure</x:v>
      </x:c>
      <x:c r="T183" s="83" t="str">
        <x:v>Reference/comparison; superseded by PDS 2025 Figure 3 for 2040 Base</x:v>
      </x:c>
      <x:c r="U183" s="83" t="str">
        <x:v>Retained to identify revisions between DDS 2024 and the updated PDS 2025 network.</x:v>
      </x:c>
    </x:row>
    <x:row r="184">
      <x:c r="A184" s="83" t="str">
        <x:v>DDS-180</x:v>
      </x:c>
      <x:c r="B184" s="83" t="str">
        <x:v>DDS 2024 scenario-network benchmark</x:v>
      </x:c>
      <x:c r="C184" s="83" t="n">
        <x:v>2030</x:v>
      </x:c>
      <x:c r="D184" s="83" t="str">
        <x:v>DDS 2024 common electricity-network assumption</x:v>
      </x:c>
      <x:c r="E184" s="83" t="str">
        <x:v>SICI</x:v>
      </x:c>
      <x:c r="F184" s="83" t="str">
        <x:v>CSUD</x:v>
      </x:c>
      <x:c r="G184" s="143" t="n">
        <x:v>1000</x:v>
      </x:c>
      <x:c r="H184" s="197" t="n">
        <x:f>IF(G184="","",G184/1000)</x:f>
        <x:v>1</x:v>
      </x:c>
      <x:c r="I184" s="143"/>
      <x:c r="J184" s="83" t="str">
        <x:v>Maximum exchange capacity</x:v>
      </x:c>
      <x:c r="K184" s="83" t="str">
        <x:v>Directional</x:v>
      </x:c>
      <x:c r="L184" s="83" t="str">
        <x:v>Scenario assumption</x:v>
      </x:c>
      <x:c r="M184" s="83" t="str">
        <x:v>S09</x:v>
      </x:c>
      <x:c r="N184" s="120" t="str">
        <x:v>https://download.terna.it/terna/Documento_Descrizione_Scenari_2024_8dce2430d44d101.pdf</x:v>
      </x:c>
      <x:c r="O184" s="83" t="n">
        <x:v>35</x:v>
      </x:c>
      <x:c r="P184" s="83" t="n">
        <x:v>33</x:v>
      </x:c>
      <x:c r="Q184" s="83" t="str">
        <x:v>Figure 12</x:v>
      </x:c>
      <x:c r="R184" s="83" t="str">
        <x:v>Direct visual transcription, converted GW→MW</x:v>
      </x:c>
      <x:c r="S184" s="83" t="str">
        <x:v>A — Direct figure</x:v>
      </x:c>
      <x:c r="T184" s="83" t="str">
        <x:v>Reference/comparison; superseded by PDS 2025 Figure 3 for 2040 Base</x:v>
      </x:c>
      <x:c r="U184" s="83" t="str">
        <x:v>Retained to identify revisions between DDS 2024 and the updated PDS 2025 network.</x:v>
      </x:c>
    </x:row>
    <x:row r="185">
      <x:c r="A185" s="83" t="str">
        <x:v>DDS-181</x:v>
      </x:c>
      <x:c r="B185" s="83" t="str">
        <x:v>DDS 2024 scenario-network benchmark</x:v>
      </x:c>
      <x:c r="C185" s="83" t="n">
        <x:v>2035</x:v>
      </x:c>
      <x:c r="D185" s="83" t="str">
        <x:v>DDS 2024 common electricity-network assumption</x:v>
      </x:c>
      <x:c r="E185" s="83" t="str">
        <x:v>CSUD</x:v>
      </x:c>
      <x:c r="F185" s="83" t="str">
        <x:v>SICI</x:v>
      </x:c>
      <x:c r="G185" s="143" t="n">
        <x:v>1000</x:v>
      </x:c>
      <x:c r="H185" s="197" t="n">
        <x:f>IF(G185="","",G185/1000)</x:f>
        <x:v>1</x:v>
      </x:c>
      <x:c r="I185" s="143"/>
      <x:c r="J185" s="83" t="str">
        <x:v>Maximum exchange capacity</x:v>
      </x:c>
      <x:c r="K185" s="83" t="str">
        <x:v>Directional</x:v>
      </x:c>
      <x:c r="L185" s="83" t="str">
        <x:v>Scenario assumption</x:v>
      </x:c>
      <x:c r="M185" s="83" t="str">
        <x:v>S09</x:v>
      </x:c>
      <x:c r="N185" s="120" t="str">
        <x:v>https://download.terna.it/terna/Documento_Descrizione_Scenari_2024_8dce2430d44d101.pdf</x:v>
      </x:c>
      <x:c r="O185" s="83" t="n">
        <x:v>35</x:v>
      </x:c>
      <x:c r="P185" s="83" t="n">
        <x:v>33</x:v>
      </x:c>
      <x:c r="Q185" s="83" t="str">
        <x:v>Figure 12</x:v>
      </x:c>
      <x:c r="R185" s="83" t="str">
        <x:v>Direct visual transcription, converted GW→MW</x:v>
      </x:c>
      <x:c r="S185" s="83" t="str">
        <x:v>A — Direct figure</x:v>
      </x:c>
      <x:c r="T185" s="83" t="str">
        <x:v>Reference/comparison; superseded by PDS 2025 Figure 3 for 2040 Base</x:v>
      </x:c>
      <x:c r="U185" s="83" t="str">
        <x:v>Retained to identify revisions between DDS 2024 and the updated PDS 2025 network.</x:v>
      </x:c>
    </x:row>
    <x:row r="186">
      <x:c r="A186" s="83" t="str">
        <x:v>DDS-182</x:v>
      </x:c>
      <x:c r="B186" s="83" t="str">
        <x:v>DDS 2024 scenario-network benchmark</x:v>
      </x:c>
      <x:c r="C186" s="83" t="n">
        <x:v>2035</x:v>
      </x:c>
      <x:c r="D186" s="83" t="str">
        <x:v>DDS 2024 common electricity-network assumption</x:v>
      </x:c>
      <x:c r="E186" s="83" t="str">
        <x:v>SICI</x:v>
      </x:c>
      <x:c r="F186" s="83" t="str">
        <x:v>CSUD</x:v>
      </x:c>
      <x:c r="G186" s="143" t="n">
        <x:v>1000</x:v>
      </x:c>
      <x:c r="H186" s="197" t="n">
        <x:f>IF(G186="","",G186/1000)</x:f>
        <x:v>1</x:v>
      </x:c>
      <x:c r="I186" s="143"/>
      <x:c r="J186" s="83" t="str">
        <x:v>Maximum exchange capacity</x:v>
      </x:c>
      <x:c r="K186" s="83" t="str">
        <x:v>Directional</x:v>
      </x:c>
      <x:c r="L186" s="83" t="str">
        <x:v>Scenario assumption</x:v>
      </x:c>
      <x:c r="M186" s="83" t="str">
        <x:v>S09</x:v>
      </x:c>
      <x:c r="N186" s="120" t="str">
        <x:v>https://download.terna.it/terna/Documento_Descrizione_Scenari_2024_8dce2430d44d101.pdf</x:v>
      </x:c>
      <x:c r="O186" s="83" t="n">
        <x:v>35</x:v>
      </x:c>
      <x:c r="P186" s="83" t="n">
        <x:v>33</x:v>
      </x:c>
      <x:c r="Q186" s="83" t="str">
        <x:v>Figure 12</x:v>
      </x:c>
      <x:c r="R186" s="83" t="str">
        <x:v>Direct visual transcription, converted GW→MW</x:v>
      </x:c>
      <x:c r="S186" s="83" t="str">
        <x:v>A — Direct figure</x:v>
      </x:c>
      <x:c r="T186" s="83" t="str">
        <x:v>Reference/comparison; superseded by PDS 2025 Figure 3 for 2040 Base</x:v>
      </x:c>
      <x:c r="U186" s="83" t="str">
        <x:v>Retained to identify revisions between DDS 2024 and the updated PDS 2025 network.</x:v>
      </x:c>
    </x:row>
    <x:row r="187">
      <x:c r="A187" s="83" t="str">
        <x:v>DDS-183</x:v>
      </x:c>
      <x:c r="B187" s="83" t="str">
        <x:v>DDS 2024 scenario-network benchmark</x:v>
      </x:c>
      <x:c r="C187" s="83" t="n">
        <x:v>2040</x:v>
      </x:c>
      <x:c r="D187" s="83" t="str">
        <x:v>DDS 2024 common electricity-network assumption</x:v>
      </x:c>
      <x:c r="E187" s="83" t="str">
        <x:v>CSUD</x:v>
      </x:c>
      <x:c r="F187" s="83" t="str">
        <x:v>SICI</x:v>
      </x:c>
      <x:c r="G187" s="143" t="n">
        <x:v>1000</x:v>
      </x:c>
      <x:c r="H187" s="197" t="n">
        <x:f>IF(G187="","",G187/1000)</x:f>
        <x:v>1</x:v>
      </x:c>
      <x:c r="I187" s="143"/>
      <x:c r="J187" s="83" t="str">
        <x:v>Maximum exchange capacity</x:v>
      </x:c>
      <x:c r="K187" s="83" t="str">
        <x:v>Directional</x:v>
      </x:c>
      <x:c r="L187" s="83" t="str">
        <x:v>Scenario assumption</x:v>
      </x:c>
      <x:c r="M187" s="83" t="str">
        <x:v>S09</x:v>
      </x:c>
      <x:c r="N187" s="120" t="str">
        <x:v>https://download.terna.it/terna/Documento_Descrizione_Scenari_2024_8dce2430d44d101.pdf</x:v>
      </x:c>
      <x:c r="O187" s="83" t="n">
        <x:v>35</x:v>
      </x:c>
      <x:c r="P187" s="83" t="n">
        <x:v>33</x:v>
      </x:c>
      <x:c r="Q187" s="83" t="str">
        <x:v>Figure 12</x:v>
      </x:c>
      <x:c r="R187" s="83" t="str">
        <x:v>Direct visual transcription, converted GW→MW</x:v>
      </x:c>
      <x:c r="S187" s="83" t="str">
        <x:v>A — Direct figure</x:v>
      </x:c>
      <x:c r="T187" s="83" t="str">
        <x:v>Reference/comparison; superseded by PDS 2025 Figure 3 for 2040 Base</x:v>
      </x:c>
      <x:c r="U187" s="83" t="str">
        <x:v>Retained to identify revisions between DDS 2024 and the updated PDS 2025 network.</x:v>
      </x:c>
    </x:row>
    <x:row r="188">
      <x:c r="A188" s="83" t="str">
        <x:v>DDS-184</x:v>
      </x:c>
      <x:c r="B188" s="83" t="str">
        <x:v>DDS 2024 scenario-network benchmark</x:v>
      </x:c>
      <x:c r="C188" s="83" t="n">
        <x:v>2040</x:v>
      </x:c>
      <x:c r="D188" s="83" t="str">
        <x:v>DDS 2024 common electricity-network assumption</x:v>
      </x:c>
      <x:c r="E188" s="83" t="str">
        <x:v>SICI</x:v>
      </x:c>
      <x:c r="F188" s="83" t="str">
        <x:v>CSUD</x:v>
      </x:c>
      <x:c r="G188" s="143" t="n">
        <x:v>1000</x:v>
      </x:c>
      <x:c r="H188" s="197" t="n">
        <x:f>IF(G188="","",G188/1000)</x:f>
        <x:v>1</x:v>
      </x:c>
      <x:c r="I188" s="143"/>
      <x:c r="J188" s="83" t="str">
        <x:v>Maximum exchange capacity</x:v>
      </x:c>
      <x:c r="K188" s="83" t="str">
        <x:v>Directional</x:v>
      </x:c>
      <x:c r="L188" s="83" t="str">
        <x:v>Scenario assumption</x:v>
      </x:c>
      <x:c r="M188" s="83" t="str">
        <x:v>S09</x:v>
      </x:c>
      <x:c r="N188" s="120" t="str">
        <x:v>https://download.terna.it/terna/Documento_Descrizione_Scenari_2024_8dce2430d44d101.pdf</x:v>
      </x:c>
      <x:c r="O188" s="83" t="n">
        <x:v>35</x:v>
      </x:c>
      <x:c r="P188" s="83" t="n">
        <x:v>33</x:v>
      </x:c>
      <x:c r="Q188" s="83" t="str">
        <x:v>Figure 12</x:v>
      </x:c>
      <x:c r="R188" s="83" t="str">
        <x:v>Direct visual transcription, converted GW→MW</x:v>
      </x:c>
      <x:c r="S188" s="83" t="str">
        <x:v>A — Direct figure</x:v>
      </x:c>
      <x:c r="T188" s="83" t="str">
        <x:v>Reference/comparison; superseded by PDS 2025 Figure 3 for 2040 Base</x:v>
      </x:c>
      <x:c r="U188" s="83" t="str">
        <x:v>Retained to identify revisions between DDS 2024 and the updated PDS 2025 network.</x:v>
      </x:c>
    </x:row>
  </x:sheetData>
  <x:mergeCells>
    <x:mergeCell ref="A1:U1"/>
    <x:mergeCell ref="A2:U2"/>
  </x:mergeCells>
  <x:conditionalFormatting sqref="B5:B188">
    <x:cfRule type="expression" dxfId="47" priority="1">
      <x:formula>LEFT(B5,3)="PDS"</x:formula>
    </x:cfRule>
    <x:cfRule type="expression" dxfId="48" priority="2">
      <x:formula>LEFT(B5,3)="DDS"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7cc59d5a984e71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28" hidden="0" customWidth="1"/>
    <x:col min="11" max="11" width="12" hidden="0" customWidth="1"/>
    <x:col min="12" max="12" width="52" hidden="0" customWidth="1"/>
    <x:col min="13" max="13" width="12" hidden="0" customWidth="1"/>
    <x:col min="14" max="14" width="16" hidden="0" customWidth="1"/>
    <x:col min="15" max="15" width="18" hidden="0" customWidth="1"/>
    <x:col min="16" max="16" width="26" hidden="0" customWidth="1"/>
    <x:col min="17" max="17" width="48" hidden="0" customWidth="1"/>
    <x:col min="18" max="18" width="60" hidden="0" customWidth="1"/>
  </x:cols>
  <x:sheetData>
    <x:row r="1" ht="34" customHeight="1">
      <x:c r="A1" s="232" t="str">
        <x:v>Limiti di transito correnti 2024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</x:row>
    <x:row r="2" ht="30" customHeight="1">
      <x:c r="A2" s="236" t="str">
        <x:v>40 record invernali/estivi; intervalli condizionali conservati senza semplificazione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</x:row>
    <x:row r="4" ht="42" customHeight="1">
      <x:c r="A4" s="240" t="str">
        <x:v>Record ID</x:v>
      </x:c>
      <x:c r="B4" s="240" t="str">
        <x:v>Anno</x:v>
      </x:c>
      <x:c r="C4" s="240" t="str">
        <x:v>Stagione</x:v>
      </x:c>
      <x:c r="D4" s="240" t="str">
        <x:v>Da zona</x:v>
      </x:c>
      <x:c r="E4" s="240" t="str">
        <x:v>A zona</x:v>
      </x:c>
      <x:c r="F4" s="240" t="str">
        <x:v>Limite min MW</x:v>
      </x:c>
      <x:c r="G4" s="240" t="str">
        <x:v>Limite max MW</x:v>
      </x:c>
      <x:c r="H4" s="240" t="str">
        <x:v>Massimo MW</x:v>
      </x:c>
      <x:c r="I4" s="240" t="str">
        <x:v>Ampiezza intervallo MW</x:v>
      </x:c>
      <x:c r="J4" s="240" t="str">
        <x:v>Status</x:v>
      </x:c>
      <x:c r="K4" s="240" t="str">
        <x:v>Fonte</x:v>
      </x:c>
      <x:c r="L4" s="240" t="str">
        <x:v>URL fonte</x:v>
      </x:c>
      <x:c r="M4" s="240" t="str">
        <x:v>Pagina PDF</x:v>
      </x:c>
      <x:c r="N4" s="240" t="str">
        <x:v>Pagina stampata</x:v>
      </x:c>
      <x:c r="O4" s="240" t="str">
        <x:v>Figura</x:v>
      </x:c>
      <x:c r="P4" s="240" t="str">
        <x:v>Affidabilità</x:v>
      </x:c>
      <x:c r="Q4" s="240" t="str">
        <x:v>Uso modello</x:v>
      </x:c>
      <x:c r="R4" s="240" t="str">
        <x:v>Note</x:v>
      </x:c>
    </x:row>
    <x:row r="5">
      <x:c r="A5" s="83" t="str">
        <x:v>CUR-001</x:v>
      </x:c>
      <x:c r="B5" s="83" t="n">
        <x:v>2024</x:v>
      </x:c>
      <x:c r="C5" s="83" t="str">
        <x:v>Winter</x:v>
      </x:c>
      <x:c r="D5" s="83" t="str">
        <x:v>NORD</x:v>
      </x:c>
      <x:c r="E5" s="83" t="str">
        <x:v>CNOR</x:v>
      </x:c>
      <x:c r="F5" s="241" t="n">
        <x:v>3400</x:v>
      </x:c>
      <x:c r="G5" s="241" t="n">
        <x:v>4300</x:v>
      </x:c>
      <x:c r="H5" s="241" t="n">
        <x:v>4300</x:v>
      </x:c>
      <x:c r="I5" s="241" t="n">
        <x:f>G5-F5</x:f>
        <x:v>900</x:v>
      </x:c>
      <x:c r="J5" s="83" t="str">
        <x:v>Current market transit limit</x:v>
      </x:c>
      <x:c r="K5" s="83" t="str">
        <x:v>S01</x:v>
      </x:c>
      <x:c r="L5" s="120" t="str">
        <x:v>https://download.terna.it/terna/Terna_Piano_Sviluppo_2025_Stato_sistema_elettrico_scenari_energetici_8dd62ec4bbb9f75.pdf</x:v>
      </x:c>
      <x:c r="M5" s="83" t="n">
        <x:v>40</x:v>
      </x:c>
      <x:c r="N5" s="83" t="n">
        <x:v>38</x:v>
      </x:c>
      <x:c r="O5" s="83" t="str">
        <x:v>Figure 23</x:v>
      </x:c>
      <x:c r="P5" s="83" t="str">
        <x:v>A — Direct visual extraction</x:v>
      </x:c>
      <x:c r="Q5" s="83" t="str">
        <x:v>Historical/current-network QA; not the future 2040 input</x:v>
      </x:c>
      <x:c r="R5" s="83" t="str">
        <x:v>Range reflects residual-demand/time conditions where two values are shown.</x:v>
      </x:c>
    </x:row>
    <x:row r="6">
      <x:c r="A6" s="83" t="str">
        <x:v>CUR-002</x:v>
      </x:c>
      <x:c r="B6" s="83" t="n">
        <x:v>2024</x:v>
      </x:c>
      <x:c r="C6" s="83" t="str">
        <x:v>Winter</x:v>
      </x:c>
      <x:c r="D6" s="83" t="str">
        <x:v>CNOR</x:v>
      </x:c>
      <x:c r="E6" s="83" t="str">
        <x:v>NORD</x:v>
      </x:c>
      <x:c r="F6" s="241" t="n">
        <x:v>1900</x:v>
      </x:c>
      <x:c r="G6" s="241" t="n">
        <x:v>3100</x:v>
      </x:c>
      <x:c r="H6" s="241" t="n">
        <x:v>3100</x:v>
      </x:c>
      <x:c r="I6" s="241" t="n">
        <x:f>G6-F6</x:f>
        <x:v>1200</x:v>
      </x:c>
      <x:c r="J6" s="83" t="str">
        <x:v>Current market transit limit</x:v>
      </x:c>
      <x:c r="K6" s="83" t="str">
        <x:v>S01</x:v>
      </x:c>
      <x:c r="L6" s="120" t="str">
        <x:v>https://download.terna.it/terna/Terna_Piano_Sviluppo_2025_Stato_sistema_elettrico_scenari_energetici_8dd62ec4bbb9f75.pdf</x:v>
      </x:c>
      <x:c r="M6" s="83" t="n">
        <x:v>40</x:v>
      </x:c>
      <x:c r="N6" s="83" t="n">
        <x:v>38</x:v>
      </x:c>
      <x:c r="O6" s="83" t="str">
        <x:v>Figure 23</x:v>
      </x:c>
      <x:c r="P6" s="83" t="str">
        <x:v>A — Direct visual extraction</x:v>
      </x:c>
      <x:c r="Q6" s="83" t="str">
        <x:v>Historical/current-network QA; not the future 2040 input</x:v>
      </x:c>
      <x:c r="R6" s="83" t="str">
        <x:v>Range reflects residual-demand/time conditions where two values are shown.</x:v>
      </x:c>
    </x:row>
    <x:row r="7">
      <x:c r="A7" s="83" t="str">
        <x:v>CUR-003</x:v>
      </x:c>
      <x:c r="B7" s="83" t="n">
        <x:v>2024</x:v>
      </x:c>
      <x:c r="C7" s="83" t="str">
        <x:v>Winter</x:v>
      </x:c>
      <x:c r="D7" s="83" t="str">
        <x:v>CNOR</x:v>
      </x:c>
      <x:c r="E7" s="83" t="str">
        <x:v>CSUD</x:v>
      </x:c>
      <x:c r="F7" s="241" t="n">
        <x:v>1800</x:v>
      </x:c>
      <x:c r="G7" s="241" t="n">
        <x:v>2900</x:v>
      </x:c>
      <x:c r="H7" s="241" t="n">
        <x:v>2900</x:v>
      </x:c>
      <x:c r="I7" s="241" t="n">
        <x:f>G7-F7</x:f>
        <x:v>1100</x:v>
      </x:c>
      <x:c r="J7" s="83" t="str">
        <x:v>Current market transit limit</x:v>
      </x:c>
      <x:c r="K7" s="83" t="str">
        <x:v>S01</x:v>
      </x:c>
      <x:c r="L7" s="120" t="str">
        <x:v>https://download.terna.it/terna/Terna_Piano_Sviluppo_2025_Stato_sistema_elettrico_scenari_energetici_8dd62ec4bbb9f75.pdf</x:v>
      </x:c>
      <x:c r="M7" s="83" t="n">
        <x:v>40</x:v>
      </x:c>
      <x:c r="N7" s="83" t="n">
        <x:v>38</x:v>
      </x:c>
      <x:c r="O7" s="83" t="str">
        <x:v>Figure 23</x:v>
      </x:c>
      <x:c r="P7" s="83" t="str">
        <x:v>A — Direct visual extraction</x:v>
      </x:c>
      <x:c r="Q7" s="83" t="str">
        <x:v>Historical/current-network QA; not the future 2040 input</x:v>
      </x:c>
      <x:c r="R7" s="83" t="str">
        <x:v>Range reflects residual-demand/time conditions where two values are shown.</x:v>
      </x:c>
    </x:row>
    <x:row r="8">
      <x:c r="A8" s="83" t="str">
        <x:v>CUR-004</x:v>
      </x:c>
      <x:c r="B8" s="83" t="n">
        <x:v>2024</x:v>
      </x:c>
      <x:c r="C8" s="83" t="str">
        <x:v>Winter</x:v>
      </x:c>
      <x:c r="D8" s="83" t="str">
        <x:v>CSUD</x:v>
      </x:c>
      <x:c r="E8" s="83" t="str">
        <x:v>CNOR</x:v>
      </x:c>
      <x:c r="F8" s="241" t="n">
        <x:v>2800</x:v>
      </x:c>
      <x:c r="G8" s="241" t="n">
        <x:v>2800</x:v>
      </x:c>
      <x:c r="H8" s="241" t="n">
        <x:v>2800</x:v>
      </x:c>
      <x:c r="I8" s="241" t="n">
        <x:f>G8-F8</x:f>
        <x:v>0</x:v>
      </x:c>
      <x:c r="J8" s="83" t="str">
        <x:v>Current market transit limit</x:v>
      </x:c>
      <x:c r="K8" s="83" t="str">
        <x:v>S01</x:v>
      </x:c>
      <x:c r="L8" s="120" t="str">
        <x:v>https://download.terna.it/terna/Terna_Piano_Sviluppo_2025_Stato_sistema_elettrico_scenari_energetici_8dd62ec4bbb9f75.pdf</x:v>
      </x:c>
      <x:c r="M8" s="83" t="n">
        <x:v>40</x:v>
      </x:c>
      <x:c r="N8" s="83" t="n">
        <x:v>38</x:v>
      </x:c>
      <x:c r="O8" s="83" t="str">
        <x:v>Figure 23</x:v>
      </x:c>
      <x:c r="P8" s="83" t="str">
        <x:v>A — Direct visual extraction</x:v>
      </x:c>
      <x:c r="Q8" s="83" t="str">
        <x:v>Historical/current-network QA; not the future 2040 input</x:v>
      </x:c>
      <x:c r="R8" s="83" t="str"/>
    </x:row>
    <x:row r="9">
      <x:c r="A9" s="83" t="str">
        <x:v>CUR-005</x:v>
      </x:c>
      <x:c r="B9" s="83" t="n">
        <x:v>2024</x:v>
      </x:c>
      <x:c r="C9" s="83" t="str">
        <x:v>Winter</x:v>
      </x:c>
      <x:c r="D9" s="83" t="str">
        <x:v>CSUD</x:v>
      </x:c>
      <x:c r="E9" s="83" t="str">
        <x:v>SUD</x:v>
      </x:c>
      <x:c r="F9" s="241" t="n">
        <x:v>2400</x:v>
      </x:c>
      <x:c r="G9" s="241" t="n">
        <x:v>2400</x:v>
      </x:c>
      <x:c r="H9" s="241" t="n">
        <x:v>2400</x:v>
      </x:c>
      <x:c r="I9" s="241" t="n">
        <x:f>G9-F9</x:f>
        <x:v>0</x:v>
      </x:c>
      <x:c r="J9" s="83" t="str">
        <x:v>Current market transit limit</x:v>
      </x:c>
      <x:c r="K9" s="83" t="str">
        <x:v>S01</x:v>
      </x:c>
      <x:c r="L9" s="120" t="str">
        <x:v>https://download.terna.it/terna/Terna_Piano_Sviluppo_2025_Stato_sistema_elettrico_scenari_energetici_8dd62ec4bbb9f75.pdf</x:v>
      </x:c>
      <x:c r="M9" s="83" t="n">
        <x:v>40</x:v>
      </x:c>
      <x:c r="N9" s="83" t="n">
        <x:v>38</x:v>
      </x:c>
      <x:c r="O9" s="83" t="str">
        <x:v>Figure 23</x:v>
      </x:c>
      <x:c r="P9" s="83" t="str">
        <x:v>A — Direct visual extraction</x:v>
      </x:c>
      <x:c r="Q9" s="83" t="str">
        <x:v>Historical/current-network QA; not the future 2040 input</x:v>
      </x:c>
      <x:c r="R9" s="83" t="str"/>
    </x:row>
    <x:row r="10">
      <x:c r="A10" s="83" t="str">
        <x:v>CUR-006</x:v>
      </x:c>
      <x:c r="B10" s="83" t="n">
        <x:v>2024</x:v>
      </x:c>
      <x:c r="C10" s="83" t="str">
        <x:v>Winter</x:v>
      </x:c>
      <x:c r="D10" s="83" t="str">
        <x:v>SUD</x:v>
      </x:c>
      <x:c r="E10" s="83" t="str">
        <x:v>CSUD</x:v>
      </x:c>
      <x:c r="F10" s="241" t="n">
        <x:v>5100</x:v>
      </x:c>
      <x:c r="G10" s="241" t="n">
        <x:v>5200</x:v>
      </x:c>
      <x:c r="H10" s="241" t="n">
        <x:v>5200</x:v>
      </x:c>
      <x:c r="I10" s="241" t="n">
        <x:f>G10-F10</x:f>
        <x:v>100</x:v>
      </x:c>
      <x:c r="J10" s="83" t="str">
        <x:v>Current market transit limit</x:v>
      </x:c>
      <x:c r="K10" s="83" t="str">
        <x:v>S01</x:v>
      </x:c>
      <x:c r="L10" s="120" t="str">
        <x:v>https://download.terna.it/terna/Terna_Piano_Sviluppo_2025_Stato_sistema_elettrico_scenari_energetici_8dd62ec4bbb9f75.pdf</x:v>
      </x:c>
      <x:c r="M10" s="83" t="n">
        <x:v>40</x:v>
      </x:c>
      <x:c r="N10" s="83" t="n">
        <x:v>38</x:v>
      </x:c>
      <x:c r="O10" s="83" t="str">
        <x:v>Figure 23</x:v>
      </x:c>
      <x:c r="P10" s="83" t="str">
        <x:v>A — Direct visual extraction</x:v>
      </x:c>
      <x:c r="Q10" s="83" t="str">
        <x:v>Historical/current-network QA; not the future 2040 input</x:v>
      </x:c>
      <x:c r="R10" s="83" t="str">
        <x:v>Range reflects residual-demand/time conditions where two values are shown.</x:v>
      </x:c>
    </x:row>
    <x:row r="11">
      <x:c r="A11" s="83" t="str">
        <x:v>CUR-007</x:v>
      </x:c>
      <x:c r="B11" s="83" t="n">
        <x:v>2024</x:v>
      </x:c>
      <x:c r="C11" s="83" t="str">
        <x:v>Winter</x:v>
      </x:c>
      <x:c r="D11" s="83" t="str">
        <x:v>SUD</x:v>
      </x:c>
      <x:c r="E11" s="83" t="str">
        <x:v>CALA</x:v>
      </x:c>
      <x:c r="F11" s="241" t="n">
        <x:v>1100</x:v>
      </x:c>
      <x:c r="G11" s="241" t="n">
        <x:v>1100</x:v>
      </x:c>
      <x:c r="H11" s="241" t="n">
        <x:v>1100</x:v>
      </x:c>
      <x:c r="I11" s="241" t="n">
        <x:f>G11-F11</x:f>
        <x:v>0</x:v>
      </x:c>
      <x:c r="J11" s="83" t="str">
        <x:v>Current market transit limit</x:v>
      </x:c>
      <x:c r="K11" s="83" t="str">
        <x:v>S01</x:v>
      </x:c>
      <x:c r="L11" s="120" t="str">
        <x:v>https://download.terna.it/terna/Terna_Piano_Sviluppo_2025_Stato_sistema_elettrico_scenari_energetici_8dd62ec4bbb9f75.pdf</x:v>
      </x:c>
      <x:c r="M11" s="83" t="n">
        <x:v>40</x:v>
      </x:c>
      <x:c r="N11" s="83" t="n">
        <x:v>38</x:v>
      </x:c>
      <x:c r="O11" s="83" t="str">
        <x:v>Figure 23</x:v>
      </x:c>
      <x:c r="P11" s="83" t="str">
        <x:v>A — Direct visual extraction</x:v>
      </x:c>
      <x:c r="Q11" s="83" t="str">
        <x:v>Historical/current-network QA; not the future 2040 input</x:v>
      </x:c>
      <x:c r="R11" s="83" t="str"/>
    </x:row>
    <x:row r="12">
      <x:c r="A12" s="83" t="str">
        <x:v>CUR-008</x:v>
      </x:c>
      <x:c r="B12" s="83" t="n">
        <x:v>2024</x:v>
      </x:c>
      <x:c r="C12" s="83" t="str">
        <x:v>Winter</x:v>
      </x:c>
      <x:c r="D12" s="83" t="str">
        <x:v>CALA</x:v>
      </x:c>
      <x:c r="E12" s="83" t="str">
        <x:v>SUD</x:v>
      </x:c>
      <x:c r="F12" s="241" t="n">
        <x:v>2350</x:v>
      </x:c>
      <x:c r="G12" s="241" t="n">
        <x:v>2350</x:v>
      </x:c>
      <x:c r="H12" s="241" t="n">
        <x:v>2350</x:v>
      </x:c>
      <x:c r="I12" s="241" t="n">
        <x:f>G12-F12</x:f>
        <x:v>0</x:v>
      </x:c>
      <x:c r="J12" s="83" t="str">
        <x:v>Current market transit limit</x:v>
      </x:c>
      <x:c r="K12" s="83" t="str">
        <x:v>S01</x:v>
      </x:c>
      <x:c r="L12" s="120" t="str">
        <x:v>https://download.terna.it/terna/Terna_Piano_Sviluppo_2025_Stato_sistema_elettrico_scenari_energetici_8dd62ec4bbb9f75.pdf</x:v>
      </x:c>
      <x:c r="M12" s="83" t="n">
        <x:v>40</x:v>
      </x:c>
      <x:c r="N12" s="83" t="n">
        <x:v>38</x:v>
      </x:c>
      <x:c r="O12" s="83" t="str">
        <x:v>Figure 23</x:v>
      </x:c>
      <x:c r="P12" s="83" t="str">
        <x:v>A — Direct visual extraction</x:v>
      </x:c>
      <x:c r="Q12" s="83" t="str">
        <x:v>Historical/current-network QA; not the future 2040 input</x:v>
      </x:c>
      <x:c r="R12" s="83" t="str"/>
    </x:row>
    <x:row r="13">
      <x:c r="A13" s="83" t="str">
        <x:v>CUR-009</x:v>
      </x:c>
      <x:c r="B13" s="83" t="n">
        <x:v>2024</x:v>
      </x:c>
      <x:c r="C13" s="83" t="str">
        <x:v>Winter</x:v>
      </x:c>
      <x:c r="D13" s="83" t="str">
        <x:v>CALA</x:v>
      </x:c>
      <x:c r="E13" s="83" t="str">
        <x:v>SICI</x:v>
      </x:c>
      <x:c r="F13" s="241" t="n">
        <x:v>1550</x:v>
      </x:c>
      <x:c r="G13" s="241" t="n">
        <x:v>1550</x:v>
      </x:c>
      <x:c r="H13" s="241" t="n">
        <x:v>1550</x:v>
      </x:c>
      <x:c r="I13" s="241" t="n">
        <x:f>G13-F13</x:f>
        <x:v>0</x:v>
      </x:c>
      <x:c r="J13" s="83" t="str">
        <x:v>Current market transit limit</x:v>
      </x:c>
      <x:c r="K13" s="83" t="str">
        <x:v>S01</x:v>
      </x:c>
      <x:c r="L13" s="120" t="str">
        <x:v>https://download.terna.it/terna/Terna_Piano_Sviluppo_2025_Stato_sistema_elettrico_scenari_energetici_8dd62ec4bbb9f75.pdf</x:v>
      </x:c>
      <x:c r="M13" s="83" t="n">
        <x:v>40</x:v>
      </x:c>
      <x:c r="N13" s="83" t="n">
        <x:v>38</x:v>
      </x:c>
      <x:c r="O13" s="83" t="str">
        <x:v>Figure 23</x:v>
      </x:c>
      <x:c r="P13" s="83" t="str">
        <x:v>A — Direct visual extraction</x:v>
      </x:c>
      <x:c r="Q13" s="83" t="str">
        <x:v>Historical/current-network QA; not the future 2040 input</x:v>
      </x:c>
      <x:c r="R13" s="83" t="str"/>
    </x:row>
    <x:row r="14">
      <x:c r="A14" s="83" t="str">
        <x:v>CUR-010</x:v>
      </x:c>
      <x:c r="B14" s="83" t="n">
        <x:v>2024</x:v>
      </x:c>
      <x:c r="C14" s="83" t="str">
        <x:v>Winter</x:v>
      </x:c>
      <x:c r="D14" s="83" t="str">
        <x:v>SICI</x:v>
      </x:c>
      <x:c r="E14" s="83" t="str">
        <x:v>CALA</x:v>
      </x:c>
      <x:c r="F14" s="241" t="n">
        <x:v>1300</x:v>
      </x:c>
      <x:c r="G14" s="241" t="n">
        <x:v>1300</x:v>
      </x:c>
      <x:c r="H14" s="241" t="n">
        <x:v>1300</x:v>
      </x:c>
      <x:c r="I14" s="241" t="n">
        <x:f>G14-F14</x:f>
        <x:v>0</x:v>
      </x:c>
      <x:c r="J14" s="83" t="str">
        <x:v>Current market transit limit</x:v>
      </x:c>
      <x:c r="K14" s="83" t="str">
        <x:v>S01</x:v>
      </x:c>
      <x:c r="L14" s="120" t="str">
        <x:v>https://download.terna.it/terna/Terna_Piano_Sviluppo_2025_Stato_sistema_elettrico_scenari_energetici_8dd62ec4bbb9f75.pdf</x:v>
      </x:c>
      <x:c r="M14" s="83" t="n">
        <x:v>40</x:v>
      </x:c>
      <x:c r="N14" s="83" t="n">
        <x:v>38</x:v>
      </x:c>
      <x:c r="O14" s="83" t="str">
        <x:v>Figure 23</x:v>
      </x:c>
      <x:c r="P14" s="83" t="str">
        <x:v>A — Direct visual extraction</x:v>
      </x:c>
      <x:c r="Q14" s="83" t="str">
        <x:v>Historical/current-network QA; not the future 2040 input</x:v>
      </x:c>
      <x:c r="R14" s="83" t="str"/>
    </x:row>
    <x:row r="15">
      <x:c r="A15" s="83" t="str">
        <x:v>CUR-011</x:v>
      </x:c>
      <x:c r="B15" s="83" t="n">
        <x:v>2024</x:v>
      </x:c>
      <x:c r="C15" s="83" t="str">
        <x:v>Winter</x:v>
      </x:c>
      <x:c r="D15" s="83" t="str">
        <x:v>CSUD</x:v>
      </x:c>
      <x:c r="E15" s="83" t="str">
        <x:v>SARD</x:v>
      </x:c>
      <x:c r="F15" s="241" t="n">
        <x:v>720</x:v>
      </x:c>
      <x:c r="G15" s="241" t="n">
        <x:v>720</x:v>
      </x:c>
      <x:c r="H15" s="241" t="n">
        <x:v>720</x:v>
      </x:c>
      <x:c r="I15" s="241" t="n">
        <x:f>G15-F15</x:f>
        <x:v>0</x:v>
      </x:c>
      <x:c r="J15" s="83" t="str">
        <x:v>Current market transit limit</x:v>
      </x:c>
      <x:c r="K15" s="83" t="str">
        <x:v>S01</x:v>
      </x:c>
      <x:c r="L15" s="120" t="str">
        <x:v>https://download.terna.it/terna/Terna_Piano_Sviluppo_2025_Stato_sistema_elettrico_scenari_energetici_8dd62ec4bbb9f75.pdf</x:v>
      </x:c>
      <x:c r="M15" s="83" t="n">
        <x:v>40</x:v>
      </x:c>
      <x:c r="N15" s="83" t="n">
        <x:v>38</x:v>
      </x:c>
      <x:c r="O15" s="83" t="str">
        <x:v>Figure 23</x:v>
      </x:c>
      <x:c r="P15" s="83" t="str">
        <x:v>A — Direct visual extraction</x:v>
      </x:c>
      <x:c r="Q15" s="83" t="str">
        <x:v>Historical/current-network QA; not the future 2040 input</x:v>
      </x:c>
      <x:c r="R15" s="83" t="str"/>
    </x:row>
    <x:row r="16">
      <x:c r="A16" s="83" t="str">
        <x:v>CUR-012</x:v>
      </x:c>
      <x:c r="B16" s="83" t="n">
        <x:v>2024</x:v>
      </x:c>
      <x:c r="C16" s="83" t="str">
        <x:v>Winter</x:v>
      </x:c>
      <x:c r="D16" s="83" t="str">
        <x:v>SARD</x:v>
      </x:c>
      <x:c r="E16" s="83" t="str">
        <x:v>CSUD</x:v>
      </x:c>
      <x:c r="F16" s="241" t="n">
        <x:v>870</x:v>
      </x:c>
      <x:c r="G16" s="241" t="n">
        <x:v>900</x:v>
      </x:c>
      <x:c r="H16" s="241" t="n">
        <x:v>900</x:v>
      </x:c>
      <x:c r="I16" s="241" t="n">
        <x:f>G16-F16</x:f>
        <x:v>30</x:v>
      </x:c>
      <x:c r="J16" s="83" t="str">
        <x:v>Current market transit limit</x:v>
      </x:c>
      <x:c r="K16" s="83" t="str">
        <x:v>S01</x:v>
      </x:c>
      <x:c r="L16" s="120" t="str">
        <x:v>https://download.terna.it/terna/Terna_Piano_Sviluppo_2025_Stato_sistema_elettrico_scenari_energetici_8dd62ec4bbb9f75.pdf</x:v>
      </x:c>
      <x:c r="M16" s="83" t="n">
        <x:v>40</x:v>
      </x:c>
      <x:c r="N16" s="83" t="n">
        <x:v>38</x:v>
      </x:c>
      <x:c r="O16" s="83" t="str">
        <x:v>Figure 23</x:v>
      </x:c>
      <x:c r="P16" s="83" t="str">
        <x:v>A — Direct visual extraction</x:v>
      </x:c>
      <x:c r="Q16" s="83" t="str">
        <x:v>Historical/current-network QA; not the future 2040 input</x:v>
      </x:c>
      <x:c r="R16" s="83" t="str">
        <x:v>Range reflects residual-demand/time conditions where two values are shown.</x:v>
      </x:c>
    </x:row>
    <x:row r="17">
      <x:c r="A17" s="83" t="str">
        <x:v>CUR-013</x:v>
      </x:c>
      <x:c r="B17" s="83" t="n">
        <x:v>2024</x:v>
      </x:c>
      <x:c r="C17" s="83" t="str">
        <x:v>Winter</x:v>
      </x:c>
      <x:c r="D17" s="83" t="str">
        <x:v>CNOR</x:v>
      </x:c>
      <x:c r="E17" s="83" t="str">
        <x:v>CORS</x:v>
      </x:c>
      <x:c r="F17" s="241" t="n">
        <x:v>300</x:v>
      </x:c>
      <x:c r="G17" s="241" t="n">
        <x:v>300</x:v>
      </x:c>
      <x:c r="H17" s="241" t="n">
        <x:v>300</x:v>
      </x:c>
      <x:c r="I17" s="241" t="n">
        <x:f>G17-F17</x:f>
        <x:v>0</x:v>
      </x:c>
      <x:c r="J17" s="83" t="str">
        <x:v>Current market transit limit</x:v>
      </x:c>
      <x:c r="K17" s="83" t="str">
        <x:v>S01</x:v>
      </x:c>
      <x:c r="L17" s="120" t="str">
        <x:v>https://download.terna.it/terna/Terna_Piano_Sviluppo_2025_Stato_sistema_elettrico_scenari_energetici_8dd62ec4bbb9f75.pdf</x:v>
      </x:c>
      <x:c r="M17" s="83" t="n">
        <x:v>40</x:v>
      </x:c>
      <x:c r="N17" s="83" t="n">
        <x:v>38</x:v>
      </x:c>
      <x:c r="O17" s="83" t="str">
        <x:v>Figure 23</x:v>
      </x:c>
      <x:c r="P17" s="83" t="str">
        <x:v>A — Direct visual extraction</x:v>
      </x:c>
      <x:c r="Q17" s="83" t="str">
        <x:v>Historical/current-network QA; not the future 2040 input</x:v>
      </x:c>
      <x:c r="R17" s="83" t="str"/>
    </x:row>
    <x:row r="18">
      <x:c r="A18" s="83" t="str">
        <x:v>CUR-014</x:v>
      </x:c>
      <x:c r="B18" s="83" t="n">
        <x:v>2024</x:v>
      </x:c>
      <x:c r="C18" s="83" t="str">
        <x:v>Winter</x:v>
      </x:c>
      <x:c r="D18" s="83" t="str">
        <x:v>CORS</x:v>
      </x:c>
      <x:c r="E18" s="83" t="str">
        <x:v>CNOR</x:v>
      </x:c>
      <x:c r="F18" s="241" t="n">
        <x:v>300</x:v>
      </x:c>
      <x:c r="G18" s="241" t="n">
        <x:v>300</x:v>
      </x:c>
      <x:c r="H18" s="241" t="n">
        <x:v>300</x:v>
      </x:c>
      <x:c r="I18" s="241" t="n">
        <x:f>G18-F18</x:f>
        <x:v>0</x:v>
      </x:c>
      <x:c r="J18" s="83" t="str">
        <x:v>Current market transit limit</x:v>
      </x:c>
      <x:c r="K18" s="83" t="str">
        <x:v>S01</x:v>
      </x:c>
      <x:c r="L18" s="120" t="str">
        <x:v>https://download.terna.it/terna/Terna_Piano_Sviluppo_2025_Stato_sistema_elettrico_scenari_energetici_8dd62ec4bbb9f75.pdf</x:v>
      </x:c>
      <x:c r="M18" s="83" t="n">
        <x:v>40</x:v>
      </x:c>
      <x:c r="N18" s="83" t="n">
        <x:v>38</x:v>
      </x:c>
      <x:c r="O18" s="83" t="str">
        <x:v>Figure 23</x:v>
      </x:c>
      <x:c r="P18" s="83" t="str">
        <x:v>A — Direct visual extraction</x:v>
      </x:c>
      <x:c r="Q18" s="83" t="str">
        <x:v>Historical/current-network QA; not the future 2040 input</x:v>
      </x:c>
      <x:c r="R18" s="83" t="str"/>
    </x:row>
    <x:row r="19">
      <x:c r="A19" s="83" t="str">
        <x:v>CUR-015</x:v>
      </x:c>
      <x:c r="B19" s="83" t="n">
        <x:v>2024</x:v>
      </x:c>
      <x:c r="C19" s="83" t="str">
        <x:v>Winter</x:v>
      </x:c>
      <x:c r="D19" s="83" t="str">
        <x:v>CORS</x:v>
      </x:c>
      <x:c r="E19" s="83" t="str">
        <x:v>SARD</x:v>
      </x:c>
      <x:c r="F19" s="241" t="n">
        <x:v>300</x:v>
      </x:c>
      <x:c r="G19" s="241" t="n">
        <x:v>300</x:v>
      </x:c>
      <x:c r="H19" s="241" t="n">
        <x:v>300</x:v>
      </x:c>
      <x:c r="I19" s="241" t="n">
        <x:f>G19-F19</x:f>
        <x:v>0</x:v>
      </x:c>
      <x:c r="J19" s="83" t="str">
        <x:v>Current market transit limit</x:v>
      </x:c>
      <x:c r="K19" s="83" t="str">
        <x:v>S01</x:v>
      </x:c>
      <x:c r="L19" s="120" t="str">
        <x:v>https://download.terna.it/terna/Terna_Piano_Sviluppo_2025_Stato_sistema_elettrico_scenari_energetici_8dd62ec4bbb9f75.pdf</x:v>
      </x:c>
      <x:c r="M19" s="83" t="n">
        <x:v>40</x:v>
      </x:c>
      <x:c r="N19" s="83" t="n">
        <x:v>38</x:v>
      </x:c>
      <x:c r="O19" s="83" t="str">
        <x:v>Figure 23</x:v>
      </x:c>
      <x:c r="P19" s="83" t="str">
        <x:v>A — Direct visual extraction</x:v>
      </x:c>
      <x:c r="Q19" s="83" t="str">
        <x:v>Historical/current-network QA; not the future 2040 input</x:v>
      </x:c>
      <x:c r="R19" s="83" t="str"/>
    </x:row>
    <x:row r="20">
      <x:c r="A20" s="83" t="str">
        <x:v>CUR-016</x:v>
      </x:c>
      <x:c r="B20" s="83" t="n">
        <x:v>2024</x:v>
      </x:c>
      <x:c r="C20" s="83" t="str">
        <x:v>Winter</x:v>
      </x:c>
      <x:c r="D20" s="83" t="str">
        <x:v>SARD</x:v>
      </x:c>
      <x:c r="E20" s="83" t="str">
        <x:v>CORS</x:v>
      </x:c>
      <x:c r="F20" s="241" t="n">
        <x:v>300</x:v>
      </x:c>
      <x:c r="G20" s="241" t="n">
        <x:v>300</x:v>
      </x:c>
      <x:c r="H20" s="241" t="n">
        <x:v>300</x:v>
      </x:c>
      <x:c r="I20" s="241" t="n">
        <x:f>G20-F20</x:f>
        <x:v>0</x:v>
      </x:c>
      <x:c r="J20" s="83" t="str">
        <x:v>Current market transit limit</x:v>
      </x:c>
      <x:c r="K20" s="83" t="str">
        <x:v>S01</x:v>
      </x:c>
      <x:c r="L20" s="120" t="str">
        <x:v>https://download.terna.it/terna/Terna_Piano_Sviluppo_2025_Stato_sistema_elettrico_scenari_energetici_8dd62ec4bbb9f75.pdf</x:v>
      </x:c>
      <x:c r="M20" s="83" t="n">
        <x:v>40</x:v>
      </x:c>
      <x:c r="N20" s="83" t="n">
        <x:v>38</x:v>
      </x:c>
      <x:c r="O20" s="83" t="str">
        <x:v>Figure 23</x:v>
      </x:c>
      <x:c r="P20" s="83" t="str">
        <x:v>A — Direct visual extraction</x:v>
      </x:c>
      <x:c r="Q20" s="83" t="str">
        <x:v>Historical/current-network QA; not the future 2040 input</x:v>
      </x:c>
      <x:c r="R20" s="83" t="str"/>
    </x:row>
    <x:row r="21">
      <x:c r="A21" s="83" t="str">
        <x:v>CUR-017</x:v>
      </x:c>
      <x:c r="B21" s="83" t="n">
        <x:v>2024</x:v>
      </x:c>
      <x:c r="C21" s="83" t="str">
        <x:v>Winter</x:v>
      </x:c>
      <x:c r="D21" s="83" t="str">
        <x:v>SICI</x:v>
      </x:c>
      <x:c r="E21" s="83" t="str">
        <x:v>MALT</x:v>
      </x:c>
      <x:c r="F21" s="241" t="n">
        <x:v>225</x:v>
      </x:c>
      <x:c r="G21" s="241" t="n">
        <x:v>225</x:v>
      </x:c>
      <x:c r="H21" s="241" t="n">
        <x:v>225</x:v>
      </x:c>
      <x:c r="I21" s="241" t="n">
        <x:f>G21-F21</x:f>
        <x:v>0</x:v>
      </x:c>
      <x:c r="J21" s="83" t="str">
        <x:v>Current market transit limit</x:v>
      </x:c>
      <x:c r="K21" s="83" t="str">
        <x:v>S01</x:v>
      </x:c>
      <x:c r="L21" s="120" t="str">
        <x:v>https://download.terna.it/terna/Terna_Piano_Sviluppo_2025_Stato_sistema_elettrico_scenari_energetici_8dd62ec4bbb9f75.pdf</x:v>
      </x:c>
      <x:c r="M21" s="83" t="n">
        <x:v>40</x:v>
      </x:c>
      <x:c r="N21" s="83" t="n">
        <x:v>38</x:v>
      </x:c>
      <x:c r="O21" s="83" t="str">
        <x:v>Figure 23</x:v>
      </x:c>
      <x:c r="P21" s="83" t="str">
        <x:v>A — Direct visual extraction</x:v>
      </x:c>
      <x:c r="Q21" s="83" t="str">
        <x:v>Historical/current-network QA; not the future 2040 input</x:v>
      </x:c>
      <x:c r="R21" s="83" t="str"/>
    </x:row>
    <x:row r="22">
      <x:c r="A22" s="83" t="str">
        <x:v>CUR-018</x:v>
      </x:c>
      <x:c r="B22" s="83" t="n">
        <x:v>2024</x:v>
      </x:c>
      <x:c r="C22" s="83" t="str">
        <x:v>Winter</x:v>
      </x:c>
      <x:c r="D22" s="83" t="str">
        <x:v>MALT</x:v>
      </x:c>
      <x:c r="E22" s="83" t="str">
        <x:v>SICI</x:v>
      </x:c>
      <x:c r="F22" s="241" t="n">
        <x:v>225</x:v>
      </x:c>
      <x:c r="G22" s="241" t="n">
        <x:v>225</x:v>
      </x:c>
      <x:c r="H22" s="241" t="n">
        <x:v>225</x:v>
      </x:c>
      <x:c r="I22" s="241" t="n">
        <x:f>G22-F22</x:f>
        <x:v>0</x:v>
      </x:c>
      <x:c r="J22" s="83" t="str">
        <x:v>Current market transit limit</x:v>
      </x:c>
      <x:c r="K22" s="83" t="str">
        <x:v>S01</x:v>
      </x:c>
      <x:c r="L22" s="120" t="str">
        <x:v>https://download.terna.it/terna/Terna_Piano_Sviluppo_2025_Stato_sistema_elettrico_scenari_energetici_8dd62ec4bbb9f75.pdf</x:v>
      </x:c>
      <x:c r="M22" s="83" t="n">
        <x:v>40</x:v>
      </x:c>
      <x:c r="N22" s="83" t="n">
        <x:v>38</x:v>
      </x:c>
      <x:c r="O22" s="83" t="str">
        <x:v>Figure 23</x:v>
      </x:c>
      <x:c r="P22" s="83" t="str">
        <x:v>A — Direct visual extraction</x:v>
      </x:c>
      <x:c r="Q22" s="83" t="str">
        <x:v>Historical/current-network QA; not the future 2040 input</x:v>
      </x:c>
      <x:c r="R22" s="83" t="str"/>
    </x:row>
    <x:row r="23">
      <x:c r="A23" s="83" t="str">
        <x:v>CUR-019</x:v>
      </x:c>
      <x:c r="B23" s="83" t="n">
        <x:v>2024</x:v>
      </x:c>
      <x:c r="C23" s="83" t="str">
        <x:v>Summer</x:v>
      </x:c>
      <x:c r="D23" s="83" t="str">
        <x:v>NORD</x:v>
      </x:c>
      <x:c r="E23" s="83" t="str">
        <x:v>CNOR</x:v>
      </x:c>
      <x:c r="F23" s="241" t="n">
        <x:v>3400</x:v>
      </x:c>
      <x:c r="G23" s="241" t="n">
        <x:v>4300</x:v>
      </x:c>
      <x:c r="H23" s="241" t="n">
        <x:v>4300</x:v>
      </x:c>
      <x:c r="I23" s="241" t="n">
        <x:f>G23-F23</x:f>
        <x:v>900</x:v>
      </x:c>
      <x:c r="J23" s="83" t="str">
        <x:v>Current market transit limit</x:v>
      </x:c>
      <x:c r="K23" s="83" t="str">
        <x:v>S01</x:v>
      </x:c>
      <x:c r="L23" s="120" t="str">
        <x:v>https://download.terna.it/terna/Terna_Piano_Sviluppo_2025_Stato_sistema_elettrico_scenari_energetici_8dd62ec4bbb9f75.pdf</x:v>
      </x:c>
      <x:c r="M23" s="83" t="n">
        <x:v>41</x:v>
      </x:c>
      <x:c r="N23" s="83" t="n">
        <x:v>39</x:v>
      </x:c>
      <x:c r="O23" s="83" t="str">
        <x:v>Figure 24</x:v>
      </x:c>
      <x:c r="P23" s="83" t="str">
        <x:v>A — Direct visual extraction</x:v>
      </x:c>
      <x:c r="Q23" s="83" t="str">
        <x:v>Historical/current-network QA; not the future 2040 input</x:v>
      </x:c>
      <x:c r="R23" s="83" t="str">
        <x:v>Range reflects residual-demand/time conditions where two values are shown.</x:v>
      </x:c>
    </x:row>
    <x:row r="24">
      <x:c r="A24" s="83" t="str">
        <x:v>CUR-020</x:v>
      </x:c>
      <x:c r="B24" s="83" t="n">
        <x:v>2024</x:v>
      </x:c>
      <x:c r="C24" s="83" t="str">
        <x:v>Summer</x:v>
      </x:c>
      <x:c r="D24" s="83" t="str">
        <x:v>CNOR</x:v>
      </x:c>
      <x:c r="E24" s="83" t="str">
        <x:v>NORD</x:v>
      </x:c>
      <x:c r="F24" s="241" t="n">
        <x:v>1900</x:v>
      </x:c>
      <x:c r="G24" s="241" t="n">
        <x:v>3100</x:v>
      </x:c>
      <x:c r="H24" s="241" t="n">
        <x:v>3100</x:v>
      </x:c>
      <x:c r="I24" s="241" t="n">
        <x:f>G24-F24</x:f>
        <x:v>1200</x:v>
      </x:c>
      <x:c r="J24" s="83" t="str">
        <x:v>Current market transit limit</x:v>
      </x:c>
      <x:c r="K24" s="83" t="str">
        <x:v>S01</x:v>
      </x:c>
      <x:c r="L24" s="120" t="str">
        <x:v>https://download.terna.it/terna/Terna_Piano_Sviluppo_2025_Stato_sistema_elettrico_scenari_energetici_8dd62ec4bbb9f75.pdf</x:v>
      </x:c>
      <x:c r="M24" s="83" t="n">
        <x:v>41</x:v>
      </x:c>
      <x:c r="N24" s="83" t="n">
        <x:v>39</x:v>
      </x:c>
      <x:c r="O24" s="83" t="str">
        <x:v>Figure 24</x:v>
      </x:c>
      <x:c r="P24" s="83" t="str">
        <x:v>A — Direct visual extraction</x:v>
      </x:c>
      <x:c r="Q24" s="83" t="str">
        <x:v>Historical/current-network QA; not the future 2040 input</x:v>
      </x:c>
      <x:c r="R24" s="83" t="str">
        <x:v>Range reflects residual-demand/time conditions where two values are shown.</x:v>
      </x:c>
    </x:row>
    <x:row r="25">
      <x:c r="A25" s="83" t="str">
        <x:v>CUR-021</x:v>
      </x:c>
      <x:c r="B25" s="83" t="n">
        <x:v>2024</x:v>
      </x:c>
      <x:c r="C25" s="83" t="str">
        <x:v>Summer</x:v>
      </x:c>
      <x:c r="D25" s="83" t="str">
        <x:v>CNOR</x:v>
      </x:c>
      <x:c r="E25" s="83" t="str">
        <x:v>CSUD</x:v>
      </x:c>
      <x:c r="F25" s="241" t="n">
        <x:v>1800</x:v>
      </x:c>
      <x:c r="G25" s="241" t="n">
        <x:v>2900</x:v>
      </x:c>
      <x:c r="H25" s="241" t="n">
        <x:v>2900</x:v>
      </x:c>
      <x:c r="I25" s="241" t="n">
        <x:f>G25-F25</x:f>
        <x:v>1100</x:v>
      </x:c>
      <x:c r="J25" s="83" t="str">
        <x:v>Current market transit limit</x:v>
      </x:c>
      <x:c r="K25" s="83" t="str">
        <x:v>S01</x:v>
      </x:c>
      <x:c r="L25" s="120" t="str">
        <x:v>https://download.terna.it/terna/Terna_Piano_Sviluppo_2025_Stato_sistema_elettrico_scenari_energetici_8dd62ec4bbb9f75.pdf</x:v>
      </x:c>
      <x:c r="M25" s="83" t="n">
        <x:v>41</x:v>
      </x:c>
      <x:c r="N25" s="83" t="n">
        <x:v>39</x:v>
      </x:c>
      <x:c r="O25" s="83" t="str">
        <x:v>Figure 24</x:v>
      </x:c>
      <x:c r="P25" s="83" t="str">
        <x:v>A — Direct visual extraction</x:v>
      </x:c>
      <x:c r="Q25" s="83" t="str">
        <x:v>Historical/current-network QA; not the future 2040 input</x:v>
      </x:c>
      <x:c r="R25" s="83" t="str">
        <x:v>Range reflects residual-demand/time conditions where two values are shown.</x:v>
      </x:c>
    </x:row>
    <x:row r="26">
      <x:c r="A26" s="83" t="str">
        <x:v>CUR-022</x:v>
      </x:c>
      <x:c r="B26" s="83" t="n">
        <x:v>2024</x:v>
      </x:c>
      <x:c r="C26" s="83" t="str">
        <x:v>Summer</x:v>
      </x:c>
      <x:c r="D26" s="83" t="str">
        <x:v>CSUD</x:v>
      </x:c>
      <x:c r="E26" s="83" t="str">
        <x:v>CNOR</x:v>
      </x:c>
      <x:c r="F26" s="241" t="n">
        <x:v>2800</x:v>
      </x:c>
      <x:c r="G26" s="241" t="n">
        <x:v>2800</x:v>
      </x:c>
      <x:c r="H26" s="241" t="n">
        <x:v>2800</x:v>
      </x:c>
      <x:c r="I26" s="241" t="n">
        <x:f>G26-F26</x:f>
        <x:v>0</x:v>
      </x:c>
      <x:c r="J26" s="83" t="str">
        <x:v>Current market transit limit</x:v>
      </x:c>
      <x:c r="K26" s="83" t="str">
        <x:v>S01</x:v>
      </x:c>
      <x:c r="L26" s="120" t="str">
        <x:v>https://download.terna.it/terna/Terna_Piano_Sviluppo_2025_Stato_sistema_elettrico_scenari_energetici_8dd62ec4bbb9f75.pdf</x:v>
      </x:c>
      <x:c r="M26" s="83" t="n">
        <x:v>41</x:v>
      </x:c>
      <x:c r="N26" s="83" t="n">
        <x:v>39</x:v>
      </x:c>
      <x:c r="O26" s="83" t="str">
        <x:v>Figure 24</x:v>
      </x:c>
      <x:c r="P26" s="83" t="str">
        <x:v>A — Direct visual extraction</x:v>
      </x:c>
      <x:c r="Q26" s="83" t="str">
        <x:v>Historical/current-network QA; not the future 2040 input</x:v>
      </x:c>
      <x:c r="R26" s="83" t="str"/>
    </x:row>
    <x:row r="27">
      <x:c r="A27" s="83" t="str">
        <x:v>CUR-023</x:v>
      </x:c>
      <x:c r="B27" s="83" t="n">
        <x:v>2024</x:v>
      </x:c>
      <x:c r="C27" s="83" t="str">
        <x:v>Summer</x:v>
      </x:c>
      <x:c r="D27" s="83" t="str">
        <x:v>CSUD</x:v>
      </x:c>
      <x:c r="E27" s="83" t="str">
        <x:v>SUD</x:v>
      </x:c>
      <x:c r="F27" s="241" t="n">
        <x:v>2400</x:v>
      </x:c>
      <x:c r="G27" s="241" t="n">
        <x:v>2400</x:v>
      </x:c>
      <x:c r="H27" s="241" t="n">
        <x:v>2400</x:v>
      </x:c>
      <x:c r="I27" s="241" t="n">
        <x:f>G27-F27</x:f>
        <x:v>0</x:v>
      </x:c>
      <x:c r="J27" s="83" t="str">
        <x:v>Current market transit limit</x:v>
      </x:c>
      <x:c r="K27" s="83" t="str">
        <x:v>S01</x:v>
      </x:c>
      <x:c r="L27" s="120" t="str">
        <x:v>https://download.terna.it/terna/Terna_Piano_Sviluppo_2025_Stato_sistema_elettrico_scenari_energetici_8dd62ec4bbb9f75.pdf</x:v>
      </x:c>
      <x:c r="M27" s="83" t="n">
        <x:v>41</x:v>
      </x:c>
      <x:c r="N27" s="83" t="n">
        <x:v>39</x:v>
      </x:c>
      <x:c r="O27" s="83" t="str">
        <x:v>Figure 24</x:v>
      </x:c>
      <x:c r="P27" s="83" t="str">
        <x:v>A — Direct visual extraction</x:v>
      </x:c>
      <x:c r="Q27" s="83" t="str">
        <x:v>Historical/current-network QA; not the future 2040 input</x:v>
      </x:c>
      <x:c r="R27" s="83" t="str"/>
    </x:row>
    <x:row r="28">
      <x:c r="A28" s="83" t="str">
        <x:v>CUR-024</x:v>
      </x:c>
      <x:c r="B28" s="83" t="n">
        <x:v>2024</x:v>
      </x:c>
      <x:c r="C28" s="83" t="str">
        <x:v>Summer</x:v>
      </x:c>
      <x:c r="D28" s="83" t="str">
        <x:v>SUD</x:v>
      </x:c>
      <x:c r="E28" s="83" t="str">
        <x:v>CSUD</x:v>
      </x:c>
      <x:c r="F28" s="241" t="n">
        <x:v>5100</x:v>
      </x:c>
      <x:c r="G28" s="241" t="n">
        <x:v>5200</x:v>
      </x:c>
      <x:c r="H28" s="241" t="n">
        <x:v>5200</x:v>
      </x:c>
      <x:c r="I28" s="241" t="n">
        <x:f>G28-F28</x:f>
        <x:v>100</x:v>
      </x:c>
      <x:c r="J28" s="83" t="str">
        <x:v>Current market transit limit</x:v>
      </x:c>
      <x:c r="K28" s="83" t="str">
        <x:v>S01</x:v>
      </x:c>
      <x:c r="L28" s="120" t="str">
        <x:v>https://download.terna.it/terna/Terna_Piano_Sviluppo_2025_Stato_sistema_elettrico_scenari_energetici_8dd62ec4bbb9f75.pdf</x:v>
      </x:c>
      <x:c r="M28" s="83" t="n">
        <x:v>41</x:v>
      </x:c>
      <x:c r="N28" s="83" t="n">
        <x:v>39</x:v>
      </x:c>
      <x:c r="O28" s="83" t="str">
        <x:v>Figure 24</x:v>
      </x:c>
      <x:c r="P28" s="83" t="str">
        <x:v>A — Direct visual extraction</x:v>
      </x:c>
      <x:c r="Q28" s="83" t="str">
        <x:v>Historical/current-network QA; not the future 2040 input</x:v>
      </x:c>
      <x:c r="R28" s="83" t="str">
        <x:v>Range reflects residual-demand/time conditions where two values are shown.</x:v>
      </x:c>
    </x:row>
    <x:row r="29">
      <x:c r="A29" s="83" t="str">
        <x:v>CUR-025</x:v>
      </x:c>
      <x:c r="B29" s="83" t="n">
        <x:v>2024</x:v>
      </x:c>
      <x:c r="C29" s="83" t="str">
        <x:v>Summer</x:v>
      </x:c>
      <x:c r="D29" s="83" t="str">
        <x:v>SUD</x:v>
      </x:c>
      <x:c r="E29" s="83" t="str">
        <x:v>CALA</x:v>
      </x:c>
      <x:c r="F29" s="241" t="n">
        <x:v>1100</x:v>
      </x:c>
      <x:c r="G29" s="241" t="n">
        <x:v>1100</x:v>
      </x:c>
      <x:c r="H29" s="241" t="n">
        <x:v>1100</x:v>
      </x:c>
      <x:c r="I29" s="241" t="n">
        <x:f>G29-F29</x:f>
        <x:v>0</x:v>
      </x:c>
      <x:c r="J29" s="83" t="str">
        <x:v>Current market transit limit</x:v>
      </x:c>
      <x:c r="K29" s="83" t="str">
        <x:v>S01</x:v>
      </x:c>
      <x:c r="L29" s="120" t="str">
        <x:v>https://download.terna.it/terna/Terna_Piano_Sviluppo_2025_Stato_sistema_elettrico_scenari_energetici_8dd62ec4bbb9f75.pdf</x:v>
      </x:c>
      <x:c r="M29" s="83" t="n">
        <x:v>41</x:v>
      </x:c>
      <x:c r="N29" s="83" t="n">
        <x:v>39</x:v>
      </x:c>
      <x:c r="O29" s="83" t="str">
        <x:v>Figure 24</x:v>
      </x:c>
      <x:c r="P29" s="83" t="str">
        <x:v>A — Direct visual extraction</x:v>
      </x:c>
      <x:c r="Q29" s="83" t="str">
        <x:v>Historical/current-network QA; not the future 2040 input</x:v>
      </x:c>
      <x:c r="R29" s="83" t="str"/>
    </x:row>
    <x:row r="30">
      <x:c r="A30" s="83" t="str">
        <x:v>CUR-026</x:v>
      </x:c>
      <x:c r="B30" s="83" t="n">
        <x:v>2024</x:v>
      </x:c>
      <x:c r="C30" s="83" t="str">
        <x:v>Summer</x:v>
      </x:c>
      <x:c r="D30" s="83" t="str">
        <x:v>CALA</x:v>
      </x:c>
      <x:c r="E30" s="83" t="str">
        <x:v>SUD</x:v>
      </x:c>
      <x:c r="F30" s="241" t="n">
        <x:v>2350</x:v>
      </x:c>
      <x:c r="G30" s="241" t="n">
        <x:v>2350</x:v>
      </x:c>
      <x:c r="H30" s="241" t="n">
        <x:v>2350</x:v>
      </x:c>
      <x:c r="I30" s="241" t="n">
        <x:f>G30-F30</x:f>
        <x:v>0</x:v>
      </x:c>
      <x:c r="J30" s="83" t="str">
        <x:v>Current market transit limit</x:v>
      </x:c>
      <x:c r="K30" s="83" t="str">
        <x:v>S01</x:v>
      </x:c>
      <x:c r="L30" s="120" t="str">
        <x:v>https://download.terna.it/terna/Terna_Piano_Sviluppo_2025_Stato_sistema_elettrico_scenari_energetici_8dd62ec4bbb9f75.pdf</x:v>
      </x:c>
      <x:c r="M30" s="83" t="n">
        <x:v>41</x:v>
      </x:c>
      <x:c r="N30" s="83" t="n">
        <x:v>39</x:v>
      </x:c>
      <x:c r="O30" s="83" t="str">
        <x:v>Figure 24</x:v>
      </x:c>
      <x:c r="P30" s="83" t="str">
        <x:v>A — Direct visual extraction</x:v>
      </x:c>
      <x:c r="Q30" s="83" t="str">
        <x:v>Historical/current-network QA; not the future 2040 input</x:v>
      </x:c>
      <x:c r="R30" s="83" t="str"/>
    </x:row>
    <x:row r="31">
      <x:c r="A31" s="83" t="str">
        <x:v>CUR-027</x:v>
      </x:c>
      <x:c r="B31" s="83" t="n">
        <x:v>2024</x:v>
      </x:c>
      <x:c r="C31" s="83" t="str">
        <x:v>Summer</x:v>
      </x:c>
      <x:c r="D31" s="83" t="str">
        <x:v>CALA</x:v>
      </x:c>
      <x:c r="E31" s="83" t="str">
        <x:v>SICI</x:v>
      </x:c>
      <x:c r="F31" s="241" t="n">
        <x:v>1550</x:v>
      </x:c>
      <x:c r="G31" s="241" t="n">
        <x:v>1550</x:v>
      </x:c>
      <x:c r="H31" s="241" t="n">
        <x:v>1550</x:v>
      </x:c>
      <x:c r="I31" s="241" t="n">
        <x:f>G31-F31</x:f>
        <x:v>0</x:v>
      </x:c>
      <x:c r="J31" s="83" t="str">
        <x:v>Current market transit limit</x:v>
      </x:c>
      <x:c r="K31" s="83" t="str">
        <x:v>S01</x:v>
      </x:c>
      <x:c r="L31" s="120" t="str">
        <x:v>https://download.terna.it/terna/Terna_Piano_Sviluppo_2025_Stato_sistema_elettrico_scenari_energetici_8dd62ec4bbb9f75.pdf</x:v>
      </x:c>
      <x:c r="M31" s="83" t="n">
        <x:v>41</x:v>
      </x:c>
      <x:c r="N31" s="83" t="n">
        <x:v>39</x:v>
      </x:c>
      <x:c r="O31" s="83" t="str">
        <x:v>Figure 24</x:v>
      </x:c>
      <x:c r="P31" s="83" t="str">
        <x:v>A — Direct visual extraction</x:v>
      </x:c>
      <x:c r="Q31" s="83" t="str">
        <x:v>Historical/current-network QA; not the future 2040 input</x:v>
      </x:c>
      <x:c r="R31" s="83" t="str"/>
    </x:row>
    <x:row r="32">
      <x:c r="A32" s="83" t="str">
        <x:v>CUR-028</x:v>
      </x:c>
      <x:c r="B32" s="83" t="n">
        <x:v>2024</x:v>
      </x:c>
      <x:c r="C32" s="83" t="str">
        <x:v>Summer</x:v>
      </x:c>
      <x:c r="D32" s="83" t="str">
        <x:v>SICI</x:v>
      </x:c>
      <x:c r="E32" s="83" t="str">
        <x:v>CALA</x:v>
      </x:c>
      <x:c r="F32" s="241" t="n">
        <x:v>1300</x:v>
      </x:c>
      <x:c r="G32" s="241" t="n">
        <x:v>1300</x:v>
      </x:c>
      <x:c r="H32" s="241" t="n">
        <x:v>1300</x:v>
      </x:c>
      <x:c r="I32" s="241" t="n">
        <x:f>G32-F32</x:f>
        <x:v>0</x:v>
      </x:c>
      <x:c r="J32" s="83" t="str">
        <x:v>Current market transit limit</x:v>
      </x:c>
      <x:c r="K32" s="83" t="str">
        <x:v>S01</x:v>
      </x:c>
      <x:c r="L32" s="120" t="str">
        <x:v>https://download.terna.it/terna/Terna_Piano_Sviluppo_2025_Stato_sistema_elettrico_scenari_energetici_8dd62ec4bbb9f75.pdf</x:v>
      </x:c>
      <x:c r="M32" s="83" t="n">
        <x:v>41</x:v>
      </x:c>
      <x:c r="N32" s="83" t="n">
        <x:v>39</x:v>
      </x:c>
      <x:c r="O32" s="83" t="str">
        <x:v>Figure 24</x:v>
      </x:c>
      <x:c r="P32" s="83" t="str">
        <x:v>A — Direct visual extraction</x:v>
      </x:c>
      <x:c r="Q32" s="83" t="str">
        <x:v>Historical/current-network QA; not the future 2040 input</x:v>
      </x:c>
      <x:c r="R32" s="83" t="str"/>
    </x:row>
    <x:row r="33">
      <x:c r="A33" s="83" t="str">
        <x:v>CUR-029</x:v>
      </x:c>
      <x:c r="B33" s="83" t="n">
        <x:v>2024</x:v>
      </x:c>
      <x:c r="C33" s="83" t="str">
        <x:v>Summer</x:v>
      </x:c>
      <x:c r="D33" s="83" t="str">
        <x:v>CSUD</x:v>
      </x:c>
      <x:c r="E33" s="83" t="str">
        <x:v>SARD</x:v>
      </x:c>
      <x:c r="F33" s="241" t="n">
        <x:v>720</x:v>
      </x:c>
      <x:c r="G33" s="241" t="n">
        <x:v>720</x:v>
      </x:c>
      <x:c r="H33" s="241" t="n">
        <x:v>720</x:v>
      </x:c>
      <x:c r="I33" s="241" t="n">
        <x:f>G33-F33</x:f>
        <x:v>0</x:v>
      </x:c>
      <x:c r="J33" s="83" t="str">
        <x:v>Current market transit limit</x:v>
      </x:c>
      <x:c r="K33" s="83" t="str">
        <x:v>S01</x:v>
      </x:c>
      <x:c r="L33" s="120" t="str">
        <x:v>https://download.terna.it/terna/Terna_Piano_Sviluppo_2025_Stato_sistema_elettrico_scenari_energetici_8dd62ec4bbb9f75.pdf</x:v>
      </x:c>
      <x:c r="M33" s="83" t="n">
        <x:v>41</x:v>
      </x:c>
      <x:c r="N33" s="83" t="n">
        <x:v>39</x:v>
      </x:c>
      <x:c r="O33" s="83" t="str">
        <x:v>Figure 24</x:v>
      </x:c>
      <x:c r="P33" s="83" t="str">
        <x:v>A — Direct visual extraction</x:v>
      </x:c>
      <x:c r="Q33" s="83" t="str">
        <x:v>Historical/current-network QA; not the future 2040 input</x:v>
      </x:c>
      <x:c r="R33" s="83" t="str"/>
    </x:row>
    <x:row r="34">
      <x:c r="A34" s="83" t="str">
        <x:v>CUR-030</x:v>
      </x:c>
      <x:c r="B34" s="83" t="n">
        <x:v>2024</x:v>
      </x:c>
      <x:c r="C34" s="83" t="str">
        <x:v>Summer</x:v>
      </x:c>
      <x:c r="D34" s="83" t="str">
        <x:v>SARD</x:v>
      </x:c>
      <x:c r="E34" s="83" t="str">
        <x:v>CSUD</x:v>
      </x:c>
      <x:c r="F34" s="241" t="n">
        <x:v>870</x:v>
      </x:c>
      <x:c r="G34" s="241" t="n">
        <x:v>900</x:v>
      </x:c>
      <x:c r="H34" s="241" t="n">
        <x:v>900</x:v>
      </x:c>
      <x:c r="I34" s="241" t="n">
        <x:f>G34-F34</x:f>
        <x:v>30</x:v>
      </x:c>
      <x:c r="J34" s="83" t="str">
        <x:v>Current market transit limit</x:v>
      </x:c>
      <x:c r="K34" s="83" t="str">
        <x:v>S01</x:v>
      </x:c>
      <x:c r="L34" s="120" t="str">
        <x:v>https://download.terna.it/terna/Terna_Piano_Sviluppo_2025_Stato_sistema_elettrico_scenari_energetici_8dd62ec4bbb9f75.pdf</x:v>
      </x:c>
      <x:c r="M34" s="83" t="n">
        <x:v>41</x:v>
      </x:c>
      <x:c r="N34" s="83" t="n">
        <x:v>39</x:v>
      </x:c>
      <x:c r="O34" s="83" t="str">
        <x:v>Figure 24</x:v>
      </x:c>
      <x:c r="P34" s="83" t="str">
        <x:v>A — Direct visual extraction</x:v>
      </x:c>
      <x:c r="Q34" s="83" t="str">
        <x:v>Historical/current-network QA; not the future 2040 input</x:v>
      </x:c>
      <x:c r="R34" s="83" t="str">
        <x:v>Range reflects residual-demand/time conditions where two values are shown.</x:v>
      </x:c>
    </x:row>
    <x:row r="35">
      <x:c r="A35" s="83" t="str">
        <x:v>CUR-031</x:v>
      </x:c>
      <x:c r="B35" s="83" t="n">
        <x:v>2024</x:v>
      </x:c>
      <x:c r="C35" s="83" t="str">
        <x:v>Summer</x:v>
      </x:c>
      <x:c r="D35" s="83" t="str">
        <x:v>CNOR</x:v>
      </x:c>
      <x:c r="E35" s="83" t="str">
        <x:v>CORS</x:v>
      </x:c>
      <x:c r="F35" s="241" t="n">
        <x:v>300</x:v>
      </x:c>
      <x:c r="G35" s="241" t="n">
        <x:v>300</x:v>
      </x:c>
      <x:c r="H35" s="241" t="n">
        <x:v>300</x:v>
      </x:c>
      <x:c r="I35" s="241" t="n">
        <x:f>G35-F35</x:f>
        <x:v>0</x:v>
      </x:c>
      <x:c r="J35" s="83" t="str">
        <x:v>Current market transit limit</x:v>
      </x:c>
      <x:c r="K35" s="83" t="str">
        <x:v>S01</x:v>
      </x:c>
      <x:c r="L35" s="120" t="str">
        <x:v>https://download.terna.it/terna/Terna_Piano_Sviluppo_2025_Stato_sistema_elettrico_scenari_energetici_8dd62ec4bbb9f75.pdf</x:v>
      </x:c>
      <x:c r="M35" s="83" t="n">
        <x:v>41</x:v>
      </x:c>
      <x:c r="N35" s="83" t="n">
        <x:v>39</x:v>
      </x:c>
      <x:c r="O35" s="83" t="str">
        <x:v>Figure 24</x:v>
      </x:c>
      <x:c r="P35" s="83" t="str">
        <x:v>A — Direct visual extraction</x:v>
      </x:c>
      <x:c r="Q35" s="83" t="str">
        <x:v>Historical/current-network QA; not the future 2040 input</x:v>
      </x:c>
      <x:c r="R35" s="83" t="str"/>
    </x:row>
    <x:row r="36">
      <x:c r="A36" s="83" t="str">
        <x:v>CUR-032</x:v>
      </x:c>
      <x:c r="B36" s="83" t="n">
        <x:v>2024</x:v>
      </x:c>
      <x:c r="C36" s="83" t="str">
        <x:v>Summer</x:v>
      </x:c>
      <x:c r="D36" s="83" t="str">
        <x:v>CORS</x:v>
      </x:c>
      <x:c r="E36" s="83" t="str">
        <x:v>CNOR</x:v>
      </x:c>
      <x:c r="F36" s="241" t="n">
        <x:v>300</x:v>
      </x:c>
      <x:c r="G36" s="241" t="n">
        <x:v>300</x:v>
      </x:c>
      <x:c r="H36" s="241" t="n">
        <x:v>300</x:v>
      </x:c>
      <x:c r="I36" s="241" t="n">
        <x:f>G36-F36</x:f>
        <x:v>0</x:v>
      </x:c>
      <x:c r="J36" s="83" t="str">
        <x:v>Current market transit limit</x:v>
      </x:c>
      <x:c r="K36" s="83" t="str">
        <x:v>S01</x:v>
      </x:c>
      <x:c r="L36" s="120" t="str">
        <x:v>https://download.terna.it/terna/Terna_Piano_Sviluppo_2025_Stato_sistema_elettrico_scenari_energetici_8dd62ec4bbb9f75.pdf</x:v>
      </x:c>
      <x:c r="M36" s="83" t="n">
        <x:v>41</x:v>
      </x:c>
      <x:c r="N36" s="83" t="n">
        <x:v>39</x:v>
      </x:c>
      <x:c r="O36" s="83" t="str">
        <x:v>Figure 24</x:v>
      </x:c>
      <x:c r="P36" s="83" t="str">
        <x:v>A — Direct visual extraction</x:v>
      </x:c>
      <x:c r="Q36" s="83" t="str">
        <x:v>Historical/current-network QA; not the future 2040 input</x:v>
      </x:c>
      <x:c r="R36" s="83" t="str"/>
    </x:row>
    <x:row r="37">
      <x:c r="A37" s="83" t="str">
        <x:v>CUR-033</x:v>
      </x:c>
      <x:c r="B37" s="83" t="n">
        <x:v>2024</x:v>
      </x:c>
      <x:c r="C37" s="83" t="str">
        <x:v>Summer</x:v>
      </x:c>
      <x:c r="D37" s="83" t="str">
        <x:v>CORS</x:v>
      </x:c>
      <x:c r="E37" s="83" t="str">
        <x:v>SARD</x:v>
      </x:c>
      <x:c r="F37" s="241" t="n">
        <x:v>300</x:v>
      </x:c>
      <x:c r="G37" s="241" t="n">
        <x:v>300</x:v>
      </x:c>
      <x:c r="H37" s="241" t="n">
        <x:v>300</x:v>
      </x:c>
      <x:c r="I37" s="241" t="n">
        <x:f>G37-F37</x:f>
        <x:v>0</x:v>
      </x:c>
      <x:c r="J37" s="83" t="str">
        <x:v>Current market transit limit</x:v>
      </x:c>
      <x:c r="K37" s="83" t="str">
        <x:v>S01</x:v>
      </x:c>
      <x:c r="L37" s="120" t="str">
        <x:v>https://download.terna.it/terna/Terna_Piano_Sviluppo_2025_Stato_sistema_elettrico_scenari_energetici_8dd62ec4bbb9f75.pdf</x:v>
      </x:c>
      <x:c r="M37" s="83" t="n">
        <x:v>41</x:v>
      </x:c>
      <x:c r="N37" s="83" t="n">
        <x:v>39</x:v>
      </x:c>
      <x:c r="O37" s="83" t="str">
        <x:v>Figure 24</x:v>
      </x:c>
      <x:c r="P37" s="83" t="str">
        <x:v>A — Direct visual extraction</x:v>
      </x:c>
      <x:c r="Q37" s="83" t="str">
        <x:v>Historical/current-network QA; not the future 2040 input</x:v>
      </x:c>
      <x:c r="R37" s="83" t="str"/>
    </x:row>
    <x:row r="38">
      <x:c r="A38" s="83" t="str">
        <x:v>CUR-034</x:v>
      </x:c>
      <x:c r="B38" s="83" t="n">
        <x:v>2024</x:v>
      </x:c>
      <x:c r="C38" s="83" t="str">
        <x:v>Summer</x:v>
      </x:c>
      <x:c r="D38" s="83" t="str">
        <x:v>SARD</x:v>
      </x:c>
      <x:c r="E38" s="83" t="str">
        <x:v>CORS</x:v>
      </x:c>
      <x:c r="F38" s="241" t="n">
        <x:v>300</x:v>
      </x:c>
      <x:c r="G38" s="241" t="n">
        <x:v>300</x:v>
      </x:c>
      <x:c r="H38" s="241" t="n">
        <x:v>300</x:v>
      </x:c>
      <x:c r="I38" s="241" t="n">
        <x:f>G38-F38</x:f>
        <x:v>0</x:v>
      </x:c>
      <x:c r="J38" s="83" t="str">
        <x:v>Current market transit limit</x:v>
      </x:c>
      <x:c r="K38" s="83" t="str">
        <x:v>S01</x:v>
      </x:c>
      <x:c r="L38" s="120" t="str">
        <x:v>https://download.terna.it/terna/Terna_Piano_Sviluppo_2025_Stato_sistema_elettrico_scenari_energetici_8dd62ec4bbb9f75.pdf</x:v>
      </x:c>
      <x:c r="M38" s="83" t="n">
        <x:v>41</x:v>
      </x:c>
      <x:c r="N38" s="83" t="n">
        <x:v>39</x:v>
      </x:c>
      <x:c r="O38" s="83" t="str">
        <x:v>Figure 24</x:v>
      </x:c>
      <x:c r="P38" s="83" t="str">
        <x:v>A — Direct visual extraction</x:v>
      </x:c>
      <x:c r="Q38" s="83" t="str">
        <x:v>Historical/current-network QA; not the future 2040 input</x:v>
      </x:c>
      <x:c r="R38" s="83" t="str"/>
    </x:row>
    <x:row r="39">
      <x:c r="A39" s="83" t="str">
        <x:v>CUR-035</x:v>
      </x:c>
      <x:c r="B39" s="83" t="n">
        <x:v>2024</x:v>
      </x:c>
      <x:c r="C39" s="83" t="str">
        <x:v>Summer</x:v>
      </x:c>
      <x:c r="D39" s="83" t="str">
        <x:v>SICI</x:v>
      </x:c>
      <x:c r="E39" s="83" t="str">
        <x:v>MALT</x:v>
      </x:c>
      <x:c r="F39" s="241" t="n">
        <x:v>225</x:v>
      </x:c>
      <x:c r="G39" s="241" t="n">
        <x:v>225</x:v>
      </x:c>
      <x:c r="H39" s="241" t="n">
        <x:v>225</x:v>
      </x:c>
      <x:c r="I39" s="241" t="n">
        <x:f>G39-F39</x:f>
        <x:v>0</x:v>
      </x:c>
      <x:c r="J39" s="83" t="str">
        <x:v>Current market transit limit</x:v>
      </x:c>
      <x:c r="K39" s="83" t="str">
        <x:v>S01</x:v>
      </x:c>
      <x:c r="L39" s="120" t="str">
        <x:v>https://download.terna.it/terna/Terna_Piano_Sviluppo_2025_Stato_sistema_elettrico_scenari_energetici_8dd62ec4bbb9f75.pdf</x:v>
      </x:c>
      <x:c r="M39" s="83" t="n">
        <x:v>41</x:v>
      </x:c>
      <x:c r="N39" s="83" t="n">
        <x:v>39</x:v>
      </x:c>
      <x:c r="O39" s="83" t="str">
        <x:v>Figure 24</x:v>
      </x:c>
      <x:c r="P39" s="83" t="str">
        <x:v>A — Direct visual extraction</x:v>
      </x:c>
      <x:c r="Q39" s="83" t="str">
        <x:v>Historical/current-network QA; not the future 2040 input</x:v>
      </x:c>
      <x:c r="R39" s="83" t="str"/>
    </x:row>
    <x:row r="40">
      <x:c r="A40" s="83" t="str">
        <x:v>CUR-036</x:v>
      </x:c>
      <x:c r="B40" s="83" t="n">
        <x:v>2024</x:v>
      </x:c>
      <x:c r="C40" s="83" t="str">
        <x:v>Summer</x:v>
      </x:c>
      <x:c r="D40" s="83" t="str">
        <x:v>MALT</x:v>
      </x:c>
      <x:c r="E40" s="83" t="str">
        <x:v>SICI</x:v>
      </x:c>
      <x:c r="F40" s="241" t="n">
        <x:v>225</x:v>
      </x:c>
      <x:c r="G40" s="241" t="n">
        <x:v>225</x:v>
      </x:c>
      <x:c r="H40" s="241" t="n">
        <x:v>225</x:v>
      </x:c>
      <x:c r="I40" s="241" t="n">
        <x:f>G40-F40</x:f>
        <x:v>0</x:v>
      </x:c>
      <x:c r="J40" s="83" t="str">
        <x:v>Current market transit limit</x:v>
      </x:c>
      <x:c r="K40" s="83" t="str">
        <x:v>S01</x:v>
      </x:c>
      <x:c r="L40" s="120" t="str">
        <x:v>https://download.terna.it/terna/Terna_Piano_Sviluppo_2025_Stato_sistema_elettrico_scenari_energetici_8dd62ec4bbb9f75.pdf</x:v>
      </x:c>
      <x:c r="M40" s="83" t="n">
        <x:v>41</x:v>
      </x:c>
      <x:c r="N40" s="83" t="n">
        <x:v>39</x:v>
      </x:c>
      <x:c r="O40" s="83" t="str">
        <x:v>Figure 24</x:v>
      </x:c>
      <x:c r="P40" s="83" t="str">
        <x:v>A — Direct visual extraction</x:v>
      </x:c>
      <x:c r="Q40" s="83" t="str">
        <x:v>Historical/current-network QA; not the future 2040 input</x:v>
      </x:c>
      <x:c r="R40" s="83" t="str"/>
    </x:row>
    <x:row r="41">
      <x:c r="A41" s="83" t="str">
        <x:v>CUR-037</x:v>
      </x:c>
      <x:c r="B41" s="83" t="n">
        <x:v>2024</x:v>
      </x:c>
      <x:c r="C41" s="83" t="str">
        <x:v>Winter</x:v>
      </x:c>
      <x:c r="D41" s="83" t="str">
        <x:v>SARD</x:v>
      </x:c>
      <x:c r="E41" s="83" t="str">
        <x:v>COAC</x:v>
      </x:c>
      <x:c r="F41" s="241" t="n">
        <x:v>100</x:v>
      </x:c>
      <x:c r="G41" s="241" t="n">
        <x:v>125</x:v>
      </x:c>
      <x:c r="H41" s="241" t="n">
        <x:v>125</x:v>
      </x:c>
      <x:c r="I41" s="241" t="n">
        <x:f>G41-F41</x:f>
        <x:v>25</x:v>
      </x:c>
      <x:c r="J41" s="83" t="str">
        <x:v>Current market transit limit</x:v>
      </x:c>
      <x:c r="K41" s="83" t="str">
        <x:v>S01</x:v>
      </x:c>
      <x:c r="L41" s="120" t="str">
        <x:v>https://download.terna.it/terna/Terna_Piano_Sviluppo_2025_Stato_sistema_elettrico_scenari_energetici_8dd62ec4bbb9f75.pdf</x:v>
      </x:c>
      <x:c r="M41" s="83" t="n">
        <x:v>40</x:v>
      </x:c>
      <x:c r="N41" s="83" t="n">
        <x:v>38</x:v>
      </x:c>
      <x:c r="O41" s="83" t="str">
        <x:v>Figure 23</x:v>
      </x:c>
      <x:c r="P41" s="83" t="str">
        <x:v>A — Direct visual extraction</x:v>
      </x:c>
      <x:c r="Q41" s="83" t="str">
        <x:v>Historical/current-network QA; not the future 2040 input</x:v>
      </x:c>
      <x:c r="R41" s="83" t="str">
        <x:v>Range reflects residual-demand/time conditions where two values are shown.</x:v>
      </x:c>
    </x:row>
    <x:row r="42">
      <x:c r="A42" s="83" t="str">
        <x:v>CUR-038</x:v>
      </x:c>
      <x:c r="B42" s="83" t="n">
        <x:v>2024</x:v>
      </x:c>
      <x:c r="C42" s="83" t="str">
        <x:v>Winter</x:v>
      </x:c>
      <x:c r="D42" s="83" t="str">
        <x:v>COAC</x:v>
      </x:c>
      <x:c r="E42" s="83" t="str">
        <x:v>SARD</x:v>
      </x:c>
      <x:c r="F42" s="241" t="n">
        <x:v>20</x:v>
      </x:c>
      <x:c r="G42" s="241" t="n">
        <x:v>25</x:v>
      </x:c>
      <x:c r="H42" s="241" t="n">
        <x:v>25</x:v>
      </x:c>
      <x:c r="I42" s="241" t="n">
        <x:f>G42-F42</x:f>
        <x:v>5</x:v>
      </x:c>
      <x:c r="J42" s="83" t="str">
        <x:v>Current market transit limit</x:v>
      </x:c>
      <x:c r="K42" s="83" t="str">
        <x:v>S01</x:v>
      </x:c>
      <x:c r="L42" s="120" t="str">
        <x:v>https://download.terna.it/terna/Terna_Piano_Sviluppo_2025_Stato_sistema_elettrico_scenari_energetici_8dd62ec4bbb9f75.pdf</x:v>
      </x:c>
      <x:c r="M42" s="83" t="n">
        <x:v>40</x:v>
      </x:c>
      <x:c r="N42" s="83" t="n">
        <x:v>38</x:v>
      </x:c>
      <x:c r="O42" s="83" t="str">
        <x:v>Figure 23</x:v>
      </x:c>
      <x:c r="P42" s="83" t="str">
        <x:v>A — Direct visual extraction</x:v>
      </x:c>
      <x:c r="Q42" s="83" t="str">
        <x:v>Historical/current-network QA; not the future 2040 input</x:v>
      </x:c>
      <x:c r="R42" s="83" t="str">
        <x:v>Range reflects residual-demand/time conditions where two values are shown.</x:v>
      </x:c>
    </x:row>
    <x:row r="43">
      <x:c r="A43" s="83" t="str">
        <x:v>CUR-039</x:v>
      </x:c>
      <x:c r="B43" s="83" t="n">
        <x:v>2024</x:v>
      </x:c>
      <x:c r="C43" s="83" t="str">
        <x:v>Summer</x:v>
      </x:c>
      <x:c r="D43" s="83" t="str">
        <x:v>SARD</x:v>
      </x:c>
      <x:c r="E43" s="83" t="str">
        <x:v>COAC</x:v>
      </x:c>
      <x:c r="F43" s="241" t="n">
        <x:v>25</x:v>
      </x:c>
      <x:c r="G43" s="241" t="n">
        <x:v>105</x:v>
      </x:c>
      <x:c r="H43" s="241" t="n">
        <x:v>105</x:v>
      </x:c>
      <x:c r="I43" s="241" t="n">
        <x:f>G43-F43</x:f>
        <x:v>80</x:v>
      </x:c>
      <x:c r="J43" s="83" t="str">
        <x:v>Current market transit limit</x:v>
      </x:c>
      <x:c r="K43" s="83" t="str">
        <x:v>S01</x:v>
      </x:c>
      <x:c r="L43" s="120" t="str">
        <x:v>https://download.terna.it/terna/Terna_Piano_Sviluppo_2025_Stato_sistema_elettrico_scenari_energetici_8dd62ec4bbb9f75.pdf</x:v>
      </x:c>
      <x:c r="M43" s="83" t="n">
        <x:v>41</x:v>
      </x:c>
      <x:c r="N43" s="83" t="n">
        <x:v>39</x:v>
      </x:c>
      <x:c r="O43" s="83" t="str">
        <x:v>Figure 24</x:v>
      </x:c>
      <x:c r="P43" s="83" t="str">
        <x:v>A — Direct visual extraction</x:v>
      </x:c>
      <x:c r="Q43" s="83" t="str">
        <x:v>Historical/current-network QA; not the future 2040 input</x:v>
      </x:c>
      <x:c r="R43" s="83" t="str">
        <x:v>Range reflects residual-demand/time conditions where two values are shown.</x:v>
      </x:c>
    </x:row>
    <x:row r="44">
      <x:c r="A44" s="83" t="str">
        <x:v>CUR-040</x:v>
      </x:c>
      <x:c r="B44" s="83" t="n">
        <x:v>2024</x:v>
      </x:c>
      <x:c r="C44" s="83" t="str">
        <x:v>Summer</x:v>
      </x:c>
      <x:c r="D44" s="83" t="str">
        <x:v>COAC</x:v>
      </x:c>
      <x:c r="E44" s="83" t="str">
        <x:v>SARD</x:v>
      </x:c>
      <x:c r="F44" s="241" t="n">
        <x:v>15</x:v>
      </x:c>
      <x:c r="G44" s="241" t="n">
        <x:v>20</x:v>
      </x:c>
      <x:c r="H44" s="241" t="n">
        <x:v>20</x:v>
      </x:c>
      <x:c r="I44" s="241" t="n">
        <x:f>G44-F44</x:f>
        <x:v>5</x:v>
      </x:c>
      <x:c r="J44" s="83" t="str">
        <x:v>Current market transit limit</x:v>
      </x:c>
      <x:c r="K44" s="83" t="str">
        <x:v>S01</x:v>
      </x:c>
      <x:c r="L44" s="120" t="str">
        <x:v>https://download.terna.it/terna/Terna_Piano_Sviluppo_2025_Stato_sistema_elettrico_scenari_energetici_8dd62ec4bbb9f75.pdf</x:v>
      </x:c>
      <x:c r="M44" s="83" t="n">
        <x:v>41</x:v>
      </x:c>
      <x:c r="N44" s="83" t="n">
        <x:v>39</x:v>
      </x:c>
      <x:c r="O44" s="83" t="str">
        <x:v>Figure 24</x:v>
      </x:c>
      <x:c r="P44" s="83" t="str">
        <x:v>A — Direct visual extraction</x:v>
      </x:c>
      <x:c r="Q44" s="83" t="str">
        <x:v>Historical/current-network QA; not the future 2040 input</x:v>
      </x:c>
      <x:c r="R44" s="83" t="str">
        <x:v>Range reflects residual-demand/time conditions where two values are shown.</x:v>
      </x:c>
    </x:row>
  </x:sheetData>
  <x:mergeCells>
    <x:mergeCell ref="A1:R1"/>
    <x:mergeCell ref="A2:R2"/>
  </x:mergeCells>
  <x:conditionalFormatting sqref="I5:I4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{0E30DE3D-CC14-F7CA-B652-D766A956D71D}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d2c6a37ae94444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E30DE3D-CC14-F7CA-B652-D766A956D71D}">
            <x14:dataBar gradient="1">
              <x14:cfvo type="min"/>
              <x14:cfvo type="max"/>
              <x14:fillColor rgb="FFA02B93"/>
            </x14:dataBar>
          </x14:cfRule>
          <xm:sqref>I5:I44</xm:sqref>
        </x14:conditionalFormatting>
      </x14:conditionalFormattings>
    </x:ext>
  </x:extLst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0" hidden="0" customWidth="1"/>
    <x:col min="4" max="4" width="14" hidden="0" customWidth="1"/>
    <x:col min="5" max="5" width="1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6" hidden="0" customWidth="1"/>
    <x:col min="12" max="12" width="13" hidden="0" customWidth="1"/>
    <x:col min="13" max="13" width="42" hidden="0" customWidth="1"/>
    <x:col min="14" max="14" width="34" hidden="0" customWidth="1"/>
    <x:col min="15" max="15" width="28" hidden="0" customWidth="1"/>
    <x:col min="16" max="16" width="24" hidden="0" customWidth="1"/>
    <x:col min="17" max="17" width="18" hidden="0" customWidth="1"/>
    <x:col min="18" max="18" width="46" hidden="0" customWidth="1"/>
    <x:col min="19" max="19" width="12" hidden="0" customWidth="1"/>
    <x:col min="20" max="20" width="52" hidden="0" customWidth="1"/>
    <x:col min="21" max="21" width="12" hidden="0" customWidth="1"/>
    <x:col min="22" max="22" width="16" hidden="0" customWidth="1"/>
    <x:col min="23" max="23" width="20" hidden="0" customWidth="1"/>
    <x:col min="24" max="24" width="24" hidden="0" customWidth="1"/>
    <x:col min="25" max="25" width="54" hidden="0" customWidth="1"/>
    <x:col min="26" max="26" width="58" hidden="0" customWidth="1"/>
  </x:cols>
  <x:sheetData>
    <x:row r="1" ht="34" customHeight="1">
      <x:c r="A1" s="232" t="str">
        <x:v>Interconnessioni estere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  <x:c r="U1" s="232"/>
      <x:c r="V1" s="232"/>
      <x:c r="W1" s="232"/>
      <x:c r="X1" s="232"/>
      <x:c r="Y1" s="232"/>
      <x:c r="Z1" s="232"/>
    </x:row>
    <x:row r="2" ht="30" customHeight="1">
      <x:c r="A2" s="236" t="str">
        <x:v>26 record: totali DDS 2030, incrementi PDS e riconciliazione storica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  <x:c r="U2" s="236"/>
      <x:c r="V2" s="236"/>
      <x:c r="W2" s="236"/>
      <x:c r="X2" s="236"/>
      <x:c r="Y2" s="236"/>
      <x:c r="Z2" s="236"/>
    </x:row>
    <x:row r="4" ht="42" customHeight="1">
      <x:c r="A4" s="240" t="str">
        <x:v>Record ID</x:v>
      </x:c>
      <x:c r="B4" s="240" t="str">
        <x:v>Tipo record</x:v>
      </x:c>
      <x:c r="C4" s="240" t="str">
        <x:v>Anno</x:v>
      </x:c>
      <x:c r="D4" s="240" t="str">
        <x:v>Zona italiana</x:v>
      </x:c>
      <x:c r="E4" s="240" t="str">
        <x:v>Area estera</x:v>
      </x:c>
      <x:c r="F4" s="240" t="str">
        <x:v>Paese/area</x:v>
      </x:c>
      <x:c r="G4" s="240" t="str">
        <x:v>Da area</x:v>
      </x:c>
      <x:c r="H4" s="240" t="str">
        <x:v>A area</x:v>
      </x:c>
      <x:c r="I4" s="240" t="str">
        <x:v>Capacità MW</x:v>
      </x:c>
      <x:c r="J4" s="240" t="str">
        <x:v>Capacità GW</x:v>
      </x:c>
      <x:c r="K4" s="240" t="str">
        <x:v>Incremento NTC MW</x:v>
      </x:c>
      <x:c r="L4" s="240" t="str">
        <x:v>ID progetto</x:v>
      </x:c>
      <x:c r="M4" s="240" t="str">
        <x:v>Progetto</x:v>
      </x:c>
      <x:c r="N4" s="240" t="str">
        <x:v>Stato progetto</x:v>
      </x:c>
      <x:c r="O4" s="240" t="str">
        <x:v>Entrata in esercizio</x:v>
      </x:c>
      <x:c r="P4" s="240" t="str">
        <x:v>Tecnologia</x:v>
      </x:c>
      <x:c r="Q4" s="240" t="str">
        <x:v>Capacità nominale MW</x:v>
      </x:c>
      <x:c r="R4" s="240" t="str">
        <x:v>Condizionalità</x:v>
      </x:c>
      <x:c r="S4" s="240" t="str">
        <x:v>Fonte</x:v>
      </x:c>
      <x:c r="T4" s="240" t="str">
        <x:v>URL fonte</x:v>
      </x:c>
      <x:c r="U4" s="240" t="str">
        <x:v>Pagina PDF</x:v>
      </x:c>
      <x:c r="V4" s="240" t="str">
        <x:v>Pagina stampata</x:v>
      </x:c>
      <x:c r="W4" s="240" t="str">
        <x:v>Tabella/Figura</x:v>
      </x:c>
      <x:c r="X4" s="240" t="str">
        <x:v>Affidabilità</x:v>
      </x:c>
      <x:c r="Y4" s="240" t="str">
        <x:v>Uso modello</x:v>
      </x:c>
      <x:c r="Z4" s="240" t="str">
        <x:v>Note</x:v>
      </x:c>
    </x:row>
    <x:row r="5">
      <x:c r="A5" s="83" t="str">
        <x:v>FOR-001</x:v>
      </x:c>
      <x:c r="B5" s="83" t="str">
        <x:v>2030 total exchange capacity</x:v>
      </x:c>
      <x:c r="C5" s="83" t="n">
        <x:v>2030</x:v>
      </x:c>
      <x:c r="D5" s="83" t="str">
        <x:v>NORD</x:v>
      </x:c>
      <x:c r="E5" s="83" t="str">
        <x:v>FR</x:v>
      </x:c>
      <x:c r="F5" s="83" t="str">
        <x:v>France</x:v>
      </x:c>
      <x:c r="G5" s="83" t="str">
        <x:v>FR</x:v>
      </x:c>
      <x:c r="H5" s="83" t="str">
        <x:v>NORD</x:v>
      </x:c>
      <x:c r="I5" s="143" t="n">
        <x:v>4500</x:v>
      </x:c>
      <x:c r="J5" s="197" t="n">
        <x:f>IF(I5="","",I5/1000)</x:f>
        <x:v>4.5</x:v>
      </x:c>
      <x:c r="K5" s="143"/>
      <x:c r="L5" s="83" t="str"/>
      <x:c r="M5" s="83" t="str"/>
      <x:c r="N5" s="83" t="str">
        <x:v>Scenario total</x:v>
      </x:c>
      <x:c r="O5" s="83" t="str"/>
      <x:c r="P5" s="83" t="str"/>
      <x:c r="Q5" s="83"/>
      <x:c r="R5" s="83" t="str"/>
      <x:c r="S5" s="83" t="str">
        <x:v>S09</x:v>
      </x:c>
      <x:c r="T5" s="120" t="str">
        <x:v>https://download.terna.it/terna/Documento_Descrizione_Scenari_2024_8dce2430d44d101.pdf</x:v>
      </x:c>
      <x:c r="U5" s="83" t="n">
        <x:v>34</x:v>
      </x:c>
      <x:c r="V5" s="83" t="n">
        <x:v>32</x:v>
      </x:c>
      <x:c r="W5" s="83" t="str">
        <x:v>Figure 11</x:v>
      </x:c>
      <x:c r="X5" s="83" t="str">
        <x:v>A/B — Direct figure; values rounded to 0.1 GW</x:v>
      </x:c>
      <x:c r="Y5" s="83" t="str">
        <x:v>2030 cross-border QA / conservative collapsed-external-bus input</x:v>
      </x:c>
      <x:c r="Z5" s="83" t="str"/>
    </x:row>
    <x:row r="6">
      <x:c r="A6" s="83" t="str">
        <x:v>FOR-002</x:v>
      </x:c>
      <x:c r="B6" s="83" t="str">
        <x:v>2030 total exchange capacity</x:v>
      </x:c>
      <x:c r="C6" s="83" t="n">
        <x:v>2030</x:v>
      </x:c>
      <x:c r="D6" s="83" t="str">
        <x:v>NORD</x:v>
      </x:c>
      <x:c r="E6" s="83" t="str">
        <x:v>FR</x:v>
      </x:c>
      <x:c r="F6" s="83" t="str">
        <x:v>France</x:v>
      </x:c>
      <x:c r="G6" s="83" t="str">
        <x:v>NORD</x:v>
      </x:c>
      <x:c r="H6" s="83" t="str">
        <x:v>FR</x:v>
      </x:c>
      <x:c r="I6" s="143" t="n">
        <x:v>2200</x:v>
      </x:c>
      <x:c r="J6" s="197" t="n">
        <x:f>IF(I6="","",I6/1000)</x:f>
        <x:v>2.2</x:v>
      </x:c>
      <x:c r="K6" s="143"/>
      <x:c r="L6" s="83" t="str"/>
      <x:c r="M6" s="83" t="str"/>
      <x:c r="N6" s="83" t="str">
        <x:v>Scenario total</x:v>
      </x:c>
      <x:c r="O6" s="83" t="str"/>
      <x:c r="P6" s="83" t="str"/>
      <x:c r="Q6" s="83"/>
      <x:c r="R6" s="83" t="str"/>
      <x:c r="S6" s="83" t="str">
        <x:v>S09</x:v>
      </x:c>
      <x:c r="T6" s="120" t="str">
        <x:v>https://download.terna.it/terna/Documento_Descrizione_Scenari_2024_8dce2430d44d101.pdf</x:v>
      </x:c>
      <x:c r="U6" s="83" t="n">
        <x:v>34</x:v>
      </x:c>
      <x:c r="V6" s="83" t="n">
        <x:v>32</x:v>
      </x:c>
      <x:c r="W6" s="83" t="str">
        <x:v>Figure 11</x:v>
      </x:c>
      <x:c r="X6" s="83" t="str">
        <x:v>A/B — Direct figure; values rounded to 0.1 GW</x:v>
      </x:c>
      <x:c r="Y6" s="83" t="str">
        <x:v>2030 cross-border QA / conservative collapsed-external-bus input</x:v>
      </x:c>
      <x:c r="Z6" s="83" t="str"/>
    </x:row>
    <x:row r="7">
      <x:c r="A7" s="83" t="str">
        <x:v>FOR-003</x:v>
      </x:c>
      <x:c r="B7" s="83" t="str">
        <x:v>2030 total exchange capacity</x:v>
      </x:c>
      <x:c r="C7" s="83" t="n">
        <x:v>2030</x:v>
      </x:c>
      <x:c r="D7" s="83" t="str">
        <x:v>NORD</x:v>
      </x:c>
      <x:c r="E7" s="83" t="str">
        <x:v>CH</x:v>
      </x:c>
      <x:c r="F7" s="83" t="str">
        <x:v>Switzerland</x:v>
      </x:c>
      <x:c r="G7" s="83" t="str">
        <x:v>CH</x:v>
      </x:c>
      <x:c r="H7" s="83" t="str">
        <x:v>NORD</x:v>
      </x:c>
      <x:c r="I7" s="143" t="n">
        <x:v>4600</x:v>
      </x:c>
      <x:c r="J7" s="197" t="n">
        <x:f>IF(I7="","",I7/1000)</x:f>
        <x:v>4.6</x:v>
      </x:c>
      <x:c r="K7" s="143"/>
      <x:c r="L7" s="83" t="str"/>
      <x:c r="M7" s="83" t="str"/>
      <x:c r="N7" s="83" t="str">
        <x:v>Scenario total</x:v>
      </x:c>
      <x:c r="O7" s="83" t="str"/>
      <x:c r="P7" s="83" t="str"/>
      <x:c r="Q7" s="83"/>
      <x:c r="R7" s="83" t="str"/>
      <x:c r="S7" s="83" t="str">
        <x:v>S09</x:v>
      </x:c>
      <x:c r="T7" s="120" t="str">
        <x:v>https://download.terna.it/terna/Documento_Descrizione_Scenari_2024_8dce2430d44d101.pdf</x:v>
      </x:c>
      <x:c r="U7" s="83" t="n">
        <x:v>34</x:v>
      </x:c>
      <x:c r="V7" s="83" t="n">
        <x:v>32</x:v>
      </x:c>
      <x:c r="W7" s="83" t="str">
        <x:v>Figure 11</x:v>
      </x:c>
      <x:c r="X7" s="83" t="str">
        <x:v>A/B — Direct figure; values rounded to 0.1 GW</x:v>
      </x:c>
      <x:c r="Y7" s="83" t="str">
        <x:v>2030 cross-border QA / conservative collapsed-external-bus input</x:v>
      </x:c>
      <x:c r="Z7" s="83" t="str"/>
    </x:row>
    <x:row r="8">
      <x:c r="A8" s="83" t="str">
        <x:v>FOR-004</x:v>
      </x:c>
      <x:c r="B8" s="83" t="str">
        <x:v>2030 total exchange capacity</x:v>
      </x:c>
      <x:c r="C8" s="83" t="n">
        <x:v>2030</x:v>
      </x:c>
      <x:c r="D8" s="83" t="str">
        <x:v>NORD</x:v>
      </x:c>
      <x:c r="E8" s="83" t="str">
        <x:v>CH</x:v>
      </x:c>
      <x:c r="F8" s="83" t="str">
        <x:v>Switzerland</x:v>
      </x:c>
      <x:c r="G8" s="83" t="str">
        <x:v>NORD</x:v>
      </x:c>
      <x:c r="H8" s="83" t="str">
        <x:v>CH</x:v>
      </x:c>
      <x:c r="I8" s="143" t="n">
        <x:v>1900</x:v>
      </x:c>
      <x:c r="J8" s="197" t="n">
        <x:f>IF(I8="","",I8/1000)</x:f>
        <x:v>1.9</x:v>
      </x:c>
      <x:c r="K8" s="143"/>
      <x:c r="L8" s="83" t="str"/>
      <x:c r="M8" s="83" t="str"/>
      <x:c r="N8" s="83" t="str">
        <x:v>Scenario total</x:v>
      </x:c>
      <x:c r="O8" s="83" t="str"/>
      <x:c r="P8" s="83" t="str"/>
      <x:c r="Q8" s="83"/>
      <x:c r="R8" s="83" t="str"/>
      <x:c r="S8" s="83" t="str">
        <x:v>S09</x:v>
      </x:c>
      <x:c r="T8" s="120" t="str">
        <x:v>https://download.terna.it/terna/Documento_Descrizione_Scenari_2024_8dce2430d44d101.pdf</x:v>
      </x:c>
      <x:c r="U8" s="83" t="n">
        <x:v>34</x:v>
      </x:c>
      <x:c r="V8" s="83" t="n">
        <x:v>32</x:v>
      </x:c>
      <x:c r="W8" s="83" t="str">
        <x:v>Figure 11</x:v>
      </x:c>
      <x:c r="X8" s="83" t="str">
        <x:v>A/B — Direct figure; values rounded to 0.1 GW</x:v>
      </x:c>
      <x:c r="Y8" s="83" t="str">
        <x:v>2030 cross-border QA / conservative collapsed-external-bus input</x:v>
      </x:c>
      <x:c r="Z8" s="83" t="str"/>
    </x:row>
    <x:row r="9">
      <x:c r="A9" s="83" t="str">
        <x:v>FOR-005</x:v>
      </x:c>
      <x:c r="B9" s="83" t="str">
        <x:v>2030 total exchange capacity</x:v>
      </x:c>
      <x:c r="C9" s="83" t="n">
        <x:v>2030</x:v>
      </x:c>
      <x:c r="D9" s="83" t="str">
        <x:v>NORD</x:v>
      </x:c>
      <x:c r="E9" s="83" t="str">
        <x:v>AT</x:v>
      </x:c>
      <x:c r="F9" s="83" t="str">
        <x:v>Austria</x:v>
      </x:c>
      <x:c r="G9" s="83" t="str">
        <x:v>AT</x:v>
      </x:c>
      <x:c r="H9" s="83" t="str">
        <x:v>NORD</x:v>
      </x:c>
      <x:c r="I9" s="143" t="n">
        <x:v>700</x:v>
      </x:c>
      <x:c r="J9" s="197" t="n">
        <x:f>IF(I9="","",I9/1000)</x:f>
        <x:v>0.7</x:v>
      </x:c>
      <x:c r="K9" s="143"/>
      <x:c r="L9" s="83" t="str"/>
      <x:c r="M9" s="83" t="str"/>
      <x:c r="N9" s="83" t="str">
        <x:v>Scenario total</x:v>
      </x:c>
      <x:c r="O9" s="83" t="str"/>
      <x:c r="P9" s="83" t="str"/>
      <x:c r="Q9" s="83"/>
      <x:c r="R9" s="83" t="str"/>
      <x:c r="S9" s="83" t="str">
        <x:v>S09</x:v>
      </x:c>
      <x:c r="T9" s="120" t="str">
        <x:v>https://download.terna.it/terna/Documento_Descrizione_Scenari_2024_8dce2430d44d101.pdf</x:v>
      </x:c>
      <x:c r="U9" s="83" t="n">
        <x:v>34</x:v>
      </x:c>
      <x:c r="V9" s="83" t="n">
        <x:v>32</x:v>
      </x:c>
      <x:c r="W9" s="83" t="str">
        <x:v>Figure 11</x:v>
      </x:c>
      <x:c r="X9" s="83" t="str">
        <x:v>A/B — Direct figure; values rounded to 0.1 GW</x:v>
      </x:c>
      <x:c r="Y9" s="83" t="str">
        <x:v>2030 cross-border QA / conservative collapsed-external-bus input</x:v>
      </x:c>
      <x:c r="Z9" s="83" t="str"/>
    </x:row>
    <x:row r="10">
      <x:c r="A10" s="83" t="str">
        <x:v>FOR-006</x:v>
      </x:c>
      <x:c r="B10" s="83" t="str">
        <x:v>2030 total exchange capacity</x:v>
      </x:c>
      <x:c r="C10" s="83" t="n">
        <x:v>2030</x:v>
      </x:c>
      <x:c r="D10" s="83" t="str">
        <x:v>NORD</x:v>
      </x:c>
      <x:c r="E10" s="83" t="str">
        <x:v>AT</x:v>
      </x:c>
      <x:c r="F10" s="83" t="str">
        <x:v>Austria</x:v>
      </x:c>
      <x:c r="G10" s="83" t="str">
        <x:v>NORD</x:v>
      </x:c>
      <x:c r="H10" s="83" t="str">
        <x:v>AT</x:v>
      </x:c>
      <x:c r="I10" s="143" t="n">
        <x:v>300</x:v>
      </x:c>
      <x:c r="J10" s="197" t="n">
        <x:f>IF(I10="","",I10/1000)</x:f>
        <x:v>0.3</x:v>
      </x:c>
      <x:c r="K10" s="143"/>
      <x:c r="L10" s="83" t="str"/>
      <x:c r="M10" s="83" t="str"/>
      <x:c r="N10" s="83" t="str">
        <x:v>Scenario total</x:v>
      </x:c>
      <x:c r="O10" s="83" t="str"/>
      <x:c r="P10" s="83" t="str"/>
      <x:c r="Q10" s="83"/>
      <x:c r="R10" s="83" t="str"/>
      <x:c r="S10" s="83" t="str">
        <x:v>S09</x:v>
      </x:c>
      <x:c r="T10" s="120" t="str">
        <x:v>https://download.terna.it/terna/Documento_Descrizione_Scenari_2024_8dce2430d44d101.pdf</x:v>
      </x:c>
      <x:c r="U10" s="83" t="n">
        <x:v>34</x:v>
      </x:c>
      <x:c r="V10" s="83" t="n">
        <x:v>32</x:v>
      </x:c>
      <x:c r="W10" s="83" t="str">
        <x:v>Figure 11</x:v>
      </x:c>
      <x:c r="X10" s="83" t="str">
        <x:v>A/B — Direct figure; values rounded to 0.1 GW</x:v>
      </x:c>
      <x:c r="Y10" s="83" t="str">
        <x:v>2030 cross-border QA / conservative collapsed-external-bus input</x:v>
      </x:c>
      <x:c r="Z10" s="83" t="str"/>
    </x:row>
    <x:row r="11">
      <x:c r="A11" s="83" t="str">
        <x:v>FOR-007</x:v>
      </x:c>
      <x:c r="B11" s="83" t="str">
        <x:v>2030 total exchange capacity</x:v>
      </x:c>
      <x:c r="C11" s="83" t="n">
        <x:v>2030</x:v>
      </x:c>
      <x:c r="D11" s="83" t="str">
        <x:v>NORD</x:v>
      </x:c>
      <x:c r="E11" s="83" t="str">
        <x:v>SI</x:v>
      </x:c>
      <x:c r="F11" s="83" t="str">
        <x:v>Slovenia</x:v>
      </x:c>
      <x:c r="G11" s="83" t="str">
        <x:v>SI</x:v>
      </x:c>
      <x:c r="H11" s="83" t="str">
        <x:v>NORD</x:v>
      </x:c>
      <x:c r="I11" s="143" t="n">
        <x:v>1100</x:v>
      </x:c>
      <x:c r="J11" s="197" t="n">
        <x:f>IF(I11="","",I11/1000)</x:f>
        <x:v>1.1</x:v>
      </x:c>
      <x:c r="K11" s="143"/>
      <x:c r="L11" s="83" t="str"/>
      <x:c r="M11" s="83" t="str"/>
      <x:c r="N11" s="83" t="str">
        <x:v>Scenario total</x:v>
      </x:c>
      <x:c r="O11" s="83" t="str"/>
      <x:c r="P11" s="83" t="str"/>
      <x:c r="Q11" s="83"/>
      <x:c r="R11" s="83" t="str"/>
      <x:c r="S11" s="83" t="str">
        <x:v>S09</x:v>
      </x:c>
      <x:c r="T11" s="120" t="str">
        <x:v>https://download.terna.it/terna/Documento_Descrizione_Scenari_2024_8dce2430d44d101.pdf</x:v>
      </x:c>
      <x:c r="U11" s="83" t="n">
        <x:v>34</x:v>
      </x:c>
      <x:c r="V11" s="83" t="n">
        <x:v>32</x:v>
      </x:c>
      <x:c r="W11" s="83" t="str">
        <x:v>Figure 11</x:v>
      </x:c>
      <x:c r="X11" s="83" t="str">
        <x:v>A/B — Direct figure; values rounded to 0.1 GW</x:v>
      </x:c>
      <x:c r="Y11" s="83" t="str">
        <x:v>2030 cross-border QA / conservative collapsed-external-bus input</x:v>
      </x:c>
      <x:c r="Z11" s="83" t="str"/>
    </x:row>
    <x:row r="12">
      <x:c r="A12" s="83" t="str">
        <x:v>FOR-008</x:v>
      </x:c>
      <x:c r="B12" s="83" t="str">
        <x:v>2030 total exchange capacity</x:v>
      </x:c>
      <x:c r="C12" s="83" t="n">
        <x:v>2030</x:v>
      </x:c>
      <x:c r="D12" s="83" t="str">
        <x:v>NORD</x:v>
      </x:c>
      <x:c r="E12" s="83" t="str">
        <x:v>SI</x:v>
      </x:c>
      <x:c r="F12" s="83" t="str">
        <x:v>Slovenia</x:v>
      </x:c>
      <x:c r="G12" s="83" t="str">
        <x:v>NORD</x:v>
      </x:c>
      <x:c r="H12" s="83" t="str">
        <x:v>SI</x:v>
      </x:c>
      <x:c r="I12" s="143" t="n">
        <x:v>1200</x:v>
      </x:c>
      <x:c r="J12" s="197" t="n">
        <x:f>IF(I12="","",I12/1000)</x:f>
        <x:v>1.2</x:v>
      </x:c>
      <x:c r="K12" s="143"/>
      <x:c r="L12" s="83" t="str"/>
      <x:c r="M12" s="83" t="str"/>
      <x:c r="N12" s="83" t="str">
        <x:v>Scenario total</x:v>
      </x:c>
      <x:c r="O12" s="83" t="str"/>
      <x:c r="P12" s="83" t="str"/>
      <x:c r="Q12" s="83"/>
      <x:c r="R12" s="83" t="str"/>
      <x:c r="S12" s="83" t="str">
        <x:v>S09</x:v>
      </x:c>
      <x:c r="T12" s="120" t="str">
        <x:v>https://download.terna.it/terna/Documento_Descrizione_Scenari_2024_8dce2430d44d101.pdf</x:v>
      </x:c>
      <x:c r="U12" s="83" t="n">
        <x:v>34</x:v>
      </x:c>
      <x:c r="V12" s="83" t="n">
        <x:v>32</x:v>
      </x:c>
      <x:c r="W12" s="83" t="str">
        <x:v>Figure 11</x:v>
      </x:c>
      <x:c r="X12" s="83" t="str">
        <x:v>A/B — Direct figure; values rounded to 0.1 GW</x:v>
      </x:c>
      <x:c r="Y12" s="83" t="str">
        <x:v>2030 cross-border QA / conservative collapsed-external-bus input</x:v>
      </x:c>
      <x:c r="Z12" s="83" t="str"/>
    </x:row>
    <x:row r="13">
      <x:c r="A13" s="83" t="str">
        <x:v>FOR-009</x:v>
      </x:c>
      <x:c r="B13" s="83" t="str">
        <x:v>2030 total exchange capacity</x:v>
      </x:c>
      <x:c r="C13" s="83" t="n">
        <x:v>2030</x:v>
      </x:c>
      <x:c r="D13" s="83" t="str">
        <x:v>CSUD</x:v>
      </x:c>
      <x:c r="E13" s="83" t="str">
        <x:v>ME</x:v>
      </x:c>
      <x:c r="F13" s="83" t="str">
        <x:v>Montenegro</x:v>
      </x:c>
      <x:c r="G13" s="83" t="str">
        <x:v>ME</x:v>
      </x:c>
      <x:c r="H13" s="83" t="str">
        <x:v>CSUD</x:v>
      </x:c>
      <x:c r="I13" s="143" t="n">
        <x:v>600</x:v>
      </x:c>
      <x:c r="J13" s="197" t="n">
        <x:f>IF(I13="","",I13/1000)</x:f>
        <x:v>0.6</x:v>
      </x:c>
      <x:c r="K13" s="143"/>
      <x:c r="L13" s="83" t="str"/>
      <x:c r="M13" s="83" t="str"/>
      <x:c r="N13" s="83" t="str">
        <x:v>Scenario total</x:v>
      </x:c>
      <x:c r="O13" s="83" t="str"/>
      <x:c r="P13" s="83" t="str"/>
      <x:c r="Q13" s="83"/>
      <x:c r="R13" s="83" t="str"/>
      <x:c r="S13" s="83" t="str">
        <x:v>S09</x:v>
      </x:c>
      <x:c r="T13" s="120" t="str">
        <x:v>https://download.terna.it/terna/Documento_Descrizione_Scenari_2024_8dce2430d44d101.pdf</x:v>
      </x:c>
      <x:c r="U13" s="83" t="n">
        <x:v>34</x:v>
      </x:c>
      <x:c r="V13" s="83" t="n">
        <x:v>32</x:v>
      </x:c>
      <x:c r="W13" s="83" t="str">
        <x:v>Figure 11</x:v>
      </x:c>
      <x:c r="X13" s="83" t="str">
        <x:v>A/B — Direct figure; values rounded to 0.1 GW</x:v>
      </x:c>
      <x:c r="Y13" s="83" t="str">
        <x:v>2030 cross-border QA / conservative collapsed-external-bus input</x:v>
      </x:c>
      <x:c r="Z13" s="83" t="str"/>
    </x:row>
    <x:row r="14">
      <x:c r="A14" s="83" t="str">
        <x:v>FOR-010</x:v>
      </x:c>
      <x:c r="B14" s="83" t="str">
        <x:v>2030 total exchange capacity</x:v>
      </x:c>
      <x:c r="C14" s="83" t="n">
        <x:v>2030</x:v>
      </x:c>
      <x:c r="D14" s="83" t="str">
        <x:v>CSUD</x:v>
      </x:c>
      <x:c r="E14" s="83" t="str">
        <x:v>ME</x:v>
      </x:c>
      <x:c r="F14" s="83" t="str">
        <x:v>Montenegro</x:v>
      </x:c>
      <x:c r="G14" s="83" t="str">
        <x:v>CSUD</x:v>
      </x:c>
      <x:c r="H14" s="83" t="str">
        <x:v>ME</x:v>
      </x:c>
      <x:c r="I14" s="143" t="n">
        <x:v>600</x:v>
      </x:c>
      <x:c r="J14" s="197" t="n">
        <x:f>IF(I14="","",I14/1000)</x:f>
        <x:v>0.6</x:v>
      </x:c>
      <x:c r="K14" s="143"/>
      <x:c r="L14" s="83" t="str"/>
      <x:c r="M14" s="83" t="str"/>
      <x:c r="N14" s="83" t="str">
        <x:v>Scenario total</x:v>
      </x:c>
      <x:c r="O14" s="83" t="str"/>
      <x:c r="P14" s="83" t="str"/>
      <x:c r="Q14" s="83"/>
      <x:c r="R14" s="83" t="str"/>
      <x:c r="S14" s="83" t="str">
        <x:v>S09</x:v>
      </x:c>
      <x:c r="T14" s="120" t="str">
        <x:v>https://download.terna.it/terna/Documento_Descrizione_Scenari_2024_8dce2430d44d101.pdf</x:v>
      </x:c>
      <x:c r="U14" s="83" t="n">
        <x:v>34</x:v>
      </x:c>
      <x:c r="V14" s="83" t="n">
        <x:v>32</x:v>
      </x:c>
      <x:c r="W14" s="83" t="str">
        <x:v>Figure 11</x:v>
      </x:c>
      <x:c r="X14" s="83" t="str">
        <x:v>A/B — Direct figure; values rounded to 0.1 GW</x:v>
      </x:c>
      <x:c r="Y14" s="83" t="str">
        <x:v>2030 cross-border QA / conservative collapsed-external-bus input</x:v>
      </x:c>
      <x:c r="Z14" s="83" t="str"/>
    </x:row>
    <x:row r="15">
      <x:c r="A15" s="83" t="str">
        <x:v>FOR-011</x:v>
      </x:c>
      <x:c r="B15" s="83" t="str">
        <x:v>2030 total exchange capacity</x:v>
      </x:c>
      <x:c r="C15" s="83" t="n">
        <x:v>2030</x:v>
      </x:c>
      <x:c r="D15" s="83" t="str">
        <x:v>SUD</x:v>
      </x:c>
      <x:c r="E15" s="83" t="str">
        <x:v>GR</x:v>
      </x:c>
      <x:c r="F15" s="83" t="str">
        <x:v>Greece</x:v>
      </x:c>
      <x:c r="G15" s="83" t="str">
        <x:v>GR</x:v>
      </x:c>
      <x:c r="H15" s="83" t="str">
        <x:v>SUD</x:v>
      </x:c>
      <x:c r="I15" s="143" t="n">
        <x:v>500</x:v>
      </x:c>
      <x:c r="J15" s="197" t="n">
        <x:f>IF(I15="","",I15/1000)</x:f>
        <x:v>0.5</x:v>
      </x:c>
      <x:c r="K15" s="143"/>
      <x:c r="L15" s="83" t="str"/>
      <x:c r="M15" s="83" t="str"/>
      <x:c r="N15" s="83" t="str">
        <x:v>Scenario total</x:v>
      </x:c>
      <x:c r="O15" s="83" t="str"/>
      <x:c r="P15" s="83" t="str"/>
      <x:c r="Q15" s="83"/>
      <x:c r="R15" s="83" t="str"/>
      <x:c r="S15" s="83" t="str">
        <x:v>S09</x:v>
      </x:c>
      <x:c r="T15" s="120" t="str">
        <x:v>https://download.terna.it/terna/Documento_Descrizione_Scenari_2024_8dce2430d44d101.pdf</x:v>
      </x:c>
      <x:c r="U15" s="83" t="n">
        <x:v>34</x:v>
      </x:c>
      <x:c r="V15" s="83" t="n">
        <x:v>32</x:v>
      </x:c>
      <x:c r="W15" s="83" t="str">
        <x:v>Figure 11</x:v>
      </x:c>
      <x:c r="X15" s="83" t="str">
        <x:v>A/B — Direct figure; values rounded to 0.1 GW</x:v>
      </x:c>
      <x:c r="Y15" s="83" t="str">
        <x:v>2030 cross-border QA / conservative collapsed-external-bus input</x:v>
      </x:c>
      <x:c r="Z15" s="83" t="str"/>
    </x:row>
    <x:row r="16">
      <x:c r="A16" s="83" t="str">
        <x:v>FOR-012</x:v>
      </x:c>
      <x:c r="B16" s="83" t="str">
        <x:v>2030 total exchange capacity</x:v>
      </x:c>
      <x:c r="C16" s="83" t="n">
        <x:v>2030</x:v>
      </x:c>
      <x:c r="D16" s="83" t="str">
        <x:v>SUD</x:v>
      </x:c>
      <x:c r="E16" s="83" t="str">
        <x:v>GR</x:v>
      </x:c>
      <x:c r="F16" s="83" t="str">
        <x:v>Greece</x:v>
      </x:c>
      <x:c r="G16" s="83" t="str">
        <x:v>SUD</x:v>
      </x:c>
      <x:c r="H16" s="83" t="str">
        <x:v>GR</x:v>
      </x:c>
      <x:c r="I16" s="143" t="n">
        <x:v>500</x:v>
      </x:c>
      <x:c r="J16" s="197" t="n">
        <x:f>IF(I16="","",I16/1000)</x:f>
        <x:v>0.5</x:v>
      </x:c>
      <x:c r="K16" s="143"/>
      <x:c r="L16" s="83" t="str"/>
      <x:c r="M16" s="83" t="str"/>
      <x:c r="N16" s="83" t="str">
        <x:v>Scenario total</x:v>
      </x:c>
      <x:c r="O16" s="83" t="str"/>
      <x:c r="P16" s="83" t="str"/>
      <x:c r="Q16" s="83"/>
      <x:c r="R16" s="83" t="str"/>
      <x:c r="S16" s="83" t="str">
        <x:v>S09</x:v>
      </x:c>
      <x:c r="T16" s="120" t="str">
        <x:v>https://download.terna.it/terna/Documento_Descrizione_Scenari_2024_8dce2430d44d101.pdf</x:v>
      </x:c>
      <x:c r="U16" s="83" t="n">
        <x:v>34</x:v>
      </x:c>
      <x:c r="V16" s="83" t="n">
        <x:v>32</x:v>
      </x:c>
      <x:c r="W16" s="83" t="str">
        <x:v>Figure 11</x:v>
      </x:c>
      <x:c r="X16" s="83" t="str">
        <x:v>A/B — Direct figure; values rounded to 0.1 GW</x:v>
      </x:c>
      <x:c r="Y16" s="83" t="str">
        <x:v>2030 cross-border QA / conservative collapsed-external-bus input</x:v>
      </x:c>
      <x:c r="Z16" s="83" t="str"/>
    </x:row>
    <x:row r="17">
      <x:c r="A17" s="83" t="str">
        <x:v>FOR-013</x:v>
      </x:c>
      <x:c r="B17" s="83" t="str">
        <x:v>2030 total exchange capacity</x:v>
      </x:c>
      <x:c r="C17" s="83" t="n">
        <x:v>2030</x:v>
      </x:c>
      <x:c r="D17" s="83" t="str">
        <x:v>SICI</x:v>
      </x:c>
      <x:c r="E17" s="83" t="str">
        <x:v>TN</x:v>
      </x:c>
      <x:c r="F17" s="83" t="str">
        <x:v>Tunisia</x:v>
      </x:c>
      <x:c r="G17" s="83" t="str">
        <x:v>TN</x:v>
      </x:c>
      <x:c r="H17" s="83" t="str">
        <x:v>SICI</x:v>
      </x:c>
      <x:c r="I17" s="143" t="n">
        <x:v>600</x:v>
      </x:c>
      <x:c r="J17" s="197" t="n">
        <x:f>IF(I17="","",I17/1000)</x:f>
        <x:v>0.6</x:v>
      </x:c>
      <x:c r="K17" s="143"/>
      <x:c r="L17" s="83" t="str"/>
      <x:c r="M17" s="83" t="str"/>
      <x:c r="N17" s="83" t="str">
        <x:v>Scenario total</x:v>
      </x:c>
      <x:c r="O17" s="83" t="str"/>
      <x:c r="P17" s="83" t="str"/>
      <x:c r="Q17" s="83"/>
      <x:c r="R17" s="83" t="str"/>
      <x:c r="S17" s="83" t="str">
        <x:v>S09</x:v>
      </x:c>
      <x:c r="T17" s="120" t="str">
        <x:v>https://download.terna.it/terna/Documento_Descrizione_Scenari_2024_8dce2430d44d101.pdf</x:v>
      </x:c>
      <x:c r="U17" s="83" t="n">
        <x:v>34</x:v>
      </x:c>
      <x:c r="V17" s="83" t="n">
        <x:v>32</x:v>
      </x:c>
      <x:c r="W17" s="83" t="str">
        <x:v>Figure 11</x:v>
      </x:c>
      <x:c r="X17" s="83" t="str">
        <x:v>A/B — Direct figure; values rounded to 0.1 GW</x:v>
      </x:c>
      <x:c r="Y17" s="83" t="str">
        <x:v>2030 cross-border QA / conservative collapsed-external-bus input</x:v>
      </x:c>
      <x:c r="Z17" s="83" t="str"/>
    </x:row>
    <x:row r="18">
      <x:c r="A18" s="83" t="str">
        <x:v>FOR-014</x:v>
      </x:c>
      <x:c r="B18" s="83" t="str">
        <x:v>2030 total exchange capacity</x:v>
      </x:c>
      <x:c r="C18" s="83" t="n">
        <x:v>2030</x:v>
      </x:c>
      <x:c r="D18" s="83" t="str">
        <x:v>SICI</x:v>
      </x:c>
      <x:c r="E18" s="83" t="str">
        <x:v>TN</x:v>
      </x:c>
      <x:c r="F18" s="83" t="str">
        <x:v>Tunisia</x:v>
      </x:c>
      <x:c r="G18" s="83" t="str">
        <x:v>SICI</x:v>
      </x:c>
      <x:c r="H18" s="83" t="str">
        <x:v>TN</x:v>
      </x:c>
      <x:c r="I18" s="143" t="n">
        <x:v>600</x:v>
      </x:c>
      <x:c r="J18" s="197" t="n">
        <x:f>IF(I18="","",I18/1000)</x:f>
        <x:v>0.6</x:v>
      </x:c>
      <x:c r="K18" s="143"/>
      <x:c r="L18" s="83" t="str"/>
      <x:c r="M18" s="83" t="str"/>
      <x:c r="N18" s="83" t="str">
        <x:v>Scenario total</x:v>
      </x:c>
      <x:c r="O18" s="83" t="str"/>
      <x:c r="P18" s="83" t="str"/>
      <x:c r="Q18" s="83"/>
      <x:c r="R18" s="83" t="str"/>
      <x:c r="S18" s="83" t="str">
        <x:v>S09</x:v>
      </x:c>
      <x:c r="T18" s="120" t="str">
        <x:v>https://download.terna.it/terna/Documento_Descrizione_Scenari_2024_8dce2430d44d101.pdf</x:v>
      </x:c>
      <x:c r="U18" s="83" t="n">
        <x:v>34</x:v>
      </x:c>
      <x:c r="V18" s="83" t="n">
        <x:v>32</x:v>
      </x:c>
      <x:c r="W18" s="83" t="str">
        <x:v>Figure 11</x:v>
      </x:c>
      <x:c r="X18" s="83" t="str">
        <x:v>A/B — Direct figure; values rounded to 0.1 GW</x:v>
      </x:c>
      <x:c r="Y18" s="83" t="str">
        <x:v>2030 cross-border QA / conservative collapsed-external-bus input</x:v>
      </x:c>
      <x:c r="Z18" s="83" t="str"/>
    </x:row>
    <x:row r="19">
      <x:c r="A19" s="83" t="str">
        <x:v>FOR-015</x:v>
      </x:c>
      <x:c r="B19" s="83" t="str">
        <x:v>2030 total exchange capacity</x:v>
      </x:c>
      <x:c r="C19" s="83" t="n">
        <x:v>2030</x:v>
      </x:c>
      <x:c r="D19" s="83" t="str">
        <x:v>SICI</x:v>
      </x:c>
      <x:c r="E19" s="83" t="str">
        <x:v>MT</x:v>
      </x:c>
      <x:c r="F19" s="83" t="str">
        <x:v>Malta</x:v>
      </x:c>
      <x:c r="G19" s="83" t="str">
        <x:v>MT</x:v>
      </x:c>
      <x:c r="H19" s="83" t="str">
        <x:v>SICI</x:v>
      </x:c>
      <x:c r="I19" s="143" t="n">
        <x:v>200</x:v>
      </x:c>
      <x:c r="J19" s="197" t="n">
        <x:f>IF(I19="","",I19/1000)</x:f>
        <x:v>0.2</x:v>
      </x:c>
      <x:c r="K19" s="143"/>
      <x:c r="L19" s="83" t="str"/>
      <x:c r="M19" s="83" t="str"/>
      <x:c r="N19" s="83" t="str">
        <x:v>Scenario total</x:v>
      </x:c>
      <x:c r="O19" s="83" t="str"/>
      <x:c r="P19" s="83" t="str"/>
      <x:c r="Q19" s="83"/>
      <x:c r="R19" s="83" t="str"/>
      <x:c r="S19" s="83" t="str">
        <x:v>S09</x:v>
      </x:c>
      <x:c r="T19" s="120" t="str">
        <x:v>https://download.terna.it/terna/Documento_Descrizione_Scenari_2024_8dce2430d44d101.pdf</x:v>
      </x:c>
      <x:c r="U19" s="83" t="n">
        <x:v>34</x:v>
      </x:c>
      <x:c r="V19" s="83" t="n">
        <x:v>32</x:v>
      </x:c>
      <x:c r="W19" s="83" t="str">
        <x:v>Figure 11</x:v>
      </x:c>
      <x:c r="X19" s="83" t="str">
        <x:v>A/B — Direct figure; values rounded to 0.1 GW</x:v>
      </x:c>
      <x:c r="Y19" s="83" t="str">
        <x:v>2030 cross-border QA / conservative collapsed-external-bus input</x:v>
      </x:c>
      <x:c r="Z19" s="83" t="str"/>
    </x:row>
    <x:row r="20">
      <x:c r="A20" s="83" t="str">
        <x:v>FOR-016</x:v>
      </x:c>
      <x:c r="B20" s="83" t="str">
        <x:v>2030 total exchange capacity</x:v>
      </x:c>
      <x:c r="C20" s="83" t="n">
        <x:v>2030</x:v>
      </x:c>
      <x:c r="D20" s="83" t="str">
        <x:v>SICI</x:v>
      </x:c>
      <x:c r="E20" s="83" t="str">
        <x:v>MT</x:v>
      </x:c>
      <x:c r="F20" s="83" t="str">
        <x:v>Malta</x:v>
      </x:c>
      <x:c r="G20" s="83" t="str">
        <x:v>SICI</x:v>
      </x:c>
      <x:c r="H20" s="83" t="str">
        <x:v>MT</x:v>
      </x:c>
      <x:c r="I20" s="143" t="n">
        <x:v>200</x:v>
      </x:c>
      <x:c r="J20" s="197" t="n">
        <x:f>IF(I20="","",I20/1000)</x:f>
        <x:v>0.2</x:v>
      </x:c>
      <x:c r="K20" s="143"/>
      <x:c r="L20" s="83" t="str"/>
      <x:c r="M20" s="83" t="str"/>
      <x:c r="N20" s="83" t="str">
        <x:v>Scenario total</x:v>
      </x:c>
      <x:c r="O20" s="83" t="str"/>
      <x:c r="P20" s="83" t="str"/>
      <x:c r="Q20" s="83"/>
      <x:c r="R20" s="83" t="str"/>
      <x:c r="S20" s="83" t="str">
        <x:v>S09</x:v>
      </x:c>
      <x:c r="T20" s="120" t="str">
        <x:v>https://download.terna.it/terna/Documento_Descrizione_Scenari_2024_8dce2430d44d101.pdf</x:v>
      </x:c>
      <x:c r="U20" s="83" t="n">
        <x:v>34</x:v>
      </x:c>
      <x:c r="V20" s="83" t="n">
        <x:v>32</x:v>
      </x:c>
      <x:c r="W20" s="83" t="str">
        <x:v>Figure 11</x:v>
      </x:c>
      <x:c r="X20" s="83" t="str">
        <x:v>A/B — Direct figure; values rounded to 0.1 GW</x:v>
      </x:c>
      <x:c r="Y20" s="83" t="str">
        <x:v>2030 cross-border QA / conservative collapsed-external-bus input</x:v>
      </x:c>
      <x:c r="Z20" s="83" t="str"/>
    </x:row>
    <x:row r="21">
      <x:c r="A21" s="83" t="str">
        <x:v>FOR-017</x:v>
      </x:c>
      <x:c r="B21" s="83" t="str">
        <x:v>Planned NTC increment</x:v>
      </x:c>
      <x:c r="C21" s="83"/>
      <x:c r="D21" s="83" t="str">
        <x:v>NORD</x:v>
      </x:c>
      <x:c r="E21" s="83" t="str">
        <x:v>CH</x:v>
      </x:c>
      <x:c r="F21" s="83" t="str">
        <x:v>Switzerland</x:v>
      </x:c>
      <x:c r="G21" s="83" t="str"/>
      <x:c r="H21" s="83" t="str"/>
      <x:c r="I21" s="143"/>
      <x:c r="J21" s="197" t="str">
        <x:f>IF(I21="","",I21/1000)</x:f>
      </x:c>
      <x:c r="K21" s="143" t="n">
        <x:v>1000</x:v>
      </x:c>
      <x:c r="L21" s="83" t="str">
        <x:v>167-P</x:v>
      </x:c>
      <x:c r="M21" s="83" t="str">
        <x:v>Razionalizzazione Valchiavenna</x:v>
      </x:c>
      <x:c r="N21" s="83" t="str">
        <x:v>Planning/consultation</x:v>
      </x:c>
      <x:c r="O21" s="83" t="str">
        <x:v>post-2034</x:v>
      </x:c>
      <x:c r="P21" s="83" t="str">
        <x:v>AC / cross-border reinforcement</x:v>
      </x:c>
      <x:c r="Q21" s="83"/>
      <x:c r="R21" s="83" t="str"/>
      <x:c r="S21" s="83" t="str">
        <x:v>S03</x:v>
      </x:c>
      <x:c r="T21" s="120" t="str">
        <x:v>https://download.terna.it/terna/Terna_Piano_Sviluppo_2025_Benefici_sistema_analisi_robustezza_rete_8dd62ecc98b2bc9.pdf</x:v>
      </x:c>
      <x:c r="U21" s="83" t="n">
        <x:v>17</x:v>
      </x:c>
      <x:c r="V21" s="83" t="n">
        <x:v>15</x:v>
      </x:c>
      <x:c r="W21" s="83" t="str">
        <x:v>Table 1</x:v>
      </x:c>
      <x:c r="X21" s="83" t="str">
        <x:v>A — Direct table</x:v>
      </x:c>
      <x:c r="Y21" s="83" t="str">
        <x:v>Sensitivity/project overlay only until directional NTC and commissioning are resolved</x:v>
      </x:c>
      <x:c r="Z21" s="83" t="str">
        <x:v>Single NTC increment is not automatically added to both directions or to the DDS 2030 total.</x:v>
      </x:c>
    </x:row>
    <x:row r="22">
      <x:c r="A22" s="83" t="str">
        <x:v>FOR-018</x:v>
      </x:c>
      <x:c r="B22" s="83" t="str">
        <x:v>Planned NTC increment</x:v>
      </x:c>
      <x:c r="C22" s="83"/>
      <x:c r="D22" s="83" t="str">
        <x:v>NORD</x:v>
      </x:c>
      <x:c r="E22" s="83" t="str">
        <x:v>AT</x:v>
      </x:c>
      <x:c r="F22" s="83" t="str">
        <x:v>Austria</x:v>
      </x:c>
      <x:c r="G22" s="83" t="str"/>
      <x:c r="H22" s="83" t="str"/>
      <x:c r="I22" s="143"/>
      <x:c r="J22" s="197" t="str">
        <x:f>IF(I22="","",I22/1000)</x:f>
      </x:c>
      <x:c r="K22" s="143" t="n">
        <x:v>100</x:v>
      </x:c>
      <x:c r="L22" s="83" t="str">
        <x:v>208-P</x:v>
      </x:c>
      <x:c r="M22" s="83" t="str">
        <x:v>132/110 kV Prati di Vizze–Steinach</x:v>
      </x:c>
      <x:c r="N22" s="83" t="str">
        <x:v>Planned</x:v>
      </x:c>
      <x:c r="O22" s="83" t="str">
        <x:v>post-2034</x:v>
      </x:c>
      <x:c r="P22" s="83" t="str">
        <x:v>AC</x:v>
      </x:c>
      <x:c r="Q22" s="83"/>
      <x:c r="R22" s="83" t="str"/>
      <x:c r="S22" s="83" t="str">
        <x:v>S03</x:v>
      </x:c>
      <x:c r="T22" s="120" t="str">
        <x:v>https://download.terna.it/terna/Terna_Piano_Sviluppo_2025_Benefici_sistema_analisi_robustezza_rete_8dd62ecc98b2bc9.pdf</x:v>
      </x:c>
      <x:c r="U22" s="83" t="n">
        <x:v>17</x:v>
      </x:c>
      <x:c r="V22" s="83" t="n">
        <x:v>15</x:v>
      </x:c>
      <x:c r="W22" s="83" t="str">
        <x:v>Table 1</x:v>
      </x:c>
      <x:c r="X22" s="83" t="str">
        <x:v>A — Direct table</x:v>
      </x:c>
      <x:c r="Y22" s="83" t="str">
        <x:v>Sensitivity/project overlay only until directional NTC and commissioning are resolved</x:v>
      </x:c>
      <x:c r="Z22" s="83" t="str">
        <x:v>Single NTC increment is not automatically added to both directions or to the DDS 2030 total.</x:v>
      </x:c>
    </x:row>
    <x:row r="23">
      <x:c r="A23" s="83" t="str">
        <x:v>FOR-019</x:v>
      </x:c>
      <x:c r="B23" s="83" t="str">
        <x:v>Planned NTC increment</x:v>
      </x:c>
      <x:c r="C23" s="83"/>
      <x:c r="D23" s="83" t="str">
        <x:v>NORD</x:v>
      </x:c>
      <x:c r="E23" s="83" t="str">
        <x:v>AT</x:v>
      </x:c>
      <x:c r="F23" s="83" t="str">
        <x:v>Austria</x:v>
      </x:c>
      <x:c r="G23" s="83" t="str"/>
      <x:c r="H23" s="83" t="str"/>
      <x:c r="I23" s="143"/>
      <x:c r="J23" s="197" t="str">
        <x:f>IF(I23="","",I23/1000)</x:f>
      </x:c>
      <x:c r="K23" s="143" t="n">
        <x:v>160</x:v>
      </x:c>
      <x:c r="L23" s="83" t="str">
        <x:v>252-P</x:v>
      </x:c>
      <x:c r="M23" s="83" t="str">
        <x:v>AT Dobbiaco–Austria</x:v>
      </x:c>
      <x:c r="N23" s="83" t="str">
        <x:v>Planned</x:v>
      </x:c>
      <x:c r="O23" s="83" t="str">
        <x:v>post-2034</x:v>
      </x:c>
      <x:c r="P23" s="83" t="str">
        <x:v>AC</x:v>
      </x:c>
      <x:c r="Q23" s="83"/>
      <x:c r="R23" s="83" t="str"/>
      <x:c r="S23" s="83" t="str">
        <x:v>S03</x:v>
      </x:c>
      <x:c r="T23" s="120" t="str">
        <x:v>https://download.terna.it/terna/Terna_Piano_Sviluppo_2025_Benefici_sistema_analisi_robustezza_rete_8dd62ecc98b2bc9.pdf</x:v>
      </x:c>
      <x:c r="U23" s="83" t="n">
        <x:v>17</x:v>
      </x:c>
      <x:c r="V23" s="83" t="n">
        <x:v>15</x:v>
      </x:c>
      <x:c r="W23" s="83" t="str">
        <x:v>Table 1</x:v>
      </x:c>
      <x:c r="X23" s="83" t="str">
        <x:v>A — Direct table</x:v>
      </x:c>
      <x:c r="Y23" s="83" t="str">
        <x:v>Sensitivity/project overlay only until directional NTC and commissioning are resolved</x:v>
      </x:c>
      <x:c r="Z23" s="83" t="str">
        <x:v>Single NTC increment is not automatically added to both directions or to the DDS 2030 total.</x:v>
      </x:c>
    </x:row>
    <x:row r="24">
      <x:c r="A24" s="83" t="str">
        <x:v>FOR-020</x:v>
      </x:c>
      <x:c r="B24" s="83" t="str">
        <x:v>Planned NTC increment</x:v>
      </x:c>
      <x:c r="C24" s="83"/>
      <x:c r="D24" s="83" t="str">
        <x:v>NORD</x:v>
      </x:c>
      <x:c r="E24" s="83" t="str">
        <x:v>AT</x:v>
      </x:c>
      <x:c r="F24" s="83" t="str">
        <x:v>Austria</x:v>
      </x:c>
      <x:c r="G24" s="83" t="str"/>
      <x:c r="H24" s="83" t="str"/>
      <x:c r="I24" s="143"/>
      <x:c r="J24" s="197" t="str">
        <x:f>IF(I24="","",I24/1000)</x:f>
      </x:c>
      <x:c r="K24" s="143" t="n">
        <x:v>500</x:v>
      </x:c>
      <x:c r="L24" s="83" t="str">
        <x:v>204-P</x:v>
      </x:c>
      <x:c r="M24" s="83" t="str">
        <x:v>220 kV Italy–Austria interconnection</x:v>
      </x:c>
      <x:c r="N24" s="83" t="str">
        <x:v>Planning/consultation</x:v>
      </x:c>
      <x:c r="O24" s="83" t="str">
        <x:v>post-2034</x:v>
      </x:c>
      <x:c r="P24" s="83" t="str">
        <x:v>AC</x:v>
      </x:c>
      <x:c r="Q24" s="83"/>
      <x:c r="R24" s="83" t="str"/>
      <x:c r="S24" s="83" t="str">
        <x:v>S03</x:v>
      </x:c>
      <x:c r="T24" s="120" t="str">
        <x:v>https://download.terna.it/terna/Terna_Piano_Sviluppo_2025_Benefici_sistema_analisi_robustezza_rete_8dd62ecc98b2bc9.pdf</x:v>
      </x:c>
      <x:c r="U24" s="83" t="n">
        <x:v>17</x:v>
      </x:c>
      <x:c r="V24" s="83" t="n">
        <x:v>15</x:v>
      </x:c>
      <x:c r="W24" s="83" t="str">
        <x:v>Table 1</x:v>
      </x:c>
      <x:c r="X24" s="83" t="str">
        <x:v>A — Direct table</x:v>
      </x:c>
      <x:c r="Y24" s="83" t="str">
        <x:v>Sensitivity/project overlay only until directional NTC and commissioning are resolved</x:v>
      </x:c>
      <x:c r="Z24" s="83" t="str">
        <x:v>Single NTC increment is not automatically added to both directions or to the DDS 2030 total.</x:v>
      </x:c>
    </x:row>
    <x:row r="25">
      <x:c r="A25" s="83" t="str">
        <x:v>FOR-021</x:v>
      </x:c>
      <x:c r="B25" s="83" t="str">
        <x:v>Planned NTC increment</x:v>
      </x:c>
      <x:c r="C25" s="83"/>
      <x:c r="D25" s="83" t="str">
        <x:v>NORD</x:v>
      </x:c>
      <x:c r="E25" s="83" t="str">
        <x:v>SI</x:v>
      </x:c>
      <x:c r="F25" s="83" t="str">
        <x:v>Slovenia</x:v>
      </x:c>
      <x:c r="G25" s="83" t="str"/>
      <x:c r="H25" s="83" t="str"/>
      <x:c r="I25" s="143"/>
      <x:c r="J25" s="197" t="str">
        <x:f>IF(I25="","",I25/1000)</x:f>
      </x:c>
      <x:c r="K25" s="143" t="n">
        <x:v>400</x:v>
      </x:c>
      <x:c r="L25" s="83" t="str">
        <x:v>200-I</x:v>
      </x:c>
      <x:c r="M25" s="83" t="str">
        <x:v>Slovenia interconnection capacity increase — Phase 1</x:v>
      </x:c>
      <x:c r="N25" s="83" t="str">
        <x:v>Authorization/planning</x:v>
      </x:c>
      <x:c r="O25" s="83" t="str">
        <x:v>post-2034</x:v>
      </x:c>
      <x:c r="P25" s="83" t="str">
        <x:v>AC / limitation removal</x:v>
      </x:c>
      <x:c r="Q25" s="83"/>
      <x:c r="R25" s="83" t="str">
        <x:v>Only Phase 1 of the 380/220-kV limitation-removal project.</x:v>
      </x:c>
      <x:c r="S25" s="83" t="str">
        <x:v>S03</x:v>
      </x:c>
      <x:c r="T25" s="120" t="str">
        <x:v>https://download.terna.it/terna/Terna_Piano_Sviluppo_2025_Benefici_sistema_analisi_robustezza_rete_8dd62ecc98b2bc9.pdf</x:v>
      </x:c>
      <x:c r="U25" s="83" t="n">
        <x:v>17</x:v>
      </x:c>
      <x:c r="V25" s="83" t="n">
        <x:v>15</x:v>
      </x:c>
      <x:c r="W25" s="83" t="str">
        <x:v>Table 1</x:v>
      </x:c>
      <x:c r="X25" s="83" t="str">
        <x:v>A — Direct table</x:v>
      </x:c>
      <x:c r="Y25" s="83" t="str">
        <x:v>Sensitivity/project overlay only until directional NTC and commissioning are resolved</x:v>
      </x:c>
      <x:c r="Z25" s="83" t="str">
        <x:v>Single NTC increment is not automatically added to both directions or to the DDS 2030 total.</x:v>
      </x:c>
    </x:row>
    <x:row r="26">
      <x:c r="A26" s="83" t="str">
        <x:v>FOR-022</x:v>
      </x:c>
      <x:c r="B26" s="83" t="str">
        <x:v>Planned NTC increment</x:v>
      </x:c>
      <x:c r="C26" s="83"/>
      <x:c r="D26" s="83" t="str">
        <x:v>SUD</x:v>
      </x:c>
      <x:c r="E26" s="83" t="str">
        <x:v>GR</x:v>
      </x:c>
      <x:c r="F26" s="83" t="str">
        <x:v>Greece</x:v>
      </x:c>
      <x:c r="G26" s="83" t="str"/>
      <x:c r="H26" s="83" t="str"/>
      <x:c r="I26" s="143"/>
      <x:c r="J26" s="197" t="str">
        <x:f>IF(I26="","",I26/1000)</x:f>
      </x:c>
      <x:c r="K26" s="143" t="n">
        <x:v>1000</x:v>
      </x:c>
      <x:c r="L26" s="83" t="str">
        <x:v>554-P</x:v>
      </x:c>
      <x:c r="M26" s="83" t="str">
        <x:v>GRITA 2</x:v>
      </x:c>
      <x:c r="N26" s="83" t="str">
        <x:v>Authorization/consultation</x:v>
      </x:c>
      <x:c r="O26" s="83" t="str">
        <x:v>2033/2035 first phase; full post-2034</x:v>
      </x:c>
      <x:c r="P26" s="83" t="str">
        <x:v>HVDC</x:v>
      </x:c>
      <x:c r="Q26" s="83" t="n">
        <x:v>1000</x:v>
      </x:c>
      <x:c r="R26" s="83" t="str"/>
      <x:c r="S26" s="83" t="str">
        <x:v>S03</x:v>
      </x:c>
      <x:c r="T26" s="120" t="str">
        <x:v>https://download.terna.it/terna/Terna_Piano_Sviluppo_2025_Benefici_sistema_analisi_robustezza_rete_8dd62ecc98b2bc9.pdf</x:v>
      </x:c>
      <x:c r="U26" s="83" t="n">
        <x:v>17</x:v>
      </x:c>
      <x:c r="V26" s="83" t="n">
        <x:v>15</x:v>
      </x:c>
      <x:c r="W26" s="83" t="str">
        <x:v>Table 1</x:v>
      </x:c>
      <x:c r="X26" s="83" t="str">
        <x:v>A — Direct table</x:v>
      </x:c>
      <x:c r="Y26" s="83" t="str">
        <x:v>Sensitivity/project overlay only until directional NTC and commissioning are resolved</x:v>
      </x:c>
      <x:c r="Z26" s="83" t="str">
        <x:v>Single NTC increment is not automatically added to both directions or to the DDS 2030 total.</x:v>
      </x:c>
    </x:row>
    <x:row r="27">
      <x:c r="A27" s="83" t="str">
        <x:v>FOR-023</x:v>
      </x:c>
      <x:c r="B27" s="83" t="str">
        <x:v>Planned NTC increment</x:v>
      </x:c>
      <x:c r="C27" s="83"/>
      <x:c r="D27" s="83" t="str">
        <x:v>SICI</x:v>
      </x:c>
      <x:c r="E27" s="83" t="str">
        <x:v>TN</x:v>
      </x:c>
      <x:c r="F27" s="83" t="str">
        <x:v>Tunisia</x:v>
      </x:c>
      <x:c r="G27" s="83" t="str"/>
      <x:c r="H27" s="83" t="str"/>
      <x:c r="I27" s="143"/>
      <x:c r="J27" s="197" t="str">
        <x:f>IF(I27="","",I27/1000)</x:f>
      </x:c>
      <x:c r="K27" s="143" t="n">
        <x:v>600</x:v>
      </x:c>
      <x:c r="L27" s="83" t="str">
        <x:v>601-I</x:v>
      </x:c>
      <x:c r="M27" s="83" t="str">
        <x:v>ELMED Italy–Tunisia</x:v>
      </x:c>
      <x:c r="N27" s="83" t="str">
        <x:v>Authorized / under development</x:v>
      </x:c>
      <x:c r="O27" s="83" t="str">
        <x:v>2028</x:v>
      </x:c>
      <x:c r="P27" s="83" t="str">
        <x:v>HVDC</x:v>
      </x:c>
      <x:c r="Q27" s="83" t="n">
        <x:v>600</x:v>
      </x:c>
      <x:c r="R27" s="83" t="str">
        <x:v>Authorized May 2024.</x:v>
      </x:c>
      <x:c r="S27" s="83" t="str">
        <x:v>S03</x:v>
      </x:c>
      <x:c r="T27" s="120" t="str">
        <x:v>https://download.terna.it/terna/Terna_Piano_Sviluppo_2025_Benefici_sistema_analisi_robustezza_rete_8dd62ecc98b2bc9.pdf</x:v>
      </x:c>
      <x:c r="U27" s="83" t="n">
        <x:v>17</x:v>
      </x:c>
      <x:c r="V27" s="83" t="n">
        <x:v>15</x:v>
      </x:c>
      <x:c r="W27" s="83" t="str">
        <x:v>Table 1</x:v>
      </x:c>
      <x:c r="X27" s="83" t="str">
        <x:v>A — Direct table</x:v>
      </x:c>
      <x:c r="Y27" s="83" t="str">
        <x:v>Sensitivity/project overlay only until directional NTC and commissioning are resolved</x:v>
      </x:c>
      <x:c r="Z27" s="83" t="str">
        <x:v>Single NTC increment is not automatically added to both directions or to the DDS 2030 total.</x:v>
      </x:c>
    </x:row>
    <x:row r="28">
      <x:c r="A28" s="83" t="str">
        <x:v>FOR-024</x:v>
      </x:c>
      <x:c r="B28" s="83" t="str">
        <x:v>Planned NTC increment</x:v>
      </x:c>
      <x:c r="C28" s="83"/>
      <x:c r="D28" s="83" t="str">
        <x:v>CSUD</x:v>
      </x:c>
      <x:c r="E28" s="83" t="str">
        <x:v>ME</x:v>
      </x:c>
      <x:c r="F28" s="83" t="str">
        <x:v>Montenegro</x:v>
      </x:c>
      <x:c r="G28" s="83" t="str"/>
      <x:c r="H28" s="83" t="str"/>
      <x:c r="I28" s="143"/>
      <x:c r="J28" s="197" t="str">
        <x:f>IF(I28="","",I28/1000)</x:f>
      </x:c>
      <x:c r="K28" s="143" t="n">
        <x:v>600</x:v>
      </x:c>
      <x:c r="L28" s="83" t="str">
        <x:v>401-S</x:v>
      </x:c>
      <x:c r="M28" s="83" t="str">
        <x:v>Italy–Montenegro second pole</x:v>
      </x:c>
      <x:c r="N28" s="83" t="str">
        <x:v>Authorized/construction, conditional</x:v>
      </x:c>
      <x:c r="O28" s="83" t="str">
        <x:v>not specified</x:v>
      </x:c>
      <x:c r="P28" s="83" t="str">
        <x:v>HVDC</x:v>
      </x:c>
      <x:c r="Q28" s="83" t="n">
        <x:v>600</x:v>
      </x:c>
      <x:c r="R28" s="83" t="str">
        <x:v>Conditional on authority opinion and Transbalkan corridor.</x:v>
      </x:c>
      <x:c r="S28" s="83" t="str">
        <x:v>S03</x:v>
      </x:c>
      <x:c r="T28" s="120" t="str">
        <x:v>https://download.terna.it/terna/Terna_Piano_Sviluppo_2025_Benefici_sistema_analisi_robustezza_rete_8dd62ecc98b2bc9.pdf</x:v>
      </x:c>
      <x:c r="U28" s="83" t="n">
        <x:v>17</x:v>
      </x:c>
      <x:c r="V28" s="83" t="n">
        <x:v>15</x:v>
      </x:c>
      <x:c r="W28" s="83" t="str">
        <x:v>Table 1</x:v>
      </x:c>
      <x:c r="X28" s="83" t="str">
        <x:v>A — Direct table</x:v>
      </x:c>
      <x:c r="Y28" s="83" t="str">
        <x:v>Sensitivity/project overlay only until directional NTC and commissioning are resolved</x:v>
      </x:c>
      <x:c r="Z28" s="83" t="str">
        <x:v>Single NTC increment is not automatically added to both directions or to the DDS 2030 total.</x:v>
      </x:c>
    </x:row>
    <x:row r="29">
      <x:c r="A29" s="83" t="str">
        <x:v>FOR-025</x:v>
      </x:c>
      <x:c r="B29" s="83" t="str">
        <x:v>Historical commissioned increment</x:v>
      </x:c>
      <x:c r="C29" s="83" t="n">
        <x:v>2023</x:v>
      </x:c>
      <x:c r="D29" s="83" t="str">
        <x:v>NORD</x:v>
      </x:c>
      <x:c r="E29" s="83" t="str">
        <x:v>FR</x:v>
      </x:c>
      <x:c r="F29" s="83" t="str">
        <x:v>France</x:v>
      </x:c>
      <x:c r="G29" s="83" t="str">
        <x:v>FR</x:v>
      </x:c>
      <x:c r="H29" s="83" t="str">
        <x:v>NORD</x:v>
      </x:c>
      <x:c r="I29" s="143"/>
      <x:c r="J29" s="197" t="str">
        <x:f>IF(I29="","",I29/1000)</x:f>
      </x:c>
      <x:c r="K29" s="143" t="n">
        <x:v>1200</x:v>
      </x:c>
      <x:c r="L29" s="83" t="str">
        <x:v>3-P</x:v>
      </x:c>
      <x:c r="M29" s="83" t="str">
        <x:v>Piemonte–Savoia</x:v>
      </x:c>
      <x:c r="N29" s="83" t="str">
        <x:v>In service</x:v>
      </x:c>
      <x:c r="O29" s="83" t="str">
        <x:v>2023-08-04 full configuration</x:v>
      </x:c>
      <x:c r="P29" s="83" t="str">
        <x:v>HVDC</x:v>
      </x:c>
      <x:c r="Q29" s="83"/>
      <x:c r="R29" s="83" t="str"/>
      <x:c r="S29" s="83" t="str">
        <x:v>S05</x:v>
      </x:c>
      <x:c r="T29" s="120" t="str">
        <x:v>https://download.terna.it/terna/Terna_Piano_Sviluppo_2025_Esigenze_sviluppo_nuovi_progetti_8dd62eca67348ba.pdf</x:v>
      </x:c>
      <x:c r="U29" s="83" t="n">
        <x:v>55</x:v>
      </x:c>
      <x:c r="V29" s="83" t="n">
        <x:v>53</x:v>
      </x:c>
      <x:c r="W29" s="83" t="str">
        <x:v>Section 5.1</x:v>
      </x:c>
      <x:c r="X29" s="83" t="str">
        <x:v>A — Direct text</x:v>
      </x:c>
      <x:c r="Y29" s="83" t="str">
        <x:v>Historical reconciliation; already embedded in 2030 total</x:v>
      </x:c>
      <x:c r="Z29" s="83" t="str">
        <x:v>Import France→Italy increment.</x:v>
      </x:c>
    </x:row>
    <x:row r="30">
      <x:c r="A30" s="83" t="str">
        <x:v>FOR-026</x:v>
      </x:c>
      <x:c r="B30" s="83" t="str">
        <x:v>Historical commissioned increment</x:v>
      </x:c>
      <x:c r="C30" s="83" t="n">
        <x:v>2023</x:v>
      </x:c>
      <x:c r="D30" s="83" t="str">
        <x:v>NORD</x:v>
      </x:c>
      <x:c r="E30" s="83" t="str">
        <x:v>FR</x:v>
      </x:c>
      <x:c r="F30" s="83" t="str">
        <x:v>France</x:v>
      </x:c>
      <x:c r="G30" s="83" t="str">
        <x:v>NORD</x:v>
      </x:c>
      <x:c r="H30" s="83" t="str">
        <x:v>FR</x:v>
      </x:c>
      <x:c r="I30" s="143"/>
      <x:c r="J30" s="197" t="str">
        <x:f>IF(I30="","",I30/1000)</x:f>
      </x:c>
      <x:c r="K30" s="143" t="n">
        <x:v>1000</x:v>
      </x:c>
      <x:c r="L30" s="83" t="str">
        <x:v>3-P</x:v>
      </x:c>
      <x:c r="M30" s="83" t="str">
        <x:v>Piemonte–Savoia</x:v>
      </x:c>
      <x:c r="N30" s="83" t="str">
        <x:v>In service</x:v>
      </x:c>
      <x:c r="O30" s="83" t="str">
        <x:v>2023-08-04 full configuration</x:v>
      </x:c>
      <x:c r="P30" s="83" t="str">
        <x:v>HVDC</x:v>
      </x:c>
      <x:c r="Q30" s="83"/>
      <x:c r="R30" s="83" t="str"/>
      <x:c r="S30" s="83" t="str">
        <x:v>S05</x:v>
      </x:c>
      <x:c r="T30" s="120" t="str">
        <x:v>https://download.terna.it/terna/Terna_Piano_Sviluppo_2025_Esigenze_sviluppo_nuovi_progetti_8dd62eca67348ba.pdf</x:v>
      </x:c>
      <x:c r="U30" s="83" t="n">
        <x:v>55</x:v>
      </x:c>
      <x:c r="V30" s="83" t="n">
        <x:v>53</x:v>
      </x:c>
      <x:c r="W30" s="83" t="str">
        <x:v>Section 5.1</x:v>
      </x:c>
      <x:c r="X30" s="83" t="str">
        <x:v>A — Direct text</x:v>
      </x:c>
      <x:c r="Y30" s="83" t="str">
        <x:v>Historical reconciliation; already embedded in 2030 total</x:v>
      </x:c>
      <x:c r="Z30" s="83" t="str">
        <x:v>Export Italy→France increment.</x:v>
      </x:c>
    </x:row>
  </x:sheetData>
  <x:mergeCells>
    <x:mergeCell ref="A1:Z1"/>
    <x:mergeCell ref="A2:Z2"/>
  </x:mergeCells>
  <x:conditionalFormatting sqref="B5:B30">
    <x:cfRule type="expression" dxfId="49" priority="1">
      <x:formula>B5="2030 total exchange capacity"</x:formula>
    </x:cfRule>
    <x:cfRule type="expression" dxfId="50" priority="2">
      <x:formula>B5="Planned NTC increment"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cf53fe315f4ad6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48" hidden="0" customWidth="1"/>
    <x:col min="4" max="4" width="28" hidden="0" customWidth="1"/>
    <x:col min="5" max="5" width="30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26" hidden="0" customWidth="1"/>
    <x:col min="12" max="12" width="40" hidden="0" customWidth="1"/>
    <x:col min="13" max="13" width="52" hidden="0" customWidth="1"/>
    <x:col min="14" max="14" width="14" hidden="0" customWidth="1"/>
    <x:col min="15" max="15" width="52" hidden="0" customWidth="1"/>
    <x:col min="16" max="16" width="12" hidden="0" customWidth="1"/>
    <x:col min="17" max="17" width="16" hidden="0" customWidth="1"/>
    <x:col min="18" max="18" width="30" hidden="0" customWidth="1"/>
    <x:col min="19" max="19" width="24" hidden="0" customWidth="1"/>
    <x:col min="20" max="20" width="58" hidden="0" customWidth="1"/>
  </x:cols>
  <x:sheetData>
    <x:row r="1" ht="34" customHeight="1">
      <x:c r="A1" s="232" t="str">
        <x:v>Progetti di rete e impatti direzionali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</x:row>
    <x:row r="2" ht="30" customHeight="1">
      <x:c r="A2" s="236" t="str">
        <x:v>57 effetti di progetto; capacità nominale e incremento NTC mantenuti separati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</x:row>
    <x:row r="4" ht="42" customHeight="1">
      <x:c r="A4" s="240" t="str">
        <x:v>Record ID</x:v>
      </x:c>
      <x:c r="B4" s="240" t="str">
        <x:v>ID progetto</x:v>
      </x:c>
      <x:c r="C4" s="240" t="str">
        <x:v>Progetto</x:v>
      </x:c>
      <x:c r="D4" s="240" t="str">
        <x:v>Categoria</x:v>
      </x:c>
      <x:c r="E4" s="240" t="str">
        <x:v>Tecnologia</x:v>
      </x:c>
      <x:c r="F4" s="240" t="str">
        <x:v>Da zona</x:v>
      </x:c>
      <x:c r="G4" s="240" t="str">
        <x:v>A zona</x:v>
      </x:c>
      <x:c r="H4" s="240" t="str">
        <x:v>Incremento NTC MW</x:v>
      </x:c>
      <x:c r="I4" s="240" t="str">
        <x:v>Nominale/totale MW</x:v>
      </x:c>
      <x:c r="J4" s="240" t="str">
        <x:v>Nominale meno NTC MW</x:v>
      </x:c>
      <x:c r="K4" s="240" t="str">
        <x:v>Entrata in esercizio</x:v>
      </x:c>
      <x:c r="L4" s="240" t="str">
        <x:v>Stato progetto</x:v>
      </x:c>
      <x:c r="M4" s="240" t="str">
        <x:v>Trattamento 2040 Base</x:v>
      </x:c>
      <x:c r="N4" s="240" t="str">
        <x:v>Fonte</x:v>
      </x:c>
      <x:c r="O4" s="240" t="str">
        <x:v>URL fonte</x:v>
      </x:c>
      <x:c r="P4" s="240" t="str">
        <x:v>Pagina PDF</x:v>
      </x:c>
      <x:c r="Q4" s="240" t="str">
        <x:v>Pagina stampata</x:v>
      </x:c>
      <x:c r="R4" s="240" t="str">
        <x:v>Tabella/Figura</x:v>
      </x:c>
      <x:c r="S4" s="240" t="str">
        <x:v>Affidabilità</x:v>
      </x:c>
      <x:c r="T4" s="240" t="str">
        <x:v>Note</x:v>
      </x:c>
    </x:row>
    <x:row r="5">
      <x:c r="A5" s="83" t="str">
        <x:v>PRJ-001</x:v>
      </x:c>
      <x:c r="B5" s="83" t="str">
        <x:v>302-P</x:v>
      </x:c>
      <x:c r="C5" s="83" t="str">
        <x:v>380 kV Colunga–Calenzano</x:v>
      </x:c>
      <x:c r="D5" s="83" t="str">
        <x:v>Interzonal development</x:v>
      </x:c>
      <x:c r="E5" s="83" t="str">
        <x:v>AC 380 kV</x:v>
      </x:c>
      <x:c r="F5" s="83" t="str">
        <x:v>NORD</x:v>
      </x:c>
      <x:c r="G5" s="83" t="str">
        <x:v>CNOR</x:v>
      </x:c>
      <x:c r="H5" s="241" t="n">
        <x:v>500</x:v>
      </x:c>
      <x:c r="I5" s="241"/>
      <x:c r="J5" s="241" t="str">
        <x:f>IF(OR(H5="",I5=""),"",I5-H5)</x:f>
      </x:c>
      <x:c r="K5" s="83" t="str">
        <x:v>2026</x:v>
      </x:c>
      <x:c r="L5" s="83" t="str">
        <x:v>Planned / mature timetable</x:v>
      </x:c>
      <x:c r="M5" s="83" t="str">
        <x:v>Include in PDS Figure 3 corridor total; do not add separately</x:v>
      </x:c>
      <x:c r="N5" s="83" t="str">
        <x:v>S03 / S05</x:v>
      </x:c>
      <x:c r="O5" s="120" t="str">
        <x:v>https://download.terna.it/terna/Terna_Piano_Sviluppo_2025_Benefici_sistema_analisi_robustezza_rete_8dd62ecc98b2bc9.pdf</x:v>
      </x:c>
      <x:c r="P5" s="83" t="n">
        <x:v>18</x:v>
      </x:c>
      <x:c r="Q5" s="83" t="n">
        <x:v>16</x:v>
      </x:c>
      <x:c r="R5" s="83" t="str">
        <x:v>S03 Table 2; S05 architecture/project text</x:v>
      </x:c>
      <x:c r="S5" s="83" t="str">
        <x:v>A — Direct table; project metadata direct text</x:v>
      </x:c>
      <x:c r="T5" s="83" t="str">
        <x:v>Project-level NTC effect; corridor total remains governed by S03 Figure 3.</x:v>
      </x:c>
    </x:row>
    <x:row r="6">
      <x:c r="A6" s="83" t="str">
        <x:v>PRJ-002</x:v>
      </x:c>
      <x:c r="B6" s="83" t="str">
        <x:v>302-P</x:v>
      </x:c>
      <x:c r="C6" s="83" t="str">
        <x:v>380 kV Colunga–Calenzano</x:v>
      </x:c>
      <x:c r="D6" s="83" t="str">
        <x:v>Interzonal development</x:v>
      </x:c>
      <x:c r="E6" s="83" t="str">
        <x:v>AC 380 kV</x:v>
      </x:c>
      <x:c r="F6" s="83" t="str">
        <x:v>CNOR</x:v>
      </x:c>
      <x:c r="G6" s="83" t="str">
        <x:v>NORD</x:v>
      </x:c>
      <x:c r="H6" s="241" t="n">
        <x:v>500</x:v>
      </x:c>
      <x:c r="I6" s="241"/>
      <x:c r="J6" s="241" t="str">
        <x:f>IF(OR(H6="",I6=""),"",I6-H6)</x:f>
      </x:c>
      <x:c r="K6" s="83" t="str">
        <x:v>2026</x:v>
      </x:c>
      <x:c r="L6" s="83" t="str">
        <x:v>Planned / mature timetable</x:v>
      </x:c>
      <x:c r="M6" s="83" t="str">
        <x:v>Include in PDS Figure 3 corridor total; do not add separately</x:v>
      </x:c>
      <x:c r="N6" s="83" t="str">
        <x:v>S03 / S05</x:v>
      </x:c>
      <x:c r="O6" s="120" t="str">
        <x:v>https://download.terna.it/terna/Terna_Piano_Sviluppo_2025_Benefici_sistema_analisi_robustezza_rete_8dd62ecc98b2bc9.pdf</x:v>
      </x:c>
      <x:c r="P6" s="83" t="n">
        <x:v>18</x:v>
      </x:c>
      <x:c r="Q6" s="83" t="n">
        <x:v>16</x:v>
      </x:c>
      <x:c r="R6" s="83" t="str">
        <x:v>S03 Table 2; S05 architecture/project text</x:v>
      </x:c>
      <x:c r="S6" s="83" t="str">
        <x:v>A — Direct table; project metadata direct text</x:v>
      </x:c>
      <x:c r="T6" s="83" t="str">
        <x:v>Project-level NTC effect; corridor total remains governed by S03 Figure 3.</x:v>
      </x:c>
    </x:row>
    <x:row r="7">
      <x:c r="A7" s="83" t="str">
        <x:v>PRJ-003</x:v>
      </x:c>
      <x:c r="B7" s="83" t="str">
        <x:v>436-P</x:v>
      </x:c>
      <x:c r="C7" s="83" t="str">
        <x:v>Adriatic Link / HVDC Centro Sud–Centro Nord</x:v>
      </x:c>
      <x:c r="D7" s="83" t="str">
        <x:v>Interzonal development</x:v>
      </x:c>
      <x:c r="E7" s="83" t="str">
        <x:v>HVDC VSC</x:v>
      </x:c>
      <x:c r="F7" s="83" t="str">
        <x:v>NORD</x:v>
      </x:c>
      <x:c r="G7" s="83" t="str">
        <x:v>CNOR</x:v>
      </x:c>
      <x:c r="H7" s="241" t="n">
        <x:v>600</x:v>
      </x:c>
      <x:c r="I7" s="241" t="n">
        <x:v>1000</x:v>
      </x:c>
      <x:c r="J7" s="241" t="n">
        <x:f>IF(OR(H7="",I7=""),"",I7-H7)</x:f>
        <x:v>400</x:v>
      </x:c>
      <x:c r="K7" s="83" t="str">
        <x:v>2029</x:v>
      </x:c>
      <x:c r="L7" s="83" t="str">
        <x:v>Authorized January 2024; activities started 2022</x:v>
      </x:c>
      <x:c r="M7" s="83" t="str">
        <x:v>Include in PDS Figure 3 corridor total; do not add separately</x:v>
      </x:c>
      <x:c r="N7" s="83" t="str">
        <x:v>S03 / S05</x:v>
      </x:c>
      <x:c r="O7" s="120" t="str">
        <x:v>https://download.terna.it/terna/Terna_Piano_Sviluppo_2025_Benefici_sistema_analisi_robustezza_rete_8dd62ecc98b2bc9.pdf</x:v>
      </x:c>
      <x:c r="P7" s="83" t="n">
        <x:v>18</x:v>
      </x:c>
      <x:c r="Q7" s="83" t="n">
        <x:v>16</x:v>
      </x:c>
      <x:c r="R7" s="83" t="str">
        <x:v>S03 Table 2; S05 architecture/project text</x:v>
      </x:c>
      <x:c r="S7" s="83" t="str">
        <x:v>A — Direct table; project metadata direct text</x:v>
      </x:c>
      <x:c r="T7" s="83" t="str">
        <x:v>Nominal 1,000 MW; corridor effects differ by direction/section.</x:v>
      </x:c>
    </x:row>
    <x:row r="8">
      <x:c r="A8" s="83" t="str">
        <x:v>PRJ-004</x:v>
      </x:c>
      <x:c r="B8" s="83" t="str">
        <x:v>436-P</x:v>
      </x:c>
      <x:c r="C8" s="83" t="str">
        <x:v>Adriatic Link / HVDC Centro Sud–Centro Nord</x:v>
      </x:c>
      <x:c r="D8" s="83" t="str">
        <x:v>Interzonal development</x:v>
      </x:c>
      <x:c r="E8" s="83" t="str">
        <x:v>HVDC VSC</x:v>
      </x:c>
      <x:c r="F8" s="83" t="str">
        <x:v>CNOR</x:v>
      </x:c>
      <x:c r="G8" s="83" t="str">
        <x:v>NORD</x:v>
      </x:c>
      <x:c r="H8" s="241" t="n">
        <x:v>1000</x:v>
      </x:c>
      <x:c r="I8" s="241" t="n">
        <x:v>1000</x:v>
      </x:c>
      <x:c r="J8" s="241" t="n">
        <x:f>IF(OR(H8="",I8=""),"",I8-H8)</x:f>
        <x:v>0</x:v>
      </x:c>
      <x:c r="K8" s="83" t="str">
        <x:v>2029</x:v>
      </x:c>
      <x:c r="L8" s="83" t="str">
        <x:v>Authorized January 2024; activities started 2022</x:v>
      </x:c>
      <x:c r="M8" s="83" t="str">
        <x:v>Include in PDS Figure 3 corridor total; do not add separately</x:v>
      </x:c>
      <x:c r="N8" s="83" t="str">
        <x:v>S03 / S05</x:v>
      </x:c>
      <x:c r="O8" s="120" t="str">
        <x:v>https://download.terna.it/terna/Terna_Piano_Sviluppo_2025_Benefici_sistema_analisi_robustezza_rete_8dd62ecc98b2bc9.pdf</x:v>
      </x:c>
      <x:c r="P8" s="83" t="n">
        <x:v>18</x:v>
      </x:c>
      <x:c r="Q8" s="83" t="n">
        <x:v>16</x:v>
      </x:c>
      <x:c r="R8" s="83" t="str">
        <x:v>S03 Table 2; S05 architecture/project text</x:v>
      </x:c>
      <x:c r="S8" s="83" t="str">
        <x:v>A — Direct table; project metadata direct text</x:v>
      </x:c>
      <x:c r="T8" s="83" t="str">
        <x:v>Nominal 1,000 MW; corridor effects differ by direction/section.</x:v>
      </x:c>
    </x:row>
    <x:row r="9">
      <x:c r="A9" s="83" t="str">
        <x:v>PRJ-005</x:v>
      </x:c>
      <x:c r="B9" s="83" t="str">
        <x:v>447-P</x:v>
      </x:c>
      <x:c r="C9" s="83" t="str">
        <x:v>Dorsale Adriatica HVDC Forlì–Foggia</x:v>
      </x:c>
      <x:c r="D9" s="83" t="str">
        <x:v>Interzonal development</x:v>
      </x:c>
      <x:c r="E9" s="83" t="str">
        <x:v>HVDC VSC &gt;2 GW</x:v>
      </x:c>
      <x:c r="F9" s="83" t="str">
        <x:v>NORD</x:v>
      </x:c>
      <x:c r="G9" s="83" t="str">
        <x:v>CNOR</x:v>
      </x:c>
      <x:c r="H9" s="241" t="n">
        <x:v>700</x:v>
      </x:c>
      <x:c r="I9" s="241" t="n">
        <x:v>2100</x:v>
      </x:c>
      <x:c r="J9" s="241" t="n">
        <x:f>IF(OR(H9="",I9=""),"",I9-H9)</x:f>
        <x:v>1400</x:v>
      </x:c>
      <x:c r="K9" s="83" t="str">
        <x:v>2033/2034</x:v>
      </x:c>
      <x:c r="L9" s="83" t="str">
        <x:v>Planned Hypergrid</x:v>
      </x:c>
      <x:c r="M9" s="83" t="str">
        <x:v>Include in PDS Figure 3 corridor total; do not add separately</x:v>
      </x:c>
      <x:c r="N9" s="83" t="str">
        <x:v>S03 / S05</x:v>
      </x:c>
      <x:c r="O9" s="120" t="str">
        <x:v>https://download.terna.it/terna/Terna_Piano_Sviluppo_2025_Benefici_sistema_analisi_robustezza_rete_8dd62ecc98b2bc9.pdf</x:v>
      </x:c>
      <x:c r="P9" s="83" t="n">
        <x:v>18</x:v>
      </x:c>
      <x:c r="Q9" s="83" t="n">
        <x:v>16</x:v>
      </x:c>
      <x:c r="R9" s="83" t="str">
        <x:v>S03 Table 2; S05 architecture/project text</x:v>
      </x:c>
      <x:c r="S9" s="83" t="str">
        <x:v>A — Direct table; project metadata direct text</x:v>
      </x:c>
      <x:c r="T9" s="83" t="str">
        <x:v>Direct NORD–SUD section plus effects on NORD–CNOR and CSUD–SUD.</x:v>
      </x:c>
    </x:row>
    <x:row r="10">
      <x:c r="A10" s="83" t="str">
        <x:v>PRJ-006</x:v>
      </x:c>
      <x:c r="B10" s="83" t="str">
        <x:v>447-P</x:v>
      </x:c>
      <x:c r="C10" s="83" t="str">
        <x:v>Dorsale Adriatica HVDC Forlì–Foggia</x:v>
      </x:c>
      <x:c r="D10" s="83" t="str">
        <x:v>Interzonal development</x:v>
      </x:c>
      <x:c r="E10" s="83" t="str">
        <x:v>HVDC VSC &gt;2 GW</x:v>
      </x:c>
      <x:c r="F10" s="83" t="str">
        <x:v>CNOR</x:v>
      </x:c>
      <x:c r="G10" s="83" t="str">
        <x:v>NORD</x:v>
      </x:c>
      <x:c r="H10" s="241" t="n">
        <x:v>700</x:v>
      </x:c>
      <x:c r="I10" s="241" t="n">
        <x:v>2100</x:v>
      </x:c>
      <x:c r="J10" s="241" t="n">
        <x:f>IF(OR(H10="",I10=""),"",I10-H10)</x:f>
        <x:v>1400</x:v>
      </x:c>
      <x:c r="K10" s="83" t="str">
        <x:v>2033/2034</x:v>
      </x:c>
      <x:c r="L10" s="83" t="str">
        <x:v>Planned Hypergrid</x:v>
      </x:c>
      <x:c r="M10" s="83" t="str">
        <x:v>Include in PDS Figure 3 corridor total; do not add separately</x:v>
      </x:c>
      <x:c r="N10" s="83" t="str">
        <x:v>S03 / S05</x:v>
      </x:c>
      <x:c r="O10" s="120" t="str">
        <x:v>https://download.terna.it/terna/Terna_Piano_Sviluppo_2025_Benefici_sistema_analisi_robustezza_rete_8dd62ecc98b2bc9.pdf</x:v>
      </x:c>
      <x:c r="P10" s="83" t="n">
        <x:v>18</x:v>
      </x:c>
      <x:c r="Q10" s="83" t="n">
        <x:v>16</x:v>
      </x:c>
      <x:c r="R10" s="83" t="str">
        <x:v>S03 Table 2; S05 architecture/project text</x:v>
      </x:c>
      <x:c r="S10" s="83" t="str">
        <x:v>A — Direct table; project metadata direct text</x:v>
      </x:c>
      <x:c r="T10" s="83" t="str">
        <x:v>Direct NORD–SUD section plus effects on NORD–CNOR and CSUD–SUD.</x:v>
      </x:c>
    </x:row>
    <x:row r="11">
      <x:c r="A11" s="83" t="str">
        <x:v>PRJ-007</x:v>
      </x:c>
      <x:c r="B11" s="83" t="str">
        <x:v>447-P</x:v>
      </x:c>
      <x:c r="C11" s="83" t="str">
        <x:v>Dorsale Adriatica HVDC Forlì–Foggia</x:v>
      </x:c>
      <x:c r="D11" s="83" t="str">
        <x:v>Interzonal development</x:v>
      </x:c>
      <x:c r="E11" s="83" t="str">
        <x:v>HVDC VSC &gt;2 GW</x:v>
      </x:c>
      <x:c r="F11" s="83" t="str">
        <x:v>NORD</x:v>
      </x:c>
      <x:c r="G11" s="83" t="str">
        <x:v>SUD</x:v>
      </x:c>
      <x:c r="H11" s="241" t="n">
        <x:v>2100</x:v>
      </x:c>
      <x:c r="I11" s="241" t="n">
        <x:v>2100</x:v>
      </x:c>
      <x:c r="J11" s="241" t="n">
        <x:f>IF(OR(H11="",I11=""),"",I11-H11)</x:f>
        <x:v>0</x:v>
      </x:c>
      <x:c r="K11" s="83" t="str">
        <x:v>2033/2034</x:v>
      </x:c>
      <x:c r="L11" s="83" t="str">
        <x:v>Planned Hypergrid</x:v>
      </x:c>
      <x:c r="M11" s="83" t="str">
        <x:v>Include in PDS Figure 3 corridor total; do not add separately</x:v>
      </x:c>
      <x:c r="N11" s="83" t="str">
        <x:v>S03 / S05</x:v>
      </x:c>
      <x:c r="O11" s="120" t="str">
        <x:v>https://download.terna.it/terna/Terna_Piano_Sviluppo_2025_Benefici_sistema_analisi_robustezza_rete_8dd62ecc98b2bc9.pdf</x:v>
      </x:c>
      <x:c r="P11" s="83" t="n">
        <x:v>18</x:v>
      </x:c>
      <x:c r="Q11" s="83" t="n">
        <x:v>16</x:v>
      </x:c>
      <x:c r="R11" s="83" t="str">
        <x:v>S03 Table 2; S05 architecture/project text</x:v>
      </x:c>
      <x:c r="S11" s="83" t="str">
        <x:v>A — Direct table; project metadata direct text</x:v>
      </x:c>
      <x:c r="T11" s="83" t="str">
        <x:v>Direct NORD–SUD section plus effects on NORD–CNOR and CSUD–SUD.</x:v>
      </x:c>
    </x:row>
    <x:row r="12">
      <x:c r="A12" s="83" t="str">
        <x:v>PRJ-008</x:v>
      </x:c>
      <x:c r="B12" s="83" t="str">
        <x:v>447-P</x:v>
      </x:c>
      <x:c r="C12" s="83" t="str">
        <x:v>Dorsale Adriatica HVDC Forlì–Foggia</x:v>
      </x:c>
      <x:c r="D12" s="83" t="str">
        <x:v>Interzonal development</x:v>
      </x:c>
      <x:c r="E12" s="83" t="str">
        <x:v>HVDC VSC &gt;2 GW</x:v>
      </x:c>
      <x:c r="F12" s="83" t="str">
        <x:v>SUD</x:v>
      </x:c>
      <x:c r="G12" s="83" t="str">
        <x:v>NORD</x:v>
      </x:c>
      <x:c r="H12" s="241" t="n">
        <x:v>2100</x:v>
      </x:c>
      <x:c r="I12" s="241" t="n">
        <x:v>2100</x:v>
      </x:c>
      <x:c r="J12" s="241" t="n">
        <x:f>IF(OR(H12="",I12=""),"",I12-H12)</x:f>
        <x:v>0</x:v>
      </x:c>
      <x:c r="K12" s="83" t="str">
        <x:v>2033/2034</x:v>
      </x:c>
      <x:c r="L12" s="83" t="str">
        <x:v>Planned Hypergrid</x:v>
      </x:c>
      <x:c r="M12" s="83" t="str">
        <x:v>Include in PDS Figure 3 corridor total; do not add separately</x:v>
      </x:c>
      <x:c r="N12" s="83" t="str">
        <x:v>S03 / S05</x:v>
      </x:c>
      <x:c r="O12" s="120" t="str">
        <x:v>https://download.terna.it/terna/Terna_Piano_Sviluppo_2025_Benefici_sistema_analisi_robustezza_rete_8dd62ecc98b2bc9.pdf</x:v>
      </x:c>
      <x:c r="P12" s="83" t="n">
        <x:v>18</x:v>
      </x:c>
      <x:c r="Q12" s="83" t="n">
        <x:v>16</x:v>
      </x:c>
      <x:c r="R12" s="83" t="str">
        <x:v>S03 Table 2; S05 architecture/project text</x:v>
      </x:c>
      <x:c r="S12" s="83" t="str">
        <x:v>A — Direct table; project metadata direct text</x:v>
      </x:c>
      <x:c r="T12" s="83" t="str">
        <x:v>Direct NORD–SUD section plus effects on NORD–CNOR and CSUD–SUD.</x:v>
      </x:c>
    </x:row>
    <x:row r="13">
      <x:c r="A13" s="83" t="str">
        <x:v>PRJ-009</x:v>
      </x:c>
      <x:c r="B13" s="83" t="str">
        <x:v>432-P</x:v>
      </x:c>
      <x:c r="C13" s="83" t="str">
        <x:v>Rimozione limitazioni CSUD–CNOR</x:v>
      </x:c>
      <x:c r="D13" s="83" t="str">
        <x:v>Interzonal development</x:v>
      </x:c>
      <x:c r="E13" s="83" t="str">
        <x:v>Asset maximization / AC</x:v>
      </x:c>
      <x:c r="F13" s="83" t="str">
        <x:v>CNOR</x:v>
      </x:c>
      <x:c r="G13" s="83" t="str">
        <x:v>CSUD</x:v>
      </x:c>
      <x:c r="H13" s="241" t="n">
        <x:v>400</x:v>
      </x:c>
      <x:c r="I13" s="241"/>
      <x:c r="J13" s="241" t="str">
        <x:f>IF(OR(H13="",I13=""),"",I13-H13)</x:f>
      </x:c>
      <x:c r="K13" s="83" t="str">
        <x:v>2026</x:v>
      </x:c>
      <x:c r="L13" s="83" t="str">
        <x:v>Planned / short-term</x:v>
      </x:c>
      <x:c r="M13" s="83" t="str">
        <x:v>Include in PDS Figure 3 corridor total; do not add separately</x:v>
      </x:c>
      <x:c r="N13" s="83" t="str">
        <x:v>S03 / S05</x:v>
      </x:c>
      <x:c r="O13" s="120" t="str">
        <x:v>https://download.terna.it/terna/Terna_Piano_Sviluppo_2025_Benefici_sistema_analisi_robustezza_rete_8dd62ecc98b2bc9.pdf</x:v>
      </x:c>
      <x:c r="P13" s="83" t="n">
        <x:v>18</x:v>
      </x:c>
      <x:c r="Q13" s="83" t="n">
        <x:v>16</x:v>
      </x:c>
      <x:c r="R13" s="83" t="str">
        <x:v>S03 Table 2; S05 architecture/project text</x:v>
      </x:c>
      <x:c r="S13" s="83" t="str">
        <x:v>A — Direct table; project metadata direct text</x:v>
      </x:c>
      <x:c r="T13" s="83" t="str">
        <x:v>Project-level NTC effect; corridor total remains governed by S03 Figure 3.</x:v>
      </x:c>
    </x:row>
    <x:row r="14">
      <x:c r="A14" s="83" t="str">
        <x:v>PRJ-010</x:v>
      </x:c>
      <x:c r="B14" s="83" t="str">
        <x:v>432-P</x:v>
      </x:c>
      <x:c r="C14" s="83" t="str">
        <x:v>Rimozione limitazioni CSUD–CNOR</x:v>
      </x:c>
      <x:c r="D14" s="83" t="str">
        <x:v>Interzonal development</x:v>
      </x:c>
      <x:c r="E14" s="83" t="str">
        <x:v>Asset maximization / AC</x:v>
      </x:c>
      <x:c r="F14" s="83" t="str">
        <x:v>CSUD</x:v>
      </x:c>
      <x:c r="G14" s="83" t="str">
        <x:v>CNOR</x:v>
      </x:c>
      <x:c r="H14" s="241" t="n">
        <x:v>400</x:v>
      </x:c>
      <x:c r="I14" s="241"/>
      <x:c r="J14" s="241" t="str">
        <x:f>IF(OR(H14="",I14=""),"",I14-H14)</x:f>
      </x:c>
      <x:c r="K14" s="83" t="str">
        <x:v>2026</x:v>
      </x:c>
      <x:c r="L14" s="83" t="str">
        <x:v>Planned / short-term</x:v>
      </x:c>
      <x:c r="M14" s="83" t="str">
        <x:v>Include in PDS Figure 3 corridor total; do not add separately</x:v>
      </x:c>
      <x:c r="N14" s="83" t="str">
        <x:v>S03 / S05</x:v>
      </x:c>
      <x:c r="O14" s="120" t="str">
        <x:v>https://download.terna.it/terna/Terna_Piano_Sviluppo_2025_Benefici_sistema_analisi_robustezza_rete_8dd62ecc98b2bc9.pdf</x:v>
      </x:c>
      <x:c r="P14" s="83" t="n">
        <x:v>18</x:v>
      </x:c>
      <x:c r="Q14" s="83" t="n">
        <x:v>16</x:v>
      </x:c>
      <x:c r="R14" s="83" t="str">
        <x:v>S03 Table 2; S05 architecture/project text</x:v>
      </x:c>
      <x:c r="S14" s="83" t="str">
        <x:v>A — Direct table; project metadata direct text</x:v>
      </x:c>
      <x:c r="T14" s="83" t="str">
        <x:v>Project-level NTC effect; corridor total remains governed by S03 Figure 3.</x:v>
      </x:c>
    </x:row>
    <x:row r="15">
      <x:c r="A15" s="83" t="str">
        <x:v>PRJ-011</x:v>
      </x:c>
      <x:c r="B15" s="83" t="str">
        <x:v>436-P</x:v>
      </x:c>
      <x:c r="C15" s="83" t="str">
        <x:v>Adriatic Link / HVDC Centro Sud–Centro Nord</x:v>
      </x:c>
      <x:c r="D15" s="83" t="str">
        <x:v>Interzonal development</x:v>
      </x:c>
      <x:c r="E15" s="83" t="str">
        <x:v>HVDC VSC</x:v>
      </x:c>
      <x:c r="F15" s="83" t="str">
        <x:v>CNOR</x:v>
      </x:c>
      <x:c r="G15" s="83" t="str">
        <x:v>CSUD</x:v>
      </x:c>
      <x:c r="H15" s="241" t="n">
        <x:v>1000</x:v>
      </x:c>
      <x:c r="I15" s="241" t="n">
        <x:v>1000</x:v>
      </x:c>
      <x:c r="J15" s="241" t="n">
        <x:f>IF(OR(H15="",I15=""),"",I15-H15)</x:f>
        <x:v>0</x:v>
      </x:c>
      <x:c r="K15" s="83" t="str">
        <x:v>2029</x:v>
      </x:c>
      <x:c r="L15" s="83" t="str">
        <x:v>Authorized January 2024; activities started 2022</x:v>
      </x:c>
      <x:c r="M15" s="83" t="str">
        <x:v>Include in PDS Figure 3 corridor total; do not add separately</x:v>
      </x:c>
      <x:c r="N15" s="83" t="str">
        <x:v>S03 / S05</x:v>
      </x:c>
      <x:c r="O15" s="120" t="str">
        <x:v>https://download.terna.it/terna/Terna_Piano_Sviluppo_2025_Benefici_sistema_analisi_robustezza_rete_8dd62ecc98b2bc9.pdf</x:v>
      </x:c>
      <x:c r="P15" s="83" t="n">
        <x:v>18</x:v>
      </x:c>
      <x:c r="Q15" s="83" t="n">
        <x:v>16</x:v>
      </x:c>
      <x:c r="R15" s="83" t="str">
        <x:v>S03 Table 2; S05 architecture/project text</x:v>
      </x:c>
      <x:c r="S15" s="83" t="str">
        <x:v>A — Direct table; project metadata direct text</x:v>
      </x:c>
      <x:c r="T15" s="83" t="str">
        <x:v>Nominal 1,000 MW; corridor effects differ by direction/section.</x:v>
      </x:c>
    </x:row>
    <x:row r="16">
      <x:c r="A16" s="83" t="str">
        <x:v>PRJ-012</x:v>
      </x:c>
      <x:c r="B16" s="83" t="str">
        <x:v>436-P</x:v>
      </x:c>
      <x:c r="C16" s="83" t="str">
        <x:v>Adriatic Link / HVDC Centro Sud–Centro Nord</x:v>
      </x:c>
      <x:c r="D16" s="83" t="str">
        <x:v>Interzonal development</x:v>
      </x:c>
      <x:c r="E16" s="83" t="str">
        <x:v>HVDC VSC</x:v>
      </x:c>
      <x:c r="F16" s="83" t="str">
        <x:v>CSUD</x:v>
      </x:c>
      <x:c r="G16" s="83" t="str">
        <x:v>CNOR</x:v>
      </x:c>
      <x:c r="H16" s="241" t="n">
        <x:v>1000</x:v>
      </x:c>
      <x:c r="I16" s="241" t="n">
        <x:v>1000</x:v>
      </x:c>
      <x:c r="J16" s="241" t="n">
        <x:f>IF(OR(H16="",I16=""),"",I16-H16)</x:f>
        <x:v>0</x:v>
      </x:c>
      <x:c r="K16" s="83" t="str">
        <x:v>2029</x:v>
      </x:c>
      <x:c r="L16" s="83" t="str">
        <x:v>Authorized January 2024; activities started 2022</x:v>
      </x:c>
      <x:c r="M16" s="83" t="str">
        <x:v>Include in PDS Figure 3 corridor total; do not add separately</x:v>
      </x:c>
      <x:c r="N16" s="83" t="str">
        <x:v>S03 / S05</x:v>
      </x:c>
      <x:c r="O16" s="120" t="str">
        <x:v>https://download.terna.it/terna/Terna_Piano_Sviluppo_2025_Benefici_sistema_analisi_robustezza_rete_8dd62ecc98b2bc9.pdf</x:v>
      </x:c>
      <x:c r="P16" s="83" t="n">
        <x:v>18</x:v>
      </x:c>
      <x:c r="Q16" s="83" t="n">
        <x:v>16</x:v>
      </x:c>
      <x:c r="R16" s="83" t="str">
        <x:v>S03 Table 2; S05 architecture/project text</x:v>
      </x:c>
      <x:c r="S16" s="83" t="str">
        <x:v>A — Direct table; project metadata direct text</x:v>
      </x:c>
      <x:c r="T16" s="83" t="str">
        <x:v>Nominal 1,000 MW; corridor effects differ by direction/section.</x:v>
      </x:c>
    </x:row>
    <x:row r="17">
      <x:c r="A17" s="83" t="str">
        <x:v>PRJ-013</x:v>
      </x:c>
      <x:c r="B17" s="83" t="str">
        <x:v>355-P</x:v>
      </x:c>
      <x:c r="C17" s="83" t="str">
        <x:v>HVDC Milano–Montalto</x:v>
      </x:c>
      <x:c r="D17" s="83" t="str">
        <x:v>Interzonal development</x:v>
      </x:c>
      <x:c r="E17" s="83" t="str">
        <x:v>HVDC VSC &gt;2 GW</x:v>
      </x:c>
      <x:c r="F17" s="83" t="str">
        <x:v>CSUD</x:v>
      </x:c>
      <x:c r="G17" s="83" t="str">
        <x:v>CNOR</x:v>
      </x:c>
      <x:c r="H17" s="241" t="n">
        <x:v>800</x:v>
      </x:c>
      <x:c r="I17" s="241" t="n">
        <x:v>2100</x:v>
      </x:c>
      <x:c r="J17" s="241" t="n">
        <x:f>IF(OR(H17="",I17=""),"",I17-H17)</x:f>
        <x:v>1300</x:v>
      </x:c>
      <x:c r="K17" s="83" t="str">
        <x:v>2033/2034</x:v>
      </x:c>
      <x:c r="L17" s="83" t="str">
        <x:v>Planned Hypergrid</x:v>
      </x:c>
      <x:c r="M17" s="83" t="str">
        <x:v>Include in PDS Figure 3 corridor total; do not add separately</x:v>
      </x:c>
      <x:c r="N17" s="83" t="str">
        <x:v>S03 / S05</x:v>
      </x:c>
      <x:c r="O17" s="120" t="str">
        <x:v>https://download.terna.it/terna/Terna_Piano_Sviluppo_2025_Benefici_sistema_analisi_robustezza_rete_8dd62ecc98b2bc9.pdf</x:v>
      </x:c>
      <x:c r="P17" s="83" t="n">
        <x:v>18</x:v>
      </x:c>
      <x:c r="Q17" s="83" t="n">
        <x:v>16</x:v>
      </x:c>
      <x:c r="R17" s="83" t="str">
        <x:v>S03 Table 2; S05 architecture/project text</x:v>
      </x:c>
      <x:c r="S17" s="83" t="str">
        <x:v>A — Direct table; project metadata direct text</x:v>
      </x:c>
      <x:c r="T17" s="83" t="str">
        <x:v>Creates direct NORD–CSUD section and supports CSUD→CNOR.</x:v>
      </x:c>
    </x:row>
    <x:row r="18">
      <x:c r="A18" s="83" t="str">
        <x:v>PRJ-014</x:v>
      </x:c>
      <x:c r="B18" s="83" t="str">
        <x:v>356-P</x:v>
      </x:c>
      <x:c r="C18" s="83" t="str">
        <x:v>Central Link</x:v>
      </x:c>
      <x:c r="D18" s="83" t="str">
        <x:v>Interzonal development</x:v>
      </x:c>
      <x:c r="E18" s="83" t="str">
        <x:v>AC 220 kV 5-phase upgrade</x:v>
      </x:c>
      <x:c r="F18" s="83" t="str">
        <x:v>CNOR</x:v>
      </x:c>
      <x:c r="G18" s="83" t="str">
        <x:v>CSUD</x:v>
      </x:c>
      <x:c r="H18" s="241" t="n">
        <x:v>600</x:v>
      </x:c>
      <x:c r="I18" s="241" t="n">
        <x:v>600</x:v>
      </x:c>
      <x:c r="J18" s="241" t="n">
        <x:f>IF(OR(H18="",I18=""),"",I18-H18)</x:f>
        <x:v>0</x:v>
      </x:c>
      <x:c r="K18" s="83" t="str">
        <x:v>2031</x:v>
      </x:c>
      <x:c r="L18" s="83" t="str">
        <x:v>Planned</x:v>
      </x:c>
      <x:c r="M18" s="83" t="str">
        <x:v>Include in PDS Figure 3 corridor total; do not add separately</x:v>
      </x:c>
      <x:c r="N18" s="83" t="str">
        <x:v>S03 / S05</x:v>
      </x:c>
      <x:c r="O18" s="120" t="str">
        <x:v>https://download.terna.it/terna/Terna_Piano_Sviluppo_2025_Benefici_sistema_analisi_robustezza_rete_8dd62ecc98b2bc9.pdf</x:v>
      </x:c>
      <x:c r="P18" s="83" t="n">
        <x:v>18</x:v>
      </x:c>
      <x:c r="Q18" s="83" t="n">
        <x:v>16</x:v>
      </x:c>
      <x:c r="R18" s="83" t="str">
        <x:v>S03 Table 2; S05 architecture/project text</x:v>
      </x:c>
      <x:c r="S18" s="83" t="str">
        <x:v>A — Direct table; project metadata direct text</x:v>
      </x:c>
      <x:c r="T18" s="83" t="str">
        <x:v>Project-level NTC effect; corridor total remains governed by S03 Figure 3.</x:v>
      </x:c>
    </x:row>
    <x:row r="19">
      <x:c r="A19" s="83" t="str">
        <x:v>PRJ-015</x:v>
      </x:c>
      <x:c r="B19" s="83" t="str">
        <x:v>356-P</x:v>
      </x:c>
      <x:c r="C19" s="83" t="str">
        <x:v>Central Link</x:v>
      </x:c>
      <x:c r="D19" s="83" t="str">
        <x:v>Interzonal development</x:v>
      </x:c>
      <x:c r="E19" s="83" t="str">
        <x:v>AC 220 kV 5-phase upgrade</x:v>
      </x:c>
      <x:c r="F19" s="83" t="str">
        <x:v>CSUD</x:v>
      </x:c>
      <x:c r="G19" s="83" t="str">
        <x:v>CNOR</x:v>
      </x:c>
      <x:c r="H19" s="241" t="n">
        <x:v>600</x:v>
      </x:c>
      <x:c r="I19" s="241" t="n">
        <x:v>600</x:v>
      </x:c>
      <x:c r="J19" s="241" t="n">
        <x:f>IF(OR(H19="",I19=""),"",I19-H19)</x:f>
        <x:v>0</x:v>
      </x:c>
      <x:c r="K19" s="83" t="str">
        <x:v>2031</x:v>
      </x:c>
      <x:c r="L19" s="83" t="str">
        <x:v>Planned</x:v>
      </x:c>
      <x:c r="M19" s="83" t="str">
        <x:v>Include in PDS Figure 3 corridor total; do not add separately</x:v>
      </x:c>
      <x:c r="N19" s="83" t="str">
        <x:v>S03 / S05</x:v>
      </x:c>
      <x:c r="O19" s="120" t="str">
        <x:v>https://download.terna.it/terna/Terna_Piano_Sviluppo_2025_Benefici_sistema_analisi_robustezza_rete_8dd62ecc98b2bc9.pdf</x:v>
      </x:c>
      <x:c r="P19" s="83" t="n">
        <x:v>18</x:v>
      </x:c>
      <x:c r="Q19" s="83" t="n">
        <x:v>16</x:v>
      </x:c>
      <x:c r="R19" s="83" t="str">
        <x:v>S03 Table 2; S05 architecture/project text</x:v>
      </x:c>
      <x:c r="S19" s="83" t="str">
        <x:v>A — Direct table; project metadata direct text</x:v>
      </x:c>
      <x:c r="T19" s="83" t="str">
        <x:v>Project-level NTC effect; corridor total remains governed by S03 Figure 3.</x:v>
      </x:c>
    </x:row>
    <x:row r="20">
      <x:c r="A20" s="83" t="str">
        <x:v>PRJ-016</x:v>
      </x:c>
      <x:c r="B20" s="83" t="str">
        <x:v>361-N</x:v>
      </x:c>
      <x:c r="C20" s="83" t="str">
        <x:v>Rimozione limitazioni 380 kV a ovest di Firenze</x:v>
      </x:c>
      <x:c r="D20" s="83" t="str">
        <x:v>Interzonal development</x:v>
      </x:c>
      <x:c r="E20" s="83" t="str">
        <x:v>AC upgrade / limitation removal</x:v>
      </x:c>
      <x:c r="F20" s="83" t="str">
        <x:v>CNOR</x:v>
      </x:c>
      <x:c r="G20" s="83" t="str">
        <x:v>CSUD</x:v>
      </x:c>
      <x:c r="H20" s="241" t="n">
        <x:v>200</x:v>
      </x:c>
      <x:c r="I20" s="241"/>
      <x:c r="J20" s="241" t="str">
        <x:f>IF(OR(H20="",I20=""),"",I20-H20)</x:f>
      </x:c>
      <x:c r="K20" s="83" t="str">
        <x:v>2036</x:v>
      </x:c>
      <x:c r="L20" s="83" t="str">
        <x:v>Planned</x:v>
      </x:c>
      <x:c r="M20" s="83" t="str">
        <x:v>Include in PDS Figure 3 corridor total; do not add separately</x:v>
      </x:c>
      <x:c r="N20" s="83" t="str">
        <x:v>S03 / S05</x:v>
      </x:c>
      <x:c r="O20" s="120" t="str">
        <x:v>https://download.terna.it/terna/Terna_Piano_Sviluppo_2025_Benefici_sistema_analisi_robustezza_rete_8dd62ecc98b2bc9.pdf</x:v>
      </x:c>
      <x:c r="P20" s="83" t="n">
        <x:v>18</x:v>
      </x:c>
      <x:c r="Q20" s="83" t="n">
        <x:v>16</x:v>
      </x:c>
      <x:c r="R20" s="83" t="str">
        <x:v>S03 Table 2; S05 architecture/project text</x:v>
      </x:c>
      <x:c r="S20" s="83" t="str">
        <x:v>A — Direct table; project metadata direct text</x:v>
      </x:c>
      <x:c r="T20" s="83" t="str">
        <x:v>Project-level NTC effect; corridor total remains governed by S03 Figure 3.</x:v>
      </x:c>
    </x:row>
    <x:row r="21">
      <x:c r="A21" s="83" t="str">
        <x:v>PRJ-017</x:v>
      </x:c>
      <x:c r="B21" s="83" t="str">
        <x:v>361-N</x:v>
      </x:c>
      <x:c r="C21" s="83" t="str">
        <x:v>Rimozione limitazioni 380 kV a ovest di Firenze</x:v>
      </x:c>
      <x:c r="D21" s="83" t="str">
        <x:v>Interzonal development</x:v>
      </x:c>
      <x:c r="E21" s="83" t="str">
        <x:v>AC upgrade / limitation removal</x:v>
      </x:c>
      <x:c r="F21" s="83" t="str">
        <x:v>CSUD</x:v>
      </x:c>
      <x:c r="G21" s="83" t="str">
        <x:v>CNOR</x:v>
      </x:c>
      <x:c r="H21" s="241" t="n">
        <x:v>200</x:v>
      </x:c>
      <x:c r="I21" s="241"/>
      <x:c r="J21" s="241" t="str">
        <x:f>IF(OR(H21="",I21=""),"",I21-H21)</x:f>
      </x:c>
      <x:c r="K21" s="83" t="str">
        <x:v>2036</x:v>
      </x:c>
      <x:c r="L21" s="83" t="str">
        <x:v>Planned</x:v>
      </x:c>
      <x:c r="M21" s="83" t="str">
        <x:v>Include in PDS Figure 3 corridor total; do not add separately</x:v>
      </x:c>
      <x:c r="N21" s="83" t="str">
        <x:v>S03 / S05</x:v>
      </x:c>
      <x:c r="O21" s="120" t="str">
        <x:v>https://download.terna.it/terna/Terna_Piano_Sviluppo_2025_Benefici_sistema_analisi_robustezza_rete_8dd62ecc98b2bc9.pdf</x:v>
      </x:c>
      <x:c r="P21" s="83" t="n">
        <x:v>18</x:v>
      </x:c>
      <x:c r="Q21" s="83" t="n">
        <x:v>16</x:v>
      </x:c>
      <x:c r="R21" s="83" t="str">
        <x:v>S03 Table 2; S05 architecture/project text</x:v>
      </x:c>
      <x:c r="S21" s="83" t="str">
        <x:v>A — Direct table; project metadata direct text</x:v>
      </x:c>
      <x:c r="T21" s="83" t="str">
        <x:v>Project-level NTC effect; corridor total remains governed by S03 Figure 3.</x:v>
      </x:c>
    </x:row>
    <x:row r="22">
      <x:c r="A22" s="83" t="str">
        <x:v>PRJ-018</x:v>
      </x:c>
      <x:c r="B22" s="83" t="str">
        <x:v>363-N</x:v>
      </x:c>
      <x:c r="C22" s="83" t="str">
        <x:v>Massimizzazione asset inter-microzonale Lazio–Toscana</x:v>
      </x:c>
      <x:c r="D22" s="83" t="str">
        <x:v>Interzonal development</x:v>
      </x:c>
      <x:c r="E22" s="83" t="str">
        <x:v>DTR / protection / limitation removal</x:v>
      </x:c>
      <x:c r="F22" s="83" t="str">
        <x:v>CNOR</x:v>
      </x:c>
      <x:c r="G22" s="83" t="str">
        <x:v>CSUD</x:v>
      </x:c>
      <x:c r="H22" s="241" t="n">
        <x:v>300</x:v>
      </x:c>
      <x:c r="I22" s="241"/>
      <x:c r="J22" s="241" t="str">
        <x:f>IF(OR(H22="",I22=""),"",I22-H22)</x:f>
      </x:c>
      <x:c r="K22" s="83" t="str">
        <x:v>2025</x:v>
      </x:c>
      <x:c r="L22" s="83" t="str">
        <x:v>Completion indicated 2025</x:v>
      </x:c>
      <x:c r="M22" s="83" t="str">
        <x:v>Include in PDS Figure 3 corridor total; do not add separately</x:v>
      </x:c>
      <x:c r="N22" s="83" t="str">
        <x:v>S03 / S05</x:v>
      </x:c>
      <x:c r="O22" s="120" t="str">
        <x:v>https://download.terna.it/terna/Terna_Piano_Sviluppo_2025_Benefici_sistema_analisi_robustezza_rete_8dd62ecc98b2bc9.pdf</x:v>
      </x:c>
      <x:c r="P22" s="83" t="n">
        <x:v>18</x:v>
      </x:c>
      <x:c r="Q22" s="83" t="n">
        <x:v>16</x:v>
      </x:c>
      <x:c r="R22" s="83" t="str">
        <x:v>S03 Table 2; S05 architecture/project text</x:v>
      </x:c>
      <x:c r="S22" s="83" t="str">
        <x:v>A — Direct table; project metadata direct text</x:v>
      </x:c>
      <x:c r="T22" s="83" t="str">
        <x:v>Project-level NTC effect; corridor total remains governed by S03 Figure 3.</x:v>
      </x:c>
    </x:row>
    <x:row r="23">
      <x:c r="A23" s="83" t="str">
        <x:v>PRJ-019</x:v>
      </x:c>
      <x:c r="B23" s="83" t="str">
        <x:v>363-N</x:v>
      </x:c>
      <x:c r="C23" s="83" t="str">
        <x:v>Massimizzazione asset inter-microzonale Lazio–Toscana</x:v>
      </x:c>
      <x:c r="D23" s="83" t="str">
        <x:v>Interzonal development</x:v>
      </x:c>
      <x:c r="E23" s="83" t="str">
        <x:v>DTR / protection / limitation removal</x:v>
      </x:c>
      <x:c r="F23" s="83" t="str">
        <x:v>CSUD</x:v>
      </x:c>
      <x:c r="G23" s="83" t="str">
        <x:v>CNOR</x:v>
      </x:c>
      <x:c r="H23" s="241" t="n">
        <x:v>300</x:v>
      </x:c>
      <x:c r="I23" s="241"/>
      <x:c r="J23" s="241" t="str">
        <x:f>IF(OR(H23="",I23=""),"",I23-H23)</x:f>
      </x:c>
      <x:c r="K23" s="83" t="str">
        <x:v>2025</x:v>
      </x:c>
      <x:c r="L23" s="83" t="str">
        <x:v>Completion indicated 2025</x:v>
      </x:c>
      <x:c r="M23" s="83" t="str">
        <x:v>Include in PDS Figure 3 corridor total; do not add separately</x:v>
      </x:c>
      <x:c r="N23" s="83" t="str">
        <x:v>S03 / S05</x:v>
      </x:c>
      <x:c r="O23" s="120" t="str">
        <x:v>https://download.terna.it/terna/Terna_Piano_Sviluppo_2025_Benefici_sistema_analisi_robustezza_rete_8dd62ecc98b2bc9.pdf</x:v>
      </x:c>
      <x:c r="P23" s="83" t="n">
        <x:v>18</x:v>
      </x:c>
      <x:c r="Q23" s="83" t="n">
        <x:v>16</x:v>
      </x:c>
      <x:c r="R23" s="83" t="str">
        <x:v>S03 Table 2; S05 architecture/project text</x:v>
      </x:c>
      <x:c r="S23" s="83" t="str">
        <x:v>A — Direct table; project metadata direct text</x:v>
      </x:c>
      <x:c r="T23" s="83" t="str">
        <x:v>Project-level NTC effect; corridor total remains governed by S03 Figure 3.</x:v>
      </x:c>
    </x:row>
    <x:row r="24">
      <x:c r="A24" s="83" t="str">
        <x:v>PRJ-020</x:v>
      </x:c>
      <x:c r="B24" s="83" t="str">
        <x:v>402-P</x:v>
      </x:c>
      <x:c r="C24" s="83" t="str">
        <x:v>380 kV Foggia–Villanova</x:v>
      </x:c>
      <x:c r="D24" s="83" t="str">
        <x:v>Interzonal development</x:v>
      </x:c>
      <x:c r="E24" s="83" t="str">
        <x:v>AC 380 kV</x:v>
      </x:c>
      <x:c r="F24" s="83" t="str">
        <x:v>SUD</x:v>
      </x:c>
      <x:c r="G24" s="83" t="str">
        <x:v>CSUD</x:v>
      </x:c>
      <x:c r="H24" s="241" t="n">
        <x:v>500</x:v>
      </x:c>
      <x:c r="I24" s="241"/>
      <x:c r="J24" s="241" t="str">
        <x:f>IF(OR(H24="",I24=""),"",I24-H24)</x:f>
      </x:c>
      <x:c r="K24" s="83" t="str">
        <x:v>2029</x:v>
      </x:c>
      <x:c r="L24" s="83" t="str">
        <x:v>Planned</x:v>
      </x:c>
      <x:c r="M24" s="83" t="str">
        <x:v>Include in PDS Figure 3 corridor total; do not add separately</x:v>
      </x:c>
      <x:c r="N24" s="83" t="str">
        <x:v>S03 / S05</x:v>
      </x:c>
      <x:c r="O24" s="120" t="str">
        <x:v>https://download.terna.it/terna/Terna_Piano_Sviluppo_2025_Benefici_sistema_analisi_robustezza_rete_8dd62ecc98b2bc9.pdf</x:v>
      </x:c>
      <x:c r="P24" s="83" t="n">
        <x:v>18</x:v>
      </x:c>
      <x:c r="Q24" s="83" t="n">
        <x:v>16</x:v>
      </x:c>
      <x:c r="R24" s="83" t="str">
        <x:v>S03 Table 2; S05 architecture/project text</x:v>
      </x:c>
      <x:c r="S24" s="83" t="str">
        <x:v>A — Direct table; project metadata direct text</x:v>
      </x:c>
      <x:c r="T24" s="83" t="str">
        <x:v>Project-level NTC effect; corridor total remains governed by S03 Figure 3.</x:v>
      </x:c>
    </x:row>
    <x:row r="25">
      <x:c r="A25" s="83" t="str">
        <x:v>PRJ-021</x:v>
      </x:c>
      <x:c r="B25" s="83" t="str">
        <x:v>402-P</x:v>
      </x:c>
      <x:c r="C25" s="83" t="str">
        <x:v>380 kV Foggia–Villanova</x:v>
      </x:c>
      <x:c r="D25" s="83" t="str">
        <x:v>Interzonal development</x:v>
      </x:c>
      <x:c r="E25" s="83" t="str">
        <x:v>AC 380 kV</x:v>
      </x:c>
      <x:c r="F25" s="83" t="str">
        <x:v>CSUD</x:v>
      </x:c>
      <x:c r="G25" s="83" t="str">
        <x:v>SUD</x:v>
      </x:c>
      <x:c r="H25" s="241" t="n">
        <x:v>500</x:v>
      </x:c>
      <x:c r="I25" s="241"/>
      <x:c r="J25" s="241" t="str">
        <x:f>IF(OR(H25="",I25=""),"",I25-H25)</x:f>
      </x:c>
      <x:c r="K25" s="83" t="str">
        <x:v>2029</x:v>
      </x:c>
      <x:c r="L25" s="83" t="str">
        <x:v>Planned</x:v>
      </x:c>
      <x:c r="M25" s="83" t="str">
        <x:v>Include in PDS Figure 3 corridor total; do not add separately</x:v>
      </x:c>
      <x:c r="N25" s="83" t="str">
        <x:v>S03 / S05</x:v>
      </x:c>
      <x:c r="O25" s="120" t="str">
        <x:v>https://download.terna.it/terna/Terna_Piano_Sviluppo_2025_Benefici_sistema_analisi_robustezza_rete_8dd62ecc98b2bc9.pdf</x:v>
      </x:c>
      <x:c r="P25" s="83" t="n">
        <x:v>18</x:v>
      </x:c>
      <x:c r="Q25" s="83" t="n">
        <x:v>16</x:v>
      </x:c>
      <x:c r="R25" s="83" t="str">
        <x:v>S03 Table 2; S05 architecture/project text</x:v>
      </x:c>
      <x:c r="S25" s="83" t="str">
        <x:v>A — Direct table; project metadata direct text</x:v>
      </x:c>
      <x:c r="T25" s="83" t="str">
        <x:v>Project-level NTC effect; corridor total remains governed by S03 Figure 3.</x:v>
      </x:c>
    </x:row>
    <x:row r="26">
      <x:c r="A26" s="83" t="str">
        <x:v>PRJ-022</x:v>
      </x:c>
      <x:c r="B26" s="83" t="str">
        <x:v>506-P</x:v>
      </x:c>
      <x:c r="C26" s="83" t="str">
        <x:v>380 kV Montecorvino–Avellino N.–Benevento</x:v>
      </x:c>
      <x:c r="D26" s="83" t="str">
        <x:v>Interzonal development</x:v>
      </x:c>
      <x:c r="E26" s="83" t="str">
        <x:v>AC 380 kV</x:v>
      </x:c>
      <x:c r="F26" s="83" t="str">
        <x:v>SUD</x:v>
      </x:c>
      <x:c r="G26" s="83" t="str">
        <x:v>CSUD</x:v>
      </x:c>
      <x:c r="H26" s="241" t="n">
        <x:v>200</x:v>
      </x:c>
      <x:c r="I26" s="241"/>
      <x:c r="J26" s="241" t="str">
        <x:f>IF(OR(H26="",I26=""),"",I26-H26)</x:f>
      </x:c>
      <x:c r="K26" s="83" t="str">
        <x:v>2032</x:v>
      </x:c>
      <x:c r="L26" s="83" t="str">
        <x:v>Planned</x:v>
      </x:c>
      <x:c r="M26" s="83" t="str">
        <x:v>Include in PDS Figure 3 corridor total; do not add separately</x:v>
      </x:c>
      <x:c r="N26" s="83" t="str">
        <x:v>S03 / S05</x:v>
      </x:c>
      <x:c r="O26" s="120" t="str">
        <x:v>https://download.terna.it/terna/Terna_Piano_Sviluppo_2025_Benefici_sistema_analisi_robustezza_rete_8dd62ecc98b2bc9.pdf</x:v>
      </x:c>
      <x:c r="P26" s="83" t="n">
        <x:v>18</x:v>
      </x:c>
      <x:c r="Q26" s="83" t="n">
        <x:v>16</x:v>
      </x:c>
      <x:c r="R26" s="83" t="str">
        <x:v>S03 Table 2; S05 architecture/project text</x:v>
      </x:c>
      <x:c r="S26" s="83" t="str">
        <x:v>A — Direct table; project metadata direct text</x:v>
      </x:c>
      <x:c r="T26" s="83" t="str">
        <x:v>Project-level NTC effect; corridor total remains governed by S03 Figure 3.</x:v>
      </x:c>
    </x:row>
    <x:row r="27">
      <x:c r="A27" s="83" t="str">
        <x:v>PRJ-023</x:v>
      </x:c>
      <x:c r="B27" s="83" t="str">
        <x:v>506-P</x:v>
      </x:c>
      <x:c r="C27" s="83" t="str">
        <x:v>380 kV Montecorvino–Avellino N.–Benevento</x:v>
      </x:c>
      <x:c r="D27" s="83" t="str">
        <x:v>Interzonal development</x:v>
      </x:c>
      <x:c r="E27" s="83" t="str">
        <x:v>AC 380 kV</x:v>
      </x:c>
      <x:c r="F27" s="83" t="str">
        <x:v>CSUD</x:v>
      </x:c>
      <x:c r="G27" s="83" t="str">
        <x:v>SUD</x:v>
      </x:c>
      <x:c r="H27" s="241" t="n">
        <x:v>200</x:v>
      </x:c>
      <x:c r="I27" s="241"/>
      <x:c r="J27" s="241" t="str">
        <x:f>IF(OR(H27="",I27=""),"",I27-H27)</x:f>
      </x:c>
      <x:c r="K27" s="83" t="str">
        <x:v>2032</x:v>
      </x:c>
      <x:c r="L27" s="83" t="str">
        <x:v>Planned</x:v>
      </x:c>
      <x:c r="M27" s="83" t="str">
        <x:v>Include in PDS Figure 3 corridor total; do not add separately</x:v>
      </x:c>
      <x:c r="N27" s="83" t="str">
        <x:v>S03 / S05</x:v>
      </x:c>
      <x:c r="O27" s="120" t="str">
        <x:v>https://download.terna.it/terna/Terna_Piano_Sviluppo_2025_Benefici_sistema_analisi_robustezza_rete_8dd62ecc98b2bc9.pdf</x:v>
      </x:c>
      <x:c r="P27" s="83" t="n">
        <x:v>18</x:v>
      </x:c>
      <x:c r="Q27" s="83" t="n">
        <x:v>16</x:v>
      </x:c>
      <x:c r="R27" s="83" t="str">
        <x:v>S03 Table 2; S05 architecture/project text</x:v>
      </x:c>
      <x:c r="S27" s="83" t="str">
        <x:v>A — Direct table; project metadata direct text</x:v>
      </x:c>
      <x:c r="T27" s="83" t="str">
        <x:v>Project-level NTC effect; corridor total remains governed by S03 Figure 3.</x:v>
      </x:c>
    </x:row>
    <x:row r="28">
      <x:c r="A28" s="83" t="str">
        <x:v>PRJ-024</x:v>
      </x:c>
      <x:c r="B28" s="83" t="str">
        <x:v>546-P</x:v>
      </x:c>
      <x:c r="C28" s="83" t="str">
        <x:v>380 kV Aliano–Montecorvino</x:v>
      </x:c>
      <x:c r="D28" s="83" t="str">
        <x:v>Interzonal development</x:v>
      </x:c>
      <x:c r="E28" s="83" t="str">
        <x:v>AC 380 kV</x:v>
      </x:c>
      <x:c r="F28" s="83" t="str">
        <x:v>SUD</x:v>
      </x:c>
      <x:c r="G28" s="83" t="str">
        <x:v>CSUD</x:v>
      </x:c>
      <x:c r="H28" s="241" t="n">
        <x:v>300</x:v>
      </x:c>
      <x:c r="I28" s="241"/>
      <x:c r="J28" s="241" t="str">
        <x:f>IF(OR(H28="",I28=""),"",I28-H28)</x:f>
      </x:c>
      <x:c r="K28" s="83" t="str">
        <x:v>2040</x:v>
      </x:c>
      <x:c r="L28" s="83" t="str">
        <x:v>Planned</x:v>
      </x:c>
      <x:c r="M28" s="83" t="str">
        <x:v>Include in PDS Figure 3 corridor total; do not add separately</x:v>
      </x:c>
      <x:c r="N28" s="83" t="str">
        <x:v>S03 / S05</x:v>
      </x:c>
      <x:c r="O28" s="120" t="str">
        <x:v>https://download.terna.it/terna/Terna_Piano_Sviluppo_2025_Benefici_sistema_analisi_robustezza_rete_8dd62ecc98b2bc9.pdf</x:v>
      </x:c>
      <x:c r="P28" s="83" t="n">
        <x:v>18</x:v>
      </x:c>
      <x:c r="Q28" s="83" t="n">
        <x:v>16</x:v>
      </x:c>
      <x:c r="R28" s="83" t="str">
        <x:v>S03 Table 2; S05 architecture/project text</x:v>
      </x:c>
      <x:c r="S28" s="83" t="str">
        <x:v>A — Direct table; project metadata direct text</x:v>
      </x:c>
      <x:c r="T28" s="83" t="str">
        <x:v>Project-level NTC effect; corridor total remains governed by S03 Figure 3.</x:v>
      </x:c>
    </x:row>
    <x:row r="29">
      <x:c r="A29" s="83" t="str">
        <x:v>PRJ-025</x:v>
      </x:c>
      <x:c r="B29" s="83" t="str">
        <x:v>546-P</x:v>
      </x:c>
      <x:c r="C29" s="83" t="str">
        <x:v>380 kV Aliano–Montecorvino</x:v>
      </x:c>
      <x:c r="D29" s="83" t="str">
        <x:v>Interzonal development</x:v>
      </x:c>
      <x:c r="E29" s="83" t="str">
        <x:v>AC 380 kV</x:v>
      </x:c>
      <x:c r="F29" s="83" t="str">
        <x:v>CSUD</x:v>
      </x:c>
      <x:c r="G29" s="83" t="str">
        <x:v>SUD</x:v>
      </x:c>
      <x:c r="H29" s="241" t="n">
        <x:v>300</x:v>
      </x:c>
      <x:c r="I29" s="241"/>
      <x:c r="J29" s="241" t="str">
        <x:f>IF(OR(H29="",I29=""),"",I29-H29)</x:f>
      </x:c>
      <x:c r="K29" s="83" t="str">
        <x:v>2040</x:v>
      </x:c>
      <x:c r="L29" s="83" t="str">
        <x:v>Planned</x:v>
      </x:c>
      <x:c r="M29" s="83" t="str">
        <x:v>Include in PDS Figure 3 corridor total; do not add separately</x:v>
      </x:c>
      <x:c r="N29" s="83" t="str">
        <x:v>S03 / S05</x:v>
      </x:c>
      <x:c r="O29" s="120" t="str">
        <x:v>https://download.terna.it/terna/Terna_Piano_Sviluppo_2025_Benefici_sistema_analisi_robustezza_rete_8dd62ecc98b2bc9.pdf</x:v>
      </x:c>
      <x:c r="P29" s="83" t="n">
        <x:v>18</x:v>
      </x:c>
      <x:c r="Q29" s="83" t="n">
        <x:v>16</x:v>
      </x:c>
      <x:c r="R29" s="83" t="str">
        <x:v>S03 Table 2; S05 architecture/project text</x:v>
      </x:c>
      <x:c r="S29" s="83" t="str">
        <x:v>A — Direct table; project metadata direct text</x:v>
      </x:c>
      <x:c r="T29" s="83" t="str">
        <x:v>Project-level NTC effect; corridor total remains governed by S03 Figure 3.</x:v>
      </x:c>
    </x:row>
    <x:row r="30">
      <x:c r="A30" s="83" t="str">
        <x:v>PRJ-026</x:v>
      </x:c>
      <x:c r="B30" s="83" t="str">
        <x:v>553-P</x:v>
      </x:c>
      <x:c r="C30" s="83" t="str">
        <x:v>380 kV area nord Benevento</x:v>
      </x:c>
      <x:c r="D30" s="83" t="str">
        <x:v>Interzonal development</x:v>
      </x:c>
      <x:c r="E30" s="83" t="str">
        <x:v>AC 380 kV</x:v>
      </x:c>
      <x:c r="F30" s="83" t="str">
        <x:v>CSUD</x:v>
      </x:c>
      <x:c r="G30" s="83" t="str">
        <x:v>SUD</x:v>
      </x:c>
      <x:c r="H30" s="241" t="n">
        <x:v>200</x:v>
      </x:c>
      <x:c r="I30" s="241"/>
      <x:c r="J30" s="241" t="str">
        <x:f>IF(OR(H30="",I30=""),"",I30-H30)</x:f>
      </x:c>
      <x:c r="K30" s="83" t="str">
        <x:v>2035</x:v>
      </x:c>
      <x:c r="L30" s="83" t="str">
        <x:v>Planned</x:v>
      </x:c>
      <x:c r="M30" s="83" t="str">
        <x:v>Include in PDS Figure 3 corridor total; do not add separately</x:v>
      </x:c>
      <x:c r="N30" s="83" t="str">
        <x:v>S03 / S05</x:v>
      </x:c>
      <x:c r="O30" s="120" t="str">
        <x:v>https://download.terna.it/terna/Terna_Piano_Sviluppo_2025_Benefici_sistema_analisi_robustezza_rete_8dd62ecc98b2bc9.pdf</x:v>
      </x:c>
      <x:c r="P30" s="83" t="n">
        <x:v>18</x:v>
      </x:c>
      <x:c r="Q30" s="83" t="n">
        <x:v>16</x:v>
      </x:c>
      <x:c r="R30" s="83" t="str">
        <x:v>S03 Table 2; S05 architecture/project text</x:v>
      </x:c>
      <x:c r="S30" s="83" t="str">
        <x:v>A — Direct table; project metadata direct text</x:v>
      </x:c>
      <x:c r="T30" s="83" t="str">
        <x:v>Project-level NTC effect; corridor total remains governed by S03 Figure 3.</x:v>
      </x:c>
    </x:row>
    <x:row r="31">
      <x:c r="A31" s="83" t="str">
        <x:v>PRJ-027</x:v>
      </x:c>
      <x:c r="B31" s="83" t="str">
        <x:v>563-P</x:v>
      </x:c>
      <x:c r="C31" s="83" t="str">
        <x:v>Dorsale Ionica–Tirrenica Priolo–Rossano–Latina</x:v>
      </x:c>
      <x:c r="D31" s="83" t="str">
        <x:v>Interzonal development</x:v>
      </x:c>
      <x:c r="E31" s="83" t="str">
        <x:v>HVDC VSC &gt;2 GW</x:v>
      </x:c>
      <x:c r="F31" s="83" t="str">
        <x:v>SUD</x:v>
      </x:c>
      <x:c r="G31" s="83" t="str">
        <x:v>CSUD</x:v>
      </x:c>
      <x:c r="H31" s="241" t="n">
        <x:v>2100</x:v>
      </x:c>
      <x:c r="I31" s="241" t="n">
        <x:v>2100</x:v>
      </x:c>
      <x:c r="J31" s="241" t="n">
        <x:f>IF(OR(H31="",I31=""),"",I31-H31)</x:f>
        <x:v>0</x:v>
      </x:c>
      <x:c r="K31" s="83" t="str">
        <x:v>2040</x:v>
      </x:c>
      <x:c r="L31" s="83" t="str">
        <x:v>Planned Hypergrid / post-2034</x:v>
      </x:c>
      <x:c r="M31" s="83" t="str">
        <x:v>Include in PDS Figure 3 corridor total; do not add separately</x:v>
      </x:c>
      <x:c r="N31" s="83" t="str">
        <x:v>S03 / S05</x:v>
      </x:c>
      <x:c r="O31" s="120" t="str">
        <x:v>https://download.terna.it/terna/Terna_Piano_Sviluppo_2025_Benefici_sistema_analisi_robustezza_rete_8dd62ecc98b2bc9.pdf</x:v>
      </x:c>
      <x:c r="P31" s="83" t="n">
        <x:v>18</x:v>
      </x:c>
      <x:c r="Q31" s="83" t="n">
        <x:v>16</x:v>
      </x:c>
      <x:c r="R31" s="83" t="str">
        <x:v>S03 Table 2; S05 architecture/project text</x:v>
      </x:c>
      <x:c r="S31" s="83" t="str">
        <x:v>A — Direct table; project metadata direct text</x:v>
      </x:c>
      <x:c r="T31" s="83" t="str">
        <x:v>Requires Ionian Link for full CA–S effect.</x:v>
      </x:c>
    </x:row>
    <x:row r="32">
      <x:c r="A32" s="83" t="str">
        <x:v>PRJ-028</x:v>
      </x:c>
      <x:c r="B32" s="83" t="str">
        <x:v>563-P</x:v>
      </x:c>
      <x:c r="C32" s="83" t="str">
        <x:v>Dorsale Ionica–Tirrenica Priolo–Rossano–Latina</x:v>
      </x:c>
      <x:c r="D32" s="83" t="str">
        <x:v>Interzonal development</x:v>
      </x:c>
      <x:c r="E32" s="83" t="str">
        <x:v>HVDC VSC &gt;2 GW</x:v>
      </x:c>
      <x:c r="F32" s="83" t="str">
        <x:v>CSUD</x:v>
      </x:c>
      <x:c r="G32" s="83" t="str">
        <x:v>SUD</x:v>
      </x:c>
      <x:c r="H32" s="241" t="n">
        <x:v>2100</x:v>
      </x:c>
      <x:c r="I32" s="241" t="n">
        <x:v>2100</x:v>
      </x:c>
      <x:c r="J32" s="241" t="n">
        <x:f>IF(OR(H32="",I32=""),"",I32-H32)</x:f>
        <x:v>0</x:v>
      </x:c>
      <x:c r="K32" s="83" t="str">
        <x:v>2040</x:v>
      </x:c>
      <x:c r="L32" s="83" t="str">
        <x:v>Planned Hypergrid / post-2034</x:v>
      </x:c>
      <x:c r="M32" s="83" t="str">
        <x:v>Include in PDS Figure 3 corridor total; do not add separately</x:v>
      </x:c>
      <x:c r="N32" s="83" t="str">
        <x:v>S03 / S05</x:v>
      </x:c>
      <x:c r="O32" s="120" t="str">
        <x:v>https://download.terna.it/terna/Terna_Piano_Sviluppo_2025_Benefici_sistema_analisi_robustezza_rete_8dd62ecc98b2bc9.pdf</x:v>
      </x:c>
      <x:c r="P32" s="83" t="n">
        <x:v>18</x:v>
      </x:c>
      <x:c r="Q32" s="83" t="n">
        <x:v>16</x:v>
      </x:c>
      <x:c r="R32" s="83" t="str">
        <x:v>S03 Table 2; S05 architecture/project text</x:v>
      </x:c>
      <x:c r="S32" s="83" t="str">
        <x:v>A — Direct table; project metadata direct text</x:v>
      </x:c>
      <x:c r="T32" s="83" t="str">
        <x:v>Requires Ionian Link for full CA–S effect.</x:v>
      </x:c>
    </x:row>
    <x:row r="33">
      <x:c r="A33" s="83" t="str">
        <x:v>PRJ-029</x:v>
      </x:c>
      <x:c r="B33" s="83" t="str">
        <x:v>447-P</x:v>
      </x:c>
      <x:c r="C33" s="83" t="str">
        <x:v>Dorsale Adriatica HVDC Forlì–Foggia</x:v>
      </x:c>
      <x:c r="D33" s="83" t="str">
        <x:v>Interzonal development</x:v>
      </x:c>
      <x:c r="E33" s="83" t="str">
        <x:v>HVDC VSC &gt;2 GW</x:v>
      </x:c>
      <x:c r="F33" s="83" t="str">
        <x:v>SUD</x:v>
      </x:c>
      <x:c r="G33" s="83" t="str">
        <x:v>CSUD</x:v>
      </x:c>
      <x:c r="H33" s="241" t="n">
        <x:v>600</x:v>
      </x:c>
      <x:c r="I33" s="241" t="n">
        <x:v>2100</x:v>
      </x:c>
      <x:c r="J33" s="241" t="n">
        <x:f>IF(OR(H33="",I33=""),"",I33-H33)</x:f>
        <x:v>1500</x:v>
      </x:c>
      <x:c r="K33" s="83" t="str">
        <x:v>2033/2034</x:v>
      </x:c>
      <x:c r="L33" s="83" t="str">
        <x:v>Planned Hypergrid</x:v>
      </x:c>
      <x:c r="M33" s="83" t="str">
        <x:v>Include in PDS Figure 3 corridor total; do not add separately</x:v>
      </x:c>
      <x:c r="N33" s="83" t="str">
        <x:v>S03 / S05</x:v>
      </x:c>
      <x:c r="O33" s="120" t="str">
        <x:v>https://download.terna.it/terna/Terna_Piano_Sviluppo_2025_Benefici_sistema_analisi_robustezza_rete_8dd62ecc98b2bc9.pdf</x:v>
      </x:c>
      <x:c r="P33" s="83" t="n">
        <x:v>18</x:v>
      </x:c>
      <x:c r="Q33" s="83" t="n">
        <x:v>16</x:v>
      </x:c>
      <x:c r="R33" s="83" t="str">
        <x:v>S03 Table 2; S05 architecture/project text</x:v>
      </x:c>
      <x:c r="S33" s="83" t="str">
        <x:v>A — Direct table; project metadata direct text</x:v>
      </x:c>
      <x:c r="T33" s="83" t="str">
        <x:v>Direct NORD–SUD section plus effects on NORD–CNOR and CSUD–SUD.</x:v>
      </x:c>
    </x:row>
    <x:row r="34">
      <x:c r="A34" s="83" t="str">
        <x:v>PRJ-030</x:v>
      </x:c>
      <x:c r="B34" s="83" t="str">
        <x:v>447-P</x:v>
      </x:c>
      <x:c r="C34" s="83" t="str">
        <x:v>Dorsale Adriatica HVDC Forlì–Foggia</x:v>
      </x:c>
      <x:c r="D34" s="83" t="str">
        <x:v>Interzonal development</x:v>
      </x:c>
      <x:c r="E34" s="83" t="str">
        <x:v>HVDC VSC &gt;2 GW</x:v>
      </x:c>
      <x:c r="F34" s="83" t="str">
        <x:v>CSUD</x:v>
      </x:c>
      <x:c r="G34" s="83" t="str">
        <x:v>SUD</x:v>
      </x:c>
      <x:c r="H34" s="241" t="n">
        <x:v>600</x:v>
      </x:c>
      <x:c r="I34" s="241" t="n">
        <x:v>2100</x:v>
      </x:c>
      <x:c r="J34" s="241" t="n">
        <x:f>IF(OR(H34="",I34=""),"",I34-H34)</x:f>
        <x:v>1500</x:v>
      </x:c>
      <x:c r="K34" s="83" t="str">
        <x:v>2033/2034</x:v>
      </x:c>
      <x:c r="L34" s="83" t="str">
        <x:v>Planned Hypergrid</x:v>
      </x:c>
      <x:c r="M34" s="83" t="str">
        <x:v>Include in PDS Figure 3 corridor total; do not add separately</x:v>
      </x:c>
      <x:c r="N34" s="83" t="str">
        <x:v>S03 / S05</x:v>
      </x:c>
      <x:c r="O34" s="120" t="str">
        <x:v>https://download.terna.it/terna/Terna_Piano_Sviluppo_2025_Benefici_sistema_analisi_robustezza_rete_8dd62ecc98b2bc9.pdf</x:v>
      </x:c>
      <x:c r="P34" s="83" t="n">
        <x:v>18</x:v>
      </x:c>
      <x:c r="Q34" s="83" t="n">
        <x:v>16</x:v>
      </x:c>
      <x:c r="R34" s="83" t="str">
        <x:v>S03 Table 2; S05 architecture/project text</x:v>
      </x:c>
      <x:c r="S34" s="83" t="str">
        <x:v>A — Direct table; project metadata direct text</x:v>
      </x:c>
      <x:c r="T34" s="83" t="str">
        <x:v>Direct NORD–SUD section plus effects on NORD–CNOR and CSUD–SUD.</x:v>
      </x:c>
    </x:row>
    <x:row r="35">
      <x:c r="A35" s="83" t="str">
        <x:v>PRJ-031</x:v>
      </x:c>
      <x:c r="B35" s="83" t="str">
        <x:v>723/E-P</x:v>
      </x:c>
      <x:c r="C35" s="83" t="str">
        <x:v>Tyrrhenian Link — East branch</x:v>
      </x:c>
      <x:c r="D35" s="83" t="str">
        <x:v>Interzonal development</x:v>
      </x:c>
      <x:c r="E35" s="83" t="str">
        <x:v>HVDC VSC</x:v>
      </x:c>
      <x:c r="F35" s="83" t="str">
        <x:v>CSUD</x:v>
      </x:c>
      <x:c r="G35" s="83" t="str">
        <x:v>SICI</x:v>
      </x:c>
      <x:c r="H35" s="241" t="n">
        <x:v>1000</x:v>
      </x:c>
      <x:c r="I35" s="241" t="n">
        <x:v>1000</x:v>
      </x:c>
      <x:c r="J35" s="241" t="n">
        <x:f>IF(OR(H35="",I35=""),"",I35-H35)</x:f>
        <x:v>0</x:v>
      </x:c>
      <x:c r="K35" s="83" t="str">
        <x:v>2028</x:v>
      </x:c>
      <x:c r="L35" s="83" t="str">
        <x:v>Authorized September 2022; in realization</x:v>
      </x:c>
      <x:c r="M35" s="83" t="str">
        <x:v>Include in PDS Figure 3 corridor total; do not add separately</x:v>
      </x:c>
      <x:c r="N35" s="83" t="str">
        <x:v>S03 / S05</x:v>
      </x:c>
      <x:c r="O35" s="120" t="str">
        <x:v>https://download.terna.it/terna/Terna_Piano_Sviluppo_2025_Benefici_sistema_analisi_robustezza_rete_8dd62ecc98b2bc9.pdf</x:v>
      </x:c>
      <x:c r="P35" s="83" t="n">
        <x:v>18</x:v>
      </x:c>
      <x:c r="Q35" s="83" t="n">
        <x:v>16</x:v>
      </x:c>
      <x:c r="R35" s="83" t="str">
        <x:v>S03 Table 2; S05 architecture/project text</x:v>
      </x:c>
      <x:c r="S35" s="83" t="str">
        <x:v>A — Direct table; project metadata direct text</x:v>
      </x:c>
      <x:c r="T35" s="83" t="str">
        <x:v>Four converter stations in overall project, each 1,000 MW.</x:v>
      </x:c>
    </x:row>
    <x:row r="36">
      <x:c r="A36" s="83" t="str">
        <x:v>PRJ-032</x:v>
      </x:c>
      <x:c r="B36" s="83" t="str">
        <x:v>723/E-P</x:v>
      </x:c>
      <x:c r="C36" s="83" t="str">
        <x:v>Tyrrhenian Link — East branch</x:v>
      </x:c>
      <x:c r="D36" s="83" t="str">
        <x:v>Interzonal development</x:v>
      </x:c>
      <x:c r="E36" s="83" t="str">
        <x:v>HVDC VSC</x:v>
      </x:c>
      <x:c r="F36" s="83" t="str">
        <x:v>SICI</x:v>
      </x:c>
      <x:c r="G36" s="83" t="str">
        <x:v>CSUD</x:v>
      </x:c>
      <x:c r="H36" s="241" t="n">
        <x:v>1000</x:v>
      </x:c>
      <x:c r="I36" s="241" t="n">
        <x:v>1000</x:v>
      </x:c>
      <x:c r="J36" s="241" t="n">
        <x:f>IF(OR(H36="",I36=""),"",I36-H36)</x:f>
        <x:v>0</x:v>
      </x:c>
      <x:c r="K36" s="83" t="str">
        <x:v>2028</x:v>
      </x:c>
      <x:c r="L36" s="83" t="str">
        <x:v>Authorized September 2022; in realization</x:v>
      </x:c>
      <x:c r="M36" s="83" t="str">
        <x:v>Include in PDS Figure 3 corridor total; do not add separately</x:v>
      </x:c>
      <x:c r="N36" s="83" t="str">
        <x:v>S03 / S05</x:v>
      </x:c>
      <x:c r="O36" s="120" t="str">
        <x:v>https://download.terna.it/terna/Terna_Piano_Sviluppo_2025_Benefici_sistema_analisi_robustezza_rete_8dd62ecc98b2bc9.pdf</x:v>
      </x:c>
      <x:c r="P36" s="83" t="n">
        <x:v>18</x:v>
      </x:c>
      <x:c r="Q36" s="83" t="n">
        <x:v>16</x:v>
      </x:c>
      <x:c r="R36" s="83" t="str">
        <x:v>S03 Table 2; S05 architecture/project text</x:v>
      </x:c>
      <x:c r="S36" s="83" t="str">
        <x:v>A — Direct table; project metadata direct text</x:v>
      </x:c>
      <x:c r="T36" s="83" t="str">
        <x:v>Four converter stations in overall project, each 1,000 MW.</x:v>
      </x:c>
    </x:row>
    <x:row r="37">
      <x:c r="A37" s="83" t="str">
        <x:v>PRJ-033</x:v>
      </x:c>
      <x:c r="B37" s="83" t="str">
        <x:v>509-P</x:v>
      </x:c>
      <x:c r="C37" s="83" t="str">
        <x:v>Riassetto rete nord Calabria</x:v>
      </x:c>
      <x:c r="D37" s="83" t="str">
        <x:v>Interzonal development</x:v>
      </x:c>
      <x:c r="E37" s="83" t="str">
        <x:v>AC upgrade</x:v>
      </x:c>
      <x:c r="F37" s="83" t="str">
        <x:v>SUD</x:v>
      </x:c>
      <x:c r="G37" s="83" t="str">
        <x:v>CALA</x:v>
      </x:c>
      <x:c r="H37" s="241" t="n">
        <x:v>300</x:v>
      </x:c>
      <x:c r="I37" s="241"/>
      <x:c r="J37" s="241" t="str">
        <x:f>IF(OR(H37="",I37=""),"",I37-H37)</x:f>
      </x:c>
      <x:c r="K37" s="83" t="str">
        <x:v>2030 NTC effect; phases 2028/2036</x:v>
      </x:c>
      <x:c r="L37" s="83" t="str">
        <x:v>Planned / phased</x:v>
      </x:c>
      <x:c r="M37" s="83" t="str">
        <x:v>Include in PDS Figure 3 corridor total; do not add separately</x:v>
      </x:c>
      <x:c r="N37" s="83" t="str">
        <x:v>S03 / S05</x:v>
      </x:c>
      <x:c r="O37" s="120" t="str">
        <x:v>https://download.terna.it/terna/Terna_Piano_Sviluppo_2025_Benefici_sistema_analisi_robustezza_rete_8dd62ecc98b2bc9.pdf</x:v>
      </x:c>
      <x:c r="P37" s="83" t="n">
        <x:v>18</x:v>
      </x:c>
      <x:c r="Q37" s="83" t="n">
        <x:v>16</x:v>
      </x:c>
      <x:c r="R37" s="83" t="str">
        <x:v>S03 Table 2; S05 architecture/project text</x:v>
      </x:c>
      <x:c r="S37" s="83" t="str">
        <x:v>A — Direct table; project metadata direct text</x:v>
      </x:c>
      <x:c r="T37" s="83" t="str">
        <x:v>Project-level NTC effect; corridor total remains governed by S03 Figure 3.</x:v>
      </x:c>
    </x:row>
    <x:row r="38">
      <x:c r="A38" s="83" t="str">
        <x:v>PRJ-034</x:v>
      </x:c>
      <x:c r="B38" s="83" t="str">
        <x:v>509-P</x:v>
      </x:c>
      <x:c r="C38" s="83" t="str">
        <x:v>Riassetto rete nord Calabria</x:v>
      </x:c>
      <x:c r="D38" s="83" t="str">
        <x:v>Interzonal development</x:v>
      </x:c>
      <x:c r="E38" s="83" t="str">
        <x:v>AC upgrade</x:v>
      </x:c>
      <x:c r="F38" s="83" t="str">
        <x:v>CALA</x:v>
      </x:c>
      <x:c r="G38" s="83" t="str">
        <x:v>SUD</x:v>
      </x:c>
      <x:c r="H38" s="241" t="n">
        <x:v>300</x:v>
      </x:c>
      <x:c r="I38" s="241"/>
      <x:c r="J38" s="241" t="str">
        <x:f>IF(OR(H38="",I38=""),"",I38-H38)</x:f>
      </x:c>
      <x:c r="K38" s="83" t="str">
        <x:v>2030 NTC effect; phases 2028/2036</x:v>
      </x:c>
      <x:c r="L38" s="83" t="str">
        <x:v>Planned / phased</x:v>
      </x:c>
      <x:c r="M38" s="83" t="str">
        <x:v>Include in PDS Figure 3 corridor total; do not add separately</x:v>
      </x:c>
      <x:c r="N38" s="83" t="str">
        <x:v>S03 / S05</x:v>
      </x:c>
      <x:c r="O38" s="120" t="str">
        <x:v>https://download.terna.it/terna/Terna_Piano_Sviluppo_2025_Benefici_sistema_analisi_robustezza_rete_8dd62ecc98b2bc9.pdf</x:v>
      </x:c>
      <x:c r="P38" s="83" t="n">
        <x:v>18</x:v>
      </x:c>
      <x:c r="Q38" s="83" t="n">
        <x:v>16</x:v>
      </x:c>
      <x:c r="R38" s="83" t="str">
        <x:v>S03 Table 2; S05 architecture/project text</x:v>
      </x:c>
      <x:c r="S38" s="83" t="str">
        <x:v>A — Direct table; project metadata direct text</x:v>
      </x:c>
      <x:c r="T38" s="83" t="str">
        <x:v>Project-level NTC effect; corridor total remains governed by S03 Figure 3.</x:v>
      </x:c>
    </x:row>
    <x:row r="39">
      <x:c r="A39" s="83" t="str">
        <x:v>PRJ-035</x:v>
      </x:c>
      <x:c r="B39" s="83" t="str">
        <x:v>506-P</x:v>
      </x:c>
      <x:c r="C39" s="83" t="str">
        <x:v>380 kV Montecorvino–Avellino N.–Benevento</x:v>
      </x:c>
      <x:c r="D39" s="83" t="str">
        <x:v>Interzonal development</x:v>
      </x:c>
      <x:c r="E39" s="83" t="str">
        <x:v>AC 380 kV</x:v>
      </x:c>
      <x:c r="F39" s="83" t="str">
        <x:v>CALA</x:v>
      </x:c>
      <x:c r="G39" s="83" t="str">
        <x:v>SUD</x:v>
      </x:c>
      <x:c r="H39" s="241" t="n">
        <x:v>600</x:v>
      </x:c>
      <x:c r="I39" s="241"/>
      <x:c r="J39" s="241" t="str">
        <x:f>IF(OR(H39="",I39=""),"",I39-H39)</x:f>
      </x:c>
      <x:c r="K39" s="83" t="str">
        <x:v>2032</x:v>
      </x:c>
      <x:c r="L39" s="83" t="str">
        <x:v>Planned</x:v>
      </x:c>
      <x:c r="M39" s="83" t="str">
        <x:v>Include in PDS Figure 3 corridor total; do not add separately</x:v>
      </x:c>
      <x:c r="N39" s="83" t="str">
        <x:v>S03 / S05</x:v>
      </x:c>
      <x:c r="O39" s="120" t="str">
        <x:v>https://download.terna.it/terna/Terna_Piano_Sviluppo_2025_Benefici_sistema_analisi_robustezza_rete_8dd62ecc98b2bc9.pdf</x:v>
      </x:c>
      <x:c r="P39" s="83" t="n">
        <x:v>18</x:v>
      </x:c>
      <x:c r="Q39" s="83" t="n">
        <x:v>16</x:v>
      </x:c>
      <x:c r="R39" s="83" t="str">
        <x:v>S03 Table 2; S05 architecture/project text</x:v>
      </x:c>
      <x:c r="S39" s="83" t="str">
        <x:v>A — Direct table; project metadata direct text</x:v>
      </x:c>
      <x:c r="T39" s="83" t="str">
        <x:v>Project-level NTC effect; corridor total remains governed by S03 Figure 3.</x:v>
      </x:c>
    </x:row>
    <x:row r="40">
      <x:c r="A40" s="83" t="str">
        <x:v>PRJ-036</x:v>
      </x:c>
      <x:c r="B40" s="83" t="str">
        <x:v>563-P</x:v>
      </x:c>
      <x:c r="C40" s="83" t="str">
        <x:v>Dorsale Ionica–Tirrenica Priolo–Rossano–Latina</x:v>
      </x:c>
      <x:c r="D40" s="83" t="str">
        <x:v>Interzonal development</x:v>
      </x:c>
      <x:c r="E40" s="83" t="str">
        <x:v>HVDC VSC &gt;2 GW</x:v>
      </x:c>
      <x:c r="F40" s="83" t="str">
        <x:v>SUD</x:v>
      </x:c>
      <x:c r="G40" s="83" t="str">
        <x:v>CALA</x:v>
      </x:c>
      <x:c r="H40" s="241" t="n">
        <x:v>2100</x:v>
      </x:c>
      <x:c r="I40" s="241" t="n">
        <x:v>2100</x:v>
      </x:c>
      <x:c r="J40" s="241" t="n">
        <x:f>IF(OR(H40="",I40=""),"",I40-H40)</x:f>
        <x:v>0</x:v>
      </x:c>
      <x:c r="K40" s="83" t="str">
        <x:v>2040</x:v>
      </x:c>
      <x:c r="L40" s="83" t="str">
        <x:v>Planned Hypergrid / post-2034</x:v>
      </x:c>
      <x:c r="M40" s="83" t="str">
        <x:v>Include in PDS Figure 3 corridor total; do not add separately</x:v>
      </x:c>
      <x:c r="N40" s="83" t="str">
        <x:v>S03 / S05</x:v>
      </x:c>
      <x:c r="O40" s="120" t="str">
        <x:v>https://download.terna.it/terna/Terna_Piano_Sviluppo_2025_Benefici_sistema_analisi_robustezza_rete_8dd62ecc98b2bc9.pdf</x:v>
      </x:c>
      <x:c r="P40" s="83" t="n">
        <x:v>18</x:v>
      </x:c>
      <x:c r="Q40" s="83" t="n">
        <x:v>16</x:v>
      </x:c>
      <x:c r="R40" s="83" t="str">
        <x:v>S03 Table 2; S05 architecture/project text</x:v>
      </x:c>
      <x:c r="S40" s="83" t="str">
        <x:v>A — Direct table; project metadata direct text</x:v>
      </x:c>
      <x:c r="T40" s="83" t="str">
        <x:v>Requires Ionian Link for full CA–S effect.</x:v>
      </x:c>
    </x:row>
    <x:row r="41">
      <x:c r="A41" s="83" t="str">
        <x:v>PRJ-037</x:v>
      </x:c>
      <x:c r="B41" s="83" t="str">
        <x:v>563-P</x:v>
      </x:c>
      <x:c r="C41" s="83" t="str">
        <x:v>Dorsale Ionica–Tirrenica Priolo–Rossano–Latina</x:v>
      </x:c>
      <x:c r="D41" s="83" t="str">
        <x:v>Interzonal development</x:v>
      </x:c>
      <x:c r="E41" s="83" t="str">
        <x:v>HVDC VSC &gt;2 GW</x:v>
      </x:c>
      <x:c r="F41" s="83" t="str">
        <x:v>CALA</x:v>
      </x:c>
      <x:c r="G41" s="83" t="str">
        <x:v>SUD</x:v>
      </x:c>
      <x:c r="H41" s="241" t="n">
        <x:v>2100</x:v>
      </x:c>
      <x:c r="I41" s="241" t="n">
        <x:v>2100</x:v>
      </x:c>
      <x:c r="J41" s="241" t="n">
        <x:f>IF(OR(H41="",I41=""),"",I41-H41)</x:f>
        <x:v>0</x:v>
      </x:c>
      <x:c r="K41" s="83" t="str">
        <x:v>2040</x:v>
      </x:c>
      <x:c r="L41" s="83" t="str">
        <x:v>Planned Hypergrid / post-2034</x:v>
      </x:c>
      <x:c r="M41" s="83" t="str">
        <x:v>Include in PDS Figure 3 corridor total; do not add separately</x:v>
      </x:c>
      <x:c r="N41" s="83" t="str">
        <x:v>S03 / S05</x:v>
      </x:c>
      <x:c r="O41" s="120" t="str">
        <x:v>https://download.terna.it/terna/Terna_Piano_Sviluppo_2025_Benefici_sistema_analisi_robustezza_rete_8dd62ecc98b2bc9.pdf</x:v>
      </x:c>
      <x:c r="P41" s="83" t="n">
        <x:v>18</x:v>
      </x:c>
      <x:c r="Q41" s="83" t="n">
        <x:v>16</x:v>
      </x:c>
      <x:c r="R41" s="83" t="str">
        <x:v>S03 Table 2; S05 architecture/project text</x:v>
      </x:c>
      <x:c r="S41" s="83" t="str">
        <x:v>A — Direct table; project metadata direct text</x:v>
      </x:c>
      <x:c r="T41" s="83" t="str">
        <x:v>Requires Ionian Link for full CA–S effect.</x:v>
      </x:c>
    </x:row>
    <x:row r="42">
      <x:c r="A42" s="83" t="str">
        <x:v>PRJ-038</x:v>
      </x:c>
      <x:c r="B42" s="83" t="str">
        <x:v>555-P</x:v>
      </x:c>
      <x:c r="C42" s="83" t="str">
        <x:v>380 kV Bolano–Annunziata</x:v>
      </x:c>
      <x:c r="D42" s="83" t="str">
        <x:v>Interzonal development</x:v>
      </x:c>
      <x:c r="E42" s="83" t="str">
        <x:v>Submarine AC 380 kV</x:v>
      </x:c>
      <x:c r="F42" s="83" t="str">
        <x:v>SICI</x:v>
      </x:c>
      <x:c r="G42" s="83" t="str">
        <x:v>CALA</x:v>
      </x:c>
      <x:c r="H42" s="241" t="n">
        <x:v>700</x:v>
      </x:c>
      <x:c r="I42" s="241" t="n">
        <x:v>2000</x:v>
      </x:c>
      <x:c r="J42" s="241" t="n">
        <x:f>IF(OR(H42="",I42=""),"",I42-H42)</x:f>
        <x:v>1300</x:v>
      </x:c>
      <x:c r="K42" s="83" t="str">
        <x:v>2027</x:v>
      </x:c>
      <x:c r="L42" s="83" t="str">
        <x:v>Authorized September 2024</x:v>
      </x:c>
      <x:c r="M42" s="83" t="str">
        <x:v>Include in PDS Figure 3 corridor total; do not add separately</x:v>
      </x:c>
      <x:c r="N42" s="83" t="str">
        <x:v>S03 / S05</x:v>
      </x:c>
      <x:c r="O42" s="120" t="str">
        <x:v>https://download.terna.it/terna/Terna_Piano_Sviluppo_2025_Benefici_sistema_analisi_robustezza_rete_8dd62ecc98b2bc9.pdf</x:v>
      </x:c>
      <x:c r="P42" s="83" t="n">
        <x:v>18</x:v>
      </x:c>
      <x:c r="Q42" s="83" t="n">
        <x:v>16</x:v>
      </x:c>
      <x:c r="R42" s="83" t="str">
        <x:v>S03 Table 2; S05 architecture/project text</x:v>
      </x:c>
      <x:c r="S42" s="83" t="str">
        <x:v>A — Direct table; project metadata direct text</x:v>
      </x:c>
      <x:c r="T42" s="83" t="str">
        <x:v>2,000 MW is total corridor capability, not the NTC increment.</x:v>
      </x:c>
    </x:row>
    <x:row r="43">
      <x:c r="A43" s="83" t="str">
        <x:v>PRJ-039</x:v>
      </x:c>
      <x:c r="B43" s="83" t="str">
        <x:v>555-P</x:v>
      </x:c>
      <x:c r="C43" s="83" t="str">
        <x:v>380 kV Bolano–Annunziata</x:v>
      </x:c>
      <x:c r="D43" s="83" t="str">
        <x:v>Interzonal development</x:v>
      </x:c>
      <x:c r="E43" s="83" t="str">
        <x:v>Submarine AC 380 kV</x:v>
      </x:c>
      <x:c r="F43" s="83" t="str">
        <x:v>CALA</x:v>
      </x:c>
      <x:c r="G43" s="83" t="str">
        <x:v>SICI</x:v>
      </x:c>
      <x:c r="H43" s="241" t="n">
        <x:v>500</x:v>
      </x:c>
      <x:c r="I43" s="241" t="n">
        <x:v>2000</x:v>
      </x:c>
      <x:c r="J43" s="241" t="n">
        <x:f>IF(OR(H43="",I43=""),"",I43-H43)</x:f>
        <x:v>1500</x:v>
      </x:c>
      <x:c r="K43" s="83" t="str">
        <x:v>2027</x:v>
      </x:c>
      <x:c r="L43" s="83" t="str">
        <x:v>Authorized September 2024</x:v>
      </x:c>
      <x:c r="M43" s="83" t="str">
        <x:v>Include in PDS Figure 3 corridor total; do not add separately</x:v>
      </x:c>
      <x:c r="N43" s="83" t="str">
        <x:v>S03 / S05</x:v>
      </x:c>
      <x:c r="O43" s="120" t="str">
        <x:v>https://download.terna.it/terna/Terna_Piano_Sviluppo_2025_Benefici_sistema_analisi_robustezza_rete_8dd62ecc98b2bc9.pdf</x:v>
      </x:c>
      <x:c r="P43" s="83" t="n">
        <x:v>18</x:v>
      </x:c>
      <x:c r="Q43" s="83" t="n">
        <x:v>16</x:v>
      </x:c>
      <x:c r="R43" s="83" t="str">
        <x:v>S03 Table 2; S05 architecture/project text</x:v>
      </x:c>
      <x:c r="S43" s="83" t="str">
        <x:v>A — Direct table; project metadata direct text</x:v>
      </x:c>
      <x:c r="T43" s="83" t="str">
        <x:v>2,000 MW is total corridor capability, not the NTC increment.</x:v>
      </x:c>
    </x:row>
    <x:row r="44">
      <x:c r="A44" s="83" t="str">
        <x:v>PRJ-040</x:v>
      </x:c>
      <x:c r="B44" s="83" t="str">
        <x:v>563-P</x:v>
      </x:c>
      <x:c r="C44" s="83" t="str">
        <x:v>Dorsale Ionica–Tirrenica Priolo–Rossano–Latina</x:v>
      </x:c>
      <x:c r="D44" s="83" t="str">
        <x:v>Interzonal development</x:v>
      </x:c>
      <x:c r="E44" s="83" t="str">
        <x:v>HVDC VSC &gt;2 GW</x:v>
      </x:c>
      <x:c r="F44" s="83" t="str">
        <x:v>SICI</x:v>
      </x:c>
      <x:c r="G44" s="83" t="str">
        <x:v>CALA</x:v>
      </x:c>
      <x:c r="H44" s="241" t="n">
        <x:v>2100</x:v>
      </x:c>
      <x:c r="I44" s="241" t="n">
        <x:v>2100</x:v>
      </x:c>
      <x:c r="J44" s="241" t="n">
        <x:f>IF(OR(H44="",I44=""),"",I44-H44)</x:f>
        <x:v>0</x:v>
      </x:c>
      <x:c r="K44" s="83" t="str">
        <x:v>2040</x:v>
      </x:c>
      <x:c r="L44" s="83" t="str">
        <x:v>Planned Hypergrid / post-2034</x:v>
      </x:c>
      <x:c r="M44" s="83" t="str">
        <x:v>Include in PDS Figure 3 corridor total; do not add separately</x:v>
      </x:c>
      <x:c r="N44" s="83" t="str">
        <x:v>S03 / S05</x:v>
      </x:c>
      <x:c r="O44" s="120" t="str">
        <x:v>https://download.terna.it/terna/Terna_Piano_Sviluppo_2025_Benefici_sistema_analisi_robustezza_rete_8dd62ecc98b2bc9.pdf</x:v>
      </x:c>
      <x:c r="P44" s="83" t="n">
        <x:v>18</x:v>
      </x:c>
      <x:c r="Q44" s="83" t="n">
        <x:v>16</x:v>
      </x:c>
      <x:c r="R44" s="83" t="str">
        <x:v>S03 Table 2; S05 architecture/project text</x:v>
      </x:c>
      <x:c r="S44" s="83" t="str">
        <x:v>A — Direct table; project metadata direct text</x:v>
      </x:c>
      <x:c r="T44" s="83" t="str">
        <x:v>Requires Ionian Link for full CA–S effect.</x:v>
      </x:c>
    </x:row>
    <x:row r="45">
      <x:c r="A45" s="83" t="str">
        <x:v>PRJ-041</x:v>
      </x:c>
      <x:c r="B45" s="83" t="str">
        <x:v>563-P</x:v>
      </x:c>
      <x:c r="C45" s="83" t="str">
        <x:v>Dorsale Ionica–Tirrenica Priolo–Rossano–Latina</x:v>
      </x:c>
      <x:c r="D45" s="83" t="str">
        <x:v>Interzonal development</x:v>
      </x:c>
      <x:c r="E45" s="83" t="str">
        <x:v>HVDC VSC &gt;2 GW</x:v>
      </x:c>
      <x:c r="F45" s="83" t="str">
        <x:v>CALA</x:v>
      </x:c>
      <x:c r="G45" s="83" t="str">
        <x:v>SICI</x:v>
      </x:c>
      <x:c r="H45" s="241" t="n">
        <x:v>2100</x:v>
      </x:c>
      <x:c r="I45" s="241" t="n">
        <x:v>2100</x:v>
      </x:c>
      <x:c r="J45" s="241" t="n">
        <x:f>IF(OR(H45="",I45=""),"",I45-H45)</x:f>
        <x:v>0</x:v>
      </x:c>
      <x:c r="K45" s="83" t="str">
        <x:v>2040</x:v>
      </x:c>
      <x:c r="L45" s="83" t="str">
        <x:v>Planned Hypergrid / post-2034</x:v>
      </x:c>
      <x:c r="M45" s="83" t="str">
        <x:v>Include in PDS Figure 3 corridor total; do not add separately</x:v>
      </x:c>
      <x:c r="N45" s="83" t="str">
        <x:v>S03 / S05</x:v>
      </x:c>
      <x:c r="O45" s="120" t="str">
        <x:v>https://download.terna.it/terna/Terna_Piano_Sviluppo_2025_Benefici_sistema_analisi_robustezza_rete_8dd62ecc98b2bc9.pdf</x:v>
      </x:c>
      <x:c r="P45" s="83" t="n">
        <x:v>18</x:v>
      </x:c>
      <x:c r="Q45" s="83" t="n">
        <x:v>16</x:v>
      </x:c>
      <x:c r="R45" s="83" t="str">
        <x:v>S03 Table 2; S05 architecture/project text</x:v>
      </x:c>
      <x:c r="S45" s="83" t="str">
        <x:v>A — Direct table; project metadata direct text</x:v>
      </x:c>
      <x:c r="T45" s="83" t="str">
        <x:v>Requires Ionian Link for full CA–S effect.</x:v>
      </x:c>
    </x:row>
    <x:row r="46">
      <x:c r="A46" s="83" t="str">
        <x:v>PRJ-042</x:v>
      </x:c>
      <x:c r="B46" s="83" t="str">
        <x:v>301-P</x:v>
      </x:c>
      <x:c r="C46" s="83" t="str">
        <x:v>SA.CO.I.3</x:v>
      </x:c>
      <x:c r="D46" s="83" t="str">
        <x:v>Interzonal development</x:v>
      </x:c>
      <x:c r="E46" s="83" t="str">
        <x:v>HVDC VSC bipolar 200 kV</x:v>
      </x:c>
      <x:c r="F46" s="83" t="str">
        <x:v>CNOR</x:v>
      </x:c>
      <x:c r="G46" s="83" t="str">
        <x:v>SARD</x:v>
      </x:c>
      <x:c r="H46" s="241" t="n">
        <x:v>100</x:v>
      </x:c>
      <x:c r="I46" s="241" t="n">
        <x:v>400</x:v>
      </x:c>
      <x:c r="J46" s="241" t="n">
        <x:f>IF(OR(H46="",I46=""),"",I46-H46)</x:f>
        <x:v>300</x:v>
      </x:c>
      <x:c r="K46" s="83" t="str">
        <x:v>2029</x:v>
      </x:c>
      <x:c r="L46" s="83" t="str">
        <x:v>Authorized September 2023</x:v>
      </x:c>
      <x:c r="M46" s="83" t="str">
        <x:v>Include in PDS Figure 3 corridor total; do not add separately</x:v>
      </x:c>
      <x:c r="N46" s="83" t="str">
        <x:v>S03 / S05</x:v>
      </x:c>
      <x:c r="O46" s="120" t="str">
        <x:v>https://download.terna.it/terna/Terna_Piano_Sviluppo_2025_Benefici_sistema_analisi_robustezza_rete_8dd62ecc98b2bc9.pdf</x:v>
      </x:c>
      <x:c r="P46" s="83" t="n">
        <x:v>18</x:v>
      </x:c>
      <x:c r="Q46" s="83" t="n">
        <x:v>16</x:v>
      </x:c>
      <x:c r="R46" s="83" t="str">
        <x:v>S03 Table 2; S05 architecture/project text</x:v>
      </x:c>
      <x:c r="S46" s="83" t="str">
        <x:v>A — Direct table; project metadata direct text</x:v>
      </x:c>
      <x:c r="T46" s="83" t="str">
        <x:v>Nominal 400 MW; NTC effect listed as 100 MW.</x:v>
      </x:c>
    </x:row>
    <x:row r="47">
      <x:c r="A47" s="83" t="str">
        <x:v>PRJ-043</x:v>
      </x:c>
      <x:c r="B47" s="83" t="str">
        <x:v>301-P</x:v>
      </x:c>
      <x:c r="C47" s="83" t="str">
        <x:v>SA.CO.I.3</x:v>
      </x:c>
      <x:c r="D47" s="83" t="str">
        <x:v>Interzonal development</x:v>
      </x:c>
      <x:c r="E47" s="83" t="str">
        <x:v>HVDC VSC bipolar 200 kV</x:v>
      </x:c>
      <x:c r="F47" s="83" t="str">
        <x:v>SARD</x:v>
      </x:c>
      <x:c r="G47" s="83" t="str">
        <x:v>CNOR</x:v>
      </x:c>
      <x:c r="H47" s="241" t="n">
        <x:v>100</x:v>
      </x:c>
      <x:c r="I47" s="241" t="n">
        <x:v>400</x:v>
      </x:c>
      <x:c r="J47" s="241" t="n">
        <x:f>IF(OR(H47="",I47=""),"",I47-H47)</x:f>
        <x:v>300</x:v>
      </x:c>
      <x:c r="K47" s="83" t="str">
        <x:v>2029</x:v>
      </x:c>
      <x:c r="L47" s="83" t="str">
        <x:v>Authorized September 2023</x:v>
      </x:c>
      <x:c r="M47" s="83" t="str">
        <x:v>Include in PDS Figure 3 corridor total; do not add separately</x:v>
      </x:c>
      <x:c r="N47" s="83" t="str">
        <x:v>S03 / S05</x:v>
      </x:c>
      <x:c r="O47" s="120" t="str">
        <x:v>https://download.terna.it/terna/Terna_Piano_Sviluppo_2025_Benefici_sistema_analisi_robustezza_rete_8dd62ecc98b2bc9.pdf</x:v>
      </x:c>
      <x:c r="P47" s="83" t="n">
        <x:v>18</x:v>
      </x:c>
      <x:c r="Q47" s="83" t="n">
        <x:v>16</x:v>
      </x:c>
      <x:c r="R47" s="83" t="str">
        <x:v>S03 Table 2; S05 architecture/project text</x:v>
      </x:c>
      <x:c r="S47" s="83" t="str">
        <x:v>A — Direct table; project metadata direct text</x:v>
      </x:c>
      <x:c r="T47" s="83" t="str">
        <x:v>Nominal 400 MW; NTC effect listed as 100 MW.</x:v>
      </x:c>
    </x:row>
    <x:row r="48">
      <x:c r="A48" s="83" t="str">
        <x:v>PRJ-044</x:v>
      </x:c>
      <x:c r="B48" s="83" t="str">
        <x:v>732-P</x:v>
      </x:c>
      <x:c r="C48" s="83" t="str">
        <x:v>Dorsale Sarda — SAPEI 2 and Sardinian Link</x:v>
      </x:c>
      <x:c r="D48" s="83" t="str">
        <x:v>Interzonal development</x:v>
      </x:c>
      <x:c r="E48" s="83" t="str">
        <x:v>HVDC VSC + AC/DC upgrade</x:v>
      </x:c>
      <x:c r="F48" s="83" t="str">
        <x:v>SARD</x:v>
      </x:c>
      <x:c r="G48" s="83" t="str">
        <x:v>CSUD</x:v>
      </x:c>
      <x:c r="H48" s="241" t="n">
        <x:v>1000</x:v>
      </x:c>
      <x:c r="I48" s="241" t="n">
        <x:v>1000</x:v>
      </x:c>
      <x:c r="J48" s="241" t="n">
        <x:f>IF(OR(H48="",I48=""),"",I48-H48)</x:f>
        <x:v>0</x:v>
      </x:c>
      <x:c r="K48" s="83" t="str">
        <x:v>2040</x:v>
      </x:c>
      <x:c r="L48" s="83" t="str">
        <x:v>Planned Hypergrid / post-2034</x:v>
      </x:c>
      <x:c r="M48" s="83" t="str">
        <x:v>Include in PDS Figure 3 corridor total; do not add separately</x:v>
      </x:c>
      <x:c r="N48" s="83" t="str">
        <x:v>S03 / S05</x:v>
      </x:c>
      <x:c r="O48" s="120" t="str">
        <x:v>https://download.terna.it/terna/Terna_Piano_Sviluppo_2025_Benefici_sistema_analisi_robustezza_rete_8dd62ecc98b2bc9.pdf</x:v>
      </x:c>
      <x:c r="P48" s="83" t="n">
        <x:v>18</x:v>
      </x:c>
      <x:c r="Q48" s="83" t="n">
        <x:v>16</x:v>
      </x:c>
      <x:c r="R48" s="83" t="str">
        <x:v>S03 Table 2; S05 architecture/project text</x:v>
      </x:c>
      <x:c r="S48" s="83" t="str">
        <x:v>A — Direct table; project metadata direct text</x:v>
      </x:c>
      <x:c r="T48" s="83" t="str">
        <x:v>Project-level NTC effect; corridor total remains governed by S03 Figure 3.</x:v>
      </x:c>
    </x:row>
    <x:row r="49">
      <x:c r="A49" s="83" t="str">
        <x:v>PRJ-045</x:v>
      </x:c>
      <x:c r="B49" s="83" t="str">
        <x:v>732-P</x:v>
      </x:c>
      <x:c r="C49" s="83" t="str">
        <x:v>Dorsale Sarda — SAPEI 2 and Sardinian Link</x:v>
      </x:c>
      <x:c r="D49" s="83" t="str">
        <x:v>Interzonal development</x:v>
      </x:c>
      <x:c r="E49" s="83" t="str">
        <x:v>HVDC VSC + AC/DC upgrade</x:v>
      </x:c>
      <x:c r="F49" s="83" t="str">
        <x:v>CSUD</x:v>
      </x:c>
      <x:c r="G49" s="83" t="str">
        <x:v>SARD</x:v>
      </x:c>
      <x:c r="H49" s="241" t="n">
        <x:v>1000</x:v>
      </x:c>
      <x:c r="I49" s="241" t="n">
        <x:v>1000</x:v>
      </x:c>
      <x:c r="J49" s="241" t="n">
        <x:f>IF(OR(H49="",I49=""),"",I49-H49)</x:f>
        <x:v>0</x:v>
      </x:c>
      <x:c r="K49" s="83" t="str">
        <x:v>2040</x:v>
      </x:c>
      <x:c r="L49" s="83" t="str">
        <x:v>Planned Hypergrid / post-2034</x:v>
      </x:c>
      <x:c r="M49" s="83" t="str">
        <x:v>Include in PDS Figure 3 corridor total; do not add separately</x:v>
      </x:c>
      <x:c r="N49" s="83" t="str">
        <x:v>S03 / S05</x:v>
      </x:c>
      <x:c r="O49" s="120" t="str">
        <x:v>https://download.terna.it/terna/Terna_Piano_Sviluppo_2025_Benefici_sistema_analisi_robustezza_rete_8dd62ecc98b2bc9.pdf</x:v>
      </x:c>
      <x:c r="P49" s="83" t="n">
        <x:v>18</x:v>
      </x:c>
      <x:c r="Q49" s="83" t="n">
        <x:v>16</x:v>
      </x:c>
      <x:c r="R49" s="83" t="str">
        <x:v>S03 Table 2; S05 architecture/project text</x:v>
      </x:c>
      <x:c r="S49" s="83" t="str">
        <x:v>A — Direct table; project metadata direct text</x:v>
      </x:c>
      <x:c r="T49" s="83" t="str">
        <x:v>Project-level NTC effect; corridor total remains governed by S03 Figure 3.</x:v>
      </x:c>
    </x:row>
    <x:row r="50">
      <x:c r="A50" s="83" t="str">
        <x:v>PRJ-046</x:v>
      </x:c>
      <x:c r="B50" s="83" t="str">
        <x:v>723/W-P</x:v>
      </x:c>
      <x:c r="C50" s="83" t="str">
        <x:v>Tyrrhenian Link — West branch</x:v>
      </x:c>
      <x:c r="D50" s="83" t="str">
        <x:v>Interzonal development</x:v>
      </x:c>
      <x:c r="E50" s="83" t="str">
        <x:v>HVDC VSC</x:v>
      </x:c>
      <x:c r="F50" s="83" t="str">
        <x:v>SARD</x:v>
      </x:c>
      <x:c r="G50" s="83" t="str">
        <x:v>SICI</x:v>
      </x:c>
      <x:c r="H50" s="241" t="n">
        <x:v>1000</x:v>
      </x:c>
      <x:c r="I50" s="241" t="n">
        <x:v>1000</x:v>
      </x:c>
      <x:c r="J50" s="241" t="n">
        <x:f>IF(OR(H50="",I50=""),"",I50-H50)</x:f>
        <x:v>0</x:v>
      </x:c>
      <x:c r="K50" s="83" t="str">
        <x:v>2027</x:v>
      </x:c>
      <x:c r="L50" s="83" t="str">
        <x:v>Authorized September 2023; in realization</x:v>
      </x:c>
      <x:c r="M50" s="83" t="str">
        <x:v>Include in PDS Figure 3 corridor total; do not add separately</x:v>
      </x:c>
      <x:c r="N50" s="83" t="str">
        <x:v>S03 / S05</x:v>
      </x:c>
      <x:c r="O50" s="120" t="str">
        <x:v>https://download.terna.it/terna/Terna_Piano_Sviluppo_2025_Benefici_sistema_analisi_robustezza_rete_8dd62ecc98b2bc9.pdf</x:v>
      </x:c>
      <x:c r="P50" s="83" t="n">
        <x:v>18</x:v>
      </x:c>
      <x:c r="Q50" s="83" t="n">
        <x:v>16</x:v>
      </x:c>
      <x:c r="R50" s="83" t="str">
        <x:v>S03 Table 2; S05 architecture/project text</x:v>
      </x:c>
      <x:c r="S50" s="83" t="str">
        <x:v>A — Direct table; project metadata direct text</x:v>
      </x:c>
      <x:c r="T50" s="83" t="str">
        <x:v>Project-level NTC effect; corridor total remains governed by S03 Figure 3.</x:v>
      </x:c>
    </x:row>
    <x:row r="51">
      <x:c r="A51" s="83" t="str">
        <x:v>PRJ-047</x:v>
      </x:c>
      <x:c r="B51" s="83" t="str">
        <x:v>723/W-P</x:v>
      </x:c>
      <x:c r="C51" s="83" t="str">
        <x:v>Tyrrhenian Link — West branch</x:v>
      </x:c>
      <x:c r="D51" s="83" t="str">
        <x:v>Interzonal development</x:v>
      </x:c>
      <x:c r="E51" s="83" t="str">
        <x:v>HVDC VSC</x:v>
      </x:c>
      <x:c r="F51" s="83" t="str">
        <x:v>SICI</x:v>
      </x:c>
      <x:c r="G51" s="83" t="str">
        <x:v>SARD</x:v>
      </x:c>
      <x:c r="H51" s="241" t="n">
        <x:v>1000</x:v>
      </x:c>
      <x:c r="I51" s="241" t="n">
        <x:v>1000</x:v>
      </x:c>
      <x:c r="J51" s="241" t="n">
        <x:f>IF(OR(H51="",I51=""),"",I51-H51)</x:f>
        <x:v>0</x:v>
      </x:c>
      <x:c r="K51" s="83" t="str">
        <x:v>2027</x:v>
      </x:c>
      <x:c r="L51" s="83" t="str">
        <x:v>Authorized September 2023; in realization</x:v>
      </x:c>
      <x:c r="M51" s="83" t="str">
        <x:v>Include in PDS Figure 3 corridor total; do not add separately</x:v>
      </x:c>
      <x:c r="N51" s="83" t="str">
        <x:v>S03 / S05</x:v>
      </x:c>
      <x:c r="O51" s="120" t="str">
        <x:v>https://download.terna.it/terna/Terna_Piano_Sviluppo_2025_Benefici_sistema_analisi_robustezza_rete_8dd62ecc98b2bc9.pdf</x:v>
      </x:c>
      <x:c r="P51" s="83" t="n">
        <x:v>18</x:v>
      </x:c>
      <x:c r="Q51" s="83" t="n">
        <x:v>16</x:v>
      </x:c>
      <x:c r="R51" s="83" t="str">
        <x:v>S03 Table 2; S05 architecture/project text</x:v>
      </x:c>
      <x:c r="S51" s="83" t="str">
        <x:v>A — Direct table; project metadata direct text</x:v>
      </x:c>
      <x:c r="T51" s="83" t="str">
        <x:v>Project-level NTC effect; corridor total remains governed by S03 Figure 3.</x:v>
      </x:c>
    </x:row>
    <x:row r="52">
      <x:c r="A52" s="83" t="str">
        <x:v>PRJ-048</x:v>
      </x:c>
      <x:c r="B52" s="83" t="str">
        <x:v>355-P</x:v>
      </x:c>
      <x:c r="C52" s="83" t="str">
        <x:v>HVDC Milano–Montalto</x:v>
      </x:c>
      <x:c r="D52" s="83" t="str">
        <x:v>Interzonal development</x:v>
      </x:c>
      <x:c r="E52" s="83" t="str">
        <x:v>HVDC VSC &gt;2 GW</x:v>
      </x:c>
      <x:c r="F52" s="83" t="str">
        <x:v>NORD</x:v>
      </x:c>
      <x:c r="G52" s="83" t="str">
        <x:v>CSUD</x:v>
      </x:c>
      <x:c r="H52" s="241" t="n">
        <x:v>2100</x:v>
      </x:c>
      <x:c r="I52" s="241" t="n">
        <x:v>2100</x:v>
      </x:c>
      <x:c r="J52" s="241" t="n">
        <x:f>IF(OR(H52="",I52=""),"",I52-H52)</x:f>
        <x:v>0</x:v>
      </x:c>
      <x:c r="K52" s="83" t="str">
        <x:v>2033/2034</x:v>
      </x:c>
      <x:c r="L52" s="83" t="str">
        <x:v>Planned Hypergrid</x:v>
      </x:c>
      <x:c r="M52" s="83" t="str">
        <x:v>Include in PDS Figure 3 corridor total; do not add separately</x:v>
      </x:c>
      <x:c r="N52" s="83" t="str">
        <x:v>S03 / S05</x:v>
      </x:c>
      <x:c r="O52" s="120" t="str">
        <x:v>https://download.terna.it/terna/Terna_Piano_Sviluppo_2025_Benefici_sistema_analisi_robustezza_rete_8dd62ecc98b2bc9.pdf</x:v>
      </x:c>
      <x:c r="P52" s="83" t="n">
        <x:v>18</x:v>
      </x:c>
      <x:c r="Q52" s="83" t="n">
        <x:v>16</x:v>
      </x:c>
      <x:c r="R52" s="83" t="str">
        <x:v>S03 Table 2; S05 architecture/project text</x:v>
      </x:c>
      <x:c r="S52" s="83" t="str">
        <x:v>A — Direct table; project metadata direct text</x:v>
      </x:c>
      <x:c r="T52" s="83" t="str">
        <x:v>Creates direct NORD–CSUD section and supports CSUD→CNOR.</x:v>
      </x:c>
    </x:row>
    <x:row r="53">
      <x:c r="A53" s="83" t="str">
        <x:v>PRJ-049</x:v>
      </x:c>
      <x:c r="B53" s="83" t="str">
        <x:v>355-P</x:v>
      </x:c>
      <x:c r="C53" s="83" t="str">
        <x:v>HVDC Milano–Montalto</x:v>
      </x:c>
      <x:c r="D53" s="83" t="str">
        <x:v>Interzonal development</x:v>
      </x:c>
      <x:c r="E53" s="83" t="str">
        <x:v>HVDC VSC &gt;2 GW</x:v>
      </x:c>
      <x:c r="F53" s="83" t="str">
        <x:v>CSUD</x:v>
      </x:c>
      <x:c r="G53" s="83" t="str">
        <x:v>NORD</x:v>
      </x:c>
      <x:c r="H53" s="241" t="n">
        <x:v>2100</x:v>
      </x:c>
      <x:c r="I53" s="241" t="n">
        <x:v>2100</x:v>
      </x:c>
      <x:c r="J53" s="241" t="n">
        <x:f>IF(OR(H53="",I53=""),"",I53-H53)</x:f>
        <x:v>0</x:v>
      </x:c>
      <x:c r="K53" s="83" t="str">
        <x:v>2033/2034</x:v>
      </x:c>
      <x:c r="L53" s="83" t="str">
        <x:v>Planned Hypergrid</x:v>
      </x:c>
      <x:c r="M53" s="83" t="str">
        <x:v>Include in PDS Figure 3 corridor total; do not add separately</x:v>
      </x:c>
      <x:c r="N53" s="83" t="str">
        <x:v>S03 / S05</x:v>
      </x:c>
      <x:c r="O53" s="120" t="str">
        <x:v>https://download.terna.it/terna/Terna_Piano_Sviluppo_2025_Benefici_sistema_analisi_robustezza_rete_8dd62ecc98b2bc9.pdf</x:v>
      </x:c>
      <x:c r="P53" s="83" t="n">
        <x:v>18</x:v>
      </x:c>
      <x:c r="Q53" s="83" t="n">
        <x:v>16</x:v>
      </x:c>
      <x:c r="R53" s="83" t="str">
        <x:v>S03 Table 2; S05 architecture/project text</x:v>
      </x:c>
      <x:c r="S53" s="83" t="str">
        <x:v>A — Direct table; project metadata direct text</x:v>
      </x:c>
      <x:c r="T53" s="83" t="str">
        <x:v>Creates direct NORD–CSUD section and supports CSUD→CNOR.</x:v>
      </x:c>
    </x:row>
    <x:row r="54">
      <x:c r="A54" s="83" t="str">
        <x:v>PRJ-050</x:v>
      </x:c>
      <x:c r="B54" s="83" t="str">
        <x:v>167-P</x:v>
      </x:c>
      <x:c r="C54" s="83" t="str">
        <x:v>Razionalizzazione Valchiavenna</x:v>
      </x:c>
      <x:c r="D54" s="83" t="str">
        <x:v>Foreign interconnector</x:v>
      </x:c>
      <x:c r="E54" s="83" t="str">
        <x:v>AC / cross-border reinforcement</x:v>
      </x:c>
      <x:c r="F54" s="83" t="str">
        <x:v>NORD</x:v>
      </x:c>
      <x:c r="G54" s="83" t="str">
        <x:v>CH</x:v>
      </x:c>
      <x:c r="H54" s="241" t="n">
        <x:v>1000</x:v>
      </x:c>
      <x:c r="I54" s="241"/>
      <x:c r="J54" s="241" t="str">
        <x:f>IF(OR(H54="",I54=""),"",I54-H54)</x:f>
      </x:c>
      <x:c r="K54" s="83" t="str">
        <x:v>post-2034</x:v>
      </x:c>
      <x:c r="L54" s="83" t="str">
        <x:v>Planning/consultation</x:v>
      </x:c>
      <x:c r="M54" s="83" t="str">
        <x:v>Conditional / sensitivity until directional NTC and commissioning resolved</x:v>
      </x:c>
      <x:c r="N54" s="83" t="str">
        <x:v>S03 / S05</x:v>
      </x:c>
      <x:c r="O54" s="120" t="str">
        <x:v>https://download.terna.it/terna/Terna_Piano_Sviluppo_2025_Benefici_sistema_analisi_robustezza_rete_8dd62ecc98b2bc9.pdf</x:v>
      </x:c>
      <x:c r="P54" s="83" t="n">
        <x:v>17</x:v>
      </x:c>
      <x:c r="Q54" s="83" t="n">
        <x:v>15</x:v>
      </x:c>
      <x:c r="R54" s="83" t="str">
        <x:v>S03 Table 1; S05 Section 5.1</x:v>
      </x:c>
      <x:c r="S54" s="83" t="str">
        <x:v>A — Direct table/text</x:v>
      </x:c>
      <x:c r="T54" s="83" t="str"/>
    </x:row>
    <x:row r="55">
      <x:c r="A55" s="83" t="str">
        <x:v>PRJ-051</x:v>
      </x:c>
      <x:c r="B55" s="83" t="str">
        <x:v>208-P</x:v>
      </x:c>
      <x:c r="C55" s="83" t="str">
        <x:v>132/110 kV Prati di Vizze–Steinach</x:v>
      </x:c>
      <x:c r="D55" s="83" t="str">
        <x:v>Foreign interconnector</x:v>
      </x:c>
      <x:c r="E55" s="83" t="str">
        <x:v>AC</x:v>
      </x:c>
      <x:c r="F55" s="83" t="str">
        <x:v>NORD</x:v>
      </x:c>
      <x:c r="G55" s="83" t="str">
        <x:v>AT</x:v>
      </x:c>
      <x:c r="H55" s="241" t="n">
        <x:v>100</x:v>
      </x:c>
      <x:c r="I55" s="241"/>
      <x:c r="J55" s="241" t="str">
        <x:f>IF(OR(H55="",I55=""),"",I55-H55)</x:f>
      </x:c>
      <x:c r="K55" s="83" t="str">
        <x:v>post-2034</x:v>
      </x:c>
      <x:c r="L55" s="83" t="str">
        <x:v>Planned</x:v>
      </x:c>
      <x:c r="M55" s="83" t="str">
        <x:v>Conditional / sensitivity until directional NTC and commissioning resolved</x:v>
      </x:c>
      <x:c r="N55" s="83" t="str">
        <x:v>S03 / S05</x:v>
      </x:c>
      <x:c r="O55" s="120" t="str">
        <x:v>https://download.terna.it/terna/Terna_Piano_Sviluppo_2025_Benefici_sistema_analisi_robustezza_rete_8dd62ecc98b2bc9.pdf</x:v>
      </x:c>
      <x:c r="P55" s="83" t="n">
        <x:v>17</x:v>
      </x:c>
      <x:c r="Q55" s="83" t="n">
        <x:v>15</x:v>
      </x:c>
      <x:c r="R55" s="83" t="str">
        <x:v>S03 Table 1; S05 Section 5.1</x:v>
      </x:c>
      <x:c r="S55" s="83" t="str">
        <x:v>A — Direct table/text</x:v>
      </x:c>
      <x:c r="T55" s="83" t="str"/>
    </x:row>
    <x:row r="56">
      <x:c r="A56" s="83" t="str">
        <x:v>PRJ-052</x:v>
      </x:c>
      <x:c r="B56" s="83" t="str">
        <x:v>252-P</x:v>
      </x:c>
      <x:c r="C56" s="83" t="str">
        <x:v>AT Dobbiaco–Austria</x:v>
      </x:c>
      <x:c r="D56" s="83" t="str">
        <x:v>Foreign interconnector</x:v>
      </x:c>
      <x:c r="E56" s="83" t="str">
        <x:v>AC</x:v>
      </x:c>
      <x:c r="F56" s="83" t="str">
        <x:v>NORD</x:v>
      </x:c>
      <x:c r="G56" s="83" t="str">
        <x:v>AT</x:v>
      </x:c>
      <x:c r="H56" s="241" t="n">
        <x:v>160</x:v>
      </x:c>
      <x:c r="I56" s="241"/>
      <x:c r="J56" s="241" t="str">
        <x:f>IF(OR(H56="",I56=""),"",I56-H56)</x:f>
      </x:c>
      <x:c r="K56" s="83" t="str">
        <x:v>post-2034</x:v>
      </x:c>
      <x:c r="L56" s="83" t="str">
        <x:v>Planned</x:v>
      </x:c>
      <x:c r="M56" s="83" t="str">
        <x:v>Conditional / sensitivity until directional NTC and commissioning resolved</x:v>
      </x:c>
      <x:c r="N56" s="83" t="str">
        <x:v>S03 / S05</x:v>
      </x:c>
      <x:c r="O56" s="120" t="str">
        <x:v>https://download.terna.it/terna/Terna_Piano_Sviluppo_2025_Benefici_sistema_analisi_robustezza_rete_8dd62ecc98b2bc9.pdf</x:v>
      </x:c>
      <x:c r="P56" s="83" t="n">
        <x:v>17</x:v>
      </x:c>
      <x:c r="Q56" s="83" t="n">
        <x:v>15</x:v>
      </x:c>
      <x:c r="R56" s="83" t="str">
        <x:v>S03 Table 1; S05 Section 5.1</x:v>
      </x:c>
      <x:c r="S56" s="83" t="str">
        <x:v>A — Direct table/text</x:v>
      </x:c>
      <x:c r="T56" s="83" t="str"/>
    </x:row>
    <x:row r="57">
      <x:c r="A57" s="83" t="str">
        <x:v>PRJ-053</x:v>
      </x:c>
      <x:c r="B57" s="83" t="str">
        <x:v>204-P</x:v>
      </x:c>
      <x:c r="C57" s="83" t="str">
        <x:v>220 kV Italy–Austria interconnection</x:v>
      </x:c>
      <x:c r="D57" s="83" t="str">
        <x:v>Foreign interconnector</x:v>
      </x:c>
      <x:c r="E57" s="83" t="str">
        <x:v>AC</x:v>
      </x:c>
      <x:c r="F57" s="83" t="str">
        <x:v>NORD</x:v>
      </x:c>
      <x:c r="G57" s="83" t="str">
        <x:v>AT</x:v>
      </x:c>
      <x:c r="H57" s="241" t="n">
        <x:v>500</x:v>
      </x:c>
      <x:c r="I57" s="241"/>
      <x:c r="J57" s="241" t="str">
        <x:f>IF(OR(H57="",I57=""),"",I57-H57)</x:f>
      </x:c>
      <x:c r="K57" s="83" t="str">
        <x:v>post-2034</x:v>
      </x:c>
      <x:c r="L57" s="83" t="str">
        <x:v>Planning/consultation</x:v>
      </x:c>
      <x:c r="M57" s="83" t="str">
        <x:v>Conditional / sensitivity until directional NTC and commissioning resolved</x:v>
      </x:c>
      <x:c r="N57" s="83" t="str">
        <x:v>S03 / S05</x:v>
      </x:c>
      <x:c r="O57" s="120" t="str">
        <x:v>https://download.terna.it/terna/Terna_Piano_Sviluppo_2025_Benefici_sistema_analisi_robustezza_rete_8dd62ecc98b2bc9.pdf</x:v>
      </x:c>
      <x:c r="P57" s="83" t="n">
        <x:v>17</x:v>
      </x:c>
      <x:c r="Q57" s="83" t="n">
        <x:v>15</x:v>
      </x:c>
      <x:c r="R57" s="83" t="str">
        <x:v>S03 Table 1; S05 Section 5.1</x:v>
      </x:c>
      <x:c r="S57" s="83" t="str">
        <x:v>A — Direct table/text</x:v>
      </x:c>
      <x:c r="T57" s="83" t="str"/>
    </x:row>
    <x:row r="58">
      <x:c r="A58" s="83" t="str">
        <x:v>PRJ-054</x:v>
      </x:c>
      <x:c r="B58" s="83" t="str">
        <x:v>200-I</x:v>
      </x:c>
      <x:c r="C58" s="83" t="str">
        <x:v>Slovenia interconnection capacity increase — Phase 1</x:v>
      </x:c>
      <x:c r="D58" s="83" t="str">
        <x:v>Foreign interconnector</x:v>
      </x:c>
      <x:c r="E58" s="83" t="str">
        <x:v>AC / limitation removal</x:v>
      </x:c>
      <x:c r="F58" s="83" t="str">
        <x:v>NORD</x:v>
      </x:c>
      <x:c r="G58" s="83" t="str">
        <x:v>SI</x:v>
      </x:c>
      <x:c r="H58" s="241" t="n">
        <x:v>400</x:v>
      </x:c>
      <x:c r="I58" s="241"/>
      <x:c r="J58" s="241" t="str">
        <x:f>IF(OR(H58="",I58=""),"",I58-H58)</x:f>
      </x:c>
      <x:c r="K58" s="83" t="str">
        <x:v>post-2034</x:v>
      </x:c>
      <x:c r="L58" s="83" t="str">
        <x:v>Authorization/planning</x:v>
      </x:c>
      <x:c r="M58" s="83" t="str">
        <x:v>Conditional / sensitivity until directional NTC and commissioning resolved</x:v>
      </x:c>
      <x:c r="N58" s="83" t="str">
        <x:v>S03 / S05</x:v>
      </x:c>
      <x:c r="O58" s="120" t="str">
        <x:v>https://download.terna.it/terna/Terna_Piano_Sviluppo_2025_Benefici_sistema_analisi_robustezza_rete_8dd62ecc98b2bc9.pdf</x:v>
      </x:c>
      <x:c r="P58" s="83" t="n">
        <x:v>17</x:v>
      </x:c>
      <x:c r="Q58" s="83" t="n">
        <x:v>15</x:v>
      </x:c>
      <x:c r="R58" s="83" t="str">
        <x:v>S03 Table 1; S05 Section 5.1</x:v>
      </x:c>
      <x:c r="S58" s="83" t="str">
        <x:v>A — Direct table/text</x:v>
      </x:c>
      <x:c r="T58" s="83" t="str">
        <x:v>Only Phase 1 of the 380/220-kV limitation-removal project.</x:v>
      </x:c>
    </x:row>
    <x:row r="59">
      <x:c r="A59" s="83" t="str">
        <x:v>PRJ-055</x:v>
      </x:c>
      <x:c r="B59" s="83" t="str">
        <x:v>554-P</x:v>
      </x:c>
      <x:c r="C59" s="83" t="str">
        <x:v>GRITA 2</x:v>
      </x:c>
      <x:c r="D59" s="83" t="str">
        <x:v>Foreign interconnector</x:v>
      </x:c>
      <x:c r="E59" s="83" t="str">
        <x:v>HVDC</x:v>
      </x:c>
      <x:c r="F59" s="83" t="str">
        <x:v>SUD</x:v>
      </x:c>
      <x:c r="G59" s="83" t="str">
        <x:v>GR</x:v>
      </x:c>
      <x:c r="H59" s="241" t="n">
        <x:v>1000</x:v>
      </x:c>
      <x:c r="I59" s="241" t="n">
        <x:v>1000</x:v>
      </x:c>
      <x:c r="J59" s="241" t="n">
        <x:f>IF(OR(H59="",I59=""),"",I59-H59)</x:f>
        <x:v>0</x:v>
      </x:c>
      <x:c r="K59" s="83" t="str">
        <x:v>2033/2035 first phase; full post-2034</x:v>
      </x:c>
      <x:c r="L59" s="83" t="str">
        <x:v>Authorization/consultation</x:v>
      </x:c>
      <x:c r="M59" s="83" t="str">
        <x:v>Conditional / sensitivity until directional NTC and commissioning resolved</x:v>
      </x:c>
      <x:c r="N59" s="83" t="str">
        <x:v>S03 / S05</x:v>
      </x:c>
      <x:c r="O59" s="120" t="str">
        <x:v>https://download.terna.it/terna/Terna_Piano_Sviluppo_2025_Benefici_sistema_analisi_robustezza_rete_8dd62ecc98b2bc9.pdf</x:v>
      </x:c>
      <x:c r="P59" s="83" t="n">
        <x:v>17</x:v>
      </x:c>
      <x:c r="Q59" s="83" t="n">
        <x:v>15</x:v>
      </x:c>
      <x:c r="R59" s="83" t="str">
        <x:v>S03 Table 1; S05 Section 5.1</x:v>
      </x:c>
      <x:c r="S59" s="83" t="str">
        <x:v>A — Direct table/text</x:v>
      </x:c>
      <x:c r="T59" s="83" t="str"/>
    </x:row>
    <x:row r="60">
      <x:c r="A60" s="83" t="str">
        <x:v>PRJ-056</x:v>
      </x:c>
      <x:c r="B60" s="83" t="str">
        <x:v>601-I</x:v>
      </x:c>
      <x:c r="C60" s="83" t="str">
        <x:v>ELMED Italy–Tunisia</x:v>
      </x:c>
      <x:c r="D60" s="83" t="str">
        <x:v>Foreign interconnector</x:v>
      </x:c>
      <x:c r="E60" s="83" t="str">
        <x:v>HVDC</x:v>
      </x:c>
      <x:c r="F60" s="83" t="str">
        <x:v>SICI</x:v>
      </x:c>
      <x:c r="G60" s="83" t="str">
        <x:v>TN</x:v>
      </x:c>
      <x:c r="H60" s="241" t="n">
        <x:v>600</x:v>
      </x:c>
      <x:c r="I60" s="241" t="n">
        <x:v>600</x:v>
      </x:c>
      <x:c r="J60" s="241" t="n">
        <x:f>IF(OR(H60="",I60=""),"",I60-H60)</x:f>
        <x:v>0</x:v>
      </x:c>
      <x:c r="K60" s="83" t="str">
        <x:v>2028</x:v>
      </x:c>
      <x:c r="L60" s="83" t="str">
        <x:v>Authorized / under development</x:v>
      </x:c>
      <x:c r="M60" s="83" t="str">
        <x:v>Conditional / sensitivity until directional NTC and commissioning resolved</x:v>
      </x:c>
      <x:c r="N60" s="83" t="str">
        <x:v>S03 / S05</x:v>
      </x:c>
      <x:c r="O60" s="120" t="str">
        <x:v>https://download.terna.it/terna/Terna_Piano_Sviluppo_2025_Benefici_sistema_analisi_robustezza_rete_8dd62ecc98b2bc9.pdf</x:v>
      </x:c>
      <x:c r="P60" s="83" t="n">
        <x:v>17</x:v>
      </x:c>
      <x:c r="Q60" s="83" t="n">
        <x:v>15</x:v>
      </x:c>
      <x:c r="R60" s="83" t="str">
        <x:v>S03 Table 1; S05 Section 5.1</x:v>
      </x:c>
      <x:c r="S60" s="83" t="str">
        <x:v>A — Direct table/text</x:v>
      </x:c>
      <x:c r="T60" s="83" t="str">
        <x:v>Authorized May 2024.</x:v>
      </x:c>
    </x:row>
    <x:row r="61">
      <x:c r="A61" s="83" t="str">
        <x:v>PRJ-057</x:v>
      </x:c>
      <x:c r="B61" s="83" t="str">
        <x:v>401-S</x:v>
      </x:c>
      <x:c r="C61" s="83" t="str">
        <x:v>Italy–Montenegro second pole</x:v>
      </x:c>
      <x:c r="D61" s="83" t="str">
        <x:v>Foreign interconnector</x:v>
      </x:c>
      <x:c r="E61" s="83" t="str">
        <x:v>HVDC</x:v>
      </x:c>
      <x:c r="F61" s="83" t="str">
        <x:v>CSUD</x:v>
      </x:c>
      <x:c r="G61" s="83" t="str">
        <x:v>ME</x:v>
      </x:c>
      <x:c r="H61" s="241" t="n">
        <x:v>600</x:v>
      </x:c>
      <x:c r="I61" s="241" t="n">
        <x:v>600</x:v>
      </x:c>
      <x:c r="J61" s="241" t="n">
        <x:f>IF(OR(H61="",I61=""),"",I61-H61)</x:f>
        <x:v>0</x:v>
      </x:c>
      <x:c r="K61" s="83" t="str">
        <x:v>not specified</x:v>
      </x:c>
      <x:c r="L61" s="83" t="str">
        <x:v>Authorized/construction, conditional</x:v>
      </x:c>
      <x:c r="M61" s="83" t="str">
        <x:v>Conditional / sensitivity until directional NTC and commissioning resolved</x:v>
      </x:c>
      <x:c r="N61" s="83" t="str">
        <x:v>S03 / S05</x:v>
      </x:c>
      <x:c r="O61" s="120" t="str">
        <x:v>https://download.terna.it/terna/Terna_Piano_Sviluppo_2025_Benefici_sistema_analisi_robustezza_rete_8dd62ecc98b2bc9.pdf</x:v>
      </x:c>
      <x:c r="P61" s="83" t="n">
        <x:v>17</x:v>
      </x:c>
      <x:c r="Q61" s="83" t="n">
        <x:v>15</x:v>
      </x:c>
      <x:c r="R61" s="83" t="str">
        <x:v>S03 Table 1; S05 Section 5.1</x:v>
      </x:c>
      <x:c r="S61" s="83" t="str">
        <x:v>A — Direct table/text</x:v>
      </x:c>
      <x:c r="T61" s="83" t="str">
        <x:v>Conditional on authority opinion and Transbalkan corridor.</x:v>
      </x:c>
    </x:row>
  </x:sheetData>
  <x:mergeCells>
    <x:mergeCell ref="A1:T1"/>
    <x:mergeCell ref="A2:T2"/>
  </x:mergeCells>
  <x:conditionalFormatting sqref="J5:J61">
    <x:cfRule type="expression" dxfId="51" priority="1">
      <x:formula>J5&lt;&gt;0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554f1a55024b6b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20" hidden="0" customWidth="1"/>
    <x:col min="5" max="5" width="24" hidden="0" customWidth="1"/>
    <x:col min="6" max="6" width="28" hidden="0" customWidth="1"/>
    <x:col min="7" max="7" width="18" hidden="0" customWidth="1"/>
    <x:col min="8" max="8" width="20" hidden="0" customWidth="1"/>
    <x:col min="9" max="9" width="30" hidden="0" customWidth="1"/>
    <x:col min="10" max="10" width="24" hidden="0" customWidth="1"/>
    <x:col min="11" max="11" width="68" hidden="0" customWidth="1"/>
    <x:col min="12" max="12" width="14" hidden="0" customWidth="1"/>
    <x:col min="13" max="13" width="54" hidden="0" customWidth="1"/>
    <x:col min="14" max="14" width="52" hidden="0" customWidth="1"/>
  </x:cols>
  <x:sheetData>
    <x:row r="1" ht="34" customHeight="1">
      <x:c r="A1" s="232" t="str">
        <x:v>Crosswalk regione–zona di mercato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</x:row>
    <x:row r="2" ht="30" customHeight="1">
      <x:c r="A2" s="236" t="str">
        <x:v>30 record ufficiali e nodi esterni; coordinate/codice zona prevalgono sull'aggregazione regionale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</x:row>
    <x:row r="4" ht="42" customHeight="1">
      <x:c r="A4" s="240" t="str">
        <x:v>Record ID</x:v>
      </x:c>
      <x:c r="B4" s="240" t="str">
        <x:v>Tipo record</x:v>
      </x:c>
      <x:c r="C4" s="240" t="str">
        <x:v>Codice zona</x:v>
      </x:c>
      <x:c r="D4" s="240" t="str">
        <x:v>Zona</x:v>
      </x:c>
      <x:c r="E4" s="240" t="str">
        <x:v>Tipo unità</x:v>
      </x:c>
      <x:c r="F4" s="240" t="str">
        <x:v>Regione/area</x:v>
      </x:c>
      <x:c r="G4" s="240" t="str">
        <x:v>Bus PyPSA</x:v>
      </x:c>
      <x:c r="H4" s="240" t="str">
        <x:v>Validità</x:v>
      </x:c>
      <x:c r="I4" s="240" t="str">
        <x:v>Status</x:v>
      </x:c>
      <x:c r="J4" s="240" t="str">
        <x:v>Affidabilità</x:v>
      </x:c>
      <x:c r="K4" s="240" t="str">
        <x:v>Regola di assegnazione</x:v>
      </x:c>
      <x:c r="L4" s="240" t="str">
        <x:v>Fonte</x:v>
      </x:c>
      <x:c r="M4" s="240" t="str">
        <x:v>URL fonte</x:v>
      </x:c>
      <x:c r="N4" s="240" t="str">
        <x:v>Note</x:v>
      </x:c>
    </x:row>
    <x:row r="5">
      <x:c r="A5" s="83" t="str">
        <x:v>GEO-001</x:v>
      </x:c>
      <x:c r="B5" s="83" t="str">
        <x:v>Region-to-market-zone</x:v>
      </x:c>
      <x:c r="C5" s="83" t="str">
        <x:v>NORD</x:v>
      </x:c>
      <x:c r="D5" s="83" t="str">
        <x:v>Nord</x:v>
      </x:c>
      <x:c r="E5" s="83" t="str">
        <x:v>Region</x:v>
      </x:c>
      <x:c r="F5" s="83" t="str">
        <x:v>Valle d'Aosta</x:v>
      </x:c>
      <x:c r="G5" s="83" t="str">
        <x:v>IT_NORD</x:v>
      </x:c>
      <x:c r="H5" s="83" t="str">
        <x:v>2021-01-01</x:v>
      </x:c>
      <x:c r="I5" s="83" t="str">
        <x:v>Current official association</x:v>
      </x:c>
      <x:c r="J5" s="83" t="str">
        <x:v>A — Official Terna A.24</x:v>
      </x:c>
      <x:c r="K5" s="83" t="str">
        <x:v>Direct region association; plant/load coordinates and official zone code override any coarse aggregation</x:v>
      </x:c>
      <x:c r="L5" s="83" t="str">
        <x:v>A24</x:v>
      </x:c>
      <x:c r="M5" s="120" t="str">
        <x:v>https://download.terna.it/terna/Allegato%20A.24%20-%20Individuazione%20zone%20della%20rete%20rilevante_8d8bc86c78365d0.pdf</x:v>
      </x:c>
      <x:c r="N5" s="83" t="str">
        <x:v>Spot-market geographic zone; not Capacity Market sub-area.</x:v>
      </x:c>
    </x:row>
    <x:row r="6">
      <x:c r="A6" s="83" t="str">
        <x:v>GEO-002</x:v>
      </x:c>
      <x:c r="B6" s="83" t="str">
        <x:v>Region-to-market-zone</x:v>
      </x:c>
      <x:c r="C6" s="83" t="str">
        <x:v>NORD</x:v>
      </x:c>
      <x:c r="D6" s="83" t="str">
        <x:v>Nord</x:v>
      </x:c>
      <x:c r="E6" s="83" t="str">
        <x:v>Region</x:v>
      </x:c>
      <x:c r="F6" s="83" t="str">
        <x:v>Piemonte</x:v>
      </x:c>
      <x:c r="G6" s="83" t="str">
        <x:v>IT_NORD</x:v>
      </x:c>
      <x:c r="H6" s="83" t="str">
        <x:v>2021-01-01</x:v>
      </x:c>
      <x:c r="I6" s="83" t="str">
        <x:v>Current official association</x:v>
      </x:c>
      <x:c r="J6" s="83" t="str">
        <x:v>A — Official Terna A.24</x:v>
      </x:c>
      <x:c r="K6" s="83" t="str">
        <x:v>Direct region association; plant/load coordinates and official zone code override any coarse aggregation</x:v>
      </x:c>
      <x:c r="L6" s="83" t="str">
        <x:v>A24</x:v>
      </x:c>
      <x:c r="M6" s="120" t="str">
        <x:v>https://download.terna.it/terna/Allegato%20A.24%20-%20Individuazione%20zone%20della%20rete%20rilevante_8d8bc86c78365d0.pdf</x:v>
      </x:c>
      <x:c r="N6" s="83" t="str">
        <x:v>Spot-market geographic zone; not Capacity Market sub-area.</x:v>
      </x:c>
    </x:row>
    <x:row r="7">
      <x:c r="A7" s="83" t="str">
        <x:v>GEO-003</x:v>
      </x:c>
      <x:c r="B7" s="83" t="str">
        <x:v>Region-to-market-zone</x:v>
      </x:c>
      <x:c r="C7" s="83" t="str">
        <x:v>NORD</x:v>
      </x:c>
      <x:c r="D7" s="83" t="str">
        <x:v>Nord</x:v>
      </x:c>
      <x:c r="E7" s="83" t="str">
        <x:v>Region</x:v>
      </x:c>
      <x:c r="F7" s="83" t="str">
        <x:v>Liguria</x:v>
      </x:c>
      <x:c r="G7" s="83" t="str">
        <x:v>IT_NORD</x:v>
      </x:c>
      <x:c r="H7" s="83" t="str">
        <x:v>2021-01-01</x:v>
      </x:c>
      <x:c r="I7" s="83" t="str">
        <x:v>Current official association</x:v>
      </x:c>
      <x:c r="J7" s="83" t="str">
        <x:v>A — Official Terna A.24</x:v>
      </x:c>
      <x:c r="K7" s="83" t="str">
        <x:v>Direct region association; plant/load coordinates and official zone code override any coarse aggregation</x:v>
      </x:c>
      <x:c r="L7" s="83" t="str">
        <x:v>A24</x:v>
      </x:c>
      <x:c r="M7" s="120" t="str">
        <x:v>https://download.terna.it/terna/Allegato%20A.24%20-%20Individuazione%20zone%20della%20rete%20rilevante_8d8bc86c78365d0.pdf</x:v>
      </x:c>
      <x:c r="N7" s="83" t="str">
        <x:v>Spot-market geographic zone; not Capacity Market sub-area.</x:v>
      </x:c>
    </x:row>
    <x:row r="8">
      <x:c r="A8" s="83" t="str">
        <x:v>GEO-004</x:v>
      </x:c>
      <x:c r="B8" s="83" t="str">
        <x:v>Region-to-market-zone</x:v>
      </x:c>
      <x:c r="C8" s="83" t="str">
        <x:v>NORD</x:v>
      </x:c>
      <x:c r="D8" s="83" t="str">
        <x:v>Nord</x:v>
      </x:c>
      <x:c r="E8" s="83" t="str">
        <x:v>Region</x:v>
      </x:c>
      <x:c r="F8" s="83" t="str">
        <x:v>Lombardia</x:v>
      </x:c>
      <x:c r="G8" s="83" t="str">
        <x:v>IT_NORD</x:v>
      </x:c>
      <x:c r="H8" s="83" t="str">
        <x:v>2021-01-01</x:v>
      </x:c>
      <x:c r="I8" s="83" t="str">
        <x:v>Current official association</x:v>
      </x:c>
      <x:c r="J8" s="83" t="str">
        <x:v>A — Official Terna A.24</x:v>
      </x:c>
      <x:c r="K8" s="83" t="str">
        <x:v>Direct region association; plant/load coordinates and official zone code override any coarse aggregation</x:v>
      </x:c>
      <x:c r="L8" s="83" t="str">
        <x:v>A24</x:v>
      </x:c>
      <x:c r="M8" s="120" t="str">
        <x:v>https://download.terna.it/terna/Allegato%20A.24%20-%20Individuazione%20zone%20della%20rete%20rilevante_8d8bc86c78365d0.pdf</x:v>
      </x:c>
      <x:c r="N8" s="83" t="str">
        <x:v>Spot-market geographic zone; not Capacity Market sub-area.</x:v>
      </x:c>
    </x:row>
    <x:row r="9">
      <x:c r="A9" s="83" t="str">
        <x:v>GEO-005</x:v>
      </x:c>
      <x:c r="B9" s="83" t="str">
        <x:v>Region-to-market-zone</x:v>
      </x:c>
      <x:c r="C9" s="83" t="str">
        <x:v>NORD</x:v>
      </x:c>
      <x:c r="D9" s="83" t="str">
        <x:v>Nord</x:v>
      </x:c>
      <x:c r="E9" s="83" t="str">
        <x:v>Region</x:v>
      </x:c>
      <x:c r="F9" s="83" t="str">
        <x:v>Trentino-Alto Adige</x:v>
      </x:c>
      <x:c r="G9" s="83" t="str">
        <x:v>IT_NORD</x:v>
      </x:c>
      <x:c r="H9" s="83" t="str">
        <x:v>2021-01-01</x:v>
      </x:c>
      <x:c r="I9" s="83" t="str">
        <x:v>Current official association</x:v>
      </x:c>
      <x:c r="J9" s="83" t="str">
        <x:v>A — Official Terna A.24</x:v>
      </x:c>
      <x:c r="K9" s="83" t="str">
        <x:v>Direct region association; plant/load coordinates and official zone code override any coarse aggregation</x:v>
      </x:c>
      <x:c r="L9" s="83" t="str">
        <x:v>A24</x:v>
      </x:c>
      <x:c r="M9" s="120" t="str">
        <x:v>https://download.terna.it/terna/Allegato%20A.24%20-%20Individuazione%20zone%20della%20rete%20rilevante_8d8bc86c78365d0.pdf</x:v>
      </x:c>
      <x:c r="N9" s="83" t="str">
        <x:v>Spot-market geographic zone; not Capacity Market sub-area.</x:v>
      </x:c>
    </x:row>
    <x:row r="10">
      <x:c r="A10" s="83" t="str">
        <x:v>GEO-006</x:v>
      </x:c>
      <x:c r="B10" s="83" t="str">
        <x:v>Region-to-market-zone</x:v>
      </x:c>
      <x:c r="C10" s="83" t="str">
        <x:v>NORD</x:v>
      </x:c>
      <x:c r="D10" s="83" t="str">
        <x:v>Nord</x:v>
      </x:c>
      <x:c r="E10" s="83" t="str">
        <x:v>Region</x:v>
      </x:c>
      <x:c r="F10" s="83" t="str">
        <x:v>Veneto</x:v>
      </x:c>
      <x:c r="G10" s="83" t="str">
        <x:v>IT_NORD</x:v>
      </x:c>
      <x:c r="H10" s="83" t="str">
        <x:v>2021-01-01</x:v>
      </x:c>
      <x:c r="I10" s="83" t="str">
        <x:v>Current official association</x:v>
      </x:c>
      <x:c r="J10" s="83" t="str">
        <x:v>A — Official Terna A.24</x:v>
      </x:c>
      <x:c r="K10" s="83" t="str">
        <x:v>Direct region association; plant/load coordinates and official zone code override any coarse aggregation</x:v>
      </x:c>
      <x:c r="L10" s="83" t="str">
        <x:v>A24</x:v>
      </x:c>
      <x:c r="M10" s="120" t="str">
        <x:v>https://download.terna.it/terna/Allegato%20A.24%20-%20Individuazione%20zone%20della%20rete%20rilevante_8d8bc86c78365d0.pdf</x:v>
      </x:c>
      <x:c r="N10" s="83" t="str">
        <x:v>Spot-market geographic zone; not Capacity Market sub-area.</x:v>
      </x:c>
    </x:row>
    <x:row r="11">
      <x:c r="A11" s="83" t="str">
        <x:v>GEO-007</x:v>
      </x:c>
      <x:c r="B11" s="83" t="str">
        <x:v>Region-to-market-zone</x:v>
      </x:c>
      <x:c r="C11" s="83" t="str">
        <x:v>NORD</x:v>
      </x:c>
      <x:c r="D11" s="83" t="str">
        <x:v>Nord</x:v>
      </x:c>
      <x:c r="E11" s="83" t="str">
        <x:v>Region</x:v>
      </x:c>
      <x:c r="F11" s="83" t="str">
        <x:v>Friuli-Venezia Giulia</x:v>
      </x:c>
      <x:c r="G11" s="83" t="str">
        <x:v>IT_NORD</x:v>
      </x:c>
      <x:c r="H11" s="83" t="str">
        <x:v>2021-01-01</x:v>
      </x:c>
      <x:c r="I11" s="83" t="str">
        <x:v>Current official association</x:v>
      </x:c>
      <x:c r="J11" s="83" t="str">
        <x:v>A — Official Terna A.24</x:v>
      </x:c>
      <x:c r="K11" s="83" t="str">
        <x:v>Direct region association; plant/load coordinates and official zone code override any coarse aggregation</x:v>
      </x:c>
      <x:c r="L11" s="83" t="str">
        <x:v>A24</x:v>
      </x:c>
      <x:c r="M11" s="120" t="str">
        <x:v>https://download.terna.it/terna/Allegato%20A.24%20-%20Individuazione%20zone%20della%20rete%20rilevante_8d8bc86c78365d0.pdf</x:v>
      </x:c>
      <x:c r="N11" s="83" t="str">
        <x:v>Spot-market geographic zone; not Capacity Market sub-area.</x:v>
      </x:c>
    </x:row>
    <x:row r="12">
      <x:c r="A12" s="83" t="str">
        <x:v>GEO-008</x:v>
      </x:c>
      <x:c r="B12" s="83" t="str">
        <x:v>Region-to-market-zone</x:v>
      </x:c>
      <x:c r="C12" s="83" t="str">
        <x:v>NORD</x:v>
      </x:c>
      <x:c r="D12" s="83" t="str">
        <x:v>Nord</x:v>
      </x:c>
      <x:c r="E12" s="83" t="str">
        <x:v>Region</x:v>
      </x:c>
      <x:c r="F12" s="83" t="str">
        <x:v>Emilia-Romagna</x:v>
      </x:c>
      <x:c r="G12" s="83" t="str">
        <x:v>IT_NORD</x:v>
      </x:c>
      <x:c r="H12" s="83" t="str">
        <x:v>2021-01-01</x:v>
      </x:c>
      <x:c r="I12" s="83" t="str">
        <x:v>Current official association</x:v>
      </x:c>
      <x:c r="J12" s="83" t="str">
        <x:v>A — Official Terna A.24</x:v>
      </x:c>
      <x:c r="K12" s="83" t="str">
        <x:v>Direct region association; plant/load coordinates and official zone code override any coarse aggregation</x:v>
      </x:c>
      <x:c r="L12" s="83" t="str">
        <x:v>A24</x:v>
      </x:c>
      <x:c r="M12" s="120" t="str">
        <x:v>https://download.terna.it/terna/Allegato%20A.24%20-%20Individuazione%20zone%20della%20rete%20rilevante_8d8bc86c78365d0.pdf</x:v>
      </x:c>
      <x:c r="N12" s="83" t="str">
        <x:v>Spot-market geographic zone; not Capacity Market sub-area.</x:v>
      </x:c>
    </x:row>
    <x:row r="13">
      <x:c r="A13" s="83" t="str">
        <x:v>GEO-009</x:v>
      </x:c>
      <x:c r="B13" s="83" t="str">
        <x:v>Region-to-market-zone</x:v>
      </x:c>
      <x:c r="C13" s="83" t="str">
        <x:v>CNOR</x:v>
      </x:c>
      <x:c r="D13" s="83" t="str">
        <x:v>Centro Nord</x:v>
      </x:c>
      <x:c r="E13" s="83" t="str">
        <x:v>Region</x:v>
      </x:c>
      <x:c r="F13" s="83" t="str">
        <x:v>Toscana</x:v>
      </x:c>
      <x:c r="G13" s="83" t="str">
        <x:v>IT_CNOR</x:v>
      </x:c>
      <x:c r="H13" s="83" t="str">
        <x:v>2021-01-01</x:v>
      </x:c>
      <x:c r="I13" s="83" t="str">
        <x:v>Current official association</x:v>
      </x:c>
      <x:c r="J13" s="83" t="str">
        <x:v>A — Official Terna A.24</x:v>
      </x:c>
      <x:c r="K13" s="83" t="str">
        <x:v>Direct region association; plant/load coordinates and official zone code override any coarse aggregation</x:v>
      </x:c>
      <x:c r="L13" s="83" t="str">
        <x:v>A24</x:v>
      </x:c>
      <x:c r="M13" s="120" t="str">
        <x:v>https://download.terna.it/terna/Allegato%20A.24%20-%20Individuazione%20zone%20della%20rete%20rilevante_8d8bc86c78365d0.pdf</x:v>
      </x:c>
      <x:c r="N13" s="83" t="str">
        <x:v>Spot-market geographic zone; not Capacity Market sub-area.</x:v>
      </x:c>
    </x:row>
    <x:row r="14">
      <x:c r="A14" s="83" t="str">
        <x:v>GEO-010</x:v>
      </x:c>
      <x:c r="B14" s="83" t="str">
        <x:v>Region-to-market-zone</x:v>
      </x:c>
      <x:c r="C14" s="83" t="str">
        <x:v>CNOR</x:v>
      </x:c>
      <x:c r="D14" s="83" t="str">
        <x:v>Centro Nord</x:v>
      </x:c>
      <x:c r="E14" s="83" t="str">
        <x:v>Region</x:v>
      </x:c>
      <x:c r="F14" s="83" t="str">
        <x:v>Marche</x:v>
      </x:c>
      <x:c r="G14" s="83" t="str">
        <x:v>IT_CNOR</x:v>
      </x:c>
      <x:c r="H14" s="83" t="str">
        <x:v>2021-01-01</x:v>
      </x:c>
      <x:c r="I14" s="83" t="str">
        <x:v>Current official association</x:v>
      </x:c>
      <x:c r="J14" s="83" t="str">
        <x:v>A — Official Terna A.24</x:v>
      </x:c>
      <x:c r="K14" s="83" t="str">
        <x:v>Direct region association; plant/load coordinates and official zone code override any coarse aggregation</x:v>
      </x:c>
      <x:c r="L14" s="83" t="str">
        <x:v>A24</x:v>
      </x:c>
      <x:c r="M14" s="120" t="str">
        <x:v>https://download.terna.it/terna/Allegato%20A.24%20-%20Individuazione%20zone%20della%20rete%20rilevante_8d8bc86c78365d0.pdf</x:v>
      </x:c>
      <x:c r="N14" s="83" t="str">
        <x:v>Spot-market geographic zone; not Capacity Market sub-area.</x:v>
      </x:c>
    </x:row>
    <x:row r="15">
      <x:c r="A15" s="83" t="str">
        <x:v>GEO-011</x:v>
      </x:c>
      <x:c r="B15" s="83" t="str">
        <x:v>Region-to-market-zone</x:v>
      </x:c>
      <x:c r="C15" s="83" t="str">
        <x:v>CSUD</x:v>
      </x:c>
      <x:c r="D15" s="83" t="str">
        <x:v>Centro Sud</x:v>
      </x:c>
      <x:c r="E15" s="83" t="str">
        <x:v>Region</x:v>
      </x:c>
      <x:c r="F15" s="83" t="str">
        <x:v>Umbria</x:v>
      </x:c>
      <x:c r="G15" s="83" t="str">
        <x:v>IT_CSUD</x:v>
      </x:c>
      <x:c r="H15" s="83" t="str">
        <x:v>2021-01-01</x:v>
      </x:c>
      <x:c r="I15" s="83" t="str">
        <x:v>Current official association</x:v>
      </x:c>
      <x:c r="J15" s="83" t="str">
        <x:v>A — Official Terna A.24</x:v>
      </x:c>
      <x:c r="K15" s="83" t="str">
        <x:v>Direct region association; plant/load coordinates and official zone code override any coarse aggregation</x:v>
      </x:c>
      <x:c r="L15" s="83" t="str">
        <x:v>A24</x:v>
      </x:c>
      <x:c r="M15" s="120" t="str">
        <x:v>https://download.terna.it/terna/Allegato%20A.24%20-%20Individuazione%20zone%20della%20rete%20rilevante_8d8bc86c78365d0.pdf</x:v>
      </x:c>
      <x:c r="N15" s="83" t="str">
        <x:v>Spot-market geographic zone; not Capacity Market sub-area.</x:v>
      </x:c>
    </x:row>
    <x:row r="16">
      <x:c r="A16" s="83" t="str">
        <x:v>GEO-012</x:v>
      </x:c>
      <x:c r="B16" s="83" t="str">
        <x:v>Region-to-market-zone</x:v>
      </x:c>
      <x:c r="C16" s="83" t="str">
        <x:v>CSUD</x:v>
      </x:c>
      <x:c r="D16" s="83" t="str">
        <x:v>Centro Sud</x:v>
      </x:c>
      <x:c r="E16" s="83" t="str">
        <x:v>Region</x:v>
      </x:c>
      <x:c r="F16" s="83" t="str">
        <x:v>Lazio</x:v>
      </x:c>
      <x:c r="G16" s="83" t="str">
        <x:v>IT_CSUD</x:v>
      </x:c>
      <x:c r="H16" s="83" t="str">
        <x:v>2021-01-01</x:v>
      </x:c>
      <x:c r="I16" s="83" t="str">
        <x:v>Current official association</x:v>
      </x:c>
      <x:c r="J16" s="83" t="str">
        <x:v>A — Official Terna A.24</x:v>
      </x:c>
      <x:c r="K16" s="83" t="str">
        <x:v>Direct region association; plant/load coordinates and official zone code override any coarse aggregation</x:v>
      </x:c>
      <x:c r="L16" s="83" t="str">
        <x:v>A24</x:v>
      </x:c>
      <x:c r="M16" s="120" t="str">
        <x:v>https://download.terna.it/terna/Allegato%20A.24%20-%20Individuazione%20zone%20della%20rete%20rilevante_8d8bc86c78365d0.pdf</x:v>
      </x:c>
      <x:c r="N16" s="83" t="str">
        <x:v>Spot-market geographic zone; not Capacity Market sub-area.</x:v>
      </x:c>
    </x:row>
    <x:row r="17">
      <x:c r="A17" s="83" t="str">
        <x:v>GEO-013</x:v>
      </x:c>
      <x:c r="B17" s="83" t="str">
        <x:v>Region-to-market-zone</x:v>
      </x:c>
      <x:c r="C17" s="83" t="str">
        <x:v>CSUD</x:v>
      </x:c>
      <x:c r="D17" s="83" t="str">
        <x:v>Centro Sud</x:v>
      </x:c>
      <x:c r="E17" s="83" t="str">
        <x:v>Region</x:v>
      </x:c>
      <x:c r="F17" s="83" t="str">
        <x:v>Abruzzo</x:v>
      </x:c>
      <x:c r="G17" s="83" t="str">
        <x:v>IT_CSUD</x:v>
      </x:c>
      <x:c r="H17" s="83" t="str">
        <x:v>2021-01-01</x:v>
      </x:c>
      <x:c r="I17" s="83" t="str">
        <x:v>Current official association</x:v>
      </x:c>
      <x:c r="J17" s="83" t="str">
        <x:v>A — Official Terna A.24</x:v>
      </x:c>
      <x:c r="K17" s="83" t="str">
        <x:v>Direct region association; plant/load coordinates and official zone code override any coarse aggregation</x:v>
      </x:c>
      <x:c r="L17" s="83" t="str">
        <x:v>A24</x:v>
      </x:c>
      <x:c r="M17" s="120" t="str">
        <x:v>https://download.terna.it/terna/Allegato%20A.24%20-%20Individuazione%20zone%20della%20rete%20rilevante_8d8bc86c78365d0.pdf</x:v>
      </x:c>
      <x:c r="N17" s="83" t="str">
        <x:v>Spot-market geographic zone; not Capacity Market sub-area.</x:v>
      </x:c>
    </x:row>
    <x:row r="18">
      <x:c r="A18" s="83" t="str">
        <x:v>GEO-014</x:v>
      </x:c>
      <x:c r="B18" s="83" t="str">
        <x:v>Region-to-market-zone</x:v>
      </x:c>
      <x:c r="C18" s="83" t="str">
        <x:v>CSUD</x:v>
      </x:c>
      <x:c r="D18" s="83" t="str">
        <x:v>Centro Sud</x:v>
      </x:c>
      <x:c r="E18" s="83" t="str">
        <x:v>Region</x:v>
      </x:c>
      <x:c r="F18" s="83" t="str">
        <x:v>Campania</x:v>
      </x:c>
      <x:c r="G18" s="83" t="str">
        <x:v>IT_CSUD</x:v>
      </x:c>
      <x:c r="H18" s="83" t="str">
        <x:v>2021-01-01</x:v>
      </x:c>
      <x:c r="I18" s="83" t="str">
        <x:v>Current official association</x:v>
      </x:c>
      <x:c r="J18" s="83" t="str">
        <x:v>A — Official Terna A.24</x:v>
      </x:c>
      <x:c r="K18" s="83" t="str">
        <x:v>Direct region association; plant/load coordinates and official zone code override any coarse aggregation</x:v>
      </x:c>
      <x:c r="L18" s="83" t="str">
        <x:v>A24</x:v>
      </x:c>
      <x:c r="M18" s="120" t="str">
        <x:v>https://download.terna.it/terna/Allegato%20A.24%20-%20Individuazione%20zone%20della%20rete%20rilevante_8d8bc86c78365d0.pdf</x:v>
      </x:c>
      <x:c r="N18" s="83" t="str">
        <x:v>Spot-market geographic zone; not Capacity Market sub-area.</x:v>
      </x:c>
    </x:row>
    <x:row r="19">
      <x:c r="A19" s="83" t="str">
        <x:v>GEO-015</x:v>
      </x:c>
      <x:c r="B19" s="83" t="str">
        <x:v>Region-to-market-zone</x:v>
      </x:c>
      <x:c r="C19" s="83" t="str">
        <x:v>SUD</x:v>
      </x:c>
      <x:c r="D19" s="83" t="str">
        <x:v>Sud</x:v>
      </x:c>
      <x:c r="E19" s="83" t="str">
        <x:v>Region</x:v>
      </x:c>
      <x:c r="F19" s="83" t="str">
        <x:v>Molise</x:v>
      </x:c>
      <x:c r="G19" s="83" t="str">
        <x:v>IT_SUD</x:v>
      </x:c>
      <x:c r="H19" s="83" t="str">
        <x:v>2021-01-01</x:v>
      </x:c>
      <x:c r="I19" s="83" t="str">
        <x:v>Current official association</x:v>
      </x:c>
      <x:c r="J19" s="83" t="str">
        <x:v>A — Official Terna A.24</x:v>
      </x:c>
      <x:c r="K19" s="83" t="str">
        <x:v>Direct region association; plant/load coordinates and official zone code override any coarse aggregation</x:v>
      </x:c>
      <x:c r="L19" s="83" t="str">
        <x:v>A24</x:v>
      </x:c>
      <x:c r="M19" s="120" t="str">
        <x:v>https://download.terna.it/terna/Allegato%20A.24%20-%20Individuazione%20zone%20della%20rete%20rilevante_8d8bc86c78365d0.pdf</x:v>
      </x:c>
      <x:c r="N19" s="83" t="str">
        <x:v>Spot-market geographic zone; not Capacity Market sub-area.</x:v>
      </x:c>
    </x:row>
    <x:row r="20">
      <x:c r="A20" s="83" t="str">
        <x:v>GEO-016</x:v>
      </x:c>
      <x:c r="B20" s="83" t="str">
        <x:v>Region-to-market-zone</x:v>
      </x:c>
      <x:c r="C20" s="83" t="str">
        <x:v>SUD</x:v>
      </x:c>
      <x:c r="D20" s="83" t="str">
        <x:v>Sud</x:v>
      </x:c>
      <x:c r="E20" s="83" t="str">
        <x:v>Region</x:v>
      </x:c>
      <x:c r="F20" s="83" t="str">
        <x:v>Puglia</x:v>
      </x:c>
      <x:c r="G20" s="83" t="str">
        <x:v>IT_SUD</x:v>
      </x:c>
      <x:c r="H20" s="83" t="str">
        <x:v>2021-01-01</x:v>
      </x:c>
      <x:c r="I20" s="83" t="str">
        <x:v>Current official association</x:v>
      </x:c>
      <x:c r="J20" s="83" t="str">
        <x:v>A — Official Terna A.24</x:v>
      </x:c>
      <x:c r="K20" s="83" t="str">
        <x:v>Direct region association; plant/load coordinates and official zone code override any coarse aggregation</x:v>
      </x:c>
      <x:c r="L20" s="83" t="str">
        <x:v>A24</x:v>
      </x:c>
      <x:c r="M20" s="120" t="str">
        <x:v>https://download.terna.it/terna/Allegato%20A.24%20-%20Individuazione%20zone%20della%20rete%20rilevante_8d8bc86c78365d0.pdf</x:v>
      </x:c>
      <x:c r="N20" s="83" t="str">
        <x:v>Spot-market geographic zone; not Capacity Market sub-area.</x:v>
      </x:c>
    </x:row>
    <x:row r="21">
      <x:c r="A21" s="83" t="str">
        <x:v>GEO-017</x:v>
      </x:c>
      <x:c r="B21" s="83" t="str">
        <x:v>Region-to-market-zone</x:v>
      </x:c>
      <x:c r="C21" s="83" t="str">
        <x:v>SUD</x:v>
      </x:c>
      <x:c r="D21" s="83" t="str">
        <x:v>Sud</x:v>
      </x:c>
      <x:c r="E21" s="83" t="str">
        <x:v>Region</x:v>
      </x:c>
      <x:c r="F21" s="83" t="str">
        <x:v>Basilicata</x:v>
      </x:c>
      <x:c r="G21" s="83" t="str">
        <x:v>IT_SUD</x:v>
      </x:c>
      <x:c r="H21" s="83" t="str">
        <x:v>2021-01-01</x:v>
      </x:c>
      <x:c r="I21" s="83" t="str">
        <x:v>Current official association</x:v>
      </x:c>
      <x:c r="J21" s="83" t="str">
        <x:v>A — Official Terna A.24</x:v>
      </x:c>
      <x:c r="K21" s="83" t="str">
        <x:v>Direct region association; plant/load coordinates and official zone code override any coarse aggregation</x:v>
      </x:c>
      <x:c r="L21" s="83" t="str">
        <x:v>A24</x:v>
      </x:c>
      <x:c r="M21" s="120" t="str">
        <x:v>https://download.terna.it/terna/Allegato%20A.24%20-%20Individuazione%20zone%20della%20rete%20rilevante_8d8bc86c78365d0.pdf</x:v>
      </x:c>
      <x:c r="N21" s="83" t="str">
        <x:v>Spot-market geographic zone; not Capacity Market sub-area.</x:v>
      </x:c>
    </x:row>
    <x:row r="22">
      <x:c r="A22" s="83" t="str">
        <x:v>GEO-018</x:v>
      </x:c>
      <x:c r="B22" s="83" t="str">
        <x:v>Region-to-market-zone</x:v>
      </x:c>
      <x:c r="C22" s="83" t="str">
        <x:v>CALA</x:v>
      </x:c>
      <x:c r="D22" s="83" t="str">
        <x:v>Calabria</x:v>
      </x:c>
      <x:c r="E22" s="83" t="str">
        <x:v>Region</x:v>
      </x:c>
      <x:c r="F22" s="83" t="str">
        <x:v>Calabria</x:v>
      </x:c>
      <x:c r="G22" s="83" t="str">
        <x:v>IT_CALA</x:v>
      </x:c>
      <x:c r="H22" s="83" t="str">
        <x:v>2021-01-01</x:v>
      </x:c>
      <x:c r="I22" s="83" t="str">
        <x:v>Current official association</x:v>
      </x:c>
      <x:c r="J22" s="83" t="str">
        <x:v>A — Official Terna A.24</x:v>
      </x:c>
      <x:c r="K22" s="83" t="str">
        <x:v>Direct region association; plant/load coordinates and official zone code override any coarse aggregation</x:v>
      </x:c>
      <x:c r="L22" s="83" t="str">
        <x:v>A24</x:v>
      </x:c>
      <x:c r="M22" s="120" t="str">
        <x:v>https://download.terna.it/terna/Allegato%20A.24%20-%20Individuazione%20zone%20della%20rete%20rilevante_8d8bc86c78365d0.pdf</x:v>
      </x:c>
      <x:c r="N22" s="83" t="str">
        <x:v>Spot-market geographic zone; not Capacity Market sub-area.</x:v>
      </x:c>
    </x:row>
    <x:row r="23">
      <x:c r="A23" s="83" t="str">
        <x:v>GEO-019</x:v>
      </x:c>
      <x:c r="B23" s="83" t="str">
        <x:v>Region-to-market-zone</x:v>
      </x:c>
      <x:c r="C23" s="83" t="str">
        <x:v>SICI</x:v>
      </x:c>
      <x:c r="D23" s="83" t="str">
        <x:v>Sicilia</x:v>
      </x:c>
      <x:c r="E23" s="83" t="str">
        <x:v>Region</x:v>
      </x:c>
      <x:c r="F23" s="83" t="str">
        <x:v>Sicilia</x:v>
      </x:c>
      <x:c r="G23" s="83" t="str">
        <x:v>IT_SICI</x:v>
      </x:c>
      <x:c r="H23" s="83" t="str">
        <x:v>2021-01-01</x:v>
      </x:c>
      <x:c r="I23" s="83" t="str">
        <x:v>Current official association</x:v>
      </x:c>
      <x:c r="J23" s="83" t="str">
        <x:v>A — Official Terna A.24</x:v>
      </x:c>
      <x:c r="K23" s="83" t="str">
        <x:v>Direct region association; plant/load coordinates and official zone code override any coarse aggregation</x:v>
      </x:c>
      <x:c r="L23" s="83" t="str">
        <x:v>A24</x:v>
      </x:c>
      <x:c r="M23" s="120" t="str">
        <x:v>https://download.terna.it/terna/Allegato%20A.24%20-%20Individuazione%20zone%20della%20rete%20rilevante_8d8bc86c78365d0.pdf</x:v>
      </x:c>
      <x:c r="N23" s="83" t="str">
        <x:v>Spot-market geographic zone; not Capacity Market sub-area.</x:v>
      </x:c>
    </x:row>
    <x:row r="24">
      <x:c r="A24" s="83" t="str">
        <x:v>GEO-020</x:v>
      </x:c>
      <x:c r="B24" s="83" t="str">
        <x:v>Region-to-market-zone</x:v>
      </x:c>
      <x:c r="C24" s="83" t="str">
        <x:v>SARD</x:v>
      </x:c>
      <x:c r="D24" s="83" t="str">
        <x:v>Sardegna</x:v>
      </x:c>
      <x:c r="E24" s="83" t="str">
        <x:v>Region</x:v>
      </x:c>
      <x:c r="F24" s="83" t="str">
        <x:v>Sardegna</x:v>
      </x:c>
      <x:c r="G24" s="83" t="str">
        <x:v>IT_SARD</x:v>
      </x:c>
      <x:c r="H24" s="83" t="str">
        <x:v>2021-01-01</x:v>
      </x:c>
      <x:c r="I24" s="83" t="str">
        <x:v>Current official association</x:v>
      </x:c>
      <x:c r="J24" s="83" t="str">
        <x:v>A — Official Terna A.24</x:v>
      </x:c>
      <x:c r="K24" s="83" t="str">
        <x:v>Direct region association; plant/load coordinates and official zone code override any coarse aggregation</x:v>
      </x:c>
      <x:c r="L24" s="83" t="str">
        <x:v>A24</x:v>
      </x:c>
      <x:c r="M24" s="120" t="str">
        <x:v>https://download.terna.it/terna/Allegato%20A.24%20-%20Individuazione%20zone%20della%20rete%20rilevante_8d8bc86c78365d0.pdf</x:v>
      </x:c>
      <x:c r="N24" s="83" t="str">
        <x:v>Spot-market geographic zone; not Capacity Market sub-area.</x:v>
      </x:c>
    </x:row>
    <x:row r="25">
      <x:c r="A25" s="83" t="str">
        <x:v>GEO-021</x:v>
      </x:c>
      <x:c r="B25" s="83" t="str">
        <x:v>Virtual foreign zone</x:v>
      </x:c>
      <x:c r="C25" s="83" t="str">
        <x:v>CORS</x:v>
      </x:c>
      <x:c r="D25" s="83" t="str">
        <x:v>Corsica</x:v>
      </x:c>
      <x:c r="E25" s="83" t="str">
        <x:v>Country / virtual zone</x:v>
      </x:c>
      <x:c r="F25" s="83" t="str">
        <x:v>FR-Corsica</x:v>
      </x:c>
      <x:c r="G25" s="83" t="str">
        <x:v>IT_CORS</x:v>
      </x:c>
      <x:c r="H25" s="83" t="str">
        <x:v>Current / project-specific</x:v>
      </x:c>
      <x:c r="I25" s="83" t="str">
        <x:v>External/virtual modelling node</x:v>
      </x:c>
      <x:c r="J25" s="83" t="str">
        <x:v>A/B</x:v>
      </x:c>
      <x:c r="K25" s="83" t="str">
        <x:v>Use endogenous PyPSA-Eur bus where represented; otherwise collapsed external bus with explicit price/import assumption</x:v>
      </x:c>
      <x:c r="L25" s="83" t="str">
        <x:v>S01 / S09</x:v>
      </x:c>
      <x:c r="M25" s="120" t="str">
        <x:v>https://download.terna.it/terna/Terna_Piano_Sviluppo_2025_Stato_sistema_elettrico_scenari_energetici_8dd62ec4bbb9f75.pdf</x:v>
      </x:c>
      <x:c r="N25" s="83" t="str">
        <x:v>Not an Italian geographic bidding zone.</x:v>
      </x:c>
    </x:row>
    <x:row r="26">
      <x:c r="A26" s="83" t="str">
        <x:v>GEO-022</x:v>
      </x:c>
      <x:c r="B26" s="83" t="str">
        <x:v>Virtual foreign zone</x:v>
      </x:c>
      <x:c r="C26" s="83" t="str">
        <x:v>COAC</x:v>
      </x:c>
      <x:c r="D26" s="83" t="str">
        <x:v>Corsica AC</x:v>
      </x:c>
      <x:c r="E26" s="83" t="str">
        <x:v>Country / virtual zone</x:v>
      </x:c>
      <x:c r="F26" s="83" t="str">
        <x:v>FR-Corsica</x:v>
      </x:c>
      <x:c r="G26" s="83" t="str">
        <x:v>IT_COAC</x:v>
      </x:c>
      <x:c r="H26" s="83" t="str">
        <x:v>Current / project-specific</x:v>
      </x:c>
      <x:c r="I26" s="83" t="str">
        <x:v>External/virtual modelling node</x:v>
      </x:c>
      <x:c r="J26" s="83" t="str">
        <x:v>A/B</x:v>
      </x:c>
      <x:c r="K26" s="83" t="str">
        <x:v>Use endogenous PyPSA-Eur bus where represented; otherwise collapsed external bus with explicit price/import assumption</x:v>
      </x:c>
      <x:c r="L26" s="83" t="str">
        <x:v>S01 / S09</x:v>
      </x:c>
      <x:c r="M26" s="120" t="str">
        <x:v>https://download.terna.it/terna/Terna_Piano_Sviluppo_2025_Stato_sistema_elettrico_scenari_energetici_8dd62ec4bbb9f75.pdf</x:v>
      </x:c>
      <x:c r="N26" s="83" t="str">
        <x:v>Not an Italian geographic bidding zone.</x:v>
      </x:c>
    </x:row>
    <x:row r="27">
      <x:c r="A27" s="83" t="str">
        <x:v>GEO-023</x:v>
      </x:c>
      <x:c r="B27" s="83" t="str">
        <x:v>Virtual foreign zone</x:v>
      </x:c>
      <x:c r="C27" s="83" t="str">
        <x:v>MALT</x:v>
      </x:c>
      <x:c r="D27" s="83" t="str">
        <x:v>Malta</x:v>
      </x:c>
      <x:c r="E27" s="83" t="str">
        <x:v>Country / virtual zone</x:v>
      </x:c>
      <x:c r="F27" s="83" t="str">
        <x:v>Malta</x:v>
      </x:c>
      <x:c r="G27" s="83" t="str">
        <x:v>MT</x:v>
      </x:c>
      <x:c r="H27" s="83" t="str">
        <x:v>Current / project-specific</x:v>
      </x:c>
      <x:c r="I27" s="83" t="str">
        <x:v>External/virtual modelling node</x:v>
      </x:c>
      <x:c r="J27" s="83" t="str">
        <x:v>A/B</x:v>
      </x:c>
      <x:c r="K27" s="83" t="str">
        <x:v>Use endogenous PyPSA-Eur bus where represented; otherwise collapsed external bus with explicit price/import assumption</x:v>
      </x:c>
      <x:c r="L27" s="83" t="str">
        <x:v>S01 / S09</x:v>
      </x:c>
      <x:c r="M27" s="120" t="str">
        <x:v>https://download.terna.it/terna/Terna_Piano_Sviluppo_2025_Stato_sistema_elettrico_scenari_energetici_8dd62ec4bbb9f75.pdf</x:v>
      </x:c>
      <x:c r="N27" s="83" t="str">
        <x:v>Not an Italian geographic bidding zone.</x:v>
      </x:c>
    </x:row>
    <x:row r="28">
      <x:c r="A28" s="83" t="str">
        <x:v>GEO-024</x:v>
      </x:c>
      <x:c r="B28" s="83" t="str">
        <x:v>Foreign bidding area</x:v>
      </x:c>
      <x:c r="C28" s="83" t="str">
        <x:v>FR</x:v>
      </x:c>
      <x:c r="D28" s="83" t="str">
        <x:v>France</x:v>
      </x:c>
      <x:c r="E28" s="83" t="str">
        <x:v>Country / virtual zone</x:v>
      </x:c>
      <x:c r="F28" s="83" t="str">
        <x:v>France</x:v>
      </x:c>
      <x:c r="G28" s="83" t="str">
        <x:v>FR</x:v>
      </x:c>
      <x:c r="H28" s="83" t="str">
        <x:v>Current / project-specific</x:v>
      </x:c>
      <x:c r="I28" s="83" t="str">
        <x:v>External/virtual modelling node</x:v>
      </x:c>
      <x:c r="J28" s="83" t="str">
        <x:v>A/B</x:v>
      </x:c>
      <x:c r="K28" s="83" t="str">
        <x:v>Use endogenous PyPSA-Eur bus where represented; otherwise collapsed external bus with explicit price/import assumption</x:v>
      </x:c>
      <x:c r="L28" s="83" t="str">
        <x:v>S01 / S09</x:v>
      </x:c>
      <x:c r="M28" s="120" t="str">
        <x:v>https://download.terna.it/terna/Terna_Piano_Sviluppo_2025_Stato_sistema_elettrico_scenari_energetici_8dd62ec4bbb9f75.pdf</x:v>
      </x:c>
      <x:c r="N28" s="83" t="str">
        <x:v>Not an Italian geographic bidding zone.</x:v>
      </x:c>
    </x:row>
    <x:row r="29">
      <x:c r="A29" s="83" t="str">
        <x:v>GEO-025</x:v>
      </x:c>
      <x:c r="B29" s="83" t="str">
        <x:v>Foreign bidding area</x:v>
      </x:c>
      <x:c r="C29" s="83" t="str">
        <x:v>CH</x:v>
      </x:c>
      <x:c r="D29" s="83" t="str">
        <x:v>Switzerland</x:v>
      </x:c>
      <x:c r="E29" s="83" t="str">
        <x:v>Country / virtual zone</x:v>
      </x:c>
      <x:c r="F29" s="83" t="str">
        <x:v>Switzerland</x:v>
      </x:c>
      <x:c r="G29" s="83" t="str">
        <x:v>CH</x:v>
      </x:c>
      <x:c r="H29" s="83" t="str">
        <x:v>Current / project-specific</x:v>
      </x:c>
      <x:c r="I29" s="83" t="str">
        <x:v>External/virtual modelling node</x:v>
      </x:c>
      <x:c r="J29" s="83" t="str">
        <x:v>A/B</x:v>
      </x:c>
      <x:c r="K29" s="83" t="str">
        <x:v>Use endogenous PyPSA-Eur bus where represented; otherwise collapsed external bus with explicit price/import assumption</x:v>
      </x:c>
      <x:c r="L29" s="83" t="str">
        <x:v>S01 / S09</x:v>
      </x:c>
      <x:c r="M29" s="120" t="str">
        <x:v>https://download.terna.it/terna/Terna_Piano_Sviluppo_2025_Stato_sistema_elettrico_scenari_energetici_8dd62ec4bbb9f75.pdf</x:v>
      </x:c>
      <x:c r="N29" s="83" t="str">
        <x:v>Not an Italian geographic bidding zone.</x:v>
      </x:c>
    </x:row>
    <x:row r="30">
      <x:c r="A30" s="83" t="str">
        <x:v>GEO-026</x:v>
      </x:c>
      <x:c r="B30" s="83" t="str">
        <x:v>Foreign bidding area</x:v>
      </x:c>
      <x:c r="C30" s="83" t="str">
        <x:v>AT</x:v>
      </x:c>
      <x:c r="D30" s="83" t="str">
        <x:v>Austria</x:v>
      </x:c>
      <x:c r="E30" s="83" t="str">
        <x:v>Country / virtual zone</x:v>
      </x:c>
      <x:c r="F30" s="83" t="str">
        <x:v>Austria</x:v>
      </x:c>
      <x:c r="G30" s="83" t="str">
        <x:v>AT</x:v>
      </x:c>
      <x:c r="H30" s="83" t="str">
        <x:v>Current / project-specific</x:v>
      </x:c>
      <x:c r="I30" s="83" t="str">
        <x:v>External/virtual modelling node</x:v>
      </x:c>
      <x:c r="J30" s="83" t="str">
        <x:v>A/B</x:v>
      </x:c>
      <x:c r="K30" s="83" t="str">
        <x:v>Use endogenous PyPSA-Eur bus where represented; otherwise collapsed external bus with explicit price/import assumption</x:v>
      </x:c>
      <x:c r="L30" s="83" t="str">
        <x:v>S01 / S09</x:v>
      </x:c>
      <x:c r="M30" s="120" t="str">
        <x:v>https://download.terna.it/terna/Terna_Piano_Sviluppo_2025_Stato_sistema_elettrico_scenari_energetici_8dd62ec4bbb9f75.pdf</x:v>
      </x:c>
      <x:c r="N30" s="83" t="str">
        <x:v>Not an Italian geographic bidding zone.</x:v>
      </x:c>
    </x:row>
    <x:row r="31">
      <x:c r="A31" s="83" t="str">
        <x:v>GEO-027</x:v>
      </x:c>
      <x:c r="B31" s="83" t="str">
        <x:v>Foreign bidding area</x:v>
      </x:c>
      <x:c r="C31" s="83" t="str">
        <x:v>SI</x:v>
      </x:c>
      <x:c r="D31" s="83" t="str">
        <x:v>Slovenia</x:v>
      </x:c>
      <x:c r="E31" s="83" t="str">
        <x:v>Country / virtual zone</x:v>
      </x:c>
      <x:c r="F31" s="83" t="str">
        <x:v>Slovenia</x:v>
      </x:c>
      <x:c r="G31" s="83" t="str">
        <x:v>SI</x:v>
      </x:c>
      <x:c r="H31" s="83" t="str">
        <x:v>Current / project-specific</x:v>
      </x:c>
      <x:c r="I31" s="83" t="str">
        <x:v>External/virtual modelling node</x:v>
      </x:c>
      <x:c r="J31" s="83" t="str">
        <x:v>A/B</x:v>
      </x:c>
      <x:c r="K31" s="83" t="str">
        <x:v>Use endogenous PyPSA-Eur bus where represented; otherwise collapsed external bus with explicit price/import assumption</x:v>
      </x:c>
      <x:c r="L31" s="83" t="str">
        <x:v>S01 / S09</x:v>
      </x:c>
      <x:c r="M31" s="120" t="str">
        <x:v>https://download.terna.it/terna/Terna_Piano_Sviluppo_2025_Stato_sistema_elettrico_scenari_energetici_8dd62ec4bbb9f75.pdf</x:v>
      </x:c>
      <x:c r="N31" s="83" t="str">
        <x:v>Not an Italian geographic bidding zone.</x:v>
      </x:c>
    </x:row>
    <x:row r="32">
      <x:c r="A32" s="83" t="str">
        <x:v>GEO-028</x:v>
      </x:c>
      <x:c r="B32" s="83" t="str">
        <x:v>Foreign bidding area</x:v>
      </x:c>
      <x:c r="C32" s="83" t="str">
        <x:v>ME</x:v>
      </x:c>
      <x:c r="D32" s="83" t="str">
        <x:v>Montenegro</x:v>
      </x:c>
      <x:c r="E32" s="83" t="str">
        <x:v>Country / virtual zone</x:v>
      </x:c>
      <x:c r="F32" s="83" t="str">
        <x:v>Montenegro</x:v>
      </x:c>
      <x:c r="G32" s="83" t="str">
        <x:v>ME</x:v>
      </x:c>
      <x:c r="H32" s="83" t="str">
        <x:v>Current / project-specific</x:v>
      </x:c>
      <x:c r="I32" s="83" t="str">
        <x:v>External/virtual modelling node</x:v>
      </x:c>
      <x:c r="J32" s="83" t="str">
        <x:v>A/B</x:v>
      </x:c>
      <x:c r="K32" s="83" t="str">
        <x:v>Use endogenous PyPSA-Eur bus where represented; otherwise collapsed external bus with explicit price/import assumption</x:v>
      </x:c>
      <x:c r="L32" s="83" t="str">
        <x:v>S01 / S09</x:v>
      </x:c>
      <x:c r="M32" s="120" t="str">
        <x:v>https://download.terna.it/terna/Terna_Piano_Sviluppo_2025_Stato_sistema_elettrico_scenari_energetici_8dd62ec4bbb9f75.pdf</x:v>
      </x:c>
      <x:c r="N32" s="83" t="str">
        <x:v>Not an Italian geographic bidding zone.</x:v>
      </x:c>
    </x:row>
    <x:row r="33">
      <x:c r="A33" s="83" t="str">
        <x:v>GEO-029</x:v>
      </x:c>
      <x:c r="B33" s="83" t="str">
        <x:v>Foreign bidding area</x:v>
      </x:c>
      <x:c r="C33" s="83" t="str">
        <x:v>GR</x:v>
      </x:c>
      <x:c r="D33" s="83" t="str">
        <x:v>Greece</x:v>
      </x:c>
      <x:c r="E33" s="83" t="str">
        <x:v>Country / virtual zone</x:v>
      </x:c>
      <x:c r="F33" s="83" t="str">
        <x:v>Greece</x:v>
      </x:c>
      <x:c r="G33" s="83" t="str">
        <x:v>GR</x:v>
      </x:c>
      <x:c r="H33" s="83" t="str">
        <x:v>Current / project-specific</x:v>
      </x:c>
      <x:c r="I33" s="83" t="str">
        <x:v>External/virtual modelling node</x:v>
      </x:c>
      <x:c r="J33" s="83" t="str">
        <x:v>A/B</x:v>
      </x:c>
      <x:c r="K33" s="83" t="str">
        <x:v>Use endogenous PyPSA-Eur bus where represented; otherwise collapsed external bus with explicit price/import assumption</x:v>
      </x:c>
      <x:c r="L33" s="83" t="str">
        <x:v>S01 / S09</x:v>
      </x:c>
      <x:c r="M33" s="120" t="str">
        <x:v>https://download.terna.it/terna/Terna_Piano_Sviluppo_2025_Stato_sistema_elettrico_scenari_energetici_8dd62ec4bbb9f75.pdf</x:v>
      </x:c>
      <x:c r="N33" s="83" t="str">
        <x:v>Not an Italian geographic bidding zone.</x:v>
      </x:c>
    </x:row>
    <x:row r="34">
      <x:c r="A34" s="83" t="str">
        <x:v>GEO-030</x:v>
      </x:c>
      <x:c r="B34" s="83" t="str">
        <x:v>Foreign bidding area</x:v>
      </x:c>
      <x:c r="C34" s="83" t="str">
        <x:v>TN</x:v>
      </x:c>
      <x:c r="D34" s="83" t="str">
        <x:v>Tunisia — future</x:v>
      </x:c>
      <x:c r="E34" s="83" t="str">
        <x:v>Country / virtual zone</x:v>
      </x:c>
      <x:c r="F34" s="83" t="str">
        <x:v>Tunisia</x:v>
      </x:c>
      <x:c r="G34" s="83" t="str">
        <x:v>TN</x:v>
      </x:c>
      <x:c r="H34" s="83" t="str">
        <x:v>Current / project-specific</x:v>
      </x:c>
      <x:c r="I34" s="83" t="str">
        <x:v>External/virtual modelling node</x:v>
      </x:c>
      <x:c r="J34" s="83" t="str">
        <x:v>A/B</x:v>
      </x:c>
      <x:c r="K34" s="83" t="str">
        <x:v>Use endogenous PyPSA-Eur bus where represented; otherwise collapsed external bus with explicit price/import assumption</x:v>
      </x:c>
      <x:c r="L34" s="83" t="str">
        <x:v>S01 / S09</x:v>
      </x:c>
      <x:c r="M34" s="120" t="str">
        <x:v>https://download.terna.it/terna/Terna_Piano_Sviluppo_2025_Stato_sistema_elettrico_scenari_energetici_8dd62ec4bbb9f75.pdf</x:v>
      </x:c>
      <x:c r="N34" s="83" t="str">
        <x:v>Not an Italian geographic bidding zone.</x:v>
      </x:c>
    </x:row>
  </x:sheetData>
  <x:mergeCells>
    <x:mergeCell ref="A1:N1"/>
    <x:mergeCell ref="A2:N2"/>
  </x:mergeCells>
  <x:conditionalFormatting sqref="B5:B34">
    <x:cfRule type="expression" dxfId="52" priority="1">
      <x:formula>B5="Region-to-market-zone"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4f83fa82d849ae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4" hidden="0" customWidth="1"/>
    <x:col min="5" max="5" width="22" hidden="0" customWidth="1"/>
    <x:col min="6" max="6" width="15" hidden="0" customWidth="1"/>
    <x:col min="7" max="7" width="54" hidden="0" customWidth="1"/>
    <x:col min="8" max="8" width="16" hidden="0" customWidth="1"/>
    <x:col min="9" max="9" width="54" hidden="0" customWidth="1"/>
    <x:col min="10" max="10" width="58" hidden="0" customWidth="1"/>
  </x:cols>
  <x:sheetData>
    <x:row r="1" ht="34" customHeight="1">
      <x:c r="A1" s="232" t="str">
        <x:v>Topologia zonale corrente e futura</x:v>
      </x:c>
      <x:c r="B1" s="232"/>
      <x:c r="C1" s="232"/>
      <x:c r="D1" s="232"/>
      <x:c r="E1" s="232"/>
      <x:c r="F1" s="232"/>
      <x:c r="G1" s="232"/>
      <x:c r="H1" s="232"/>
      <x:c r="I1" s="232"/>
      <x:c r="J1" s="232"/>
    </x:row>
    <x:row r="2" ht="30" customHeight="1">
      <x:c r="A2" s="236" t="str">
        <x:v>20 archi; le nuove sezioni Hypergrid restano collegamenti autonomi</x:v>
      </x:c>
      <x:c r="B2" s="236"/>
      <x:c r="C2" s="236"/>
      <x:c r="D2" s="236"/>
      <x:c r="E2" s="236"/>
      <x:c r="F2" s="236"/>
      <x:c r="G2" s="236"/>
      <x:c r="H2" s="236"/>
      <x:c r="I2" s="236"/>
      <x:c r="J2" s="236"/>
    </x:row>
    <x:row r="4" ht="42" customHeight="1">
      <x:c r="A4" s="240" t="str">
        <x:v>Record ID</x:v>
      </x:c>
      <x:c r="B4" s="240" t="str">
        <x:v>Zona A</x:v>
      </x:c>
      <x:c r="C4" s="240" t="str">
        <x:v>Zona B</x:v>
      </x:c>
      <x:c r="D4" s="240" t="str">
        <x:v>Tipo collegamento</x:v>
      </x:c>
      <x:c r="E4" s="240" t="str">
        <x:v>Status topologia</x:v>
      </x:c>
      <x:c r="F4" s="240" t="str">
        <x:v>Bidirezionale</x:v>
      </x:c>
      <x:c r="G4" s="240" t="str">
        <x:v>Componente modello</x:v>
      </x:c>
      <x:c r="H4" s="240" t="str">
        <x:v>Fonte</x:v>
      </x:c>
      <x:c r="I4" s="240" t="str">
        <x:v>URL fonte</x:v>
      </x:c>
      <x:c r="J4" s="240" t="str">
        <x:v>Note</x:v>
      </x:c>
    </x:row>
    <x:row r="5">
      <x:c r="A5" s="83" t="str">
        <x:v>TOP-001</x:v>
      </x:c>
      <x:c r="B5" s="83" t="str">
        <x:v>NORD</x:v>
      </x:c>
      <x:c r="C5" s="83" t="str">
        <x:v>CNOR</x:v>
      </x:c>
      <x:c r="D5" s="83" t="str">
        <x:v>Existing geographic</x:v>
      </x:c>
      <x:c r="E5" s="83" t="str">
        <x:v>Current</x:v>
      </x:c>
      <x:c r="F5" s="202" t="b">
        <x:v>1</x:v>
      </x:c>
      <x:c r="G5" s="83" t="str">
        <x:v>Link (directional p_nom for each direction) or paired Links</x:v>
      </x:c>
      <x:c r="H5" s="83" t="str">
        <x:v>S01 / S03 / S09</x:v>
      </x:c>
      <x:c r="I5" s="120" t="str">
        <x:v>https://download.terna.it/terna/Terna_Piano_Sviluppo_2025_Benefici_sistema_analisi_robustezza_rete_8dd62ecc98b2bc9.pdf</x:v>
      </x:c>
      <x:c r="J5" s="83" t="str">
        <x:v>Capacity is direction-specific; topology alone does not imply symmetric exchange.</x:v>
      </x:c>
    </x:row>
    <x:row r="6">
      <x:c r="A6" s="83" t="str">
        <x:v>TOP-002</x:v>
      </x:c>
      <x:c r="B6" s="83" t="str">
        <x:v>CNOR</x:v>
      </x:c>
      <x:c r="C6" s="83" t="str">
        <x:v>CSUD</x:v>
      </x:c>
      <x:c r="D6" s="83" t="str">
        <x:v>Existing geographic</x:v>
      </x:c>
      <x:c r="E6" s="83" t="str">
        <x:v>Current</x:v>
      </x:c>
      <x:c r="F6" s="202" t="b">
        <x:v>1</x:v>
      </x:c>
      <x:c r="G6" s="83" t="str">
        <x:v>Link (directional p_nom for each direction) or paired Links</x:v>
      </x:c>
      <x:c r="H6" s="83" t="str">
        <x:v>S01 / S03 / S09</x:v>
      </x:c>
      <x:c r="I6" s="120" t="str">
        <x:v>https://download.terna.it/terna/Terna_Piano_Sviluppo_2025_Benefici_sistema_analisi_robustezza_rete_8dd62ecc98b2bc9.pdf</x:v>
      </x:c>
      <x:c r="J6" s="83" t="str">
        <x:v>Capacity is direction-specific; topology alone does not imply symmetric exchange.</x:v>
      </x:c>
    </x:row>
    <x:row r="7">
      <x:c r="A7" s="83" t="str">
        <x:v>TOP-003</x:v>
      </x:c>
      <x:c r="B7" s="83" t="str">
        <x:v>CSUD</x:v>
      </x:c>
      <x:c r="C7" s="83" t="str">
        <x:v>SUD</x:v>
      </x:c>
      <x:c r="D7" s="83" t="str">
        <x:v>Existing geographic</x:v>
      </x:c>
      <x:c r="E7" s="83" t="str">
        <x:v>Current</x:v>
      </x:c>
      <x:c r="F7" s="202" t="b">
        <x:v>1</x:v>
      </x:c>
      <x:c r="G7" s="83" t="str">
        <x:v>Link (directional p_nom for each direction) or paired Links</x:v>
      </x:c>
      <x:c r="H7" s="83" t="str">
        <x:v>S01 / S03 / S09</x:v>
      </x:c>
      <x:c r="I7" s="120" t="str">
        <x:v>https://download.terna.it/terna/Terna_Piano_Sviluppo_2025_Benefici_sistema_analisi_robustezza_rete_8dd62ecc98b2bc9.pdf</x:v>
      </x:c>
      <x:c r="J7" s="83" t="str">
        <x:v>Capacity is direction-specific; topology alone does not imply symmetric exchange.</x:v>
      </x:c>
    </x:row>
    <x:row r="8">
      <x:c r="A8" s="83" t="str">
        <x:v>TOP-004</x:v>
      </x:c>
      <x:c r="B8" s="83" t="str">
        <x:v>SUD</x:v>
      </x:c>
      <x:c r="C8" s="83" t="str">
        <x:v>CALA</x:v>
      </x:c>
      <x:c r="D8" s="83" t="str">
        <x:v>Existing geographic</x:v>
      </x:c>
      <x:c r="E8" s="83" t="str">
        <x:v>Current</x:v>
      </x:c>
      <x:c r="F8" s="202" t="b">
        <x:v>1</x:v>
      </x:c>
      <x:c r="G8" s="83" t="str">
        <x:v>Link (directional p_nom for each direction) or paired Links</x:v>
      </x:c>
      <x:c r="H8" s="83" t="str">
        <x:v>S01 / S03 / S09</x:v>
      </x:c>
      <x:c r="I8" s="120" t="str">
        <x:v>https://download.terna.it/terna/Terna_Piano_Sviluppo_2025_Benefici_sistema_analisi_robustezza_rete_8dd62ecc98b2bc9.pdf</x:v>
      </x:c>
      <x:c r="J8" s="83" t="str">
        <x:v>Capacity is direction-specific; topology alone does not imply symmetric exchange.</x:v>
      </x:c>
    </x:row>
    <x:row r="9">
      <x:c r="A9" s="83" t="str">
        <x:v>TOP-005</x:v>
      </x:c>
      <x:c r="B9" s="83" t="str">
        <x:v>CALA</x:v>
      </x:c>
      <x:c r="C9" s="83" t="str">
        <x:v>SICI</x:v>
      </x:c>
      <x:c r="D9" s="83" t="str">
        <x:v>Existing geographic/submarine</x:v>
      </x:c>
      <x:c r="E9" s="83" t="str">
        <x:v>Current</x:v>
      </x:c>
      <x:c r="F9" s="202" t="b">
        <x:v>1</x:v>
      </x:c>
      <x:c r="G9" s="83" t="str">
        <x:v>Link (directional p_nom for each direction) or paired Links</x:v>
      </x:c>
      <x:c r="H9" s="83" t="str">
        <x:v>S01 / S03 / S09</x:v>
      </x:c>
      <x:c r="I9" s="120" t="str">
        <x:v>https://download.terna.it/terna/Terna_Piano_Sviluppo_2025_Benefici_sistema_analisi_robustezza_rete_8dd62ecc98b2bc9.pdf</x:v>
      </x:c>
      <x:c r="J9" s="83" t="str">
        <x:v>Capacity is direction-specific; topology alone does not imply symmetric exchange.</x:v>
      </x:c>
    </x:row>
    <x:row r="10">
      <x:c r="A10" s="83" t="str">
        <x:v>TOP-006</x:v>
      </x:c>
      <x:c r="B10" s="83" t="str">
        <x:v>CNOR</x:v>
      </x:c>
      <x:c r="C10" s="83" t="str">
        <x:v>CORS</x:v>
      </x:c>
      <x:c r="D10" s="83" t="str">
        <x:v>Virtual interconnection</x:v>
      </x:c>
      <x:c r="E10" s="83" t="str">
        <x:v>Current</x:v>
      </x:c>
      <x:c r="F10" s="202" t="b">
        <x:v>1</x:v>
      </x:c>
      <x:c r="G10" s="83" t="str">
        <x:v>Link (directional p_nom for each direction) or paired Links</x:v>
      </x:c>
      <x:c r="H10" s="83" t="str">
        <x:v>S01 / S03 / S09</x:v>
      </x:c>
      <x:c r="I10" s="120" t="str">
        <x:v>https://download.terna.it/terna/Terna_Piano_Sviluppo_2025_Benefici_sistema_analisi_robustezza_rete_8dd62ecc98b2bc9.pdf</x:v>
      </x:c>
      <x:c r="J10" s="83" t="str">
        <x:v>Capacity is direction-specific; topology alone does not imply symmetric exchange.</x:v>
      </x:c>
    </x:row>
    <x:row r="11">
      <x:c r="A11" s="83" t="str">
        <x:v>TOP-007</x:v>
      </x:c>
      <x:c r="B11" s="83" t="str">
        <x:v>CORS</x:v>
      </x:c>
      <x:c r="C11" s="83" t="str">
        <x:v>SARD</x:v>
      </x:c>
      <x:c r="D11" s="83" t="str">
        <x:v>Virtual interconnection</x:v>
      </x:c>
      <x:c r="E11" s="83" t="str">
        <x:v>Current</x:v>
      </x:c>
      <x:c r="F11" s="202" t="b">
        <x:v>1</x:v>
      </x:c>
      <x:c r="G11" s="83" t="str">
        <x:v>Link (directional p_nom for each direction) or paired Links</x:v>
      </x:c>
      <x:c r="H11" s="83" t="str">
        <x:v>S01 / S03 / S09</x:v>
      </x:c>
      <x:c r="I11" s="120" t="str">
        <x:v>https://download.terna.it/terna/Terna_Piano_Sviluppo_2025_Benefici_sistema_analisi_robustezza_rete_8dd62ecc98b2bc9.pdf</x:v>
      </x:c>
      <x:c r="J11" s="83" t="str">
        <x:v>Capacity is direction-specific; topology alone does not imply symmetric exchange.</x:v>
      </x:c>
    </x:row>
    <x:row r="12">
      <x:c r="A12" s="83" t="str">
        <x:v>TOP-008</x:v>
      </x:c>
      <x:c r="B12" s="83" t="str">
        <x:v>CSUD</x:v>
      </x:c>
      <x:c r="C12" s="83" t="str">
        <x:v>SARD</x:v>
      </x:c>
      <x:c r="D12" s="83" t="str">
        <x:v>HVDC interconnection</x:v>
      </x:c>
      <x:c r="E12" s="83" t="str">
        <x:v>Current</x:v>
      </x:c>
      <x:c r="F12" s="202" t="b">
        <x:v>1</x:v>
      </x:c>
      <x:c r="G12" s="83" t="str">
        <x:v>Link (directional p_nom for each direction) or paired Links</x:v>
      </x:c>
      <x:c r="H12" s="83" t="str">
        <x:v>S01 / S03 / S09</x:v>
      </x:c>
      <x:c r="I12" s="120" t="str">
        <x:v>https://download.terna.it/terna/Terna_Piano_Sviluppo_2025_Benefici_sistema_analisi_robustezza_rete_8dd62ecc98b2bc9.pdf</x:v>
      </x:c>
      <x:c r="J12" s="83" t="str">
        <x:v>Capacity is direction-specific; topology alone does not imply symmetric exchange.</x:v>
      </x:c>
    </x:row>
    <x:row r="13">
      <x:c r="A13" s="83" t="str">
        <x:v>TOP-009</x:v>
      </x:c>
      <x:c r="B13" s="83" t="str">
        <x:v>SICI</x:v>
      </x:c>
      <x:c r="C13" s="83" t="str">
        <x:v>MALT</x:v>
      </x:c>
      <x:c r="D13" s="83" t="str">
        <x:v>Foreign virtual interconnection</x:v>
      </x:c>
      <x:c r="E13" s="83" t="str">
        <x:v>Current</x:v>
      </x:c>
      <x:c r="F13" s="202" t="b">
        <x:v>1</x:v>
      </x:c>
      <x:c r="G13" s="83" t="str">
        <x:v>Link (directional p_nom for each direction) or paired Links</x:v>
      </x:c>
      <x:c r="H13" s="83" t="str">
        <x:v>S01 / S03 / S09</x:v>
      </x:c>
      <x:c r="I13" s="120" t="str">
        <x:v>https://download.terna.it/terna/Terna_Piano_Sviluppo_2025_Benefici_sistema_analisi_robustezza_rete_8dd62ecc98b2bc9.pdf</x:v>
      </x:c>
      <x:c r="J13" s="83" t="str">
        <x:v>Capacity is direction-specific; topology alone does not imply symmetric exchange.</x:v>
      </x:c>
    </x:row>
    <x:row r="14">
      <x:c r="A14" s="83" t="str">
        <x:v>TOP-010</x:v>
      </x:c>
      <x:c r="B14" s="83" t="str">
        <x:v>NORD</x:v>
      </x:c>
      <x:c r="C14" s="83" t="str">
        <x:v>FR</x:v>
      </x:c>
      <x:c r="D14" s="83" t="str">
        <x:v>Foreign interconnection</x:v>
      </x:c>
      <x:c r="E14" s="83" t="str">
        <x:v>Current</x:v>
      </x:c>
      <x:c r="F14" s="202" t="b">
        <x:v>1</x:v>
      </x:c>
      <x:c r="G14" s="83" t="str">
        <x:v>Link (directional p_nom for each direction) or paired Links</x:v>
      </x:c>
      <x:c r="H14" s="83" t="str">
        <x:v>S01 / S03 / S09</x:v>
      </x:c>
      <x:c r="I14" s="120" t="str">
        <x:v>https://download.terna.it/terna/Terna_Piano_Sviluppo_2025_Benefici_sistema_analisi_robustezza_rete_8dd62ecc98b2bc9.pdf</x:v>
      </x:c>
      <x:c r="J14" s="83" t="str">
        <x:v>Capacity is direction-specific; topology alone does not imply symmetric exchange.</x:v>
      </x:c>
    </x:row>
    <x:row r="15">
      <x:c r="A15" s="83" t="str">
        <x:v>TOP-011</x:v>
      </x:c>
      <x:c r="B15" s="83" t="str">
        <x:v>NORD</x:v>
      </x:c>
      <x:c r="C15" s="83" t="str">
        <x:v>CH</x:v>
      </x:c>
      <x:c r="D15" s="83" t="str">
        <x:v>Foreign interconnection</x:v>
      </x:c>
      <x:c r="E15" s="83" t="str">
        <x:v>Current</x:v>
      </x:c>
      <x:c r="F15" s="202" t="b">
        <x:v>1</x:v>
      </x:c>
      <x:c r="G15" s="83" t="str">
        <x:v>Link (directional p_nom for each direction) or paired Links</x:v>
      </x:c>
      <x:c r="H15" s="83" t="str">
        <x:v>S01 / S03 / S09</x:v>
      </x:c>
      <x:c r="I15" s="120" t="str">
        <x:v>https://download.terna.it/terna/Terna_Piano_Sviluppo_2025_Benefici_sistema_analisi_robustezza_rete_8dd62ecc98b2bc9.pdf</x:v>
      </x:c>
      <x:c r="J15" s="83" t="str">
        <x:v>Capacity is direction-specific; topology alone does not imply symmetric exchange.</x:v>
      </x:c>
    </x:row>
    <x:row r="16">
      <x:c r="A16" s="83" t="str">
        <x:v>TOP-012</x:v>
      </x:c>
      <x:c r="B16" s="83" t="str">
        <x:v>NORD</x:v>
      </x:c>
      <x:c r="C16" s="83" t="str">
        <x:v>AT</x:v>
      </x:c>
      <x:c r="D16" s="83" t="str">
        <x:v>Foreign interconnection</x:v>
      </x:c>
      <x:c r="E16" s="83" t="str">
        <x:v>Current</x:v>
      </x:c>
      <x:c r="F16" s="202" t="b">
        <x:v>1</x:v>
      </x:c>
      <x:c r="G16" s="83" t="str">
        <x:v>Link (directional p_nom for each direction) or paired Links</x:v>
      </x:c>
      <x:c r="H16" s="83" t="str">
        <x:v>S01 / S03 / S09</x:v>
      </x:c>
      <x:c r="I16" s="120" t="str">
        <x:v>https://download.terna.it/terna/Terna_Piano_Sviluppo_2025_Benefici_sistema_analisi_robustezza_rete_8dd62ecc98b2bc9.pdf</x:v>
      </x:c>
      <x:c r="J16" s="83" t="str">
        <x:v>Capacity is direction-specific; topology alone does not imply symmetric exchange.</x:v>
      </x:c>
    </x:row>
    <x:row r="17">
      <x:c r="A17" s="83" t="str">
        <x:v>TOP-013</x:v>
      </x:c>
      <x:c r="B17" s="83" t="str">
        <x:v>NORD</x:v>
      </x:c>
      <x:c r="C17" s="83" t="str">
        <x:v>SI</x:v>
      </x:c>
      <x:c r="D17" s="83" t="str">
        <x:v>Foreign interconnection</x:v>
      </x:c>
      <x:c r="E17" s="83" t="str">
        <x:v>Current</x:v>
      </x:c>
      <x:c r="F17" s="202" t="b">
        <x:v>1</x:v>
      </x:c>
      <x:c r="G17" s="83" t="str">
        <x:v>Link (directional p_nom for each direction) or paired Links</x:v>
      </x:c>
      <x:c r="H17" s="83" t="str">
        <x:v>S01 / S03 / S09</x:v>
      </x:c>
      <x:c r="I17" s="120" t="str">
        <x:v>https://download.terna.it/terna/Terna_Piano_Sviluppo_2025_Benefici_sistema_analisi_robustezza_rete_8dd62ecc98b2bc9.pdf</x:v>
      </x:c>
      <x:c r="J17" s="83" t="str">
        <x:v>Capacity is direction-specific; topology alone does not imply symmetric exchange.</x:v>
      </x:c>
    </x:row>
    <x:row r="18">
      <x:c r="A18" s="83" t="str">
        <x:v>TOP-014</x:v>
      </x:c>
      <x:c r="B18" s="83" t="str">
        <x:v>CSUD</x:v>
      </x:c>
      <x:c r="C18" s="83" t="str">
        <x:v>ME</x:v>
      </x:c>
      <x:c r="D18" s="83" t="str">
        <x:v>Foreign interconnection</x:v>
      </x:c>
      <x:c r="E18" s="83" t="str">
        <x:v>Current</x:v>
      </x:c>
      <x:c r="F18" s="202" t="b">
        <x:v>1</x:v>
      </x:c>
      <x:c r="G18" s="83" t="str">
        <x:v>Link (directional p_nom for each direction) or paired Links</x:v>
      </x:c>
      <x:c r="H18" s="83" t="str">
        <x:v>S01 / S03 / S09</x:v>
      </x:c>
      <x:c r="I18" s="120" t="str">
        <x:v>https://download.terna.it/terna/Terna_Piano_Sviluppo_2025_Benefici_sistema_analisi_robustezza_rete_8dd62ecc98b2bc9.pdf</x:v>
      </x:c>
      <x:c r="J18" s="83" t="str">
        <x:v>Capacity is direction-specific; topology alone does not imply symmetric exchange.</x:v>
      </x:c>
    </x:row>
    <x:row r="19">
      <x:c r="A19" s="83" t="str">
        <x:v>TOP-015</x:v>
      </x:c>
      <x:c r="B19" s="83" t="str">
        <x:v>SUD</x:v>
      </x:c>
      <x:c r="C19" s="83" t="str">
        <x:v>GR</x:v>
      </x:c>
      <x:c r="D19" s="83" t="str">
        <x:v>Foreign interconnection</x:v>
      </x:c>
      <x:c r="E19" s="83" t="str">
        <x:v>Current</x:v>
      </x:c>
      <x:c r="F19" s="202" t="b">
        <x:v>1</x:v>
      </x:c>
      <x:c r="G19" s="83" t="str">
        <x:v>Link (directional p_nom for each direction) or paired Links</x:v>
      </x:c>
      <x:c r="H19" s="83" t="str">
        <x:v>S01 / S03 / S09</x:v>
      </x:c>
      <x:c r="I19" s="120" t="str">
        <x:v>https://download.terna.it/terna/Terna_Piano_Sviluppo_2025_Benefici_sistema_analisi_robustezza_rete_8dd62ecc98b2bc9.pdf</x:v>
      </x:c>
      <x:c r="J19" s="83" t="str">
        <x:v>Capacity is direction-specific; topology alone does not imply symmetric exchange.</x:v>
      </x:c>
    </x:row>
    <x:row r="20">
      <x:c r="A20" s="83" t="str">
        <x:v>TOP-016</x:v>
      </x:c>
      <x:c r="B20" s="83" t="str">
        <x:v>NORD</x:v>
      </x:c>
      <x:c r="C20" s="83" t="str">
        <x:v>SUD</x:v>
      </x:c>
      <x:c r="D20" s="83" t="str">
        <x:v>New direct market section</x:v>
      </x:c>
      <x:c r="E20" s="83" t="str">
        <x:v>By 2035</x:v>
      </x:c>
      <x:c r="F20" s="202" t="b">
        <x:v>1</x:v>
      </x:c>
      <x:c r="G20" s="83" t="str">
        <x:v>Link (directional p_nom for each direction) or paired Links</x:v>
      </x:c>
      <x:c r="H20" s="83" t="str">
        <x:v>S01 / S03 / S09</x:v>
      </x:c>
      <x:c r="I20" s="120" t="str">
        <x:v>https://download.terna.it/terna/Terna_Piano_Sviluppo_2025_Benefici_sistema_analisi_robustezza_rete_8dd62ecc98b2bc9.pdf</x:v>
      </x:c>
      <x:c r="J20" s="83" t="str">
        <x:v>Capacity is direction-specific; topology alone does not imply symmetric exchange.</x:v>
      </x:c>
    </x:row>
    <x:row r="21">
      <x:c r="A21" s="83" t="str">
        <x:v>TOP-017</x:v>
      </x:c>
      <x:c r="B21" s="83" t="str">
        <x:v>NORD</x:v>
      </x:c>
      <x:c r="C21" s="83" t="str">
        <x:v>CSUD</x:v>
      </x:c>
      <x:c r="D21" s="83" t="str">
        <x:v>New direct market section</x:v>
      </x:c>
      <x:c r="E21" s="83" t="str">
        <x:v>By 2035</x:v>
      </x:c>
      <x:c r="F21" s="202" t="b">
        <x:v>1</x:v>
      </x:c>
      <x:c r="G21" s="83" t="str">
        <x:v>Link (directional p_nom for each direction) or paired Links</x:v>
      </x:c>
      <x:c r="H21" s="83" t="str">
        <x:v>S01 / S03 / S09</x:v>
      </x:c>
      <x:c r="I21" s="120" t="str">
        <x:v>https://download.terna.it/terna/Terna_Piano_Sviluppo_2025_Benefici_sistema_analisi_robustezza_rete_8dd62ecc98b2bc9.pdf</x:v>
      </x:c>
      <x:c r="J21" s="83" t="str">
        <x:v>Capacity is direction-specific; topology alone does not imply symmetric exchange.</x:v>
      </x:c>
    </x:row>
    <x:row r="22">
      <x:c r="A22" s="83" t="str">
        <x:v>TOP-018</x:v>
      </x:c>
      <x:c r="B22" s="83" t="str">
        <x:v>CSUD</x:v>
      </x:c>
      <x:c r="C22" s="83" t="str">
        <x:v>SICI</x:v>
      </x:c>
      <x:c r="D22" s="83" t="str">
        <x:v>New HVDC section</x:v>
      </x:c>
      <x:c r="E22" s="83" t="str">
        <x:v>By 2030</x:v>
      </x:c>
      <x:c r="F22" s="202" t="b">
        <x:v>1</x:v>
      </x:c>
      <x:c r="G22" s="83" t="str">
        <x:v>Link (directional p_nom for each direction) or paired Links</x:v>
      </x:c>
      <x:c r="H22" s="83" t="str">
        <x:v>S01 / S03 / S09</x:v>
      </x:c>
      <x:c r="I22" s="120" t="str">
        <x:v>https://download.terna.it/terna/Terna_Piano_Sviluppo_2025_Benefici_sistema_analisi_robustezza_rete_8dd62ecc98b2bc9.pdf</x:v>
      </x:c>
      <x:c r="J22" s="83" t="str">
        <x:v>Capacity is direction-specific; topology alone does not imply symmetric exchange.</x:v>
      </x:c>
    </x:row>
    <x:row r="23">
      <x:c r="A23" s="83" t="str">
        <x:v>TOP-019</x:v>
      </x:c>
      <x:c r="B23" s="83" t="str">
        <x:v>SARD</x:v>
      </x:c>
      <x:c r="C23" s="83" t="str">
        <x:v>SICI</x:v>
      </x:c>
      <x:c r="D23" s="83" t="str">
        <x:v>New HVDC section</x:v>
      </x:c>
      <x:c r="E23" s="83" t="str">
        <x:v>By 2030</x:v>
      </x:c>
      <x:c r="F23" s="202" t="b">
        <x:v>1</x:v>
      </x:c>
      <x:c r="G23" s="83" t="str">
        <x:v>Link (directional p_nom for each direction) or paired Links</x:v>
      </x:c>
      <x:c r="H23" s="83" t="str">
        <x:v>S01 / S03 / S09</x:v>
      </x:c>
      <x:c r="I23" s="120" t="str">
        <x:v>https://download.terna.it/terna/Terna_Piano_Sviluppo_2025_Benefici_sistema_analisi_robustezza_rete_8dd62ecc98b2bc9.pdf</x:v>
      </x:c>
      <x:c r="J23" s="83" t="str">
        <x:v>Capacity is direction-specific; topology alone does not imply symmetric exchange.</x:v>
      </x:c>
    </x:row>
    <x:row r="24">
      <x:c r="A24" s="83" t="str">
        <x:v>TOP-020</x:v>
      </x:c>
      <x:c r="B24" s="83" t="str">
        <x:v>SICI</x:v>
      </x:c>
      <x:c r="C24" s="83" t="str">
        <x:v>TN</x:v>
      </x:c>
      <x:c r="D24" s="83" t="str">
        <x:v>New foreign interconnection</x:v>
      </x:c>
      <x:c r="E24" s="83" t="str">
        <x:v>By 2030 / ELMED</x:v>
      </x:c>
      <x:c r="F24" s="202" t="b">
        <x:v>1</x:v>
      </x:c>
      <x:c r="G24" s="83" t="str">
        <x:v>Link (directional p_nom for each direction) or paired Links</x:v>
      </x:c>
      <x:c r="H24" s="83" t="str">
        <x:v>S01 / S03 / S09</x:v>
      </x:c>
      <x:c r="I24" s="120" t="str">
        <x:v>https://download.terna.it/terna/Terna_Piano_Sviluppo_2025_Benefici_sistema_analisi_robustezza_rete_8dd62ecc98b2bc9.pdf</x:v>
      </x:c>
      <x:c r="J24" s="83" t="str">
        <x:v>Capacity is direction-specific; topology alone does not imply symmetric exchange.</x:v>
      </x:c>
    </x:row>
  </x:sheetData>
  <x:mergeCells>
    <x:mergeCell ref="A1:J1"/>
    <x:mergeCell ref="A2:J2"/>
  </x:mergeCells>
  <x:conditionalFormatting sqref="E5:E24">
    <x:cfRule type="expression" dxfId="53" priority="1">
      <x:formula>E5="Current"</x:formula>
    </x:cfRule>
    <x:cfRule type="expression" dxfId="54" priority="2">
      <x:formula>E5&lt;&gt;"Current"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430043fce640e8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5" hidden="0" customWidth="1"/>
    <x:col min="9" max="9" width="20" hidden="0" customWidth="1"/>
    <x:col min="10" max="10" width="18" hidden="0" customWidth="1"/>
    <x:col min="11" max="11" width="22" hidden="0" customWidth="1"/>
    <x:col min="12" max="12" width="22" hidden="0" customWidth="1"/>
    <x:col min="13" max="13" width="62" hidden="0" customWidth="1"/>
    <x:col min="14" max="14" width="64" hidden="0" customWidth="1"/>
    <x:col min="15" max="15" width="52" hidden="0" customWidth="1"/>
  </x:cols>
  <x:sheetData>
    <x:row r="1" ht="34" customHeight="1">
      <x:c r="A1" s="232" t="str">
        <x:v>Varianti di rete per 2040 e 2050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</x:row>
    <x:row r="2" ht="30" customHeight="1">
      <x:c r="A2" s="236" t="str">
        <x:v>96 righe; Base e Conservative eseguibili, 2050 High Grid mantenuta come shell non inventata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</x:row>
    <x:row r="4" ht="42" customHeight="1">
      <x:c r="A4" s="240" t="str">
        <x:v>Record ID</x:v>
      </x:c>
      <x:c r="B4" s="240" t="str">
        <x:v>Variante</x:v>
      </x:c>
      <x:c r="C4" s="240" t="str">
        <x:v>Anno modello</x:v>
      </x:c>
      <x:c r="D4" s="240" t="str">
        <x:v>Da zona</x:v>
      </x:c>
      <x:c r="E4" s="240" t="str">
        <x:v>A zona</x:v>
      </x:c>
      <x:c r="F4" s="240" t="str">
        <x:v>Capacità MW</x:v>
      </x:c>
      <x:c r="G4" s="240" t="str">
        <x:v>Capacità GW</x:v>
      </x:c>
      <x:c r="H4" s="240" t="str">
        <x:v>Orizzonte fonte</x:v>
      </x:c>
      <x:c r="I4" s="240" t="str">
        <x:v>Dataset fonte</x:v>
      </x:c>
      <x:c r="J4" s="240" t="str">
        <x:v>Delta vs 2040 Base MW</x:v>
      </x:c>
      <x:c r="K4" s="240" t="str">
        <x:v>Eseguibile ora</x:v>
      </x:c>
      <x:c r="L4" s="240" t="str">
        <x:v>Classe assunzione</x:v>
      </x:c>
      <x:c r="M4" s="240" t="str">
        <x:v>Descrizione</x:v>
      </x:c>
      <x:c r="N4" s="240" t="str">
        <x:v>Regola estero</x:v>
      </x:c>
      <x:c r="O4" s="240" t="str">
        <x:v>Note</x:v>
      </x:c>
    </x:row>
    <x:row r="5">
      <x:c r="A5" s="83" t="str">
        <x:v>VAR-001</x:v>
      </x:c>
      <x:c r="B5" s="83" t="str">
        <x:v>2040_BASE</x:v>
      </x:c>
      <x:c r="C5" s="83" t="n">
        <x:v>2040</x:v>
      </x:c>
      <x:c r="D5" s="83" t="str">
        <x:v>NORD</x:v>
      </x:c>
      <x:c r="E5" s="83" t="str">
        <x:v>CNOR</x:v>
      </x:c>
      <x:c r="F5" s="143" t="n">
        <x:v>6100</x:v>
      </x:c>
      <x:c r="G5" s="197" t="n">
        <x:f>F5/1000</x:f>
        <x:v>6.1</x:v>
      </x:c>
      <x:c r="H5" s="143" t="n">
        <x:v>2040</x:v>
      </x:c>
      <x:c r="I5" s="143" t="str">
        <x:v>S03 Figure 3</x:v>
      </x:c>
      <x:c r="J5" s="143" t="n">
        <x:f>F5-SUMIFS($F:$F,$B:$B,"2040_BASE",$D:$D,D5,$E:$E,E5)</x:f>
        <x:v>0</x:v>
      </x:c>
      <x:c r="K5" s="83" t="str">
        <x:v>Yes</x:v>
      </x:c>
      <x:c r="L5" s="83" t="str">
        <x:v>Direct source</x:v>
      </x:c>
      <x:c r="M5" s="83" t="str">
        <x:v>PDS 2025 Figure 3 full 2040 internal network; preferred central network case</x:v>
      </x:c>
      <x:c r="N5" s="83" t="str">
        <x:v>Use endogenous PyPSA-Eur borders where available; otherwise DDS 2030 totals plus separately approved project overlays</x:v>
      </x:c>
      <x:c r="O5" s="83" t="str"/>
    </x:row>
    <x:row r="6">
      <x:c r="A6" s="83" t="str">
        <x:v>VAR-002</x:v>
      </x:c>
      <x:c r="B6" s="83" t="str">
        <x:v>2040_BASE</x:v>
      </x:c>
      <x:c r="C6" s="83" t="n">
        <x:v>2040</x:v>
      </x:c>
      <x:c r="D6" s="83" t="str">
        <x:v>CNOR</x:v>
      </x:c>
      <x:c r="E6" s="83" t="str">
        <x:v>NORD</x:v>
      </x:c>
      <x:c r="F6" s="143" t="n">
        <x:v>5300</x:v>
      </x:c>
      <x:c r="G6" s="197" t="n">
        <x:f>F6/1000</x:f>
        <x:v>5.3</x:v>
      </x:c>
      <x:c r="H6" s="143" t="n">
        <x:v>2040</x:v>
      </x:c>
      <x:c r="I6" s="143" t="str">
        <x:v>S03 Figure 3</x:v>
      </x:c>
      <x:c r="J6" s="143" t="n">
        <x:f>F6-SUMIFS($F:$F,$B:$B,"2040_BASE",$D:$D,D6,$E:$E,E6)</x:f>
        <x:v>0</x:v>
      </x:c>
      <x:c r="K6" s="83" t="str">
        <x:v>Yes</x:v>
      </x:c>
      <x:c r="L6" s="83" t="str">
        <x:v>Direct source</x:v>
      </x:c>
      <x:c r="M6" s="83" t="str">
        <x:v>PDS 2025 Figure 3 full 2040 internal network; preferred central network case</x:v>
      </x:c>
      <x:c r="N6" s="83" t="str">
        <x:v>Use endogenous PyPSA-Eur borders where available; otherwise DDS 2030 totals plus separately approved project overlays</x:v>
      </x:c>
      <x:c r="O6" s="83" t="str"/>
    </x:row>
    <x:row r="7">
      <x:c r="A7" s="83" t="str">
        <x:v>VAR-003</x:v>
      </x:c>
      <x:c r="B7" s="83" t="str">
        <x:v>2040_BASE</x:v>
      </x:c>
      <x:c r="C7" s="83" t="n">
        <x:v>2040</x:v>
      </x:c>
      <x:c r="D7" s="83" t="str">
        <x:v>CNOR</x:v>
      </x:c>
      <x:c r="E7" s="83" t="str">
        <x:v>CSUD</x:v>
      </x:c>
      <x:c r="F7" s="143" t="n">
        <x:v>5400</x:v>
      </x:c>
      <x:c r="G7" s="197" t="n">
        <x:f>F7/1000</x:f>
        <x:v>5.4</x:v>
      </x:c>
      <x:c r="H7" s="143" t="n">
        <x:v>2040</x:v>
      </x:c>
      <x:c r="I7" s="143" t="str">
        <x:v>S03 Figure 3</x:v>
      </x:c>
      <x:c r="J7" s="143" t="n">
        <x:f>F7-SUMIFS($F:$F,$B:$B,"2040_BASE",$D:$D,D7,$E:$E,E7)</x:f>
        <x:v>0</x:v>
      </x:c>
      <x:c r="K7" s="83" t="str">
        <x:v>Yes</x:v>
      </x:c>
      <x:c r="L7" s="83" t="str">
        <x:v>Direct source</x:v>
      </x:c>
      <x:c r="M7" s="83" t="str">
        <x:v>PDS 2025 Figure 3 full 2040 internal network; preferred central network case</x:v>
      </x:c>
      <x:c r="N7" s="83" t="str">
        <x:v>Use endogenous PyPSA-Eur borders where available; otherwise DDS 2030 totals plus separately approved project overlays</x:v>
      </x:c>
      <x:c r="O7" s="83" t="str"/>
    </x:row>
    <x:row r="8">
      <x:c r="A8" s="83" t="str">
        <x:v>VAR-004</x:v>
      </x:c>
      <x:c r="B8" s="83" t="str">
        <x:v>2040_BASE</x:v>
      </x:c>
      <x:c r="C8" s="83" t="n">
        <x:v>2040</x:v>
      </x:c>
      <x:c r="D8" s="83" t="str">
        <x:v>CSUD</x:v>
      </x:c>
      <x:c r="E8" s="83" t="str">
        <x:v>CNOR</x:v>
      </x:c>
      <x:c r="F8" s="143" t="n">
        <x:v>6100</x:v>
      </x:c>
      <x:c r="G8" s="197" t="n">
        <x:f>F8/1000</x:f>
        <x:v>6.1</x:v>
      </x:c>
      <x:c r="H8" s="143" t="n">
        <x:v>2040</x:v>
      </x:c>
      <x:c r="I8" s="143" t="str">
        <x:v>S03 Figure 3</x:v>
      </x:c>
      <x:c r="J8" s="143" t="n">
        <x:f>F8-SUMIFS($F:$F,$B:$B,"2040_BASE",$D:$D,D8,$E:$E,E8)</x:f>
        <x:v>0</x:v>
      </x:c>
      <x:c r="K8" s="83" t="str">
        <x:v>Yes</x:v>
      </x:c>
      <x:c r="L8" s="83" t="str">
        <x:v>Direct source</x:v>
      </x:c>
      <x:c r="M8" s="83" t="str">
        <x:v>PDS 2025 Figure 3 full 2040 internal network; preferred central network case</x:v>
      </x:c>
      <x:c r="N8" s="83" t="str">
        <x:v>Use endogenous PyPSA-Eur borders where available; otherwise DDS 2030 totals plus separately approved project overlays</x:v>
      </x:c>
      <x:c r="O8" s="83" t="str"/>
    </x:row>
    <x:row r="9">
      <x:c r="A9" s="83" t="str">
        <x:v>VAR-005</x:v>
      </x:c>
      <x:c r="B9" s="83" t="str">
        <x:v>2040_BASE</x:v>
      </x:c>
      <x:c r="C9" s="83" t="n">
        <x:v>2040</x:v>
      </x:c>
      <x:c r="D9" s="83" t="str">
        <x:v>CSUD</x:v>
      </x:c>
      <x:c r="E9" s="83" t="str">
        <x:v>SUD</x:v>
      </x:c>
      <x:c r="F9" s="143" t="n">
        <x:v>6300</x:v>
      </x:c>
      <x:c r="G9" s="197" t="n">
        <x:f>F9/1000</x:f>
        <x:v>6.3</x:v>
      </x:c>
      <x:c r="H9" s="143" t="n">
        <x:v>2040</x:v>
      </x:c>
      <x:c r="I9" s="143" t="str">
        <x:v>S03 Figure 3</x:v>
      </x:c>
      <x:c r="J9" s="143" t="n">
        <x:f>F9-SUMIFS($F:$F,$B:$B,"2040_BASE",$D:$D,D9,$E:$E,E9)</x:f>
        <x:v>0</x:v>
      </x:c>
      <x:c r="K9" s="83" t="str">
        <x:v>Yes</x:v>
      </x:c>
      <x:c r="L9" s="83" t="str">
        <x:v>Direct source</x:v>
      </x:c>
      <x:c r="M9" s="83" t="str">
        <x:v>PDS 2025 Figure 3 full 2040 internal network; preferred central network case</x:v>
      </x:c>
      <x:c r="N9" s="83" t="str">
        <x:v>Use endogenous PyPSA-Eur borders where available; otherwise DDS 2030 totals plus separately approved project overlays</x:v>
      </x:c>
      <x:c r="O9" s="83" t="str"/>
    </x:row>
    <x:row r="10">
      <x:c r="A10" s="83" t="str">
        <x:v>VAR-006</x:v>
      </x:c>
      <x:c r="B10" s="83" t="str">
        <x:v>2040_BASE</x:v>
      </x:c>
      <x:c r="C10" s="83" t="n">
        <x:v>2040</x:v>
      </x:c>
      <x:c r="D10" s="83" t="str">
        <x:v>SUD</x:v>
      </x:c>
      <x:c r="E10" s="83" t="str">
        <x:v>CSUD</x:v>
      </x:c>
      <x:c r="F10" s="143" t="n">
        <x:v>9100</x:v>
      </x:c>
      <x:c r="G10" s="197" t="n">
        <x:f>F10/1000</x:f>
        <x:v>9.1</x:v>
      </x:c>
      <x:c r="H10" s="143" t="n">
        <x:v>2040</x:v>
      </x:c>
      <x:c r="I10" s="143" t="str">
        <x:v>S03 Figure 3</x:v>
      </x:c>
      <x:c r="J10" s="143" t="n">
        <x:f>F10-SUMIFS($F:$F,$B:$B,"2040_BASE",$D:$D,D10,$E:$E,E10)</x:f>
        <x:v>0</x:v>
      </x:c>
      <x:c r="K10" s="83" t="str">
        <x:v>Yes</x:v>
      </x:c>
      <x:c r="L10" s="83" t="str">
        <x:v>Direct source</x:v>
      </x:c>
      <x:c r="M10" s="83" t="str">
        <x:v>PDS 2025 Figure 3 full 2040 internal network; preferred central network case</x:v>
      </x:c>
      <x:c r="N10" s="83" t="str">
        <x:v>Use endogenous PyPSA-Eur borders where available; otherwise DDS 2030 totals plus separately approved project overlays</x:v>
      </x:c>
      <x:c r="O10" s="83" t="str"/>
    </x:row>
    <x:row r="11">
      <x:c r="A11" s="83" t="str">
        <x:v>VAR-007</x:v>
      </x:c>
      <x:c r="B11" s="83" t="str">
        <x:v>2040_BASE</x:v>
      </x:c>
      <x:c r="C11" s="83" t="n">
        <x:v>2040</x:v>
      </x:c>
      <x:c r="D11" s="83" t="str">
        <x:v>SUD</x:v>
      </x:c>
      <x:c r="E11" s="83" t="str">
        <x:v>CALA</x:v>
      </x:c>
      <x:c r="F11" s="143" t="n">
        <x:v>4100</x:v>
      </x:c>
      <x:c r="G11" s="197" t="n">
        <x:f>F11/1000</x:f>
        <x:v>4.1</x:v>
      </x:c>
      <x:c r="H11" s="143" t="n">
        <x:v>2040</x:v>
      </x:c>
      <x:c r="I11" s="143" t="str">
        <x:v>S03 Figure 3</x:v>
      </x:c>
      <x:c r="J11" s="143" t="n">
        <x:f>F11-SUMIFS($F:$F,$B:$B,"2040_BASE",$D:$D,D11,$E:$E,E11)</x:f>
        <x:v>0</x:v>
      </x:c>
      <x:c r="K11" s="83" t="str">
        <x:v>Yes</x:v>
      </x:c>
      <x:c r="L11" s="83" t="str">
        <x:v>Direct source</x:v>
      </x:c>
      <x:c r="M11" s="83" t="str">
        <x:v>PDS 2025 Figure 3 full 2040 internal network; preferred central network case</x:v>
      </x:c>
      <x:c r="N11" s="83" t="str">
        <x:v>Use endogenous PyPSA-Eur borders where available; otherwise DDS 2030 totals plus separately approved project overlays</x:v>
      </x:c>
      <x:c r="O11" s="83" t="str"/>
    </x:row>
    <x:row r="12">
      <x:c r="A12" s="83" t="str">
        <x:v>VAR-008</x:v>
      </x:c>
      <x:c r="B12" s="83" t="str">
        <x:v>2040_BASE</x:v>
      </x:c>
      <x:c r="C12" s="83" t="n">
        <x:v>2040</x:v>
      </x:c>
      <x:c r="D12" s="83" t="str">
        <x:v>CALA</x:v>
      </x:c>
      <x:c r="E12" s="83" t="str">
        <x:v>SUD</x:v>
      </x:c>
      <x:c r="F12" s="143" t="n">
        <x:v>5350</x:v>
      </x:c>
      <x:c r="G12" s="197" t="n">
        <x:f>F12/1000</x:f>
        <x:v>5.35</x:v>
      </x:c>
      <x:c r="H12" s="143" t="n">
        <x:v>2040</x:v>
      </x:c>
      <x:c r="I12" s="143" t="str">
        <x:v>S03 Figure 3</x:v>
      </x:c>
      <x:c r="J12" s="143" t="n">
        <x:f>F12-SUMIFS($F:$F,$B:$B,"2040_BASE",$D:$D,D12,$E:$E,E12)</x:f>
        <x:v>0</x:v>
      </x:c>
      <x:c r="K12" s="83" t="str">
        <x:v>Yes</x:v>
      </x:c>
      <x:c r="L12" s="83" t="str">
        <x:v>Direct source</x:v>
      </x:c>
      <x:c r="M12" s="83" t="str">
        <x:v>PDS 2025 Figure 3 full 2040 internal network; preferred central network case</x:v>
      </x:c>
      <x:c r="N12" s="83" t="str">
        <x:v>Use endogenous PyPSA-Eur borders where available; otherwise DDS 2030 totals plus separately approved project overlays</x:v>
      </x:c>
      <x:c r="O12" s="83" t="str"/>
    </x:row>
    <x:row r="13">
      <x:c r="A13" s="83" t="str">
        <x:v>VAR-009</x:v>
      </x:c>
      <x:c r="B13" s="83" t="str">
        <x:v>2040_BASE</x:v>
      </x:c>
      <x:c r="C13" s="83" t="n">
        <x:v>2040</x:v>
      </x:c>
      <x:c r="D13" s="83" t="str">
        <x:v>CALA</x:v>
      </x:c>
      <x:c r="E13" s="83" t="str">
        <x:v>SICI</x:v>
      </x:c>
      <x:c r="F13" s="143" t="n">
        <x:v>4150</x:v>
      </x:c>
      <x:c r="G13" s="197" t="n">
        <x:f>F13/1000</x:f>
        <x:v>4.15</x:v>
      </x:c>
      <x:c r="H13" s="143" t="n">
        <x:v>2040</x:v>
      </x:c>
      <x:c r="I13" s="143" t="str">
        <x:v>S03 Figure 3</x:v>
      </x:c>
      <x:c r="J13" s="143" t="n">
        <x:f>F13-SUMIFS($F:$F,$B:$B,"2040_BASE",$D:$D,D13,$E:$E,E13)</x:f>
        <x:v>0</x:v>
      </x:c>
      <x:c r="K13" s="83" t="str">
        <x:v>Yes</x:v>
      </x:c>
      <x:c r="L13" s="83" t="str">
        <x:v>Direct source</x:v>
      </x:c>
      <x:c r="M13" s="83" t="str">
        <x:v>PDS 2025 Figure 3 full 2040 internal network; preferred central network case</x:v>
      </x:c>
      <x:c r="N13" s="83" t="str">
        <x:v>Use endogenous PyPSA-Eur borders where available; otherwise DDS 2030 totals plus separately approved project overlays</x:v>
      </x:c>
      <x:c r="O13" s="83" t="str"/>
    </x:row>
    <x:row r="14">
      <x:c r="A14" s="83" t="str">
        <x:v>VAR-010</x:v>
      </x:c>
      <x:c r="B14" s="83" t="str">
        <x:v>2040_BASE</x:v>
      </x:c>
      <x:c r="C14" s="83" t="n">
        <x:v>2040</x:v>
      </x:c>
      <x:c r="D14" s="83" t="str">
        <x:v>SICI</x:v>
      </x:c>
      <x:c r="E14" s="83" t="str">
        <x:v>CALA</x:v>
      </x:c>
      <x:c r="F14" s="143" t="n">
        <x:v>4100</x:v>
      </x:c>
      <x:c r="G14" s="197" t="n">
        <x:f>F14/1000</x:f>
        <x:v>4.1</x:v>
      </x:c>
      <x:c r="H14" s="143" t="n">
        <x:v>2040</x:v>
      </x:c>
      <x:c r="I14" s="143" t="str">
        <x:v>S03 Figure 3</x:v>
      </x:c>
      <x:c r="J14" s="143" t="n">
        <x:f>F14-SUMIFS($F:$F,$B:$B,"2040_BASE",$D:$D,D14,$E:$E,E14)</x:f>
        <x:v>0</x:v>
      </x:c>
      <x:c r="K14" s="83" t="str">
        <x:v>Yes</x:v>
      </x:c>
      <x:c r="L14" s="83" t="str">
        <x:v>Direct source</x:v>
      </x:c>
      <x:c r="M14" s="83" t="str">
        <x:v>PDS 2025 Figure 3 full 2040 internal network; preferred central network case</x:v>
      </x:c>
      <x:c r="N14" s="83" t="str">
        <x:v>Use endogenous PyPSA-Eur borders where available; otherwise DDS 2030 totals plus separately approved project overlays</x:v>
      </x:c>
      <x:c r="O14" s="83" t="str"/>
    </x:row>
    <x:row r="15">
      <x:c r="A15" s="83" t="str">
        <x:v>VAR-011</x:v>
      </x:c>
      <x:c r="B15" s="83" t="str">
        <x:v>2040_BASE</x:v>
      </x:c>
      <x:c r="C15" s="83" t="n">
        <x:v>2040</x:v>
      </x:c>
      <x:c r="D15" s="83" t="str">
        <x:v>CSUD</x:v>
      </x:c>
      <x:c r="E15" s="83" t="str">
        <x:v>SARD</x:v>
      </x:c>
      <x:c r="F15" s="143" t="n">
        <x:v>1720</x:v>
      </x:c>
      <x:c r="G15" s="197" t="n">
        <x:f>F15/1000</x:f>
        <x:v>1.72</x:v>
      </x:c>
      <x:c r="H15" s="143" t="n">
        <x:v>2040</x:v>
      </x:c>
      <x:c r="I15" s="143" t="str">
        <x:v>S03 Figure 3</x:v>
      </x:c>
      <x:c r="J15" s="143" t="n">
        <x:f>F15-SUMIFS($F:$F,$B:$B,"2040_BASE",$D:$D,D15,$E:$E,E15)</x:f>
        <x:v>0</x:v>
      </x:c>
      <x:c r="K15" s="83" t="str">
        <x:v>Yes</x:v>
      </x:c>
      <x:c r="L15" s="83" t="str">
        <x:v>Direct source</x:v>
      </x:c>
      <x:c r="M15" s="83" t="str">
        <x:v>PDS 2025 Figure 3 full 2040 internal network; preferred central network case</x:v>
      </x:c>
      <x:c r="N15" s="83" t="str">
        <x:v>Use endogenous PyPSA-Eur borders where available; otherwise DDS 2030 totals plus separately approved project overlays</x:v>
      </x:c>
      <x:c r="O15" s="83" t="str"/>
    </x:row>
    <x:row r="16">
      <x:c r="A16" s="83" t="str">
        <x:v>VAR-012</x:v>
      </x:c>
      <x:c r="B16" s="83" t="str">
        <x:v>2040_BASE</x:v>
      </x:c>
      <x:c r="C16" s="83" t="n">
        <x:v>2040</x:v>
      </x:c>
      <x:c r="D16" s="83" t="str">
        <x:v>SARD</x:v>
      </x:c>
      <x:c r="E16" s="83" t="str">
        <x:v>CSUD</x:v>
      </x:c>
      <x:c r="F16" s="143" t="n">
        <x:v>1900</x:v>
      </x:c>
      <x:c r="G16" s="197" t="n">
        <x:f>F16/1000</x:f>
        <x:v>1.9</x:v>
      </x:c>
      <x:c r="H16" s="143" t="n">
        <x:v>2040</x:v>
      </x:c>
      <x:c r="I16" s="143" t="str">
        <x:v>S03 Figure 3</x:v>
      </x:c>
      <x:c r="J16" s="143" t="n">
        <x:f>F16-SUMIFS($F:$F,$B:$B,"2040_BASE",$D:$D,D16,$E:$E,E16)</x:f>
        <x:v>0</x:v>
      </x:c>
      <x:c r="K16" s="83" t="str">
        <x:v>Yes</x:v>
      </x:c>
      <x:c r="L16" s="83" t="str">
        <x:v>Direct source</x:v>
      </x:c>
      <x:c r="M16" s="83" t="str">
        <x:v>PDS 2025 Figure 3 full 2040 internal network; preferred central network case</x:v>
      </x:c>
      <x:c r="N16" s="83" t="str">
        <x:v>Use endogenous PyPSA-Eur borders where available; otherwise DDS 2030 totals plus separately approved project overlays</x:v>
      </x:c>
      <x:c r="O16" s="83" t="str"/>
    </x:row>
    <x:row r="17">
      <x:c r="A17" s="83" t="str">
        <x:v>VAR-013</x:v>
      </x:c>
      <x:c r="B17" s="83" t="str">
        <x:v>2040_BASE</x:v>
      </x:c>
      <x:c r="C17" s="83" t="n">
        <x:v>2040</x:v>
      </x:c>
      <x:c r="D17" s="83" t="str">
        <x:v>CNOR</x:v>
      </x:c>
      <x:c r="E17" s="83" t="str">
        <x:v>CORS</x:v>
      </x:c>
      <x:c r="F17" s="143" t="n">
        <x:v>400</x:v>
      </x:c>
      <x:c r="G17" s="197" t="n">
        <x:f>F17/1000</x:f>
        <x:v>0.4</x:v>
      </x:c>
      <x:c r="H17" s="143" t="n">
        <x:v>2040</x:v>
      </x:c>
      <x:c r="I17" s="143" t="str">
        <x:v>S03 Figure 3</x:v>
      </x:c>
      <x:c r="J17" s="143" t="n">
        <x:f>F17-SUMIFS($F:$F,$B:$B,"2040_BASE",$D:$D,D17,$E:$E,E17)</x:f>
        <x:v>0</x:v>
      </x:c>
      <x:c r="K17" s="83" t="str">
        <x:v>Yes</x:v>
      </x:c>
      <x:c r="L17" s="83" t="str">
        <x:v>Direct source</x:v>
      </x:c>
      <x:c r="M17" s="83" t="str">
        <x:v>PDS 2025 Figure 3 full 2040 internal network; preferred central network case</x:v>
      </x:c>
      <x:c r="N17" s="83" t="str">
        <x:v>Use endogenous PyPSA-Eur borders where available; otherwise DDS 2030 totals plus separately approved project overlays</x:v>
      </x:c>
      <x:c r="O17" s="83" t="str"/>
    </x:row>
    <x:row r="18">
      <x:c r="A18" s="83" t="str">
        <x:v>VAR-014</x:v>
      </x:c>
      <x:c r="B18" s="83" t="str">
        <x:v>2040_BASE</x:v>
      </x:c>
      <x:c r="C18" s="83" t="n">
        <x:v>2040</x:v>
      </x:c>
      <x:c r="D18" s="83" t="str">
        <x:v>CORS</x:v>
      </x:c>
      <x:c r="E18" s="83" t="str">
        <x:v>CNOR</x:v>
      </x:c>
      <x:c r="F18" s="143" t="n">
        <x:v>400</x:v>
      </x:c>
      <x:c r="G18" s="197" t="n">
        <x:f>F18/1000</x:f>
        <x:v>0.4</x:v>
      </x:c>
      <x:c r="H18" s="143" t="n">
        <x:v>2040</x:v>
      </x:c>
      <x:c r="I18" s="143" t="str">
        <x:v>S03 Figure 3</x:v>
      </x:c>
      <x:c r="J18" s="143" t="n">
        <x:f>F18-SUMIFS($F:$F,$B:$B,"2040_BASE",$D:$D,D18,$E:$E,E18)</x:f>
        <x:v>0</x:v>
      </x:c>
      <x:c r="K18" s="83" t="str">
        <x:v>Yes</x:v>
      </x:c>
      <x:c r="L18" s="83" t="str">
        <x:v>Direct source</x:v>
      </x:c>
      <x:c r="M18" s="83" t="str">
        <x:v>PDS 2025 Figure 3 full 2040 internal network; preferred central network case</x:v>
      </x:c>
      <x:c r="N18" s="83" t="str">
        <x:v>Use endogenous PyPSA-Eur borders where available; otherwise DDS 2030 totals plus separately approved project overlays</x:v>
      </x:c>
      <x:c r="O18" s="83" t="str"/>
    </x:row>
    <x:row r="19">
      <x:c r="A19" s="83" t="str">
        <x:v>VAR-015</x:v>
      </x:c>
      <x:c r="B19" s="83" t="str">
        <x:v>2040_BASE</x:v>
      </x:c>
      <x:c r="C19" s="83" t="n">
        <x:v>2040</x:v>
      </x:c>
      <x:c r="D19" s="83" t="str">
        <x:v>CORS</x:v>
      </x:c>
      <x:c r="E19" s="83" t="str">
        <x:v>SARD</x:v>
      </x:c>
      <x:c r="F19" s="143" t="n">
        <x:v>400</x:v>
      </x:c>
      <x:c r="G19" s="197" t="n">
        <x:f>F19/1000</x:f>
        <x:v>0.4</x:v>
      </x:c>
      <x:c r="H19" s="143" t="n">
        <x:v>2040</x:v>
      </x:c>
      <x:c r="I19" s="143" t="str">
        <x:v>S03 Figure 3</x:v>
      </x:c>
      <x:c r="J19" s="143" t="n">
        <x:f>F19-SUMIFS($F:$F,$B:$B,"2040_BASE",$D:$D,D19,$E:$E,E19)</x:f>
        <x:v>0</x:v>
      </x:c>
      <x:c r="K19" s="83" t="str">
        <x:v>Yes</x:v>
      </x:c>
      <x:c r="L19" s="83" t="str">
        <x:v>Direct source</x:v>
      </x:c>
      <x:c r="M19" s="83" t="str">
        <x:v>PDS 2025 Figure 3 full 2040 internal network; preferred central network case</x:v>
      </x:c>
      <x:c r="N19" s="83" t="str">
        <x:v>Use endogenous PyPSA-Eur borders where available; otherwise DDS 2030 totals plus separately approved project overlays</x:v>
      </x:c>
      <x:c r="O19" s="83" t="str"/>
    </x:row>
    <x:row r="20">
      <x:c r="A20" s="83" t="str">
        <x:v>VAR-016</x:v>
      </x:c>
      <x:c r="B20" s="83" t="str">
        <x:v>2040_BASE</x:v>
      </x:c>
      <x:c r="C20" s="83" t="n">
        <x:v>2040</x:v>
      </x:c>
      <x:c r="D20" s="83" t="str">
        <x:v>SARD</x:v>
      </x:c>
      <x:c r="E20" s="83" t="str">
        <x:v>CORS</x:v>
      </x:c>
      <x:c r="F20" s="143" t="n">
        <x:v>400</x:v>
      </x:c>
      <x:c r="G20" s="197" t="n">
        <x:f>F20/1000</x:f>
        <x:v>0.4</x:v>
      </x:c>
      <x:c r="H20" s="143" t="n">
        <x:v>2040</x:v>
      </x:c>
      <x:c r="I20" s="143" t="str">
        <x:v>S03 Figure 3</x:v>
      </x:c>
      <x:c r="J20" s="143" t="n">
        <x:f>F20-SUMIFS($F:$F,$B:$B,"2040_BASE",$D:$D,D20,$E:$E,E20)</x:f>
        <x:v>0</x:v>
      </x:c>
      <x:c r="K20" s="83" t="str">
        <x:v>Yes</x:v>
      </x:c>
      <x:c r="L20" s="83" t="str">
        <x:v>Direct source</x:v>
      </x:c>
      <x:c r="M20" s="83" t="str">
        <x:v>PDS 2025 Figure 3 full 2040 internal network; preferred central network case</x:v>
      </x:c>
      <x:c r="N20" s="83" t="str">
        <x:v>Use endogenous PyPSA-Eur borders where available; otherwise DDS 2030 totals plus separately approved project overlays</x:v>
      </x:c>
      <x:c r="O20" s="83" t="str"/>
    </x:row>
    <x:row r="21">
      <x:c r="A21" s="83" t="str">
        <x:v>VAR-017</x:v>
      </x:c>
      <x:c r="B21" s="83" t="str">
        <x:v>2040_BASE</x:v>
      </x:c>
      <x:c r="C21" s="83" t="n">
        <x:v>2040</x:v>
      </x:c>
      <x:c r="D21" s="83" t="str">
        <x:v>NORD</x:v>
      </x:c>
      <x:c r="E21" s="83" t="str">
        <x:v>SUD</x:v>
      </x:c>
      <x:c r="F21" s="143" t="n">
        <x:v>2100</x:v>
      </x:c>
      <x:c r="G21" s="197" t="n">
        <x:f>F21/1000</x:f>
        <x:v>2.1</x:v>
      </x:c>
      <x:c r="H21" s="143" t="n">
        <x:v>2040</x:v>
      </x:c>
      <x:c r="I21" s="143" t="str">
        <x:v>S03 Figure 3</x:v>
      </x:c>
      <x:c r="J21" s="143" t="n">
        <x:f>F21-SUMIFS($F:$F,$B:$B,"2040_BASE",$D:$D,D21,$E:$E,E21)</x:f>
        <x:v>0</x:v>
      </x:c>
      <x:c r="K21" s="83" t="str">
        <x:v>Yes</x:v>
      </x:c>
      <x:c r="L21" s="83" t="str">
        <x:v>Direct source</x:v>
      </x:c>
      <x:c r="M21" s="83" t="str">
        <x:v>PDS 2025 Figure 3 full 2040 internal network; preferred central network case</x:v>
      </x:c>
      <x:c r="N21" s="83" t="str">
        <x:v>Use endogenous PyPSA-Eur borders where available; otherwise DDS 2030 totals plus separately approved project overlays</x:v>
      </x:c>
      <x:c r="O21" s="83" t="str"/>
    </x:row>
    <x:row r="22">
      <x:c r="A22" s="83" t="str">
        <x:v>VAR-018</x:v>
      </x:c>
      <x:c r="B22" s="83" t="str">
        <x:v>2040_BASE</x:v>
      </x:c>
      <x:c r="C22" s="83" t="n">
        <x:v>2040</x:v>
      </x:c>
      <x:c r="D22" s="83" t="str">
        <x:v>SUD</x:v>
      </x:c>
      <x:c r="E22" s="83" t="str">
        <x:v>NORD</x:v>
      </x:c>
      <x:c r="F22" s="143" t="n">
        <x:v>2100</x:v>
      </x:c>
      <x:c r="G22" s="197" t="n">
        <x:f>F22/1000</x:f>
        <x:v>2.1</x:v>
      </x:c>
      <x:c r="H22" s="143" t="n">
        <x:v>2040</x:v>
      </x:c>
      <x:c r="I22" s="143" t="str">
        <x:v>S03 Figure 3</x:v>
      </x:c>
      <x:c r="J22" s="143" t="n">
        <x:f>F22-SUMIFS($F:$F,$B:$B,"2040_BASE",$D:$D,D22,$E:$E,E22)</x:f>
        <x:v>0</x:v>
      </x:c>
      <x:c r="K22" s="83" t="str">
        <x:v>Yes</x:v>
      </x:c>
      <x:c r="L22" s="83" t="str">
        <x:v>Direct source</x:v>
      </x:c>
      <x:c r="M22" s="83" t="str">
        <x:v>PDS 2025 Figure 3 full 2040 internal network; preferred central network case</x:v>
      </x:c>
      <x:c r="N22" s="83" t="str">
        <x:v>Use endogenous PyPSA-Eur borders where available; otherwise DDS 2030 totals plus separately approved project overlays</x:v>
      </x:c>
      <x:c r="O22" s="83" t="str"/>
    </x:row>
    <x:row r="23">
      <x:c r="A23" s="83" t="str">
        <x:v>VAR-019</x:v>
      </x:c>
      <x:c r="B23" s="83" t="str">
        <x:v>2040_BASE</x:v>
      </x:c>
      <x:c r="C23" s="83" t="n">
        <x:v>2040</x:v>
      </x:c>
      <x:c r="D23" s="83" t="str">
        <x:v>NORD</x:v>
      </x:c>
      <x:c r="E23" s="83" t="str">
        <x:v>CSUD</x:v>
      </x:c>
      <x:c r="F23" s="143" t="n">
        <x:v>2100</x:v>
      </x:c>
      <x:c r="G23" s="197" t="n">
        <x:f>F23/1000</x:f>
        <x:v>2.1</x:v>
      </x:c>
      <x:c r="H23" s="143" t="n">
        <x:v>2040</x:v>
      </x:c>
      <x:c r="I23" s="143" t="str">
        <x:v>S03 Figure 3</x:v>
      </x:c>
      <x:c r="J23" s="143" t="n">
        <x:f>F23-SUMIFS($F:$F,$B:$B,"2040_BASE",$D:$D,D23,$E:$E,E23)</x:f>
        <x:v>0</x:v>
      </x:c>
      <x:c r="K23" s="83" t="str">
        <x:v>Yes</x:v>
      </x:c>
      <x:c r="L23" s="83" t="str">
        <x:v>Direct source</x:v>
      </x:c>
      <x:c r="M23" s="83" t="str">
        <x:v>PDS 2025 Figure 3 full 2040 internal network; preferred central network case</x:v>
      </x:c>
      <x:c r="N23" s="83" t="str">
        <x:v>Use endogenous PyPSA-Eur borders where available; otherwise DDS 2030 totals plus separately approved project overlays</x:v>
      </x:c>
      <x:c r="O23" s="83" t="str"/>
    </x:row>
    <x:row r="24">
      <x:c r="A24" s="83" t="str">
        <x:v>VAR-020</x:v>
      </x:c>
      <x:c r="B24" s="83" t="str">
        <x:v>2040_BASE</x:v>
      </x:c>
      <x:c r="C24" s="83" t="n">
        <x:v>2040</x:v>
      </x:c>
      <x:c r="D24" s="83" t="str">
        <x:v>CSUD</x:v>
      </x:c>
      <x:c r="E24" s="83" t="str">
        <x:v>NORD</x:v>
      </x:c>
      <x:c r="F24" s="143" t="n">
        <x:v>2100</x:v>
      </x:c>
      <x:c r="G24" s="197" t="n">
        <x:f>F24/1000</x:f>
        <x:v>2.1</x:v>
      </x:c>
      <x:c r="H24" s="143" t="n">
        <x:v>2040</x:v>
      </x:c>
      <x:c r="I24" s="143" t="str">
        <x:v>S03 Figure 3</x:v>
      </x:c>
      <x:c r="J24" s="143" t="n">
        <x:f>F24-SUMIFS($F:$F,$B:$B,"2040_BASE",$D:$D,D24,$E:$E,E24)</x:f>
        <x:v>0</x:v>
      </x:c>
      <x:c r="K24" s="83" t="str">
        <x:v>Yes</x:v>
      </x:c>
      <x:c r="L24" s="83" t="str">
        <x:v>Direct source</x:v>
      </x:c>
      <x:c r="M24" s="83" t="str">
        <x:v>PDS 2025 Figure 3 full 2040 internal network; preferred central network case</x:v>
      </x:c>
      <x:c r="N24" s="83" t="str">
        <x:v>Use endogenous PyPSA-Eur borders where available; otherwise DDS 2030 totals plus separately approved project overlays</x:v>
      </x:c>
      <x:c r="O24" s="83" t="str"/>
    </x:row>
    <x:row r="25">
      <x:c r="A25" s="83" t="str">
        <x:v>VAR-021</x:v>
      </x:c>
      <x:c r="B25" s="83" t="str">
        <x:v>2040_BASE</x:v>
      </x:c>
      <x:c r="C25" s="83" t="n">
        <x:v>2040</x:v>
      </x:c>
      <x:c r="D25" s="83" t="str">
        <x:v>CSUD</x:v>
      </x:c>
      <x:c r="E25" s="83" t="str">
        <x:v>SICI</x:v>
      </x:c>
      <x:c r="F25" s="143" t="n">
        <x:v>1000</x:v>
      </x:c>
      <x:c r="G25" s="197" t="n">
        <x:f>F25/1000</x:f>
        <x:v>1</x:v>
      </x:c>
      <x:c r="H25" s="143" t="n">
        <x:v>2040</x:v>
      </x:c>
      <x:c r="I25" s="143" t="str">
        <x:v>S03 Figure 3</x:v>
      </x:c>
      <x:c r="J25" s="143" t="n">
        <x:f>F25-SUMIFS($F:$F,$B:$B,"2040_BASE",$D:$D,D25,$E:$E,E25)</x:f>
        <x:v>0</x:v>
      </x:c>
      <x:c r="K25" s="83" t="str">
        <x:v>Yes</x:v>
      </x:c>
      <x:c r="L25" s="83" t="str">
        <x:v>Direct source</x:v>
      </x:c>
      <x:c r="M25" s="83" t="str">
        <x:v>PDS 2025 Figure 3 full 2040 internal network; preferred central network case</x:v>
      </x:c>
      <x:c r="N25" s="83" t="str">
        <x:v>Use endogenous PyPSA-Eur borders where available; otherwise DDS 2030 totals plus separately approved project overlays</x:v>
      </x:c>
      <x:c r="O25" s="83" t="str"/>
    </x:row>
    <x:row r="26">
      <x:c r="A26" s="83" t="str">
        <x:v>VAR-022</x:v>
      </x:c>
      <x:c r="B26" s="83" t="str">
        <x:v>2040_BASE</x:v>
      </x:c>
      <x:c r="C26" s="83" t="n">
        <x:v>2040</x:v>
      </x:c>
      <x:c r="D26" s="83" t="str">
        <x:v>SICI</x:v>
      </x:c>
      <x:c r="E26" s="83" t="str">
        <x:v>CSUD</x:v>
      </x:c>
      <x:c r="F26" s="143" t="n">
        <x:v>1000</x:v>
      </x:c>
      <x:c r="G26" s="197" t="n">
        <x:f>F26/1000</x:f>
        <x:v>1</x:v>
      </x:c>
      <x:c r="H26" s="143" t="n">
        <x:v>2040</x:v>
      </x:c>
      <x:c r="I26" s="143" t="str">
        <x:v>S03 Figure 3</x:v>
      </x:c>
      <x:c r="J26" s="143" t="n">
        <x:f>F26-SUMIFS($F:$F,$B:$B,"2040_BASE",$D:$D,D26,$E:$E,E26)</x:f>
        <x:v>0</x:v>
      </x:c>
      <x:c r="K26" s="83" t="str">
        <x:v>Yes</x:v>
      </x:c>
      <x:c r="L26" s="83" t="str">
        <x:v>Direct source</x:v>
      </x:c>
      <x:c r="M26" s="83" t="str">
        <x:v>PDS 2025 Figure 3 full 2040 internal network; preferred central network case</x:v>
      </x:c>
      <x:c r="N26" s="83" t="str">
        <x:v>Use endogenous PyPSA-Eur borders where available; otherwise DDS 2030 totals plus separately approved project overlays</x:v>
      </x:c>
      <x:c r="O26" s="83" t="str"/>
    </x:row>
    <x:row r="27">
      <x:c r="A27" s="83" t="str">
        <x:v>VAR-023</x:v>
      </x:c>
      <x:c r="B27" s="83" t="str">
        <x:v>2040_BASE</x:v>
      </x:c>
      <x:c r="C27" s="83" t="n">
        <x:v>2040</x:v>
      </x:c>
      <x:c r="D27" s="83" t="str">
        <x:v>SARD</x:v>
      </x:c>
      <x:c r="E27" s="83" t="str">
        <x:v>SICI</x:v>
      </x:c>
      <x:c r="F27" s="143" t="n">
        <x:v>1000</x:v>
      </x:c>
      <x:c r="G27" s="197" t="n">
        <x:f>F27/1000</x:f>
        <x:v>1</x:v>
      </x:c>
      <x:c r="H27" s="143" t="n">
        <x:v>2040</x:v>
      </x:c>
      <x:c r="I27" s="143" t="str">
        <x:v>S03 Figure 3</x:v>
      </x:c>
      <x:c r="J27" s="143" t="n">
        <x:f>F27-SUMIFS($F:$F,$B:$B,"2040_BASE",$D:$D,D27,$E:$E,E27)</x:f>
        <x:v>0</x:v>
      </x:c>
      <x:c r="K27" s="83" t="str">
        <x:v>Yes</x:v>
      </x:c>
      <x:c r="L27" s="83" t="str">
        <x:v>Direct source</x:v>
      </x:c>
      <x:c r="M27" s="83" t="str">
        <x:v>PDS 2025 Figure 3 full 2040 internal network; preferred central network case</x:v>
      </x:c>
      <x:c r="N27" s="83" t="str">
        <x:v>Use endogenous PyPSA-Eur borders where available; otherwise DDS 2030 totals plus separately approved project overlays</x:v>
      </x:c>
      <x:c r="O27" s="83" t="str"/>
    </x:row>
    <x:row r="28">
      <x:c r="A28" s="83" t="str">
        <x:v>VAR-024</x:v>
      </x:c>
      <x:c r="B28" s="83" t="str">
        <x:v>2040_BASE</x:v>
      </x:c>
      <x:c r="C28" s="83" t="n">
        <x:v>2040</x:v>
      </x:c>
      <x:c r="D28" s="83" t="str">
        <x:v>SICI</x:v>
      </x:c>
      <x:c r="E28" s="83" t="str">
        <x:v>SARD</x:v>
      </x:c>
      <x:c r="F28" s="143" t="n">
        <x:v>1000</x:v>
      </x:c>
      <x:c r="G28" s="197" t="n">
        <x:f>F28/1000</x:f>
        <x:v>1</x:v>
      </x:c>
      <x:c r="H28" s="143" t="n">
        <x:v>2040</x:v>
      </x:c>
      <x:c r="I28" s="143" t="str">
        <x:v>S03 Figure 3</x:v>
      </x:c>
      <x:c r="J28" s="143" t="n">
        <x:f>F28-SUMIFS($F:$F,$B:$B,"2040_BASE",$D:$D,D28,$E:$E,E28)</x:f>
        <x:v>0</x:v>
      </x:c>
      <x:c r="K28" s="83" t="str">
        <x:v>Yes</x:v>
      </x:c>
      <x:c r="L28" s="83" t="str">
        <x:v>Direct source</x:v>
      </x:c>
      <x:c r="M28" s="83" t="str">
        <x:v>PDS 2025 Figure 3 full 2040 internal network; preferred central network case</x:v>
      </x:c>
      <x:c r="N28" s="83" t="str">
        <x:v>Use endogenous PyPSA-Eur borders where available; otherwise DDS 2030 totals plus separately approved project overlays</x:v>
      </x:c>
      <x:c r="O28" s="83" t="str"/>
    </x:row>
    <x:row r="29">
      <x:c r="A29" s="83" t="str">
        <x:v>VAR-025</x:v>
      </x:c>
      <x:c r="B29" s="83" t="str">
        <x:v>2040_CONSERVATIVE</x:v>
      </x:c>
      <x:c r="C29" s="83" t="n">
        <x:v>2040</x:v>
      </x:c>
      <x:c r="D29" s="83" t="str">
        <x:v>NORD</x:v>
      </x:c>
      <x:c r="E29" s="83" t="str">
        <x:v>CNOR</x:v>
      </x:c>
      <x:c r="F29" s="143" t="n">
        <x:v>6100</x:v>
      </x:c>
      <x:c r="G29" s="197" t="n">
        <x:f>F29/1000</x:f>
        <x:v>6.1</x:v>
      </x:c>
      <x:c r="H29" s="143" t="n">
        <x:v>2035</x:v>
      </x:c>
      <x:c r="I29" s="143" t="str">
        <x:v>S03 Figure 3</x:v>
      </x:c>
      <x:c r="J29" s="143" t="n">
        <x:f>F29-SUMIFS($F:$F,$B:$B,"2040_BASE",$D:$D,D29,$E:$E,E29)</x:f>
        <x:v>0</x:v>
      </x:c>
      <x:c r="K29" s="83" t="str">
        <x:v>Yes</x:v>
      </x:c>
      <x:c r="L29" s="83" t="str">
        <x:v>Delay sensitivity</x:v>
      </x:c>
      <x:c r="M29" s="83" t="str">
        <x:v>Hold PDS 2025 capacities at the 2035 horizon to represent delay of post-2035 projects</x:v>
      </x:c>
      <x:c r="N29" s="83" t="str">
        <x:v>Use endogenous PyPSA-Eur borders where available; otherwise DDS 2030 totals plus separately approved project overlays</x:v>
      </x:c>
      <x:c r="O29" s="83" t="str"/>
    </x:row>
    <x:row r="30">
      <x:c r="A30" s="83" t="str">
        <x:v>VAR-026</x:v>
      </x:c>
      <x:c r="B30" s="83" t="str">
        <x:v>2040_CONSERVATIVE</x:v>
      </x:c>
      <x:c r="C30" s="83" t="n">
        <x:v>2040</x:v>
      </x:c>
      <x:c r="D30" s="83" t="str">
        <x:v>CNOR</x:v>
      </x:c>
      <x:c r="E30" s="83" t="str">
        <x:v>NORD</x:v>
      </x:c>
      <x:c r="F30" s="143" t="n">
        <x:v>5300</x:v>
      </x:c>
      <x:c r="G30" s="197" t="n">
        <x:f>F30/1000</x:f>
        <x:v>5.3</x:v>
      </x:c>
      <x:c r="H30" s="143" t="n">
        <x:v>2035</x:v>
      </x:c>
      <x:c r="I30" s="143" t="str">
        <x:v>S03 Figure 3</x:v>
      </x:c>
      <x:c r="J30" s="143" t="n">
        <x:f>F30-SUMIFS($F:$F,$B:$B,"2040_BASE",$D:$D,D30,$E:$E,E30)</x:f>
        <x:v>0</x:v>
      </x:c>
      <x:c r="K30" s="83" t="str">
        <x:v>Yes</x:v>
      </x:c>
      <x:c r="L30" s="83" t="str">
        <x:v>Delay sensitivity</x:v>
      </x:c>
      <x:c r="M30" s="83" t="str">
        <x:v>Hold PDS 2025 capacities at the 2035 horizon to represent delay of post-2035 projects</x:v>
      </x:c>
      <x:c r="N30" s="83" t="str">
        <x:v>Use endogenous PyPSA-Eur borders where available; otherwise DDS 2030 totals plus separately approved project overlays</x:v>
      </x:c>
      <x:c r="O30" s="83" t="str"/>
    </x:row>
    <x:row r="31">
      <x:c r="A31" s="83" t="str">
        <x:v>VAR-027</x:v>
      </x:c>
      <x:c r="B31" s="83" t="str">
        <x:v>2040_CONSERVATIVE</x:v>
      </x:c>
      <x:c r="C31" s="83" t="n">
        <x:v>2040</x:v>
      </x:c>
      <x:c r="D31" s="83" t="str">
        <x:v>CNOR</x:v>
      </x:c>
      <x:c r="E31" s="83" t="str">
        <x:v>CSUD</x:v>
      </x:c>
      <x:c r="F31" s="143" t="n">
        <x:v>5200</x:v>
      </x:c>
      <x:c r="G31" s="197" t="n">
        <x:f>F31/1000</x:f>
        <x:v>5.2</x:v>
      </x:c>
      <x:c r="H31" s="143" t="n">
        <x:v>2035</x:v>
      </x:c>
      <x:c r="I31" s="143" t="str">
        <x:v>S03 Figure 3</x:v>
      </x:c>
      <x:c r="J31" s="143" t="n">
        <x:f>F31-SUMIFS($F:$F,$B:$B,"2040_BASE",$D:$D,D31,$E:$E,E31)</x:f>
        <x:v>-200</x:v>
      </x:c>
      <x:c r="K31" s="83" t="str">
        <x:v>Yes</x:v>
      </x:c>
      <x:c r="L31" s="83" t="str">
        <x:v>Delay sensitivity</x:v>
      </x:c>
      <x:c r="M31" s="83" t="str">
        <x:v>Hold PDS 2025 capacities at the 2035 horizon to represent delay of post-2035 projects</x:v>
      </x:c>
      <x:c r="N31" s="83" t="str">
        <x:v>Use endogenous PyPSA-Eur borders where available; otherwise DDS 2030 totals plus separately approved project overlays</x:v>
      </x:c>
      <x:c r="O31" s="83" t="str"/>
    </x:row>
    <x:row r="32">
      <x:c r="A32" s="83" t="str">
        <x:v>VAR-028</x:v>
      </x:c>
      <x:c r="B32" s="83" t="str">
        <x:v>2040_CONSERVATIVE</x:v>
      </x:c>
      <x:c r="C32" s="83" t="n">
        <x:v>2040</x:v>
      </x:c>
      <x:c r="D32" s="83" t="str">
        <x:v>CSUD</x:v>
      </x:c>
      <x:c r="E32" s="83" t="str">
        <x:v>CNOR</x:v>
      </x:c>
      <x:c r="F32" s="143" t="n">
        <x:v>5900</x:v>
      </x:c>
      <x:c r="G32" s="197" t="n">
        <x:f>F32/1000</x:f>
        <x:v>5.9</x:v>
      </x:c>
      <x:c r="H32" s="143" t="n">
        <x:v>2035</x:v>
      </x:c>
      <x:c r="I32" s="143" t="str">
        <x:v>S03 Figure 3</x:v>
      </x:c>
      <x:c r="J32" s="143" t="n">
        <x:f>F32-SUMIFS($F:$F,$B:$B,"2040_BASE",$D:$D,D32,$E:$E,E32)</x:f>
        <x:v>-200</x:v>
      </x:c>
      <x:c r="K32" s="83" t="str">
        <x:v>Yes</x:v>
      </x:c>
      <x:c r="L32" s="83" t="str">
        <x:v>Delay sensitivity</x:v>
      </x:c>
      <x:c r="M32" s="83" t="str">
        <x:v>Hold PDS 2025 capacities at the 2035 horizon to represent delay of post-2035 projects</x:v>
      </x:c>
      <x:c r="N32" s="83" t="str">
        <x:v>Use endogenous PyPSA-Eur borders where available; otherwise DDS 2030 totals plus separately approved project overlays</x:v>
      </x:c>
      <x:c r="O32" s="83" t="str"/>
    </x:row>
    <x:row r="33">
      <x:c r="A33" s="83" t="str">
        <x:v>VAR-029</x:v>
      </x:c>
      <x:c r="B33" s="83" t="str">
        <x:v>2040_CONSERVATIVE</x:v>
      </x:c>
      <x:c r="C33" s="83" t="n">
        <x:v>2040</x:v>
      </x:c>
      <x:c r="D33" s="83" t="str">
        <x:v>CSUD</x:v>
      </x:c>
      <x:c r="E33" s="83" t="str">
        <x:v>SUD</x:v>
      </x:c>
      <x:c r="F33" s="143" t="n">
        <x:v>3900</x:v>
      </x:c>
      <x:c r="G33" s="197" t="n">
        <x:f>F33/1000</x:f>
        <x:v>3.9</x:v>
      </x:c>
      <x:c r="H33" s="143" t="n">
        <x:v>2035</x:v>
      </x:c>
      <x:c r="I33" s="143" t="str">
        <x:v>S03 Figure 3</x:v>
      </x:c>
      <x:c r="J33" s="143" t="n">
        <x:f>F33-SUMIFS($F:$F,$B:$B,"2040_BASE",$D:$D,D33,$E:$E,E33)</x:f>
        <x:v>-2400</x:v>
      </x:c>
      <x:c r="K33" s="83" t="str">
        <x:v>Yes</x:v>
      </x:c>
      <x:c r="L33" s="83" t="str">
        <x:v>Delay sensitivity</x:v>
      </x:c>
      <x:c r="M33" s="83" t="str">
        <x:v>Hold PDS 2025 capacities at the 2035 horizon to represent delay of post-2035 projects</x:v>
      </x:c>
      <x:c r="N33" s="83" t="str">
        <x:v>Use endogenous PyPSA-Eur borders where available; otherwise DDS 2030 totals plus separately approved project overlays</x:v>
      </x:c>
      <x:c r="O33" s="83" t="str"/>
    </x:row>
    <x:row r="34">
      <x:c r="A34" s="83" t="str">
        <x:v>VAR-030</x:v>
      </x:c>
      <x:c r="B34" s="83" t="str">
        <x:v>2040_CONSERVATIVE</x:v>
      </x:c>
      <x:c r="C34" s="83" t="n">
        <x:v>2040</x:v>
      </x:c>
      <x:c r="D34" s="83" t="str">
        <x:v>SUD</x:v>
      </x:c>
      <x:c r="E34" s="83" t="str">
        <x:v>CSUD</x:v>
      </x:c>
      <x:c r="F34" s="143" t="n">
        <x:v>6700</x:v>
      </x:c>
      <x:c r="G34" s="197" t="n">
        <x:f>F34/1000</x:f>
        <x:v>6.7</x:v>
      </x:c>
      <x:c r="H34" s="143" t="n">
        <x:v>2035</x:v>
      </x:c>
      <x:c r="I34" s="143" t="str">
        <x:v>S03 Figure 3</x:v>
      </x:c>
      <x:c r="J34" s="143" t="n">
        <x:f>F34-SUMIFS($F:$F,$B:$B,"2040_BASE",$D:$D,D34,$E:$E,E34)</x:f>
        <x:v>-2400</x:v>
      </x:c>
      <x:c r="K34" s="83" t="str">
        <x:v>Yes</x:v>
      </x:c>
      <x:c r="L34" s="83" t="str">
        <x:v>Delay sensitivity</x:v>
      </x:c>
      <x:c r="M34" s="83" t="str">
        <x:v>Hold PDS 2025 capacities at the 2035 horizon to represent delay of post-2035 projects</x:v>
      </x:c>
      <x:c r="N34" s="83" t="str">
        <x:v>Use endogenous PyPSA-Eur borders where available; otherwise DDS 2030 totals plus separately approved project overlays</x:v>
      </x:c>
      <x:c r="O34" s="83" t="str"/>
    </x:row>
    <x:row r="35">
      <x:c r="A35" s="83" t="str">
        <x:v>VAR-031</x:v>
      </x:c>
      <x:c r="B35" s="83" t="str">
        <x:v>2040_CONSERVATIVE</x:v>
      </x:c>
      <x:c r="C35" s="83" t="n">
        <x:v>2040</x:v>
      </x:c>
      <x:c r="D35" s="83" t="str">
        <x:v>SUD</x:v>
      </x:c>
      <x:c r="E35" s="83" t="str">
        <x:v>CALA</x:v>
      </x:c>
      <x:c r="F35" s="143" t="n">
        <x:v>2000</x:v>
      </x:c>
      <x:c r="G35" s="197" t="n">
        <x:f>F35/1000</x:f>
        <x:v>2</x:v>
      </x:c>
      <x:c r="H35" s="143" t="n">
        <x:v>2035</x:v>
      </x:c>
      <x:c r="I35" s="143" t="str">
        <x:v>S03 Figure 3</x:v>
      </x:c>
      <x:c r="J35" s="143" t="n">
        <x:f>F35-SUMIFS($F:$F,$B:$B,"2040_BASE",$D:$D,D35,$E:$E,E35)</x:f>
        <x:v>-2100</x:v>
      </x:c>
      <x:c r="K35" s="83" t="str">
        <x:v>Yes</x:v>
      </x:c>
      <x:c r="L35" s="83" t="str">
        <x:v>Delay sensitivity</x:v>
      </x:c>
      <x:c r="M35" s="83" t="str">
        <x:v>Hold PDS 2025 capacities at the 2035 horizon to represent delay of post-2035 projects</x:v>
      </x:c>
      <x:c r="N35" s="83" t="str">
        <x:v>Use endogenous PyPSA-Eur borders where available; otherwise DDS 2030 totals plus separately approved project overlays</x:v>
      </x:c>
      <x:c r="O35" s="83" t="str"/>
    </x:row>
    <x:row r="36">
      <x:c r="A36" s="83" t="str">
        <x:v>VAR-032</x:v>
      </x:c>
      <x:c r="B36" s="83" t="str">
        <x:v>2040_CONSERVATIVE</x:v>
      </x:c>
      <x:c r="C36" s="83" t="n">
        <x:v>2040</x:v>
      </x:c>
      <x:c r="D36" s="83" t="str">
        <x:v>CALA</x:v>
      </x:c>
      <x:c r="E36" s="83" t="str">
        <x:v>SUD</x:v>
      </x:c>
      <x:c r="F36" s="143" t="n">
        <x:v>3250</x:v>
      </x:c>
      <x:c r="G36" s="197" t="n">
        <x:f>F36/1000</x:f>
        <x:v>3.25</x:v>
      </x:c>
      <x:c r="H36" s="143" t="n">
        <x:v>2035</x:v>
      </x:c>
      <x:c r="I36" s="143" t="str">
        <x:v>S03 Figure 3</x:v>
      </x:c>
      <x:c r="J36" s="143" t="n">
        <x:f>F36-SUMIFS($F:$F,$B:$B,"2040_BASE",$D:$D,D36,$E:$E,E36)</x:f>
        <x:v>-2100</x:v>
      </x:c>
      <x:c r="K36" s="83" t="str">
        <x:v>Yes</x:v>
      </x:c>
      <x:c r="L36" s="83" t="str">
        <x:v>Delay sensitivity</x:v>
      </x:c>
      <x:c r="M36" s="83" t="str">
        <x:v>Hold PDS 2025 capacities at the 2035 horizon to represent delay of post-2035 projects</x:v>
      </x:c>
      <x:c r="N36" s="83" t="str">
        <x:v>Use endogenous PyPSA-Eur borders where available; otherwise DDS 2030 totals plus separately approved project overlays</x:v>
      </x:c>
      <x:c r="O36" s="83" t="str"/>
    </x:row>
    <x:row r="37">
      <x:c r="A37" s="83" t="str">
        <x:v>VAR-033</x:v>
      </x:c>
      <x:c r="B37" s="83" t="str">
        <x:v>2040_CONSERVATIVE</x:v>
      </x:c>
      <x:c r="C37" s="83" t="n">
        <x:v>2040</x:v>
      </x:c>
      <x:c r="D37" s="83" t="str">
        <x:v>CALA</x:v>
      </x:c>
      <x:c r="E37" s="83" t="str">
        <x:v>SICI</x:v>
      </x:c>
      <x:c r="F37" s="143" t="n">
        <x:v>2050</x:v>
      </x:c>
      <x:c r="G37" s="197" t="n">
        <x:f>F37/1000</x:f>
        <x:v>2.05</x:v>
      </x:c>
      <x:c r="H37" s="143" t="n">
        <x:v>2035</x:v>
      </x:c>
      <x:c r="I37" s="143" t="str">
        <x:v>S03 Figure 3</x:v>
      </x:c>
      <x:c r="J37" s="143" t="n">
        <x:f>F37-SUMIFS($F:$F,$B:$B,"2040_BASE",$D:$D,D37,$E:$E,E37)</x:f>
        <x:v>-2100</x:v>
      </x:c>
      <x:c r="K37" s="83" t="str">
        <x:v>Yes</x:v>
      </x:c>
      <x:c r="L37" s="83" t="str">
        <x:v>Delay sensitivity</x:v>
      </x:c>
      <x:c r="M37" s="83" t="str">
        <x:v>Hold PDS 2025 capacities at the 2035 horizon to represent delay of post-2035 projects</x:v>
      </x:c>
      <x:c r="N37" s="83" t="str">
        <x:v>Use endogenous PyPSA-Eur borders where available; otherwise DDS 2030 totals plus separately approved project overlays</x:v>
      </x:c>
      <x:c r="O37" s="83" t="str"/>
    </x:row>
    <x:row r="38">
      <x:c r="A38" s="83" t="str">
        <x:v>VAR-034</x:v>
      </x:c>
      <x:c r="B38" s="83" t="str">
        <x:v>2040_CONSERVATIVE</x:v>
      </x:c>
      <x:c r="C38" s="83" t="n">
        <x:v>2040</x:v>
      </x:c>
      <x:c r="D38" s="83" t="str">
        <x:v>SICI</x:v>
      </x:c>
      <x:c r="E38" s="83" t="str">
        <x:v>CALA</x:v>
      </x:c>
      <x:c r="F38" s="143" t="n">
        <x:v>2000</x:v>
      </x:c>
      <x:c r="G38" s="197" t="n">
        <x:f>F38/1000</x:f>
        <x:v>2</x:v>
      </x:c>
      <x:c r="H38" s="143" t="n">
        <x:v>2035</x:v>
      </x:c>
      <x:c r="I38" s="143" t="str">
        <x:v>S03 Figure 3</x:v>
      </x:c>
      <x:c r="J38" s="143" t="n">
        <x:f>F38-SUMIFS($F:$F,$B:$B,"2040_BASE",$D:$D,D38,$E:$E,E38)</x:f>
        <x:v>-2100</x:v>
      </x:c>
      <x:c r="K38" s="83" t="str">
        <x:v>Yes</x:v>
      </x:c>
      <x:c r="L38" s="83" t="str">
        <x:v>Delay sensitivity</x:v>
      </x:c>
      <x:c r="M38" s="83" t="str">
        <x:v>Hold PDS 2025 capacities at the 2035 horizon to represent delay of post-2035 projects</x:v>
      </x:c>
      <x:c r="N38" s="83" t="str">
        <x:v>Use endogenous PyPSA-Eur borders where available; otherwise DDS 2030 totals plus separately approved project overlays</x:v>
      </x:c>
      <x:c r="O38" s="83" t="str"/>
    </x:row>
    <x:row r="39">
      <x:c r="A39" s="83" t="str">
        <x:v>VAR-035</x:v>
      </x:c>
      <x:c r="B39" s="83" t="str">
        <x:v>2040_CONSERVATIVE</x:v>
      </x:c>
      <x:c r="C39" s="83" t="n">
        <x:v>2040</x:v>
      </x:c>
      <x:c r="D39" s="83" t="str">
        <x:v>CSUD</x:v>
      </x:c>
      <x:c r="E39" s="83" t="str">
        <x:v>SARD</x:v>
      </x:c>
      <x:c r="F39" s="143" t="n">
        <x:v>720</x:v>
      </x:c>
      <x:c r="G39" s="197" t="n">
        <x:f>F39/1000</x:f>
        <x:v>0.72</x:v>
      </x:c>
      <x:c r="H39" s="143" t="n">
        <x:v>2035</x:v>
      </x:c>
      <x:c r="I39" s="143" t="str">
        <x:v>S03 Figure 3</x:v>
      </x:c>
      <x:c r="J39" s="143" t="n">
        <x:f>F39-SUMIFS($F:$F,$B:$B,"2040_BASE",$D:$D,D39,$E:$E,E39)</x:f>
        <x:v>-1000</x:v>
      </x:c>
      <x:c r="K39" s="83" t="str">
        <x:v>Yes</x:v>
      </x:c>
      <x:c r="L39" s="83" t="str">
        <x:v>Delay sensitivity</x:v>
      </x:c>
      <x:c r="M39" s="83" t="str">
        <x:v>Hold PDS 2025 capacities at the 2035 horizon to represent delay of post-2035 projects</x:v>
      </x:c>
      <x:c r="N39" s="83" t="str">
        <x:v>Use endogenous PyPSA-Eur borders where available; otherwise DDS 2030 totals plus separately approved project overlays</x:v>
      </x:c>
      <x:c r="O39" s="83" t="str"/>
    </x:row>
    <x:row r="40">
      <x:c r="A40" s="83" t="str">
        <x:v>VAR-036</x:v>
      </x:c>
      <x:c r="B40" s="83" t="str">
        <x:v>2040_CONSERVATIVE</x:v>
      </x:c>
      <x:c r="C40" s="83" t="n">
        <x:v>2040</x:v>
      </x:c>
      <x:c r="D40" s="83" t="str">
        <x:v>SARD</x:v>
      </x:c>
      <x:c r="E40" s="83" t="str">
        <x:v>CSUD</x:v>
      </x:c>
      <x:c r="F40" s="143" t="n">
        <x:v>900</x:v>
      </x:c>
      <x:c r="G40" s="197" t="n">
        <x:f>F40/1000</x:f>
        <x:v>0.9</x:v>
      </x:c>
      <x:c r="H40" s="143" t="n">
        <x:v>2035</x:v>
      </x:c>
      <x:c r="I40" s="143" t="str">
        <x:v>S03 Figure 3</x:v>
      </x:c>
      <x:c r="J40" s="143" t="n">
        <x:f>F40-SUMIFS($F:$F,$B:$B,"2040_BASE",$D:$D,D40,$E:$E,E40)</x:f>
        <x:v>-1000</x:v>
      </x:c>
      <x:c r="K40" s="83" t="str">
        <x:v>Yes</x:v>
      </x:c>
      <x:c r="L40" s="83" t="str">
        <x:v>Delay sensitivity</x:v>
      </x:c>
      <x:c r="M40" s="83" t="str">
        <x:v>Hold PDS 2025 capacities at the 2035 horizon to represent delay of post-2035 projects</x:v>
      </x:c>
      <x:c r="N40" s="83" t="str">
        <x:v>Use endogenous PyPSA-Eur borders where available; otherwise DDS 2030 totals plus separately approved project overlays</x:v>
      </x:c>
      <x:c r="O40" s="83" t="str"/>
    </x:row>
    <x:row r="41">
      <x:c r="A41" s="83" t="str">
        <x:v>VAR-037</x:v>
      </x:c>
      <x:c r="B41" s="83" t="str">
        <x:v>2040_CONSERVATIVE</x:v>
      </x:c>
      <x:c r="C41" s="83" t="n">
        <x:v>2040</x:v>
      </x:c>
      <x:c r="D41" s="83" t="str">
        <x:v>CNOR</x:v>
      </x:c>
      <x:c r="E41" s="83" t="str">
        <x:v>CORS</x:v>
      </x:c>
      <x:c r="F41" s="143" t="n">
        <x:v>400</x:v>
      </x:c>
      <x:c r="G41" s="197" t="n">
        <x:f>F41/1000</x:f>
        <x:v>0.4</x:v>
      </x:c>
      <x:c r="H41" s="143" t="n">
        <x:v>2035</x:v>
      </x:c>
      <x:c r="I41" s="143" t="str">
        <x:v>S03 Figure 3</x:v>
      </x:c>
      <x:c r="J41" s="143" t="n">
        <x:f>F41-SUMIFS($F:$F,$B:$B,"2040_BASE",$D:$D,D41,$E:$E,E41)</x:f>
        <x:v>0</x:v>
      </x:c>
      <x:c r="K41" s="83" t="str">
        <x:v>Yes</x:v>
      </x:c>
      <x:c r="L41" s="83" t="str">
        <x:v>Delay sensitivity</x:v>
      </x:c>
      <x:c r="M41" s="83" t="str">
        <x:v>Hold PDS 2025 capacities at the 2035 horizon to represent delay of post-2035 projects</x:v>
      </x:c>
      <x:c r="N41" s="83" t="str">
        <x:v>Use endogenous PyPSA-Eur borders where available; otherwise DDS 2030 totals plus separately approved project overlays</x:v>
      </x:c>
      <x:c r="O41" s="83" t="str"/>
    </x:row>
    <x:row r="42">
      <x:c r="A42" s="83" t="str">
        <x:v>VAR-038</x:v>
      </x:c>
      <x:c r="B42" s="83" t="str">
        <x:v>2040_CONSERVATIVE</x:v>
      </x:c>
      <x:c r="C42" s="83" t="n">
        <x:v>2040</x:v>
      </x:c>
      <x:c r="D42" s="83" t="str">
        <x:v>CORS</x:v>
      </x:c>
      <x:c r="E42" s="83" t="str">
        <x:v>CNOR</x:v>
      </x:c>
      <x:c r="F42" s="143" t="n">
        <x:v>400</x:v>
      </x:c>
      <x:c r="G42" s="197" t="n">
        <x:f>F42/1000</x:f>
        <x:v>0.4</x:v>
      </x:c>
      <x:c r="H42" s="143" t="n">
        <x:v>2035</x:v>
      </x:c>
      <x:c r="I42" s="143" t="str">
        <x:v>S03 Figure 3</x:v>
      </x:c>
      <x:c r="J42" s="143" t="n">
        <x:f>F42-SUMIFS($F:$F,$B:$B,"2040_BASE",$D:$D,D42,$E:$E,E42)</x:f>
        <x:v>0</x:v>
      </x:c>
      <x:c r="K42" s="83" t="str">
        <x:v>Yes</x:v>
      </x:c>
      <x:c r="L42" s="83" t="str">
        <x:v>Delay sensitivity</x:v>
      </x:c>
      <x:c r="M42" s="83" t="str">
        <x:v>Hold PDS 2025 capacities at the 2035 horizon to represent delay of post-2035 projects</x:v>
      </x:c>
      <x:c r="N42" s="83" t="str">
        <x:v>Use endogenous PyPSA-Eur borders where available; otherwise DDS 2030 totals plus separately approved project overlays</x:v>
      </x:c>
      <x:c r="O42" s="83" t="str"/>
    </x:row>
    <x:row r="43">
      <x:c r="A43" s="83" t="str">
        <x:v>VAR-039</x:v>
      </x:c>
      <x:c r="B43" s="83" t="str">
        <x:v>2040_CONSERVATIVE</x:v>
      </x:c>
      <x:c r="C43" s="83" t="n">
        <x:v>2040</x:v>
      </x:c>
      <x:c r="D43" s="83" t="str">
        <x:v>CORS</x:v>
      </x:c>
      <x:c r="E43" s="83" t="str">
        <x:v>SARD</x:v>
      </x:c>
      <x:c r="F43" s="143" t="n">
        <x:v>400</x:v>
      </x:c>
      <x:c r="G43" s="197" t="n">
        <x:f>F43/1000</x:f>
        <x:v>0.4</x:v>
      </x:c>
      <x:c r="H43" s="143" t="n">
        <x:v>2035</x:v>
      </x:c>
      <x:c r="I43" s="143" t="str">
        <x:v>S03 Figure 3</x:v>
      </x:c>
      <x:c r="J43" s="143" t="n">
        <x:f>F43-SUMIFS($F:$F,$B:$B,"2040_BASE",$D:$D,D43,$E:$E,E43)</x:f>
        <x:v>0</x:v>
      </x:c>
      <x:c r="K43" s="83" t="str">
        <x:v>Yes</x:v>
      </x:c>
      <x:c r="L43" s="83" t="str">
        <x:v>Delay sensitivity</x:v>
      </x:c>
      <x:c r="M43" s="83" t="str">
        <x:v>Hold PDS 2025 capacities at the 2035 horizon to represent delay of post-2035 projects</x:v>
      </x:c>
      <x:c r="N43" s="83" t="str">
        <x:v>Use endogenous PyPSA-Eur borders where available; otherwise DDS 2030 totals plus separately approved project overlays</x:v>
      </x:c>
      <x:c r="O43" s="83" t="str"/>
    </x:row>
    <x:row r="44">
      <x:c r="A44" s="83" t="str">
        <x:v>VAR-040</x:v>
      </x:c>
      <x:c r="B44" s="83" t="str">
        <x:v>2040_CONSERVATIVE</x:v>
      </x:c>
      <x:c r="C44" s="83" t="n">
        <x:v>2040</x:v>
      </x:c>
      <x:c r="D44" s="83" t="str">
        <x:v>SARD</x:v>
      </x:c>
      <x:c r="E44" s="83" t="str">
        <x:v>CORS</x:v>
      </x:c>
      <x:c r="F44" s="143" t="n">
        <x:v>400</x:v>
      </x:c>
      <x:c r="G44" s="197" t="n">
        <x:f>F44/1000</x:f>
        <x:v>0.4</x:v>
      </x:c>
      <x:c r="H44" s="143" t="n">
        <x:v>2035</x:v>
      </x:c>
      <x:c r="I44" s="143" t="str">
        <x:v>S03 Figure 3</x:v>
      </x:c>
      <x:c r="J44" s="143" t="n">
        <x:f>F44-SUMIFS($F:$F,$B:$B,"2040_BASE",$D:$D,D44,$E:$E,E44)</x:f>
        <x:v>0</x:v>
      </x:c>
      <x:c r="K44" s="83" t="str">
        <x:v>Yes</x:v>
      </x:c>
      <x:c r="L44" s="83" t="str">
        <x:v>Delay sensitivity</x:v>
      </x:c>
      <x:c r="M44" s="83" t="str">
        <x:v>Hold PDS 2025 capacities at the 2035 horizon to represent delay of post-2035 projects</x:v>
      </x:c>
      <x:c r="N44" s="83" t="str">
        <x:v>Use endogenous PyPSA-Eur borders where available; otherwise DDS 2030 totals plus separately approved project overlays</x:v>
      </x:c>
      <x:c r="O44" s="83" t="str"/>
    </x:row>
    <x:row r="45">
      <x:c r="A45" s="83" t="str">
        <x:v>VAR-041</x:v>
      </x:c>
      <x:c r="B45" s="83" t="str">
        <x:v>2040_CONSERVATIVE</x:v>
      </x:c>
      <x:c r="C45" s="83" t="n">
        <x:v>2040</x:v>
      </x:c>
      <x:c r="D45" s="83" t="str">
        <x:v>NORD</x:v>
      </x:c>
      <x:c r="E45" s="83" t="str">
        <x:v>SUD</x:v>
      </x:c>
      <x:c r="F45" s="143" t="n">
        <x:v>2100</x:v>
      </x:c>
      <x:c r="G45" s="197" t="n">
        <x:f>F45/1000</x:f>
        <x:v>2.1</x:v>
      </x:c>
      <x:c r="H45" s="143" t="n">
        <x:v>2035</x:v>
      </x:c>
      <x:c r="I45" s="143" t="str">
        <x:v>S03 Figure 3</x:v>
      </x:c>
      <x:c r="J45" s="143" t="n">
        <x:f>F45-SUMIFS($F:$F,$B:$B,"2040_BASE",$D:$D,D45,$E:$E,E45)</x:f>
        <x:v>0</x:v>
      </x:c>
      <x:c r="K45" s="83" t="str">
        <x:v>Yes</x:v>
      </x:c>
      <x:c r="L45" s="83" t="str">
        <x:v>Delay sensitivity</x:v>
      </x:c>
      <x:c r="M45" s="83" t="str">
        <x:v>Hold PDS 2025 capacities at the 2035 horizon to represent delay of post-2035 projects</x:v>
      </x:c>
      <x:c r="N45" s="83" t="str">
        <x:v>Use endogenous PyPSA-Eur borders where available; otherwise DDS 2030 totals plus separately approved project overlays</x:v>
      </x:c>
      <x:c r="O45" s="83" t="str"/>
    </x:row>
    <x:row r="46">
      <x:c r="A46" s="83" t="str">
        <x:v>VAR-042</x:v>
      </x:c>
      <x:c r="B46" s="83" t="str">
        <x:v>2040_CONSERVATIVE</x:v>
      </x:c>
      <x:c r="C46" s="83" t="n">
        <x:v>2040</x:v>
      </x:c>
      <x:c r="D46" s="83" t="str">
        <x:v>SUD</x:v>
      </x:c>
      <x:c r="E46" s="83" t="str">
        <x:v>NORD</x:v>
      </x:c>
      <x:c r="F46" s="143" t="n">
        <x:v>2100</x:v>
      </x:c>
      <x:c r="G46" s="197" t="n">
        <x:f>F46/1000</x:f>
        <x:v>2.1</x:v>
      </x:c>
      <x:c r="H46" s="143" t="n">
        <x:v>2035</x:v>
      </x:c>
      <x:c r="I46" s="143" t="str">
        <x:v>S03 Figure 3</x:v>
      </x:c>
      <x:c r="J46" s="143" t="n">
        <x:f>F46-SUMIFS($F:$F,$B:$B,"2040_BASE",$D:$D,D46,$E:$E,E46)</x:f>
        <x:v>0</x:v>
      </x:c>
      <x:c r="K46" s="83" t="str">
        <x:v>Yes</x:v>
      </x:c>
      <x:c r="L46" s="83" t="str">
        <x:v>Delay sensitivity</x:v>
      </x:c>
      <x:c r="M46" s="83" t="str">
        <x:v>Hold PDS 2025 capacities at the 2035 horizon to represent delay of post-2035 projects</x:v>
      </x:c>
      <x:c r="N46" s="83" t="str">
        <x:v>Use endogenous PyPSA-Eur borders where available; otherwise DDS 2030 totals plus separately approved project overlays</x:v>
      </x:c>
      <x:c r="O46" s="83" t="str"/>
    </x:row>
    <x:row r="47">
      <x:c r="A47" s="83" t="str">
        <x:v>VAR-043</x:v>
      </x:c>
      <x:c r="B47" s="83" t="str">
        <x:v>2040_CONSERVATIVE</x:v>
      </x:c>
      <x:c r="C47" s="83" t="n">
        <x:v>2040</x:v>
      </x:c>
      <x:c r="D47" s="83" t="str">
        <x:v>NORD</x:v>
      </x:c>
      <x:c r="E47" s="83" t="str">
        <x:v>CSUD</x:v>
      </x:c>
      <x:c r="F47" s="143" t="n">
        <x:v>2100</x:v>
      </x:c>
      <x:c r="G47" s="197" t="n">
        <x:f>F47/1000</x:f>
        <x:v>2.1</x:v>
      </x:c>
      <x:c r="H47" s="143" t="n">
        <x:v>2035</x:v>
      </x:c>
      <x:c r="I47" s="143" t="str">
        <x:v>S03 Figure 3</x:v>
      </x:c>
      <x:c r="J47" s="143" t="n">
        <x:f>F47-SUMIFS($F:$F,$B:$B,"2040_BASE",$D:$D,D47,$E:$E,E47)</x:f>
        <x:v>0</x:v>
      </x:c>
      <x:c r="K47" s="83" t="str">
        <x:v>Yes</x:v>
      </x:c>
      <x:c r="L47" s="83" t="str">
        <x:v>Delay sensitivity</x:v>
      </x:c>
      <x:c r="M47" s="83" t="str">
        <x:v>Hold PDS 2025 capacities at the 2035 horizon to represent delay of post-2035 projects</x:v>
      </x:c>
      <x:c r="N47" s="83" t="str">
        <x:v>Use endogenous PyPSA-Eur borders where available; otherwise DDS 2030 totals plus separately approved project overlays</x:v>
      </x:c>
      <x:c r="O47" s="83" t="str"/>
    </x:row>
    <x:row r="48">
      <x:c r="A48" s="83" t="str">
        <x:v>VAR-044</x:v>
      </x:c>
      <x:c r="B48" s="83" t="str">
        <x:v>2040_CONSERVATIVE</x:v>
      </x:c>
      <x:c r="C48" s="83" t="n">
        <x:v>2040</x:v>
      </x:c>
      <x:c r="D48" s="83" t="str">
        <x:v>CSUD</x:v>
      </x:c>
      <x:c r="E48" s="83" t="str">
        <x:v>NORD</x:v>
      </x:c>
      <x:c r="F48" s="143" t="n">
        <x:v>2100</x:v>
      </x:c>
      <x:c r="G48" s="197" t="n">
        <x:f>F48/1000</x:f>
        <x:v>2.1</x:v>
      </x:c>
      <x:c r="H48" s="143" t="n">
        <x:v>2035</x:v>
      </x:c>
      <x:c r="I48" s="143" t="str">
        <x:v>S03 Figure 3</x:v>
      </x:c>
      <x:c r="J48" s="143" t="n">
        <x:f>F48-SUMIFS($F:$F,$B:$B,"2040_BASE",$D:$D,D48,$E:$E,E48)</x:f>
        <x:v>0</x:v>
      </x:c>
      <x:c r="K48" s="83" t="str">
        <x:v>Yes</x:v>
      </x:c>
      <x:c r="L48" s="83" t="str">
        <x:v>Delay sensitivity</x:v>
      </x:c>
      <x:c r="M48" s="83" t="str">
        <x:v>Hold PDS 2025 capacities at the 2035 horizon to represent delay of post-2035 projects</x:v>
      </x:c>
      <x:c r="N48" s="83" t="str">
        <x:v>Use endogenous PyPSA-Eur borders where available; otherwise DDS 2030 totals plus separately approved project overlays</x:v>
      </x:c>
      <x:c r="O48" s="83" t="str"/>
    </x:row>
    <x:row r="49">
      <x:c r="A49" s="83" t="str">
        <x:v>VAR-045</x:v>
      </x:c>
      <x:c r="B49" s="83" t="str">
        <x:v>2040_CONSERVATIVE</x:v>
      </x:c>
      <x:c r="C49" s="83" t="n">
        <x:v>2040</x:v>
      </x:c>
      <x:c r="D49" s="83" t="str">
        <x:v>CSUD</x:v>
      </x:c>
      <x:c r="E49" s="83" t="str">
        <x:v>SICI</x:v>
      </x:c>
      <x:c r="F49" s="143" t="n">
        <x:v>1000</x:v>
      </x:c>
      <x:c r="G49" s="197" t="n">
        <x:f>F49/1000</x:f>
        <x:v>1</x:v>
      </x:c>
      <x:c r="H49" s="143" t="n">
        <x:v>2035</x:v>
      </x:c>
      <x:c r="I49" s="143" t="str">
        <x:v>S03 Figure 3</x:v>
      </x:c>
      <x:c r="J49" s="143" t="n">
        <x:f>F49-SUMIFS($F:$F,$B:$B,"2040_BASE",$D:$D,D49,$E:$E,E49)</x:f>
        <x:v>0</x:v>
      </x:c>
      <x:c r="K49" s="83" t="str">
        <x:v>Yes</x:v>
      </x:c>
      <x:c r="L49" s="83" t="str">
        <x:v>Delay sensitivity</x:v>
      </x:c>
      <x:c r="M49" s="83" t="str">
        <x:v>Hold PDS 2025 capacities at the 2035 horizon to represent delay of post-2035 projects</x:v>
      </x:c>
      <x:c r="N49" s="83" t="str">
        <x:v>Use endogenous PyPSA-Eur borders where available; otherwise DDS 2030 totals plus separately approved project overlays</x:v>
      </x:c>
      <x:c r="O49" s="83" t="str"/>
    </x:row>
    <x:row r="50">
      <x:c r="A50" s="83" t="str">
        <x:v>VAR-046</x:v>
      </x:c>
      <x:c r="B50" s="83" t="str">
        <x:v>2040_CONSERVATIVE</x:v>
      </x:c>
      <x:c r="C50" s="83" t="n">
        <x:v>2040</x:v>
      </x:c>
      <x:c r="D50" s="83" t="str">
        <x:v>SICI</x:v>
      </x:c>
      <x:c r="E50" s="83" t="str">
        <x:v>CSUD</x:v>
      </x:c>
      <x:c r="F50" s="143" t="n">
        <x:v>1000</x:v>
      </x:c>
      <x:c r="G50" s="197" t="n">
        <x:f>F50/1000</x:f>
        <x:v>1</x:v>
      </x:c>
      <x:c r="H50" s="143" t="n">
        <x:v>2035</x:v>
      </x:c>
      <x:c r="I50" s="143" t="str">
        <x:v>S03 Figure 3</x:v>
      </x:c>
      <x:c r="J50" s="143" t="n">
        <x:f>F50-SUMIFS($F:$F,$B:$B,"2040_BASE",$D:$D,D50,$E:$E,E50)</x:f>
        <x:v>0</x:v>
      </x:c>
      <x:c r="K50" s="83" t="str">
        <x:v>Yes</x:v>
      </x:c>
      <x:c r="L50" s="83" t="str">
        <x:v>Delay sensitivity</x:v>
      </x:c>
      <x:c r="M50" s="83" t="str">
        <x:v>Hold PDS 2025 capacities at the 2035 horizon to represent delay of post-2035 projects</x:v>
      </x:c>
      <x:c r="N50" s="83" t="str">
        <x:v>Use endogenous PyPSA-Eur borders where available; otherwise DDS 2030 totals plus separately approved project overlays</x:v>
      </x:c>
      <x:c r="O50" s="83" t="str"/>
    </x:row>
    <x:row r="51">
      <x:c r="A51" s="83" t="str">
        <x:v>VAR-047</x:v>
      </x:c>
      <x:c r="B51" s="83" t="str">
        <x:v>2040_CONSERVATIVE</x:v>
      </x:c>
      <x:c r="C51" s="83" t="n">
        <x:v>2040</x:v>
      </x:c>
      <x:c r="D51" s="83" t="str">
        <x:v>SARD</x:v>
      </x:c>
      <x:c r="E51" s="83" t="str">
        <x:v>SICI</x:v>
      </x:c>
      <x:c r="F51" s="143" t="n">
        <x:v>1000</x:v>
      </x:c>
      <x:c r="G51" s="197" t="n">
        <x:f>F51/1000</x:f>
        <x:v>1</x:v>
      </x:c>
      <x:c r="H51" s="143" t="n">
        <x:v>2035</x:v>
      </x:c>
      <x:c r="I51" s="143" t="str">
        <x:v>S03 Figure 3</x:v>
      </x:c>
      <x:c r="J51" s="143" t="n">
        <x:f>F51-SUMIFS($F:$F,$B:$B,"2040_BASE",$D:$D,D51,$E:$E,E51)</x:f>
        <x:v>0</x:v>
      </x:c>
      <x:c r="K51" s="83" t="str">
        <x:v>Yes</x:v>
      </x:c>
      <x:c r="L51" s="83" t="str">
        <x:v>Delay sensitivity</x:v>
      </x:c>
      <x:c r="M51" s="83" t="str">
        <x:v>Hold PDS 2025 capacities at the 2035 horizon to represent delay of post-2035 projects</x:v>
      </x:c>
      <x:c r="N51" s="83" t="str">
        <x:v>Use endogenous PyPSA-Eur borders where available; otherwise DDS 2030 totals plus separately approved project overlays</x:v>
      </x:c>
      <x:c r="O51" s="83" t="str"/>
    </x:row>
    <x:row r="52">
      <x:c r="A52" s="83" t="str">
        <x:v>VAR-048</x:v>
      </x:c>
      <x:c r="B52" s="83" t="str">
        <x:v>2040_CONSERVATIVE</x:v>
      </x:c>
      <x:c r="C52" s="83" t="n">
        <x:v>2040</x:v>
      </x:c>
      <x:c r="D52" s="83" t="str">
        <x:v>SICI</x:v>
      </x:c>
      <x:c r="E52" s="83" t="str">
        <x:v>SARD</x:v>
      </x:c>
      <x:c r="F52" s="143" t="n">
        <x:v>1000</x:v>
      </x:c>
      <x:c r="G52" s="197" t="n">
        <x:f>F52/1000</x:f>
        <x:v>1</x:v>
      </x:c>
      <x:c r="H52" s="143" t="n">
        <x:v>2035</x:v>
      </x:c>
      <x:c r="I52" s="143" t="str">
        <x:v>S03 Figure 3</x:v>
      </x:c>
      <x:c r="J52" s="143" t="n">
        <x:f>F52-SUMIFS($F:$F,$B:$B,"2040_BASE",$D:$D,D52,$E:$E,E52)</x:f>
        <x:v>0</x:v>
      </x:c>
      <x:c r="K52" s="83" t="str">
        <x:v>Yes</x:v>
      </x:c>
      <x:c r="L52" s="83" t="str">
        <x:v>Delay sensitivity</x:v>
      </x:c>
      <x:c r="M52" s="83" t="str">
        <x:v>Hold PDS 2025 capacities at the 2035 horizon to represent delay of post-2035 projects</x:v>
      </x:c>
      <x:c r="N52" s="83" t="str">
        <x:v>Use endogenous PyPSA-Eur borders where available; otherwise DDS 2030 totals plus separately approved project overlays</x:v>
      </x:c>
      <x:c r="O52" s="83" t="str"/>
    </x:row>
    <x:row r="53">
      <x:c r="A53" s="83" t="str">
        <x:v>VAR-049</x:v>
      </x:c>
      <x:c r="B53" s="83" t="str">
        <x:v>2050_CENTRAL</x:v>
      </x:c>
      <x:c r="C53" s="83" t="n">
        <x:v>2050</x:v>
      </x:c>
      <x:c r="D53" s="83" t="str">
        <x:v>NORD</x:v>
      </x:c>
      <x:c r="E53" s="83" t="str">
        <x:v>CNOR</x:v>
      </x:c>
      <x:c r="F53" s="143" t="n">
        <x:v>6100</x:v>
      </x:c>
      <x:c r="G53" s="197" t="n">
        <x:f>F53/1000</x:f>
        <x:v>6.1</x:v>
      </x:c>
      <x:c r="H53" s="143" t="n">
        <x:v>2040</x:v>
      </x:c>
      <x:c r="I53" s="143" t="str">
        <x:v>S03 Figure 3</x:v>
      </x:c>
      <x:c r="J53" s="143" t="n">
        <x:f>F53-SUMIFS($F:$F,$B:$B,"2040_BASE",$D:$D,D53,$E:$E,E53)</x:f>
        <x:v>0</x:v>
      </x:c>
      <x:c r="K53" s="83" t="str">
        <x:v>Yes</x:v>
      </x:c>
      <x:c r="L53" s="83" t="str">
        <x:v>Proxy/floor</x:v>
      </x:c>
      <x:c r="M53" s="83" t="str">
        <x:v>Use PDS 2025 2040 internal capacities as a documented minimum floor; no explicit Terna 2050 NTC table</x:v>
      </x:c>
      <x:c r="N53" s="83" t="str">
        <x:v>Use endogenous PyPSA-Eur borders where available; otherwise DDS 2030 totals plus separately approved project overlays</x:v>
      </x:c>
      <x:c r="O53" s="83" t="str">
        <x:v>2050 values are not claimed as Terna 2050 targets.</x:v>
      </x:c>
    </x:row>
    <x:row r="54">
      <x:c r="A54" s="83" t="str">
        <x:v>VAR-050</x:v>
      </x:c>
      <x:c r="B54" s="83" t="str">
        <x:v>2050_CENTRAL</x:v>
      </x:c>
      <x:c r="C54" s="83" t="n">
        <x:v>2050</x:v>
      </x:c>
      <x:c r="D54" s="83" t="str">
        <x:v>CNOR</x:v>
      </x:c>
      <x:c r="E54" s="83" t="str">
        <x:v>NORD</x:v>
      </x:c>
      <x:c r="F54" s="143" t="n">
        <x:v>5300</x:v>
      </x:c>
      <x:c r="G54" s="197" t="n">
        <x:f>F54/1000</x:f>
        <x:v>5.3</x:v>
      </x:c>
      <x:c r="H54" s="143" t="n">
        <x:v>2040</x:v>
      </x:c>
      <x:c r="I54" s="143" t="str">
        <x:v>S03 Figure 3</x:v>
      </x:c>
      <x:c r="J54" s="143" t="n">
        <x:f>F54-SUMIFS($F:$F,$B:$B,"2040_BASE",$D:$D,D54,$E:$E,E54)</x:f>
        <x:v>0</x:v>
      </x:c>
      <x:c r="K54" s="83" t="str">
        <x:v>Yes</x:v>
      </x:c>
      <x:c r="L54" s="83" t="str">
        <x:v>Proxy/floor</x:v>
      </x:c>
      <x:c r="M54" s="83" t="str">
        <x:v>Use PDS 2025 2040 internal capacities as a documented minimum floor; no explicit Terna 2050 NTC table</x:v>
      </x:c>
      <x:c r="N54" s="83" t="str">
        <x:v>Use endogenous PyPSA-Eur borders where available; otherwise DDS 2030 totals plus separately approved project overlays</x:v>
      </x:c>
      <x:c r="O54" s="83" t="str">
        <x:v>2050 values are not claimed as Terna 2050 targets.</x:v>
      </x:c>
    </x:row>
    <x:row r="55">
      <x:c r="A55" s="83" t="str">
        <x:v>VAR-051</x:v>
      </x:c>
      <x:c r="B55" s="83" t="str">
        <x:v>2050_CENTRAL</x:v>
      </x:c>
      <x:c r="C55" s="83" t="n">
        <x:v>2050</x:v>
      </x:c>
      <x:c r="D55" s="83" t="str">
        <x:v>CNOR</x:v>
      </x:c>
      <x:c r="E55" s="83" t="str">
        <x:v>CSUD</x:v>
      </x:c>
      <x:c r="F55" s="143" t="n">
        <x:v>5400</x:v>
      </x:c>
      <x:c r="G55" s="197" t="n">
        <x:f>F55/1000</x:f>
        <x:v>5.4</x:v>
      </x:c>
      <x:c r="H55" s="143" t="n">
        <x:v>2040</x:v>
      </x:c>
      <x:c r="I55" s="143" t="str">
        <x:v>S03 Figure 3</x:v>
      </x:c>
      <x:c r="J55" s="143" t="n">
        <x:f>F55-SUMIFS($F:$F,$B:$B,"2040_BASE",$D:$D,D55,$E:$E,E55)</x:f>
        <x:v>0</x:v>
      </x:c>
      <x:c r="K55" s="83" t="str">
        <x:v>Yes</x:v>
      </x:c>
      <x:c r="L55" s="83" t="str">
        <x:v>Proxy/floor</x:v>
      </x:c>
      <x:c r="M55" s="83" t="str">
        <x:v>Use PDS 2025 2040 internal capacities as a documented minimum floor; no explicit Terna 2050 NTC table</x:v>
      </x:c>
      <x:c r="N55" s="83" t="str">
        <x:v>Use endogenous PyPSA-Eur borders where available; otherwise DDS 2030 totals plus separately approved project overlays</x:v>
      </x:c>
      <x:c r="O55" s="83" t="str">
        <x:v>2050 values are not claimed as Terna 2050 targets.</x:v>
      </x:c>
    </x:row>
    <x:row r="56">
      <x:c r="A56" s="83" t="str">
        <x:v>VAR-052</x:v>
      </x:c>
      <x:c r="B56" s="83" t="str">
        <x:v>2050_CENTRAL</x:v>
      </x:c>
      <x:c r="C56" s="83" t="n">
        <x:v>2050</x:v>
      </x:c>
      <x:c r="D56" s="83" t="str">
        <x:v>CSUD</x:v>
      </x:c>
      <x:c r="E56" s="83" t="str">
        <x:v>CNOR</x:v>
      </x:c>
      <x:c r="F56" s="143" t="n">
        <x:v>6100</x:v>
      </x:c>
      <x:c r="G56" s="197" t="n">
        <x:f>F56/1000</x:f>
        <x:v>6.1</x:v>
      </x:c>
      <x:c r="H56" s="143" t="n">
        <x:v>2040</x:v>
      </x:c>
      <x:c r="I56" s="143" t="str">
        <x:v>S03 Figure 3</x:v>
      </x:c>
      <x:c r="J56" s="143" t="n">
        <x:f>F56-SUMIFS($F:$F,$B:$B,"2040_BASE",$D:$D,D56,$E:$E,E56)</x:f>
        <x:v>0</x:v>
      </x:c>
      <x:c r="K56" s="83" t="str">
        <x:v>Yes</x:v>
      </x:c>
      <x:c r="L56" s="83" t="str">
        <x:v>Proxy/floor</x:v>
      </x:c>
      <x:c r="M56" s="83" t="str">
        <x:v>Use PDS 2025 2040 internal capacities as a documented minimum floor; no explicit Terna 2050 NTC table</x:v>
      </x:c>
      <x:c r="N56" s="83" t="str">
        <x:v>Use endogenous PyPSA-Eur borders where available; otherwise DDS 2030 totals plus separately approved project overlays</x:v>
      </x:c>
      <x:c r="O56" s="83" t="str">
        <x:v>2050 values are not claimed as Terna 2050 targets.</x:v>
      </x:c>
    </x:row>
    <x:row r="57">
      <x:c r="A57" s="83" t="str">
        <x:v>VAR-053</x:v>
      </x:c>
      <x:c r="B57" s="83" t="str">
        <x:v>2050_CENTRAL</x:v>
      </x:c>
      <x:c r="C57" s="83" t="n">
        <x:v>2050</x:v>
      </x:c>
      <x:c r="D57" s="83" t="str">
        <x:v>CSUD</x:v>
      </x:c>
      <x:c r="E57" s="83" t="str">
        <x:v>SUD</x:v>
      </x:c>
      <x:c r="F57" s="143" t="n">
        <x:v>6300</x:v>
      </x:c>
      <x:c r="G57" s="197" t="n">
        <x:f>F57/1000</x:f>
        <x:v>6.3</x:v>
      </x:c>
      <x:c r="H57" s="143" t="n">
        <x:v>2040</x:v>
      </x:c>
      <x:c r="I57" s="143" t="str">
        <x:v>S03 Figure 3</x:v>
      </x:c>
      <x:c r="J57" s="143" t="n">
        <x:f>F57-SUMIFS($F:$F,$B:$B,"2040_BASE",$D:$D,D57,$E:$E,E57)</x:f>
        <x:v>0</x:v>
      </x:c>
      <x:c r="K57" s="83" t="str">
        <x:v>Yes</x:v>
      </x:c>
      <x:c r="L57" s="83" t="str">
        <x:v>Proxy/floor</x:v>
      </x:c>
      <x:c r="M57" s="83" t="str">
        <x:v>Use PDS 2025 2040 internal capacities as a documented minimum floor; no explicit Terna 2050 NTC table</x:v>
      </x:c>
      <x:c r="N57" s="83" t="str">
        <x:v>Use endogenous PyPSA-Eur borders where available; otherwise DDS 2030 totals plus separately approved project overlays</x:v>
      </x:c>
      <x:c r="O57" s="83" t="str">
        <x:v>2050 values are not claimed as Terna 2050 targets.</x:v>
      </x:c>
    </x:row>
    <x:row r="58">
      <x:c r="A58" s="83" t="str">
        <x:v>VAR-054</x:v>
      </x:c>
      <x:c r="B58" s="83" t="str">
        <x:v>2050_CENTRAL</x:v>
      </x:c>
      <x:c r="C58" s="83" t="n">
        <x:v>2050</x:v>
      </x:c>
      <x:c r="D58" s="83" t="str">
        <x:v>SUD</x:v>
      </x:c>
      <x:c r="E58" s="83" t="str">
        <x:v>CSUD</x:v>
      </x:c>
      <x:c r="F58" s="143" t="n">
        <x:v>9100</x:v>
      </x:c>
      <x:c r="G58" s="197" t="n">
        <x:f>F58/1000</x:f>
        <x:v>9.1</x:v>
      </x:c>
      <x:c r="H58" s="143" t="n">
        <x:v>2040</x:v>
      </x:c>
      <x:c r="I58" s="143" t="str">
        <x:v>S03 Figure 3</x:v>
      </x:c>
      <x:c r="J58" s="143" t="n">
        <x:f>F58-SUMIFS($F:$F,$B:$B,"2040_BASE",$D:$D,D58,$E:$E,E58)</x:f>
        <x:v>0</x:v>
      </x:c>
      <x:c r="K58" s="83" t="str">
        <x:v>Yes</x:v>
      </x:c>
      <x:c r="L58" s="83" t="str">
        <x:v>Proxy/floor</x:v>
      </x:c>
      <x:c r="M58" s="83" t="str">
        <x:v>Use PDS 2025 2040 internal capacities as a documented minimum floor; no explicit Terna 2050 NTC table</x:v>
      </x:c>
      <x:c r="N58" s="83" t="str">
        <x:v>Use endogenous PyPSA-Eur borders where available; otherwise DDS 2030 totals plus separately approved project overlays</x:v>
      </x:c>
      <x:c r="O58" s="83" t="str">
        <x:v>2050 values are not claimed as Terna 2050 targets.</x:v>
      </x:c>
    </x:row>
    <x:row r="59">
      <x:c r="A59" s="83" t="str">
        <x:v>VAR-055</x:v>
      </x:c>
      <x:c r="B59" s="83" t="str">
        <x:v>2050_CENTRAL</x:v>
      </x:c>
      <x:c r="C59" s="83" t="n">
        <x:v>2050</x:v>
      </x:c>
      <x:c r="D59" s="83" t="str">
        <x:v>SUD</x:v>
      </x:c>
      <x:c r="E59" s="83" t="str">
        <x:v>CALA</x:v>
      </x:c>
      <x:c r="F59" s="143" t="n">
        <x:v>4100</x:v>
      </x:c>
      <x:c r="G59" s="197" t="n">
        <x:f>F59/1000</x:f>
        <x:v>4.1</x:v>
      </x:c>
      <x:c r="H59" s="143" t="n">
        <x:v>2040</x:v>
      </x:c>
      <x:c r="I59" s="143" t="str">
        <x:v>S03 Figure 3</x:v>
      </x:c>
      <x:c r="J59" s="143" t="n">
        <x:f>F59-SUMIFS($F:$F,$B:$B,"2040_BASE",$D:$D,D59,$E:$E,E59)</x:f>
        <x:v>0</x:v>
      </x:c>
      <x:c r="K59" s="83" t="str">
        <x:v>Yes</x:v>
      </x:c>
      <x:c r="L59" s="83" t="str">
        <x:v>Proxy/floor</x:v>
      </x:c>
      <x:c r="M59" s="83" t="str">
        <x:v>Use PDS 2025 2040 internal capacities as a documented minimum floor; no explicit Terna 2050 NTC table</x:v>
      </x:c>
      <x:c r="N59" s="83" t="str">
        <x:v>Use endogenous PyPSA-Eur borders where available; otherwise DDS 2030 totals plus separately approved project overlays</x:v>
      </x:c>
      <x:c r="O59" s="83" t="str">
        <x:v>2050 values are not claimed as Terna 2050 targets.</x:v>
      </x:c>
    </x:row>
    <x:row r="60">
      <x:c r="A60" s="83" t="str">
        <x:v>VAR-056</x:v>
      </x:c>
      <x:c r="B60" s="83" t="str">
        <x:v>2050_CENTRAL</x:v>
      </x:c>
      <x:c r="C60" s="83" t="n">
        <x:v>2050</x:v>
      </x:c>
      <x:c r="D60" s="83" t="str">
        <x:v>CALA</x:v>
      </x:c>
      <x:c r="E60" s="83" t="str">
        <x:v>SUD</x:v>
      </x:c>
      <x:c r="F60" s="143" t="n">
        <x:v>5350</x:v>
      </x:c>
      <x:c r="G60" s="197" t="n">
        <x:f>F60/1000</x:f>
        <x:v>5.35</x:v>
      </x:c>
      <x:c r="H60" s="143" t="n">
        <x:v>2040</x:v>
      </x:c>
      <x:c r="I60" s="143" t="str">
        <x:v>S03 Figure 3</x:v>
      </x:c>
      <x:c r="J60" s="143" t="n">
        <x:f>F60-SUMIFS($F:$F,$B:$B,"2040_BASE",$D:$D,D60,$E:$E,E60)</x:f>
        <x:v>0</x:v>
      </x:c>
      <x:c r="K60" s="83" t="str">
        <x:v>Yes</x:v>
      </x:c>
      <x:c r="L60" s="83" t="str">
        <x:v>Proxy/floor</x:v>
      </x:c>
      <x:c r="M60" s="83" t="str">
        <x:v>Use PDS 2025 2040 internal capacities as a documented minimum floor; no explicit Terna 2050 NTC table</x:v>
      </x:c>
      <x:c r="N60" s="83" t="str">
        <x:v>Use endogenous PyPSA-Eur borders where available; otherwise DDS 2030 totals plus separately approved project overlays</x:v>
      </x:c>
      <x:c r="O60" s="83" t="str">
        <x:v>2050 values are not claimed as Terna 2050 targets.</x:v>
      </x:c>
    </x:row>
    <x:row r="61">
      <x:c r="A61" s="83" t="str">
        <x:v>VAR-057</x:v>
      </x:c>
      <x:c r="B61" s="83" t="str">
        <x:v>2050_CENTRAL</x:v>
      </x:c>
      <x:c r="C61" s="83" t="n">
        <x:v>2050</x:v>
      </x:c>
      <x:c r="D61" s="83" t="str">
        <x:v>CALA</x:v>
      </x:c>
      <x:c r="E61" s="83" t="str">
        <x:v>SICI</x:v>
      </x:c>
      <x:c r="F61" s="143" t="n">
        <x:v>4150</x:v>
      </x:c>
      <x:c r="G61" s="197" t="n">
        <x:f>F61/1000</x:f>
        <x:v>4.15</x:v>
      </x:c>
      <x:c r="H61" s="143" t="n">
        <x:v>2040</x:v>
      </x:c>
      <x:c r="I61" s="143" t="str">
        <x:v>S03 Figure 3</x:v>
      </x:c>
      <x:c r="J61" s="143" t="n">
        <x:f>F61-SUMIFS($F:$F,$B:$B,"2040_BASE",$D:$D,D61,$E:$E,E61)</x:f>
        <x:v>0</x:v>
      </x:c>
      <x:c r="K61" s="83" t="str">
        <x:v>Yes</x:v>
      </x:c>
      <x:c r="L61" s="83" t="str">
        <x:v>Proxy/floor</x:v>
      </x:c>
      <x:c r="M61" s="83" t="str">
        <x:v>Use PDS 2025 2040 internal capacities as a documented minimum floor; no explicit Terna 2050 NTC table</x:v>
      </x:c>
      <x:c r="N61" s="83" t="str">
        <x:v>Use endogenous PyPSA-Eur borders where available; otherwise DDS 2030 totals plus separately approved project overlays</x:v>
      </x:c>
      <x:c r="O61" s="83" t="str">
        <x:v>2050 values are not claimed as Terna 2050 targets.</x:v>
      </x:c>
    </x:row>
    <x:row r="62">
      <x:c r="A62" s="83" t="str">
        <x:v>VAR-058</x:v>
      </x:c>
      <x:c r="B62" s="83" t="str">
        <x:v>2050_CENTRAL</x:v>
      </x:c>
      <x:c r="C62" s="83" t="n">
        <x:v>2050</x:v>
      </x:c>
      <x:c r="D62" s="83" t="str">
        <x:v>SICI</x:v>
      </x:c>
      <x:c r="E62" s="83" t="str">
        <x:v>CALA</x:v>
      </x:c>
      <x:c r="F62" s="143" t="n">
        <x:v>4100</x:v>
      </x:c>
      <x:c r="G62" s="197" t="n">
        <x:f>F62/1000</x:f>
        <x:v>4.1</x:v>
      </x:c>
      <x:c r="H62" s="143" t="n">
        <x:v>2040</x:v>
      </x:c>
      <x:c r="I62" s="143" t="str">
        <x:v>S03 Figure 3</x:v>
      </x:c>
      <x:c r="J62" s="143" t="n">
        <x:f>F62-SUMIFS($F:$F,$B:$B,"2040_BASE",$D:$D,D62,$E:$E,E62)</x:f>
        <x:v>0</x:v>
      </x:c>
      <x:c r="K62" s="83" t="str">
        <x:v>Yes</x:v>
      </x:c>
      <x:c r="L62" s="83" t="str">
        <x:v>Proxy/floor</x:v>
      </x:c>
      <x:c r="M62" s="83" t="str">
        <x:v>Use PDS 2025 2040 internal capacities as a documented minimum floor; no explicit Terna 2050 NTC table</x:v>
      </x:c>
      <x:c r="N62" s="83" t="str">
        <x:v>Use endogenous PyPSA-Eur borders where available; otherwise DDS 2030 totals plus separately approved project overlays</x:v>
      </x:c>
      <x:c r="O62" s="83" t="str">
        <x:v>2050 values are not claimed as Terna 2050 targets.</x:v>
      </x:c>
    </x:row>
    <x:row r="63">
      <x:c r="A63" s="83" t="str">
        <x:v>VAR-059</x:v>
      </x:c>
      <x:c r="B63" s="83" t="str">
        <x:v>2050_CENTRAL</x:v>
      </x:c>
      <x:c r="C63" s="83" t="n">
        <x:v>2050</x:v>
      </x:c>
      <x:c r="D63" s="83" t="str">
        <x:v>CSUD</x:v>
      </x:c>
      <x:c r="E63" s="83" t="str">
        <x:v>SARD</x:v>
      </x:c>
      <x:c r="F63" s="143" t="n">
        <x:v>1720</x:v>
      </x:c>
      <x:c r="G63" s="197" t="n">
        <x:f>F63/1000</x:f>
        <x:v>1.72</x:v>
      </x:c>
      <x:c r="H63" s="143" t="n">
        <x:v>2040</x:v>
      </x:c>
      <x:c r="I63" s="143" t="str">
        <x:v>S03 Figure 3</x:v>
      </x:c>
      <x:c r="J63" s="143" t="n">
        <x:f>F63-SUMIFS($F:$F,$B:$B,"2040_BASE",$D:$D,D63,$E:$E,E63)</x:f>
        <x:v>0</x:v>
      </x:c>
      <x:c r="K63" s="83" t="str">
        <x:v>Yes</x:v>
      </x:c>
      <x:c r="L63" s="83" t="str">
        <x:v>Proxy/floor</x:v>
      </x:c>
      <x:c r="M63" s="83" t="str">
        <x:v>Use PDS 2025 2040 internal capacities as a documented minimum floor; no explicit Terna 2050 NTC table</x:v>
      </x:c>
      <x:c r="N63" s="83" t="str">
        <x:v>Use endogenous PyPSA-Eur borders where available; otherwise DDS 2030 totals plus separately approved project overlays</x:v>
      </x:c>
      <x:c r="O63" s="83" t="str">
        <x:v>2050 values are not claimed as Terna 2050 targets.</x:v>
      </x:c>
    </x:row>
    <x:row r="64">
      <x:c r="A64" s="83" t="str">
        <x:v>VAR-060</x:v>
      </x:c>
      <x:c r="B64" s="83" t="str">
        <x:v>2050_CENTRAL</x:v>
      </x:c>
      <x:c r="C64" s="83" t="n">
        <x:v>2050</x:v>
      </x:c>
      <x:c r="D64" s="83" t="str">
        <x:v>SARD</x:v>
      </x:c>
      <x:c r="E64" s="83" t="str">
        <x:v>CSUD</x:v>
      </x:c>
      <x:c r="F64" s="143" t="n">
        <x:v>1900</x:v>
      </x:c>
      <x:c r="G64" s="197" t="n">
        <x:f>F64/1000</x:f>
        <x:v>1.9</x:v>
      </x:c>
      <x:c r="H64" s="143" t="n">
        <x:v>2040</x:v>
      </x:c>
      <x:c r="I64" s="143" t="str">
        <x:v>S03 Figure 3</x:v>
      </x:c>
      <x:c r="J64" s="143" t="n">
        <x:f>F64-SUMIFS($F:$F,$B:$B,"2040_BASE",$D:$D,D64,$E:$E,E64)</x:f>
        <x:v>0</x:v>
      </x:c>
      <x:c r="K64" s="83" t="str">
        <x:v>Yes</x:v>
      </x:c>
      <x:c r="L64" s="83" t="str">
        <x:v>Proxy/floor</x:v>
      </x:c>
      <x:c r="M64" s="83" t="str">
        <x:v>Use PDS 2025 2040 internal capacities as a documented minimum floor; no explicit Terna 2050 NTC table</x:v>
      </x:c>
      <x:c r="N64" s="83" t="str">
        <x:v>Use endogenous PyPSA-Eur borders where available; otherwise DDS 2030 totals plus separately approved project overlays</x:v>
      </x:c>
      <x:c r="O64" s="83" t="str">
        <x:v>2050 values are not claimed as Terna 2050 targets.</x:v>
      </x:c>
    </x:row>
    <x:row r="65">
      <x:c r="A65" s="83" t="str">
        <x:v>VAR-061</x:v>
      </x:c>
      <x:c r="B65" s="83" t="str">
        <x:v>2050_CENTRAL</x:v>
      </x:c>
      <x:c r="C65" s="83" t="n">
        <x:v>2050</x:v>
      </x:c>
      <x:c r="D65" s="83" t="str">
        <x:v>CNOR</x:v>
      </x:c>
      <x:c r="E65" s="83" t="str">
        <x:v>CORS</x:v>
      </x:c>
      <x:c r="F65" s="143" t="n">
        <x:v>400</x:v>
      </x:c>
      <x:c r="G65" s="197" t="n">
        <x:f>F65/1000</x:f>
        <x:v>0.4</x:v>
      </x:c>
      <x:c r="H65" s="143" t="n">
        <x:v>2040</x:v>
      </x:c>
      <x:c r="I65" s="143" t="str">
        <x:v>S03 Figure 3</x:v>
      </x:c>
      <x:c r="J65" s="143" t="n">
        <x:f>F65-SUMIFS($F:$F,$B:$B,"2040_BASE",$D:$D,D65,$E:$E,E65)</x:f>
        <x:v>0</x:v>
      </x:c>
      <x:c r="K65" s="83" t="str">
        <x:v>Yes</x:v>
      </x:c>
      <x:c r="L65" s="83" t="str">
        <x:v>Proxy/floor</x:v>
      </x:c>
      <x:c r="M65" s="83" t="str">
        <x:v>Use PDS 2025 2040 internal capacities as a documented minimum floor; no explicit Terna 2050 NTC table</x:v>
      </x:c>
      <x:c r="N65" s="83" t="str">
        <x:v>Use endogenous PyPSA-Eur borders where available; otherwise DDS 2030 totals plus separately approved project overlays</x:v>
      </x:c>
      <x:c r="O65" s="83" t="str">
        <x:v>2050 values are not claimed as Terna 2050 targets.</x:v>
      </x:c>
    </x:row>
    <x:row r="66">
      <x:c r="A66" s="83" t="str">
        <x:v>VAR-062</x:v>
      </x:c>
      <x:c r="B66" s="83" t="str">
        <x:v>2050_CENTRAL</x:v>
      </x:c>
      <x:c r="C66" s="83" t="n">
        <x:v>2050</x:v>
      </x:c>
      <x:c r="D66" s="83" t="str">
        <x:v>CORS</x:v>
      </x:c>
      <x:c r="E66" s="83" t="str">
        <x:v>CNOR</x:v>
      </x:c>
      <x:c r="F66" s="143" t="n">
        <x:v>400</x:v>
      </x:c>
      <x:c r="G66" s="197" t="n">
        <x:f>F66/1000</x:f>
        <x:v>0.4</x:v>
      </x:c>
      <x:c r="H66" s="143" t="n">
        <x:v>2040</x:v>
      </x:c>
      <x:c r="I66" s="143" t="str">
        <x:v>S03 Figure 3</x:v>
      </x:c>
      <x:c r="J66" s="143" t="n">
        <x:f>F66-SUMIFS($F:$F,$B:$B,"2040_BASE",$D:$D,D66,$E:$E,E66)</x:f>
        <x:v>0</x:v>
      </x:c>
      <x:c r="K66" s="83" t="str">
        <x:v>Yes</x:v>
      </x:c>
      <x:c r="L66" s="83" t="str">
        <x:v>Proxy/floor</x:v>
      </x:c>
      <x:c r="M66" s="83" t="str">
        <x:v>Use PDS 2025 2040 internal capacities as a documented minimum floor; no explicit Terna 2050 NTC table</x:v>
      </x:c>
      <x:c r="N66" s="83" t="str">
        <x:v>Use endogenous PyPSA-Eur borders where available; otherwise DDS 2030 totals plus separately approved project overlays</x:v>
      </x:c>
      <x:c r="O66" s="83" t="str">
        <x:v>2050 values are not claimed as Terna 2050 targets.</x:v>
      </x:c>
    </x:row>
    <x:row r="67">
      <x:c r="A67" s="83" t="str">
        <x:v>VAR-063</x:v>
      </x:c>
      <x:c r="B67" s="83" t="str">
        <x:v>2050_CENTRAL</x:v>
      </x:c>
      <x:c r="C67" s="83" t="n">
        <x:v>2050</x:v>
      </x:c>
      <x:c r="D67" s="83" t="str">
        <x:v>CORS</x:v>
      </x:c>
      <x:c r="E67" s="83" t="str">
        <x:v>SARD</x:v>
      </x:c>
      <x:c r="F67" s="143" t="n">
        <x:v>400</x:v>
      </x:c>
      <x:c r="G67" s="197" t="n">
        <x:f>F67/1000</x:f>
        <x:v>0.4</x:v>
      </x:c>
      <x:c r="H67" s="143" t="n">
        <x:v>2040</x:v>
      </x:c>
      <x:c r="I67" s="143" t="str">
        <x:v>S03 Figure 3</x:v>
      </x:c>
      <x:c r="J67" s="143" t="n">
        <x:f>F67-SUMIFS($F:$F,$B:$B,"2040_BASE",$D:$D,D67,$E:$E,E67)</x:f>
        <x:v>0</x:v>
      </x:c>
      <x:c r="K67" s="83" t="str">
        <x:v>Yes</x:v>
      </x:c>
      <x:c r="L67" s="83" t="str">
        <x:v>Proxy/floor</x:v>
      </x:c>
      <x:c r="M67" s="83" t="str">
        <x:v>Use PDS 2025 2040 internal capacities as a documented minimum floor; no explicit Terna 2050 NTC table</x:v>
      </x:c>
      <x:c r="N67" s="83" t="str">
        <x:v>Use endogenous PyPSA-Eur borders where available; otherwise DDS 2030 totals plus separately approved project overlays</x:v>
      </x:c>
      <x:c r="O67" s="83" t="str">
        <x:v>2050 values are not claimed as Terna 2050 targets.</x:v>
      </x:c>
    </x:row>
    <x:row r="68">
      <x:c r="A68" s="83" t="str">
        <x:v>VAR-064</x:v>
      </x:c>
      <x:c r="B68" s="83" t="str">
        <x:v>2050_CENTRAL</x:v>
      </x:c>
      <x:c r="C68" s="83" t="n">
        <x:v>2050</x:v>
      </x:c>
      <x:c r="D68" s="83" t="str">
        <x:v>SARD</x:v>
      </x:c>
      <x:c r="E68" s="83" t="str">
        <x:v>CORS</x:v>
      </x:c>
      <x:c r="F68" s="143" t="n">
        <x:v>400</x:v>
      </x:c>
      <x:c r="G68" s="197" t="n">
        <x:f>F68/1000</x:f>
        <x:v>0.4</x:v>
      </x:c>
      <x:c r="H68" s="143" t="n">
        <x:v>2040</x:v>
      </x:c>
      <x:c r="I68" s="143" t="str">
        <x:v>S03 Figure 3</x:v>
      </x:c>
      <x:c r="J68" s="143" t="n">
        <x:f>F68-SUMIFS($F:$F,$B:$B,"2040_BASE",$D:$D,D68,$E:$E,E68)</x:f>
        <x:v>0</x:v>
      </x:c>
      <x:c r="K68" s="83" t="str">
        <x:v>Yes</x:v>
      </x:c>
      <x:c r="L68" s="83" t="str">
        <x:v>Proxy/floor</x:v>
      </x:c>
      <x:c r="M68" s="83" t="str">
        <x:v>Use PDS 2025 2040 internal capacities as a documented minimum floor; no explicit Terna 2050 NTC table</x:v>
      </x:c>
      <x:c r="N68" s="83" t="str">
        <x:v>Use endogenous PyPSA-Eur borders where available; otherwise DDS 2030 totals plus separately approved project overlays</x:v>
      </x:c>
      <x:c r="O68" s="83" t="str">
        <x:v>2050 values are not claimed as Terna 2050 targets.</x:v>
      </x:c>
    </x:row>
    <x:row r="69">
      <x:c r="A69" s="83" t="str">
        <x:v>VAR-065</x:v>
      </x:c>
      <x:c r="B69" s="83" t="str">
        <x:v>2050_CENTRAL</x:v>
      </x:c>
      <x:c r="C69" s="83" t="n">
        <x:v>2050</x:v>
      </x:c>
      <x:c r="D69" s="83" t="str">
        <x:v>NORD</x:v>
      </x:c>
      <x:c r="E69" s="83" t="str">
        <x:v>SUD</x:v>
      </x:c>
      <x:c r="F69" s="143" t="n">
        <x:v>2100</x:v>
      </x:c>
      <x:c r="G69" s="197" t="n">
        <x:f>F69/1000</x:f>
        <x:v>2.1</x:v>
      </x:c>
      <x:c r="H69" s="143" t="n">
        <x:v>2040</x:v>
      </x:c>
      <x:c r="I69" s="143" t="str">
        <x:v>S03 Figure 3</x:v>
      </x:c>
      <x:c r="J69" s="143" t="n">
        <x:f>F69-SUMIFS($F:$F,$B:$B,"2040_BASE",$D:$D,D69,$E:$E,E69)</x:f>
        <x:v>0</x:v>
      </x:c>
      <x:c r="K69" s="83" t="str">
        <x:v>Yes</x:v>
      </x:c>
      <x:c r="L69" s="83" t="str">
        <x:v>Proxy/floor</x:v>
      </x:c>
      <x:c r="M69" s="83" t="str">
        <x:v>Use PDS 2025 2040 internal capacities as a documented minimum floor; no explicit Terna 2050 NTC table</x:v>
      </x:c>
      <x:c r="N69" s="83" t="str">
        <x:v>Use endogenous PyPSA-Eur borders where available; otherwise DDS 2030 totals plus separately approved project overlays</x:v>
      </x:c>
      <x:c r="O69" s="83" t="str">
        <x:v>2050 values are not claimed as Terna 2050 targets.</x:v>
      </x:c>
    </x:row>
    <x:row r="70">
      <x:c r="A70" s="83" t="str">
        <x:v>VAR-066</x:v>
      </x:c>
      <x:c r="B70" s="83" t="str">
        <x:v>2050_CENTRAL</x:v>
      </x:c>
      <x:c r="C70" s="83" t="n">
        <x:v>2050</x:v>
      </x:c>
      <x:c r="D70" s="83" t="str">
        <x:v>SUD</x:v>
      </x:c>
      <x:c r="E70" s="83" t="str">
        <x:v>NORD</x:v>
      </x:c>
      <x:c r="F70" s="143" t="n">
        <x:v>2100</x:v>
      </x:c>
      <x:c r="G70" s="197" t="n">
        <x:f>F70/1000</x:f>
        <x:v>2.1</x:v>
      </x:c>
      <x:c r="H70" s="143" t="n">
        <x:v>2040</x:v>
      </x:c>
      <x:c r="I70" s="143" t="str">
        <x:v>S03 Figure 3</x:v>
      </x:c>
      <x:c r="J70" s="143" t="n">
        <x:f>F70-SUMIFS($F:$F,$B:$B,"2040_BASE",$D:$D,D70,$E:$E,E70)</x:f>
        <x:v>0</x:v>
      </x:c>
      <x:c r="K70" s="83" t="str">
        <x:v>Yes</x:v>
      </x:c>
      <x:c r="L70" s="83" t="str">
        <x:v>Proxy/floor</x:v>
      </x:c>
      <x:c r="M70" s="83" t="str">
        <x:v>Use PDS 2025 2040 internal capacities as a documented minimum floor; no explicit Terna 2050 NTC table</x:v>
      </x:c>
      <x:c r="N70" s="83" t="str">
        <x:v>Use endogenous PyPSA-Eur borders where available; otherwise DDS 2030 totals plus separately approved project overlays</x:v>
      </x:c>
      <x:c r="O70" s="83" t="str">
        <x:v>2050 values are not claimed as Terna 2050 targets.</x:v>
      </x:c>
    </x:row>
    <x:row r="71">
      <x:c r="A71" s="83" t="str">
        <x:v>VAR-067</x:v>
      </x:c>
      <x:c r="B71" s="83" t="str">
        <x:v>2050_CENTRAL</x:v>
      </x:c>
      <x:c r="C71" s="83" t="n">
        <x:v>2050</x:v>
      </x:c>
      <x:c r="D71" s="83" t="str">
        <x:v>NORD</x:v>
      </x:c>
      <x:c r="E71" s="83" t="str">
        <x:v>CSUD</x:v>
      </x:c>
      <x:c r="F71" s="143" t="n">
        <x:v>2100</x:v>
      </x:c>
      <x:c r="G71" s="197" t="n">
        <x:f>F71/1000</x:f>
        <x:v>2.1</x:v>
      </x:c>
      <x:c r="H71" s="143" t="n">
        <x:v>2040</x:v>
      </x:c>
      <x:c r="I71" s="143" t="str">
        <x:v>S03 Figure 3</x:v>
      </x:c>
      <x:c r="J71" s="143" t="n">
        <x:f>F71-SUMIFS($F:$F,$B:$B,"2040_BASE",$D:$D,D71,$E:$E,E71)</x:f>
        <x:v>0</x:v>
      </x:c>
      <x:c r="K71" s="83" t="str">
        <x:v>Yes</x:v>
      </x:c>
      <x:c r="L71" s="83" t="str">
        <x:v>Proxy/floor</x:v>
      </x:c>
      <x:c r="M71" s="83" t="str">
        <x:v>Use PDS 2025 2040 internal capacities as a documented minimum floor; no explicit Terna 2050 NTC table</x:v>
      </x:c>
      <x:c r="N71" s="83" t="str">
        <x:v>Use endogenous PyPSA-Eur borders where available; otherwise DDS 2030 totals plus separately approved project overlays</x:v>
      </x:c>
      <x:c r="O71" s="83" t="str">
        <x:v>2050 values are not claimed as Terna 2050 targets.</x:v>
      </x:c>
    </x:row>
    <x:row r="72">
      <x:c r="A72" s="83" t="str">
        <x:v>VAR-068</x:v>
      </x:c>
      <x:c r="B72" s="83" t="str">
        <x:v>2050_CENTRAL</x:v>
      </x:c>
      <x:c r="C72" s="83" t="n">
        <x:v>2050</x:v>
      </x:c>
      <x:c r="D72" s="83" t="str">
        <x:v>CSUD</x:v>
      </x:c>
      <x:c r="E72" s="83" t="str">
        <x:v>NORD</x:v>
      </x:c>
      <x:c r="F72" s="143" t="n">
        <x:v>2100</x:v>
      </x:c>
      <x:c r="G72" s="197" t="n">
        <x:f>F72/1000</x:f>
        <x:v>2.1</x:v>
      </x:c>
      <x:c r="H72" s="143" t="n">
        <x:v>2040</x:v>
      </x:c>
      <x:c r="I72" s="143" t="str">
        <x:v>S03 Figure 3</x:v>
      </x:c>
      <x:c r="J72" s="143" t="n">
        <x:f>F72-SUMIFS($F:$F,$B:$B,"2040_BASE",$D:$D,D72,$E:$E,E72)</x:f>
        <x:v>0</x:v>
      </x:c>
      <x:c r="K72" s="83" t="str">
        <x:v>Yes</x:v>
      </x:c>
      <x:c r="L72" s="83" t="str">
        <x:v>Proxy/floor</x:v>
      </x:c>
      <x:c r="M72" s="83" t="str">
        <x:v>Use PDS 2025 2040 internal capacities as a documented minimum floor; no explicit Terna 2050 NTC table</x:v>
      </x:c>
      <x:c r="N72" s="83" t="str">
        <x:v>Use endogenous PyPSA-Eur borders where available; otherwise DDS 2030 totals plus separately approved project overlays</x:v>
      </x:c>
      <x:c r="O72" s="83" t="str">
        <x:v>2050 values are not claimed as Terna 2050 targets.</x:v>
      </x:c>
    </x:row>
    <x:row r="73">
      <x:c r="A73" s="83" t="str">
        <x:v>VAR-069</x:v>
      </x:c>
      <x:c r="B73" s="83" t="str">
        <x:v>2050_CENTRAL</x:v>
      </x:c>
      <x:c r="C73" s="83" t="n">
        <x:v>2050</x:v>
      </x:c>
      <x:c r="D73" s="83" t="str">
        <x:v>CSUD</x:v>
      </x:c>
      <x:c r="E73" s="83" t="str">
        <x:v>SICI</x:v>
      </x:c>
      <x:c r="F73" s="143" t="n">
        <x:v>1000</x:v>
      </x:c>
      <x:c r="G73" s="197" t="n">
        <x:f>F73/1000</x:f>
        <x:v>1</x:v>
      </x:c>
      <x:c r="H73" s="143" t="n">
        <x:v>2040</x:v>
      </x:c>
      <x:c r="I73" s="143" t="str">
        <x:v>S03 Figure 3</x:v>
      </x:c>
      <x:c r="J73" s="143" t="n">
        <x:f>F73-SUMIFS($F:$F,$B:$B,"2040_BASE",$D:$D,D73,$E:$E,E73)</x:f>
        <x:v>0</x:v>
      </x:c>
      <x:c r="K73" s="83" t="str">
        <x:v>Yes</x:v>
      </x:c>
      <x:c r="L73" s="83" t="str">
        <x:v>Proxy/floor</x:v>
      </x:c>
      <x:c r="M73" s="83" t="str">
        <x:v>Use PDS 2025 2040 internal capacities as a documented minimum floor; no explicit Terna 2050 NTC table</x:v>
      </x:c>
      <x:c r="N73" s="83" t="str">
        <x:v>Use endogenous PyPSA-Eur borders where available; otherwise DDS 2030 totals plus separately approved project overlays</x:v>
      </x:c>
      <x:c r="O73" s="83" t="str">
        <x:v>2050 values are not claimed as Terna 2050 targets.</x:v>
      </x:c>
    </x:row>
    <x:row r="74">
      <x:c r="A74" s="83" t="str">
        <x:v>VAR-070</x:v>
      </x:c>
      <x:c r="B74" s="83" t="str">
        <x:v>2050_CENTRAL</x:v>
      </x:c>
      <x:c r="C74" s="83" t="n">
        <x:v>2050</x:v>
      </x:c>
      <x:c r="D74" s="83" t="str">
        <x:v>SICI</x:v>
      </x:c>
      <x:c r="E74" s="83" t="str">
        <x:v>CSUD</x:v>
      </x:c>
      <x:c r="F74" s="143" t="n">
        <x:v>1000</x:v>
      </x:c>
      <x:c r="G74" s="197" t="n">
        <x:f>F74/1000</x:f>
        <x:v>1</x:v>
      </x:c>
      <x:c r="H74" s="143" t="n">
        <x:v>2040</x:v>
      </x:c>
      <x:c r="I74" s="143" t="str">
        <x:v>S03 Figure 3</x:v>
      </x:c>
      <x:c r="J74" s="143" t="n">
        <x:f>F74-SUMIFS($F:$F,$B:$B,"2040_BASE",$D:$D,D74,$E:$E,E74)</x:f>
        <x:v>0</x:v>
      </x:c>
      <x:c r="K74" s="83" t="str">
        <x:v>Yes</x:v>
      </x:c>
      <x:c r="L74" s="83" t="str">
        <x:v>Proxy/floor</x:v>
      </x:c>
      <x:c r="M74" s="83" t="str">
        <x:v>Use PDS 2025 2040 internal capacities as a documented minimum floor; no explicit Terna 2050 NTC table</x:v>
      </x:c>
      <x:c r="N74" s="83" t="str">
        <x:v>Use endogenous PyPSA-Eur borders where available; otherwise DDS 2030 totals plus separately approved project overlays</x:v>
      </x:c>
      <x:c r="O74" s="83" t="str">
        <x:v>2050 values are not claimed as Terna 2050 targets.</x:v>
      </x:c>
    </x:row>
    <x:row r="75">
      <x:c r="A75" s="83" t="str">
        <x:v>VAR-071</x:v>
      </x:c>
      <x:c r="B75" s="83" t="str">
        <x:v>2050_CENTRAL</x:v>
      </x:c>
      <x:c r="C75" s="83" t="n">
        <x:v>2050</x:v>
      </x:c>
      <x:c r="D75" s="83" t="str">
        <x:v>SARD</x:v>
      </x:c>
      <x:c r="E75" s="83" t="str">
        <x:v>SICI</x:v>
      </x:c>
      <x:c r="F75" s="143" t="n">
        <x:v>1000</x:v>
      </x:c>
      <x:c r="G75" s="197" t="n">
        <x:f>F75/1000</x:f>
        <x:v>1</x:v>
      </x:c>
      <x:c r="H75" s="143" t="n">
        <x:v>2040</x:v>
      </x:c>
      <x:c r="I75" s="143" t="str">
        <x:v>S03 Figure 3</x:v>
      </x:c>
      <x:c r="J75" s="143" t="n">
        <x:f>F75-SUMIFS($F:$F,$B:$B,"2040_BASE",$D:$D,D75,$E:$E,E75)</x:f>
        <x:v>0</x:v>
      </x:c>
      <x:c r="K75" s="83" t="str">
        <x:v>Yes</x:v>
      </x:c>
      <x:c r="L75" s="83" t="str">
        <x:v>Proxy/floor</x:v>
      </x:c>
      <x:c r="M75" s="83" t="str">
        <x:v>Use PDS 2025 2040 internal capacities as a documented minimum floor; no explicit Terna 2050 NTC table</x:v>
      </x:c>
      <x:c r="N75" s="83" t="str">
        <x:v>Use endogenous PyPSA-Eur borders where available; otherwise DDS 2030 totals plus separately approved project overlays</x:v>
      </x:c>
      <x:c r="O75" s="83" t="str">
        <x:v>2050 values are not claimed as Terna 2050 targets.</x:v>
      </x:c>
    </x:row>
    <x:row r="76">
      <x:c r="A76" s="83" t="str">
        <x:v>VAR-072</x:v>
      </x:c>
      <x:c r="B76" s="83" t="str">
        <x:v>2050_CENTRAL</x:v>
      </x:c>
      <x:c r="C76" s="83" t="n">
        <x:v>2050</x:v>
      </x:c>
      <x:c r="D76" s="83" t="str">
        <x:v>SICI</x:v>
      </x:c>
      <x:c r="E76" s="83" t="str">
        <x:v>SARD</x:v>
      </x:c>
      <x:c r="F76" s="143" t="n">
        <x:v>1000</x:v>
      </x:c>
      <x:c r="G76" s="197" t="n">
        <x:f>F76/1000</x:f>
        <x:v>1</x:v>
      </x:c>
      <x:c r="H76" s="143" t="n">
        <x:v>2040</x:v>
      </x:c>
      <x:c r="I76" s="143" t="str">
        <x:v>S03 Figure 3</x:v>
      </x:c>
      <x:c r="J76" s="143" t="n">
        <x:f>F76-SUMIFS($F:$F,$B:$B,"2040_BASE",$D:$D,D76,$E:$E,E76)</x:f>
        <x:v>0</x:v>
      </x:c>
      <x:c r="K76" s="83" t="str">
        <x:v>Yes</x:v>
      </x:c>
      <x:c r="L76" s="83" t="str">
        <x:v>Proxy/floor</x:v>
      </x:c>
      <x:c r="M76" s="83" t="str">
        <x:v>Use PDS 2025 2040 internal capacities as a documented minimum floor; no explicit Terna 2050 NTC table</x:v>
      </x:c>
      <x:c r="N76" s="83" t="str">
        <x:v>Use endogenous PyPSA-Eur borders where available; otherwise DDS 2030 totals plus separately approved project overlays</x:v>
      </x:c>
      <x:c r="O76" s="83" t="str">
        <x:v>2050 values are not claimed as Terna 2050 targets.</x:v>
      </x:c>
    </x:row>
    <x:row r="77">
      <x:c r="A77" s="83" t="str">
        <x:v>VAR-073</x:v>
      </x:c>
      <x:c r="B77" s="83" t="str">
        <x:v>2050_HIGH_GRID</x:v>
      </x:c>
      <x:c r="C77" s="83" t="n">
        <x:v>2050</x:v>
      </x:c>
      <x:c r="D77" s="83" t="str">
        <x:v>NORD</x:v>
      </x:c>
      <x:c r="E77" s="83" t="str">
        <x:v>CNOR</x:v>
      </x:c>
      <x:c r="F77" s="143" t="n">
        <x:v>6100</x:v>
      </x:c>
      <x:c r="G77" s="197" t="n">
        <x:f>F77/1000</x:f>
        <x:v>6.1</x:v>
      </x:c>
      <x:c r="H77" s="143" t="n">
        <x:v>2040</x:v>
      </x:c>
      <x:c r="I77" s="143" t="str">
        <x:v>S03 Figure 3</x:v>
      </x:c>
      <x:c r="J77" s="143" t="n">
        <x:f>F77-SUMIFS($F:$F,$B:$B,"2040_BASE",$D:$D,D77,$E:$E,E77)</x:f>
        <x:v>0</x:v>
      </x:c>
      <x:c r="K77" s="83" t="str">
        <x:v>No — uplift pending</x:v>
      </x:c>
      <x:c r="L77" s="83" t="str">
        <x:v>Proxy/floor</x:v>
      </x:c>
      <x:c r="M77" s="83" t="str">
        <x:v>Same documented floor plus future uplift to be defined from official 2050/TYNDP evidence; currently a non-executable sensitivity shell</x:v>
      </x:c>
      <x:c r="N77" s="83" t="str">
        <x:v>Use endogenous PyPSA-Eur borders where available; otherwise DDS 2030 totals plus separately approved project overlays</x:v>
      </x:c>
      <x:c r="O77" s="83" t="str">
        <x:v>2050 values are not claimed as Terna 2050 targets.</x:v>
      </x:c>
    </x:row>
    <x:row r="78">
      <x:c r="A78" s="83" t="str">
        <x:v>VAR-074</x:v>
      </x:c>
      <x:c r="B78" s="83" t="str">
        <x:v>2050_HIGH_GRID</x:v>
      </x:c>
      <x:c r="C78" s="83" t="n">
        <x:v>2050</x:v>
      </x:c>
      <x:c r="D78" s="83" t="str">
        <x:v>CNOR</x:v>
      </x:c>
      <x:c r="E78" s="83" t="str">
        <x:v>NORD</x:v>
      </x:c>
      <x:c r="F78" s="143" t="n">
        <x:v>5300</x:v>
      </x:c>
      <x:c r="G78" s="197" t="n">
        <x:f>F78/1000</x:f>
        <x:v>5.3</x:v>
      </x:c>
      <x:c r="H78" s="143" t="n">
        <x:v>2040</x:v>
      </x:c>
      <x:c r="I78" s="143" t="str">
        <x:v>S03 Figure 3</x:v>
      </x:c>
      <x:c r="J78" s="143" t="n">
        <x:f>F78-SUMIFS($F:$F,$B:$B,"2040_BASE",$D:$D,D78,$E:$E,E78)</x:f>
        <x:v>0</x:v>
      </x:c>
      <x:c r="K78" s="83" t="str">
        <x:v>No — uplift pending</x:v>
      </x:c>
      <x:c r="L78" s="83" t="str">
        <x:v>Proxy/floor</x:v>
      </x:c>
      <x:c r="M78" s="83" t="str">
        <x:v>Same documented floor plus future uplift to be defined from official 2050/TYNDP evidence; currently a non-executable sensitivity shell</x:v>
      </x:c>
      <x:c r="N78" s="83" t="str">
        <x:v>Use endogenous PyPSA-Eur borders where available; otherwise DDS 2030 totals plus separately approved project overlays</x:v>
      </x:c>
      <x:c r="O78" s="83" t="str">
        <x:v>2050 values are not claimed as Terna 2050 targets.</x:v>
      </x:c>
    </x:row>
    <x:row r="79">
      <x:c r="A79" s="83" t="str">
        <x:v>VAR-075</x:v>
      </x:c>
      <x:c r="B79" s="83" t="str">
        <x:v>2050_HIGH_GRID</x:v>
      </x:c>
      <x:c r="C79" s="83" t="n">
        <x:v>2050</x:v>
      </x:c>
      <x:c r="D79" s="83" t="str">
        <x:v>CNOR</x:v>
      </x:c>
      <x:c r="E79" s="83" t="str">
        <x:v>CSUD</x:v>
      </x:c>
      <x:c r="F79" s="143" t="n">
        <x:v>5400</x:v>
      </x:c>
      <x:c r="G79" s="197" t="n">
        <x:f>F79/1000</x:f>
        <x:v>5.4</x:v>
      </x:c>
      <x:c r="H79" s="143" t="n">
        <x:v>2040</x:v>
      </x:c>
      <x:c r="I79" s="143" t="str">
        <x:v>S03 Figure 3</x:v>
      </x:c>
      <x:c r="J79" s="143" t="n">
        <x:f>F79-SUMIFS($F:$F,$B:$B,"2040_BASE",$D:$D,D79,$E:$E,E79)</x:f>
        <x:v>0</x:v>
      </x:c>
      <x:c r="K79" s="83" t="str">
        <x:v>No — uplift pending</x:v>
      </x:c>
      <x:c r="L79" s="83" t="str">
        <x:v>Proxy/floor</x:v>
      </x:c>
      <x:c r="M79" s="83" t="str">
        <x:v>Same documented floor plus future uplift to be defined from official 2050/TYNDP evidence; currently a non-executable sensitivity shell</x:v>
      </x:c>
      <x:c r="N79" s="83" t="str">
        <x:v>Use endogenous PyPSA-Eur borders where available; otherwise DDS 2030 totals plus separately approved project overlays</x:v>
      </x:c>
      <x:c r="O79" s="83" t="str">
        <x:v>2050 values are not claimed as Terna 2050 targets.</x:v>
      </x:c>
    </x:row>
    <x:row r="80">
      <x:c r="A80" s="83" t="str">
        <x:v>VAR-076</x:v>
      </x:c>
      <x:c r="B80" s="83" t="str">
        <x:v>2050_HIGH_GRID</x:v>
      </x:c>
      <x:c r="C80" s="83" t="n">
        <x:v>2050</x:v>
      </x:c>
      <x:c r="D80" s="83" t="str">
        <x:v>CSUD</x:v>
      </x:c>
      <x:c r="E80" s="83" t="str">
        <x:v>CNOR</x:v>
      </x:c>
      <x:c r="F80" s="143" t="n">
        <x:v>6100</x:v>
      </x:c>
      <x:c r="G80" s="197" t="n">
        <x:f>F80/1000</x:f>
        <x:v>6.1</x:v>
      </x:c>
      <x:c r="H80" s="143" t="n">
        <x:v>2040</x:v>
      </x:c>
      <x:c r="I80" s="143" t="str">
        <x:v>S03 Figure 3</x:v>
      </x:c>
      <x:c r="J80" s="143" t="n">
        <x:f>F80-SUMIFS($F:$F,$B:$B,"2040_BASE",$D:$D,D80,$E:$E,E80)</x:f>
        <x:v>0</x:v>
      </x:c>
      <x:c r="K80" s="83" t="str">
        <x:v>No — uplift pending</x:v>
      </x:c>
      <x:c r="L80" s="83" t="str">
        <x:v>Proxy/floor</x:v>
      </x:c>
      <x:c r="M80" s="83" t="str">
        <x:v>Same documented floor plus future uplift to be defined from official 2050/TYNDP evidence; currently a non-executable sensitivity shell</x:v>
      </x:c>
      <x:c r="N80" s="83" t="str">
        <x:v>Use endogenous PyPSA-Eur borders where available; otherwise DDS 2030 totals plus separately approved project overlays</x:v>
      </x:c>
      <x:c r="O80" s="83" t="str">
        <x:v>2050 values are not claimed as Terna 2050 targets.</x:v>
      </x:c>
    </x:row>
    <x:row r="81">
      <x:c r="A81" s="83" t="str">
        <x:v>VAR-077</x:v>
      </x:c>
      <x:c r="B81" s="83" t="str">
        <x:v>2050_HIGH_GRID</x:v>
      </x:c>
      <x:c r="C81" s="83" t="n">
        <x:v>2050</x:v>
      </x:c>
      <x:c r="D81" s="83" t="str">
        <x:v>CSUD</x:v>
      </x:c>
      <x:c r="E81" s="83" t="str">
        <x:v>SUD</x:v>
      </x:c>
      <x:c r="F81" s="143" t="n">
        <x:v>6300</x:v>
      </x:c>
      <x:c r="G81" s="197" t="n">
        <x:f>F81/1000</x:f>
        <x:v>6.3</x:v>
      </x:c>
      <x:c r="H81" s="143" t="n">
        <x:v>2040</x:v>
      </x:c>
      <x:c r="I81" s="143" t="str">
        <x:v>S03 Figure 3</x:v>
      </x:c>
      <x:c r="J81" s="143" t="n">
        <x:f>F81-SUMIFS($F:$F,$B:$B,"2040_BASE",$D:$D,D81,$E:$E,E81)</x:f>
        <x:v>0</x:v>
      </x:c>
      <x:c r="K81" s="83" t="str">
        <x:v>No — uplift pending</x:v>
      </x:c>
      <x:c r="L81" s="83" t="str">
        <x:v>Proxy/floor</x:v>
      </x:c>
      <x:c r="M81" s="83" t="str">
        <x:v>Same documented floor plus future uplift to be defined from official 2050/TYNDP evidence; currently a non-executable sensitivity shell</x:v>
      </x:c>
      <x:c r="N81" s="83" t="str">
        <x:v>Use endogenous PyPSA-Eur borders where available; otherwise DDS 2030 totals plus separately approved project overlays</x:v>
      </x:c>
      <x:c r="O81" s="83" t="str">
        <x:v>2050 values are not claimed as Terna 2050 targets.</x:v>
      </x:c>
    </x:row>
    <x:row r="82">
      <x:c r="A82" s="83" t="str">
        <x:v>VAR-078</x:v>
      </x:c>
      <x:c r="B82" s="83" t="str">
        <x:v>2050_HIGH_GRID</x:v>
      </x:c>
      <x:c r="C82" s="83" t="n">
        <x:v>2050</x:v>
      </x:c>
      <x:c r="D82" s="83" t="str">
        <x:v>SUD</x:v>
      </x:c>
      <x:c r="E82" s="83" t="str">
        <x:v>CSUD</x:v>
      </x:c>
      <x:c r="F82" s="143" t="n">
        <x:v>9100</x:v>
      </x:c>
      <x:c r="G82" s="197" t="n">
        <x:f>F82/1000</x:f>
        <x:v>9.1</x:v>
      </x:c>
      <x:c r="H82" s="143" t="n">
        <x:v>2040</x:v>
      </x:c>
      <x:c r="I82" s="143" t="str">
        <x:v>S03 Figure 3</x:v>
      </x:c>
      <x:c r="J82" s="143" t="n">
        <x:f>F82-SUMIFS($F:$F,$B:$B,"2040_BASE",$D:$D,D82,$E:$E,E82)</x:f>
        <x:v>0</x:v>
      </x:c>
      <x:c r="K82" s="83" t="str">
        <x:v>No — uplift pending</x:v>
      </x:c>
      <x:c r="L82" s="83" t="str">
        <x:v>Proxy/floor</x:v>
      </x:c>
      <x:c r="M82" s="83" t="str">
        <x:v>Same documented floor plus future uplift to be defined from official 2050/TYNDP evidence; currently a non-executable sensitivity shell</x:v>
      </x:c>
      <x:c r="N82" s="83" t="str">
        <x:v>Use endogenous PyPSA-Eur borders where available; otherwise DDS 2030 totals plus separately approved project overlays</x:v>
      </x:c>
      <x:c r="O82" s="83" t="str">
        <x:v>2050 values are not claimed as Terna 2050 targets.</x:v>
      </x:c>
    </x:row>
    <x:row r="83">
      <x:c r="A83" s="83" t="str">
        <x:v>VAR-079</x:v>
      </x:c>
      <x:c r="B83" s="83" t="str">
        <x:v>2050_HIGH_GRID</x:v>
      </x:c>
      <x:c r="C83" s="83" t="n">
        <x:v>2050</x:v>
      </x:c>
      <x:c r="D83" s="83" t="str">
        <x:v>SUD</x:v>
      </x:c>
      <x:c r="E83" s="83" t="str">
        <x:v>CALA</x:v>
      </x:c>
      <x:c r="F83" s="143" t="n">
        <x:v>4100</x:v>
      </x:c>
      <x:c r="G83" s="197" t="n">
        <x:f>F83/1000</x:f>
        <x:v>4.1</x:v>
      </x:c>
      <x:c r="H83" s="143" t="n">
        <x:v>2040</x:v>
      </x:c>
      <x:c r="I83" s="143" t="str">
        <x:v>S03 Figure 3</x:v>
      </x:c>
      <x:c r="J83" s="143" t="n">
        <x:f>F83-SUMIFS($F:$F,$B:$B,"2040_BASE",$D:$D,D83,$E:$E,E83)</x:f>
        <x:v>0</x:v>
      </x:c>
      <x:c r="K83" s="83" t="str">
        <x:v>No — uplift pending</x:v>
      </x:c>
      <x:c r="L83" s="83" t="str">
        <x:v>Proxy/floor</x:v>
      </x:c>
      <x:c r="M83" s="83" t="str">
        <x:v>Same documented floor plus future uplift to be defined from official 2050/TYNDP evidence; currently a non-executable sensitivity shell</x:v>
      </x:c>
      <x:c r="N83" s="83" t="str">
        <x:v>Use endogenous PyPSA-Eur borders where available; otherwise DDS 2030 totals plus separately approved project overlays</x:v>
      </x:c>
      <x:c r="O83" s="83" t="str">
        <x:v>2050 values are not claimed as Terna 2050 targets.</x:v>
      </x:c>
    </x:row>
    <x:row r="84">
      <x:c r="A84" s="83" t="str">
        <x:v>VAR-080</x:v>
      </x:c>
      <x:c r="B84" s="83" t="str">
        <x:v>2050_HIGH_GRID</x:v>
      </x:c>
      <x:c r="C84" s="83" t="n">
        <x:v>2050</x:v>
      </x:c>
      <x:c r="D84" s="83" t="str">
        <x:v>CALA</x:v>
      </x:c>
      <x:c r="E84" s="83" t="str">
        <x:v>SUD</x:v>
      </x:c>
      <x:c r="F84" s="143" t="n">
        <x:v>5350</x:v>
      </x:c>
      <x:c r="G84" s="197" t="n">
        <x:f>F84/1000</x:f>
        <x:v>5.35</x:v>
      </x:c>
      <x:c r="H84" s="143" t="n">
        <x:v>2040</x:v>
      </x:c>
      <x:c r="I84" s="143" t="str">
        <x:v>S03 Figure 3</x:v>
      </x:c>
      <x:c r="J84" s="143" t="n">
        <x:f>F84-SUMIFS($F:$F,$B:$B,"2040_BASE",$D:$D,D84,$E:$E,E84)</x:f>
        <x:v>0</x:v>
      </x:c>
      <x:c r="K84" s="83" t="str">
        <x:v>No — uplift pending</x:v>
      </x:c>
      <x:c r="L84" s="83" t="str">
        <x:v>Proxy/floor</x:v>
      </x:c>
      <x:c r="M84" s="83" t="str">
        <x:v>Same documented floor plus future uplift to be defined from official 2050/TYNDP evidence; currently a non-executable sensitivity shell</x:v>
      </x:c>
      <x:c r="N84" s="83" t="str">
        <x:v>Use endogenous PyPSA-Eur borders where available; otherwise DDS 2030 totals plus separately approved project overlays</x:v>
      </x:c>
      <x:c r="O84" s="83" t="str">
        <x:v>2050 values are not claimed as Terna 2050 targets.</x:v>
      </x:c>
    </x:row>
    <x:row r="85">
      <x:c r="A85" s="83" t="str">
        <x:v>VAR-081</x:v>
      </x:c>
      <x:c r="B85" s="83" t="str">
        <x:v>2050_HIGH_GRID</x:v>
      </x:c>
      <x:c r="C85" s="83" t="n">
        <x:v>2050</x:v>
      </x:c>
      <x:c r="D85" s="83" t="str">
        <x:v>CALA</x:v>
      </x:c>
      <x:c r="E85" s="83" t="str">
        <x:v>SICI</x:v>
      </x:c>
      <x:c r="F85" s="143" t="n">
        <x:v>4150</x:v>
      </x:c>
      <x:c r="G85" s="197" t="n">
        <x:f>F85/1000</x:f>
        <x:v>4.15</x:v>
      </x:c>
      <x:c r="H85" s="143" t="n">
        <x:v>2040</x:v>
      </x:c>
      <x:c r="I85" s="143" t="str">
        <x:v>S03 Figure 3</x:v>
      </x:c>
      <x:c r="J85" s="143" t="n">
        <x:f>F85-SUMIFS($F:$F,$B:$B,"2040_BASE",$D:$D,D85,$E:$E,E85)</x:f>
        <x:v>0</x:v>
      </x:c>
      <x:c r="K85" s="83" t="str">
        <x:v>No — uplift pending</x:v>
      </x:c>
      <x:c r="L85" s="83" t="str">
        <x:v>Proxy/floor</x:v>
      </x:c>
      <x:c r="M85" s="83" t="str">
        <x:v>Same documented floor plus future uplift to be defined from official 2050/TYNDP evidence; currently a non-executable sensitivity shell</x:v>
      </x:c>
      <x:c r="N85" s="83" t="str">
        <x:v>Use endogenous PyPSA-Eur borders where available; otherwise DDS 2030 totals plus separately approved project overlays</x:v>
      </x:c>
      <x:c r="O85" s="83" t="str">
        <x:v>2050 values are not claimed as Terna 2050 targets.</x:v>
      </x:c>
    </x:row>
    <x:row r="86">
      <x:c r="A86" s="83" t="str">
        <x:v>VAR-082</x:v>
      </x:c>
      <x:c r="B86" s="83" t="str">
        <x:v>2050_HIGH_GRID</x:v>
      </x:c>
      <x:c r="C86" s="83" t="n">
        <x:v>2050</x:v>
      </x:c>
      <x:c r="D86" s="83" t="str">
        <x:v>SICI</x:v>
      </x:c>
      <x:c r="E86" s="83" t="str">
        <x:v>CALA</x:v>
      </x:c>
      <x:c r="F86" s="143" t="n">
        <x:v>4100</x:v>
      </x:c>
      <x:c r="G86" s="197" t="n">
        <x:f>F86/1000</x:f>
        <x:v>4.1</x:v>
      </x:c>
      <x:c r="H86" s="143" t="n">
        <x:v>2040</x:v>
      </x:c>
      <x:c r="I86" s="143" t="str">
        <x:v>S03 Figure 3</x:v>
      </x:c>
      <x:c r="J86" s="143" t="n">
        <x:f>F86-SUMIFS($F:$F,$B:$B,"2040_BASE",$D:$D,D86,$E:$E,E86)</x:f>
        <x:v>0</x:v>
      </x:c>
      <x:c r="K86" s="83" t="str">
        <x:v>No — uplift pending</x:v>
      </x:c>
      <x:c r="L86" s="83" t="str">
        <x:v>Proxy/floor</x:v>
      </x:c>
      <x:c r="M86" s="83" t="str">
        <x:v>Same documented floor plus future uplift to be defined from official 2050/TYNDP evidence; currently a non-executable sensitivity shell</x:v>
      </x:c>
      <x:c r="N86" s="83" t="str">
        <x:v>Use endogenous PyPSA-Eur borders where available; otherwise DDS 2030 totals plus separately approved project overlays</x:v>
      </x:c>
      <x:c r="O86" s="83" t="str">
        <x:v>2050 values are not claimed as Terna 2050 targets.</x:v>
      </x:c>
    </x:row>
    <x:row r="87">
      <x:c r="A87" s="83" t="str">
        <x:v>VAR-083</x:v>
      </x:c>
      <x:c r="B87" s="83" t="str">
        <x:v>2050_HIGH_GRID</x:v>
      </x:c>
      <x:c r="C87" s="83" t="n">
        <x:v>2050</x:v>
      </x:c>
      <x:c r="D87" s="83" t="str">
        <x:v>CSUD</x:v>
      </x:c>
      <x:c r="E87" s="83" t="str">
        <x:v>SARD</x:v>
      </x:c>
      <x:c r="F87" s="143" t="n">
        <x:v>1720</x:v>
      </x:c>
      <x:c r="G87" s="197" t="n">
        <x:f>F87/1000</x:f>
        <x:v>1.72</x:v>
      </x:c>
      <x:c r="H87" s="143" t="n">
        <x:v>2040</x:v>
      </x:c>
      <x:c r="I87" s="143" t="str">
        <x:v>S03 Figure 3</x:v>
      </x:c>
      <x:c r="J87" s="143" t="n">
        <x:f>F87-SUMIFS($F:$F,$B:$B,"2040_BASE",$D:$D,D87,$E:$E,E87)</x:f>
        <x:v>0</x:v>
      </x:c>
      <x:c r="K87" s="83" t="str">
        <x:v>No — uplift pending</x:v>
      </x:c>
      <x:c r="L87" s="83" t="str">
        <x:v>Proxy/floor</x:v>
      </x:c>
      <x:c r="M87" s="83" t="str">
        <x:v>Same documented floor plus future uplift to be defined from official 2050/TYNDP evidence; currently a non-executable sensitivity shell</x:v>
      </x:c>
      <x:c r="N87" s="83" t="str">
        <x:v>Use endogenous PyPSA-Eur borders where available; otherwise DDS 2030 totals plus separately approved project overlays</x:v>
      </x:c>
      <x:c r="O87" s="83" t="str">
        <x:v>2050 values are not claimed as Terna 2050 targets.</x:v>
      </x:c>
    </x:row>
    <x:row r="88">
      <x:c r="A88" s="83" t="str">
        <x:v>VAR-084</x:v>
      </x:c>
      <x:c r="B88" s="83" t="str">
        <x:v>2050_HIGH_GRID</x:v>
      </x:c>
      <x:c r="C88" s="83" t="n">
        <x:v>2050</x:v>
      </x:c>
      <x:c r="D88" s="83" t="str">
        <x:v>SARD</x:v>
      </x:c>
      <x:c r="E88" s="83" t="str">
        <x:v>CSUD</x:v>
      </x:c>
      <x:c r="F88" s="143" t="n">
        <x:v>1900</x:v>
      </x:c>
      <x:c r="G88" s="197" t="n">
        <x:f>F88/1000</x:f>
        <x:v>1.9</x:v>
      </x:c>
      <x:c r="H88" s="143" t="n">
        <x:v>2040</x:v>
      </x:c>
      <x:c r="I88" s="143" t="str">
        <x:v>S03 Figure 3</x:v>
      </x:c>
      <x:c r="J88" s="143" t="n">
        <x:f>F88-SUMIFS($F:$F,$B:$B,"2040_BASE",$D:$D,D88,$E:$E,E88)</x:f>
        <x:v>0</x:v>
      </x:c>
      <x:c r="K88" s="83" t="str">
        <x:v>No — uplift pending</x:v>
      </x:c>
      <x:c r="L88" s="83" t="str">
        <x:v>Proxy/floor</x:v>
      </x:c>
      <x:c r="M88" s="83" t="str">
        <x:v>Same documented floor plus future uplift to be defined from official 2050/TYNDP evidence; currently a non-executable sensitivity shell</x:v>
      </x:c>
      <x:c r="N88" s="83" t="str">
        <x:v>Use endogenous PyPSA-Eur borders where available; otherwise DDS 2030 totals plus separately approved project overlays</x:v>
      </x:c>
      <x:c r="O88" s="83" t="str">
        <x:v>2050 values are not claimed as Terna 2050 targets.</x:v>
      </x:c>
    </x:row>
    <x:row r="89">
      <x:c r="A89" s="83" t="str">
        <x:v>VAR-085</x:v>
      </x:c>
      <x:c r="B89" s="83" t="str">
        <x:v>2050_HIGH_GRID</x:v>
      </x:c>
      <x:c r="C89" s="83" t="n">
        <x:v>2050</x:v>
      </x:c>
      <x:c r="D89" s="83" t="str">
        <x:v>CNOR</x:v>
      </x:c>
      <x:c r="E89" s="83" t="str">
        <x:v>CORS</x:v>
      </x:c>
      <x:c r="F89" s="143" t="n">
        <x:v>400</x:v>
      </x:c>
      <x:c r="G89" s="197" t="n">
        <x:f>F89/1000</x:f>
        <x:v>0.4</x:v>
      </x:c>
      <x:c r="H89" s="143" t="n">
        <x:v>2040</x:v>
      </x:c>
      <x:c r="I89" s="143" t="str">
        <x:v>S03 Figure 3</x:v>
      </x:c>
      <x:c r="J89" s="143" t="n">
        <x:f>F89-SUMIFS($F:$F,$B:$B,"2040_BASE",$D:$D,D89,$E:$E,E89)</x:f>
        <x:v>0</x:v>
      </x:c>
      <x:c r="K89" s="83" t="str">
        <x:v>No — uplift pending</x:v>
      </x:c>
      <x:c r="L89" s="83" t="str">
        <x:v>Proxy/floor</x:v>
      </x:c>
      <x:c r="M89" s="83" t="str">
        <x:v>Same documented floor plus future uplift to be defined from official 2050/TYNDP evidence; currently a non-executable sensitivity shell</x:v>
      </x:c>
      <x:c r="N89" s="83" t="str">
        <x:v>Use endogenous PyPSA-Eur borders where available; otherwise DDS 2030 totals plus separately approved project overlays</x:v>
      </x:c>
      <x:c r="O89" s="83" t="str">
        <x:v>2050 values are not claimed as Terna 2050 targets.</x:v>
      </x:c>
    </x:row>
    <x:row r="90">
      <x:c r="A90" s="83" t="str">
        <x:v>VAR-086</x:v>
      </x:c>
      <x:c r="B90" s="83" t="str">
        <x:v>2050_HIGH_GRID</x:v>
      </x:c>
      <x:c r="C90" s="83" t="n">
        <x:v>2050</x:v>
      </x:c>
      <x:c r="D90" s="83" t="str">
        <x:v>CORS</x:v>
      </x:c>
      <x:c r="E90" s="83" t="str">
        <x:v>CNOR</x:v>
      </x:c>
      <x:c r="F90" s="143" t="n">
        <x:v>400</x:v>
      </x:c>
      <x:c r="G90" s="197" t="n">
        <x:f>F90/1000</x:f>
        <x:v>0.4</x:v>
      </x:c>
      <x:c r="H90" s="143" t="n">
        <x:v>2040</x:v>
      </x:c>
      <x:c r="I90" s="143" t="str">
        <x:v>S03 Figure 3</x:v>
      </x:c>
      <x:c r="J90" s="143" t="n">
        <x:f>F90-SUMIFS($F:$F,$B:$B,"2040_BASE",$D:$D,D90,$E:$E,E90)</x:f>
        <x:v>0</x:v>
      </x:c>
      <x:c r="K90" s="83" t="str">
        <x:v>No — uplift pending</x:v>
      </x:c>
      <x:c r="L90" s="83" t="str">
        <x:v>Proxy/floor</x:v>
      </x:c>
      <x:c r="M90" s="83" t="str">
        <x:v>Same documented floor plus future uplift to be defined from official 2050/TYNDP evidence; currently a non-executable sensitivity shell</x:v>
      </x:c>
      <x:c r="N90" s="83" t="str">
        <x:v>Use endogenous PyPSA-Eur borders where available; otherwise DDS 2030 totals plus separately approved project overlays</x:v>
      </x:c>
      <x:c r="O90" s="83" t="str">
        <x:v>2050 values are not claimed as Terna 2050 targets.</x:v>
      </x:c>
    </x:row>
    <x:row r="91">
      <x:c r="A91" s="83" t="str">
        <x:v>VAR-087</x:v>
      </x:c>
      <x:c r="B91" s="83" t="str">
        <x:v>2050_HIGH_GRID</x:v>
      </x:c>
      <x:c r="C91" s="83" t="n">
        <x:v>2050</x:v>
      </x:c>
      <x:c r="D91" s="83" t="str">
        <x:v>CORS</x:v>
      </x:c>
      <x:c r="E91" s="83" t="str">
        <x:v>SARD</x:v>
      </x:c>
      <x:c r="F91" s="143" t="n">
        <x:v>400</x:v>
      </x:c>
      <x:c r="G91" s="197" t="n">
        <x:f>F91/1000</x:f>
        <x:v>0.4</x:v>
      </x:c>
      <x:c r="H91" s="143" t="n">
        <x:v>2040</x:v>
      </x:c>
      <x:c r="I91" s="143" t="str">
        <x:v>S03 Figure 3</x:v>
      </x:c>
      <x:c r="J91" s="143" t="n">
        <x:f>F91-SUMIFS($F:$F,$B:$B,"2040_BASE",$D:$D,D91,$E:$E,E91)</x:f>
        <x:v>0</x:v>
      </x:c>
      <x:c r="K91" s="83" t="str">
        <x:v>No — uplift pending</x:v>
      </x:c>
      <x:c r="L91" s="83" t="str">
        <x:v>Proxy/floor</x:v>
      </x:c>
      <x:c r="M91" s="83" t="str">
        <x:v>Same documented floor plus future uplift to be defined from official 2050/TYNDP evidence; currently a non-executable sensitivity shell</x:v>
      </x:c>
      <x:c r="N91" s="83" t="str">
        <x:v>Use endogenous PyPSA-Eur borders where available; otherwise DDS 2030 totals plus separately approved project overlays</x:v>
      </x:c>
      <x:c r="O91" s="83" t="str">
        <x:v>2050 values are not claimed as Terna 2050 targets.</x:v>
      </x:c>
    </x:row>
    <x:row r="92">
      <x:c r="A92" s="83" t="str">
        <x:v>VAR-088</x:v>
      </x:c>
      <x:c r="B92" s="83" t="str">
        <x:v>2050_HIGH_GRID</x:v>
      </x:c>
      <x:c r="C92" s="83" t="n">
        <x:v>2050</x:v>
      </x:c>
      <x:c r="D92" s="83" t="str">
        <x:v>SARD</x:v>
      </x:c>
      <x:c r="E92" s="83" t="str">
        <x:v>CORS</x:v>
      </x:c>
      <x:c r="F92" s="143" t="n">
        <x:v>400</x:v>
      </x:c>
      <x:c r="G92" s="197" t="n">
        <x:f>F92/1000</x:f>
        <x:v>0.4</x:v>
      </x:c>
      <x:c r="H92" s="143" t="n">
        <x:v>2040</x:v>
      </x:c>
      <x:c r="I92" s="143" t="str">
        <x:v>S03 Figure 3</x:v>
      </x:c>
      <x:c r="J92" s="143" t="n">
        <x:f>F92-SUMIFS($F:$F,$B:$B,"2040_BASE",$D:$D,D92,$E:$E,E92)</x:f>
        <x:v>0</x:v>
      </x:c>
      <x:c r="K92" s="83" t="str">
        <x:v>No — uplift pending</x:v>
      </x:c>
      <x:c r="L92" s="83" t="str">
        <x:v>Proxy/floor</x:v>
      </x:c>
      <x:c r="M92" s="83" t="str">
        <x:v>Same documented floor plus future uplift to be defined from official 2050/TYNDP evidence; currently a non-executable sensitivity shell</x:v>
      </x:c>
      <x:c r="N92" s="83" t="str">
        <x:v>Use endogenous PyPSA-Eur borders where available; otherwise DDS 2030 totals plus separately approved project overlays</x:v>
      </x:c>
      <x:c r="O92" s="83" t="str">
        <x:v>2050 values are not claimed as Terna 2050 targets.</x:v>
      </x:c>
    </x:row>
    <x:row r="93">
      <x:c r="A93" s="83" t="str">
        <x:v>VAR-089</x:v>
      </x:c>
      <x:c r="B93" s="83" t="str">
        <x:v>2050_HIGH_GRID</x:v>
      </x:c>
      <x:c r="C93" s="83" t="n">
        <x:v>2050</x:v>
      </x:c>
      <x:c r="D93" s="83" t="str">
        <x:v>NORD</x:v>
      </x:c>
      <x:c r="E93" s="83" t="str">
        <x:v>SUD</x:v>
      </x:c>
      <x:c r="F93" s="143" t="n">
        <x:v>2100</x:v>
      </x:c>
      <x:c r="G93" s="197" t="n">
        <x:f>F93/1000</x:f>
        <x:v>2.1</x:v>
      </x:c>
      <x:c r="H93" s="143" t="n">
        <x:v>2040</x:v>
      </x:c>
      <x:c r="I93" s="143" t="str">
        <x:v>S03 Figure 3</x:v>
      </x:c>
      <x:c r="J93" s="143" t="n">
        <x:f>F93-SUMIFS($F:$F,$B:$B,"2040_BASE",$D:$D,D93,$E:$E,E93)</x:f>
        <x:v>0</x:v>
      </x:c>
      <x:c r="K93" s="83" t="str">
        <x:v>No — uplift pending</x:v>
      </x:c>
      <x:c r="L93" s="83" t="str">
        <x:v>Proxy/floor</x:v>
      </x:c>
      <x:c r="M93" s="83" t="str">
        <x:v>Same documented floor plus future uplift to be defined from official 2050/TYNDP evidence; currently a non-executable sensitivity shell</x:v>
      </x:c>
      <x:c r="N93" s="83" t="str">
        <x:v>Use endogenous PyPSA-Eur borders where available; otherwise DDS 2030 totals plus separately approved project overlays</x:v>
      </x:c>
      <x:c r="O93" s="83" t="str">
        <x:v>2050 values are not claimed as Terna 2050 targets.</x:v>
      </x:c>
    </x:row>
    <x:row r="94">
      <x:c r="A94" s="83" t="str">
        <x:v>VAR-090</x:v>
      </x:c>
      <x:c r="B94" s="83" t="str">
        <x:v>2050_HIGH_GRID</x:v>
      </x:c>
      <x:c r="C94" s="83" t="n">
        <x:v>2050</x:v>
      </x:c>
      <x:c r="D94" s="83" t="str">
        <x:v>SUD</x:v>
      </x:c>
      <x:c r="E94" s="83" t="str">
        <x:v>NORD</x:v>
      </x:c>
      <x:c r="F94" s="143" t="n">
        <x:v>2100</x:v>
      </x:c>
      <x:c r="G94" s="197" t="n">
        <x:f>F94/1000</x:f>
        <x:v>2.1</x:v>
      </x:c>
      <x:c r="H94" s="143" t="n">
        <x:v>2040</x:v>
      </x:c>
      <x:c r="I94" s="143" t="str">
        <x:v>S03 Figure 3</x:v>
      </x:c>
      <x:c r="J94" s="143" t="n">
        <x:f>F94-SUMIFS($F:$F,$B:$B,"2040_BASE",$D:$D,D94,$E:$E,E94)</x:f>
        <x:v>0</x:v>
      </x:c>
      <x:c r="K94" s="83" t="str">
        <x:v>No — uplift pending</x:v>
      </x:c>
      <x:c r="L94" s="83" t="str">
        <x:v>Proxy/floor</x:v>
      </x:c>
      <x:c r="M94" s="83" t="str">
        <x:v>Same documented floor plus future uplift to be defined from official 2050/TYNDP evidence; currently a non-executable sensitivity shell</x:v>
      </x:c>
      <x:c r="N94" s="83" t="str">
        <x:v>Use endogenous PyPSA-Eur borders where available; otherwise DDS 2030 totals plus separately approved project overlays</x:v>
      </x:c>
      <x:c r="O94" s="83" t="str">
        <x:v>2050 values are not claimed as Terna 2050 targets.</x:v>
      </x:c>
    </x:row>
    <x:row r="95">
      <x:c r="A95" s="83" t="str">
        <x:v>VAR-091</x:v>
      </x:c>
      <x:c r="B95" s="83" t="str">
        <x:v>2050_HIGH_GRID</x:v>
      </x:c>
      <x:c r="C95" s="83" t="n">
        <x:v>2050</x:v>
      </x:c>
      <x:c r="D95" s="83" t="str">
        <x:v>NORD</x:v>
      </x:c>
      <x:c r="E95" s="83" t="str">
        <x:v>CSUD</x:v>
      </x:c>
      <x:c r="F95" s="143" t="n">
        <x:v>2100</x:v>
      </x:c>
      <x:c r="G95" s="197" t="n">
        <x:f>F95/1000</x:f>
        <x:v>2.1</x:v>
      </x:c>
      <x:c r="H95" s="143" t="n">
        <x:v>2040</x:v>
      </x:c>
      <x:c r="I95" s="143" t="str">
        <x:v>S03 Figure 3</x:v>
      </x:c>
      <x:c r="J95" s="143" t="n">
        <x:f>F95-SUMIFS($F:$F,$B:$B,"2040_BASE",$D:$D,D95,$E:$E,E95)</x:f>
        <x:v>0</x:v>
      </x:c>
      <x:c r="K95" s="83" t="str">
        <x:v>No — uplift pending</x:v>
      </x:c>
      <x:c r="L95" s="83" t="str">
        <x:v>Proxy/floor</x:v>
      </x:c>
      <x:c r="M95" s="83" t="str">
        <x:v>Same documented floor plus future uplift to be defined from official 2050/TYNDP evidence; currently a non-executable sensitivity shell</x:v>
      </x:c>
      <x:c r="N95" s="83" t="str">
        <x:v>Use endogenous PyPSA-Eur borders where available; otherwise DDS 2030 totals plus separately approved project overlays</x:v>
      </x:c>
      <x:c r="O95" s="83" t="str">
        <x:v>2050 values are not claimed as Terna 2050 targets.</x:v>
      </x:c>
    </x:row>
    <x:row r="96">
      <x:c r="A96" s="83" t="str">
        <x:v>VAR-092</x:v>
      </x:c>
      <x:c r="B96" s="83" t="str">
        <x:v>2050_HIGH_GRID</x:v>
      </x:c>
      <x:c r="C96" s="83" t="n">
        <x:v>2050</x:v>
      </x:c>
      <x:c r="D96" s="83" t="str">
        <x:v>CSUD</x:v>
      </x:c>
      <x:c r="E96" s="83" t="str">
        <x:v>NORD</x:v>
      </x:c>
      <x:c r="F96" s="143" t="n">
        <x:v>2100</x:v>
      </x:c>
      <x:c r="G96" s="197" t="n">
        <x:f>F96/1000</x:f>
        <x:v>2.1</x:v>
      </x:c>
      <x:c r="H96" s="143" t="n">
        <x:v>2040</x:v>
      </x:c>
      <x:c r="I96" s="143" t="str">
        <x:v>S03 Figure 3</x:v>
      </x:c>
      <x:c r="J96" s="143" t="n">
        <x:f>F96-SUMIFS($F:$F,$B:$B,"2040_BASE",$D:$D,D96,$E:$E,E96)</x:f>
        <x:v>0</x:v>
      </x:c>
      <x:c r="K96" s="83" t="str">
        <x:v>No — uplift pending</x:v>
      </x:c>
      <x:c r="L96" s="83" t="str">
        <x:v>Proxy/floor</x:v>
      </x:c>
      <x:c r="M96" s="83" t="str">
        <x:v>Same documented floor plus future uplift to be defined from official 2050/TYNDP evidence; currently a non-executable sensitivity shell</x:v>
      </x:c>
      <x:c r="N96" s="83" t="str">
        <x:v>Use endogenous PyPSA-Eur borders where available; otherwise DDS 2030 totals plus separately approved project overlays</x:v>
      </x:c>
      <x:c r="O96" s="83" t="str">
        <x:v>2050 values are not claimed as Terna 2050 targets.</x:v>
      </x:c>
    </x:row>
    <x:row r="97">
      <x:c r="A97" s="83" t="str">
        <x:v>VAR-093</x:v>
      </x:c>
      <x:c r="B97" s="83" t="str">
        <x:v>2050_HIGH_GRID</x:v>
      </x:c>
      <x:c r="C97" s="83" t="n">
        <x:v>2050</x:v>
      </x:c>
      <x:c r="D97" s="83" t="str">
        <x:v>CSUD</x:v>
      </x:c>
      <x:c r="E97" s="83" t="str">
        <x:v>SICI</x:v>
      </x:c>
      <x:c r="F97" s="143" t="n">
        <x:v>1000</x:v>
      </x:c>
      <x:c r="G97" s="197" t="n">
        <x:f>F97/1000</x:f>
        <x:v>1</x:v>
      </x:c>
      <x:c r="H97" s="143" t="n">
        <x:v>2040</x:v>
      </x:c>
      <x:c r="I97" s="143" t="str">
        <x:v>S03 Figure 3</x:v>
      </x:c>
      <x:c r="J97" s="143" t="n">
        <x:f>F97-SUMIFS($F:$F,$B:$B,"2040_BASE",$D:$D,D97,$E:$E,E97)</x:f>
        <x:v>0</x:v>
      </x:c>
      <x:c r="K97" s="83" t="str">
        <x:v>No — uplift pending</x:v>
      </x:c>
      <x:c r="L97" s="83" t="str">
        <x:v>Proxy/floor</x:v>
      </x:c>
      <x:c r="M97" s="83" t="str">
        <x:v>Same documented floor plus future uplift to be defined from official 2050/TYNDP evidence; currently a non-executable sensitivity shell</x:v>
      </x:c>
      <x:c r="N97" s="83" t="str">
        <x:v>Use endogenous PyPSA-Eur borders where available; otherwise DDS 2030 totals plus separately approved project overlays</x:v>
      </x:c>
      <x:c r="O97" s="83" t="str">
        <x:v>2050 values are not claimed as Terna 2050 targets.</x:v>
      </x:c>
    </x:row>
    <x:row r="98">
      <x:c r="A98" s="83" t="str">
        <x:v>VAR-094</x:v>
      </x:c>
      <x:c r="B98" s="83" t="str">
        <x:v>2050_HIGH_GRID</x:v>
      </x:c>
      <x:c r="C98" s="83" t="n">
        <x:v>2050</x:v>
      </x:c>
      <x:c r="D98" s="83" t="str">
        <x:v>SICI</x:v>
      </x:c>
      <x:c r="E98" s="83" t="str">
        <x:v>CSUD</x:v>
      </x:c>
      <x:c r="F98" s="143" t="n">
        <x:v>1000</x:v>
      </x:c>
      <x:c r="G98" s="197" t="n">
        <x:f>F98/1000</x:f>
        <x:v>1</x:v>
      </x:c>
      <x:c r="H98" s="143" t="n">
        <x:v>2040</x:v>
      </x:c>
      <x:c r="I98" s="143" t="str">
        <x:v>S03 Figure 3</x:v>
      </x:c>
      <x:c r="J98" s="143" t="n">
        <x:f>F98-SUMIFS($F:$F,$B:$B,"2040_BASE",$D:$D,D98,$E:$E,E98)</x:f>
        <x:v>0</x:v>
      </x:c>
      <x:c r="K98" s="83" t="str">
        <x:v>No — uplift pending</x:v>
      </x:c>
      <x:c r="L98" s="83" t="str">
        <x:v>Proxy/floor</x:v>
      </x:c>
      <x:c r="M98" s="83" t="str">
        <x:v>Same documented floor plus future uplift to be defined from official 2050/TYNDP evidence; currently a non-executable sensitivity shell</x:v>
      </x:c>
      <x:c r="N98" s="83" t="str">
        <x:v>Use endogenous PyPSA-Eur borders where available; otherwise DDS 2030 totals plus separately approved project overlays</x:v>
      </x:c>
      <x:c r="O98" s="83" t="str">
        <x:v>2050 values are not claimed as Terna 2050 targets.</x:v>
      </x:c>
    </x:row>
    <x:row r="99">
      <x:c r="A99" s="83" t="str">
        <x:v>VAR-095</x:v>
      </x:c>
      <x:c r="B99" s="83" t="str">
        <x:v>2050_HIGH_GRID</x:v>
      </x:c>
      <x:c r="C99" s="83" t="n">
        <x:v>2050</x:v>
      </x:c>
      <x:c r="D99" s="83" t="str">
        <x:v>SARD</x:v>
      </x:c>
      <x:c r="E99" s="83" t="str">
        <x:v>SICI</x:v>
      </x:c>
      <x:c r="F99" s="143" t="n">
        <x:v>1000</x:v>
      </x:c>
      <x:c r="G99" s="197" t="n">
        <x:f>F99/1000</x:f>
        <x:v>1</x:v>
      </x:c>
      <x:c r="H99" s="143" t="n">
        <x:v>2040</x:v>
      </x:c>
      <x:c r="I99" s="143" t="str">
        <x:v>S03 Figure 3</x:v>
      </x:c>
      <x:c r="J99" s="143" t="n">
        <x:f>F99-SUMIFS($F:$F,$B:$B,"2040_BASE",$D:$D,D99,$E:$E,E99)</x:f>
        <x:v>0</x:v>
      </x:c>
      <x:c r="K99" s="83" t="str">
        <x:v>No — uplift pending</x:v>
      </x:c>
      <x:c r="L99" s="83" t="str">
        <x:v>Proxy/floor</x:v>
      </x:c>
      <x:c r="M99" s="83" t="str">
        <x:v>Same documented floor plus future uplift to be defined from official 2050/TYNDP evidence; currently a non-executable sensitivity shell</x:v>
      </x:c>
      <x:c r="N99" s="83" t="str">
        <x:v>Use endogenous PyPSA-Eur borders where available; otherwise DDS 2030 totals plus separately approved project overlays</x:v>
      </x:c>
      <x:c r="O99" s="83" t="str">
        <x:v>2050 values are not claimed as Terna 2050 targets.</x:v>
      </x:c>
    </x:row>
    <x:row r="100">
      <x:c r="A100" s="83" t="str">
        <x:v>VAR-096</x:v>
      </x:c>
      <x:c r="B100" s="83" t="str">
        <x:v>2050_HIGH_GRID</x:v>
      </x:c>
      <x:c r="C100" s="83" t="n">
        <x:v>2050</x:v>
      </x:c>
      <x:c r="D100" s="83" t="str">
        <x:v>SICI</x:v>
      </x:c>
      <x:c r="E100" s="83" t="str">
        <x:v>SARD</x:v>
      </x:c>
      <x:c r="F100" s="143" t="n">
        <x:v>1000</x:v>
      </x:c>
      <x:c r="G100" s="197" t="n">
        <x:f>F100/1000</x:f>
        <x:v>1</x:v>
      </x:c>
      <x:c r="H100" s="143" t="n">
        <x:v>2040</x:v>
      </x:c>
      <x:c r="I100" s="143" t="str">
        <x:v>S03 Figure 3</x:v>
      </x:c>
      <x:c r="J100" s="143" t="n">
        <x:f>F100-SUMIFS($F:$F,$B:$B,"2040_BASE",$D:$D,D100,$E:$E,E100)</x:f>
        <x:v>0</x:v>
      </x:c>
      <x:c r="K100" s="83" t="str">
        <x:v>No — uplift pending</x:v>
      </x:c>
      <x:c r="L100" s="83" t="str">
        <x:v>Proxy/floor</x:v>
      </x:c>
      <x:c r="M100" s="83" t="str">
        <x:v>Same documented floor plus future uplift to be defined from official 2050/TYNDP evidence; currently a non-executable sensitivity shell</x:v>
      </x:c>
      <x:c r="N100" s="83" t="str">
        <x:v>Use endogenous PyPSA-Eur borders where available; otherwise DDS 2030 totals plus separately approved project overlays</x:v>
      </x:c>
      <x:c r="O100" s="83" t="str">
        <x:v>2050 values are not claimed as Terna 2050 targets.</x:v>
      </x:c>
    </x:row>
  </x:sheetData>
  <x:mergeCells>
    <x:mergeCell ref="A1:O1"/>
    <x:mergeCell ref="A2:O2"/>
  </x:mergeCells>
  <x:conditionalFormatting sqref="B5:B100">
    <x:cfRule type="expression" dxfId="55" priority="1">
      <x:formula>B5="2040_BASE"</x:formula>
    </x:cfRule>
    <x:cfRule type="expression" dxfId="56" priority="2">
      <x:formula>B5="2040_CONSERVATIVE"</x:formula>
    </x:cfRule>
  </x:conditionalFormatting>
  <x:conditionalFormatting sqref="K5:K100">
    <x:cfRule type="expression" dxfId="57" priority="3">
      <x:formula>LEFT(K5,2)="No"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f4349ef91b4899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2" hidden="0" customWidth="1"/>
    <x:col min="4" max="4" width="52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4" hidden="0" customWidth="1"/>
    <x:col min="10" max="10" width="68" hidden="0" customWidth="1"/>
  </x:cols>
  <x:sheetData>
    <x:row r="1" ht="34" customHeight="1">
      <x:c r="A1" s="232" t="str">
        <x:v>Controlli di qualità — Fase 3C</x:v>
      </x:c>
      <x:c r="B1" s="232"/>
      <x:c r="C1" s="232"/>
      <x:c r="D1" s="232"/>
      <x:c r="E1" s="232"/>
      <x:c r="F1" s="232"/>
      <x:c r="G1" s="232"/>
      <x:c r="H1" s="232"/>
      <x:c r="I1" s="232"/>
      <x:c r="J1" s="232"/>
    </x:row>
    <x:row r="2" ht="30" customHeight="1">
      <x:c r="A2" s="236" t="str">
        <x:v>66 controlli: riconciliazione corrente, traiettorie, revisioni e semantica NTC/nominale</x:v>
      </x:c>
      <x:c r="B2" s="236"/>
      <x:c r="C2" s="236"/>
      <x:c r="D2" s="236"/>
      <x:c r="E2" s="236"/>
      <x:c r="F2" s="236"/>
      <x:c r="G2" s="236"/>
      <x:c r="H2" s="236"/>
      <x:c r="I2" s="236"/>
      <x:c r="J2" s="236"/>
    </x:row>
    <x:row r="4" ht="42" customHeight="1">
      <x:c r="A4" s="240" t="str">
        <x:v>QA ID</x:v>
      </x:c>
      <x:c r="B4" s="240" t="str">
        <x:v>Tipo controllo</x:v>
      </x:c>
      <x:c r="C4" s="240" t="str">
        <x:v>Arco/oggetto</x:v>
      </x:c>
      <x:c r="D4" s="240" t="str">
        <x:v>Metrica</x:v>
      </x:c>
      <x:c r="E4" s="240" t="str">
        <x:v>Atteso</x:v>
      </x:c>
      <x:c r="F4" s="240" t="str">
        <x:v>Calcolato</x:v>
      </x:c>
      <x:c r="G4" s="240" t="str">
        <x:v>Differenza</x:v>
      </x:c>
      <x:c r="H4" s="240" t="str">
        <x:v>Tolleranza</x:v>
      </x:c>
      <x:c r="I4" s="240" t="str">
        <x:v>Stato</x:v>
      </x:c>
      <x:c r="J4" s="240" t="str">
        <x:v>Note</x:v>
      </x:c>
    </x:row>
    <x:row r="5">
      <x:c r="A5" s="83" t="str">
        <x:v>QA3C-001</x:v>
      </x:c>
      <x:c r="B5" s="83" t="str">
        <x:v>Current-limit reconciliation</x:v>
      </x:c>
      <x:c r="C5" s="83" t="str">
        <x:v>NORD→CNOR</x:v>
      </x:c>
      <x:c r="D5" s="83" t="str">
        <x:v>S01 seasonal maximum vs S03 current maximum</x:v>
      </x:c>
      <x:c r="E5" s="242" t="n">
        <x:v>4300</x:v>
      </x:c>
      <x:c r="F5" s="242" t="n">
        <x:v>4300</x:v>
      </x:c>
      <x:c r="G5" s="242" t="n">
        <x:f>F5-E5</x:f>
        <x:v>0</x:v>
      </x:c>
      <x:c r="H5" s="242" t="n">
        <x:v>50</x:v>
      </x:c>
      <x:c r="I5" s="83" t="str">
        <x:f>IF(B5="Source revision comparison",IF(G5=0,"PASS","INFO"),IF(ABS(G5)&lt;=H5,"PASS","REVIEW"))</x:f>
        <x:v>PASS</x:v>
      </x:c>
      <x:c r="J5" s="83" t="str">
        <x:v>S03 Figure 3 uses maximum current limits; S01 slash values are conditional ranges.</x:v>
      </x:c>
    </x:row>
    <x:row r="6">
      <x:c r="A6" s="83" t="str">
        <x:v>QA3C-002</x:v>
      </x:c>
      <x:c r="B6" s="83" t="str">
        <x:v>Current-limit reconciliation</x:v>
      </x:c>
      <x:c r="C6" s="83" t="str">
        <x:v>CNOR→NORD</x:v>
      </x:c>
      <x:c r="D6" s="83" t="str">
        <x:v>S01 seasonal maximum vs S03 current maximum</x:v>
      </x:c>
      <x:c r="E6" s="242" t="n">
        <x:v>3100</x:v>
      </x:c>
      <x:c r="F6" s="242" t="n">
        <x:v>3100</x:v>
      </x:c>
      <x:c r="G6" s="242" t="n">
        <x:f>F6-E6</x:f>
        <x:v>0</x:v>
      </x:c>
      <x:c r="H6" s="242" t="n">
        <x:v>50</x:v>
      </x:c>
      <x:c r="I6" s="83" t="str">
        <x:f>IF(B6="Source revision comparison",IF(G6=0,"PASS","INFO"),IF(ABS(G6)&lt;=H6,"PASS","REVIEW"))</x:f>
        <x:v>PASS</x:v>
      </x:c>
      <x:c r="J6" s="83" t="str">
        <x:v>S03 Figure 3 uses maximum current limits; S01 slash values are conditional ranges.</x:v>
      </x:c>
    </x:row>
    <x:row r="7">
      <x:c r="A7" s="83" t="str">
        <x:v>QA3C-003</x:v>
      </x:c>
      <x:c r="B7" s="83" t="str">
        <x:v>Current-limit reconciliation</x:v>
      </x:c>
      <x:c r="C7" s="83" t="str">
        <x:v>CNOR→CSUD</x:v>
      </x:c>
      <x:c r="D7" s="83" t="str">
        <x:v>S01 seasonal maximum vs S03 current maximum</x:v>
      </x:c>
      <x:c r="E7" s="242" t="n">
        <x:v>2900</x:v>
      </x:c>
      <x:c r="F7" s="242" t="n">
        <x:v>2900</x:v>
      </x:c>
      <x:c r="G7" s="242" t="n">
        <x:f>F7-E7</x:f>
        <x:v>0</x:v>
      </x:c>
      <x:c r="H7" s="242" t="n">
        <x:v>50</x:v>
      </x:c>
      <x:c r="I7" s="83" t="str">
        <x:f>IF(B7="Source revision comparison",IF(G7=0,"PASS","INFO"),IF(ABS(G7)&lt;=H7,"PASS","REVIEW"))</x:f>
        <x:v>PASS</x:v>
      </x:c>
      <x:c r="J7" s="83" t="str">
        <x:v>S03 Figure 3 uses maximum current limits; S01 slash values are conditional ranges.</x:v>
      </x:c>
    </x:row>
    <x:row r="8">
      <x:c r="A8" s="83" t="str">
        <x:v>QA3C-004</x:v>
      </x:c>
      <x:c r="B8" s="83" t="str">
        <x:v>Current-limit reconciliation</x:v>
      </x:c>
      <x:c r="C8" s="83" t="str">
        <x:v>CSUD→CNOR</x:v>
      </x:c>
      <x:c r="D8" s="83" t="str">
        <x:v>S01 seasonal maximum vs S03 current maximum</x:v>
      </x:c>
      <x:c r="E8" s="242" t="n">
        <x:v>2800</x:v>
      </x:c>
      <x:c r="F8" s="242" t="n">
        <x:v>2800</x:v>
      </x:c>
      <x:c r="G8" s="242" t="n">
        <x:f>F8-E8</x:f>
        <x:v>0</x:v>
      </x:c>
      <x:c r="H8" s="242" t="n">
        <x:v>50</x:v>
      </x:c>
      <x:c r="I8" s="83" t="str">
        <x:f>IF(B8="Source revision comparison",IF(G8=0,"PASS","INFO"),IF(ABS(G8)&lt;=H8,"PASS","REVIEW"))</x:f>
        <x:v>PASS</x:v>
      </x:c>
      <x:c r="J8" s="83" t="str">
        <x:v>S03 Figure 3 uses maximum current limits; S01 slash values are conditional ranges.</x:v>
      </x:c>
    </x:row>
    <x:row r="9">
      <x:c r="A9" s="83" t="str">
        <x:v>QA3C-005</x:v>
      </x:c>
      <x:c r="B9" s="83" t="str">
        <x:v>Current-limit reconciliation</x:v>
      </x:c>
      <x:c r="C9" s="83" t="str">
        <x:v>CSUD→SUD</x:v>
      </x:c>
      <x:c r="D9" s="83" t="str">
        <x:v>S01 seasonal maximum vs S03 current maximum</x:v>
      </x:c>
      <x:c r="E9" s="242" t="n">
        <x:v>2400</x:v>
      </x:c>
      <x:c r="F9" s="242" t="n">
        <x:v>2400</x:v>
      </x:c>
      <x:c r="G9" s="242" t="n">
        <x:f>F9-E9</x:f>
        <x:v>0</x:v>
      </x:c>
      <x:c r="H9" s="242" t="n">
        <x:v>50</x:v>
      </x:c>
      <x:c r="I9" s="83" t="str">
        <x:f>IF(B9="Source revision comparison",IF(G9=0,"PASS","INFO"),IF(ABS(G9)&lt;=H9,"PASS","REVIEW"))</x:f>
        <x:v>PASS</x:v>
      </x:c>
      <x:c r="J9" s="83" t="str">
        <x:v>S03 Figure 3 uses maximum current limits; S01 slash values are conditional ranges.</x:v>
      </x:c>
    </x:row>
    <x:row r="10">
      <x:c r="A10" s="83" t="str">
        <x:v>QA3C-006</x:v>
      </x:c>
      <x:c r="B10" s="83" t="str">
        <x:v>Current-limit reconciliation</x:v>
      </x:c>
      <x:c r="C10" s="83" t="str">
        <x:v>SUD→CSUD</x:v>
      </x:c>
      <x:c r="D10" s="83" t="str">
        <x:v>S01 seasonal maximum vs S03 current maximum</x:v>
      </x:c>
      <x:c r="E10" s="242" t="n">
        <x:v>5200</x:v>
      </x:c>
      <x:c r="F10" s="242" t="n">
        <x:v>5200</x:v>
      </x:c>
      <x:c r="G10" s="242" t="n">
        <x:f>F10-E10</x:f>
        <x:v>0</x:v>
      </x:c>
      <x:c r="H10" s="242" t="n">
        <x:v>50</x:v>
      </x:c>
      <x:c r="I10" s="83" t="str">
        <x:f>IF(B10="Source revision comparison",IF(G10=0,"PASS","INFO"),IF(ABS(G10)&lt;=H10,"PASS","REVIEW"))</x:f>
        <x:v>PASS</x:v>
      </x:c>
      <x:c r="J10" s="83" t="str">
        <x:v>S03 Figure 3 uses maximum current limits; S01 slash values are conditional ranges.</x:v>
      </x:c>
    </x:row>
    <x:row r="11">
      <x:c r="A11" s="83" t="str">
        <x:v>QA3C-007</x:v>
      </x:c>
      <x:c r="B11" s="83" t="str">
        <x:v>Current-limit reconciliation</x:v>
      </x:c>
      <x:c r="C11" s="83" t="str">
        <x:v>SUD→CALA</x:v>
      </x:c>
      <x:c r="D11" s="83" t="str">
        <x:v>S01 seasonal maximum vs S03 current maximum</x:v>
      </x:c>
      <x:c r="E11" s="242" t="n">
        <x:v>1100</x:v>
      </x:c>
      <x:c r="F11" s="242" t="n">
        <x:v>1100</x:v>
      </x:c>
      <x:c r="G11" s="242" t="n">
        <x:f>F11-E11</x:f>
        <x:v>0</x:v>
      </x:c>
      <x:c r="H11" s="242" t="n">
        <x:v>50</x:v>
      </x:c>
      <x:c r="I11" s="83" t="str">
        <x:f>IF(B11="Source revision comparison",IF(G11=0,"PASS","INFO"),IF(ABS(G11)&lt;=H11,"PASS","REVIEW"))</x:f>
        <x:v>PASS</x:v>
      </x:c>
      <x:c r="J11" s="83" t="str">
        <x:v>S03 Figure 3 uses maximum current limits; S01 slash values are conditional ranges.</x:v>
      </x:c>
    </x:row>
    <x:row r="12">
      <x:c r="A12" s="83" t="str">
        <x:v>QA3C-008</x:v>
      </x:c>
      <x:c r="B12" s="83" t="str">
        <x:v>Current-limit reconciliation</x:v>
      </x:c>
      <x:c r="C12" s="83" t="str">
        <x:v>CALA→SUD</x:v>
      </x:c>
      <x:c r="D12" s="83" t="str">
        <x:v>S01 seasonal maximum vs S03 current maximum</x:v>
      </x:c>
      <x:c r="E12" s="242" t="n">
        <x:v>2350</x:v>
      </x:c>
      <x:c r="F12" s="242" t="n">
        <x:v>2350</x:v>
      </x:c>
      <x:c r="G12" s="242" t="n">
        <x:f>F12-E12</x:f>
        <x:v>0</x:v>
      </x:c>
      <x:c r="H12" s="242" t="n">
        <x:v>50</x:v>
      </x:c>
      <x:c r="I12" s="83" t="str">
        <x:f>IF(B12="Source revision comparison",IF(G12=0,"PASS","INFO"),IF(ABS(G12)&lt;=H12,"PASS","REVIEW"))</x:f>
        <x:v>PASS</x:v>
      </x:c>
      <x:c r="J12" s="83" t="str">
        <x:v>S03 Figure 3 uses maximum current limits; S01 slash values are conditional ranges.</x:v>
      </x:c>
    </x:row>
    <x:row r="13">
      <x:c r="A13" s="83" t="str">
        <x:v>QA3C-009</x:v>
      </x:c>
      <x:c r="B13" s="83" t="str">
        <x:v>Current-limit reconciliation</x:v>
      </x:c>
      <x:c r="C13" s="83" t="str">
        <x:v>CALA→SICI</x:v>
      </x:c>
      <x:c r="D13" s="83" t="str">
        <x:v>S01 seasonal maximum vs S03 current maximum</x:v>
      </x:c>
      <x:c r="E13" s="242" t="n">
        <x:v>1550</x:v>
      </x:c>
      <x:c r="F13" s="242" t="n">
        <x:v>1550</x:v>
      </x:c>
      <x:c r="G13" s="242" t="n">
        <x:f>F13-E13</x:f>
        <x:v>0</x:v>
      </x:c>
      <x:c r="H13" s="242" t="n">
        <x:v>50</x:v>
      </x:c>
      <x:c r="I13" s="83" t="str">
        <x:f>IF(B13="Source revision comparison",IF(G13=0,"PASS","INFO"),IF(ABS(G13)&lt;=H13,"PASS","REVIEW"))</x:f>
        <x:v>PASS</x:v>
      </x:c>
      <x:c r="J13" s="83" t="str">
        <x:v>S03 Figure 3 uses maximum current limits; S01 slash values are conditional ranges.</x:v>
      </x:c>
    </x:row>
    <x:row r="14">
      <x:c r="A14" s="83" t="str">
        <x:v>QA3C-010</x:v>
      </x:c>
      <x:c r="B14" s="83" t="str">
        <x:v>Current-limit reconciliation</x:v>
      </x:c>
      <x:c r="C14" s="83" t="str">
        <x:v>SICI→CALA</x:v>
      </x:c>
      <x:c r="D14" s="83" t="str">
        <x:v>S01 seasonal maximum vs S03 current maximum</x:v>
      </x:c>
      <x:c r="E14" s="242" t="n">
        <x:v>1300</x:v>
      </x:c>
      <x:c r="F14" s="242" t="n">
        <x:v>1300</x:v>
      </x:c>
      <x:c r="G14" s="242" t="n">
        <x:f>F14-E14</x:f>
        <x:v>0</x:v>
      </x:c>
      <x:c r="H14" s="242" t="n">
        <x:v>50</x:v>
      </x:c>
      <x:c r="I14" s="83" t="str">
        <x:f>IF(B14="Source revision comparison",IF(G14=0,"PASS","INFO"),IF(ABS(G14)&lt;=H14,"PASS","REVIEW"))</x:f>
        <x:v>PASS</x:v>
      </x:c>
      <x:c r="J14" s="83" t="str">
        <x:v>S03 Figure 3 uses maximum current limits; S01 slash values are conditional ranges.</x:v>
      </x:c>
    </x:row>
    <x:row r="15">
      <x:c r="A15" s="83" t="str">
        <x:v>QA3C-011</x:v>
      </x:c>
      <x:c r="B15" s="83" t="str">
        <x:v>Current-limit reconciliation</x:v>
      </x:c>
      <x:c r="C15" s="83" t="str">
        <x:v>CSUD→SARD</x:v>
      </x:c>
      <x:c r="D15" s="83" t="str">
        <x:v>S01 seasonal maximum vs S03 current maximum</x:v>
      </x:c>
      <x:c r="E15" s="242" t="n">
        <x:v>720</x:v>
      </x:c>
      <x:c r="F15" s="242" t="n">
        <x:v>720</x:v>
      </x:c>
      <x:c r="G15" s="242" t="n">
        <x:f>F15-E15</x:f>
        <x:v>0</x:v>
      </x:c>
      <x:c r="H15" s="242" t="n">
        <x:v>50</x:v>
      </x:c>
      <x:c r="I15" s="83" t="str">
        <x:f>IF(B15="Source revision comparison",IF(G15=0,"PASS","INFO"),IF(ABS(G15)&lt;=H15,"PASS","REVIEW"))</x:f>
        <x:v>PASS</x:v>
      </x:c>
      <x:c r="J15" s="83" t="str">
        <x:v>S03 Figure 3 uses maximum current limits; S01 slash values are conditional ranges.</x:v>
      </x:c>
    </x:row>
    <x:row r="16">
      <x:c r="A16" s="83" t="str">
        <x:v>QA3C-012</x:v>
      </x:c>
      <x:c r="B16" s="83" t="str">
        <x:v>Current-limit reconciliation</x:v>
      </x:c>
      <x:c r="C16" s="83" t="str">
        <x:v>SARD→CSUD</x:v>
      </x:c>
      <x:c r="D16" s="83" t="str">
        <x:v>S01 seasonal maximum vs S03 current maximum</x:v>
      </x:c>
      <x:c r="E16" s="242" t="n">
        <x:v>900</x:v>
      </x:c>
      <x:c r="F16" s="242" t="n">
        <x:v>900</x:v>
      </x:c>
      <x:c r="G16" s="242" t="n">
        <x:f>F16-E16</x:f>
        <x:v>0</x:v>
      </x:c>
      <x:c r="H16" s="242" t="n">
        <x:v>50</x:v>
      </x:c>
      <x:c r="I16" s="83" t="str">
        <x:f>IF(B16="Source revision comparison",IF(G16=0,"PASS","INFO"),IF(ABS(G16)&lt;=H16,"PASS","REVIEW"))</x:f>
        <x:v>PASS</x:v>
      </x:c>
      <x:c r="J16" s="83" t="str">
        <x:v>S03 Figure 3 uses maximum current limits; S01 slash values are conditional ranges.</x:v>
      </x:c>
    </x:row>
    <x:row r="17">
      <x:c r="A17" s="83" t="str">
        <x:v>QA3C-013</x:v>
      </x:c>
      <x:c r="B17" s="83" t="str">
        <x:v>Current-limit reconciliation</x:v>
      </x:c>
      <x:c r="C17" s="83" t="str">
        <x:v>CNOR→CORS</x:v>
      </x:c>
      <x:c r="D17" s="83" t="str">
        <x:v>S01 seasonal maximum vs S03 current maximum</x:v>
      </x:c>
      <x:c r="E17" s="242" t="n">
        <x:v>300</x:v>
      </x:c>
      <x:c r="F17" s="242" t="n">
        <x:v>300</x:v>
      </x:c>
      <x:c r="G17" s="242" t="n">
        <x:f>F17-E17</x:f>
        <x:v>0</x:v>
      </x:c>
      <x:c r="H17" s="242" t="n">
        <x:v>50</x:v>
      </x:c>
      <x:c r="I17" s="83" t="str">
        <x:f>IF(B17="Source revision comparison",IF(G17=0,"PASS","INFO"),IF(ABS(G17)&lt;=H17,"PASS","REVIEW"))</x:f>
        <x:v>PASS</x:v>
      </x:c>
      <x:c r="J17" s="83" t="str">
        <x:v>S03 Figure 3 uses maximum current limits; S01 slash values are conditional ranges.</x:v>
      </x:c>
    </x:row>
    <x:row r="18">
      <x:c r="A18" s="83" t="str">
        <x:v>QA3C-014</x:v>
      </x:c>
      <x:c r="B18" s="83" t="str">
        <x:v>Current-limit reconciliation</x:v>
      </x:c>
      <x:c r="C18" s="83" t="str">
        <x:v>CORS→CNOR</x:v>
      </x:c>
      <x:c r="D18" s="83" t="str">
        <x:v>S01 seasonal maximum vs S03 current maximum</x:v>
      </x:c>
      <x:c r="E18" s="242" t="n">
        <x:v>300</x:v>
      </x:c>
      <x:c r="F18" s="242" t="n">
        <x:v>300</x:v>
      </x:c>
      <x:c r="G18" s="242" t="n">
        <x:f>F18-E18</x:f>
        <x:v>0</x:v>
      </x:c>
      <x:c r="H18" s="242" t="n">
        <x:v>50</x:v>
      </x:c>
      <x:c r="I18" s="83" t="str">
        <x:f>IF(B18="Source revision comparison",IF(G18=0,"PASS","INFO"),IF(ABS(G18)&lt;=H18,"PASS","REVIEW"))</x:f>
        <x:v>PASS</x:v>
      </x:c>
      <x:c r="J18" s="83" t="str">
        <x:v>S03 Figure 3 uses maximum current limits; S01 slash values are conditional ranges.</x:v>
      </x:c>
    </x:row>
    <x:row r="19">
      <x:c r="A19" s="83" t="str">
        <x:v>QA3C-015</x:v>
      </x:c>
      <x:c r="B19" s="83" t="str">
        <x:v>Current-limit reconciliation</x:v>
      </x:c>
      <x:c r="C19" s="83" t="str">
        <x:v>CORS→SARD</x:v>
      </x:c>
      <x:c r="D19" s="83" t="str">
        <x:v>S01 seasonal maximum vs S03 current maximum</x:v>
      </x:c>
      <x:c r="E19" s="242" t="n">
        <x:v>300</x:v>
      </x:c>
      <x:c r="F19" s="242" t="n">
        <x:v>300</x:v>
      </x:c>
      <x:c r="G19" s="242" t="n">
        <x:f>F19-E19</x:f>
        <x:v>0</x:v>
      </x:c>
      <x:c r="H19" s="242" t="n">
        <x:v>50</x:v>
      </x:c>
      <x:c r="I19" s="83" t="str">
        <x:f>IF(B19="Source revision comparison",IF(G19=0,"PASS","INFO"),IF(ABS(G19)&lt;=H19,"PASS","REVIEW"))</x:f>
        <x:v>PASS</x:v>
      </x:c>
      <x:c r="J19" s="83" t="str">
        <x:v>S03 Figure 3 uses maximum current limits; S01 slash values are conditional ranges.</x:v>
      </x:c>
    </x:row>
    <x:row r="20">
      <x:c r="A20" s="83" t="str">
        <x:v>QA3C-016</x:v>
      </x:c>
      <x:c r="B20" s="83" t="str">
        <x:v>Current-limit reconciliation</x:v>
      </x:c>
      <x:c r="C20" s="83" t="str">
        <x:v>SARD→CORS</x:v>
      </x:c>
      <x:c r="D20" s="83" t="str">
        <x:v>S01 seasonal maximum vs S03 current maximum</x:v>
      </x:c>
      <x:c r="E20" s="242" t="n">
        <x:v>300</x:v>
      </x:c>
      <x:c r="F20" s="242" t="n">
        <x:v>300</x:v>
      </x:c>
      <x:c r="G20" s="242" t="n">
        <x:f>F20-E20</x:f>
        <x:v>0</x:v>
      </x:c>
      <x:c r="H20" s="242" t="n">
        <x:v>50</x:v>
      </x:c>
      <x:c r="I20" s="83" t="str">
        <x:f>IF(B20="Source revision comparison",IF(G20=0,"PASS","INFO"),IF(ABS(G20)&lt;=H20,"PASS","REVIEW"))</x:f>
        <x:v>PASS</x:v>
      </x:c>
      <x:c r="J20" s="83" t="str">
        <x:v>S03 Figure 3 uses maximum current limits; S01 slash values are conditional ranges.</x:v>
      </x:c>
    </x:row>
    <x:row r="21">
      <x:c r="A21" s="83" t="str">
        <x:v>QA3C-017</x:v>
      </x:c>
      <x:c r="B21" s="83" t="str">
        <x:v>Trajectory monotonicity</x:v>
      </x:c>
      <x:c r="C21" s="83" t="str">
        <x:v>CALA→SICI</x:v>
      </x:c>
      <x:c r="D21" s="83" t="str">
        <x:v>Minimum horizon-to-horizon change</x:v>
      </x:c>
      <x:c r="E21" s="242" t="n">
        <x:v>0</x:v>
      </x:c>
      <x:c r="F21" s="242" t="n">
        <x:v>0</x:v>
      </x:c>
      <x:c r="G21" s="242" t="n">
        <x:f>F21-E21</x:f>
        <x:v>0</x:v>
      </x:c>
      <x:c r="H21" s="242" t="n">
        <x:v>0</x:v>
      </x:c>
      <x:c r="I21" s="83" t="str">
        <x:f>IF(B21="Source revision comparison",IF(G21=0,"PASS","INFO"),IF(ABS(G21)&lt;=H21,"PASS","REVIEW"))</x:f>
        <x:v>PASS</x:v>
      </x:c>
      <x:c r="J21" s="83" t="str">
        <x:v>New direct links remain zero until commissioned.</x:v>
      </x:c>
    </x:row>
    <x:row r="22">
      <x:c r="A22" s="83" t="str">
        <x:v>QA3C-018</x:v>
      </x:c>
      <x:c r="B22" s="83" t="str">
        <x:v>Trajectory monotonicity</x:v>
      </x:c>
      <x:c r="C22" s="83" t="str">
        <x:v>CALA→SUD</x:v>
      </x:c>
      <x:c r="D22" s="83" t="str">
        <x:v>Minimum horizon-to-horizon change</x:v>
      </x:c>
      <x:c r="E22" s="242" t="n">
        <x:v>0</x:v>
      </x:c>
      <x:c r="F22" s="242" t="n">
        <x:v>300</x:v>
      </x:c>
      <x:c r="G22" s="242" t="n">
        <x:f>F22-E22</x:f>
        <x:v>300</x:v>
      </x:c>
      <x:c r="H22" s="242" t="n">
        <x:v>0</x:v>
      </x:c>
      <x:c r="I22" s="83" t="str">
        <x:f>IF(B22="Source revision comparison",IF(G22=0,"PASS","INFO"),IF(ABS(G22)&lt;=H22,"PASS","REVIEW"))</x:f>
        <x:v>REVIEW</x:v>
      </x:c>
      <x:c r="J22" s="83" t="str">
        <x:v>New direct links remain zero until commissioned.</x:v>
      </x:c>
    </x:row>
    <x:row r="23">
      <x:c r="A23" s="83" t="str">
        <x:v>QA3C-019</x:v>
      </x:c>
      <x:c r="B23" s="83" t="str">
        <x:v>Trajectory monotonicity</x:v>
      </x:c>
      <x:c r="C23" s="83" t="str">
        <x:v>CNOR→CORS</x:v>
      </x:c>
      <x:c r="D23" s="83" t="str">
        <x:v>Minimum horizon-to-horizon change</x:v>
      </x:c>
      <x:c r="E23" s="242" t="n">
        <x:v>0</x:v>
      </x:c>
      <x:c r="F23" s="242" t="n">
        <x:v>0</x:v>
      </x:c>
      <x:c r="G23" s="242" t="n">
        <x:f>F23-E23</x:f>
        <x:v>0</x:v>
      </x:c>
      <x:c r="H23" s="242" t="n">
        <x:v>0</x:v>
      </x:c>
      <x:c r="I23" s="83" t="str">
        <x:f>IF(B23="Source revision comparison",IF(G23=0,"PASS","INFO"),IF(ABS(G23)&lt;=H23,"PASS","REVIEW"))</x:f>
        <x:v>PASS</x:v>
      </x:c>
      <x:c r="J23" s="83" t="str">
        <x:v>New direct links remain zero until commissioned.</x:v>
      </x:c>
    </x:row>
    <x:row r="24">
      <x:c r="A24" s="83" t="str">
        <x:v>QA3C-020</x:v>
      </x:c>
      <x:c r="B24" s="83" t="str">
        <x:v>Trajectory monotonicity</x:v>
      </x:c>
      <x:c r="C24" s="83" t="str">
        <x:v>CNOR→CSUD</x:v>
      </x:c>
      <x:c r="D24" s="83" t="str">
        <x:v>Minimum horizon-to-horizon change</x:v>
      </x:c>
      <x:c r="E24" s="242" t="n">
        <x:v>0</x:v>
      </x:c>
      <x:c r="F24" s="242" t="n">
        <x:v>200</x:v>
      </x:c>
      <x:c r="G24" s="242" t="n">
        <x:f>F24-E24</x:f>
        <x:v>200</x:v>
      </x:c>
      <x:c r="H24" s="242" t="n">
        <x:v>0</x:v>
      </x:c>
      <x:c r="I24" s="83" t="str">
        <x:f>IF(B24="Source revision comparison",IF(G24=0,"PASS","INFO"),IF(ABS(G24)&lt;=H24,"PASS","REVIEW"))</x:f>
        <x:v>REVIEW</x:v>
      </x:c>
      <x:c r="J24" s="83" t="str">
        <x:v>New direct links remain zero until commissioned.</x:v>
      </x:c>
    </x:row>
    <x:row r="25">
      <x:c r="A25" s="83" t="str">
        <x:v>QA3C-021</x:v>
      </x:c>
      <x:c r="B25" s="83" t="str">
        <x:v>Trajectory monotonicity</x:v>
      </x:c>
      <x:c r="C25" s="83" t="str">
        <x:v>CNOR→NORD</x:v>
      </x:c>
      <x:c r="D25" s="83" t="str">
        <x:v>Minimum horizon-to-horizon change</x:v>
      </x:c>
      <x:c r="E25" s="242" t="n">
        <x:v>0</x:v>
      </x:c>
      <x:c r="F25" s="242" t="n">
        <x:v>0</x:v>
      </x:c>
      <x:c r="G25" s="242" t="n">
        <x:f>F25-E25</x:f>
        <x:v>0</x:v>
      </x:c>
      <x:c r="H25" s="242" t="n">
        <x:v>0</x:v>
      </x:c>
      <x:c r="I25" s="83" t="str">
        <x:f>IF(B25="Source revision comparison",IF(G25=0,"PASS","INFO"),IF(ABS(G25)&lt;=H25,"PASS","REVIEW"))</x:f>
        <x:v>PASS</x:v>
      </x:c>
      <x:c r="J25" s="83" t="str">
        <x:v>New direct links remain zero until commissioned.</x:v>
      </x:c>
    </x:row>
    <x:row r="26">
      <x:c r="A26" s="83" t="str">
        <x:v>QA3C-022</x:v>
      </x:c>
      <x:c r="B26" s="83" t="str">
        <x:v>Trajectory monotonicity</x:v>
      </x:c>
      <x:c r="C26" s="83" t="str">
        <x:v>CORS→CNOR</x:v>
      </x:c>
      <x:c r="D26" s="83" t="str">
        <x:v>Minimum horizon-to-horizon change</x:v>
      </x:c>
      <x:c r="E26" s="242" t="n">
        <x:v>0</x:v>
      </x:c>
      <x:c r="F26" s="242" t="n">
        <x:v>0</x:v>
      </x:c>
      <x:c r="G26" s="242" t="n">
        <x:f>F26-E26</x:f>
        <x:v>0</x:v>
      </x:c>
      <x:c r="H26" s="242" t="n">
        <x:v>0</x:v>
      </x:c>
      <x:c r="I26" s="83" t="str">
        <x:f>IF(B26="Source revision comparison",IF(G26=0,"PASS","INFO"),IF(ABS(G26)&lt;=H26,"PASS","REVIEW"))</x:f>
        <x:v>PASS</x:v>
      </x:c>
      <x:c r="J26" s="83" t="str">
        <x:v>New direct links remain zero until commissioned.</x:v>
      </x:c>
    </x:row>
    <x:row r="27">
      <x:c r="A27" s="83" t="str">
        <x:v>QA3C-023</x:v>
      </x:c>
      <x:c r="B27" s="83" t="str">
        <x:v>Trajectory monotonicity</x:v>
      </x:c>
      <x:c r="C27" s="83" t="str">
        <x:v>CORS→SARD</x:v>
      </x:c>
      <x:c r="D27" s="83" t="str">
        <x:v>Minimum horizon-to-horizon change</x:v>
      </x:c>
      <x:c r="E27" s="242" t="n">
        <x:v>0</x:v>
      </x:c>
      <x:c r="F27" s="242" t="n">
        <x:v>0</x:v>
      </x:c>
      <x:c r="G27" s="242" t="n">
        <x:f>F27-E27</x:f>
        <x:v>0</x:v>
      </x:c>
      <x:c r="H27" s="242" t="n">
        <x:v>0</x:v>
      </x:c>
      <x:c r="I27" s="83" t="str">
        <x:f>IF(B27="Source revision comparison",IF(G27=0,"PASS","INFO"),IF(ABS(G27)&lt;=H27,"PASS","REVIEW"))</x:f>
        <x:v>PASS</x:v>
      </x:c>
      <x:c r="J27" s="83" t="str">
        <x:v>New direct links remain zero until commissioned.</x:v>
      </x:c>
    </x:row>
    <x:row r="28">
      <x:c r="A28" s="83" t="str">
        <x:v>QA3C-024</x:v>
      </x:c>
      <x:c r="B28" s="83" t="str">
        <x:v>Trajectory monotonicity</x:v>
      </x:c>
      <x:c r="C28" s="83" t="str">
        <x:v>CSUD→CNOR</x:v>
      </x:c>
      <x:c r="D28" s="83" t="str">
        <x:v>Minimum horizon-to-horizon change</x:v>
      </x:c>
      <x:c r="E28" s="242" t="n">
        <x:v>0</x:v>
      </x:c>
      <x:c r="F28" s="242" t="n">
        <x:v>200</x:v>
      </x:c>
      <x:c r="G28" s="242" t="n">
        <x:f>F28-E28</x:f>
        <x:v>200</x:v>
      </x:c>
      <x:c r="H28" s="242" t="n">
        <x:v>0</x:v>
      </x:c>
      <x:c r="I28" s="83" t="str">
        <x:f>IF(B28="Source revision comparison",IF(G28=0,"PASS","INFO"),IF(ABS(G28)&lt;=H28,"PASS","REVIEW"))</x:f>
        <x:v>REVIEW</x:v>
      </x:c>
      <x:c r="J28" s="83" t="str">
        <x:v>New direct links remain zero until commissioned.</x:v>
      </x:c>
    </x:row>
    <x:row r="29">
      <x:c r="A29" s="83" t="str">
        <x:v>QA3C-025</x:v>
      </x:c>
      <x:c r="B29" s="83" t="str">
        <x:v>Trajectory monotonicity</x:v>
      </x:c>
      <x:c r="C29" s="83" t="str">
        <x:v>CSUD→NORD</x:v>
      </x:c>
      <x:c r="D29" s="83" t="str">
        <x:v>Minimum horizon-to-horizon change</x:v>
      </x:c>
      <x:c r="E29" s="242" t="n">
        <x:v>0</x:v>
      </x:c>
      <x:c r="F29" s="242" t="n">
        <x:v>0</x:v>
      </x:c>
      <x:c r="G29" s="242" t="n">
        <x:f>F29-E29</x:f>
        <x:v>0</x:v>
      </x:c>
      <x:c r="H29" s="242" t="n">
        <x:v>0</x:v>
      </x:c>
      <x:c r="I29" s="83" t="str">
        <x:f>IF(B29="Source revision comparison",IF(G29=0,"PASS","INFO"),IF(ABS(G29)&lt;=H29,"PASS","REVIEW"))</x:f>
        <x:v>PASS</x:v>
      </x:c>
      <x:c r="J29" s="83" t="str">
        <x:v>New direct links remain zero until commissioned.</x:v>
      </x:c>
    </x:row>
    <x:row r="30">
      <x:c r="A30" s="83" t="str">
        <x:v>QA3C-026</x:v>
      </x:c>
      <x:c r="B30" s="83" t="str">
        <x:v>Trajectory monotonicity</x:v>
      </x:c>
      <x:c r="C30" s="83" t="str">
        <x:v>CSUD→SARD</x:v>
      </x:c>
      <x:c r="D30" s="83" t="str">
        <x:v>Minimum horizon-to-horizon change</x:v>
      </x:c>
      <x:c r="E30" s="242" t="n">
        <x:v>0</x:v>
      </x:c>
      <x:c r="F30" s="242" t="n">
        <x:v>0</x:v>
      </x:c>
      <x:c r="G30" s="242" t="n">
        <x:f>F30-E30</x:f>
        <x:v>0</x:v>
      </x:c>
      <x:c r="H30" s="242" t="n">
        <x:v>0</x:v>
      </x:c>
      <x:c r="I30" s="83" t="str">
        <x:f>IF(B30="Source revision comparison",IF(G30=0,"PASS","INFO"),IF(ABS(G30)&lt;=H30,"PASS","REVIEW"))</x:f>
        <x:v>PASS</x:v>
      </x:c>
      <x:c r="J30" s="83" t="str">
        <x:v>New direct links remain zero until commissioned.</x:v>
      </x:c>
    </x:row>
    <x:row r="31">
      <x:c r="A31" s="83" t="str">
        <x:v>QA3C-027</x:v>
      </x:c>
      <x:c r="B31" s="83" t="str">
        <x:v>Trajectory monotonicity</x:v>
      </x:c>
      <x:c r="C31" s="83" t="str">
        <x:v>CSUD→SICI</x:v>
      </x:c>
      <x:c r="D31" s="83" t="str">
        <x:v>Minimum horizon-to-horizon change</x:v>
      </x:c>
      <x:c r="E31" s="242" t="n">
        <x:v>0</x:v>
      </x:c>
      <x:c r="F31" s="242" t="n">
        <x:v>0</x:v>
      </x:c>
      <x:c r="G31" s="242" t="n">
        <x:f>F31-E31</x:f>
        <x:v>0</x:v>
      </x:c>
      <x:c r="H31" s="242" t="n">
        <x:v>0</x:v>
      </x:c>
      <x:c r="I31" s="83" t="str">
        <x:f>IF(B31="Source revision comparison",IF(G31=0,"PASS","INFO"),IF(ABS(G31)&lt;=H31,"PASS","REVIEW"))</x:f>
        <x:v>PASS</x:v>
      </x:c>
      <x:c r="J31" s="83" t="str">
        <x:v>New direct links remain zero until commissioned.</x:v>
      </x:c>
    </x:row>
    <x:row r="32">
      <x:c r="A32" s="83" t="str">
        <x:v>QA3C-028</x:v>
      </x:c>
      <x:c r="B32" s="83" t="str">
        <x:v>Trajectory monotonicity</x:v>
      </x:c>
      <x:c r="C32" s="83" t="str">
        <x:v>CSUD→SUD</x:v>
      </x:c>
      <x:c r="D32" s="83" t="str">
        <x:v>Minimum horizon-to-horizon change</x:v>
      </x:c>
      <x:c r="E32" s="242" t="n">
        <x:v>0</x:v>
      </x:c>
      <x:c r="F32" s="242" t="n">
        <x:v>500</x:v>
      </x:c>
      <x:c r="G32" s="242" t="n">
        <x:f>F32-E32</x:f>
        <x:v>500</x:v>
      </x:c>
      <x:c r="H32" s="242" t="n">
        <x:v>0</x:v>
      </x:c>
      <x:c r="I32" s="83" t="str">
        <x:f>IF(B32="Source revision comparison",IF(G32=0,"PASS","INFO"),IF(ABS(G32)&lt;=H32,"PASS","REVIEW"))</x:f>
        <x:v>REVIEW</x:v>
      </x:c>
      <x:c r="J32" s="83" t="str">
        <x:v>New direct links remain zero until commissioned.</x:v>
      </x:c>
    </x:row>
    <x:row r="33">
      <x:c r="A33" s="83" t="str">
        <x:v>QA3C-029</x:v>
      </x:c>
      <x:c r="B33" s="83" t="str">
        <x:v>Trajectory monotonicity</x:v>
      </x:c>
      <x:c r="C33" s="83" t="str">
        <x:v>NORD→CNOR</x:v>
      </x:c>
      <x:c r="D33" s="83" t="str">
        <x:v>Minimum horizon-to-horizon change</x:v>
      </x:c>
      <x:c r="E33" s="242" t="n">
        <x:v>0</x:v>
      </x:c>
      <x:c r="F33" s="242" t="n">
        <x:v>0</x:v>
      </x:c>
      <x:c r="G33" s="242" t="n">
        <x:f>F33-E33</x:f>
        <x:v>0</x:v>
      </x:c>
      <x:c r="H33" s="242" t="n">
        <x:v>0</x:v>
      </x:c>
      <x:c r="I33" s="83" t="str">
        <x:f>IF(B33="Source revision comparison",IF(G33=0,"PASS","INFO"),IF(ABS(G33)&lt;=H33,"PASS","REVIEW"))</x:f>
        <x:v>PASS</x:v>
      </x:c>
      <x:c r="J33" s="83" t="str">
        <x:v>New direct links remain zero until commissioned.</x:v>
      </x:c>
    </x:row>
    <x:row r="34">
      <x:c r="A34" s="83" t="str">
        <x:v>QA3C-030</x:v>
      </x:c>
      <x:c r="B34" s="83" t="str">
        <x:v>Trajectory monotonicity</x:v>
      </x:c>
      <x:c r="C34" s="83" t="str">
        <x:v>NORD→CSUD</x:v>
      </x:c>
      <x:c r="D34" s="83" t="str">
        <x:v>Minimum horizon-to-horizon change</x:v>
      </x:c>
      <x:c r="E34" s="242" t="n">
        <x:v>0</x:v>
      </x:c>
      <x:c r="F34" s="242" t="n">
        <x:v>0</x:v>
      </x:c>
      <x:c r="G34" s="242" t="n">
        <x:f>F34-E34</x:f>
        <x:v>0</x:v>
      </x:c>
      <x:c r="H34" s="242" t="n">
        <x:v>0</x:v>
      </x:c>
      <x:c r="I34" s="83" t="str">
        <x:f>IF(B34="Source revision comparison",IF(G34=0,"PASS","INFO"),IF(ABS(G34)&lt;=H34,"PASS","REVIEW"))</x:f>
        <x:v>PASS</x:v>
      </x:c>
      <x:c r="J34" s="83" t="str">
        <x:v>New direct links remain zero until commissioned.</x:v>
      </x:c>
    </x:row>
    <x:row r="35">
      <x:c r="A35" s="83" t="str">
        <x:v>QA3C-031</x:v>
      </x:c>
      <x:c r="B35" s="83" t="str">
        <x:v>Trajectory monotonicity</x:v>
      </x:c>
      <x:c r="C35" s="83" t="str">
        <x:v>NORD→SUD</x:v>
      </x:c>
      <x:c r="D35" s="83" t="str">
        <x:v>Minimum horizon-to-horizon change</x:v>
      </x:c>
      <x:c r="E35" s="242" t="n">
        <x:v>0</x:v>
      </x:c>
      <x:c r="F35" s="242" t="n">
        <x:v>0</x:v>
      </x:c>
      <x:c r="G35" s="242" t="n">
        <x:f>F35-E35</x:f>
        <x:v>0</x:v>
      </x:c>
      <x:c r="H35" s="242" t="n">
        <x:v>0</x:v>
      </x:c>
      <x:c r="I35" s="83" t="str">
        <x:f>IF(B35="Source revision comparison",IF(G35=0,"PASS","INFO"),IF(ABS(G35)&lt;=H35,"PASS","REVIEW"))</x:f>
        <x:v>PASS</x:v>
      </x:c>
      <x:c r="J35" s="83" t="str">
        <x:v>New direct links remain zero until commissioned.</x:v>
      </x:c>
    </x:row>
    <x:row r="36">
      <x:c r="A36" s="83" t="str">
        <x:v>QA3C-032</x:v>
      </x:c>
      <x:c r="B36" s="83" t="str">
        <x:v>Trajectory monotonicity</x:v>
      </x:c>
      <x:c r="C36" s="83" t="str">
        <x:v>SARD→CORS</x:v>
      </x:c>
      <x:c r="D36" s="83" t="str">
        <x:v>Minimum horizon-to-horizon change</x:v>
      </x:c>
      <x:c r="E36" s="242" t="n">
        <x:v>0</x:v>
      </x:c>
      <x:c r="F36" s="242" t="n">
        <x:v>0</x:v>
      </x:c>
      <x:c r="G36" s="242" t="n">
        <x:f>F36-E36</x:f>
        <x:v>0</x:v>
      </x:c>
      <x:c r="H36" s="242" t="n">
        <x:v>0</x:v>
      </x:c>
      <x:c r="I36" s="83" t="str">
        <x:f>IF(B36="Source revision comparison",IF(G36=0,"PASS","INFO"),IF(ABS(G36)&lt;=H36,"PASS","REVIEW"))</x:f>
        <x:v>PASS</x:v>
      </x:c>
      <x:c r="J36" s="83" t="str">
        <x:v>New direct links remain zero until commissioned.</x:v>
      </x:c>
    </x:row>
    <x:row r="37">
      <x:c r="A37" s="83" t="str">
        <x:v>QA3C-033</x:v>
      </x:c>
      <x:c r="B37" s="83" t="str">
        <x:v>Trajectory monotonicity</x:v>
      </x:c>
      <x:c r="C37" s="83" t="str">
        <x:v>SARD→CSUD</x:v>
      </x:c>
      <x:c r="D37" s="83" t="str">
        <x:v>Minimum horizon-to-horizon change</x:v>
      </x:c>
      <x:c r="E37" s="242" t="n">
        <x:v>0</x:v>
      </x:c>
      <x:c r="F37" s="242" t="n">
        <x:v>0</x:v>
      </x:c>
      <x:c r="G37" s="242" t="n">
        <x:f>F37-E37</x:f>
        <x:v>0</x:v>
      </x:c>
      <x:c r="H37" s="242" t="n">
        <x:v>0</x:v>
      </x:c>
      <x:c r="I37" s="83" t="str">
        <x:f>IF(B37="Source revision comparison",IF(G37=0,"PASS","INFO"),IF(ABS(G37)&lt;=H37,"PASS","REVIEW"))</x:f>
        <x:v>PASS</x:v>
      </x:c>
      <x:c r="J37" s="83" t="str">
        <x:v>New direct links remain zero until commissioned.</x:v>
      </x:c>
    </x:row>
    <x:row r="38">
      <x:c r="A38" s="83" t="str">
        <x:v>QA3C-034</x:v>
      </x:c>
      <x:c r="B38" s="83" t="str">
        <x:v>Trajectory monotonicity</x:v>
      </x:c>
      <x:c r="C38" s="83" t="str">
        <x:v>SARD→SICI</x:v>
      </x:c>
      <x:c r="D38" s="83" t="str">
        <x:v>Minimum horizon-to-horizon change</x:v>
      </x:c>
      <x:c r="E38" s="242" t="n">
        <x:v>0</x:v>
      </x:c>
      <x:c r="F38" s="242" t="n">
        <x:v>0</x:v>
      </x:c>
      <x:c r="G38" s="242" t="n">
        <x:f>F38-E38</x:f>
        <x:v>0</x:v>
      </x:c>
      <x:c r="H38" s="242" t="n">
        <x:v>0</x:v>
      </x:c>
      <x:c r="I38" s="83" t="str">
        <x:f>IF(B38="Source revision comparison",IF(G38=0,"PASS","INFO"),IF(ABS(G38)&lt;=H38,"PASS","REVIEW"))</x:f>
        <x:v>PASS</x:v>
      </x:c>
      <x:c r="J38" s="83" t="str">
        <x:v>New direct links remain zero until commissioned.</x:v>
      </x:c>
    </x:row>
    <x:row r="39">
      <x:c r="A39" s="83" t="str">
        <x:v>QA3C-035</x:v>
      </x:c>
      <x:c r="B39" s="83" t="str">
        <x:v>Trajectory monotonicity</x:v>
      </x:c>
      <x:c r="C39" s="83" t="str">
        <x:v>SICI→CALA</x:v>
      </x:c>
      <x:c r="D39" s="83" t="str">
        <x:v>Minimum horizon-to-horizon change</x:v>
      </x:c>
      <x:c r="E39" s="242" t="n">
        <x:v>0</x:v>
      </x:c>
      <x:c r="F39" s="242" t="n">
        <x:v>0</x:v>
      </x:c>
      <x:c r="G39" s="242" t="n">
        <x:f>F39-E39</x:f>
        <x:v>0</x:v>
      </x:c>
      <x:c r="H39" s="242" t="n">
        <x:v>0</x:v>
      </x:c>
      <x:c r="I39" s="83" t="str">
        <x:f>IF(B39="Source revision comparison",IF(G39=0,"PASS","INFO"),IF(ABS(G39)&lt;=H39,"PASS","REVIEW"))</x:f>
        <x:v>PASS</x:v>
      </x:c>
      <x:c r="J39" s="83" t="str">
        <x:v>New direct links remain zero until commissioned.</x:v>
      </x:c>
    </x:row>
    <x:row r="40">
      <x:c r="A40" s="83" t="str">
        <x:v>QA3C-036</x:v>
      </x:c>
      <x:c r="B40" s="83" t="str">
        <x:v>Trajectory monotonicity</x:v>
      </x:c>
      <x:c r="C40" s="83" t="str">
        <x:v>SICI→CSUD</x:v>
      </x:c>
      <x:c r="D40" s="83" t="str">
        <x:v>Minimum horizon-to-horizon change</x:v>
      </x:c>
      <x:c r="E40" s="242" t="n">
        <x:v>0</x:v>
      </x:c>
      <x:c r="F40" s="242" t="n">
        <x:v>0</x:v>
      </x:c>
      <x:c r="G40" s="242" t="n">
        <x:f>F40-E40</x:f>
        <x:v>0</x:v>
      </x:c>
      <x:c r="H40" s="242" t="n">
        <x:v>0</x:v>
      </x:c>
      <x:c r="I40" s="83" t="str">
        <x:f>IF(B40="Source revision comparison",IF(G40=0,"PASS","INFO"),IF(ABS(G40)&lt;=H40,"PASS","REVIEW"))</x:f>
        <x:v>PASS</x:v>
      </x:c>
      <x:c r="J40" s="83" t="str">
        <x:v>New direct links remain zero until commissioned.</x:v>
      </x:c>
    </x:row>
    <x:row r="41">
      <x:c r="A41" s="83" t="str">
        <x:v>QA3C-037</x:v>
      </x:c>
      <x:c r="B41" s="83" t="str">
        <x:v>Trajectory monotonicity</x:v>
      </x:c>
      <x:c r="C41" s="83" t="str">
        <x:v>SICI→SARD</x:v>
      </x:c>
      <x:c r="D41" s="83" t="str">
        <x:v>Minimum horizon-to-horizon change</x:v>
      </x:c>
      <x:c r="E41" s="242" t="n">
        <x:v>0</x:v>
      </x:c>
      <x:c r="F41" s="242" t="n">
        <x:v>0</x:v>
      </x:c>
      <x:c r="G41" s="242" t="n">
        <x:f>F41-E41</x:f>
        <x:v>0</x:v>
      </x:c>
      <x:c r="H41" s="242" t="n">
        <x:v>0</x:v>
      </x:c>
      <x:c r="I41" s="83" t="str">
        <x:f>IF(B41="Source revision comparison",IF(G41=0,"PASS","INFO"),IF(ABS(G41)&lt;=H41,"PASS","REVIEW"))</x:f>
        <x:v>PASS</x:v>
      </x:c>
      <x:c r="J41" s="83" t="str">
        <x:v>New direct links remain zero until commissioned.</x:v>
      </x:c>
    </x:row>
    <x:row r="42">
      <x:c r="A42" s="83" t="str">
        <x:v>QA3C-038</x:v>
      </x:c>
      <x:c r="B42" s="83" t="str">
        <x:v>Trajectory monotonicity</x:v>
      </x:c>
      <x:c r="C42" s="83" t="str">
        <x:v>SUD→CALA</x:v>
      </x:c>
      <x:c r="D42" s="83" t="str">
        <x:v>Minimum horizon-to-horizon change</x:v>
      </x:c>
      <x:c r="E42" s="242" t="n">
        <x:v>0</x:v>
      </x:c>
      <x:c r="F42" s="242" t="n">
        <x:v>300</x:v>
      </x:c>
      <x:c r="G42" s="242" t="n">
        <x:f>F42-E42</x:f>
        <x:v>300</x:v>
      </x:c>
      <x:c r="H42" s="242" t="n">
        <x:v>0</x:v>
      </x:c>
      <x:c r="I42" s="83" t="str">
        <x:f>IF(B42="Source revision comparison",IF(G42=0,"PASS","INFO"),IF(ABS(G42)&lt;=H42,"PASS","REVIEW"))</x:f>
        <x:v>REVIEW</x:v>
      </x:c>
      <x:c r="J42" s="83" t="str">
        <x:v>New direct links remain zero until commissioned.</x:v>
      </x:c>
    </x:row>
    <x:row r="43">
      <x:c r="A43" s="83" t="str">
        <x:v>QA3C-039</x:v>
      </x:c>
      <x:c r="B43" s="83" t="str">
        <x:v>Trajectory monotonicity</x:v>
      </x:c>
      <x:c r="C43" s="83" t="str">
        <x:v>SUD→CSUD</x:v>
      </x:c>
      <x:c r="D43" s="83" t="str">
        <x:v>Minimum horizon-to-horizon change</x:v>
      </x:c>
      <x:c r="E43" s="242" t="n">
        <x:v>0</x:v>
      </x:c>
      <x:c r="F43" s="242" t="n">
        <x:v>500</x:v>
      </x:c>
      <x:c r="G43" s="242" t="n">
        <x:f>F43-E43</x:f>
        <x:v>500</x:v>
      </x:c>
      <x:c r="H43" s="242" t="n">
        <x:v>0</x:v>
      </x:c>
      <x:c r="I43" s="83" t="str">
        <x:f>IF(B43="Source revision comparison",IF(G43=0,"PASS","INFO"),IF(ABS(G43)&lt;=H43,"PASS","REVIEW"))</x:f>
        <x:v>REVIEW</x:v>
      </x:c>
      <x:c r="J43" s="83" t="str">
        <x:v>New direct links remain zero until commissioned.</x:v>
      </x:c>
    </x:row>
    <x:row r="44">
      <x:c r="A44" s="83" t="str">
        <x:v>QA3C-040</x:v>
      </x:c>
      <x:c r="B44" s="83" t="str">
        <x:v>Trajectory monotonicity</x:v>
      </x:c>
      <x:c r="C44" s="83" t="str">
        <x:v>SUD→NORD</x:v>
      </x:c>
      <x:c r="D44" s="83" t="str">
        <x:v>Minimum horizon-to-horizon change</x:v>
      </x:c>
      <x:c r="E44" s="242" t="n">
        <x:v>0</x:v>
      </x:c>
      <x:c r="F44" s="242" t="n">
        <x:v>0</x:v>
      </x:c>
      <x:c r="G44" s="242" t="n">
        <x:f>F44-E44</x:f>
        <x:v>0</x:v>
      </x:c>
      <x:c r="H44" s="242" t="n">
        <x:v>0</x:v>
      </x:c>
      <x:c r="I44" s="83" t="str">
        <x:f>IF(B44="Source revision comparison",IF(G44=0,"PASS","INFO"),IF(ABS(G44)&lt;=H44,"PASS","REVIEW"))</x:f>
        <x:v>PASS</x:v>
      </x:c>
      <x:c r="J44" s="83" t="str">
        <x:v>New direct links remain zero until commissioned.</x:v>
      </x:c>
    </x:row>
    <x:row r="45">
      <x:c r="A45" s="83" t="str">
        <x:v>QA3C-041</x:v>
      </x:c>
      <x:c r="B45" s="83" t="str">
        <x:v>Source revision comparison</x:v>
      </x:c>
      <x:c r="C45" s="83" t="str">
        <x:v>CALA→SICI</x:v>
      </x:c>
      <x:c r="D45" s="83" t="str">
        <x:v>PDS 2025 minus DDS 2024 at 2040</x:v>
      </x:c>
      <x:c r="E45" s="242" t="n">
        <x:v>0</x:v>
      </x:c>
      <x:c r="F45" s="242" t="n">
        <x:v>50</x:v>
      </x:c>
      <x:c r="G45" s="242" t="n">
        <x:f>F45-E45</x:f>
        <x:v>50</x:v>
      </x:c>
      <x:c r="H45" s="242" t="n">
        <x:v>0</x:v>
      </x:c>
      <x:c r="I45" s="83" t="str">
        <x:f>IF(B45="Source revision comparison",IF(G45=0,"PASS","INFO"),IF(ABS(G45)&lt;=H45,"PASS","REVIEW"))</x:f>
        <x:v>INFO</x:v>
      </x:c>
      <x:c r="J45" s="83" t="str">
        <x:v>Difference is a documented source revision, not a data error.</x:v>
      </x:c>
    </x:row>
    <x:row r="46">
      <x:c r="A46" s="83" t="str">
        <x:v>QA3C-042</x:v>
      </x:c>
      <x:c r="B46" s="83" t="str">
        <x:v>Source revision comparison</x:v>
      </x:c>
      <x:c r="C46" s="83" t="str">
        <x:v>CALA→SUD</x:v>
      </x:c>
      <x:c r="D46" s="83" t="str">
        <x:v>PDS 2025 minus DDS 2024 at 2040</x:v>
      </x:c>
      <x:c r="E46" s="242" t="n">
        <x:v>0</x:v>
      </x:c>
      <x:c r="F46" s="242" t="n">
        <x:v>-150</x:v>
      </x:c>
      <x:c r="G46" s="242" t="n">
        <x:f>F46-E46</x:f>
        <x:v>-150</x:v>
      </x:c>
      <x:c r="H46" s="242" t="n">
        <x:v>0</x:v>
      </x:c>
      <x:c r="I46" s="83" t="str">
        <x:f>IF(B46="Source revision comparison",IF(G46=0,"PASS","INFO"),IF(ABS(G46)&lt;=H46,"PASS","REVIEW"))</x:f>
        <x:v>INFO</x:v>
      </x:c>
      <x:c r="J46" s="83" t="str">
        <x:v>Difference is a documented source revision, not a data error.</x:v>
      </x:c>
    </x:row>
    <x:row r="47">
      <x:c r="A47" s="83" t="str">
        <x:v>QA3C-043</x:v>
      </x:c>
      <x:c r="B47" s="83" t="str">
        <x:v>Source revision comparison</x:v>
      </x:c>
      <x:c r="C47" s="83" t="str">
        <x:v>CNOR→CORS</x:v>
      </x:c>
      <x:c r="D47" s="83" t="str">
        <x:v>PDS 2025 minus DDS 2024 at 2040</x:v>
      </x:c>
      <x:c r="E47" s="242" t="n">
        <x:v>0</x:v>
      </x:c>
      <x:c r="F47" s="242" t="n">
        <x:v>0</x:v>
      </x:c>
      <x:c r="G47" s="242" t="n">
        <x:f>F47-E47</x:f>
        <x:v>0</x:v>
      </x:c>
      <x:c r="H47" s="242" t="n">
        <x:v>0</x:v>
      </x:c>
      <x:c r="I47" s="83" t="str">
        <x:f>IF(B47="Source revision comparison",IF(G47=0,"PASS","INFO"),IF(ABS(G47)&lt;=H47,"PASS","REVIEW"))</x:f>
        <x:v>PASS</x:v>
      </x:c>
      <x:c r="J47" s="83" t="str">
        <x:v>Difference is a documented source revision, not a data error.</x:v>
      </x:c>
    </x:row>
    <x:row r="48">
      <x:c r="A48" s="83" t="str">
        <x:v>QA3C-044</x:v>
      </x:c>
      <x:c r="B48" s="83" t="str">
        <x:v>Source revision comparison</x:v>
      </x:c>
      <x:c r="C48" s="83" t="str">
        <x:v>CNOR→CSUD</x:v>
      </x:c>
      <x:c r="D48" s="83" t="str">
        <x:v>PDS 2025 minus DDS 2024 at 2040</x:v>
      </x:c>
      <x:c r="E48" s="242" t="n">
        <x:v>0</x:v>
      </x:c>
      <x:c r="F48" s="242" t="n">
        <x:v>200</x:v>
      </x:c>
      <x:c r="G48" s="242" t="n">
        <x:f>F48-E48</x:f>
        <x:v>200</x:v>
      </x:c>
      <x:c r="H48" s="242" t="n">
        <x:v>0</x:v>
      </x:c>
      <x:c r="I48" s="83" t="str">
        <x:f>IF(B48="Source revision comparison",IF(G48=0,"PASS","INFO"),IF(ABS(G48)&lt;=H48,"PASS","REVIEW"))</x:f>
        <x:v>INFO</x:v>
      </x:c>
      <x:c r="J48" s="83" t="str">
        <x:v>Difference is a documented source revision, not a data error.</x:v>
      </x:c>
    </x:row>
    <x:row r="49">
      <x:c r="A49" s="83" t="str">
        <x:v>QA3C-045</x:v>
      </x:c>
      <x:c r="B49" s="83" t="str">
        <x:v>Source revision comparison</x:v>
      </x:c>
      <x:c r="C49" s="83" t="str">
        <x:v>CNOR→NORD</x:v>
      </x:c>
      <x:c r="D49" s="83" t="str">
        <x:v>PDS 2025 minus DDS 2024 at 2040</x:v>
      </x:c>
      <x:c r="E49" s="242" t="n">
        <x:v>0</x:v>
      </x:c>
      <x:c r="F49" s="242" t="n">
        <x:v>600</x:v>
      </x:c>
      <x:c r="G49" s="242" t="n">
        <x:f>F49-E49</x:f>
        <x:v>600</x:v>
      </x:c>
      <x:c r="H49" s="242" t="n">
        <x:v>0</x:v>
      </x:c>
      <x:c r="I49" s="83" t="str">
        <x:f>IF(B49="Source revision comparison",IF(G49=0,"PASS","INFO"),IF(ABS(G49)&lt;=H49,"PASS","REVIEW"))</x:f>
        <x:v>INFO</x:v>
      </x:c>
      <x:c r="J49" s="83" t="str">
        <x:v>Difference is a documented source revision, not a data error.</x:v>
      </x:c>
    </x:row>
    <x:row r="50">
      <x:c r="A50" s="83" t="str">
        <x:v>QA3C-046</x:v>
      </x:c>
      <x:c r="B50" s="83" t="str">
        <x:v>Source revision comparison</x:v>
      </x:c>
      <x:c r="C50" s="83" t="str">
        <x:v>CORS→CNOR</x:v>
      </x:c>
      <x:c r="D50" s="83" t="str">
        <x:v>PDS 2025 minus DDS 2024 at 2040</x:v>
      </x:c>
      <x:c r="E50" s="242" t="n">
        <x:v>0</x:v>
      </x:c>
      <x:c r="F50" s="242" t="n">
        <x:v>0</x:v>
      </x:c>
      <x:c r="G50" s="242" t="n">
        <x:f>F50-E50</x:f>
        <x:v>0</x:v>
      </x:c>
      <x:c r="H50" s="242" t="n">
        <x:v>0</x:v>
      </x:c>
      <x:c r="I50" s="83" t="str">
        <x:f>IF(B50="Source revision comparison",IF(G50=0,"PASS","INFO"),IF(ABS(G50)&lt;=H50,"PASS","REVIEW"))</x:f>
        <x:v>PASS</x:v>
      </x:c>
      <x:c r="J50" s="83" t="str">
        <x:v>Difference is a documented source revision, not a data error.</x:v>
      </x:c>
    </x:row>
    <x:row r="51">
      <x:c r="A51" s="83" t="str">
        <x:v>QA3C-047</x:v>
      </x:c>
      <x:c r="B51" s="83" t="str">
        <x:v>Source revision comparison</x:v>
      </x:c>
      <x:c r="C51" s="83" t="str">
        <x:v>CORS→SARD</x:v>
      </x:c>
      <x:c r="D51" s="83" t="str">
        <x:v>PDS 2025 minus DDS 2024 at 2040</x:v>
      </x:c>
      <x:c r="E51" s="242" t="n">
        <x:v>0</x:v>
      </x:c>
      <x:c r="F51" s="242" t="n">
        <x:v>0</x:v>
      </x:c>
      <x:c r="G51" s="242" t="n">
        <x:f>F51-E51</x:f>
        <x:v>0</x:v>
      </x:c>
      <x:c r="H51" s="242" t="n">
        <x:v>0</x:v>
      </x:c>
      <x:c r="I51" s="83" t="str">
        <x:f>IF(B51="Source revision comparison",IF(G51=0,"PASS","INFO"),IF(ABS(G51)&lt;=H51,"PASS","REVIEW"))</x:f>
        <x:v>PASS</x:v>
      </x:c>
      <x:c r="J51" s="83" t="str">
        <x:v>Difference is a documented source revision, not a data error.</x:v>
      </x:c>
    </x:row>
    <x:row r="52">
      <x:c r="A52" s="83" t="str">
        <x:v>QA3C-048</x:v>
      </x:c>
      <x:c r="B52" s="83" t="str">
        <x:v>Source revision comparison</x:v>
      </x:c>
      <x:c r="C52" s="83" t="str">
        <x:v>CSUD→CNOR</x:v>
      </x:c>
      <x:c r="D52" s="83" t="str">
        <x:v>PDS 2025 minus DDS 2024 at 2040</x:v>
      </x:c>
      <x:c r="E52" s="242" t="n">
        <x:v>0</x:v>
      </x:c>
      <x:c r="F52" s="242" t="n">
        <x:v>200</x:v>
      </x:c>
      <x:c r="G52" s="242" t="n">
        <x:f>F52-E52</x:f>
        <x:v>200</x:v>
      </x:c>
      <x:c r="H52" s="242" t="n">
        <x:v>0</x:v>
      </x:c>
      <x:c r="I52" s="83" t="str">
        <x:f>IF(B52="Source revision comparison",IF(G52=0,"PASS","INFO"),IF(ABS(G52)&lt;=H52,"PASS","REVIEW"))</x:f>
        <x:v>INFO</x:v>
      </x:c>
      <x:c r="J52" s="83" t="str">
        <x:v>Difference is a documented source revision, not a data error.</x:v>
      </x:c>
    </x:row>
    <x:row r="53">
      <x:c r="A53" s="83" t="str">
        <x:v>QA3C-049</x:v>
      </x:c>
      <x:c r="B53" s="83" t="str">
        <x:v>Source revision comparison</x:v>
      </x:c>
      <x:c r="C53" s="83" t="str">
        <x:v>CSUD→SARD</x:v>
      </x:c>
      <x:c r="D53" s="83" t="str">
        <x:v>PDS 2025 minus DDS 2024 at 2040</x:v>
      </x:c>
      <x:c r="E53" s="242" t="n">
        <x:v>0</x:v>
      </x:c>
      <x:c r="F53" s="242" t="n">
        <x:v>20</x:v>
      </x:c>
      <x:c r="G53" s="242" t="n">
        <x:f>F53-E53</x:f>
        <x:v>20</x:v>
      </x:c>
      <x:c r="H53" s="242" t="n">
        <x:v>0</x:v>
      </x:c>
      <x:c r="I53" s="83" t="str">
        <x:f>IF(B53="Source revision comparison",IF(G53=0,"PASS","INFO"),IF(ABS(G53)&lt;=H53,"PASS","REVIEW"))</x:f>
        <x:v>INFO</x:v>
      </x:c>
      <x:c r="J53" s="83" t="str">
        <x:v>Difference is a documented source revision, not a data error.</x:v>
      </x:c>
    </x:row>
    <x:row r="54">
      <x:c r="A54" s="83" t="str">
        <x:v>QA3C-050</x:v>
      </x:c>
      <x:c r="B54" s="83" t="str">
        <x:v>Source revision comparison</x:v>
      </x:c>
      <x:c r="C54" s="83" t="str">
        <x:v>CSUD→SICI</x:v>
      </x:c>
      <x:c r="D54" s="83" t="str">
        <x:v>PDS 2025 minus DDS 2024 at 2040</x:v>
      </x:c>
      <x:c r="E54" s="242" t="n">
        <x:v>0</x:v>
      </x:c>
      <x:c r="F54" s="242" t="n">
        <x:v>0</x:v>
      </x:c>
      <x:c r="G54" s="242" t="n">
        <x:f>F54-E54</x:f>
        <x:v>0</x:v>
      </x:c>
      <x:c r="H54" s="242" t="n">
        <x:v>0</x:v>
      </x:c>
      <x:c r="I54" s="83" t="str">
        <x:f>IF(B54="Source revision comparison",IF(G54=0,"PASS","INFO"),IF(ABS(G54)&lt;=H54,"PASS","REVIEW"))</x:f>
        <x:v>PASS</x:v>
      </x:c>
      <x:c r="J54" s="83" t="str">
        <x:v>Difference is a documented source revision, not a data error.</x:v>
      </x:c>
    </x:row>
    <x:row r="55">
      <x:c r="A55" s="83" t="str">
        <x:v>QA3C-051</x:v>
      </x:c>
      <x:c r="B55" s="83" t="str">
        <x:v>Source revision comparison</x:v>
      </x:c>
      <x:c r="C55" s="83" t="str">
        <x:v>CSUD→SUD</x:v>
      </x:c>
      <x:c r="D55" s="83" t="str">
        <x:v>PDS 2025 minus DDS 2024 at 2040</x:v>
      </x:c>
      <x:c r="E55" s="242" t="n">
        <x:v>0</x:v>
      </x:c>
      <x:c r="F55" s="242" t="n">
        <x:v>300</x:v>
      </x:c>
      <x:c r="G55" s="242" t="n">
        <x:f>F55-E55</x:f>
        <x:v>300</x:v>
      </x:c>
      <x:c r="H55" s="242" t="n">
        <x:v>0</x:v>
      </x:c>
      <x:c r="I55" s="83" t="str">
        <x:f>IF(B55="Source revision comparison",IF(G55=0,"PASS","INFO"),IF(ABS(G55)&lt;=H55,"PASS","REVIEW"))</x:f>
        <x:v>INFO</x:v>
      </x:c>
      <x:c r="J55" s="83" t="str">
        <x:v>Difference is a documented source revision, not a data error.</x:v>
      </x:c>
    </x:row>
    <x:row r="56">
      <x:c r="A56" s="83" t="str">
        <x:v>QA3C-052</x:v>
      </x:c>
      <x:c r="B56" s="83" t="str">
        <x:v>Source revision comparison</x:v>
      </x:c>
      <x:c r="C56" s="83" t="str">
        <x:v>NORD→CNOR</x:v>
      </x:c>
      <x:c r="D56" s="83" t="str">
        <x:v>PDS 2025 minus DDS 2024 at 2040</x:v>
      </x:c>
      <x:c r="E56" s="242" t="n">
        <x:v>0</x:v>
      </x:c>
      <x:c r="F56" s="242" t="n">
        <x:v>600</x:v>
      </x:c>
      <x:c r="G56" s="242" t="n">
        <x:f>F56-E56</x:f>
        <x:v>600</x:v>
      </x:c>
      <x:c r="H56" s="242" t="n">
        <x:v>0</x:v>
      </x:c>
      <x:c r="I56" s="83" t="str">
        <x:f>IF(B56="Source revision comparison",IF(G56=0,"PASS","INFO"),IF(ABS(G56)&lt;=H56,"PASS","REVIEW"))</x:f>
        <x:v>INFO</x:v>
      </x:c>
      <x:c r="J56" s="83" t="str">
        <x:v>Difference is a documented source revision, not a data error.</x:v>
      </x:c>
    </x:row>
    <x:row r="57">
      <x:c r="A57" s="83" t="str">
        <x:v>QA3C-053</x:v>
      </x:c>
      <x:c r="B57" s="83" t="str">
        <x:v>Source revision comparison</x:v>
      </x:c>
      <x:c r="C57" s="83" t="str">
        <x:v>NORD→SUD</x:v>
      </x:c>
      <x:c r="D57" s="83" t="str">
        <x:v>PDS 2025 minus DDS 2024 at 2040</x:v>
      </x:c>
      <x:c r="E57" s="242" t="n">
        <x:v>0</x:v>
      </x:c>
      <x:c r="F57" s="242" t="n">
        <x:v>100</x:v>
      </x:c>
      <x:c r="G57" s="242" t="n">
        <x:f>F57-E57</x:f>
        <x:v>100</x:v>
      </x:c>
      <x:c r="H57" s="242" t="n">
        <x:v>0</x:v>
      </x:c>
      <x:c r="I57" s="83" t="str">
        <x:f>IF(B57="Source revision comparison",IF(G57=0,"PASS","INFO"),IF(ABS(G57)&lt;=H57,"PASS","REVIEW"))</x:f>
        <x:v>INFO</x:v>
      </x:c>
      <x:c r="J57" s="83" t="str">
        <x:v>Difference is a documented source revision, not a data error.</x:v>
      </x:c>
    </x:row>
    <x:row r="58">
      <x:c r="A58" s="83" t="str">
        <x:v>QA3C-054</x:v>
      </x:c>
      <x:c r="B58" s="83" t="str">
        <x:v>Source revision comparison</x:v>
      </x:c>
      <x:c r="C58" s="83" t="str">
        <x:v>SARD→CORS</x:v>
      </x:c>
      <x:c r="D58" s="83" t="str">
        <x:v>PDS 2025 minus DDS 2024 at 2040</x:v>
      </x:c>
      <x:c r="E58" s="242" t="n">
        <x:v>0</x:v>
      </x:c>
      <x:c r="F58" s="242" t="n">
        <x:v>-100</x:v>
      </x:c>
      <x:c r="G58" s="242" t="n">
        <x:f>F58-E58</x:f>
        <x:v>-100</x:v>
      </x:c>
      <x:c r="H58" s="242" t="n">
        <x:v>0</x:v>
      </x:c>
      <x:c r="I58" s="83" t="str">
        <x:f>IF(B58="Source revision comparison",IF(G58=0,"PASS","INFO"),IF(ABS(G58)&lt;=H58,"PASS","REVIEW"))</x:f>
        <x:v>INFO</x:v>
      </x:c>
      <x:c r="J58" s="83" t="str">
        <x:v>Difference is a documented source revision, not a data error.</x:v>
      </x:c>
    </x:row>
    <x:row r="59">
      <x:c r="A59" s="83" t="str">
        <x:v>QA3C-055</x:v>
      </x:c>
      <x:c r="B59" s="83" t="str">
        <x:v>Source revision comparison</x:v>
      </x:c>
      <x:c r="C59" s="83" t="str">
        <x:v>SARD→CSUD</x:v>
      </x:c>
      <x:c r="D59" s="83" t="str">
        <x:v>PDS 2025 minus DDS 2024 at 2040</x:v>
      </x:c>
      <x:c r="E59" s="242" t="n">
        <x:v>0</x:v>
      </x:c>
      <x:c r="F59" s="242" t="n">
        <x:v>0</x:v>
      </x:c>
      <x:c r="G59" s="242" t="n">
        <x:f>F59-E59</x:f>
        <x:v>0</x:v>
      </x:c>
      <x:c r="H59" s="242" t="n">
        <x:v>0</x:v>
      </x:c>
      <x:c r="I59" s="83" t="str">
        <x:f>IF(B59="Source revision comparison",IF(G59=0,"PASS","INFO"),IF(ABS(G59)&lt;=H59,"PASS","REVIEW"))</x:f>
        <x:v>PASS</x:v>
      </x:c>
      <x:c r="J59" s="83" t="str">
        <x:v>Difference is a documented source revision, not a data error.</x:v>
      </x:c>
    </x:row>
    <x:row r="60">
      <x:c r="A60" s="83" t="str">
        <x:v>QA3C-056</x:v>
      </x:c>
      <x:c r="B60" s="83" t="str">
        <x:v>Source revision comparison</x:v>
      </x:c>
      <x:c r="C60" s="83" t="str">
        <x:v>SARD→SICI</x:v>
      </x:c>
      <x:c r="D60" s="83" t="str">
        <x:v>PDS 2025 minus DDS 2024 at 2040</x:v>
      </x:c>
      <x:c r="E60" s="242" t="n">
        <x:v>0</x:v>
      </x:c>
      <x:c r="F60" s="242" t="n">
        <x:v>0</x:v>
      </x:c>
      <x:c r="G60" s="242" t="n">
        <x:f>F60-E60</x:f>
        <x:v>0</x:v>
      </x:c>
      <x:c r="H60" s="242" t="n">
        <x:v>0</x:v>
      </x:c>
      <x:c r="I60" s="83" t="str">
        <x:f>IF(B60="Source revision comparison",IF(G60=0,"PASS","INFO"),IF(ABS(G60)&lt;=H60,"PASS","REVIEW"))</x:f>
        <x:v>PASS</x:v>
      </x:c>
      <x:c r="J60" s="83" t="str">
        <x:v>Difference is a documented source revision, not a data error.</x:v>
      </x:c>
    </x:row>
    <x:row r="61">
      <x:c r="A61" s="83" t="str">
        <x:v>QA3C-057</x:v>
      </x:c>
      <x:c r="B61" s="83" t="str">
        <x:v>Source revision comparison</x:v>
      </x:c>
      <x:c r="C61" s="83" t="str">
        <x:v>SICI→CALA</x:v>
      </x:c>
      <x:c r="D61" s="83" t="str">
        <x:v>PDS 2025 minus DDS 2024 at 2040</x:v>
      </x:c>
      <x:c r="E61" s="242" t="n">
        <x:v>0</x:v>
      </x:c>
      <x:c r="F61" s="242" t="n">
        <x:v>100</x:v>
      </x:c>
      <x:c r="G61" s="242" t="n">
        <x:f>F61-E61</x:f>
        <x:v>100</x:v>
      </x:c>
      <x:c r="H61" s="242" t="n">
        <x:v>0</x:v>
      </x:c>
      <x:c r="I61" s="83" t="str">
        <x:f>IF(B61="Source revision comparison",IF(G61=0,"PASS","INFO"),IF(ABS(G61)&lt;=H61,"PASS","REVIEW"))</x:f>
        <x:v>INFO</x:v>
      </x:c>
      <x:c r="J61" s="83" t="str">
        <x:v>Difference is a documented source revision, not a data error.</x:v>
      </x:c>
    </x:row>
    <x:row r="62">
      <x:c r="A62" s="83" t="str">
        <x:v>QA3C-058</x:v>
      </x:c>
      <x:c r="B62" s="83" t="str">
        <x:v>Source revision comparison</x:v>
      </x:c>
      <x:c r="C62" s="83" t="str">
        <x:v>SICI→CSUD</x:v>
      </x:c>
      <x:c r="D62" s="83" t="str">
        <x:v>PDS 2025 minus DDS 2024 at 2040</x:v>
      </x:c>
      <x:c r="E62" s="242" t="n">
        <x:v>0</x:v>
      </x:c>
      <x:c r="F62" s="242" t="n">
        <x:v>0</x:v>
      </x:c>
      <x:c r="G62" s="242" t="n">
        <x:f>F62-E62</x:f>
        <x:v>0</x:v>
      </x:c>
      <x:c r="H62" s="242" t="n">
        <x:v>0</x:v>
      </x:c>
      <x:c r="I62" s="83" t="str">
        <x:f>IF(B62="Source revision comparison",IF(G62=0,"PASS","INFO"),IF(ABS(G62)&lt;=H62,"PASS","REVIEW"))</x:f>
        <x:v>PASS</x:v>
      </x:c>
      <x:c r="J62" s="83" t="str">
        <x:v>Difference is a documented source revision, not a data error.</x:v>
      </x:c>
    </x:row>
    <x:row r="63">
      <x:c r="A63" s="83" t="str">
        <x:v>QA3C-059</x:v>
      </x:c>
      <x:c r="B63" s="83" t="str">
        <x:v>Source revision comparison</x:v>
      </x:c>
      <x:c r="C63" s="83" t="str">
        <x:v>SICI→SARD</x:v>
      </x:c>
      <x:c r="D63" s="83" t="str">
        <x:v>PDS 2025 minus DDS 2024 at 2040</x:v>
      </x:c>
      <x:c r="E63" s="242" t="n">
        <x:v>0</x:v>
      </x:c>
      <x:c r="F63" s="242" t="n">
        <x:v>0</x:v>
      </x:c>
      <x:c r="G63" s="242" t="n">
        <x:f>F63-E63</x:f>
        <x:v>0</x:v>
      </x:c>
      <x:c r="H63" s="242" t="n">
        <x:v>0</x:v>
      </x:c>
      <x:c r="I63" s="83" t="str">
        <x:f>IF(B63="Source revision comparison",IF(G63=0,"PASS","INFO"),IF(ABS(G63)&lt;=H63,"PASS","REVIEW"))</x:f>
        <x:v>PASS</x:v>
      </x:c>
      <x:c r="J63" s="83" t="str">
        <x:v>Difference is a documented source revision, not a data error.</x:v>
      </x:c>
    </x:row>
    <x:row r="64">
      <x:c r="A64" s="83" t="str">
        <x:v>QA3C-060</x:v>
      </x:c>
      <x:c r="B64" s="83" t="str">
        <x:v>Source revision comparison</x:v>
      </x:c>
      <x:c r="C64" s="83" t="str">
        <x:v>SUD→CALA</x:v>
      </x:c>
      <x:c r="D64" s="83" t="str">
        <x:v>PDS 2025 minus DDS 2024 at 2040</x:v>
      </x:c>
      <x:c r="E64" s="242" t="n">
        <x:v>0</x:v>
      </x:c>
      <x:c r="F64" s="242" t="n">
        <x:v>-100</x:v>
      </x:c>
      <x:c r="G64" s="242" t="n">
        <x:f>F64-E64</x:f>
        <x:v>-100</x:v>
      </x:c>
      <x:c r="H64" s="242" t="n">
        <x:v>0</x:v>
      </x:c>
      <x:c r="I64" s="83" t="str">
        <x:f>IF(B64="Source revision comparison",IF(G64=0,"PASS","INFO"),IF(ABS(G64)&lt;=H64,"PASS","REVIEW"))</x:f>
        <x:v>INFO</x:v>
      </x:c>
      <x:c r="J64" s="83" t="str">
        <x:v>Difference is a documented source revision, not a data error.</x:v>
      </x:c>
    </x:row>
    <x:row r="65">
      <x:c r="A65" s="83" t="str">
        <x:v>QA3C-061</x:v>
      </x:c>
      <x:c r="B65" s="83" t="str">
        <x:v>Source revision comparison</x:v>
      </x:c>
      <x:c r="C65" s="83" t="str">
        <x:v>SUD→CSUD</x:v>
      </x:c>
      <x:c r="D65" s="83" t="str">
        <x:v>PDS 2025 minus DDS 2024 at 2040</x:v>
      </x:c>
      <x:c r="E65" s="242" t="n">
        <x:v>0</x:v>
      </x:c>
      <x:c r="F65" s="242" t="n">
        <x:v>300</x:v>
      </x:c>
      <x:c r="G65" s="242" t="n">
        <x:f>F65-E65</x:f>
        <x:v>300</x:v>
      </x:c>
      <x:c r="H65" s="242" t="n">
        <x:v>0</x:v>
      </x:c>
      <x:c r="I65" s="83" t="str">
        <x:f>IF(B65="Source revision comparison",IF(G65=0,"PASS","INFO"),IF(ABS(G65)&lt;=H65,"PASS","REVIEW"))</x:f>
        <x:v>INFO</x:v>
      </x:c>
      <x:c r="J65" s="83" t="str">
        <x:v>Difference is a documented source revision, not a data error.</x:v>
      </x:c>
    </x:row>
    <x:row r="66">
      <x:c r="A66" s="83" t="str">
        <x:v>QA3C-062</x:v>
      </x:c>
      <x:c r="B66" s="83" t="str">
        <x:v>Source revision comparison</x:v>
      </x:c>
      <x:c r="C66" s="83" t="str">
        <x:v>SUD→NORD</x:v>
      </x:c>
      <x:c r="D66" s="83" t="str">
        <x:v>PDS 2025 minus DDS 2024 at 2040</x:v>
      </x:c>
      <x:c r="E66" s="242" t="n">
        <x:v>0</x:v>
      </x:c>
      <x:c r="F66" s="242" t="n">
        <x:v>100</x:v>
      </x:c>
      <x:c r="G66" s="242" t="n">
        <x:f>F66-E66</x:f>
        <x:v>100</x:v>
      </x:c>
      <x:c r="H66" s="242" t="n">
        <x:v>0</x:v>
      </x:c>
      <x:c r="I66" s="83" t="str">
        <x:f>IF(B66="Source revision comparison",IF(G66=0,"PASS","INFO"),IF(ABS(G66)&lt;=H66,"PASS","REVIEW"))</x:f>
        <x:v>INFO</x:v>
      </x:c>
      <x:c r="J66" s="83" t="str">
        <x:v>Difference is a documented source revision, not a data error.</x:v>
      </x:c>
    </x:row>
    <x:row r="67">
      <x:c r="A67" s="83" t="str">
        <x:v>QA3C-063</x:v>
      </x:c>
      <x:c r="B67" s="83" t="str">
        <x:v>Semantic/model-use control</x:v>
      </x:c>
      <x:c r="C67" s="83" t="str">
        <x:v>301-P</x:v>
      </x:c>
      <x:c r="D67" s="83" t="str">
        <x:v>SA.CO.I.3 nominal vs NTC</x:v>
      </x:c>
      <x:c r="E67" s="242" t="n">
        <x:v>400</x:v>
      </x:c>
      <x:c r="F67" s="242" t="n">
        <x:v>100</x:v>
      </x:c>
      <x:c r="G67" s="242" t="n">
        <x:f>F67-E67</x:f>
        <x:v>-300</x:v>
      </x:c>
      <x:c r="H67" s="242" t="n">
        <x:v>0</x:v>
      </x:c>
      <x:c r="I67" s="83" t="str">
        <x:f>IF(B67="Source revision comparison",IF(G67=0,"PASS","INFO"),IF(ABS(G67)&lt;=H67,"PASS","REVIEW"))</x:f>
        <x:v>REVIEW</x:v>
      </x:c>
      <x:c r="J67" s="83" t="str">
        <x:v>Nominal capacity is 400 MW; S03 Table 2 lists only 100 MW NTC increment.</x:v>
      </x:c>
    </x:row>
    <x:row r="68">
      <x:c r="A68" s="83" t="str">
        <x:v>QA3C-064</x:v>
      </x:c>
      <x:c r="B68" s="83" t="str">
        <x:v>Semantic/model-use control</x:v>
      </x:c>
      <x:c r="C68" s="83" t="str">
        <x:v>555-P</x:v>
      </x:c>
      <x:c r="D68" s="83" t="str">
        <x:v>Bolano corridor capability vs NTC</x:v>
      </x:c>
      <x:c r="E68" s="242" t="n">
        <x:v>2000</x:v>
      </x:c>
      <x:c r="F68" s="242" t="n">
        <x:v>700</x:v>
      </x:c>
      <x:c r="G68" s="242" t="n">
        <x:f>F68-E68</x:f>
        <x:v>-1300</x:v>
      </x:c>
      <x:c r="H68" s="242" t="n">
        <x:v>0</x:v>
      </x:c>
      <x:c r="I68" s="83" t="str">
        <x:f>IF(B68="Source revision comparison",IF(G68=0,"PASS","INFO"),IF(ABS(G68)&lt;=H68,"PASS","REVIEW"))</x:f>
        <x:v>REVIEW</x:v>
      </x:c>
      <x:c r="J68" s="83" t="str">
        <x:v>2,000 MW total SI–CA capability must not replace directional increments 700/500 MW.</x:v>
      </x:c>
    </x:row>
    <x:row r="69">
      <x:c r="A69" s="83" t="str">
        <x:v>QA3C-065</x:v>
      </x:c>
      <x:c r="B69" s="83" t="str">
        <x:v>Semantic/model-use control</x:v>
      </x:c>
      <x:c r="C69" s="83" t="str">
        <x:v>436-P</x:v>
      </x:c>
      <x:c r="D69" s="83" t="str">
        <x:v>Adriatic Link nominal vs multiple corridor effects</x:v>
      </x:c>
      <x:c r="E69" s="242" t="n">
        <x:v>1000</x:v>
      </x:c>
      <x:c r="F69" s="242" t="n">
        <x:v>600</x:v>
      </x:c>
      <x:c r="G69" s="242" t="n">
        <x:f>F69-E69</x:f>
        <x:v>-400</x:v>
      </x:c>
      <x:c r="H69" s="242" t="n">
        <x:v>0</x:v>
      </x:c>
      <x:c r="I69" s="83" t="str">
        <x:f>IF(B69="Source revision comparison",IF(G69=0,"PASS","INFO"),IF(ABS(G69)&lt;=H69,"PASS","REVIEW"))</x:f>
        <x:v>REVIEW</x:v>
      </x:c>
      <x:c r="J69" s="83" t="str">
        <x:v>Project affects N–CN and CN–CS differently; nominal rating is not a single market-link capacity.</x:v>
      </x:c>
    </x:row>
    <x:row r="70">
      <x:c r="A70" s="83" t="str">
        <x:v>QA3C-066</x:v>
      </x:c>
      <x:c r="B70" s="83" t="str">
        <x:v>Semantic/model-use control</x:v>
      </x:c>
      <x:c r="C70" s="83" t="str">
        <x:v>2050</x:v>
      </x:c>
      <x:c r="D70" s="83" t="str">
        <x:v>2050 numeric capacity source</x:v>
      </x:c>
      <x:c r="E70" s="242" t="n">
        <x:v>0</x:v>
      </x:c>
      <x:c r="F70" s="242" t="n">
        <x:v>0</x:v>
      </x:c>
      <x:c r="G70" s="242" t="n">
        <x:f>F70-E70</x:f>
        <x:v>0</x:v>
      </x:c>
      <x:c r="H70" s="242" t="n">
        <x:v>0</x:v>
      </x:c>
      <x:c r="I70" s="83" t="str">
        <x:f>IF(B70="Source revision comparison",IF(G70=0,"PASS","INFO"),IF(ABS(G70)&lt;=H70,"PASS","REVIEW"))</x:f>
        <x:v>PASS</x:v>
      </x:c>
      <x:c r="J70" s="83" t="str">
        <x:v>No complete official 2050 directional NTC matrix exists in the corpus; central case is a documented 2040 floor.</x:v>
      </x:c>
    </x:row>
  </x:sheetData>
  <x:mergeCells>
    <x:mergeCell ref="A1:J1"/>
    <x:mergeCell ref="A2:J2"/>
  </x:mergeCells>
  <x:conditionalFormatting sqref="I5:I70">
    <x:cfRule type="expression" dxfId="58" priority="1">
      <x:formula>I5="PASS"</x:formula>
    </x:cfRule>
    <x:cfRule type="expression" dxfId="59" priority="2">
      <x:formula>I5="INFO"</x:formula>
    </x:cfRule>
    <x:cfRule type="expression" dxfId="60" priority="3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2b289e17de4a35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52" hidden="0" customWidth="1"/>
    <x:col min="4" max="4" width="20" hidden="0" customWidth="1"/>
    <x:col min="5" max="5" width="32" hidden="0" customWidth="1"/>
    <x:col min="6" max="6" width="34" hidden="0" customWidth="1"/>
    <x:col min="7" max="7" width="20" hidden="0" customWidth="1"/>
    <x:col min="8" max="8" width="40" hidden="0" customWidth="1"/>
    <x:col min="9" max="9" width="64" hidden="0" customWidth="1"/>
  </x:cols>
  <x:sheetData>
    <x:row r="1" ht="34" customHeight="1">
      <x:c r="A1" s="232" t="str">
        <x:v>Registro di estrazione — Fase 3C</x:v>
      </x:c>
      <x:c r="B1" s="232"/>
      <x:c r="C1" s="232"/>
      <x:c r="D1" s="232"/>
      <x:c r="E1" s="232"/>
      <x:c r="F1" s="232"/>
      <x:c r="G1" s="232"/>
      <x:c r="H1" s="232"/>
      <x:c r="I1" s="232"/>
    </x:row>
    <x:row r="2" ht="30" customHeight="1">
      <x:c r="A2" s="236" t="str">
        <x:v>13 blocchi verificati visivamente o testualmente</x:v>
      </x:c>
      <x:c r="B2" s="236"/>
      <x:c r="C2" s="236"/>
      <x:c r="D2" s="236"/>
      <x:c r="E2" s="236"/>
      <x:c r="F2" s="236"/>
      <x:c r="G2" s="236"/>
      <x:c r="H2" s="236"/>
      <x:c r="I2" s="236"/>
    </x:row>
    <x:row r="4" ht="42" customHeight="1">
      <x:c r="A4" s="240" t="str">
        <x:v>Extraction ID</x:v>
      </x:c>
      <x:c r="B4" s="240" t="str">
        <x:v>Fonte</x:v>
      </x:c>
      <x:c r="C4" s="240" t="str">
        <x:v>Contenuto</x:v>
      </x:c>
      <x:c r="D4" s="240" t="str">
        <x:v>Pagine</x:v>
      </x:c>
      <x:c r="E4" s="240" t="str">
        <x:v>Tabella/Figura</x:v>
      </x:c>
      <x:c r="F4" s="240" t="str">
        <x:v>Blocco output</x:v>
      </x:c>
      <x:c r="G4" s="240" t="str">
        <x:v>Stato</x:v>
      </x:c>
      <x:c r="H4" s="240" t="str">
        <x:v>Metodo</x:v>
      </x:c>
      <x:c r="I4" s="240" t="str">
        <x:v>Note</x:v>
      </x:c>
    </x:row>
    <x:row r="5">
      <x:c r="A5" s="83" t="str">
        <x:v>EXT3C-001</x:v>
      </x:c>
      <x:c r="B5" s="83" t="str">
        <x:v>S01</x:v>
      </x:c>
      <x:c r="C5" s="83" t="str">
        <x:v>Current zone configuration and virtual foreign links</x:v>
      </x:c>
      <x:c r="D5" s="83" t="str">
        <x:v>PDF 39-41</x:v>
      </x:c>
      <x:c r="E5" s="83" t="str">
        <x:v>Figure 22; text</x:v>
      </x:c>
      <x:c r="F5" s="83" t="str">
        <x:v>Zone topology</x:v>
      </x:c>
      <x:c r="G5" s="83" t="str">
        <x:v>Complete</x:v>
      </x:c>
      <x:c r="H5" s="83" t="str">
        <x:v>Text + visual verification</x:v>
      </x:c>
      <x:c r="I5" s="83" t="str">
        <x:v>Configuration effective 2021; values current from 2024 figures.</x:v>
      </x:c>
    </x:row>
    <x:row r="6">
      <x:c r="A6" s="83" t="str">
        <x:v>EXT3C-002</x:v>
      </x:c>
      <x:c r="B6" s="83" t="str">
        <x:v>S01</x:v>
      </x:c>
      <x:c r="C6" s="83" t="str">
        <x:v>Winter 2024 transit limits</x:v>
      </x:c>
      <x:c r="D6" s="83" t="str">
        <x:v>PDF 40</x:v>
      </x:c>
      <x:c r="E6" s="83" t="str">
        <x:v>Figure 23</x:v>
      </x:c>
      <x:c r="F6" s="83" t="str">
        <x:v>Current seasonal limits</x:v>
      </x:c>
      <x:c r="G6" s="83" t="str">
        <x:v>Complete</x:v>
      </x:c>
      <x:c r="H6" s="83" t="str">
        <x:v>Visual transcription</x:v>
      </x:c>
      <x:c r="I6" s="83" t="str">
        <x:v>Slash values retained as low/high conditional ranges.</x:v>
      </x:c>
    </x:row>
    <x:row r="7">
      <x:c r="A7" s="83" t="str">
        <x:v>EXT3C-003</x:v>
      </x:c>
      <x:c r="B7" s="83" t="str">
        <x:v>S01</x:v>
      </x:c>
      <x:c r="C7" s="83" t="str">
        <x:v>Summer 2024 transit limits</x:v>
      </x:c>
      <x:c r="D7" s="83" t="str">
        <x:v>PDF 41</x:v>
      </x:c>
      <x:c r="E7" s="83" t="str">
        <x:v>Figure 24</x:v>
      </x:c>
      <x:c r="F7" s="83" t="str">
        <x:v>Current seasonal limits</x:v>
      </x:c>
      <x:c r="G7" s="83" t="str">
        <x:v>Complete</x:v>
      </x:c>
      <x:c r="H7" s="83" t="str">
        <x:v>Visual transcription</x:v>
      </x:c>
      <x:c r="I7" s="83" t="str">
        <x:v>Corsica AC seasonal differences retained.</x:v>
      </x:c>
    </x:row>
    <x:row r="8">
      <x:c r="A8" s="83" t="str">
        <x:v>EXT3C-004</x:v>
      </x:c>
      <x:c r="B8" s="83" t="str">
        <x:v>S03</x:v>
      </x:c>
      <x:c r="C8" s="83" t="str">
        <x:v>Foreign interconnector NTC increments</x:v>
      </x:c>
      <x:c r="D8" s="83" t="str">
        <x:v>PDF 17</x:v>
      </x:c>
      <x:c r="E8" s="83" t="str">
        <x:v>Table 1</x:v>
      </x:c>
      <x:c r="F8" s="83" t="str">
        <x:v>Foreign project increments</x:v>
      </x:c>
      <x:c r="G8" s="83" t="str">
        <x:v>Complete</x:v>
      </x:c>
      <x:c r="H8" s="83" t="str">
        <x:v>Table extraction + visual check</x:v>
      </x:c>
      <x:c r="I8" s="83" t="str">
        <x:v>Single increments not assigned symmetrically.</x:v>
      </x:c>
    </x:row>
    <x:row r="9">
      <x:c r="A9" s="83" t="str">
        <x:v>EXT3C-005</x:v>
      </x:c>
      <x:c r="B9" s="83" t="str">
        <x:v>S03</x:v>
      </x:c>
      <x:c r="C9" s="83" t="str">
        <x:v>Interzonal project effects and commissioning dates</x:v>
      </x:c>
      <x:c r="D9" s="83" t="str">
        <x:v>PDF 18</x:v>
      </x:c>
      <x:c r="E9" s="83" t="str">
        <x:v>Table 2</x:v>
      </x:c>
      <x:c r="F9" s="83" t="str">
        <x:v>Grid projects</x:v>
      </x:c>
      <x:c r="G9" s="83" t="str">
        <x:v>Complete</x:v>
      </x:c>
      <x:c r="H9" s="83" t="str">
        <x:v>Table extraction + visual check</x:v>
      </x:c>
      <x:c r="I9" s="83" t="str">
        <x:v>Arrow direction retained.</x:v>
      </x:c>
    </x:row>
    <x:row r="10">
      <x:c r="A10" s="83" t="str">
        <x:v>EXT3C-006</x:v>
      </x:c>
      <x:c r="B10" s="83" t="str">
        <x:v>S03</x:v>
      </x:c>
      <x:c r="C10" s="83" t="str">
        <x:v>Updated directional internal limits 2024/2030/2035/2040</x:v>
      </x:c>
      <x:c r="D10" s="83" t="str">
        <x:v>PDF 19</x:v>
      </x:c>
      <x:c r="E10" s="83" t="str">
        <x:v>Figure 3</x:v>
      </x:c>
      <x:c r="F10" s="83" t="str">
        <x:v>Interzonal capacity</x:v>
      </x:c>
      <x:c r="G10" s="83" t="str">
        <x:v>Complete</x:v>
      </x:c>
      <x:c r="H10" s="83" t="str">
        <x:v>High-resolution visual transcription</x:v>
      </x:c>
      <x:c r="I10" s="83" t="str">
        <x:v>Primary 2040 network evidence.</x:v>
      </x:c>
    </x:row>
    <x:row r="11">
      <x:c r="A11" s="83" t="str">
        <x:v>EXT3C-007</x:v>
      </x:c>
      <x:c r="B11" s="83" t="str">
        <x:v>S05</x:v>
      </x:c>
      <x:c r="C11" s="83" t="str">
        <x:v>Network architecture 2034 and post-2034</x:v>
      </x:c>
      <x:c r="D11" s="83" t="str">
        <x:v>PDF 32-35</x:v>
      </x:c>
      <x:c r="E11" s="83" t="str">
        <x:v>Figure 9; Section 3.3</x:v>
      </x:c>
      <x:c r="F11" s="83" t="str">
        <x:v>Project architecture/status</x:v>
      </x:c>
      <x:c r="G11" s="83" t="str">
        <x:v>Complete</x:v>
      </x:c>
      <x:c r="H11" s="83" t="str">
        <x:v>Text + figure</x:v>
      </x:c>
      <x:c r="I11" s="83" t="str">
        <x:v>Project nominal ratings separated from NTC.</x:v>
      </x:c>
    </x:row>
    <x:row r="12">
      <x:c r="A12" s="83" t="str">
        <x:v>EXT3C-008</x:v>
      </x:c>
      <x:c r="B12" s="83" t="str">
        <x:v>S05</x:v>
      </x:c>
      <x:c r="C12" s="83" t="str">
        <x:v>Asset maximisation and recent interzonal increments</x:v>
      </x:c>
      <x:c r="D12" s="83" t="str">
        <x:v>PDF 46-49</x:v>
      </x:c>
      <x:c r="E12" s="83" t="str">
        <x:v>Section 4.2.2</x:v>
      </x:c>
      <x:c r="F12" s="83" t="str">
        <x:v>Project context</x:v>
      </x:c>
      <x:c r="G12" s="83" t="str">
        <x:v>Complete</x:v>
      </x:c>
      <x:c r="H12" s="83" t="str">
        <x:v>Text extraction</x:v>
      </x:c>
      <x:c r="I12" s="83" t="str">
        <x:v>+250 MW N→CN and +600 MW CS→CN implemented in 2024 context.</x:v>
      </x:c>
    </x:row>
    <x:row r="13">
      <x:c r="A13" s="83" t="str">
        <x:v>EXT3C-009</x:v>
      </x:c>
      <x:c r="B13" s="83" t="str">
        <x:v>S05</x:v>
      </x:c>
      <x:c r="C13" s="83" t="str">
        <x:v>Foreign project status and projects under study</x:v>
      </x:c>
      <x:c r="D13" s="83" t="str">
        <x:v>PDF 53-56</x:v>
      </x:c>
      <x:c r="E13" s="83" t="str">
        <x:v>Figures 18-19; Section 5</x:v>
      </x:c>
      <x:c r="F13" s="83" t="str">
        <x:v>Foreign project status</x:v>
      </x:c>
      <x:c r="G13" s="83" t="str">
        <x:v>Complete</x:v>
      </x:c>
      <x:c r="H13" s="83" t="str">
        <x:v>Text + figure</x:v>
      </x:c>
      <x:c r="I13" s="83" t="str">
        <x:v>Study-only projects excluded from base.</x:v>
      </x:c>
    </x:row>
    <x:row r="14">
      <x:c r="A14" s="83" t="str">
        <x:v>EXT3C-010</x:v>
      </x:c>
      <x:c r="B14" s="83" t="str">
        <x:v>S09</x:v>
      </x:c>
      <x:c r="C14" s="83" t="str">
        <x:v>2030 cross-border total capacities</x:v>
      </x:c>
      <x:c r="D14" s="83" t="str">
        <x:v>PDF 34</x:v>
      </x:c>
      <x:c r="E14" s="83" t="str">
        <x:v>Figure 11</x:v>
      </x:c>
      <x:c r="F14" s="83" t="str">
        <x:v>Foreign total capacities</x:v>
      </x:c>
      <x:c r="G14" s="83" t="str">
        <x:v>Complete</x:v>
      </x:c>
      <x:c r="H14" s="83" t="str">
        <x:v>Visual transcription</x:v>
      </x:c>
      <x:c r="I14" s="83" t="str">
        <x:v>Rounded to 0.1 GW.</x:v>
      </x:c>
    </x:row>
    <x:row r="15">
      <x:c r="A15" s="83" t="str">
        <x:v>EXT3C-011</x:v>
      </x:c>
      <x:c r="B15" s="83" t="str">
        <x:v>S09</x:v>
      </x:c>
      <x:c r="C15" s="83" t="str">
        <x:v>DDS 2023/2030/2035/2040 interzonal matrix</x:v>
      </x:c>
      <x:c r="D15" s="83" t="str">
        <x:v>PDF 35</x:v>
      </x:c>
      <x:c r="E15" s="83" t="str">
        <x:v>Figure 12</x:v>
      </x:c>
      <x:c r="F15" s="83" t="str">
        <x:v>Reference comparison</x:v>
      </x:c>
      <x:c r="G15" s="83" t="str">
        <x:v>Complete</x:v>
      </x:c>
      <x:c r="H15" s="83" t="str">
        <x:v>Visual transcription</x:v>
      </x:c>
      <x:c r="I15" s="83" t="str">
        <x:v>Retained as older benchmark.</x:v>
      </x:c>
    </x:row>
    <x:row r="16">
      <x:c r="A16" s="83" t="str">
        <x:v>EXT3C-012</x:v>
      </x:c>
      <x:c r="B16" s="83" t="str">
        <x:v>A24</x:v>
      </x:c>
      <x:c r="C16" s="83" t="str">
        <x:v>Official region-zone association</x:v>
      </x:c>
      <x:c r="D16" s="83" t="str">
        <x:v>Official Terna PDF</x:v>
      </x:c>
      <x:c r="E16" s="83" t="str">
        <x:v>Allegato A.24</x:v>
      </x:c>
      <x:c r="F16" s="83" t="str">
        <x:v>Geographic crosswalk</x:v>
      </x:c>
      <x:c r="G16" s="83" t="str">
        <x:v>Complete</x:v>
      </x:c>
      <x:c r="H16" s="83" t="str">
        <x:v>Official web source</x:v>
      </x:c>
      <x:c r="I16" s="83" t="str">
        <x:v>Umbria in CSUD; Calabria standalone.</x:v>
      </x:c>
    </x:row>
    <x:row r="17">
      <x:c r="A17" s="83" t="str">
        <x:v>EXT3C-013</x:v>
      </x:c>
      <x:c r="B17" s="83" t="str">
        <x:v>S07</x:v>
      </x:c>
      <x:c r="C17" s="83" t="str">
        <x:v>Search for complete 2050 NTC matrix</x:v>
      </x:c>
      <x:c r="D17" s="83" t="str">
        <x:v>Full document</x:v>
      </x:c>
      <x:c r="E17" s="83" t="str">
        <x:v>Network/interconnection references</x:v>
      </x:c>
      <x:c r="F17" s="83" t="str">
        <x:v>2050 gap</x:v>
      </x:c>
      <x:c r="G17" s="83" t="str">
        <x:v>Gap recorded</x:v>
      </x:c>
      <x:c r="H17" s="83" t="str">
        <x:v>Text search and review</x:v>
      </x:c>
      <x:c r="I17" s="83" t="str">
        <x:v>No complete directional 2050 corridor-capacity table found.</x:v>
      </x:c>
    </x:row>
  </x:sheetData>
  <x:mergeCells>
    <x:mergeCell ref="A1:I1"/>
    <x:mergeCell ref="A2:I2"/>
  </x:mergeCells>
  <x:conditionalFormatting sqref="G5:G17">
    <x:cfRule type="expression" dxfId="61" priority="1">
      <x:formula>G5="Complete"</x:formula>
    </x:cfRule>
    <x:cfRule type="expression" dxfId="62" priority="2">
      <x:formula>G5="Gap recorded"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202738bde345d3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78" hidden="0" customWidth="1"/>
    <x:col min="4" max="4" width="34" hidden="0" customWidth="1"/>
    <x:col min="5" max="5" width="32" hidden="0" customWidth="1"/>
    <x:col min="6" max="6" width="68" hidden="0" customWidth="1"/>
  </x:cols>
  <x:sheetData>
    <x:row r="1" ht="34" customHeight="1">
      <x:c r="A1" s="232" t="str">
        <x:v>Decisioni di modellazione — rete</x:v>
      </x:c>
      <x:c r="B1" s="232"/>
      <x:c r="C1" s="232"/>
      <x:c r="D1" s="232"/>
      <x:c r="E1" s="232"/>
      <x:c r="F1" s="232"/>
    </x:row>
    <x:row r="2" ht="30" customHeight="1">
      <x:c r="A2" s="236" t="str">
        <x:v>8 decisioni; nessuna impedisce l'avvio della Fase 3D</x:v>
      </x:c>
      <x:c r="B2" s="236"/>
      <x:c r="C2" s="236"/>
      <x:c r="D2" s="236"/>
      <x:c r="E2" s="236"/>
      <x:c r="F2" s="236"/>
    </x:row>
    <x:row r="4" ht="42" customHeight="1">
      <x:c r="A4" s="240" t="str">
        <x:v>ID</x:v>
      </x:c>
      <x:c r="B4" s="240" t="str">
        <x:v>Tema</x:v>
      </x:c>
      <x:c r="C4" s="240" t="str">
        <x:v>Impostazione raccomandata</x:v>
      </x:c>
      <x:c r="D4" s="240" t="str">
        <x:v>Status</x:v>
      </x:c>
      <x:c r="E4" s="240" t="str">
        <x:v>Bloccante</x:v>
      </x:c>
      <x:c r="F4" s="240" t="str">
        <x:v>Motivazione</x:v>
      </x:c>
    </x:row>
    <x:row r="5">
      <x:c r="A5" s="83" t="str">
        <x:v>D3C-01</x:v>
      </x:c>
      <x:c r="B5" s="83" t="str">
        <x:v>Primary 2040 internal capacities</x:v>
      </x:c>
      <x:c r="C5" s="83" t="str">
        <x:v>Use PDS 2025 S03 Figure 3 2040 directional limits, not the older DDS Figure 12 values.</x:v>
      </x:c>
      <x:c r="D5" s="83" t="str">
        <x:v>Proposed / evidence complete</x:v>
      </x:c>
      <x:c r="E5" s="83" t="str">
        <x:v>Before scenario harmonisation, not before Phase 3D</x:v>
      </x:c>
      <x:c r="F5" s="83" t="str">
        <x:v>PDS 2025 is newer and explicitly includes projects and asset-maximisation measures through 2040.</x:v>
      </x:c>
    </x:row>
    <x:row r="6">
      <x:c r="A6" s="83" t="str">
        <x:v>D3C-02</x:v>
      </x:c>
      <x:c r="B6" s="83" t="str">
        <x:v>PyPSA component for zonal exchange</x:v>
      </x:c>
      <x:c r="C6" s="83" t="str">
        <x:v>Use two directional Links per market border (or one controllable Link only where symmetric limits are guaranteed).</x:v>
      </x:c>
      <x:c r="D6" s="83" t="str">
        <x:v>Proposed</x:v>
      </x:c>
      <x:c r="E6" s="83" t="str">
        <x:v>Before model build</x:v>
      </x:c>
      <x:c r="F6" s="83" t="str">
        <x:v>Terna limits are directional and often asymmetric; passive Line ratings are not equivalent to market NTC.</x:v>
      </x:c>
    </x:row>
    <x:row r="7">
      <x:c r="A7" s="83" t="str">
        <x:v>D3C-03</x:v>
      </x:c>
      <x:c r="B7" s="83" t="str">
        <x:v>Foreign systems</x:v>
      </x:c>
      <x:c r="C7" s="83" t="str">
        <x:v>Prefer endogenous neighbouring PyPSA-Eur buses; use Terna/DDS cross-border values as QA. Use collapsed external price buses only as fallback.</x:v>
      </x:c>
      <x:c r="D7" s="83" t="str">
        <x:v>Coordinate with PyPSA-Eur CLI project</x:v>
      </x:c>
      <x:c r="E7" s="83" t="str">
        <x:v>Before model build</x:v>
      </x:c>
      <x:c r="F7" s="83" t="str">
        <x:v>Endogenous external dispatch avoids imposing arbitrary import prices and captures correlated scarcity.</x:v>
      </x:c>
    </x:row>
    <x:row r="8">
      <x:c r="A8" s="83" t="str">
        <x:v>D3C-04</x:v>
      </x:c>
      <x:c r="B8" s="83" t="str">
        <x:v>2040 conservative network sensitivity</x:v>
      </x:c>
      <x:c r="C8" s="83" t="str">
        <x:v>Use the S03 2035 directional capacities as the 2040 delayed-grid sensitivity.</x:v>
      </x:c>
      <x:c r="D8" s="83" t="str">
        <x:v>Defined for workbook</x:v>
      </x:c>
      <x:c r="E8" s="83" t="str">
        <x:v>No</x:v>
      </x:c>
      <x:c r="F8" s="83" t="str">
        <x:v>Transparent delay proxy that avoids subjective project-by-project probability weights.</x:v>
      </x:c>
    </x:row>
    <x:row r="9">
      <x:c r="A9" s="83" t="str">
        <x:v>D3C-05</x:v>
      </x:c>
      <x:c r="B9" s="83" t="str">
        <x:v>2050 central network</x:v>
      </x:c>
      <x:c r="C9" s="83" t="str">
        <x:v>Carry the PDS 2025 2040 network forward as a minimum floor, clearly labelled proxy, until an official 2050 zonal-capacity dataset is acquired.</x:v>
      </x:c>
      <x:c r="D9" s="83" t="str">
        <x:v>Proposed</x:v>
      </x:c>
      <x:c r="E9" s="83" t="str">
        <x:v>Before 2050 final run</x:v>
      </x:c>
      <x:c r="F9" s="83" t="str">
        <x:v>Terna 2050 document does not publish a complete directional NTC matrix.</x:v>
      </x:c>
    </x:row>
    <x:row r="10">
      <x:c r="A10" s="83" t="str">
        <x:v>D3C-06</x:v>
      </x:c>
      <x:c r="B10" s="83" t="str">
        <x:v>2050 High Grid sensitivity</x:v>
      </x:c>
      <x:c r="C10" s="83" t="str">
        <x:v>Do not assign a generic percentage uplift. Populate only after TYNDP/target-capacity evidence or a documented corridor-specific rule.</x:v>
      </x:c>
      <x:c r="D10" s="83" t="str">
        <x:v>Open shell</x:v>
      </x:c>
      <x:c r="E10" s="83" t="str">
        <x:v>Only for High Grid sensitivity</x:v>
      </x:c>
      <x:c r="F10" s="83" t="str">
        <x:v>Uniform uplifts would ignore corridor topology, project maturity and nonlinear network interactions.</x:v>
      </x:c>
    </x:row>
    <x:row r="11">
      <x:c r="A11" s="83" t="str">
        <x:v>D3C-07</x:v>
      </x:c>
      <x:c r="B11" s="83" t="str">
        <x:v>Project nominal capacity vs NTC</x:v>
      </x:c>
      <x:c r="C11" s="83" t="str">
        <x:v>Never convert project nominal MW directly into market-link p_nom. Use S03 Figure 3 or official transit-limit data.</x:v>
      </x:c>
      <x:c r="D11" s="83" t="str">
        <x:v>Defined</x:v>
      </x:c>
      <x:c r="E11" s="83" t="str">
        <x:v>No</x:v>
      </x:c>
      <x:c r="F11" s="83" t="str">
        <x:v>Examples such as SA.CO.I.3 and Bolano–Annunziata show material differences between nominal/total capability and NTC increment.</x:v>
      </x:c>
    </x:row>
    <x:row r="12">
      <x:c r="A12" s="83" t="str">
        <x:v>D3C-08</x:v>
      </x:c>
      <x:c r="B12" s="83" t="str">
        <x:v>Network losses</x:v>
      </x:c>
      <x:c r="C12" s="83" t="str">
        <x:v>Keep zonal Links lossless in the base price model unless a consistent corridor-loss dataset is obtained; test losses as a sensitivity.</x:v>
      </x:c>
      <x:c r="D12" s="83" t="str">
        <x:v>Proposed</x:v>
      </x:c>
      <x:c r="E12" s="83" t="str">
        <x:v>Before model build</x:v>
      </x:c>
      <x:c r="F12" s="83" t="str">
        <x:v>No complete direction- and corridor-specific loss factors are available in the document corpus.</x:v>
      </x:c>
    </x:row>
  </x:sheetData>
  <x:mergeCells>
    <x:mergeCell ref="A1:F1"/>
    <x:mergeCell ref="A2:F2"/>
  </x:mergeCells>
  <x:conditionalFormatting sqref="E5:E12">
    <x:cfRule type="expression" dxfId="63" priority="1">
      <x:formula>E5="No"</x:formula>
    </x:cfRule>
    <x:cfRule type="expression" dxfId="64" priority="2">
      <x:formula>ISNUMBER(SEARCH("Before",E5))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e313e1d62a439d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4" hidden="0" customWidth="1"/>
    <x:col min="6" max="6" width="22" hidden="0" customWidth="1"/>
    <x:col min="7" max="7" width="42" hidden="0" customWidth="1"/>
    <x:col min="8" max="8" width="18" hidden="0" customWidth="1"/>
    <x:col min="9" max="9" width="24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232" t="str">
        <x:v>Fase 3C — Rete, capacità interzonali e interconnessioni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</x:row>
    <x:row r="2" ht="30" customHeight="1">
      <x:c r="A2" s="236" t="str">
        <x:v>PDS 2025 Figura 3 adottata come fonte primaria 2040; rating di progetto e capacità di mercato non vengono confusi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264" t="str">
        <x:v>Indicatore</x:v>
      </x:c>
      <x:c r="B4" s="264" t="str">
        <x:v>Valore</x:v>
      </x:c>
      <x:c r="C4" s="45"/>
      <x:c r="D4" s="264" t="str">
        <x:v>Impostazione proposta</x:v>
      </x:c>
      <x:c r="E4" s="264"/>
      <x:c r="F4" s="264"/>
      <x:c r="G4" s="264"/>
      <x:c r="H4" s="264"/>
      <x:c r="I4" s="264"/>
      <x:c r="J4" s="264"/>
      <x:c r="K4" s="45"/>
      <x:c r="L4" s="45"/>
      <x:c r="M4" s="45"/>
      <x:c r="N4" s="45"/>
      <x:c r="O4" s="45"/>
      <x:c r="P4" s="45"/>
      <x:c r="Q4" s="45"/>
      <x:c r="R4" s="45"/>
    </x:row>
    <x:row r="5">
      <x:c r="A5" s="259" t="str">
        <x:v>Limiti correnti stagionali</x:v>
      </x:c>
      <x:c r="B5" s="48" t="n">
        <x:v>40</x:v>
      </x:c>
      <x:c r="C5" s="45"/>
      <x:c r="D5" s="250" t="str">
        <x:v>2040 Base: limiti direzionali PDS 2025 all'orizzonte 2040. 2040 Conservative: rete PDS congelata al 2035. 2050 Central: capacità 2040 mantenute come floor documentato, non come target Terna 2050. 2050 High Grid: shell non eseguibile finché manca un uplift ufficiale per corridoio. Estero preferibilmente endogeno nel modello PyPSA-Eur.</x:v>
      </x:c>
      <x:c r="E5" s="250"/>
      <x:c r="F5" s="250"/>
      <x:c r="G5" s="250"/>
      <x:c r="H5" s="250"/>
      <x:c r="I5" s="250"/>
      <x:c r="J5" s="250"/>
      <x:c r="K5" s="45"/>
      <x:c r="L5" s="45"/>
      <x:c r="M5" s="45"/>
      <x:c r="N5" s="45"/>
      <x:c r="O5" s="45"/>
      <x:c r="P5" s="45"/>
      <x:c r="Q5" s="45"/>
      <x:c r="R5" s="45"/>
    </x:row>
    <x:row r="6">
      <x:c r="A6" s="259" t="str">
        <x:v>Capacità interzonali</x:v>
      </x:c>
      <x:c r="B6" s="48" t="n">
        <x:v>184</x:v>
      </x:c>
      <x:c r="C6" s="45"/>
      <x:c r="D6" s="250"/>
      <x:c r="E6" s="250"/>
      <x:c r="F6" s="250"/>
      <x:c r="G6" s="250"/>
      <x:c r="H6" s="250"/>
      <x:c r="I6" s="250"/>
      <x:c r="J6" s="250"/>
      <x:c r="K6" s="45"/>
      <x:c r="L6" s="45"/>
      <x:c r="M6" s="45"/>
      <x:c r="N6" s="45"/>
      <x:c r="O6" s="45"/>
      <x:c r="P6" s="45"/>
      <x:c r="Q6" s="45"/>
      <x:c r="R6" s="45"/>
    </x:row>
    <x:row r="7">
      <x:c r="A7" s="259" t="str">
        <x:v>Record estero</x:v>
      </x:c>
      <x:c r="B7" s="48" t="n">
        <x:v>26</x:v>
      </x:c>
      <x:c r="C7" s="45"/>
      <x:c r="D7" s="250"/>
      <x:c r="E7" s="250"/>
      <x:c r="F7" s="250"/>
      <x:c r="G7" s="250"/>
      <x:c r="H7" s="250"/>
      <x:c r="I7" s="250"/>
      <x:c r="J7" s="250"/>
      <x:c r="K7" s="45"/>
      <x:c r="L7" s="45"/>
      <x:c r="M7" s="45"/>
      <x:c r="N7" s="45"/>
      <x:c r="O7" s="45"/>
      <x:c r="P7" s="45"/>
      <x:c r="Q7" s="45"/>
      <x:c r="R7" s="45"/>
    </x:row>
    <x:row r="8">
      <x:c r="A8" s="259" t="str">
        <x:v>Effetti di progetto</x:v>
      </x:c>
      <x:c r="B8" s="48" t="n">
        <x:v>57</x:v>
      </x:c>
      <x:c r="C8" s="45"/>
      <x:c r="D8" s="250"/>
      <x:c r="E8" s="250"/>
      <x:c r="F8" s="250"/>
      <x:c r="G8" s="250"/>
      <x:c r="H8" s="250"/>
      <x:c r="I8" s="250"/>
      <x:c r="J8" s="250"/>
      <x:c r="K8" s="45"/>
      <x:c r="L8" s="45"/>
      <x:c r="M8" s="45"/>
      <x:c r="N8" s="45"/>
      <x:c r="O8" s="45"/>
      <x:c r="P8" s="45"/>
      <x:c r="Q8" s="45"/>
      <x:c r="R8" s="45"/>
    </x:row>
    <x:row r="9">
      <x:c r="A9" s="259" t="str">
        <x:v>Crosswalk geografico</x:v>
      </x:c>
      <x:c r="B9" s="48" t="n">
        <x:v>30</x:v>
      </x:c>
      <x:c r="C9" s="45"/>
      <x:c r="D9" s="250"/>
      <x:c r="E9" s="250"/>
      <x:c r="F9" s="250"/>
      <x:c r="G9" s="250"/>
      <x:c r="H9" s="250"/>
      <x:c r="I9" s="250"/>
      <x:c r="J9" s="250"/>
      <x:c r="K9" s="45"/>
      <x:c r="L9" s="45"/>
      <x:c r="M9" s="45"/>
      <x:c r="N9" s="45"/>
      <x:c r="O9" s="45"/>
      <x:c r="P9" s="45"/>
      <x:c r="Q9" s="45"/>
      <x:c r="R9" s="45"/>
    </x:row>
    <x:row r="10">
      <x:c r="A10" s="259" t="str">
        <x:v>Archi di topologia</x:v>
      </x:c>
      <x:c r="B10" s="48" t="n">
        <x:v>20</x:v>
      </x:c>
      <x:c r="C10" s="45"/>
      <x:c r="D10" s="250"/>
      <x:c r="E10" s="250"/>
      <x:c r="F10" s="250"/>
      <x:c r="G10" s="250"/>
      <x:c r="H10" s="250"/>
      <x:c r="I10" s="250"/>
      <x:c r="J10" s="250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259" t="str">
        <x:v>Varianti di rete</x:v>
      </x:c>
      <x:c r="B11" s="48" t="n">
        <x:v>96</x:v>
      </x:c>
      <x:c r="C11" s="45"/>
      <x:c r="D11" s="250"/>
      <x:c r="E11" s="250"/>
      <x:c r="F11" s="250"/>
      <x:c r="G11" s="250"/>
      <x:c r="H11" s="250"/>
      <x:c r="I11" s="250"/>
      <x:c r="J11" s="250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259" t="str">
        <x:v>QA PASS</x:v>
      </x:c>
      <x:c r="B12" s="48" t="n">
        <x:v>51</x:v>
      </x:c>
      <x:c r="C12" s="45"/>
      <x:c r="D12" s="250"/>
      <x:c r="E12" s="250"/>
      <x:c r="F12" s="250"/>
      <x:c r="G12" s="250"/>
      <x:c r="H12" s="250"/>
      <x:c r="I12" s="250"/>
      <x:c r="J12" s="250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259" t="str">
        <x:v>QA INFO</x:v>
      </x:c>
      <x:c r="B13" s="48" t="n">
        <x:v>14</x:v>
      </x:c>
      <x:c r="C13" s="45"/>
      <x:c r="D13" s="250"/>
      <x:c r="E13" s="250"/>
      <x:c r="F13" s="250"/>
      <x:c r="G13" s="250"/>
      <x:c r="H13" s="250"/>
      <x:c r="I13" s="250"/>
      <x:c r="J13" s="250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259" t="str">
        <x:v>QA REVIEW</x:v>
      </x:c>
      <x:c r="B14" s="48" t="n">
        <x:v>1</x:v>
      </x:c>
      <x:c r="C14" s="45"/>
      <x:c r="D14" s="250"/>
      <x:c r="E14" s="250"/>
      <x:c r="F14" s="250"/>
      <x:c r="G14" s="250"/>
      <x:c r="H14" s="250"/>
      <x:c r="I14" s="250"/>
      <x:c r="J14" s="250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265" t="str">
        <x:v>Corridoio 2040</x:v>
      </x:c>
      <x:c r="B17" s="265" t="str">
        <x:v>A→B GW</x:v>
      </x:c>
      <x:c r="C17" s="265" t="str">
        <x:v>B→A GW</x:v>
      </x:c>
      <x:c r="D17" s="265" t="str">
        <x:v>Fonte</x:v>
      </x:c>
      <x:c r="E17" s="45"/>
      <x:c r="F17" s="265" t="str">
        <x:v>Variante</x:v>
      </x:c>
      <x:c r="G17" s="265" t="str">
        <x:v>Anno</x:v>
      </x:c>
      <x:c r="H17" s="265" t="str">
        <x:v>Capacità interna</x:v>
      </x:c>
      <x:c r="I17" s="265" t="str">
        <x:v>Estero</x:v>
      </x:c>
      <x:c r="J17" s="265" t="str">
        <x:v>Eseguibile</x:v>
      </x:c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NORD–CNOR</x:v>
      </x:c>
      <x:c r="B18" s="224" t="n">
        <x:f>'INTERZONAL_CAPACITY'!H11</x:f>
        <x:v>6.1</x:v>
      </x:c>
      <x:c r="C18" s="224" t="n">
        <x:f>'INTERZONAL_CAPACITY'!H12</x:f>
        <x:v>5.3</x:v>
      </x:c>
      <x:c r="D18" s="45" t="str">
        <x:v>S03 Fig. 3</x:v>
      </x:c>
      <x:c r="E18" s="45"/>
      <x:c r="F18" s="45" t="str">
        <x:v>2040_BASE</x:v>
      </x:c>
      <x:c r="G18" s="45" t="n">
        <x:v>2040</x:v>
      </x:c>
      <x:c r="H18" s="45" t="str">
        <x:v>PDS 2040</x:v>
      </x:c>
      <x:c r="I18" s="45" t="str">
        <x:v>PyPSA-Eur / QA DDS</x:v>
      </x:c>
      <x:c r="J18" s="45" t="str">
        <x:v>Sì</x:v>
      </x:c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 t="str">
        <x:v>CNOR–CSUD</x:v>
      </x:c>
      <x:c r="B19" s="224" t="n">
        <x:f>'INTERZONAL_CAPACITY'!H19</x:f>
        <x:v>5.4</x:v>
      </x:c>
      <x:c r="C19" s="224" t="n">
        <x:f>'INTERZONAL_CAPACITY'!H20</x:f>
        <x:v>6.1</x:v>
      </x:c>
      <x:c r="D19" s="45" t="str">
        <x:v>S03 Fig. 3</x:v>
      </x:c>
      <x:c r="E19" s="45"/>
      <x:c r="F19" s="45" t="str">
        <x:v>2040_CONSERVATIVE</x:v>
      </x:c>
      <x:c r="G19" s="45" t="n">
        <x:v>2040</x:v>
      </x:c>
      <x:c r="H19" s="45" t="str">
        <x:v>PDS 2035 congelato</x:v>
      </x:c>
      <x:c r="I19" s="45" t="str">
        <x:v>Come Base</x:v>
      </x:c>
      <x:c r="J19" s="45" t="str">
        <x:v>Sì</x:v>
      </x:c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 t="str">
        <x:v>CSUD–SUD</x:v>
      </x:c>
      <x:c r="B20" s="224" t="n">
        <x:f>'INTERZONAL_CAPACITY'!H27</x:f>
        <x:v>6.3</x:v>
      </x:c>
      <x:c r="C20" s="224" t="n">
        <x:f>'INTERZONAL_CAPACITY'!H28</x:f>
        <x:v>9.1</x:v>
      </x:c>
      <x:c r="D20" s="45" t="str">
        <x:v>S03 Fig. 3</x:v>
      </x:c>
      <x:c r="E20" s="45"/>
      <x:c r="F20" s="45" t="str">
        <x:v>2050_CENTRAL</x:v>
      </x:c>
      <x:c r="G20" s="45" t="n">
        <x:v>2050</x:v>
      </x:c>
      <x:c r="H20" s="45" t="str">
        <x:v>PDS 2040 come floor</x:v>
      </x:c>
      <x:c r="I20" s="45" t="str">
        <x:v>PyPSA-Eur</x:v>
      </x:c>
      <x:c r="J20" s="45" t="str">
        <x:v>Sì, come proxy</x:v>
      </x:c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 t="str">
        <x:v>SUD–CALA</x:v>
      </x:c>
      <x:c r="B21" s="224" t="n">
        <x:f>'INTERZONAL_CAPACITY'!H35</x:f>
        <x:v>4.1</x:v>
      </x:c>
      <x:c r="C21" s="224" t="n">
        <x:f>'INTERZONAL_CAPACITY'!H36</x:f>
        <x:v>5.35</x:v>
      </x:c>
      <x:c r="D21" s="45" t="str">
        <x:v>S03 Fig. 3</x:v>
      </x:c>
      <x:c r="E21" s="45"/>
      <x:c r="F21" s="45" t="str">
        <x:v>2050_HIGH_GRID</x:v>
      </x:c>
      <x:c r="G21" s="45" t="n">
        <x:v>2050</x:v>
      </x:c>
      <x:c r="H21" s="45" t="str">
        <x:v>Floor + uplift da definire</x:v>
      </x:c>
      <x:c r="I21" s="45" t="str">
        <x:v>Da evidenza ufficiale</x:v>
      </x:c>
      <x:c r="J21" s="45" t="str">
        <x:v>No</x:v>
      </x:c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45" t="str">
        <x:v>CALA–SICI</x:v>
      </x:c>
      <x:c r="B22" s="224" t="n">
        <x:f>'INTERZONAL_CAPACITY'!H43</x:f>
        <x:v>4.15</x:v>
      </x:c>
      <x:c r="C22" s="224" t="n">
        <x:f>'INTERZONAL_CAPACITY'!H44</x:f>
        <x:v>4.1</x:v>
      </x:c>
      <x:c r="D22" s="45" t="str">
        <x:v>S03 Fig. 3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CSUD–SARD</x:v>
      </x:c>
      <x:c r="B23" s="224" t="n">
        <x:f>'INTERZONAL_CAPACITY'!H51</x:f>
        <x:v>1.72</x:v>
      </x:c>
      <x:c r="C23" s="224" t="n">
        <x:f>'INTERZONAL_CAPACITY'!H52</x:f>
        <x:v>1.9</x:v>
      </x:c>
      <x:c r="D23" s="45" t="str">
        <x:v>S03 Fig. 3</x:v>
      </x:c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CNOR–CORS</x:v>
      </x:c>
      <x:c r="B24" s="224" t="n">
        <x:f>'INTERZONAL_CAPACITY'!H59</x:f>
        <x:v>0.4</x:v>
      </x:c>
      <x:c r="C24" s="224" t="n">
        <x:f>'INTERZONAL_CAPACITY'!H60</x:f>
        <x:v>0.4</x:v>
      </x:c>
      <x:c r="D24" s="45" t="str">
        <x:v>S03 Fig. 3</x:v>
      </x:c>
      <x:c r="E24" s="45"/>
      <x:c r="F24" s="265" t="str">
        <x:v>Regole di implementazione</x:v>
      </x:c>
      <x:c r="G24" s="265"/>
      <x:c r="H24" s="265"/>
      <x:c r="I24" s="265"/>
      <x:c r="J24" s="265"/>
      <x:c r="K24" s="45"/>
      <x:c r="L24" s="45"/>
      <x:c r="M24" s="45"/>
      <x:c r="N24" s="45"/>
      <x:c r="O24" s="45"/>
      <x:c r="P24" s="45"/>
      <x:c r="Q24" s="45"/>
      <x:c r="R24" s="45"/>
    </x:row>
    <x:row r="25" ht="30" customHeight="1">
      <x:c r="A25" s="45" t="str">
        <x:v>CORS–SARD</x:v>
      </x:c>
      <x:c r="B25" s="224" t="n">
        <x:f>'INTERZONAL_CAPACITY'!H67</x:f>
        <x:v>0.4</x:v>
      </x:c>
      <x:c r="C25" s="224" t="n">
        <x:f>'INTERZONAL_CAPACITY'!H68</x:f>
        <x:v>0.4</x:v>
      </x:c>
      <x:c r="D25" s="45" t="str">
        <x:v>S03 Fig. 3</x:v>
      </x:c>
      <x:c r="E25" s="45"/>
      <x:c r="F25" s="261" t="str">
        <x:v>NTC / nominale</x:v>
      </x:c>
      <x:c r="G25" s="262" t="str">
        <x:v>Usare il limite di mercato, mai il rating nominale come p_nom automatico.</x:v>
      </x:c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 ht="30" customHeight="1">
      <x:c r="A26" s="45" t="str">
        <x:v>NORD–SUD</x:v>
      </x:c>
      <x:c r="B26" s="224" t="n">
        <x:f>'INTERZONAL_CAPACITY'!H75</x:f>
        <x:v>2.1</x:v>
      </x:c>
      <x:c r="C26" s="224" t="n">
        <x:f>'INTERZONAL_CAPACITY'!H76</x:f>
        <x:v>2.1</x:v>
      </x:c>
      <x:c r="D26" s="45" t="str">
        <x:v>S03 Fig. 3</x:v>
      </x:c>
      <x:c r="E26" s="45"/>
      <x:c r="F26" s="261" t="str">
        <x:v>Direzionalità</x:v>
      </x:c>
      <x:c r="G26" s="262" t="str">
        <x:v>Due Link orientati quando i limiti sono asimmetrici.</x:v>
      </x:c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 ht="30" customHeight="1">
      <x:c r="A27" s="45" t="str">
        <x:v>NORD–CSUD</x:v>
      </x:c>
      <x:c r="B27" s="224" t="n">
        <x:f>'INTERZONAL_CAPACITY'!H83</x:f>
        <x:v>2.1</x:v>
      </x:c>
      <x:c r="C27" s="224" t="n">
        <x:f>'INTERZONAL_CAPACITY'!H84</x:f>
        <x:v>2.1</x:v>
      </x:c>
      <x:c r="D27" s="45" t="str">
        <x:v>S03 Fig. 3</x:v>
      </x:c>
      <x:c r="E27" s="45"/>
      <x:c r="F27" s="261" t="str">
        <x:v>Estensione</x:v>
      </x:c>
      <x:c r="G27" s="262" t="str">
        <x:v>p_nom_extendable=False nel dispatch-only.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 ht="30" customHeight="1">
      <x:c r="A28" s="45" t="str">
        <x:v>CSUD–SICI</x:v>
      </x:c>
      <x:c r="B28" s="224" t="n">
        <x:f>'INTERZONAL_CAPACITY'!H91</x:f>
        <x:v>1</x:v>
      </x:c>
      <x:c r="C28" s="224" t="n">
        <x:f>'INTERZONAL_CAPACITY'!H92</x:f>
        <x:v>1</x:v>
      </x:c>
      <x:c r="D28" s="45" t="str">
        <x:v>S03 Fig. 3</x:v>
      </x:c>
      <x:c r="E28" s="45"/>
      <x:c r="F28" s="261" t="str">
        <x:v>Perdite</x:v>
      </x:c>
      <x:c r="G28" s="262" t="str">
        <x:v>Base lossless; sensitivity solo con dati coerenti.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 ht="30" customHeight="1">
      <x:c r="A29" s="45" t="str">
        <x:v>SARD–SICI</x:v>
      </x:c>
      <x:c r="B29" s="224" t="n">
        <x:f>'INTERZONAL_CAPACITY'!H99</x:f>
        <x:v>1</x:v>
      </x:c>
      <x:c r="C29" s="224" t="n">
        <x:f>'INTERZONAL_CAPACITY'!H100</x:f>
        <x:v>1</x:v>
      </x:c>
      <x:c r="D29" s="45" t="str">
        <x:v>S03 Fig. 3</x:v>
      </x:c>
      <x:c r="E29" s="45"/>
      <x:c r="F29" s="261" t="str">
        <x:v>Progetti</x:v>
      </x:c>
      <x:c r="G29" s="262" t="str">
        <x:v>Non sommare incrementi di progetto a totali di Figura 3.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 ht="30" customHeight="1">
      <x:c r="A30" s="45"/>
      <x:c r="B30" s="45"/>
      <x:c r="C30" s="45"/>
      <x:c r="D30" s="45"/>
      <x:c r="E30" s="45"/>
      <x:c r="F30" s="261" t="str">
        <x:v>Geografia</x:v>
      </x:c>
      <x:c r="G30" s="262" t="str">
        <x:v>Codice zona/coordinate prevalgono sul crosswalk regionale.</x:v>
      </x:c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265" t="str">
        <x:v>Gap e decisioni ancora aperti</x:v>
      </x:c>
      <x:c r="B33" s="265"/>
      <x:c r="C33" s="265"/>
      <x:c r="D33" s="265"/>
      <x:c r="E33" s="265"/>
      <x:c r="F33" s="265"/>
      <x:c r="G33" s="265"/>
      <x:c r="H33" s="265"/>
      <x:c r="I33" s="265"/>
      <x:c r="J33" s="265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264" t="str">
        <x:v>Tema</x:v>
      </x:c>
      <x:c r="B34" s="264" t="str">
        <x:v>Stato</x:v>
      </x:c>
      <x:c r="C34" s="264" t="str">
        <x:v>Quando blocca</x:v>
      </x:c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>
      <x:c r="A35" s="263" t="str">
        <x:v>2050 NTC</x:v>
      </x:c>
      <x:c r="B35" s="263" t="str">
        <x:v>Manca una matrice ufficiale completa; Central usa il 2040 come floor.</x:v>
      </x:c>
      <x:c r="C35" s="263" t="str">
        <x:v>Prima del run 2050 finale</x:v>
      </x:c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263" t="str">
        <x:v>High Grid</x:v>
      </x:c>
      <x:c r="B36" s="263" t="str">
        <x:v>Nessun uplift uniforme; serve regola ufficiale per corridoio.</x:v>
      </x:c>
      <x:c r="C36" s="263" t="str">
        <x:v>Solo per sensitivity High Grid</x:v>
      </x:c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263" t="str">
        <x:v>Estero</x:v>
      </x:c>
      <x:c r="B37" s="263" t="str">
        <x:v>Confermare rete europea endogena o bus esterni collassati.</x:v>
      </x:c>
      <x:c r="C37" s="263" t="str">
        <x:v>Prima del model build</x:v>
      </x:c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263" t="str">
        <x:v>Perdite</x:v>
      </x:c>
      <x:c r="B38" s="263" t="str">
        <x:v>Nessun set completo di loss factor di frontiera.</x:v>
      </x:c>
      <x:c r="C38" s="263" t="str">
        <x:v>Prima del model build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263" t="str">
        <x:v>Profili condizionali</x:v>
      </x:c>
      <x:c r="B39" s="263" t="str">
        <x:v>I range correnti 2024 non sono profili orari futuri.</x:v>
      </x:c>
      <x:c r="C39" s="263" t="str">
        <x:v>Fase 4 / QA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 t="str">
        <x:v>Backbone</x:v>
      </x:c>
      <x:c r="B44" s="45" t="str">
        <x:v>Verso sud GW</x:v>
      </x:c>
      <x:c r="C44" s="45" t="str">
        <x:v>Verso nord GW</x:v>
      </x:c>
      <x:c r="D44" s="45"/>
      <x:c r="E44" s="45" t="str">
        <x:v>Anno</x:v>
      </x:c>
      <x:c r="F44" s="45" t="str">
        <x:v>CNOR→NORD</x:v>
      </x:c>
      <x:c r="G44" s="45" t="str">
        <x:v>CSUD→CNOR</x:v>
      </x:c>
      <x:c r="H44" s="45" t="str">
        <x:v>SUD→CSUD</x:v>
      </x:c>
      <x:c r="I44" s="45" t="str">
        <x:v>CALA→SUD</x:v>
      </x:c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 t="str">
        <x:v>NORD–CNOR</x:v>
      </x:c>
      <x:c r="B45" s="45" t="n">
        <x:f>B18</x:f>
        <x:v>6.1</x:v>
      </x:c>
      <x:c r="C45" s="45" t="n">
        <x:f>C18</x:f>
        <x:v>5.3</x:v>
      </x:c>
      <x:c r="D45" s="45"/>
      <x:c r="E45" s="45" t="n">
        <x:v>2024</x:v>
      </x:c>
      <x:c r="F45" s="45" t="n">
        <x:f>'INTERZONAL_CAPACITY'!H6</x:f>
        <x:v>3.1</x:v>
      </x:c>
      <x:c r="G45" s="45" t="n">
        <x:f>'INTERZONAL_CAPACITY'!H14</x:f>
        <x:v>2.8</x:v>
      </x:c>
      <x:c r="H45" s="45" t="n">
        <x:f>'INTERZONAL_CAPACITY'!H22</x:f>
        <x:v>5.2</x:v>
      </x:c>
      <x:c r="I45" s="45" t="n">
        <x:f>'INTERZONAL_CAPACITY'!H30</x:f>
        <x:v>2.35</x:v>
      </x:c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 t="str">
        <x:v>CNOR–CSUD</x:v>
      </x:c>
      <x:c r="B46" s="45" t="n">
        <x:f>B19</x:f>
        <x:v>5.4</x:v>
      </x:c>
      <x:c r="C46" s="45" t="n">
        <x:f>C19</x:f>
        <x:v>6.1</x:v>
      </x:c>
      <x:c r="D46" s="45"/>
      <x:c r="E46" s="45" t="n">
        <x:v>2030</x:v>
      </x:c>
      <x:c r="F46" s="45" t="n">
        <x:f>'INTERZONAL_CAPACITY'!H8</x:f>
        <x:v>4.6</x:v>
      </x:c>
      <x:c r="G46" s="45" t="n">
        <x:f>'INTERZONAL_CAPACITY'!H16</x:f>
        <x:v>4.5</x:v>
      </x:c>
      <x:c r="H46" s="45" t="n">
        <x:f>'INTERZONAL_CAPACITY'!H24</x:f>
        <x:v>5.7</x:v>
      </x:c>
      <x:c r="I46" s="45" t="n">
        <x:f>'INTERZONAL_CAPACITY'!H32</x:f>
        <x:v>2.65</x:v>
      </x:c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CSUD–SUD</x:v>
      </x:c>
      <x:c r="B47" s="45" t="n">
        <x:f>B20</x:f>
        <x:v>6.3</x:v>
      </x:c>
      <x:c r="C47" s="45" t="n">
        <x:f>C20</x:f>
        <x:v>9.1</x:v>
      </x:c>
      <x:c r="D47" s="45"/>
      <x:c r="E47" s="45" t="n">
        <x:v>2035</x:v>
      </x:c>
      <x:c r="F47" s="45" t="n">
        <x:f>'INTERZONAL_CAPACITY'!H10</x:f>
        <x:v>5.3</x:v>
      </x:c>
      <x:c r="G47" s="45" t="n">
        <x:f>'INTERZONAL_CAPACITY'!H18</x:f>
        <x:v>5.9</x:v>
      </x:c>
      <x:c r="H47" s="45" t="n">
        <x:f>'INTERZONAL_CAPACITY'!H26</x:f>
        <x:v>6.7</x:v>
      </x:c>
      <x:c r="I47" s="45" t="n">
        <x:f>'INTERZONAL_CAPACITY'!H34</x:f>
        <x:v>3.25</x:v>
      </x:c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 t="str">
        <x:v>SUD–CALA</x:v>
      </x:c>
      <x:c r="B48" s="45" t="n">
        <x:f>B21</x:f>
        <x:v>4.1</x:v>
      </x:c>
      <x:c r="C48" s="45" t="n">
        <x:f>C21</x:f>
        <x:v>5.35</x:v>
      </x:c>
      <x:c r="D48" s="45"/>
      <x:c r="E48" s="45" t="n">
        <x:v>2040</x:v>
      </x:c>
      <x:c r="F48" s="45" t="n">
        <x:f>'INTERZONAL_CAPACITY'!H12</x:f>
        <x:v>5.3</x:v>
      </x:c>
      <x:c r="G48" s="45" t="n">
        <x:f>'INTERZONAL_CAPACITY'!H20</x:f>
        <x:v>6.1</x:v>
      </x:c>
      <x:c r="H48" s="45" t="n">
        <x:f>'INTERZONAL_CAPACITY'!H28</x:f>
        <x:v>9.1</x:v>
      </x:c>
      <x:c r="I48" s="45" t="n">
        <x:f>'INTERZONAL_CAPACITY'!H36</x:f>
        <x:v>5.35</x:v>
      </x:c>
      <x:c r="J48" s="45"/>
      <x:c r="K48" s="45"/>
      <x:c r="L48" s="45"/>
      <x:c r="M48" s="45"/>
      <x:c r="N48" s="45"/>
      <x:c r="O48" s="45"/>
      <x:c r="P48" s="45"/>
      <x:c r="Q48" s="45"/>
      <x:c r="R48" s="45"/>
    </x:row>
    <x:row r="49">
      <x:c r="A49" s="45" t="str">
        <x:v>CALA–SICI</x:v>
      </x:c>
      <x:c r="B49" s="45" t="n">
        <x:f>B22</x:f>
        <x:v>4.15</x:v>
      </x:c>
      <x:c r="C49" s="45" t="n">
        <x:f>C22</x:f>
        <x:v>4.1</x:v>
      </x:c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</x:row>
  </x:sheetData>
  <x:mergeCells>
    <x:mergeCell ref="A1:R1"/>
    <x:mergeCell ref="A2:R2"/>
    <x:mergeCell ref="D4:J4"/>
    <x:mergeCell ref="D5:J14"/>
    <x:mergeCell ref="F24:J24"/>
    <x:mergeCell ref="A33:J33"/>
  </x:mergeCells>
  <x:conditionalFormatting sqref="J18:J21">
    <x:cfRule type="expression" dxfId="65" priority="1">
      <x:formula>LEFT(J18,2)="No"</x:formula>
    </x:cfRule>
    <x:cfRule type="expression" dxfId="66" priority="2">
      <x:formula>LEFT(J18,2)="Sì"</x:formula>
    </x:cfRule>
  </x:conditionalFormatting>
  <x:pageMargins left="0.7" right="0.7" top="0.75" bottom="0.75" header="0.3" footer="0.3"/>
  <x:drawing xmlns:r="http://schemas.openxmlformats.org/officeDocument/2006/relationships" r:id="Rbf4333a4549d4174"/>
</x:worksheet>
</file>

<file path=xl/worksheets/sheet4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38" hidden="0" customWidth="1"/>
    <x:col min="5" max="5" width="12" hidden="0" customWidth="1"/>
    <x:col min="6" max="6" width="32" hidden="0" customWidth="1"/>
    <x:col min="7" max="7" width="13" hidden="0" customWidth="1"/>
    <x:col min="8" max="8" width="14" hidden="0" customWidth="1"/>
    <x:col min="9" max="9" width="13" hidden="0" customWidth="1"/>
    <x:col min="10" max="10" width="22" hidden="0" customWidth="1"/>
    <x:col min="11" max="11" width="24" hidden="0" customWidth="1"/>
    <x:col min="12" max="12" width="22" hidden="0" customWidth="1"/>
    <x:col min="13" max="13" width="26" hidden="0" customWidth="1"/>
    <x:col min="14" max="14" width="14" hidden="0" customWidth="1"/>
    <x:col min="15" max="15" width="48" hidden="0" customWidth="1"/>
    <x:col min="16" max="16" width="13" hidden="0" customWidth="1"/>
    <x:col min="17" max="17" width="16" hidden="0" customWidth="1"/>
    <x:col min="18" max="18" width="28" hidden="0" customWidth="1"/>
    <x:col min="19" max="19" width="32" hidden="0" customWidth="1"/>
    <x:col min="20" max="20" width="18" hidden="0" customWidth="1"/>
    <x:col min="21" max="21" width="24" hidden="0" customWidth="1"/>
    <x:col min="22" max="22" width="38" hidden="0" customWidth="1"/>
    <x:col min="23" max="23" width="38" hidden="0" customWidth="1"/>
    <x:col min="24" max="24" width="60" hidden="0" customWidth="1"/>
  </x:cols>
  <x:sheetData>
    <x:row r="1" ht="34" customHeight="1">
      <x:c r="A1" s="270" t="str">
        <x:v>Evidenze interne su costi e parametri tecnici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  <x:c r="T1" s="270"/>
      <x:c r="U1" s="270"/>
      <x:c r="V1" s="270"/>
      <x:c r="W1" s="270"/>
      <x:c r="X1" s="270"/>
    </x:row>
    <x:row r="2" ht="30" customHeight="1">
      <x:c r="A2" s="274" t="str">
        <x:v>94 record: parametri diretti, calibrazioni e dati economici contestuali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  <x:c r="P2" s="274"/>
      <x:c r="Q2" s="274"/>
      <x:c r="R2" s="274"/>
      <x:c r="S2" s="274"/>
      <x:c r="T2" s="274"/>
      <x:c r="U2" s="274"/>
      <x:c r="V2" s="274"/>
      <x:c r="W2" s="274"/>
      <x:c r="X2" s="274"/>
    </x:row>
    <x:row r="4" ht="42" customHeight="1">
      <x:c r="A4" s="278" t="str">
        <x:v>Record ID</x:v>
      </x:c>
      <x:c r="B4" s="278" t="str">
        <x:v>Categoria</x:v>
      </x:c>
      <x:c r="C4" s="278" t="str">
        <x:v>Tecnologia</x:v>
      </x:c>
      <x:c r="D4" s="278" t="str">
        <x:v>Parametro</x:v>
      </x:c>
      <x:c r="E4" s="278" t="str">
        <x:v>Anno</x:v>
      </x:c>
      <x:c r="F4" s="278" t="str">
        <x:v>Scenario</x:v>
      </x:c>
      <x:c r="G4" s="278" t="str">
        <x:v>Min</x:v>
      </x:c>
      <x:c r="H4" s="278" t="str">
        <x:v>Valore</x:v>
      </x:c>
      <x:c r="I4" s="278" t="str">
        <x:v>Max</x:v>
      </x:c>
      <x:c r="J4" s="278" t="str">
        <x:v>Unità</x:v>
      </x:c>
      <x:c r="K4" s="278" t="str">
        <x:v>Base monetaria</x:v>
      </x:c>
      <x:c r="L4" s="278" t="str">
        <x:v>Tipo evidenza</x:v>
      </x:c>
      <x:c r="M4" s="278" t="str">
        <x:v>Ruolo nel dispatch</x:v>
      </x:c>
      <x:c r="N4" s="278" t="str">
        <x:v>Fonte</x:v>
      </x:c>
      <x:c r="O4" s="278" t="str">
        <x:v>File fonte</x:v>
      </x:c>
      <x:c r="P4" s="278" t="str">
        <x:v>Pagina PDF</x:v>
      </x:c>
      <x:c r="Q4" s="278" t="str">
        <x:v>Pagina stampata</x:v>
      </x:c>
      <x:c r="R4" s="278" t="str">
        <x:v>Tabella/Figura</x:v>
      </x:c>
      <x:c r="S4" s="278" t="str">
        <x:v>Metodo</x:v>
      </x:c>
      <x:c r="T4" s="278" t="str">
        <x:v>Affidabilità</x:v>
      </x:c>
      <x:c r="U4" s="278" t="str">
        <x:v>Componente PyPSA</x:v>
      </x:c>
      <x:c r="V4" s="278" t="str">
        <x:v>Campo PyPSA</x:v>
      </x:c>
      <x:c r="W4" s="278" t="str">
        <x:v>Status adozione</x:v>
      </x:c>
      <x:c r="X4" s="278" t="str">
        <x:v>Note</x:v>
      </x:c>
    </x:row>
    <x:row r="5">
      <x:c r="A5" s="83" t="str">
        <x:v>INT-001</x:v>
      </x:c>
      <x:c r="B5" s="83" t="str">
        <x:v>Fuel and CO2</x:v>
      </x:c>
      <x:c r="C5" s="83" t="str">
        <x:v>Gas naturale</x:v>
      </x:c>
      <x:c r="D5" s="83" t="str">
        <x:v>Scenario price</x:v>
      </x:c>
      <x:c r="E5" s="83" t="n">
        <x:v>2023</x:v>
      </x:c>
      <x:c r="F5" s="83" t="str">
        <x:v>PNIEC / DDS common commodity assumptions</x:v>
      </x:c>
      <x:c r="G5" s="279"/>
      <x:c r="H5" s="279" t="n">
        <x:v>39.2</x:v>
      </x:c>
      <x:c r="I5" s="279"/>
      <x:c r="J5" s="83" t="str">
        <x:v>EUR2023/MWh_th</x:v>
      </x:c>
      <x:c r="K5" s="83" t="str">
        <x:v>Real 2023 EUR</x:v>
      </x:c>
      <x:c r="L5" s="83" t="str">
        <x:v>A — Direct</x:v>
      </x:c>
      <x:c r="M5" s="83" t="str">
        <x:v>Direct</x:v>
      </x:c>
      <x:c r="N5" s="83" t="str">
        <x:v>S01 / S09</x:v>
      </x:c>
      <x:c r="O5" s="83" t="str">
        <x:v>Terna_Piano_Sviluppo_2025_Stato_sistema_elettrico_scenari_energetici_8dd62ec4bbb9f75.pdf; Documento_Descrizione_Scenari_2024_8dce2430d44d101.pdf</x:v>
      </x:c>
      <x:c r="P5" s="83" t="str">
        <x:v>88 / 28</x:v>
      </x:c>
      <x:c r="Q5" s="83" t="str">
        <x:v>86 / 26</x:v>
      </x:c>
      <x:c r="R5" s="83" t="str">
        <x:v>S01 Table 14 / DDS Table 4</x:v>
      </x:c>
      <x:c r="S5" s="83" t="str">
        <x:v>Direct transcription</x:v>
      </x:c>
      <x:c r="T5" s="83" t="str">
        <x:v>A — Direct</x:v>
      </x:c>
      <x:c r="U5" s="83" t="str">
        <x:v>Carrier / Generator</x:v>
      </x:c>
      <x:c r="V5" s="83" t="str">
        <x:v>fuel cost / co2_emissions / marginal_cost build</x:v>
      </x:c>
      <x:c r="W5" s="83" t="str">
        <x:v>Direct scenario input through 2040</x:v>
      </x:c>
      <x:c r="X5" s="83" t="str">
        <x:v>Scenario parameter, not a price forecast. Duplicate official presentation cross-checked.</x:v>
      </x:c>
    </x:row>
    <x:row r="6">
      <x:c r="A6" s="83" t="str">
        <x:v>INT-002</x:v>
      </x:c>
      <x:c r="B6" s="83" t="str">
        <x:v>Fuel and CO2</x:v>
      </x:c>
      <x:c r="C6" s="83" t="str">
        <x:v>Gas naturale</x:v>
      </x:c>
      <x:c r="D6" s="83" t="str">
        <x:v>Scenario price</x:v>
      </x:c>
      <x:c r="E6" s="83" t="n">
        <x:v>2030</x:v>
      </x:c>
      <x:c r="F6" s="83" t="str">
        <x:v>PNIEC / DDS common commodity assumptions</x:v>
      </x:c>
      <x:c r="G6" s="279"/>
      <x:c r="H6" s="279" t="n">
        <x:v>32.4</x:v>
      </x:c>
      <x:c r="I6" s="279"/>
      <x:c r="J6" s="83" t="str">
        <x:v>EUR2023/MWh_th</x:v>
      </x:c>
      <x:c r="K6" s="83" t="str">
        <x:v>Real 2023 EUR</x:v>
      </x:c>
      <x:c r="L6" s="83" t="str">
        <x:v>A — Direct</x:v>
      </x:c>
      <x:c r="M6" s="83" t="str">
        <x:v>Direct</x:v>
      </x:c>
      <x:c r="N6" s="83" t="str">
        <x:v>S01 / S09</x:v>
      </x:c>
      <x:c r="O6" s="83" t="str">
        <x:v>Terna_Piano_Sviluppo_2025_Stato_sistema_elettrico_scenari_energetici_8dd62ec4bbb9f75.pdf; Documento_Descrizione_Scenari_2024_8dce2430d44d101.pdf</x:v>
      </x:c>
      <x:c r="P6" s="83" t="str">
        <x:v>88 / 28</x:v>
      </x:c>
      <x:c r="Q6" s="83" t="str">
        <x:v>86 / 26</x:v>
      </x:c>
      <x:c r="R6" s="83" t="str">
        <x:v>S01 Table 14 / DDS Table 4</x:v>
      </x:c>
      <x:c r="S6" s="83" t="str">
        <x:v>Direct transcription</x:v>
      </x:c>
      <x:c r="T6" s="83" t="str">
        <x:v>A — Direct</x:v>
      </x:c>
      <x:c r="U6" s="83" t="str">
        <x:v>Carrier / Generator</x:v>
      </x:c>
      <x:c r="V6" s="83" t="str">
        <x:v>fuel cost / co2_emissions / marginal_cost build</x:v>
      </x:c>
      <x:c r="W6" s="83" t="str">
        <x:v>Direct scenario input through 2040</x:v>
      </x:c>
      <x:c r="X6" s="83" t="str">
        <x:v>Scenario parameter, not a price forecast. Duplicate official presentation cross-checked.</x:v>
      </x:c>
    </x:row>
    <x:row r="7">
      <x:c r="A7" s="83" t="str">
        <x:v>INT-003</x:v>
      </x:c>
      <x:c r="B7" s="83" t="str">
        <x:v>Fuel and CO2</x:v>
      </x:c>
      <x:c r="C7" s="83" t="str">
        <x:v>Gas naturale</x:v>
      </x:c>
      <x:c r="D7" s="83" t="str">
        <x:v>Scenario price</x:v>
      </x:c>
      <x:c r="E7" s="83" t="n">
        <x:v>2035</x:v>
      </x:c>
      <x:c r="F7" s="83" t="str">
        <x:v>PNIEC / DDS common commodity assumptions</x:v>
      </x:c>
      <x:c r="G7" s="279"/>
      <x:c r="H7" s="279" t="n">
        <x:v>29.5</x:v>
      </x:c>
      <x:c r="I7" s="279"/>
      <x:c r="J7" s="83" t="str">
        <x:v>EUR2023/MWh_th</x:v>
      </x:c>
      <x:c r="K7" s="83" t="str">
        <x:v>Real 2023 EUR</x:v>
      </x:c>
      <x:c r="L7" s="83" t="str">
        <x:v>A — Direct</x:v>
      </x:c>
      <x:c r="M7" s="83" t="str">
        <x:v>Direct</x:v>
      </x:c>
      <x:c r="N7" s="83" t="str">
        <x:v>S01 / S09</x:v>
      </x:c>
      <x:c r="O7" s="83" t="str">
        <x:v>Terna_Piano_Sviluppo_2025_Stato_sistema_elettrico_scenari_energetici_8dd62ec4bbb9f75.pdf; Documento_Descrizione_Scenari_2024_8dce2430d44d101.pdf</x:v>
      </x:c>
      <x:c r="P7" s="83" t="str">
        <x:v>88 / 28</x:v>
      </x:c>
      <x:c r="Q7" s="83" t="str">
        <x:v>86 / 26</x:v>
      </x:c>
      <x:c r="R7" s="83" t="str">
        <x:v>S01 Table 14 / DDS Table 4</x:v>
      </x:c>
      <x:c r="S7" s="83" t="str">
        <x:v>Direct transcription</x:v>
      </x:c>
      <x:c r="T7" s="83" t="str">
        <x:v>A — Direct</x:v>
      </x:c>
      <x:c r="U7" s="83" t="str">
        <x:v>Carrier / Generator</x:v>
      </x:c>
      <x:c r="V7" s="83" t="str">
        <x:v>fuel cost / co2_emissions / marginal_cost build</x:v>
      </x:c>
      <x:c r="W7" s="83" t="str">
        <x:v>Direct scenario input through 2040</x:v>
      </x:c>
      <x:c r="X7" s="83" t="str">
        <x:v>Scenario parameter, not a price forecast. Duplicate official presentation cross-checked.</x:v>
      </x:c>
    </x:row>
    <x:row r="8">
      <x:c r="A8" s="83" t="str">
        <x:v>INT-004</x:v>
      </x:c>
      <x:c r="B8" s="83" t="str">
        <x:v>Fuel and CO2</x:v>
      </x:c>
      <x:c r="C8" s="83" t="str">
        <x:v>Gas naturale</x:v>
      </x:c>
      <x:c r="D8" s="83" t="str">
        <x:v>Scenario price</x:v>
      </x:c>
      <x:c r="E8" s="83" t="n">
        <x:v>2040</x:v>
      </x:c>
      <x:c r="F8" s="83" t="str">
        <x:v>PNIEC / DDS common commodity assumptions</x:v>
      </x:c>
      <x:c r="G8" s="279"/>
      <x:c r="H8" s="279" t="n">
        <x:v>36.4</x:v>
      </x:c>
      <x:c r="I8" s="279"/>
      <x:c r="J8" s="83" t="str">
        <x:v>EUR2023/MWh_th</x:v>
      </x:c>
      <x:c r="K8" s="83" t="str">
        <x:v>Real 2023 EUR</x:v>
      </x:c>
      <x:c r="L8" s="83" t="str">
        <x:v>A — Direct</x:v>
      </x:c>
      <x:c r="M8" s="83" t="str">
        <x:v>Direct</x:v>
      </x:c>
      <x:c r="N8" s="83" t="str">
        <x:v>S01 / S09</x:v>
      </x:c>
      <x:c r="O8" s="83" t="str">
        <x:v>Terna_Piano_Sviluppo_2025_Stato_sistema_elettrico_scenari_energetici_8dd62ec4bbb9f75.pdf; Documento_Descrizione_Scenari_2024_8dce2430d44d101.pdf</x:v>
      </x:c>
      <x:c r="P8" s="83" t="str">
        <x:v>88 / 28</x:v>
      </x:c>
      <x:c r="Q8" s="83" t="str">
        <x:v>86 / 26</x:v>
      </x:c>
      <x:c r="R8" s="83" t="str">
        <x:v>S01 Table 14 / DDS Table 4</x:v>
      </x:c>
      <x:c r="S8" s="83" t="str">
        <x:v>Direct transcription</x:v>
      </x:c>
      <x:c r="T8" s="83" t="str">
        <x:v>A — Direct</x:v>
      </x:c>
      <x:c r="U8" s="83" t="str">
        <x:v>Carrier / Generator</x:v>
      </x:c>
      <x:c r="V8" s="83" t="str">
        <x:v>fuel cost / co2_emissions / marginal_cost build</x:v>
      </x:c>
      <x:c r="W8" s="83" t="str">
        <x:v>Direct scenario input through 2040</x:v>
      </x:c>
      <x:c r="X8" s="83" t="str">
        <x:v>Scenario parameter, not a price forecast. Duplicate official presentation cross-checked.</x:v>
      </x:c>
    </x:row>
    <x:row r="9">
      <x:c r="A9" s="83" t="str">
        <x:v>INT-005</x:v>
      </x:c>
      <x:c r="B9" s="83" t="str">
        <x:v>Fuel and CO2</x:v>
      </x:c>
      <x:c r="C9" s="83" t="str">
        <x:v>Brent</x:v>
      </x:c>
      <x:c r="D9" s="83" t="str">
        <x:v>Scenario price</x:v>
      </x:c>
      <x:c r="E9" s="83" t="n">
        <x:v>2023</x:v>
      </x:c>
      <x:c r="F9" s="83" t="str">
        <x:v>PNIEC / DDS common commodity assumptions</x:v>
      </x:c>
      <x:c r="G9" s="279"/>
      <x:c r="H9" s="279" t="n">
        <x:v>45</x:v>
      </x:c>
      <x:c r="I9" s="279"/>
      <x:c r="J9" s="83" t="str">
        <x:v>EUR2023/MWh_th</x:v>
      </x:c>
      <x:c r="K9" s="83" t="str">
        <x:v>Real 2023 EUR</x:v>
      </x:c>
      <x:c r="L9" s="83" t="str">
        <x:v>A — Direct</x:v>
      </x:c>
      <x:c r="M9" s="83" t="str">
        <x:v>Context / other fuels</x:v>
      </x:c>
      <x:c r="N9" s="83" t="str">
        <x:v>S01 / S09</x:v>
      </x:c>
      <x:c r="O9" s="83" t="str">
        <x:v>Terna_Piano_Sviluppo_2025_Stato_sistema_elettrico_scenari_energetici_8dd62ec4bbb9f75.pdf; Documento_Descrizione_Scenari_2024_8dce2430d44d101.pdf</x:v>
      </x:c>
      <x:c r="P9" s="83" t="str">
        <x:v>88 / 28</x:v>
      </x:c>
      <x:c r="Q9" s="83" t="str">
        <x:v>86 / 26</x:v>
      </x:c>
      <x:c r="R9" s="83" t="str">
        <x:v>S01 Table 14 / DDS Table 4</x:v>
      </x:c>
      <x:c r="S9" s="83" t="str">
        <x:v>Direct transcription</x:v>
      </x:c>
      <x:c r="T9" s="83" t="str">
        <x:v>A — Direct</x:v>
      </x:c>
      <x:c r="U9" s="83" t="str">
        <x:v>Carrier / Generator</x:v>
      </x:c>
      <x:c r="V9" s="83" t="str">
        <x:v>fuel cost / co2_emissions / marginal_cost build</x:v>
      </x:c>
      <x:c r="W9" s="83" t="str">
        <x:v>Direct scenario input through 2040</x:v>
      </x:c>
      <x:c r="X9" s="83" t="str">
        <x:v>Scenario parameter, not a price forecast. Duplicate official presentation cross-checked.</x:v>
      </x:c>
    </x:row>
    <x:row r="10">
      <x:c r="A10" s="83" t="str">
        <x:v>INT-006</x:v>
      </x:c>
      <x:c r="B10" s="83" t="str">
        <x:v>Fuel and CO2</x:v>
      </x:c>
      <x:c r="C10" s="83" t="str">
        <x:v>Brent</x:v>
      </x:c>
      <x:c r="D10" s="83" t="str">
        <x:v>Scenario price</x:v>
      </x:c>
      <x:c r="E10" s="83" t="n">
        <x:v>2030</x:v>
      </x:c>
      <x:c r="F10" s="83" t="str">
        <x:v>PNIEC / DDS common commodity assumptions</x:v>
      </x:c>
      <x:c r="G10" s="279"/>
      <x:c r="H10" s="279" t="n">
        <x:v>50</x:v>
      </x:c>
      <x:c r="I10" s="279"/>
      <x:c r="J10" s="83" t="str">
        <x:v>EUR2023/MWh_th</x:v>
      </x:c>
      <x:c r="K10" s="83" t="str">
        <x:v>Real 2023 EUR</x:v>
      </x:c>
      <x:c r="L10" s="83" t="str">
        <x:v>A — Direct</x:v>
      </x:c>
      <x:c r="M10" s="83" t="str">
        <x:v>Context / other fuels</x:v>
      </x:c>
      <x:c r="N10" s="83" t="str">
        <x:v>S01 / S09</x:v>
      </x:c>
      <x:c r="O10" s="83" t="str">
        <x:v>Terna_Piano_Sviluppo_2025_Stato_sistema_elettrico_scenari_energetici_8dd62ec4bbb9f75.pdf; Documento_Descrizione_Scenari_2024_8dce2430d44d101.pdf</x:v>
      </x:c>
      <x:c r="P10" s="83" t="str">
        <x:v>88 / 28</x:v>
      </x:c>
      <x:c r="Q10" s="83" t="str">
        <x:v>86 / 26</x:v>
      </x:c>
      <x:c r="R10" s="83" t="str">
        <x:v>S01 Table 14 / DDS Table 4</x:v>
      </x:c>
      <x:c r="S10" s="83" t="str">
        <x:v>Direct transcription</x:v>
      </x:c>
      <x:c r="T10" s="83" t="str">
        <x:v>A — Direct</x:v>
      </x:c>
      <x:c r="U10" s="83" t="str">
        <x:v>Carrier / Generator</x:v>
      </x:c>
      <x:c r="V10" s="83" t="str">
        <x:v>fuel cost / co2_emissions / marginal_cost build</x:v>
      </x:c>
      <x:c r="W10" s="83" t="str">
        <x:v>Direct scenario input through 2040</x:v>
      </x:c>
      <x:c r="X10" s="83" t="str">
        <x:v>Scenario parameter, not a price forecast. Duplicate official presentation cross-checked.</x:v>
      </x:c>
    </x:row>
    <x:row r="11">
      <x:c r="A11" s="83" t="str">
        <x:v>INT-007</x:v>
      </x:c>
      <x:c r="B11" s="83" t="str">
        <x:v>Fuel and CO2</x:v>
      </x:c>
      <x:c r="C11" s="83" t="str">
        <x:v>Brent</x:v>
      </x:c>
      <x:c r="D11" s="83" t="str">
        <x:v>Scenario price</x:v>
      </x:c>
      <x:c r="E11" s="83" t="n">
        <x:v>2035</x:v>
      </x:c>
      <x:c r="F11" s="83" t="str">
        <x:v>PNIEC / DDS common commodity assumptions</x:v>
      </x:c>
      <x:c r="G11" s="279"/>
      <x:c r="H11" s="279" t="n">
        <x:v>55.4</x:v>
      </x:c>
      <x:c r="I11" s="279"/>
      <x:c r="J11" s="83" t="str">
        <x:v>EUR2023/MWh_th</x:v>
      </x:c>
      <x:c r="K11" s="83" t="str">
        <x:v>Real 2023 EUR</x:v>
      </x:c>
      <x:c r="L11" s="83" t="str">
        <x:v>A — Direct</x:v>
      </x:c>
      <x:c r="M11" s="83" t="str">
        <x:v>Context / other fuels</x:v>
      </x:c>
      <x:c r="N11" s="83" t="str">
        <x:v>S01 / S09</x:v>
      </x:c>
      <x:c r="O11" s="83" t="str">
        <x:v>Terna_Piano_Sviluppo_2025_Stato_sistema_elettrico_scenari_energetici_8dd62ec4bbb9f75.pdf; Documento_Descrizione_Scenari_2024_8dce2430d44d101.pdf</x:v>
      </x:c>
      <x:c r="P11" s="83" t="str">
        <x:v>88 / 28</x:v>
      </x:c>
      <x:c r="Q11" s="83" t="str">
        <x:v>86 / 26</x:v>
      </x:c>
      <x:c r="R11" s="83" t="str">
        <x:v>S01 Table 14 / DDS Table 4</x:v>
      </x:c>
      <x:c r="S11" s="83" t="str">
        <x:v>Direct transcription</x:v>
      </x:c>
      <x:c r="T11" s="83" t="str">
        <x:v>A — Direct</x:v>
      </x:c>
      <x:c r="U11" s="83" t="str">
        <x:v>Carrier / Generator</x:v>
      </x:c>
      <x:c r="V11" s="83" t="str">
        <x:v>fuel cost / co2_emissions / marginal_cost build</x:v>
      </x:c>
      <x:c r="W11" s="83" t="str">
        <x:v>Direct scenario input through 2040</x:v>
      </x:c>
      <x:c r="X11" s="83" t="str">
        <x:v>Scenario parameter, not a price forecast. Duplicate official presentation cross-checked.</x:v>
      </x:c>
    </x:row>
    <x:row r="12">
      <x:c r="A12" s="83" t="str">
        <x:v>INT-008</x:v>
      </x:c>
      <x:c r="B12" s="83" t="str">
        <x:v>Fuel and CO2</x:v>
      </x:c>
      <x:c r="C12" s="83" t="str">
        <x:v>Brent</x:v>
      </x:c>
      <x:c r="D12" s="83" t="str">
        <x:v>Scenario price</x:v>
      </x:c>
      <x:c r="E12" s="83" t="n">
        <x:v>2040</x:v>
      </x:c>
      <x:c r="F12" s="83" t="str">
        <x:v>PNIEC / DDS common commodity assumptions</x:v>
      </x:c>
      <x:c r="G12" s="279"/>
      <x:c r="H12" s="279" t="n">
        <x:v>56.9</x:v>
      </x:c>
      <x:c r="I12" s="279"/>
      <x:c r="J12" s="83" t="str">
        <x:v>EUR2023/MWh_th</x:v>
      </x:c>
      <x:c r="K12" s="83" t="str">
        <x:v>Real 2023 EUR</x:v>
      </x:c>
      <x:c r="L12" s="83" t="str">
        <x:v>A — Direct</x:v>
      </x:c>
      <x:c r="M12" s="83" t="str">
        <x:v>Context / other fuels</x:v>
      </x:c>
      <x:c r="N12" s="83" t="str">
        <x:v>S01 / S09</x:v>
      </x:c>
      <x:c r="O12" s="83" t="str">
        <x:v>Terna_Piano_Sviluppo_2025_Stato_sistema_elettrico_scenari_energetici_8dd62ec4bbb9f75.pdf; Documento_Descrizione_Scenari_2024_8dce2430d44d101.pdf</x:v>
      </x:c>
      <x:c r="P12" s="83" t="str">
        <x:v>88 / 28</x:v>
      </x:c>
      <x:c r="Q12" s="83" t="str">
        <x:v>86 / 26</x:v>
      </x:c>
      <x:c r="R12" s="83" t="str">
        <x:v>S01 Table 14 / DDS Table 4</x:v>
      </x:c>
      <x:c r="S12" s="83" t="str">
        <x:v>Direct transcription</x:v>
      </x:c>
      <x:c r="T12" s="83" t="str">
        <x:v>A — Direct</x:v>
      </x:c>
      <x:c r="U12" s="83" t="str">
        <x:v>Carrier / Generator</x:v>
      </x:c>
      <x:c r="V12" s="83" t="str">
        <x:v>fuel cost / co2_emissions / marginal_cost build</x:v>
      </x:c>
      <x:c r="W12" s="83" t="str">
        <x:v>Direct scenario input through 2040</x:v>
      </x:c>
      <x:c r="X12" s="83" t="str">
        <x:v>Scenario parameter, not a price forecast. Duplicate official presentation cross-checked.</x:v>
      </x:c>
    </x:row>
    <x:row r="13">
      <x:c r="A13" s="83" t="str">
        <x:v>INT-009</x:v>
      </x:c>
      <x:c r="B13" s="83" t="str">
        <x:v>Fuel and CO2</x:v>
      </x:c>
      <x:c r="C13" s="83" t="str">
        <x:v>Carbone</x:v>
      </x:c>
      <x:c r="D13" s="83" t="str">
        <x:v>Scenario price</x:v>
      </x:c>
      <x:c r="E13" s="83" t="n">
        <x:v>2023</x:v>
      </x:c>
      <x:c r="F13" s="83" t="str">
        <x:v>PNIEC / DDS common commodity assumptions</x:v>
      </x:c>
      <x:c r="G13" s="279"/>
      <x:c r="H13" s="279" t="n">
        <x:v>15.8</x:v>
      </x:c>
      <x:c r="I13" s="279"/>
      <x:c r="J13" s="83" t="str">
        <x:v>EUR2023/MWh_th</x:v>
      </x:c>
      <x:c r="K13" s="83" t="str">
        <x:v>Real 2023 EUR</x:v>
      </x:c>
      <x:c r="L13" s="83" t="str">
        <x:v>A — Direct</x:v>
      </x:c>
      <x:c r="M13" s="83" t="str">
        <x:v>Direct</x:v>
      </x:c>
      <x:c r="N13" s="83" t="str">
        <x:v>S01 / S09</x:v>
      </x:c>
      <x:c r="O13" s="83" t="str">
        <x:v>Terna_Piano_Sviluppo_2025_Stato_sistema_elettrico_scenari_energetici_8dd62ec4bbb9f75.pdf; Documento_Descrizione_Scenari_2024_8dce2430d44d101.pdf</x:v>
      </x:c>
      <x:c r="P13" s="83" t="str">
        <x:v>88 / 28</x:v>
      </x:c>
      <x:c r="Q13" s="83" t="str">
        <x:v>86 / 26</x:v>
      </x:c>
      <x:c r="R13" s="83" t="str">
        <x:v>S01 Table 14 / DDS Table 4</x:v>
      </x:c>
      <x:c r="S13" s="83" t="str">
        <x:v>Direct transcription</x:v>
      </x:c>
      <x:c r="T13" s="83" t="str">
        <x:v>A — Direct</x:v>
      </x:c>
      <x:c r="U13" s="83" t="str">
        <x:v>Carrier / Generator</x:v>
      </x:c>
      <x:c r="V13" s="83" t="str">
        <x:v>fuel cost / co2_emissions / marginal_cost build</x:v>
      </x:c>
      <x:c r="W13" s="83" t="str">
        <x:v>Direct scenario input through 2040</x:v>
      </x:c>
      <x:c r="X13" s="83" t="str">
        <x:v>Scenario parameter, not a price forecast. Duplicate official presentation cross-checked.</x:v>
      </x:c>
    </x:row>
    <x:row r="14">
      <x:c r="A14" s="83" t="str">
        <x:v>INT-010</x:v>
      </x:c>
      <x:c r="B14" s="83" t="str">
        <x:v>Fuel and CO2</x:v>
      </x:c>
      <x:c r="C14" s="83" t="str">
        <x:v>Carbone</x:v>
      </x:c>
      <x:c r="D14" s="83" t="str">
        <x:v>Scenario price</x:v>
      </x:c>
      <x:c r="E14" s="83" t="n">
        <x:v>2030</x:v>
      </x:c>
      <x:c r="F14" s="83" t="str">
        <x:v>PNIEC / DDS common commodity assumptions</x:v>
      </x:c>
      <x:c r="G14" s="279"/>
      <x:c r="H14" s="279" t="n">
        <x:v>14.4</x:v>
      </x:c>
      <x:c r="I14" s="279"/>
      <x:c r="J14" s="83" t="str">
        <x:v>EUR2023/MWh_th</x:v>
      </x:c>
      <x:c r="K14" s="83" t="str">
        <x:v>Real 2023 EUR</x:v>
      </x:c>
      <x:c r="L14" s="83" t="str">
        <x:v>A — Direct</x:v>
      </x:c>
      <x:c r="M14" s="83" t="str">
        <x:v>Direct</x:v>
      </x:c>
      <x:c r="N14" s="83" t="str">
        <x:v>S01 / S09</x:v>
      </x:c>
      <x:c r="O14" s="83" t="str">
        <x:v>Terna_Piano_Sviluppo_2025_Stato_sistema_elettrico_scenari_energetici_8dd62ec4bbb9f75.pdf; Documento_Descrizione_Scenari_2024_8dce2430d44d101.pdf</x:v>
      </x:c>
      <x:c r="P14" s="83" t="str">
        <x:v>88 / 28</x:v>
      </x:c>
      <x:c r="Q14" s="83" t="str">
        <x:v>86 / 26</x:v>
      </x:c>
      <x:c r="R14" s="83" t="str">
        <x:v>S01 Table 14 / DDS Table 4</x:v>
      </x:c>
      <x:c r="S14" s="83" t="str">
        <x:v>Direct transcription</x:v>
      </x:c>
      <x:c r="T14" s="83" t="str">
        <x:v>A — Direct</x:v>
      </x:c>
      <x:c r="U14" s="83" t="str">
        <x:v>Carrier / Generator</x:v>
      </x:c>
      <x:c r="V14" s="83" t="str">
        <x:v>fuel cost / co2_emissions / marginal_cost build</x:v>
      </x:c>
      <x:c r="W14" s="83" t="str">
        <x:v>Direct scenario input through 2040</x:v>
      </x:c>
      <x:c r="X14" s="83" t="str">
        <x:v>Scenario parameter, not a price forecast. Duplicate official presentation cross-checked.</x:v>
      </x:c>
    </x:row>
    <x:row r="15">
      <x:c r="A15" s="83" t="str">
        <x:v>INT-011</x:v>
      </x:c>
      <x:c r="B15" s="83" t="str">
        <x:v>Fuel and CO2</x:v>
      </x:c>
      <x:c r="C15" s="83" t="str">
        <x:v>Carbone</x:v>
      </x:c>
      <x:c r="D15" s="83" t="str">
        <x:v>Scenario price</x:v>
      </x:c>
      <x:c r="E15" s="83" t="n">
        <x:v>2035</x:v>
      </x:c>
      <x:c r="F15" s="83" t="str">
        <x:v>PNIEC / DDS common commodity assumptions</x:v>
      </x:c>
      <x:c r="G15" s="279"/>
      <x:c r="H15" s="279" t="n">
        <x:v>13.7</x:v>
      </x:c>
      <x:c r="I15" s="279"/>
      <x:c r="J15" s="83" t="str">
        <x:v>EUR2023/MWh_th</x:v>
      </x:c>
      <x:c r="K15" s="83" t="str">
        <x:v>Real 2023 EUR</x:v>
      </x:c>
      <x:c r="L15" s="83" t="str">
        <x:v>A — Direct</x:v>
      </x:c>
      <x:c r="M15" s="83" t="str">
        <x:v>Direct</x:v>
      </x:c>
      <x:c r="N15" s="83" t="str">
        <x:v>S01 / S09</x:v>
      </x:c>
      <x:c r="O15" s="83" t="str">
        <x:v>Terna_Piano_Sviluppo_2025_Stato_sistema_elettrico_scenari_energetici_8dd62ec4bbb9f75.pdf; Documento_Descrizione_Scenari_2024_8dce2430d44d101.pdf</x:v>
      </x:c>
      <x:c r="P15" s="83" t="str">
        <x:v>88 / 28</x:v>
      </x:c>
      <x:c r="Q15" s="83" t="str">
        <x:v>86 / 26</x:v>
      </x:c>
      <x:c r="R15" s="83" t="str">
        <x:v>S01 Table 14 / DDS Table 4</x:v>
      </x:c>
      <x:c r="S15" s="83" t="str">
        <x:v>Direct transcription</x:v>
      </x:c>
      <x:c r="T15" s="83" t="str">
        <x:v>A — Direct</x:v>
      </x:c>
      <x:c r="U15" s="83" t="str">
        <x:v>Carrier / Generator</x:v>
      </x:c>
      <x:c r="V15" s="83" t="str">
        <x:v>fuel cost / co2_emissions / marginal_cost build</x:v>
      </x:c>
      <x:c r="W15" s="83" t="str">
        <x:v>Direct scenario input through 2040</x:v>
      </x:c>
      <x:c r="X15" s="83" t="str">
        <x:v>Scenario parameter, not a price forecast. Duplicate official presentation cross-checked.</x:v>
      </x:c>
    </x:row>
    <x:row r="16">
      <x:c r="A16" s="83" t="str">
        <x:v>INT-012</x:v>
      </x:c>
      <x:c r="B16" s="83" t="str">
        <x:v>Fuel and CO2</x:v>
      </x:c>
      <x:c r="C16" s="83" t="str">
        <x:v>Carbone</x:v>
      </x:c>
      <x:c r="D16" s="83" t="str">
        <x:v>Scenario price</x:v>
      </x:c>
      <x:c r="E16" s="83" t="n">
        <x:v>2040</x:v>
      </x:c>
      <x:c r="F16" s="83" t="str">
        <x:v>PNIEC / DDS common commodity assumptions</x:v>
      </x:c>
      <x:c r="G16" s="279"/>
      <x:c r="H16" s="279" t="n">
        <x:v>13.7</x:v>
      </x:c>
      <x:c r="I16" s="279"/>
      <x:c r="J16" s="83" t="str">
        <x:v>EUR2023/MWh_th</x:v>
      </x:c>
      <x:c r="K16" s="83" t="str">
        <x:v>Real 2023 EUR</x:v>
      </x:c>
      <x:c r="L16" s="83" t="str">
        <x:v>A — Direct</x:v>
      </x:c>
      <x:c r="M16" s="83" t="str">
        <x:v>Direct</x:v>
      </x:c>
      <x:c r="N16" s="83" t="str">
        <x:v>S01 / S09</x:v>
      </x:c>
      <x:c r="O16" s="83" t="str">
        <x:v>Terna_Piano_Sviluppo_2025_Stato_sistema_elettrico_scenari_energetici_8dd62ec4bbb9f75.pdf; Documento_Descrizione_Scenari_2024_8dce2430d44d101.pdf</x:v>
      </x:c>
      <x:c r="P16" s="83" t="str">
        <x:v>88 / 28</x:v>
      </x:c>
      <x:c r="Q16" s="83" t="str">
        <x:v>86 / 26</x:v>
      </x:c>
      <x:c r="R16" s="83" t="str">
        <x:v>S01 Table 14 / DDS Table 4</x:v>
      </x:c>
      <x:c r="S16" s="83" t="str">
        <x:v>Direct transcription</x:v>
      </x:c>
      <x:c r="T16" s="83" t="str">
        <x:v>A — Direct</x:v>
      </x:c>
      <x:c r="U16" s="83" t="str">
        <x:v>Carrier / Generator</x:v>
      </x:c>
      <x:c r="V16" s="83" t="str">
        <x:v>fuel cost / co2_emissions / marginal_cost build</x:v>
      </x:c>
      <x:c r="W16" s="83" t="str">
        <x:v>Direct scenario input through 2040</x:v>
      </x:c>
      <x:c r="X16" s="83" t="str">
        <x:v>Scenario parameter, not a price forecast. Duplicate official presentation cross-checked.</x:v>
      </x:c>
    </x:row>
    <x:row r="17">
      <x:c r="A17" s="83" t="str">
        <x:v>INT-013</x:v>
      </x:c>
      <x:c r="B17" s="83" t="str">
        <x:v>Fuel and CO2</x:v>
      </x:c>
      <x:c r="C17" s="83" t="str">
        <x:v>CO2 ETS</x:v>
      </x:c>
      <x:c r="D17" s="83" t="str">
        <x:v>Scenario price</x:v>
      </x:c>
      <x:c r="E17" s="83" t="n">
        <x:v>2023</x:v>
      </x:c>
      <x:c r="F17" s="83" t="str">
        <x:v>PNIEC / DDS common commodity assumptions</x:v>
      </x:c>
      <x:c r="G17" s="279"/>
      <x:c r="H17" s="279" t="n">
        <x:v>92</x:v>
      </x:c>
      <x:c r="I17" s="279"/>
      <x:c r="J17" s="83" t="str">
        <x:v>EUR2023/tCO2</x:v>
      </x:c>
      <x:c r="K17" s="83" t="str">
        <x:v>Real 2023 EUR</x:v>
      </x:c>
      <x:c r="L17" s="83" t="str">
        <x:v>A — Direct</x:v>
      </x:c>
      <x:c r="M17" s="83" t="str">
        <x:v>Direct</x:v>
      </x:c>
      <x:c r="N17" s="83" t="str">
        <x:v>S01 / S09</x:v>
      </x:c>
      <x:c r="O17" s="83" t="str">
        <x:v>Terna_Piano_Sviluppo_2025_Stato_sistema_elettrico_scenari_energetici_8dd62ec4bbb9f75.pdf; Documento_Descrizione_Scenari_2024_8dce2430d44d101.pdf</x:v>
      </x:c>
      <x:c r="P17" s="83" t="str">
        <x:v>88 / 28</x:v>
      </x:c>
      <x:c r="Q17" s="83" t="str">
        <x:v>86 / 26</x:v>
      </x:c>
      <x:c r="R17" s="83" t="str">
        <x:v>S01 Table 14 / DDS Table 4</x:v>
      </x:c>
      <x:c r="S17" s="83" t="str">
        <x:v>Direct transcription</x:v>
      </x:c>
      <x:c r="T17" s="83" t="str">
        <x:v>A — Direct</x:v>
      </x:c>
      <x:c r="U17" s="83" t="str">
        <x:v>Carrier / Generator</x:v>
      </x:c>
      <x:c r="V17" s="83" t="str">
        <x:v>fuel cost / co2_emissions / marginal_cost build</x:v>
      </x:c>
      <x:c r="W17" s="83" t="str">
        <x:v>Direct scenario input through 2040</x:v>
      </x:c>
      <x:c r="X17" s="83" t="str">
        <x:v>Scenario parameter, not a price forecast. Duplicate official presentation cross-checked.</x:v>
      </x:c>
    </x:row>
    <x:row r="18">
      <x:c r="A18" s="83" t="str">
        <x:v>INT-014</x:v>
      </x:c>
      <x:c r="B18" s="83" t="str">
        <x:v>Fuel and CO2</x:v>
      </x:c>
      <x:c r="C18" s="83" t="str">
        <x:v>CO2 ETS</x:v>
      </x:c>
      <x:c r="D18" s="83" t="str">
        <x:v>Scenario price</x:v>
      </x:c>
      <x:c r="E18" s="83" t="n">
        <x:v>2030</x:v>
      </x:c>
      <x:c r="F18" s="83" t="str">
        <x:v>PNIEC / DDS common commodity assumptions</x:v>
      </x:c>
      <x:c r="G18" s="279"/>
      <x:c r="H18" s="279" t="n">
        <x:v>95</x:v>
      </x:c>
      <x:c r="I18" s="279"/>
      <x:c r="J18" s="83" t="str">
        <x:v>EUR2023/tCO2</x:v>
      </x:c>
      <x:c r="K18" s="83" t="str">
        <x:v>Real 2023 EUR</x:v>
      </x:c>
      <x:c r="L18" s="83" t="str">
        <x:v>A — Direct</x:v>
      </x:c>
      <x:c r="M18" s="83" t="str">
        <x:v>Direct</x:v>
      </x:c>
      <x:c r="N18" s="83" t="str">
        <x:v>S01 / S09</x:v>
      </x:c>
      <x:c r="O18" s="83" t="str">
        <x:v>Terna_Piano_Sviluppo_2025_Stato_sistema_elettrico_scenari_energetici_8dd62ec4bbb9f75.pdf; Documento_Descrizione_Scenari_2024_8dce2430d44d101.pdf</x:v>
      </x:c>
      <x:c r="P18" s="83" t="str">
        <x:v>88 / 28</x:v>
      </x:c>
      <x:c r="Q18" s="83" t="str">
        <x:v>86 / 26</x:v>
      </x:c>
      <x:c r="R18" s="83" t="str">
        <x:v>S01 Table 14 / DDS Table 4</x:v>
      </x:c>
      <x:c r="S18" s="83" t="str">
        <x:v>Direct transcription</x:v>
      </x:c>
      <x:c r="T18" s="83" t="str">
        <x:v>A — Direct</x:v>
      </x:c>
      <x:c r="U18" s="83" t="str">
        <x:v>Carrier / Generator</x:v>
      </x:c>
      <x:c r="V18" s="83" t="str">
        <x:v>fuel cost / co2_emissions / marginal_cost build</x:v>
      </x:c>
      <x:c r="W18" s="83" t="str">
        <x:v>Direct scenario input through 2040</x:v>
      </x:c>
      <x:c r="X18" s="83" t="str">
        <x:v>Scenario parameter, not a price forecast. Duplicate official presentation cross-checked.</x:v>
      </x:c>
    </x:row>
    <x:row r="19">
      <x:c r="A19" s="83" t="str">
        <x:v>INT-015</x:v>
      </x:c>
      <x:c r="B19" s="83" t="str">
        <x:v>Fuel and CO2</x:v>
      </x:c>
      <x:c r="C19" s="83" t="str">
        <x:v>CO2 ETS</x:v>
      </x:c>
      <x:c r="D19" s="83" t="str">
        <x:v>Scenario price</x:v>
      </x:c>
      <x:c r="E19" s="83" t="n">
        <x:v>2035</x:v>
      </x:c>
      <x:c r="F19" s="83" t="str">
        <x:v>PNIEC / DDS common commodity assumptions</x:v>
      </x:c>
      <x:c r="G19" s="279"/>
      <x:c r="H19" s="279" t="n">
        <x:v>100</x:v>
      </x:c>
      <x:c r="I19" s="279"/>
      <x:c r="J19" s="83" t="str">
        <x:v>EUR2023/tCO2</x:v>
      </x:c>
      <x:c r="K19" s="83" t="str">
        <x:v>Real 2023 EUR</x:v>
      </x:c>
      <x:c r="L19" s="83" t="str">
        <x:v>A — Direct</x:v>
      </x:c>
      <x:c r="M19" s="83" t="str">
        <x:v>Direct</x:v>
      </x:c>
      <x:c r="N19" s="83" t="str">
        <x:v>S01 / S09</x:v>
      </x:c>
      <x:c r="O19" s="83" t="str">
        <x:v>Terna_Piano_Sviluppo_2025_Stato_sistema_elettrico_scenari_energetici_8dd62ec4bbb9f75.pdf; Documento_Descrizione_Scenari_2024_8dce2430d44d101.pdf</x:v>
      </x:c>
      <x:c r="P19" s="83" t="str">
        <x:v>88 / 28</x:v>
      </x:c>
      <x:c r="Q19" s="83" t="str">
        <x:v>86 / 26</x:v>
      </x:c>
      <x:c r="R19" s="83" t="str">
        <x:v>S01 Table 14 / DDS Table 4</x:v>
      </x:c>
      <x:c r="S19" s="83" t="str">
        <x:v>Direct transcription</x:v>
      </x:c>
      <x:c r="T19" s="83" t="str">
        <x:v>A — Direct</x:v>
      </x:c>
      <x:c r="U19" s="83" t="str">
        <x:v>Carrier / Generator</x:v>
      </x:c>
      <x:c r="V19" s="83" t="str">
        <x:v>fuel cost / co2_emissions / marginal_cost build</x:v>
      </x:c>
      <x:c r="W19" s="83" t="str">
        <x:v>Direct scenario input through 2040</x:v>
      </x:c>
      <x:c r="X19" s="83" t="str">
        <x:v>Scenario parameter, not a price forecast. Duplicate official presentation cross-checked.</x:v>
      </x:c>
    </x:row>
    <x:row r="20">
      <x:c r="A20" s="83" t="str">
        <x:v>INT-016</x:v>
      </x:c>
      <x:c r="B20" s="83" t="str">
        <x:v>Fuel and CO2</x:v>
      </x:c>
      <x:c r="C20" s="83" t="str">
        <x:v>CO2 ETS</x:v>
      </x:c>
      <x:c r="D20" s="83" t="str">
        <x:v>Scenario price</x:v>
      </x:c>
      <x:c r="E20" s="83" t="n">
        <x:v>2040</x:v>
      </x:c>
      <x:c r="F20" s="83" t="str">
        <x:v>PNIEC / DDS common commodity assumptions</x:v>
      </x:c>
      <x:c r="G20" s="279"/>
      <x:c r="H20" s="279" t="n">
        <x:v>100</x:v>
      </x:c>
      <x:c r="I20" s="279"/>
      <x:c r="J20" s="83" t="str">
        <x:v>EUR2023/tCO2</x:v>
      </x:c>
      <x:c r="K20" s="83" t="str">
        <x:v>Real 2023 EUR</x:v>
      </x:c>
      <x:c r="L20" s="83" t="str">
        <x:v>A — Direct</x:v>
      </x:c>
      <x:c r="M20" s="83" t="str">
        <x:v>Direct</x:v>
      </x:c>
      <x:c r="N20" s="83" t="str">
        <x:v>S01 / S09</x:v>
      </x:c>
      <x:c r="O20" s="83" t="str">
        <x:v>Terna_Piano_Sviluppo_2025_Stato_sistema_elettrico_scenari_energetici_8dd62ec4bbb9f75.pdf; Documento_Descrizione_Scenari_2024_8dce2430d44d101.pdf</x:v>
      </x:c>
      <x:c r="P20" s="83" t="str">
        <x:v>88 / 28</x:v>
      </x:c>
      <x:c r="Q20" s="83" t="str">
        <x:v>86 / 26</x:v>
      </x:c>
      <x:c r="R20" s="83" t="str">
        <x:v>S01 Table 14 / DDS Table 4</x:v>
      </x:c>
      <x:c r="S20" s="83" t="str">
        <x:v>Direct transcription</x:v>
      </x:c>
      <x:c r="T20" s="83" t="str">
        <x:v>A — Direct</x:v>
      </x:c>
      <x:c r="U20" s="83" t="str">
        <x:v>Carrier / Generator</x:v>
      </x:c>
      <x:c r="V20" s="83" t="str">
        <x:v>fuel cost / co2_emissions / marginal_cost build</x:v>
      </x:c>
      <x:c r="W20" s="83" t="str">
        <x:v>Direct scenario input through 2040</x:v>
      </x:c>
      <x:c r="X20" s="83" t="str">
        <x:v>Scenario parameter, not a price forecast. Duplicate official presentation cross-checked.</x:v>
      </x:c>
    </x:row>
    <x:row r="21">
      <x:c r="A21" s="83" t="str">
        <x:v>INT-017</x:v>
      </x:c>
      <x:c r="B21" s="83" t="str">
        <x:v>Thermal</x:v>
      </x:c>
      <x:c r="C21" s="83" t="str">
        <x:v>CCGT</x:v>
      </x:c>
      <x:c r="D21" s="83" t="str">
        <x:v>Electrical efficiency</x:v>
      </x:c>
      <x:c r="E21" s="83" t="str">
        <x:v>2019–2024</x:v>
      </x:c>
      <x:c r="F21" s="83" t="str"/>
      <x:c r="G21" s="279"/>
      <x:c r="H21" s="279" t="n">
        <x:v>0.5</x:v>
      </x:c>
      <x:c r="I21" s="279"/>
      <x:c r="J21" s="83" t="str">
        <x:v>p.u.</x:v>
      </x:c>
      <x:c r="K21" s="83" t="str"/>
      <x:c r="L21" s="83" t="str">
        <x:v>A — Direct</x:v>
      </x:c>
      <x:c r="M21" s="83" t="str">
        <x:v>Direct</x:v>
      </x:c>
      <x:c r="N21" s="83" t="str">
        <x:v>S07</x:v>
      </x:c>
      <x:c r="O21" s="83" t="str">
        <x:v>Terna Prospettive Sviluppo Sistema Energetico 2050.pdf</x:v>
      </x:c>
      <x:c r="P21" s="83" t="n">
        <x:v>9</x:v>
      </x:c>
      <x:c r="Q21" s="83" t="n">
        <x:v>7</x:v>
      </x:c>
      <x:c r="R21" s="83" t="str">
        <x:v>Table 1 footnote</x:v>
      </x:c>
      <x:c r="S21" s="83" t="str">
        <x:v>Direct transcription</x:v>
      </x:c>
      <x:c r="T21" s="83" t="str">
        <x:v>A — Direct</x:v>
      </x:c>
      <x:c r="U21" s="83" t="str">
        <x:v>Generator</x:v>
      </x:c>
      <x:c r="V21" s="83" t="str">
        <x:v>efficiency</x:v>
      </x:c>
      <x:c r="W21" s="83" t="str">
        <x:v>Calibration only</x:v>
      </x:c>
      <x:c r="X21" s="83" t="str">
        <x:v>Used by Terna for the historical variable-cost comparison; not a fleet-cohort assumption for 2040/2050.</x:v>
      </x:c>
    </x:row>
    <x:row r="22">
      <x:c r="A22" s="83" t="str">
        <x:v>INT-018</x:v>
      </x:c>
      <x:c r="B22" s="83" t="str">
        <x:v>Thermal</x:v>
      </x:c>
      <x:c r="C22" s="83" t="str">
        <x:v>CCGT</x:v>
      </x:c>
      <x:c r="D22" s="83" t="str">
        <x:v>Gas emission factor</x:v>
      </x:c>
      <x:c r="E22" s="83" t="str">
        <x:v>2019–2024</x:v>
      </x:c>
      <x:c r="F22" s="83" t="str"/>
      <x:c r="G22" s="279"/>
      <x:c r="H22" s="279" t="n">
        <x:v>0.212</x:v>
      </x:c>
      <x:c r="I22" s="279"/>
      <x:c r="J22" s="83" t="str">
        <x:v>tCO2/MWh_th</x:v>
      </x:c>
      <x:c r="K22" s="83" t="str"/>
      <x:c r="L22" s="83" t="str">
        <x:v>A — Direct</x:v>
      </x:c>
      <x:c r="M22" s="83" t="str">
        <x:v>Direct</x:v>
      </x:c>
      <x:c r="N22" s="83" t="str">
        <x:v>S07</x:v>
      </x:c>
      <x:c r="O22" s="83" t="str">
        <x:v>Terna Prospettive Sviluppo Sistema Energetico 2050.pdf</x:v>
      </x:c>
      <x:c r="P22" s="83" t="n">
        <x:v>9</x:v>
      </x:c>
      <x:c r="Q22" s="83" t="n">
        <x:v>7</x:v>
      </x:c>
      <x:c r="R22" s="83" t="str">
        <x:v>Table 1 footnote</x:v>
      </x:c>
      <x:c r="S22" s="83" t="str">
        <x:v>Direct transcription</x:v>
      </x:c>
      <x:c r="T22" s="83" t="str">
        <x:v>A — Direct</x:v>
      </x:c>
      <x:c r="U22" s="83" t="str">
        <x:v>Carrier</x:v>
      </x:c>
      <x:c r="V22" s="83" t="str">
        <x:v>co2_emissions</x:v>
      </x:c>
      <x:c r="W22" s="83" t="str">
        <x:v>Calibration / candidate</x:v>
      </x:c>
      <x:c r="X22" s="83" t="str">
        <x:v>Must not be mixed silently with technology-data 0.198 tCO2/MWh_th.</x:v>
      </x:c>
    </x:row>
    <x:row r="23">
      <x:c r="A23" s="83" t="str">
        <x:v>INT-019</x:v>
      </x:c>
      <x:c r="B23" s="83" t="str">
        <x:v>Market calibration</x:v>
      </x:c>
      <x:c r="C23" s="83" t="str">
        <x:v>Italian market</x:v>
      </x:c>
      <x:c r="D23" s="83" t="str">
        <x:v>PUN historical</x:v>
      </x:c>
      <x:c r="E23" s="83" t="n">
        <x:v>2019</x:v>
      </x:c>
      <x:c r="F23" s="83" t="str"/>
      <x:c r="G23" s="279"/>
      <x:c r="H23" s="279" t="n">
        <x:v>52</x:v>
      </x:c>
      <x:c r="I23" s="279"/>
      <x:c r="J23" s="83" t="str">
        <x:v>EUR/MWh_e</x:v>
      </x:c>
      <x:c r="K23" s="83" t="str">
        <x:v>Nominal annual average</x:v>
      </x:c>
      <x:c r="L23" s="83" t="str">
        <x:v>A — Direct</x:v>
      </x:c>
      <x:c r="M23" s="83" t="str">
        <x:v>QA only</x:v>
      </x:c>
      <x:c r="N23" s="83" t="str">
        <x:v>S07</x:v>
      </x:c>
      <x:c r="O23" s="83" t="str">
        <x:v>Terna Prospettive Sviluppo Sistema Energetico 2050.pdf</x:v>
      </x:c>
      <x:c r="P23" s="83" t="n">
        <x:v>9</x:v>
      </x:c>
      <x:c r="Q23" s="83" t="n">
        <x:v>7</x:v>
      </x:c>
      <x:c r="R23" s="83" t="str">
        <x:v>Table 1</x:v>
      </x:c>
      <x:c r="S23" s="83" t="str">
        <x:v>Direct transcription</x:v>
      </x:c>
      <x:c r="T23" s="83" t="str">
        <x:v>A — Direct</x:v>
      </x:c>
      <x:c r="U23" s="83" t="str">
        <x:v>Model output QA</x:v>
      </x:c>
      <x:c r="V23" s="83" t="str">
        <x:v>marginal_price / marginal_cost</x:v>
      </x:c>
      <x:c r="W23" s="83" t="str">
        <x:v>Historical calibration</x:v>
      </x:c>
      <x:c r="X23" s="83" t="str">
        <x:v>Not a direct future-model input.</x:v>
      </x:c>
    </x:row>
    <x:row r="24">
      <x:c r="A24" s="83" t="str">
        <x:v>INT-020</x:v>
      </x:c>
      <x:c r="B24" s="83" t="str">
        <x:v>Market calibration</x:v>
      </x:c>
      <x:c r="C24" s="83" t="str">
        <x:v>CCGT</x:v>
      </x:c>
      <x:c r="D24" s="83" t="str">
        <x:v>Variable cost historical</x:v>
      </x:c>
      <x:c r="E24" s="83" t="n">
        <x:v>2019</x:v>
      </x:c>
      <x:c r="F24" s="83" t="str"/>
      <x:c r="G24" s="279"/>
      <x:c r="H24" s="279" t="n">
        <x:v>43</x:v>
      </x:c>
      <x:c r="I24" s="279"/>
      <x:c r="J24" s="83" t="str">
        <x:v>EUR/MWh_e</x:v>
      </x:c>
      <x:c r="K24" s="83" t="str">
        <x:v>Nominal annual average</x:v>
      </x:c>
      <x:c r="L24" s="83" t="str">
        <x:v>A — Direct</x:v>
      </x:c>
      <x:c r="M24" s="83" t="str">
        <x:v>QA only</x:v>
      </x:c>
      <x:c r="N24" s="83" t="str">
        <x:v>S07</x:v>
      </x:c>
      <x:c r="O24" s="83" t="str">
        <x:v>Terna Prospettive Sviluppo Sistema Energetico 2050.pdf</x:v>
      </x:c>
      <x:c r="P24" s="83" t="n">
        <x:v>9</x:v>
      </x:c>
      <x:c r="Q24" s="83" t="n">
        <x:v>7</x:v>
      </x:c>
      <x:c r="R24" s="83" t="str">
        <x:v>Table 1</x:v>
      </x:c>
      <x:c r="S24" s="83" t="str">
        <x:v>Direct transcription</x:v>
      </x:c>
      <x:c r="T24" s="83" t="str">
        <x:v>A — Direct</x:v>
      </x:c>
      <x:c r="U24" s="83" t="str">
        <x:v>Model output QA</x:v>
      </x:c>
      <x:c r="V24" s="83" t="str">
        <x:v>marginal_price / marginal_cost</x:v>
      </x:c>
      <x:c r="W24" s="83" t="str">
        <x:v>Historical calibration</x:v>
      </x:c>
      <x:c r="X24" s="83" t="str">
        <x:v>Not a direct future-model input.</x:v>
      </x:c>
    </x:row>
    <x:row r="25">
      <x:c r="A25" s="83" t="str">
        <x:v>INT-021</x:v>
      </x:c>
      <x:c r="B25" s="83" t="str">
        <x:v>Market calibration</x:v>
      </x:c>
      <x:c r="C25" s="83" t="str">
        <x:v>CCGT</x:v>
      </x:c>
      <x:c r="D25" s="83" t="str">
        <x:v>PUN minus CCGT variable cost</x:v>
      </x:c>
      <x:c r="E25" s="83" t="n">
        <x:v>2019</x:v>
      </x:c>
      <x:c r="F25" s="83" t="str"/>
      <x:c r="G25" s="279"/>
      <x:c r="H25" s="279" t="n">
        <x:v>9</x:v>
      </x:c>
      <x:c r="I25" s="279"/>
      <x:c r="J25" s="83" t="str">
        <x:v>EUR/MWh_e</x:v>
      </x:c>
      <x:c r="K25" s="83" t="str">
        <x:v>Nominal annual average</x:v>
      </x:c>
      <x:c r="L25" s="83" t="str">
        <x:v>A — Direct</x:v>
      </x:c>
      <x:c r="M25" s="83" t="str">
        <x:v>QA only</x:v>
      </x:c>
      <x:c r="N25" s="83" t="str">
        <x:v>S07</x:v>
      </x:c>
      <x:c r="O25" s="83" t="str">
        <x:v>Terna Prospettive Sviluppo Sistema Energetico 2050.pdf</x:v>
      </x:c>
      <x:c r="P25" s="83" t="n">
        <x:v>9</x:v>
      </x:c>
      <x:c r="Q25" s="83" t="n">
        <x:v>7</x:v>
      </x:c>
      <x:c r="R25" s="83" t="str">
        <x:v>Table 1</x:v>
      </x:c>
      <x:c r="S25" s="83" t="str">
        <x:v>Direct transcription</x:v>
      </x:c>
      <x:c r="T25" s="83" t="str">
        <x:v>A — Direct</x:v>
      </x:c>
      <x:c r="U25" s="83" t="str">
        <x:v>Model output QA</x:v>
      </x:c>
      <x:c r="V25" s="83" t="str">
        <x:v>marginal_price / marginal_cost</x:v>
      </x:c>
      <x:c r="W25" s="83" t="str">
        <x:v>Historical calibration</x:v>
      </x:c>
      <x:c r="X25" s="83" t="str">
        <x:v>Not a direct future-model input.</x:v>
      </x:c>
    </x:row>
    <x:row r="26">
      <x:c r="A26" s="83" t="str">
        <x:v>INT-022</x:v>
      </x:c>
      <x:c r="B26" s="83" t="str">
        <x:v>Market calibration</x:v>
      </x:c>
      <x:c r="C26" s="83" t="str">
        <x:v>Italian market</x:v>
      </x:c>
      <x:c r="D26" s="83" t="str">
        <x:v>PUN historical</x:v>
      </x:c>
      <x:c r="E26" s="83" t="n">
        <x:v>2020</x:v>
      </x:c>
      <x:c r="F26" s="83" t="str"/>
      <x:c r="G26" s="279"/>
      <x:c r="H26" s="279" t="n">
        <x:v>39</x:v>
      </x:c>
      <x:c r="I26" s="279"/>
      <x:c r="J26" s="83" t="str">
        <x:v>EUR/MWh_e</x:v>
      </x:c>
      <x:c r="K26" s="83" t="str">
        <x:v>Nominal annual average</x:v>
      </x:c>
      <x:c r="L26" s="83" t="str">
        <x:v>A — Direct</x:v>
      </x:c>
      <x:c r="M26" s="83" t="str">
        <x:v>QA only</x:v>
      </x:c>
      <x:c r="N26" s="83" t="str">
        <x:v>S07</x:v>
      </x:c>
      <x:c r="O26" s="83" t="str">
        <x:v>Terna Prospettive Sviluppo Sistema Energetico 2050.pdf</x:v>
      </x:c>
      <x:c r="P26" s="83" t="n">
        <x:v>9</x:v>
      </x:c>
      <x:c r="Q26" s="83" t="n">
        <x:v>7</x:v>
      </x:c>
      <x:c r="R26" s="83" t="str">
        <x:v>Table 1</x:v>
      </x:c>
      <x:c r="S26" s="83" t="str">
        <x:v>Direct transcription</x:v>
      </x:c>
      <x:c r="T26" s="83" t="str">
        <x:v>A — Direct</x:v>
      </x:c>
      <x:c r="U26" s="83" t="str">
        <x:v>Model output QA</x:v>
      </x:c>
      <x:c r="V26" s="83" t="str">
        <x:v>marginal_price / marginal_cost</x:v>
      </x:c>
      <x:c r="W26" s="83" t="str">
        <x:v>Historical calibration</x:v>
      </x:c>
      <x:c r="X26" s="83" t="str">
        <x:v>Not a direct future-model input.</x:v>
      </x:c>
    </x:row>
    <x:row r="27">
      <x:c r="A27" s="83" t="str">
        <x:v>INT-023</x:v>
      </x:c>
      <x:c r="B27" s="83" t="str">
        <x:v>Market calibration</x:v>
      </x:c>
      <x:c r="C27" s="83" t="str">
        <x:v>CCGT</x:v>
      </x:c>
      <x:c r="D27" s="83" t="str">
        <x:v>Variable cost historical</x:v>
      </x:c>
      <x:c r="E27" s="83" t="n">
        <x:v>2020</x:v>
      </x:c>
      <x:c r="F27" s="83" t="str"/>
      <x:c r="G27" s="279"/>
      <x:c r="H27" s="279" t="n">
        <x:v>32</x:v>
      </x:c>
      <x:c r="I27" s="279"/>
      <x:c r="J27" s="83" t="str">
        <x:v>EUR/MWh_e</x:v>
      </x:c>
      <x:c r="K27" s="83" t="str">
        <x:v>Nominal annual average</x:v>
      </x:c>
      <x:c r="L27" s="83" t="str">
        <x:v>A — Direct</x:v>
      </x:c>
      <x:c r="M27" s="83" t="str">
        <x:v>QA only</x:v>
      </x:c>
      <x:c r="N27" s="83" t="str">
        <x:v>S07</x:v>
      </x:c>
      <x:c r="O27" s="83" t="str">
        <x:v>Terna Prospettive Sviluppo Sistema Energetico 2050.pdf</x:v>
      </x:c>
      <x:c r="P27" s="83" t="n">
        <x:v>9</x:v>
      </x:c>
      <x:c r="Q27" s="83" t="n">
        <x:v>7</x:v>
      </x:c>
      <x:c r="R27" s="83" t="str">
        <x:v>Table 1</x:v>
      </x:c>
      <x:c r="S27" s="83" t="str">
        <x:v>Direct transcription</x:v>
      </x:c>
      <x:c r="T27" s="83" t="str">
        <x:v>A — Direct</x:v>
      </x:c>
      <x:c r="U27" s="83" t="str">
        <x:v>Model output QA</x:v>
      </x:c>
      <x:c r="V27" s="83" t="str">
        <x:v>marginal_price / marginal_cost</x:v>
      </x:c>
      <x:c r="W27" s="83" t="str">
        <x:v>Historical calibration</x:v>
      </x:c>
      <x:c r="X27" s="83" t="str">
        <x:v>Not a direct future-model input.</x:v>
      </x:c>
    </x:row>
    <x:row r="28">
      <x:c r="A28" s="83" t="str">
        <x:v>INT-024</x:v>
      </x:c>
      <x:c r="B28" s="83" t="str">
        <x:v>Market calibration</x:v>
      </x:c>
      <x:c r="C28" s="83" t="str">
        <x:v>CCGT</x:v>
      </x:c>
      <x:c r="D28" s="83" t="str">
        <x:v>PUN minus CCGT variable cost</x:v>
      </x:c>
      <x:c r="E28" s="83" t="n">
        <x:v>2020</x:v>
      </x:c>
      <x:c r="F28" s="83" t="str"/>
      <x:c r="G28" s="279"/>
      <x:c r="H28" s="279" t="n">
        <x:v>7</x:v>
      </x:c>
      <x:c r="I28" s="279"/>
      <x:c r="J28" s="83" t="str">
        <x:v>EUR/MWh_e</x:v>
      </x:c>
      <x:c r="K28" s="83" t="str">
        <x:v>Nominal annual average</x:v>
      </x:c>
      <x:c r="L28" s="83" t="str">
        <x:v>A — Direct</x:v>
      </x:c>
      <x:c r="M28" s="83" t="str">
        <x:v>QA only</x:v>
      </x:c>
      <x:c r="N28" s="83" t="str">
        <x:v>S07</x:v>
      </x:c>
      <x:c r="O28" s="83" t="str">
        <x:v>Terna Prospettive Sviluppo Sistema Energetico 2050.pdf</x:v>
      </x:c>
      <x:c r="P28" s="83" t="n">
        <x:v>9</x:v>
      </x:c>
      <x:c r="Q28" s="83" t="n">
        <x:v>7</x:v>
      </x:c>
      <x:c r="R28" s="83" t="str">
        <x:v>Table 1</x:v>
      </x:c>
      <x:c r="S28" s="83" t="str">
        <x:v>Direct transcription</x:v>
      </x:c>
      <x:c r="T28" s="83" t="str">
        <x:v>A — Direct</x:v>
      </x:c>
      <x:c r="U28" s="83" t="str">
        <x:v>Model output QA</x:v>
      </x:c>
      <x:c r="V28" s="83" t="str">
        <x:v>marginal_price / marginal_cost</x:v>
      </x:c>
      <x:c r="W28" s="83" t="str">
        <x:v>Historical calibration</x:v>
      </x:c>
      <x:c r="X28" s="83" t="str">
        <x:v>Not a direct future-model input.</x:v>
      </x:c>
    </x:row>
    <x:row r="29">
      <x:c r="A29" s="83" t="str">
        <x:v>INT-025</x:v>
      </x:c>
      <x:c r="B29" s="83" t="str">
        <x:v>Market calibration</x:v>
      </x:c>
      <x:c r="C29" s="83" t="str">
        <x:v>Italian market</x:v>
      </x:c>
      <x:c r="D29" s="83" t="str">
        <x:v>PUN historical</x:v>
      </x:c>
      <x:c r="E29" s="83" t="n">
        <x:v>2021</x:v>
      </x:c>
      <x:c r="F29" s="83" t="str"/>
      <x:c r="G29" s="279"/>
      <x:c r="H29" s="279" t="n">
        <x:v>126</x:v>
      </x:c>
      <x:c r="I29" s="279"/>
      <x:c r="J29" s="83" t="str">
        <x:v>EUR/MWh_e</x:v>
      </x:c>
      <x:c r="K29" s="83" t="str">
        <x:v>Nominal annual average</x:v>
      </x:c>
      <x:c r="L29" s="83" t="str">
        <x:v>A — Direct</x:v>
      </x:c>
      <x:c r="M29" s="83" t="str">
        <x:v>QA only</x:v>
      </x:c>
      <x:c r="N29" s="83" t="str">
        <x:v>S07</x:v>
      </x:c>
      <x:c r="O29" s="83" t="str">
        <x:v>Terna Prospettive Sviluppo Sistema Energetico 2050.pdf</x:v>
      </x:c>
      <x:c r="P29" s="83" t="n">
        <x:v>9</x:v>
      </x:c>
      <x:c r="Q29" s="83" t="n">
        <x:v>7</x:v>
      </x:c>
      <x:c r="R29" s="83" t="str">
        <x:v>Table 1</x:v>
      </x:c>
      <x:c r="S29" s="83" t="str">
        <x:v>Direct transcription</x:v>
      </x:c>
      <x:c r="T29" s="83" t="str">
        <x:v>A — Direct</x:v>
      </x:c>
      <x:c r="U29" s="83" t="str">
        <x:v>Model output QA</x:v>
      </x:c>
      <x:c r="V29" s="83" t="str">
        <x:v>marginal_price / marginal_cost</x:v>
      </x:c>
      <x:c r="W29" s="83" t="str">
        <x:v>Historical calibration</x:v>
      </x:c>
      <x:c r="X29" s="83" t="str">
        <x:v>Not a direct future-model input.</x:v>
      </x:c>
    </x:row>
    <x:row r="30">
      <x:c r="A30" s="83" t="str">
        <x:v>INT-026</x:v>
      </x:c>
      <x:c r="B30" s="83" t="str">
        <x:v>Market calibration</x:v>
      </x:c>
      <x:c r="C30" s="83" t="str">
        <x:v>CCGT</x:v>
      </x:c>
      <x:c r="D30" s="83" t="str">
        <x:v>Variable cost historical</x:v>
      </x:c>
      <x:c r="E30" s="83" t="n">
        <x:v>2021</x:v>
      </x:c>
      <x:c r="F30" s="83" t="str"/>
      <x:c r="G30" s="279"/>
      <x:c r="H30" s="279" t="n">
        <x:v>116</x:v>
      </x:c>
      <x:c r="I30" s="279"/>
      <x:c r="J30" s="83" t="str">
        <x:v>EUR/MWh_e</x:v>
      </x:c>
      <x:c r="K30" s="83" t="str">
        <x:v>Nominal annual average</x:v>
      </x:c>
      <x:c r="L30" s="83" t="str">
        <x:v>A — Direct</x:v>
      </x:c>
      <x:c r="M30" s="83" t="str">
        <x:v>QA only</x:v>
      </x:c>
      <x:c r="N30" s="83" t="str">
        <x:v>S07</x:v>
      </x:c>
      <x:c r="O30" s="83" t="str">
        <x:v>Terna Prospettive Sviluppo Sistema Energetico 2050.pdf</x:v>
      </x:c>
      <x:c r="P30" s="83" t="n">
        <x:v>9</x:v>
      </x:c>
      <x:c r="Q30" s="83" t="n">
        <x:v>7</x:v>
      </x:c>
      <x:c r="R30" s="83" t="str">
        <x:v>Table 1</x:v>
      </x:c>
      <x:c r="S30" s="83" t="str">
        <x:v>Direct transcription</x:v>
      </x:c>
      <x:c r="T30" s="83" t="str">
        <x:v>A — Direct</x:v>
      </x:c>
      <x:c r="U30" s="83" t="str">
        <x:v>Model output QA</x:v>
      </x:c>
      <x:c r="V30" s="83" t="str">
        <x:v>marginal_price / marginal_cost</x:v>
      </x:c>
      <x:c r="W30" s="83" t="str">
        <x:v>Historical calibration</x:v>
      </x:c>
      <x:c r="X30" s="83" t="str">
        <x:v>Not a direct future-model input.</x:v>
      </x:c>
    </x:row>
    <x:row r="31">
      <x:c r="A31" s="83" t="str">
        <x:v>INT-027</x:v>
      </x:c>
      <x:c r="B31" s="83" t="str">
        <x:v>Market calibration</x:v>
      </x:c>
      <x:c r="C31" s="83" t="str">
        <x:v>CCGT</x:v>
      </x:c>
      <x:c r="D31" s="83" t="str">
        <x:v>PUN minus CCGT variable cost</x:v>
      </x:c>
      <x:c r="E31" s="83" t="n">
        <x:v>2021</x:v>
      </x:c>
      <x:c r="F31" s="83" t="str"/>
      <x:c r="G31" s="279"/>
      <x:c r="H31" s="279" t="n">
        <x:v>10</x:v>
      </x:c>
      <x:c r="I31" s="279"/>
      <x:c r="J31" s="83" t="str">
        <x:v>EUR/MWh_e</x:v>
      </x:c>
      <x:c r="K31" s="83" t="str">
        <x:v>Nominal annual average</x:v>
      </x:c>
      <x:c r="L31" s="83" t="str">
        <x:v>A — Direct</x:v>
      </x:c>
      <x:c r="M31" s="83" t="str">
        <x:v>QA only</x:v>
      </x:c>
      <x:c r="N31" s="83" t="str">
        <x:v>S07</x:v>
      </x:c>
      <x:c r="O31" s="83" t="str">
        <x:v>Terna Prospettive Sviluppo Sistema Energetico 2050.pdf</x:v>
      </x:c>
      <x:c r="P31" s="83" t="n">
        <x:v>9</x:v>
      </x:c>
      <x:c r="Q31" s="83" t="n">
        <x:v>7</x:v>
      </x:c>
      <x:c r="R31" s="83" t="str">
        <x:v>Table 1</x:v>
      </x:c>
      <x:c r="S31" s="83" t="str">
        <x:v>Direct transcription</x:v>
      </x:c>
      <x:c r="T31" s="83" t="str">
        <x:v>A — Direct</x:v>
      </x:c>
      <x:c r="U31" s="83" t="str">
        <x:v>Model output QA</x:v>
      </x:c>
      <x:c r="V31" s="83" t="str">
        <x:v>marginal_price / marginal_cost</x:v>
      </x:c>
      <x:c r="W31" s="83" t="str">
        <x:v>Historical calibration</x:v>
      </x:c>
      <x:c r="X31" s="83" t="str">
        <x:v>Not a direct future-model input.</x:v>
      </x:c>
    </x:row>
    <x:row r="32">
      <x:c r="A32" s="83" t="str">
        <x:v>INT-028</x:v>
      </x:c>
      <x:c r="B32" s="83" t="str">
        <x:v>Market calibration</x:v>
      </x:c>
      <x:c r="C32" s="83" t="str">
        <x:v>Italian market</x:v>
      </x:c>
      <x:c r="D32" s="83" t="str">
        <x:v>PUN historical</x:v>
      </x:c>
      <x:c r="E32" s="83" t="n">
        <x:v>2022</x:v>
      </x:c>
      <x:c r="F32" s="83" t="str"/>
      <x:c r="G32" s="279"/>
      <x:c r="H32" s="279" t="n">
        <x:v>304</x:v>
      </x:c>
      <x:c r="I32" s="279"/>
      <x:c r="J32" s="83" t="str">
        <x:v>EUR/MWh_e</x:v>
      </x:c>
      <x:c r="K32" s="83" t="str">
        <x:v>Nominal annual average</x:v>
      </x:c>
      <x:c r="L32" s="83" t="str">
        <x:v>A — Direct</x:v>
      </x:c>
      <x:c r="M32" s="83" t="str">
        <x:v>QA only</x:v>
      </x:c>
      <x:c r="N32" s="83" t="str">
        <x:v>S07</x:v>
      </x:c>
      <x:c r="O32" s="83" t="str">
        <x:v>Terna Prospettive Sviluppo Sistema Energetico 2050.pdf</x:v>
      </x:c>
      <x:c r="P32" s="83" t="n">
        <x:v>9</x:v>
      </x:c>
      <x:c r="Q32" s="83" t="n">
        <x:v>7</x:v>
      </x:c>
      <x:c r="R32" s="83" t="str">
        <x:v>Table 1</x:v>
      </x:c>
      <x:c r="S32" s="83" t="str">
        <x:v>Direct transcription</x:v>
      </x:c>
      <x:c r="T32" s="83" t="str">
        <x:v>A — Direct</x:v>
      </x:c>
      <x:c r="U32" s="83" t="str">
        <x:v>Model output QA</x:v>
      </x:c>
      <x:c r="V32" s="83" t="str">
        <x:v>marginal_price / marginal_cost</x:v>
      </x:c>
      <x:c r="W32" s="83" t="str">
        <x:v>Historical calibration</x:v>
      </x:c>
      <x:c r="X32" s="83" t="str">
        <x:v>Not a direct future-model input.</x:v>
      </x:c>
    </x:row>
    <x:row r="33">
      <x:c r="A33" s="83" t="str">
        <x:v>INT-029</x:v>
      </x:c>
      <x:c r="B33" s="83" t="str">
        <x:v>Market calibration</x:v>
      </x:c>
      <x:c r="C33" s="83" t="str">
        <x:v>CCGT</x:v>
      </x:c>
      <x:c r="D33" s="83" t="str">
        <x:v>Variable cost historical</x:v>
      </x:c>
      <x:c r="E33" s="83" t="n">
        <x:v>2022</x:v>
      </x:c>
      <x:c r="F33" s="83" t="str"/>
      <x:c r="G33" s="279"/>
      <x:c r="H33" s="279" t="n">
        <x:v>282</x:v>
      </x:c>
      <x:c r="I33" s="279"/>
      <x:c r="J33" s="83" t="str">
        <x:v>EUR/MWh_e</x:v>
      </x:c>
      <x:c r="K33" s="83" t="str">
        <x:v>Nominal annual average</x:v>
      </x:c>
      <x:c r="L33" s="83" t="str">
        <x:v>A — Direct</x:v>
      </x:c>
      <x:c r="M33" s="83" t="str">
        <x:v>QA only</x:v>
      </x:c>
      <x:c r="N33" s="83" t="str">
        <x:v>S07</x:v>
      </x:c>
      <x:c r="O33" s="83" t="str">
        <x:v>Terna Prospettive Sviluppo Sistema Energetico 2050.pdf</x:v>
      </x:c>
      <x:c r="P33" s="83" t="n">
        <x:v>9</x:v>
      </x:c>
      <x:c r="Q33" s="83" t="n">
        <x:v>7</x:v>
      </x:c>
      <x:c r="R33" s="83" t="str">
        <x:v>Table 1</x:v>
      </x:c>
      <x:c r="S33" s="83" t="str">
        <x:v>Direct transcription</x:v>
      </x:c>
      <x:c r="T33" s="83" t="str">
        <x:v>A — Direct</x:v>
      </x:c>
      <x:c r="U33" s="83" t="str">
        <x:v>Model output QA</x:v>
      </x:c>
      <x:c r="V33" s="83" t="str">
        <x:v>marginal_price / marginal_cost</x:v>
      </x:c>
      <x:c r="W33" s="83" t="str">
        <x:v>Historical calibration</x:v>
      </x:c>
      <x:c r="X33" s="83" t="str">
        <x:v>Not a direct future-model input.</x:v>
      </x:c>
    </x:row>
    <x:row r="34">
      <x:c r="A34" s="83" t="str">
        <x:v>INT-030</x:v>
      </x:c>
      <x:c r="B34" s="83" t="str">
        <x:v>Market calibration</x:v>
      </x:c>
      <x:c r="C34" s="83" t="str">
        <x:v>CCGT</x:v>
      </x:c>
      <x:c r="D34" s="83" t="str">
        <x:v>PUN minus CCGT variable cost</x:v>
      </x:c>
      <x:c r="E34" s="83" t="n">
        <x:v>2022</x:v>
      </x:c>
      <x:c r="F34" s="83" t="str"/>
      <x:c r="G34" s="279"/>
      <x:c r="H34" s="279" t="n">
        <x:v>22</x:v>
      </x:c>
      <x:c r="I34" s="279"/>
      <x:c r="J34" s="83" t="str">
        <x:v>EUR/MWh_e</x:v>
      </x:c>
      <x:c r="K34" s="83" t="str">
        <x:v>Nominal annual average</x:v>
      </x:c>
      <x:c r="L34" s="83" t="str">
        <x:v>A — Direct</x:v>
      </x:c>
      <x:c r="M34" s="83" t="str">
        <x:v>QA only</x:v>
      </x:c>
      <x:c r="N34" s="83" t="str">
        <x:v>S07</x:v>
      </x:c>
      <x:c r="O34" s="83" t="str">
        <x:v>Terna Prospettive Sviluppo Sistema Energetico 2050.pdf</x:v>
      </x:c>
      <x:c r="P34" s="83" t="n">
        <x:v>9</x:v>
      </x:c>
      <x:c r="Q34" s="83" t="n">
        <x:v>7</x:v>
      </x:c>
      <x:c r="R34" s="83" t="str">
        <x:v>Table 1</x:v>
      </x:c>
      <x:c r="S34" s="83" t="str">
        <x:v>Direct transcription</x:v>
      </x:c>
      <x:c r="T34" s="83" t="str">
        <x:v>A — Direct</x:v>
      </x:c>
      <x:c r="U34" s="83" t="str">
        <x:v>Model output QA</x:v>
      </x:c>
      <x:c r="V34" s="83" t="str">
        <x:v>marginal_price / marginal_cost</x:v>
      </x:c>
      <x:c r="W34" s="83" t="str">
        <x:v>Historical calibration</x:v>
      </x:c>
      <x:c r="X34" s="83" t="str">
        <x:v>Not a direct future-model input.</x:v>
      </x:c>
    </x:row>
    <x:row r="35">
      <x:c r="A35" s="83" t="str">
        <x:v>INT-031</x:v>
      </x:c>
      <x:c r="B35" s="83" t="str">
        <x:v>Market calibration</x:v>
      </x:c>
      <x:c r="C35" s="83" t="str">
        <x:v>Italian market</x:v>
      </x:c>
      <x:c r="D35" s="83" t="str">
        <x:v>PUN historical</x:v>
      </x:c>
      <x:c r="E35" s="83" t="n">
        <x:v>2023</x:v>
      </x:c>
      <x:c r="F35" s="83" t="str"/>
      <x:c r="G35" s="279"/>
      <x:c r="H35" s="279" t="n">
        <x:v>127</x:v>
      </x:c>
      <x:c r="I35" s="279"/>
      <x:c r="J35" s="83" t="str">
        <x:v>EUR/MWh_e</x:v>
      </x:c>
      <x:c r="K35" s="83" t="str">
        <x:v>Nominal annual average</x:v>
      </x:c>
      <x:c r="L35" s="83" t="str">
        <x:v>A — Direct</x:v>
      </x:c>
      <x:c r="M35" s="83" t="str">
        <x:v>QA only</x:v>
      </x:c>
      <x:c r="N35" s="83" t="str">
        <x:v>S07</x:v>
      </x:c>
      <x:c r="O35" s="83" t="str">
        <x:v>Terna Prospettive Sviluppo Sistema Energetico 2050.pdf</x:v>
      </x:c>
      <x:c r="P35" s="83" t="n">
        <x:v>9</x:v>
      </x:c>
      <x:c r="Q35" s="83" t="n">
        <x:v>7</x:v>
      </x:c>
      <x:c r="R35" s="83" t="str">
        <x:v>Table 1</x:v>
      </x:c>
      <x:c r="S35" s="83" t="str">
        <x:v>Direct transcription</x:v>
      </x:c>
      <x:c r="T35" s="83" t="str">
        <x:v>A — Direct</x:v>
      </x:c>
      <x:c r="U35" s="83" t="str">
        <x:v>Model output QA</x:v>
      </x:c>
      <x:c r="V35" s="83" t="str">
        <x:v>marginal_price / marginal_cost</x:v>
      </x:c>
      <x:c r="W35" s="83" t="str">
        <x:v>Historical calibration</x:v>
      </x:c>
      <x:c r="X35" s="83" t="str">
        <x:v>Not a direct future-model input.</x:v>
      </x:c>
    </x:row>
    <x:row r="36">
      <x:c r="A36" s="83" t="str">
        <x:v>INT-032</x:v>
      </x:c>
      <x:c r="B36" s="83" t="str">
        <x:v>Market calibration</x:v>
      </x:c>
      <x:c r="C36" s="83" t="str">
        <x:v>CCGT</x:v>
      </x:c>
      <x:c r="D36" s="83" t="str">
        <x:v>Variable cost historical</x:v>
      </x:c>
      <x:c r="E36" s="83" t="n">
        <x:v>2023</x:v>
      </x:c>
      <x:c r="F36" s="83" t="str"/>
      <x:c r="G36" s="279"/>
      <x:c r="H36" s="279" t="n">
        <x:v>121</x:v>
      </x:c>
      <x:c r="I36" s="279"/>
      <x:c r="J36" s="83" t="str">
        <x:v>EUR/MWh_e</x:v>
      </x:c>
      <x:c r="K36" s="83" t="str">
        <x:v>Nominal annual average</x:v>
      </x:c>
      <x:c r="L36" s="83" t="str">
        <x:v>A — Direct</x:v>
      </x:c>
      <x:c r="M36" s="83" t="str">
        <x:v>QA only</x:v>
      </x:c>
      <x:c r="N36" s="83" t="str">
        <x:v>S07</x:v>
      </x:c>
      <x:c r="O36" s="83" t="str">
        <x:v>Terna Prospettive Sviluppo Sistema Energetico 2050.pdf</x:v>
      </x:c>
      <x:c r="P36" s="83" t="n">
        <x:v>9</x:v>
      </x:c>
      <x:c r="Q36" s="83" t="n">
        <x:v>7</x:v>
      </x:c>
      <x:c r="R36" s="83" t="str">
        <x:v>Table 1</x:v>
      </x:c>
      <x:c r="S36" s="83" t="str">
        <x:v>Direct transcription</x:v>
      </x:c>
      <x:c r="T36" s="83" t="str">
        <x:v>A — Direct</x:v>
      </x:c>
      <x:c r="U36" s="83" t="str">
        <x:v>Model output QA</x:v>
      </x:c>
      <x:c r="V36" s="83" t="str">
        <x:v>marginal_price / marginal_cost</x:v>
      </x:c>
      <x:c r="W36" s="83" t="str">
        <x:v>Historical calibration</x:v>
      </x:c>
      <x:c r="X36" s="83" t="str">
        <x:v>Not a direct future-model input.</x:v>
      </x:c>
    </x:row>
    <x:row r="37">
      <x:c r="A37" s="83" t="str">
        <x:v>INT-033</x:v>
      </x:c>
      <x:c r="B37" s="83" t="str">
        <x:v>Market calibration</x:v>
      </x:c>
      <x:c r="C37" s="83" t="str">
        <x:v>CCGT</x:v>
      </x:c>
      <x:c r="D37" s="83" t="str">
        <x:v>PUN minus CCGT variable cost</x:v>
      </x:c>
      <x:c r="E37" s="83" t="n">
        <x:v>2023</x:v>
      </x:c>
      <x:c r="F37" s="83" t="str"/>
      <x:c r="G37" s="279"/>
      <x:c r="H37" s="279" t="n">
        <x:v>6</x:v>
      </x:c>
      <x:c r="I37" s="279"/>
      <x:c r="J37" s="83" t="str">
        <x:v>EUR/MWh_e</x:v>
      </x:c>
      <x:c r="K37" s="83" t="str">
        <x:v>Nominal annual average</x:v>
      </x:c>
      <x:c r="L37" s="83" t="str">
        <x:v>A — Direct</x:v>
      </x:c>
      <x:c r="M37" s="83" t="str">
        <x:v>QA only</x:v>
      </x:c>
      <x:c r="N37" s="83" t="str">
        <x:v>S07</x:v>
      </x:c>
      <x:c r="O37" s="83" t="str">
        <x:v>Terna Prospettive Sviluppo Sistema Energetico 2050.pdf</x:v>
      </x:c>
      <x:c r="P37" s="83" t="n">
        <x:v>9</x:v>
      </x:c>
      <x:c r="Q37" s="83" t="n">
        <x:v>7</x:v>
      </x:c>
      <x:c r="R37" s="83" t="str">
        <x:v>Table 1</x:v>
      </x:c>
      <x:c r="S37" s="83" t="str">
        <x:v>Direct transcription</x:v>
      </x:c>
      <x:c r="T37" s="83" t="str">
        <x:v>A — Direct</x:v>
      </x:c>
      <x:c r="U37" s="83" t="str">
        <x:v>Model output QA</x:v>
      </x:c>
      <x:c r="V37" s="83" t="str">
        <x:v>marginal_price / marginal_cost</x:v>
      </x:c>
      <x:c r="W37" s="83" t="str">
        <x:v>Historical calibration</x:v>
      </x:c>
      <x:c r="X37" s="83" t="str">
        <x:v>Not a direct future-model input.</x:v>
      </x:c>
    </x:row>
    <x:row r="38">
      <x:c r="A38" s="83" t="str">
        <x:v>INT-034</x:v>
      </x:c>
      <x:c r="B38" s="83" t="str">
        <x:v>Market calibration</x:v>
      </x:c>
      <x:c r="C38" s="83" t="str">
        <x:v>Italian market</x:v>
      </x:c>
      <x:c r="D38" s="83" t="str">
        <x:v>PUN historical</x:v>
      </x:c>
      <x:c r="E38" s="83" t="n">
        <x:v>2024</x:v>
      </x:c>
      <x:c r="F38" s="83" t="str"/>
      <x:c r="G38" s="279"/>
      <x:c r="H38" s="279" t="n">
        <x:v>109</x:v>
      </x:c>
      <x:c r="I38" s="279"/>
      <x:c r="J38" s="83" t="str">
        <x:v>EUR/MWh_e</x:v>
      </x:c>
      <x:c r="K38" s="83" t="str">
        <x:v>Nominal annual average</x:v>
      </x:c>
      <x:c r="L38" s="83" t="str">
        <x:v>A — Direct</x:v>
      </x:c>
      <x:c r="M38" s="83" t="str">
        <x:v>QA only</x:v>
      </x:c>
      <x:c r="N38" s="83" t="str">
        <x:v>S07</x:v>
      </x:c>
      <x:c r="O38" s="83" t="str">
        <x:v>Terna Prospettive Sviluppo Sistema Energetico 2050.pdf</x:v>
      </x:c>
      <x:c r="P38" s="83" t="n">
        <x:v>9</x:v>
      </x:c>
      <x:c r="Q38" s="83" t="n">
        <x:v>7</x:v>
      </x:c>
      <x:c r="R38" s="83" t="str">
        <x:v>Table 1</x:v>
      </x:c>
      <x:c r="S38" s="83" t="str">
        <x:v>Direct transcription</x:v>
      </x:c>
      <x:c r="T38" s="83" t="str">
        <x:v>A — Direct</x:v>
      </x:c>
      <x:c r="U38" s="83" t="str">
        <x:v>Model output QA</x:v>
      </x:c>
      <x:c r="V38" s="83" t="str">
        <x:v>marginal_price / marginal_cost</x:v>
      </x:c>
      <x:c r="W38" s="83" t="str">
        <x:v>Historical calibration</x:v>
      </x:c>
      <x:c r="X38" s="83" t="str">
        <x:v>Not a direct future-model input.</x:v>
      </x:c>
    </x:row>
    <x:row r="39">
      <x:c r="A39" s="83" t="str">
        <x:v>INT-035</x:v>
      </x:c>
      <x:c r="B39" s="83" t="str">
        <x:v>Market calibration</x:v>
      </x:c>
      <x:c r="C39" s="83" t="str">
        <x:v>CCGT</x:v>
      </x:c>
      <x:c r="D39" s="83" t="str">
        <x:v>Variable cost historical</x:v>
      </x:c>
      <x:c r="E39" s="83" t="n">
        <x:v>2024</x:v>
      </x:c>
      <x:c r="F39" s="83" t="str"/>
      <x:c r="G39" s="279"/>
      <x:c r="H39" s="279" t="n">
        <x:v>101</x:v>
      </x:c>
      <x:c r="I39" s="279"/>
      <x:c r="J39" s="83" t="str">
        <x:v>EUR/MWh_e</x:v>
      </x:c>
      <x:c r="K39" s="83" t="str">
        <x:v>Nominal annual average</x:v>
      </x:c>
      <x:c r="L39" s="83" t="str">
        <x:v>A — Direct</x:v>
      </x:c>
      <x:c r="M39" s="83" t="str">
        <x:v>QA only</x:v>
      </x:c>
      <x:c r="N39" s="83" t="str">
        <x:v>S07</x:v>
      </x:c>
      <x:c r="O39" s="83" t="str">
        <x:v>Terna Prospettive Sviluppo Sistema Energetico 2050.pdf</x:v>
      </x:c>
      <x:c r="P39" s="83" t="n">
        <x:v>9</x:v>
      </x:c>
      <x:c r="Q39" s="83" t="n">
        <x:v>7</x:v>
      </x:c>
      <x:c r="R39" s="83" t="str">
        <x:v>Table 1</x:v>
      </x:c>
      <x:c r="S39" s="83" t="str">
        <x:v>Direct transcription</x:v>
      </x:c>
      <x:c r="T39" s="83" t="str">
        <x:v>A — Direct</x:v>
      </x:c>
      <x:c r="U39" s="83" t="str">
        <x:v>Model output QA</x:v>
      </x:c>
      <x:c r="V39" s="83" t="str">
        <x:v>marginal_price / marginal_cost</x:v>
      </x:c>
      <x:c r="W39" s="83" t="str">
        <x:v>Historical calibration</x:v>
      </x:c>
      <x:c r="X39" s="83" t="str">
        <x:v>Not a direct future-model input.</x:v>
      </x:c>
    </x:row>
    <x:row r="40">
      <x:c r="A40" s="83" t="str">
        <x:v>INT-036</x:v>
      </x:c>
      <x:c r="B40" s="83" t="str">
        <x:v>Market calibration</x:v>
      </x:c>
      <x:c r="C40" s="83" t="str">
        <x:v>CCGT</x:v>
      </x:c>
      <x:c r="D40" s="83" t="str">
        <x:v>PUN minus CCGT variable cost</x:v>
      </x:c>
      <x:c r="E40" s="83" t="n">
        <x:v>2024</x:v>
      </x:c>
      <x:c r="F40" s="83" t="str"/>
      <x:c r="G40" s="279"/>
      <x:c r="H40" s="279" t="n">
        <x:v>8</x:v>
      </x:c>
      <x:c r="I40" s="279"/>
      <x:c r="J40" s="83" t="str">
        <x:v>EUR/MWh_e</x:v>
      </x:c>
      <x:c r="K40" s="83" t="str">
        <x:v>Nominal annual average</x:v>
      </x:c>
      <x:c r="L40" s="83" t="str">
        <x:v>A — Direct</x:v>
      </x:c>
      <x:c r="M40" s="83" t="str">
        <x:v>QA only</x:v>
      </x:c>
      <x:c r="N40" s="83" t="str">
        <x:v>S07</x:v>
      </x:c>
      <x:c r="O40" s="83" t="str">
        <x:v>Terna Prospettive Sviluppo Sistema Energetico 2050.pdf</x:v>
      </x:c>
      <x:c r="P40" s="83" t="n">
        <x:v>9</x:v>
      </x:c>
      <x:c r="Q40" s="83" t="n">
        <x:v>7</x:v>
      </x:c>
      <x:c r="R40" s="83" t="str">
        <x:v>Table 1</x:v>
      </x:c>
      <x:c r="S40" s="83" t="str">
        <x:v>Direct transcription</x:v>
      </x:c>
      <x:c r="T40" s="83" t="str">
        <x:v>A — Direct</x:v>
      </x:c>
      <x:c r="U40" s="83" t="str">
        <x:v>Model output QA</x:v>
      </x:c>
      <x:c r="V40" s="83" t="str">
        <x:v>marginal_price / marginal_cost</x:v>
      </x:c>
      <x:c r="W40" s="83" t="str">
        <x:v>Historical calibration</x:v>
      </x:c>
      <x:c r="X40" s="83" t="str">
        <x:v>Not a direct future-model input.</x:v>
      </x:c>
    </x:row>
    <x:row r="41">
      <x:c r="A41" s="83" t="str">
        <x:v>INT-037</x:v>
      </x:c>
      <x:c r="B41" s="83" t="str">
        <x:v>Thermal</x:v>
      </x:c>
      <x:c r="C41" s="83" t="str">
        <x:v>CCGT</x:v>
      </x:c>
      <x:c r="D41" s="83" t="str">
        <x:v>Variable cost, first half 2025</x:v>
      </x:c>
      <x:c r="E41" s="83" t="n">
        <x:v>2025</x:v>
      </x:c>
      <x:c r="F41" s="83" t="str"/>
      <x:c r="G41" s="279"/>
      <x:c r="H41" s="279" t="n">
        <x:v>120</x:v>
      </x:c>
      <x:c r="I41" s="279"/>
      <x:c r="J41" s="83" t="str">
        <x:v>EUR/MWh_e</x:v>
      </x:c>
      <x:c r="K41" s="83" t="str">
        <x:v>Current 2025</x:v>
      </x:c>
      <x:c r="L41" s="83" t="str">
        <x:v>A — Direct</x:v>
      </x:c>
      <x:c r="M41" s="83" t="str">
        <x:v>QA only</x:v>
      </x:c>
      <x:c r="N41" s="83" t="str">
        <x:v>S07</x:v>
      </x:c>
      <x:c r="O41" s="83" t="str">
        <x:v>Terna Prospettive Sviluppo Sistema Energetico 2050.pdf</x:v>
      </x:c>
      <x:c r="P41" s="83" t="n">
        <x:v>10</x:v>
      </x:c>
      <x:c r="Q41" s="83" t="n">
        <x:v>8</x:v>
      </x:c>
      <x:c r="R41" s="83" t="str">
        <x:v>Text / Figure 4</x:v>
      </x:c>
      <x:c r="S41" s="83" t="str">
        <x:v>Direct transcription</x:v>
      </x:c>
      <x:c r="T41" s="83" t="str">
        <x:v>A — Direct</x:v>
      </x:c>
      <x:c r="U41" s="83" t="str">
        <x:v>Generator</x:v>
      </x:c>
      <x:c r="V41" s="83" t="str">
        <x:v>marginal_cost</x:v>
      </x:c>
      <x:c r="W41" s="83" t="str">
        <x:v>Context only</x:v>
      </x:c>
      <x:c r="X41" s="83" t="str">
        <x:v>Approximate value ('quasi 120').</x:v>
      </x:c>
    </x:row>
    <x:row r="42">
      <x:c r="A42" s="83" t="str">
        <x:v>INT-038</x:v>
      </x:c>
      <x:c r="B42" s="83" t="str">
        <x:v>Thermal</x:v>
      </x:c>
      <x:c r="C42" s="83" t="str">
        <x:v>CCGT</x:v>
      </x:c>
      <x:c r="D42" s="83" t="str">
        <x:v>Fixed costs per generated MWh</x:v>
      </x:c>
      <x:c r="E42" s="83"/>
      <x:c r="F42" s="83" t="str"/>
      <x:c r="G42" s="279" t="n">
        <x:v>15</x:v>
      </x:c>
      <x:c r="H42" s="279"/>
      <x:c r="I42" s="279" t="n">
        <x:v>25</x:v>
      </x:c>
      <x:c r="J42" s="83" t="str">
        <x:v>EUR/MWh_e</x:v>
      </x:c>
      <x:c r="K42" s="83" t="str"/>
      <x:c r="L42" s="83" t="str">
        <x:v>A — Direct</x:v>
      </x:c>
      <x:c r="M42" s="83" t="str">
        <x:v>Context only</x:v>
      </x:c>
      <x:c r="N42" s="83" t="str">
        <x:v>S07</x:v>
      </x:c>
      <x:c r="O42" s="83" t="str">
        <x:v>Terna Prospettive Sviluppo Sistema Energetico 2050.pdf</x:v>
      </x:c>
      <x:c r="P42" s="83" t="n">
        <x:v>10</x:v>
      </x:c>
      <x:c r="Q42" s="83" t="n">
        <x:v>8</x:v>
      </x:c>
      <x:c r="R42" s="83" t="str">
        <x:v>Footnote 4</x:v>
      </x:c>
      <x:c r="S42" s="83" t="str">
        <x:v>Direct transcription</x:v>
      </x:c>
      <x:c r="T42" s="83" t="str">
        <x:v>A — Direct</x:v>
      </x:c>
      <x:c r="U42" s="83" t="str">
        <x:v>Generator</x:v>
      </x:c>
      <x:c r="V42" s="83" t="str">
        <x:v>not used in dispatch-only</x:v>
      </x:c>
      <x:c r="W42" s="83" t="str">
        <x:v>Context only</x:v>
      </x:c>
      <x:c r="X42" s="83" t="str">
        <x:v>Depends on utilisation; not a clean fixed O&amp;M input.</x:v>
      </x:c>
    </x:row>
    <x:row r="43">
      <x:c r="A43" s="83" t="str">
        <x:v>INT-039</x:v>
      </x:c>
      <x:c r="B43" s="83" t="str">
        <x:v>Renewables</x:v>
      </x:c>
      <x:c r="C43" s="83" t="str">
        <x:v>Solar utility</x:v>
      </x:c>
      <x:c r="D43" s="83" t="str">
        <x:v>Installed cost, global 2024</x:v>
      </x:c>
      <x:c r="E43" s="83" t="n">
        <x:v>2024</x:v>
      </x:c>
      <x:c r="F43" s="83" t="str"/>
      <x:c r="G43" s="279"/>
      <x:c r="H43" s="279" t="n">
        <x:v>691</x:v>
      </x:c>
      <x:c r="I43" s="279"/>
      <x:c r="J43" s="83" t="str">
        <x:v>USD2024/kW</x:v>
      </x:c>
      <x:c r="K43" s="83" t="str">
        <x:v>As reported by source</x:v>
      </x:c>
      <x:c r="L43" s="83" t="str">
        <x:v>A — Direct</x:v>
      </x:c>
      <x:c r="M43" s="83" t="str">
        <x:v>Context only</x:v>
      </x:c>
      <x:c r="N43" s="83" t="str">
        <x:v>S07</x:v>
      </x:c>
      <x:c r="O43" s="83" t="str">
        <x:v>Terna Prospettive Sviluppo Sistema Energetico 2050.pdf</x:v>
      </x:c>
      <x:c r="P43" s="83" t="str">
        <x:v>36–45</x:v>
      </x:c>
      <x:c r="Q43" s="83" t="str">
        <x:v>34–43</x:v>
      </x:c>
      <x:c r="R43" s="83" t="str">
        <x:v>Figure 30</x:v>
      </x:c>
      <x:c r="S43" s="83" t="str">
        <x:v>Direct transcription</x:v>
      </x:c>
      <x:c r="T43" s="83" t="str">
        <x:v>A — Direct</x:v>
      </x:c>
      <x:c r="U43" s="83" t="str">
        <x:v>Generator</x:v>
      </x:c>
      <x:c r="V43" s="83" t="str">
        <x:v>context / p_max_pu QA</x:v>
      </x:c>
      <x:c r="W43" s="83" t="str">
        <x:v>Context / validation</x:v>
      </x:c>
      <x:c r="X43" s="83" t="str">
        <x:v>IRENA global average.</x:v>
      </x:c>
    </x:row>
    <x:row r="44">
      <x:c r="A44" s="83" t="str">
        <x:v>INT-040</x:v>
      </x:c>
      <x:c r="B44" s="83" t="str">
        <x:v>Renewables</x:v>
      </x:c>
      <x:c r="C44" s="83" t="str">
        <x:v>Solar utility</x:v>
      </x:c>
      <x:c r="D44" s="83" t="str">
        <x:v>Capacity factor, global 2024</x:v>
      </x:c>
      <x:c r="E44" s="83" t="n">
        <x:v>2024</x:v>
      </x:c>
      <x:c r="F44" s="83" t="str"/>
      <x:c r="G44" s="279"/>
      <x:c r="H44" s="279" t="n">
        <x:v>0.162</x:v>
      </x:c>
      <x:c r="I44" s="279"/>
      <x:c r="J44" s="83" t="str">
        <x:v>p.u.</x:v>
      </x:c>
      <x:c r="K44" s="83" t="str">
        <x:v>As reported by source</x:v>
      </x:c>
      <x:c r="L44" s="83" t="str">
        <x:v>A — Direct</x:v>
      </x:c>
      <x:c r="M44" s="83" t="str">
        <x:v>QA / context</x:v>
      </x:c>
      <x:c r="N44" s="83" t="str">
        <x:v>S07</x:v>
      </x:c>
      <x:c r="O44" s="83" t="str">
        <x:v>Terna Prospettive Sviluppo Sistema Energetico 2050.pdf</x:v>
      </x:c>
      <x:c r="P44" s="83" t="str">
        <x:v>36–45</x:v>
      </x:c>
      <x:c r="Q44" s="83" t="str">
        <x:v>34–43</x:v>
      </x:c>
      <x:c r="R44" s="83" t="str">
        <x:v>Figure 30</x:v>
      </x:c>
      <x:c r="S44" s="83" t="str">
        <x:v>Direct transcription</x:v>
      </x:c>
      <x:c r="T44" s="83" t="str">
        <x:v>A — Direct</x:v>
      </x:c>
      <x:c r="U44" s="83" t="str">
        <x:v>Generator</x:v>
      </x:c>
      <x:c r="V44" s="83" t="str">
        <x:v>context / p_max_pu QA</x:v>
      </x:c>
      <x:c r="W44" s="83" t="str">
        <x:v>Context / validation</x:v>
      </x:c>
      <x:c r="X44" s="83" t="str">
        <x:v>Not an Italian hourly profile.</x:v>
      </x:c>
    </x:row>
    <x:row r="45">
      <x:c r="A45" s="83" t="str">
        <x:v>INT-041</x:v>
      </x:c>
      <x:c r="B45" s="83" t="str">
        <x:v>Renewables</x:v>
      </x:c>
      <x:c r="C45" s="83" t="str">
        <x:v>Solar utility</x:v>
      </x:c>
      <x:c r="D45" s="83" t="str">
        <x:v>LCOE, global 2024</x:v>
      </x:c>
      <x:c r="E45" s="83" t="n">
        <x:v>2024</x:v>
      </x:c>
      <x:c r="F45" s="83" t="str"/>
      <x:c r="G45" s="279"/>
      <x:c r="H45" s="279" t="n">
        <x:v>42</x:v>
      </x:c>
      <x:c r="I45" s="279"/>
      <x:c r="J45" s="83" t="str">
        <x:v>USD2024/MWh</x:v>
      </x:c>
      <x:c r="K45" s="83" t="str">
        <x:v>As reported by source</x:v>
      </x:c>
      <x:c r="L45" s="83" t="str">
        <x:v>A — Direct</x:v>
      </x:c>
      <x:c r="M45" s="83" t="str">
        <x:v>Context only</x:v>
      </x:c>
      <x:c r="N45" s="83" t="str">
        <x:v>S07</x:v>
      </x:c>
      <x:c r="O45" s="83" t="str">
        <x:v>Terna Prospettive Sviluppo Sistema Energetico 2050.pdf</x:v>
      </x:c>
      <x:c r="P45" s="83" t="str">
        <x:v>36–45</x:v>
      </x:c>
      <x:c r="Q45" s="83" t="str">
        <x:v>34–43</x:v>
      </x:c>
      <x:c r="R45" s="83" t="str">
        <x:v>Figure 30</x:v>
      </x:c>
      <x:c r="S45" s="83" t="str">
        <x:v>Direct transcription</x:v>
      </x:c>
      <x:c r="T45" s="83" t="str">
        <x:v>A — Direct</x:v>
      </x:c>
      <x:c r="U45" s="83" t="str">
        <x:v>Generator</x:v>
      </x:c>
      <x:c r="V45" s="83" t="str">
        <x:v>context / p_max_pu QA</x:v>
      </x:c>
      <x:c r="W45" s="83" t="str">
        <x:v>Context / validation</x:v>
      </x:c>
      <x:c r="X45" s="83" t="str">
        <x:v>Converted from 0.042 USD/kWh.</x:v>
      </x:c>
    </x:row>
    <x:row r="46">
      <x:c r="A46" s="83" t="str">
        <x:v>INT-042</x:v>
      </x:c>
      <x:c r="B46" s="83" t="str">
        <x:v>Renewables</x:v>
      </x:c>
      <x:c r="C46" s="83" t="str">
        <x:v>Solar utility Italy</x:v>
      </x:c>
      <x:c r="D46" s="83" t="str">
        <x:v>LCOE, national 2024</x:v>
      </x:c>
      <x:c r="E46" s="83" t="n">
        <x:v>2024</x:v>
      </x:c>
      <x:c r="F46" s="83" t="str"/>
      <x:c r="G46" s="279"/>
      <x:c r="H46" s="279" t="n">
        <x:v>61</x:v>
      </x:c>
      <x:c r="I46" s="279"/>
      <x:c r="J46" s="83" t="str">
        <x:v>USD2024/MWh</x:v>
      </x:c>
      <x:c r="K46" s="83" t="str">
        <x:v>As reported by source</x:v>
      </x:c>
      <x:c r="L46" s="83" t="str">
        <x:v>A — Direct</x:v>
      </x:c>
      <x:c r="M46" s="83" t="str">
        <x:v>Context only</x:v>
      </x:c>
      <x:c r="N46" s="83" t="str">
        <x:v>S07</x:v>
      </x:c>
      <x:c r="O46" s="83" t="str">
        <x:v>Terna Prospettive Sviluppo Sistema Energetico 2050.pdf</x:v>
      </x:c>
      <x:c r="P46" s="83" t="str">
        <x:v>36–45</x:v>
      </x:c>
      <x:c r="Q46" s="83" t="str">
        <x:v>34–43</x:v>
      </x:c>
      <x:c r="R46" s="83" t="str">
        <x:v>Figure 32</x:v>
      </x:c>
      <x:c r="S46" s="83" t="str">
        <x:v>Direct transcription</x:v>
      </x:c>
      <x:c r="T46" s="83" t="str">
        <x:v>A — Direct</x:v>
      </x:c>
      <x:c r="U46" s="83" t="str">
        <x:v>Generator</x:v>
      </x:c>
      <x:c r="V46" s="83" t="str">
        <x:v>context / p_max_pu QA</x:v>
      </x:c>
      <x:c r="W46" s="83" t="str">
        <x:v>Context / validation</x:v>
      </x:c>
      <x:c r="X46" s="83" t="str">
        <x:v>Text describes approximately 60 USD/MWh.</x:v>
      </x:c>
    </x:row>
    <x:row r="47">
      <x:c r="A47" s="83" t="str">
        <x:v>INT-043</x:v>
      </x:c>
      <x:c r="B47" s="83" t="str">
        <x:v>Renewables</x:v>
      </x:c>
      <x:c r="C47" s="83" t="str">
        <x:v>Solar utility Italy</x:v>
      </x:c>
      <x:c r="D47" s="83" t="str">
        <x:v>CAPEX, 30 MW tracking</x:v>
      </x:c>
      <x:c r="E47" s="83" t="n">
        <x:v>2024</x:v>
      </x:c>
      <x:c r="F47" s="83" t="str"/>
      <x:c r="G47" s="279" t="n">
        <x:v>900</x:v>
      </x:c>
      <x:c r="H47" s="279"/>
      <x:c r="I47" s="279" t="n">
        <x:v>1000</x:v>
      </x:c>
      <x:c r="J47" s="83" t="str">
        <x:v>EUR/kW</x:v>
      </x:c>
      <x:c r="K47" s="83" t="str">
        <x:v>As reported by source</x:v>
      </x:c>
      <x:c r="L47" s="83" t="str">
        <x:v>A — Direct</x:v>
      </x:c>
      <x:c r="M47" s="83" t="str">
        <x:v>Context only</x:v>
      </x:c>
      <x:c r="N47" s="83" t="str">
        <x:v>S07</x:v>
      </x:c>
      <x:c r="O47" s="83" t="str">
        <x:v>Terna Prospettive Sviluppo Sistema Energetico 2050.pdf</x:v>
      </x:c>
      <x:c r="P47" s="83" t="str">
        <x:v>36–45</x:v>
      </x:c>
      <x:c r="Q47" s="83" t="str">
        <x:v>34–43</x:v>
      </x:c>
      <x:c r="R47" s="83" t="str">
        <x:v>Text accompanying Figure 32</x:v>
      </x:c>
      <x:c r="S47" s="83" t="str">
        <x:v>Direct transcription</x:v>
      </x:c>
      <x:c r="T47" s="83" t="str">
        <x:v>A — Direct</x:v>
      </x:c>
      <x:c r="U47" s="83" t="str">
        <x:v>Generator</x:v>
      </x:c>
      <x:c r="V47" s="83" t="str">
        <x:v>context / p_max_pu QA</x:v>
      </x:c>
      <x:c r="W47" s="83" t="str">
        <x:v>Context / validation</x:v>
      </x:c>
      <x:c r="X47" s="83" t="str">
        <x:v>Project-specific range.</x:v>
      </x:c>
    </x:row>
    <x:row r="48">
      <x:c r="A48" s="83" t="str">
        <x:v>INT-044</x:v>
      </x:c>
      <x:c r="B48" s="83" t="str">
        <x:v>Renewables</x:v>
      </x:c>
      <x:c r="C48" s="83" t="str">
        <x:v>Solar utility Italy</x:v>
      </x:c>
      <x:c r="D48" s="83" t="str">
        <x:v>LCOE, best sites 2,000 h</x:v>
      </x:c>
      <x:c r="E48" s="83" t="n">
        <x:v>2024</x:v>
      </x:c>
      <x:c r="F48" s="83" t="str"/>
      <x:c r="G48" s="279" t="n">
        <x:v>55</x:v>
      </x:c>
      <x:c r="H48" s="279"/>
      <x:c r="I48" s="279" t="n">
        <x:v>65</x:v>
      </x:c>
      <x:c r="J48" s="83" t="str">
        <x:v>EUR/MWh</x:v>
      </x:c>
      <x:c r="K48" s="83" t="str">
        <x:v>As reported by source</x:v>
      </x:c>
      <x:c r="L48" s="83" t="str">
        <x:v>A — Direct</x:v>
      </x:c>
      <x:c r="M48" s="83" t="str">
        <x:v>Context only</x:v>
      </x:c>
      <x:c r="N48" s="83" t="str">
        <x:v>S07</x:v>
      </x:c>
      <x:c r="O48" s="83" t="str">
        <x:v>Terna Prospettive Sviluppo Sistema Energetico 2050.pdf</x:v>
      </x:c>
      <x:c r="P48" s="83" t="str">
        <x:v>36–45</x:v>
      </x:c>
      <x:c r="Q48" s="83" t="str">
        <x:v>34–43</x:v>
      </x:c>
      <x:c r="R48" s="83" t="str">
        <x:v>Text accompanying Figure 32</x:v>
      </x:c>
      <x:c r="S48" s="83" t="str">
        <x:v>Direct transcription</x:v>
      </x:c>
      <x:c r="T48" s="83" t="str">
        <x:v>A — Direct</x:v>
      </x:c>
      <x:c r="U48" s="83" t="str">
        <x:v>Generator</x:v>
      </x:c>
      <x:c r="V48" s="83" t="str">
        <x:v>context / p_max_pu QA</x:v>
      </x:c>
      <x:c r="W48" s="83" t="str">
        <x:v>Context / validation</x:v>
      </x:c>
      <x:c r="X48" s="83" t="str">
        <x:v>Project economics, not marginal cost.</x:v>
      </x:c>
    </x:row>
    <x:row r="49">
      <x:c r="A49" s="83" t="str">
        <x:v>INT-045</x:v>
      </x:c>
      <x:c r="B49" s="83" t="str">
        <x:v>Renewables</x:v>
      </x:c>
      <x:c r="C49" s="83" t="str">
        <x:v>Solar utility Italy</x:v>
      </x:c>
      <x:c r="D49" s="83" t="str">
        <x:v>LCOE, 1 MW / 1,500 h</x:v>
      </x:c>
      <x:c r="E49" s="83" t="n">
        <x:v>2024</x:v>
      </x:c>
      <x:c r="F49" s="83" t="str"/>
      <x:c r="G49" s="279" t="n">
        <x:v>70</x:v>
      </x:c>
      <x:c r="H49" s="279"/>
      <x:c r="I49" s="279" t="n">
        <x:v>80</x:v>
      </x:c>
      <x:c r="J49" s="83" t="str">
        <x:v>EUR/MWh</x:v>
      </x:c>
      <x:c r="K49" s="83" t="str">
        <x:v>As reported by source</x:v>
      </x:c>
      <x:c r="L49" s="83" t="str">
        <x:v>A — Direct</x:v>
      </x:c>
      <x:c r="M49" s="83" t="str">
        <x:v>Context only</x:v>
      </x:c>
      <x:c r="N49" s="83" t="str">
        <x:v>S07</x:v>
      </x:c>
      <x:c r="O49" s="83" t="str">
        <x:v>Terna Prospettive Sviluppo Sistema Energetico 2050.pdf</x:v>
      </x:c>
      <x:c r="P49" s="83" t="str">
        <x:v>36–45</x:v>
      </x:c>
      <x:c r="Q49" s="83" t="str">
        <x:v>34–43</x:v>
      </x:c>
      <x:c r="R49" s="83" t="str">
        <x:v>Text accompanying Figure 32</x:v>
      </x:c>
      <x:c r="S49" s="83" t="str">
        <x:v>Direct transcription</x:v>
      </x:c>
      <x:c r="T49" s="83" t="str">
        <x:v>A — Direct</x:v>
      </x:c>
      <x:c r="U49" s="83" t="str">
        <x:v>Generator</x:v>
      </x:c>
      <x:c r="V49" s="83" t="str">
        <x:v>context / p_max_pu QA</x:v>
      </x:c>
      <x:c r="W49" s="83" t="str">
        <x:v>Context / validation</x:v>
      </x:c>
      <x:c r="X49" s="83" t="str">
        <x:v>Project economics, not marginal cost.</x:v>
      </x:c>
    </x:row>
    <x:row r="50">
      <x:c r="A50" s="83" t="str">
        <x:v>INT-046</x:v>
      </x:c>
      <x:c r="B50" s="83" t="str">
        <x:v>Renewables</x:v>
      </x:c>
      <x:c r="C50" s="83" t="str">
        <x:v>Solar utility Italy</x:v>
      </x:c>
      <x:c r="D50" s="83" t="str">
        <x:v>LCOE, less favourable sites</x:v>
      </x:c>
      <x:c r="E50" s="83" t="n">
        <x:v>2024</x:v>
      </x:c>
      <x:c r="F50" s="83" t="str"/>
      <x:c r="G50" s="279" t="n">
        <x:v>85</x:v>
      </x:c>
      <x:c r="H50" s="279"/>
      <x:c r="I50" s="279" t="n">
        <x:v>95</x:v>
      </x:c>
      <x:c r="J50" s="83" t="str">
        <x:v>EUR/MWh</x:v>
      </x:c>
      <x:c r="K50" s="83" t="str">
        <x:v>As reported by source</x:v>
      </x:c>
      <x:c r="L50" s="83" t="str">
        <x:v>A — Direct</x:v>
      </x:c>
      <x:c r="M50" s="83" t="str">
        <x:v>Context only</x:v>
      </x:c>
      <x:c r="N50" s="83" t="str">
        <x:v>S07</x:v>
      </x:c>
      <x:c r="O50" s="83" t="str">
        <x:v>Terna Prospettive Sviluppo Sistema Energetico 2050.pdf</x:v>
      </x:c>
      <x:c r="P50" s="83" t="str">
        <x:v>36–45</x:v>
      </x:c>
      <x:c r="Q50" s="83" t="str">
        <x:v>34–43</x:v>
      </x:c>
      <x:c r="R50" s="83" t="str">
        <x:v>Text accompanying Figure 32</x:v>
      </x:c>
      <x:c r="S50" s="83" t="str">
        <x:v>Direct transcription</x:v>
      </x:c>
      <x:c r="T50" s="83" t="str">
        <x:v>A — Direct</x:v>
      </x:c>
      <x:c r="U50" s="83" t="str">
        <x:v>Generator</x:v>
      </x:c>
      <x:c r="V50" s="83" t="str">
        <x:v>context / p_max_pu QA</x:v>
      </x:c>
      <x:c r="W50" s="83" t="str">
        <x:v>Context / validation</x:v>
      </x:c>
      <x:c r="X50" s="83" t="str">
        <x:v>Project economics, not marginal cost.</x:v>
      </x:c>
    </x:row>
    <x:row r="51">
      <x:c r="A51" s="83" t="str">
        <x:v>INT-047</x:v>
      </x:c>
      <x:c r="B51" s="83" t="str">
        <x:v>Renewables</x:v>
      </x:c>
      <x:c r="C51" s="83" t="str">
        <x:v>Solar rooftop Italy</x:v>
      </x:c>
      <x:c r="D51" s="83" t="str">
        <x:v>LCOE residential</x:v>
      </x:c>
      <x:c r="E51" s="83" t="n">
        <x:v>2024</x:v>
      </x:c>
      <x:c r="F51" s="83" t="str"/>
      <x:c r="G51" s="279"/>
      <x:c r="H51" s="279" t="n">
        <x:v>200</x:v>
      </x:c>
      <x:c r="I51" s="279"/>
      <x:c r="J51" s="83" t="str">
        <x:v>EUR/MWh</x:v>
      </x:c>
      <x:c r="K51" s="83" t="str">
        <x:v>As reported by source</x:v>
      </x:c>
      <x:c r="L51" s="83" t="str">
        <x:v>A — Direct</x:v>
      </x:c>
      <x:c r="M51" s="83" t="str">
        <x:v>Context only</x:v>
      </x:c>
      <x:c r="N51" s="83" t="str">
        <x:v>S07</x:v>
      </x:c>
      <x:c r="O51" s="83" t="str">
        <x:v>Terna Prospettive Sviluppo Sistema Energetico 2050.pdf</x:v>
      </x:c>
      <x:c r="P51" s="83" t="str">
        <x:v>36–45</x:v>
      </x:c>
      <x:c r="Q51" s="83" t="str">
        <x:v>34–43</x:v>
      </x:c>
      <x:c r="R51" s="83" t="str">
        <x:v>Text accompanying Figure 32</x:v>
      </x:c>
      <x:c r="S51" s="83" t="str">
        <x:v>Direct transcription</x:v>
      </x:c>
      <x:c r="T51" s="83" t="str">
        <x:v>A — Direct</x:v>
      </x:c>
      <x:c r="U51" s="83" t="str">
        <x:v>Generator</x:v>
      </x:c>
      <x:c r="V51" s="83" t="str">
        <x:v>context / p_max_pu QA</x:v>
      </x:c>
      <x:c r="W51" s="83" t="str">
        <x:v>Context / validation</x:v>
      </x:c>
      <x:c r="X51" s="83" t="str">
        <x:v>Reported as above 200 EUR/MWh.</x:v>
      </x:c>
    </x:row>
    <x:row r="52">
      <x:c r="A52" s="83" t="str">
        <x:v>INT-048</x:v>
      </x:c>
      <x:c r="B52" s="83" t="str">
        <x:v>Renewables</x:v>
      </x:c>
      <x:c r="C52" s="83" t="str">
        <x:v>Solar module</x:v>
      </x:c>
      <x:c r="D52" s="83" t="str">
        <x:v>Monocrystalline panel efficiency</x:v>
      </x:c>
      <x:c r="E52" s="83" t="n">
        <x:v>2024</x:v>
      </x:c>
      <x:c r="F52" s="83" t="str"/>
      <x:c r="G52" s="279"/>
      <x:c r="H52" s="279" t="n">
        <x:v>0.227</x:v>
      </x:c>
      <x:c r="I52" s="279"/>
      <x:c r="J52" s="83" t="str">
        <x:v>p.u.</x:v>
      </x:c>
      <x:c r="K52" s="83" t="str">
        <x:v>As reported by source</x:v>
      </x:c>
      <x:c r="L52" s="83" t="str">
        <x:v>A — Direct</x:v>
      </x:c>
      <x:c r="M52" s="83" t="str">
        <x:v>Context only</x:v>
      </x:c>
      <x:c r="N52" s="83" t="str">
        <x:v>S07</x:v>
      </x:c>
      <x:c r="O52" s="83" t="str">
        <x:v>Terna Prospettive Sviluppo Sistema Energetico 2050.pdf</x:v>
      </x:c>
      <x:c r="P52" s="83" t="str">
        <x:v>36–45</x:v>
      </x:c>
      <x:c r="Q52" s="83" t="str">
        <x:v>34–43</x:v>
      </x:c>
      <x:c r="R52" s="83" t="str">
        <x:v>Figure 31</x:v>
      </x:c>
      <x:c r="S52" s="83" t="str">
        <x:v>Direct transcription</x:v>
      </x:c>
      <x:c r="T52" s="83" t="str">
        <x:v>A — Direct</x:v>
      </x:c>
      <x:c r="U52" s="83" t="str">
        <x:v>Generator</x:v>
      </x:c>
      <x:c r="V52" s="83" t="str">
        <x:v>context / p_max_pu QA</x:v>
      </x:c>
      <x:c r="W52" s="83" t="str">
        <x:v>Context / validation</x:v>
      </x:c>
      <x:c r="X52" s="83" t="str">
        <x:v>Panel efficiency is not Generator.efficiency in PyPSA.</x:v>
      </x:c>
    </x:row>
    <x:row r="53">
      <x:c r="A53" s="83" t="str">
        <x:v>INT-049</x:v>
      </x:c>
      <x:c r="B53" s="83" t="str">
        <x:v>Renewables</x:v>
      </x:c>
      <x:c r="C53" s="83" t="str">
        <x:v>Onshore wind</x:v>
      </x:c>
      <x:c r="D53" s="83" t="str">
        <x:v>Installed cost, global 2024</x:v>
      </x:c>
      <x:c r="E53" s="83" t="n">
        <x:v>2024</x:v>
      </x:c>
      <x:c r="F53" s="83" t="str"/>
      <x:c r="G53" s="279"/>
      <x:c r="H53" s="279" t="n">
        <x:v>1041</x:v>
      </x:c>
      <x:c r="I53" s="279"/>
      <x:c r="J53" s="83" t="str">
        <x:v>USD2024/kW</x:v>
      </x:c>
      <x:c r="K53" s="83" t="str">
        <x:v>As reported by source</x:v>
      </x:c>
      <x:c r="L53" s="83" t="str">
        <x:v>A — Direct</x:v>
      </x:c>
      <x:c r="M53" s="83" t="str">
        <x:v>Context only</x:v>
      </x:c>
      <x:c r="N53" s="83" t="str">
        <x:v>S07</x:v>
      </x:c>
      <x:c r="O53" s="83" t="str">
        <x:v>Terna Prospettive Sviluppo Sistema Energetico 2050.pdf</x:v>
      </x:c>
      <x:c r="P53" s="83" t="str">
        <x:v>36–45</x:v>
      </x:c>
      <x:c r="Q53" s="83" t="str">
        <x:v>34–43</x:v>
      </x:c>
      <x:c r="R53" s="83" t="str">
        <x:v>Figure 34</x:v>
      </x:c>
      <x:c r="S53" s="83" t="str">
        <x:v>Direct transcription</x:v>
      </x:c>
      <x:c r="T53" s="83" t="str">
        <x:v>A — Direct</x:v>
      </x:c>
      <x:c r="U53" s="83" t="str">
        <x:v>Generator</x:v>
      </x:c>
      <x:c r="V53" s="83" t="str">
        <x:v>context / p_max_pu QA</x:v>
      </x:c>
      <x:c r="W53" s="83" t="str">
        <x:v>Context / validation</x:v>
      </x:c>
      <x:c r="X53" s="83" t="str">
        <x:v>IRENA global average.</x:v>
      </x:c>
    </x:row>
    <x:row r="54">
      <x:c r="A54" s="83" t="str">
        <x:v>INT-050</x:v>
      </x:c>
      <x:c r="B54" s="83" t="str">
        <x:v>Renewables</x:v>
      </x:c>
      <x:c r="C54" s="83" t="str">
        <x:v>Onshore wind</x:v>
      </x:c>
      <x:c r="D54" s="83" t="str">
        <x:v>Capacity factor, global 2024</x:v>
      </x:c>
      <x:c r="E54" s="83" t="n">
        <x:v>2024</x:v>
      </x:c>
      <x:c r="F54" s="83" t="str"/>
      <x:c r="G54" s="279"/>
      <x:c r="H54" s="279" t="n">
        <x:v>0.36</x:v>
      </x:c>
      <x:c r="I54" s="279"/>
      <x:c r="J54" s="83" t="str">
        <x:v>p.u.</x:v>
      </x:c>
      <x:c r="K54" s="83" t="str">
        <x:v>As reported by source</x:v>
      </x:c>
      <x:c r="L54" s="83" t="str">
        <x:v>A — Direct</x:v>
      </x:c>
      <x:c r="M54" s="83" t="str">
        <x:v>QA / context</x:v>
      </x:c>
      <x:c r="N54" s="83" t="str">
        <x:v>S07</x:v>
      </x:c>
      <x:c r="O54" s="83" t="str">
        <x:v>Terna Prospettive Sviluppo Sistema Energetico 2050.pdf</x:v>
      </x:c>
      <x:c r="P54" s="83" t="str">
        <x:v>36–45</x:v>
      </x:c>
      <x:c r="Q54" s="83" t="str">
        <x:v>34–43</x:v>
      </x:c>
      <x:c r="R54" s="83" t="str">
        <x:v>Figure 34</x:v>
      </x:c>
      <x:c r="S54" s="83" t="str">
        <x:v>Direct transcription</x:v>
      </x:c>
      <x:c r="T54" s="83" t="str">
        <x:v>A — Direct</x:v>
      </x:c>
      <x:c r="U54" s="83" t="str">
        <x:v>Generator</x:v>
      </x:c>
      <x:c r="V54" s="83" t="str">
        <x:v>context / p_max_pu QA</x:v>
      </x:c>
      <x:c r="W54" s="83" t="str">
        <x:v>Context / validation</x:v>
      </x:c>
      <x:c r="X54" s="83" t="str">
        <x:v>Not an Italian hourly profile.</x:v>
      </x:c>
    </x:row>
    <x:row r="55">
      <x:c r="A55" s="83" t="str">
        <x:v>INT-051</x:v>
      </x:c>
      <x:c r="B55" s="83" t="str">
        <x:v>Renewables</x:v>
      </x:c>
      <x:c r="C55" s="83" t="str">
        <x:v>Onshore wind</x:v>
      </x:c>
      <x:c r="D55" s="83" t="str">
        <x:v>LCOE, global 2024</x:v>
      </x:c>
      <x:c r="E55" s="83" t="n">
        <x:v>2024</x:v>
      </x:c>
      <x:c r="F55" s="83" t="str"/>
      <x:c r="G55" s="279"/>
      <x:c r="H55" s="279" t="n">
        <x:v>33</x:v>
      </x:c>
      <x:c r="I55" s="279"/>
      <x:c r="J55" s="83" t="str">
        <x:v>USD2024/MWh</x:v>
      </x:c>
      <x:c r="K55" s="83" t="str">
        <x:v>As reported by source</x:v>
      </x:c>
      <x:c r="L55" s="83" t="str">
        <x:v>A — Direct</x:v>
      </x:c>
      <x:c r="M55" s="83" t="str">
        <x:v>Context only</x:v>
      </x:c>
      <x:c r="N55" s="83" t="str">
        <x:v>S07</x:v>
      </x:c>
      <x:c r="O55" s="83" t="str">
        <x:v>Terna Prospettive Sviluppo Sistema Energetico 2050.pdf</x:v>
      </x:c>
      <x:c r="P55" s="83" t="str">
        <x:v>36–45</x:v>
      </x:c>
      <x:c r="Q55" s="83" t="str">
        <x:v>34–43</x:v>
      </x:c>
      <x:c r="R55" s="83" t="str">
        <x:v>Figure 34</x:v>
      </x:c>
      <x:c r="S55" s="83" t="str">
        <x:v>Direct transcription</x:v>
      </x:c>
      <x:c r="T55" s="83" t="str">
        <x:v>A — Direct</x:v>
      </x:c>
      <x:c r="U55" s="83" t="str">
        <x:v>Generator</x:v>
      </x:c>
      <x:c r="V55" s="83" t="str">
        <x:v>context / p_max_pu QA</x:v>
      </x:c>
      <x:c r="W55" s="83" t="str">
        <x:v>Context / validation</x:v>
      </x:c>
      <x:c r="X55" s="83" t="str">
        <x:v>IRENA global average.</x:v>
      </x:c>
    </x:row>
    <x:row r="56">
      <x:c r="A56" s="83" t="str">
        <x:v>INT-052</x:v>
      </x:c>
      <x:c r="B56" s="83" t="str">
        <x:v>Renewables</x:v>
      </x:c>
      <x:c r="C56" s="83" t="str">
        <x:v>Onshore wind Italy</x:v>
      </x:c>
      <x:c r="D56" s="83" t="str">
        <x:v>LCOE, national 2024</x:v>
      </x:c>
      <x:c r="E56" s="83" t="n">
        <x:v>2024</x:v>
      </x:c>
      <x:c r="F56" s="83" t="str"/>
      <x:c r="G56" s="279"/>
      <x:c r="H56" s="279" t="n">
        <x:v>56</x:v>
      </x:c>
      <x:c r="I56" s="279"/>
      <x:c r="J56" s="83" t="str">
        <x:v>USD2024/MWh</x:v>
      </x:c>
      <x:c r="K56" s="83" t="str">
        <x:v>As reported by source</x:v>
      </x:c>
      <x:c r="L56" s="83" t="str">
        <x:v>A — Direct</x:v>
      </x:c>
      <x:c r="M56" s="83" t="str">
        <x:v>Context only</x:v>
      </x:c>
      <x:c r="N56" s="83" t="str">
        <x:v>S07</x:v>
      </x:c>
      <x:c r="O56" s="83" t="str">
        <x:v>Terna Prospettive Sviluppo Sistema Energetico 2050.pdf</x:v>
      </x:c>
      <x:c r="P56" s="83" t="str">
        <x:v>36–45</x:v>
      </x:c>
      <x:c r="Q56" s="83" t="str">
        <x:v>34–43</x:v>
      </x:c>
      <x:c r="R56" s="83" t="str">
        <x:v>Figure 35</x:v>
      </x:c>
      <x:c r="S56" s="83" t="str">
        <x:v>Direct transcription</x:v>
      </x:c>
      <x:c r="T56" s="83" t="str">
        <x:v>A — Direct</x:v>
      </x:c>
      <x:c r="U56" s="83" t="str">
        <x:v>Generator</x:v>
      </x:c>
      <x:c r="V56" s="83" t="str">
        <x:v>context / p_max_pu QA</x:v>
      </x:c>
      <x:c r="W56" s="83" t="str">
        <x:v>Context / validation</x:v>
      </x:c>
      <x:c r="X56" s="83" t="str">
        <x:v>National benchmark.</x:v>
      </x:c>
    </x:row>
    <x:row r="57">
      <x:c r="A57" s="83" t="str">
        <x:v>INT-053</x:v>
      </x:c>
      <x:c r="B57" s="83" t="str">
        <x:v>Renewables</x:v>
      </x:c>
      <x:c r="C57" s="83" t="str">
        <x:v>Onshore wind Italy</x:v>
      </x:c>
      <x:c r="D57" s="83" t="str">
        <x:v>CAPEX</x:v>
      </x:c>
      <x:c r="E57" s="83" t="n">
        <x:v>2024</x:v>
      </x:c>
      <x:c r="F57" s="83" t="str"/>
      <x:c r="G57" s="279" t="n">
        <x:v>1500</x:v>
      </x:c>
      <x:c r="H57" s="279"/>
      <x:c r="I57" s="279" t="n">
        <x:v>1700</x:v>
      </x:c>
      <x:c r="J57" s="83" t="str">
        <x:v>EUR/kW</x:v>
      </x:c>
      <x:c r="K57" s="83" t="str">
        <x:v>As reported by source</x:v>
      </x:c>
      <x:c r="L57" s="83" t="str">
        <x:v>A — Direct</x:v>
      </x:c>
      <x:c r="M57" s="83" t="str">
        <x:v>Context only</x:v>
      </x:c>
      <x:c r="N57" s="83" t="str">
        <x:v>S07</x:v>
      </x:c>
      <x:c r="O57" s="83" t="str">
        <x:v>Terna Prospettive Sviluppo Sistema Energetico 2050.pdf</x:v>
      </x:c>
      <x:c r="P57" s="83" t="str">
        <x:v>36–45</x:v>
      </x:c>
      <x:c r="Q57" s="83" t="str">
        <x:v>34–43</x:v>
      </x:c>
      <x:c r="R57" s="83" t="str">
        <x:v>Text accompanying Figure 35</x:v>
      </x:c>
      <x:c r="S57" s="83" t="str">
        <x:v>Direct transcription</x:v>
      </x:c>
      <x:c r="T57" s="83" t="str">
        <x:v>A — Direct</x:v>
      </x:c>
      <x:c r="U57" s="83" t="str">
        <x:v>Generator</x:v>
      </x:c>
      <x:c r="V57" s="83" t="str">
        <x:v>context / p_max_pu QA</x:v>
      </x:c>
      <x:c r="W57" s="83" t="str">
        <x:v>Context / validation</x:v>
      </x:c>
      <x:c r="X57" s="83" t="str">
        <x:v>Project-specific range.</x:v>
      </x:c>
    </x:row>
    <x:row r="58">
      <x:c r="A58" s="83" t="str">
        <x:v>INT-054</x:v>
      </x:c>
      <x:c r="B58" s="83" t="str">
        <x:v>Renewables</x:v>
      </x:c>
      <x:c r="C58" s="83" t="str">
        <x:v>Onshore wind Italy</x:v>
      </x:c>
      <x:c r="D58" s="83" t="str">
        <x:v>LCOE at 2,500 equivalent h</x:v>
      </x:c>
      <x:c r="E58" s="83" t="n">
        <x:v>2024</x:v>
      </x:c>
      <x:c r="F58" s="83" t="str"/>
      <x:c r="G58" s="279" t="n">
        <x:v>70</x:v>
      </x:c>
      <x:c r="H58" s="279"/>
      <x:c r="I58" s="279" t="n">
        <x:v>80</x:v>
      </x:c>
      <x:c r="J58" s="83" t="str">
        <x:v>EUR/MWh</x:v>
      </x:c>
      <x:c r="K58" s="83" t="str">
        <x:v>As reported by source</x:v>
      </x:c>
      <x:c r="L58" s="83" t="str">
        <x:v>A — Direct</x:v>
      </x:c>
      <x:c r="M58" s="83" t="str">
        <x:v>Context only</x:v>
      </x:c>
      <x:c r="N58" s="83" t="str">
        <x:v>S07</x:v>
      </x:c>
      <x:c r="O58" s="83" t="str">
        <x:v>Terna Prospettive Sviluppo Sistema Energetico 2050.pdf</x:v>
      </x:c>
      <x:c r="P58" s="83" t="str">
        <x:v>36–45</x:v>
      </x:c>
      <x:c r="Q58" s="83" t="str">
        <x:v>34–43</x:v>
      </x:c>
      <x:c r="R58" s="83" t="str">
        <x:v>Text accompanying Figure 35</x:v>
      </x:c>
      <x:c r="S58" s="83" t="str">
        <x:v>Direct transcription</x:v>
      </x:c>
      <x:c r="T58" s="83" t="str">
        <x:v>A — Direct</x:v>
      </x:c>
      <x:c r="U58" s="83" t="str">
        <x:v>Generator</x:v>
      </x:c>
      <x:c r="V58" s="83" t="str">
        <x:v>context / p_max_pu QA</x:v>
      </x:c>
      <x:c r="W58" s="83" t="str">
        <x:v>Context / validation</x:v>
      </x:c>
      <x:c r="X58" s="83" t="str">
        <x:v>Project economics.</x:v>
      </x:c>
    </x:row>
    <x:row r="59">
      <x:c r="A59" s="83" t="str">
        <x:v>INT-055</x:v>
      </x:c>
      <x:c r="B59" s="83" t="str">
        <x:v>Renewables</x:v>
      </x:c>
      <x:c r="C59" s="83" t="str">
        <x:v>Onshore wind Italy</x:v>
      </x:c>
      <x:c r="D59" s="83" t="str">
        <x:v>LCOE at 2,000 equivalent h</x:v>
      </x:c>
      <x:c r="E59" s="83" t="n">
        <x:v>2024</x:v>
      </x:c>
      <x:c r="F59" s="83" t="str"/>
      <x:c r="G59" s="279" t="n">
        <x:v>85</x:v>
      </x:c>
      <x:c r="H59" s="279"/>
      <x:c r="I59" s="279" t="n">
        <x:v>95</x:v>
      </x:c>
      <x:c r="J59" s="83" t="str">
        <x:v>EUR/MWh</x:v>
      </x:c>
      <x:c r="K59" s="83" t="str">
        <x:v>As reported by source</x:v>
      </x:c>
      <x:c r="L59" s="83" t="str">
        <x:v>A — Direct</x:v>
      </x:c>
      <x:c r="M59" s="83" t="str">
        <x:v>Context only</x:v>
      </x:c>
      <x:c r="N59" s="83" t="str">
        <x:v>S07</x:v>
      </x:c>
      <x:c r="O59" s="83" t="str">
        <x:v>Terna Prospettive Sviluppo Sistema Energetico 2050.pdf</x:v>
      </x:c>
      <x:c r="P59" s="83" t="str">
        <x:v>36–45</x:v>
      </x:c>
      <x:c r="Q59" s="83" t="str">
        <x:v>34–43</x:v>
      </x:c>
      <x:c r="R59" s="83" t="str">
        <x:v>Text accompanying Figure 35</x:v>
      </x:c>
      <x:c r="S59" s="83" t="str">
        <x:v>Direct transcription</x:v>
      </x:c>
      <x:c r="T59" s="83" t="str">
        <x:v>A — Direct</x:v>
      </x:c>
      <x:c r="U59" s="83" t="str">
        <x:v>Generator</x:v>
      </x:c>
      <x:c r="V59" s="83" t="str">
        <x:v>context / p_max_pu QA</x:v>
      </x:c>
      <x:c r="W59" s="83" t="str">
        <x:v>Context / validation</x:v>
      </x:c>
      <x:c r="X59" s="83" t="str">
        <x:v>Project economics.</x:v>
      </x:c>
    </x:row>
    <x:row r="60">
      <x:c r="A60" s="83" t="str">
        <x:v>INT-056</x:v>
      </x:c>
      <x:c r="B60" s="83" t="str">
        <x:v>Renewables</x:v>
      </x:c>
      <x:c r="C60" s="83" t="str">
        <x:v>Offshore wind fixed Italy</x:v>
      </x:c>
      <x:c r="D60" s="83" t="str">
        <x:v>LCOE</x:v>
      </x:c>
      <x:c r="E60" s="83" t="n">
        <x:v>2025</x:v>
      </x:c>
      <x:c r="F60" s="83" t="str"/>
      <x:c r="G60" s="279" t="n">
        <x:v>105</x:v>
      </x:c>
      <x:c r="H60" s="279"/>
      <x:c r="I60" s="279" t="n">
        <x:v>130</x:v>
      </x:c>
      <x:c r="J60" s="83" t="str">
        <x:v>EUR/MWh</x:v>
      </x:c>
      <x:c r="K60" s="83" t="str">
        <x:v>As reported by source</x:v>
      </x:c>
      <x:c r="L60" s="83" t="str">
        <x:v>A — Direct</x:v>
      </x:c>
      <x:c r="M60" s="83" t="str">
        <x:v>Context only</x:v>
      </x:c>
      <x:c r="N60" s="83" t="str">
        <x:v>S07</x:v>
      </x:c>
      <x:c r="O60" s="83" t="str">
        <x:v>Terna Prospettive Sviluppo Sistema Energetico 2050.pdf</x:v>
      </x:c>
      <x:c r="P60" s="83" t="str">
        <x:v>36–45</x:v>
      </x:c>
      <x:c r="Q60" s="83" t="str">
        <x:v>34–43</x:v>
      </x:c>
      <x:c r="R60" s="83" t="str">
        <x:v>Figure 37 / text</x:v>
      </x:c>
      <x:c r="S60" s="83" t="str">
        <x:v>Direct transcription</x:v>
      </x:c>
      <x:c r="T60" s="83" t="str">
        <x:v>A — Direct</x:v>
      </x:c>
      <x:c r="U60" s="83" t="str">
        <x:v>Generator</x:v>
      </x:c>
      <x:c r="V60" s="83" t="str">
        <x:v>context / p_max_pu QA</x:v>
      </x:c>
      <x:c r="W60" s="83" t="str">
        <x:v>Context / validation</x:v>
      </x:c>
      <x:c r="X60" s="83" t="str">
        <x:v>Technology economics.</x:v>
      </x:c>
    </x:row>
    <x:row r="61">
      <x:c r="A61" s="83" t="str">
        <x:v>INT-057</x:v>
      </x:c>
      <x:c r="B61" s="83" t="str">
        <x:v>Renewables</x:v>
      </x:c>
      <x:c r="C61" s="83" t="str">
        <x:v>Offshore wind floating Italy</x:v>
      </x:c>
      <x:c r="D61" s="83" t="str">
        <x:v>LCOE</x:v>
      </x:c>
      <x:c r="E61" s="83" t="n">
        <x:v>2025</x:v>
      </x:c>
      <x:c r="F61" s="83" t="str"/>
      <x:c r="G61" s="279" t="n">
        <x:v>135</x:v>
      </x:c>
      <x:c r="H61" s="279"/>
      <x:c r="I61" s="279" t="n">
        <x:v>170</x:v>
      </x:c>
      <x:c r="J61" s="83" t="str">
        <x:v>EUR/MWh</x:v>
      </x:c>
      <x:c r="K61" s="83" t="str">
        <x:v>As reported by source</x:v>
      </x:c>
      <x:c r="L61" s="83" t="str">
        <x:v>A — Direct</x:v>
      </x:c>
      <x:c r="M61" s="83" t="str">
        <x:v>Context only</x:v>
      </x:c>
      <x:c r="N61" s="83" t="str">
        <x:v>S07</x:v>
      </x:c>
      <x:c r="O61" s="83" t="str">
        <x:v>Terna Prospettive Sviluppo Sistema Energetico 2050.pdf</x:v>
      </x:c>
      <x:c r="P61" s="83" t="str">
        <x:v>36–45</x:v>
      </x:c>
      <x:c r="Q61" s="83" t="str">
        <x:v>34–43</x:v>
      </x:c>
      <x:c r="R61" s="83" t="str">
        <x:v>Figure 37 / text</x:v>
      </x:c>
      <x:c r="S61" s="83" t="str">
        <x:v>Direct transcription</x:v>
      </x:c>
      <x:c r="T61" s="83" t="str">
        <x:v>A — Direct</x:v>
      </x:c>
      <x:c r="U61" s="83" t="str">
        <x:v>Generator</x:v>
      </x:c>
      <x:c r="V61" s="83" t="str">
        <x:v>context / p_max_pu QA</x:v>
      </x:c>
      <x:c r="W61" s="83" t="str">
        <x:v>Context / validation</x:v>
      </x:c>
      <x:c r="X61" s="83" t="str">
        <x:v>Technology economics.</x:v>
      </x:c>
    </x:row>
    <x:row r="62">
      <x:c r="A62" s="83" t="str">
        <x:v>INT-058</x:v>
      </x:c>
      <x:c r="B62" s="83" t="str">
        <x:v>Renewables</x:v>
      </x:c>
      <x:c r="C62" s="83" t="str">
        <x:v>Offshore wind high-resource sites</x:v>
      </x:c>
      <x:c r="D62" s="83" t="str">
        <x:v>LCOE 2050</x:v>
      </x:c>
      <x:c r="E62" s="83" t="n">
        <x:v>2050</x:v>
      </x:c>
      <x:c r="F62" s="83" t="str"/>
      <x:c r="G62" s="279" t="n">
        <x:v>50</x:v>
      </x:c>
      <x:c r="H62" s="279"/>
      <x:c r="I62" s="279" t="n">
        <x:v>80</x:v>
      </x:c>
      <x:c r="J62" s="83" t="str">
        <x:v>EUR/MWh</x:v>
      </x:c>
      <x:c r="K62" s="83" t="str">
        <x:v>As reported by source</x:v>
      </x:c>
      <x:c r="L62" s="83" t="str">
        <x:v>A — Direct</x:v>
      </x:c>
      <x:c r="M62" s="83" t="str">
        <x:v>Context only</x:v>
      </x:c>
      <x:c r="N62" s="83" t="str">
        <x:v>S07</x:v>
      </x:c>
      <x:c r="O62" s="83" t="str">
        <x:v>Terna Prospettive Sviluppo Sistema Energetico 2050.pdf</x:v>
      </x:c>
      <x:c r="P62" s="83" t="str">
        <x:v>36–45</x:v>
      </x:c>
      <x:c r="Q62" s="83" t="str">
        <x:v>34–43</x:v>
      </x:c>
      <x:c r="R62" s="83" t="str">
        <x:v>Text</x:v>
      </x:c>
      <x:c r="S62" s="83" t="str">
        <x:v>Direct transcription</x:v>
      </x:c>
      <x:c r="T62" s="83" t="str">
        <x:v>A — Direct</x:v>
      </x:c>
      <x:c r="U62" s="83" t="str">
        <x:v>Generator</x:v>
      </x:c>
      <x:c r="V62" s="83" t="str">
        <x:v>context / p_max_pu QA</x:v>
      </x:c>
      <x:c r="W62" s="83" t="str">
        <x:v>Context / validation</x:v>
      </x:c>
      <x:c r="X62" s="83" t="str">
        <x:v>4,000–5,000 equivalent hours.</x:v>
      </x:c>
    </x:row>
    <x:row r="63">
      <x:c r="A63" s="83" t="str">
        <x:v>INT-059</x:v>
      </x:c>
      <x:c r="B63" s="83" t="str">
        <x:v>Storage</x:v>
      </x:c>
      <x:c r="C63" s="83" t="str">
        <x:v>Li-ion battery</x:v>
      </x:c>
      <x:c r="D63" s="83" t="str">
        <x:v>Round-trip efficiency</x:v>
      </x:c>
      <x:c r="E63" s="83" t="n">
        <x:v>2024</x:v>
      </x:c>
      <x:c r="F63" s="83" t="str"/>
      <x:c r="G63" s="279"/>
      <x:c r="H63" s="279" t="n">
        <x:v>0.9</x:v>
      </x:c>
      <x:c r="I63" s="279"/>
      <x:c r="J63" s="83" t="str">
        <x:v>p.u.</x:v>
      </x:c>
      <x:c r="K63" s="83" t="str">
        <x:v>As reported by source</x:v>
      </x:c>
      <x:c r="L63" s="83" t="str">
        <x:v>A — Direct</x:v>
      </x:c>
      <x:c r="M63" s="83" t="str">
        <x:v>Direct</x:v>
      </x:c>
      <x:c r="N63" s="83" t="str">
        <x:v>S07</x:v>
      </x:c>
      <x:c r="O63" s="83" t="str">
        <x:v>Terna Prospettive Sviluppo Sistema Energetico 2050.pdf</x:v>
      </x:c>
      <x:c r="P63" s="83" t="str">
        <x:v>44–49</x:v>
      </x:c>
      <x:c r="Q63" s="83" t="str">
        <x:v>42–47</x:v>
      </x:c>
      <x:c r="R63" s="83" t="str">
        <x:v>Figure 43 / text</x:v>
      </x:c>
      <x:c r="S63" s="83" t="str">
        <x:v>Direct transcription</x:v>
      </x:c>
      <x:c r="T63" s="83" t="str">
        <x:v>A — Direct</x:v>
      </x:c>
      <x:c r="U63" s="83" t="str">
        <x:v>Store + Links</x:v>
      </x:c>
      <x:c r="V63" s="83" t="str">
        <x:v>efficiency / standing_loss / context</x:v>
      </x:c>
      <x:c r="W63" s="83" t="str">
        <x:v>Candidate or context; not automatically adopted</x:v>
      </x:c>
      <x:c r="X63" s="83" t="str">
        <x:v>Up to 90%; technology benchmark.</x:v>
      </x:c>
    </x:row>
    <x:row r="64">
      <x:c r="A64" s="83" t="str">
        <x:v>INT-060</x:v>
      </x:c>
      <x:c r="B64" s="83" t="str">
        <x:v>Storage</x:v>
      </x:c>
      <x:c r="C64" s="83" t="str">
        <x:v>Electrical storage</x:v>
      </x:c>
      <x:c r="D64" s="83" t="str">
        <x:v>Minimum acceptable cycle efficiency</x:v>
      </x:c>
      <x:c r="E64" s="83" t="n">
        <x:v>2025</x:v>
      </x:c>
      <x:c r="F64" s="83" t="str"/>
      <x:c r="G64" s="279"/>
      <x:c r="H64" s="279" t="n">
        <x:v>0.7</x:v>
      </x:c>
      <x:c r="I64" s="279"/>
      <x:c r="J64" s="83" t="str">
        <x:v>p.u.</x:v>
      </x:c>
      <x:c r="K64" s="83" t="str">
        <x:v>As reported by source</x:v>
      </x:c>
      <x:c r="L64" s="83" t="str">
        <x:v>A — Direct</x:v>
      </x:c>
      <x:c r="M64" s="83" t="str">
        <x:v>Context</x:v>
      </x:c>
      <x:c r="N64" s="83" t="str">
        <x:v>S07</x:v>
      </x:c>
      <x:c r="O64" s="83" t="str">
        <x:v>Terna Prospettive Sviluppo Sistema Energetico 2050.pdf</x:v>
      </x:c>
      <x:c r="P64" s="83" t="str">
        <x:v>44–49</x:v>
      </x:c>
      <x:c r="Q64" s="83" t="str">
        <x:v>42–47</x:v>
      </x:c>
      <x:c r="R64" s="83" t="str">
        <x:v>Footnote 40</x:v>
      </x:c>
      <x:c r="S64" s="83" t="str">
        <x:v>Direct transcription</x:v>
      </x:c>
      <x:c r="T64" s="83" t="str">
        <x:v>A — Direct</x:v>
      </x:c>
      <x:c r="U64" s="83" t="str">
        <x:v>Store + Links</x:v>
      </x:c>
      <x:c r="V64" s="83" t="str">
        <x:v>efficiency / standing_loss / context</x:v>
      </x:c>
      <x:c r="W64" s="83" t="str">
        <x:v>Candidate or context; not automatically adopted</x:v>
      </x:c>
      <x:c r="X64" s="83" t="str">
        <x:v>Definition threshold, not a technology-specific input.</x:v>
      </x:c>
    </x:row>
    <x:row r="65">
      <x:c r="A65" s="83" t="str">
        <x:v>INT-061</x:v>
      </x:c>
      <x:c r="B65" s="83" t="str">
        <x:v>Storage</x:v>
      </x:c>
      <x:c r="C65" s="83" t="str">
        <x:v>Flow battery</x:v>
      </x:c>
      <x:c r="D65" s="83" t="str">
        <x:v>Round-trip efficiency</x:v>
      </x:c>
      <x:c r="E65" s="83" t="n">
        <x:v>2050</x:v>
      </x:c>
      <x:c r="F65" s="83" t="str"/>
      <x:c r="G65" s="279" t="n">
        <x:v>0.7</x:v>
      </x:c>
      <x:c r="H65" s="279"/>
      <x:c r="I65" s="279" t="n">
        <x:v>0.8</x:v>
      </x:c>
      <x:c r="J65" s="83" t="str">
        <x:v>p.u.</x:v>
      </x:c>
      <x:c r="K65" s="83" t="str">
        <x:v>As reported by source</x:v>
      </x:c>
      <x:c r="L65" s="83" t="str">
        <x:v>A — Direct</x:v>
      </x:c>
      <x:c r="M65" s="83" t="str">
        <x:v>Candidate / context</x:v>
      </x:c>
      <x:c r="N65" s="83" t="str">
        <x:v>S07</x:v>
      </x:c>
      <x:c r="O65" s="83" t="str">
        <x:v>Terna Prospettive Sviluppo Sistema Energetico 2050.pdf</x:v>
      </x:c>
      <x:c r="P65" s="83" t="str">
        <x:v>44–49</x:v>
      </x:c>
      <x:c r="Q65" s="83" t="str">
        <x:v>42–47</x:v>
      </x:c>
      <x:c r="R65" s="83" t="str">
        <x:v>Technology text</x:v>
      </x:c>
      <x:c r="S65" s="83" t="str">
        <x:v>Direct transcription</x:v>
      </x:c>
      <x:c r="T65" s="83" t="str">
        <x:v>A — Direct</x:v>
      </x:c>
      <x:c r="U65" s="83" t="str">
        <x:v>Store + Links</x:v>
      </x:c>
      <x:c r="V65" s="83" t="str">
        <x:v>efficiency / standing_loss / context</x:v>
      </x:c>
      <x:c r="W65" s="83" t="str">
        <x:v>Candidate or context; not automatically adopted</x:v>
      </x:c>
      <x:c r="X65" s="83" t="str">
        <x:v>Emerging technology range.</x:v>
      </x:c>
    </x:row>
    <x:row r="66">
      <x:c r="A66" s="83" t="str">
        <x:v>INT-062</x:v>
      </x:c>
      <x:c r="B66" s="83" t="str">
        <x:v>Storage</x:v>
      </x:c>
      <x:c r="C66" s="83" t="str">
        <x:v>Flow battery</x:v>
      </x:c>
      <x:c r="D66" s="83" t="str">
        <x:v>Useful life</x:v>
      </x:c>
      <x:c r="E66" s="83" t="n">
        <x:v>2050</x:v>
      </x:c>
      <x:c r="F66" s="83" t="str"/>
      <x:c r="G66" s="279"/>
      <x:c r="H66" s="279" t="n">
        <x:v>20</x:v>
      </x:c>
      <x:c r="I66" s="279"/>
      <x:c r="J66" s="83" t="str">
        <x:v>years</x:v>
      </x:c>
      <x:c r="K66" s="83" t="str">
        <x:v>As reported by source</x:v>
      </x:c>
      <x:c r="L66" s="83" t="str">
        <x:v>A — Direct</x:v>
      </x:c>
      <x:c r="M66" s="83" t="str">
        <x:v>Context</x:v>
      </x:c>
      <x:c r="N66" s="83" t="str">
        <x:v>S07</x:v>
      </x:c>
      <x:c r="O66" s="83" t="str">
        <x:v>Terna Prospettive Sviluppo Sistema Energetico 2050.pdf</x:v>
      </x:c>
      <x:c r="P66" s="83" t="str">
        <x:v>44–49</x:v>
      </x:c>
      <x:c r="Q66" s="83" t="str">
        <x:v>42–47</x:v>
      </x:c>
      <x:c r="R66" s="83" t="str">
        <x:v>Technology text</x:v>
      </x:c>
      <x:c r="S66" s="83" t="str">
        <x:v>Direct transcription</x:v>
      </x:c>
      <x:c r="T66" s="83" t="str">
        <x:v>A — Direct</x:v>
      </x:c>
      <x:c r="U66" s="83" t="str">
        <x:v>Store + Links</x:v>
      </x:c>
      <x:c r="V66" s="83" t="str">
        <x:v>efficiency / standing_loss / context</x:v>
      </x:c>
      <x:c r="W66" s="83" t="str">
        <x:v>Candidate or context; not automatically adopted</x:v>
      </x:c>
      <x:c r="X66" s="83" t="str">
        <x:v>Reported as above 20 years.</x:v>
      </x:c>
    </x:row>
    <x:row r="67">
      <x:c r="A67" s="83" t="str">
        <x:v>INT-063</x:v>
      </x:c>
      <x:c r="B67" s="83" t="str">
        <x:v>Storage</x:v>
      </x:c>
      <x:c r="C67" s="83" t="str">
        <x:v>Energy Dome</x:v>
      </x:c>
      <x:c r="D67" s="83" t="str">
        <x:v>Round-trip efficiency</x:v>
      </x:c>
      <x:c r="E67" s="83" t="n">
        <x:v>2050</x:v>
      </x:c>
      <x:c r="F67" s="83" t="str"/>
      <x:c r="G67" s="279"/>
      <x:c r="H67" s="279" t="n">
        <x:v>0.7</x:v>
      </x:c>
      <x:c r="I67" s="279"/>
      <x:c r="J67" s="83" t="str">
        <x:v>p.u.</x:v>
      </x:c>
      <x:c r="K67" s="83" t="str">
        <x:v>As reported by source</x:v>
      </x:c>
      <x:c r="L67" s="83" t="str">
        <x:v>A — Direct</x:v>
      </x:c>
      <x:c r="M67" s="83" t="str">
        <x:v>Candidate / context</x:v>
      </x:c>
      <x:c r="N67" s="83" t="str">
        <x:v>S07</x:v>
      </x:c>
      <x:c r="O67" s="83" t="str">
        <x:v>Terna Prospettive Sviluppo Sistema Energetico 2050.pdf</x:v>
      </x:c>
      <x:c r="P67" s="83" t="str">
        <x:v>44–49</x:v>
      </x:c>
      <x:c r="Q67" s="83" t="str">
        <x:v>42–47</x:v>
      </x:c>
      <x:c r="R67" s="83" t="str">
        <x:v>Technology text</x:v>
      </x:c>
      <x:c r="S67" s="83" t="str">
        <x:v>Direct transcription</x:v>
      </x:c>
      <x:c r="T67" s="83" t="str">
        <x:v>A — Direct</x:v>
      </x:c>
      <x:c r="U67" s="83" t="str">
        <x:v>Store + Links</x:v>
      </x:c>
      <x:c r="V67" s="83" t="str">
        <x:v>efficiency / standing_loss / context</x:v>
      </x:c>
      <x:c r="W67" s="83" t="str">
        <x:v>Candidate or context; not automatically adopted</x:v>
      </x:c>
      <x:c r="X67" s="83" t="str">
        <x:v>Reported as above 70%.</x:v>
      </x:c>
    </x:row>
    <x:row r="68">
      <x:c r="A68" s="83" t="str">
        <x:v>INT-064</x:v>
      </x:c>
      <x:c r="B68" s="83" t="str">
        <x:v>Storage</x:v>
      </x:c>
      <x:c r="C68" s="83" t="str">
        <x:v>Energy Dome</x:v>
      </x:c>
      <x:c r="D68" s="83" t="str">
        <x:v>Useful life</x:v>
      </x:c>
      <x:c r="E68" s="83" t="n">
        <x:v>2050</x:v>
      </x:c>
      <x:c r="F68" s="83" t="str"/>
      <x:c r="G68" s="279"/>
      <x:c r="H68" s="279" t="n">
        <x:v>25</x:v>
      </x:c>
      <x:c r="I68" s="279"/>
      <x:c r="J68" s="83" t="str">
        <x:v>years</x:v>
      </x:c>
      <x:c r="K68" s="83" t="str">
        <x:v>As reported by source</x:v>
      </x:c>
      <x:c r="L68" s="83" t="str">
        <x:v>A — Direct</x:v>
      </x:c>
      <x:c r="M68" s="83" t="str">
        <x:v>Context</x:v>
      </x:c>
      <x:c r="N68" s="83" t="str">
        <x:v>S07</x:v>
      </x:c>
      <x:c r="O68" s="83" t="str">
        <x:v>Terna Prospettive Sviluppo Sistema Energetico 2050.pdf</x:v>
      </x:c>
      <x:c r="P68" s="83" t="str">
        <x:v>44–49</x:v>
      </x:c>
      <x:c r="Q68" s="83" t="str">
        <x:v>42–47</x:v>
      </x:c>
      <x:c r="R68" s="83" t="str">
        <x:v>Technology text</x:v>
      </x:c>
      <x:c r="S68" s="83" t="str">
        <x:v>Direct transcription</x:v>
      </x:c>
      <x:c r="T68" s="83" t="str">
        <x:v>A — Direct</x:v>
      </x:c>
      <x:c r="U68" s="83" t="str">
        <x:v>Store + Links</x:v>
      </x:c>
      <x:c r="V68" s="83" t="str">
        <x:v>efficiency / standing_loss / context</x:v>
      </x:c>
      <x:c r="W68" s="83" t="str">
        <x:v>Candidate or context; not automatically adopted</x:v>
      </x:c>
      <x:c r="X68" s="83" t="str">
        <x:v>Reported as above 25 years.</x:v>
      </x:c>
    </x:row>
    <x:row r="69">
      <x:c r="A69" s="83" t="str">
        <x:v>INT-065</x:v>
      </x:c>
      <x:c r="B69" s="83" t="str">
        <x:v>Storage</x:v>
      </x:c>
      <x:c r="C69" s="83" t="str">
        <x:v>Energy Dome</x:v>
      </x:c>
      <x:c r="D69" s="83" t="str">
        <x:v>Duration</x:v>
      </x:c>
      <x:c r="E69" s="83" t="n">
        <x:v>2050</x:v>
      </x:c>
      <x:c r="F69" s="83" t="str"/>
      <x:c r="G69" s="279"/>
      <x:c r="H69" s="279" t="n">
        <x:v>10</x:v>
      </x:c>
      <x:c r="I69" s="279"/>
      <x:c r="J69" s="83" t="str">
        <x:v>h</x:v>
      </x:c>
      <x:c r="K69" s="83" t="str">
        <x:v>As reported by source</x:v>
      </x:c>
      <x:c r="L69" s="83" t="str">
        <x:v>A — Direct</x:v>
      </x:c>
      <x:c r="M69" s="83" t="str">
        <x:v>Candidate / context</x:v>
      </x:c>
      <x:c r="N69" s="83" t="str">
        <x:v>S07</x:v>
      </x:c>
      <x:c r="O69" s="83" t="str">
        <x:v>Terna Prospettive Sviluppo Sistema Energetico 2050.pdf</x:v>
      </x:c>
      <x:c r="P69" s="83" t="str">
        <x:v>44–49</x:v>
      </x:c>
      <x:c r="Q69" s="83" t="str">
        <x:v>42–47</x:v>
      </x:c>
      <x:c r="R69" s="83" t="str">
        <x:v>Technology text</x:v>
      </x:c>
      <x:c r="S69" s="83" t="str">
        <x:v>Direct transcription</x:v>
      </x:c>
      <x:c r="T69" s="83" t="str">
        <x:v>A — Direct</x:v>
      </x:c>
      <x:c r="U69" s="83" t="str">
        <x:v>Store + Links</x:v>
      </x:c>
      <x:c r="V69" s="83" t="str">
        <x:v>efficiency / standing_loss / context</x:v>
      </x:c>
      <x:c r="W69" s="83" t="str">
        <x:v>Candidate or context; not automatically adopted</x:v>
      </x:c>
      <x:c r="X69" s="83" t="str">
        <x:v>Pilot specification.</x:v>
      </x:c>
    </x:row>
    <x:row r="70">
      <x:c r="A70" s="83" t="str">
        <x:v>INT-066</x:v>
      </x:c>
      <x:c r="B70" s="83" t="str">
        <x:v>Storage</x:v>
      </x:c>
      <x:c r="C70" s="83" t="str">
        <x:v>Power-to-gas-to-power / heat-to-power</x:v>
      </x:c>
      <x:c r="D70" s="83" t="str">
        <x:v>Round-trip efficiency</x:v>
      </x:c>
      <x:c r="E70" s="83" t="n">
        <x:v>2050</x:v>
      </x:c>
      <x:c r="F70" s="83" t="str"/>
      <x:c r="G70" s="279" t="n">
        <x:v>0.2</x:v>
      </x:c>
      <x:c r="H70" s="279"/>
      <x:c r="I70" s="279" t="n">
        <x:v>0.4</x:v>
      </x:c>
      <x:c r="J70" s="83" t="str">
        <x:v>p.u.</x:v>
      </x:c>
      <x:c r="K70" s="83" t="str">
        <x:v>As reported by source</x:v>
      </x:c>
      <x:c r="L70" s="83" t="str">
        <x:v>A — Direct</x:v>
      </x:c>
      <x:c r="M70" s="83" t="str">
        <x:v>Candidate / context</x:v>
      </x:c>
      <x:c r="N70" s="83" t="str">
        <x:v>S07</x:v>
      </x:c>
      <x:c r="O70" s="83" t="str">
        <x:v>Terna Prospettive Sviluppo Sistema Energetico 2050.pdf</x:v>
      </x:c>
      <x:c r="P70" s="83" t="str">
        <x:v>44–49</x:v>
      </x:c>
      <x:c r="Q70" s="83" t="str">
        <x:v>42–47</x:v>
      </x:c>
      <x:c r="R70" s="83" t="str">
        <x:v>Figure 43 / text</x:v>
      </x:c>
      <x:c r="S70" s="83" t="str">
        <x:v>Direct transcription</x:v>
      </x:c>
      <x:c r="T70" s="83" t="str">
        <x:v>A — Direct</x:v>
      </x:c>
      <x:c r="U70" s="83" t="str">
        <x:v>Store + Links</x:v>
      </x:c>
      <x:c r="V70" s="83" t="str">
        <x:v>efficiency / standing_loss / context</x:v>
      </x:c>
      <x:c r="W70" s="83" t="str">
        <x:v>Candidate or context; not automatically adopted</x:v>
      </x:c>
      <x:c r="X70" s="83" t="str">
        <x:v>Broad technology class.</x:v>
      </x:c>
    </x:row>
    <x:row r="71">
      <x:c r="A71" s="83" t="str">
        <x:v>INT-067</x:v>
      </x:c>
      <x:c r="B71" s="83" t="str">
        <x:v>Storage</x:v>
      </x:c>
      <x:c r="C71" s="83" t="str">
        <x:v>Pumped hydro</x:v>
      </x:c>
      <x:c r="D71" s="83" t="str">
        <x:v>Useful life</x:v>
      </x:c>
      <x:c r="E71" s="83"/>
      <x:c r="F71" s="83" t="str"/>
      <x:c r="G71" s="279"/>
      <x:c r="H71" s="279" t="n">
        <x:v>60</x:v>
      </x:c>
      <x:c r="I71" s="279"/>
      <x:c r="J71" s="83" t="str">
        <x:v>years</x:v>
      </x:c>
      <x:c r="K71" s="83" t="str">
        <x:v>As reported by source</x:v>
      </x:c>
      <x:c r="L71" s="83" t="str">
        <x:v>A — Direct</x:v>
      </x:c>
      <x:c r="M71" s="83" t="str">
        <x:v>Context</x:v>
      </x:c>
      <x:c r="N71" s="83" t="str">
        <x:v>S07</x:v>
      </x:c>
      <x:c r="O71" s="83" t="str">
        <x:v>Terna Prospettive Sviluppo Sistema Energetico 2050.pdf</x:v>
      </x:c>
      <x:c r="P71" s="83" t="str">
        <x:v>44–49</x:v>
      </x:c>
      <x:c r="Q71" s="83" t="str">
        <x:v>42–47</x:v>
      </x:c>
      <x:c r="R71" s="83" t="str">
        <x:v>Technology text</x:v>
      </x:c>
      <x:c r="S71" s="83" t="str">
        <x:v>Direct transcription</x:v>
      </x:c>
      <x:c r="T71" s="83" t="str">
        <x:v>A — Direct</x:v>
      </x:c>
      <x:c r="U71" s="83" t="str">
        <x:v>Store + Links</x:v>
      </x:c>
      <x:c r="V71" s="83" t="str">
        <x:v>efficiency / standing_loss / context</x:v>
      </x:c>
      <x:c r="W71" s="83" t="str">
        <x:v>Candidate or context; not automatically adopted</x:v>
      </x:c>
      <x:c r="X71" s="83" t="str">
        <x:v>Can exceed 60 years.</x:v>
      </x:c>
    </x:row>
    <x:row r="72">
      <x:c r="A72" s="83" t="str">
        <x:v>INT-068</x:v>
      </x:c>
      <x:c r="B72" s="83" t="str">
        <x:v>Storage</x:v>
      </x:c>
      <x:c r="C72" s="83" t="str">
        <x:v>MACSE BESS</x:v>
      </x:c>
      <x:c r="D72" s="83" t="str">
        <x:v>Award price, first auction</x:v>
      </x:c>
      <x:c r="E72" s="83" t="n">
        <x:v>2028</x:v>
      </x:c>
      <x:c r="F72" s="83" t="str"/>
      <x:c r="G72" s="279"/>
      <x:c r="H72" s="279" t="n">
        <x:v>13000</x:v>
      </x:c>
      <x:c r="I72" s="279"/>
      <x:c r="J72" s="83" t="str">
        <x:v>EUR/MWh_energy/year</x:v>
      </x:c>
      <x:c r="K72" s="83" t="str">
        <x:v>As reported by source</x:v>
      </x:c>
      <x:c r="L72" s="83" t="str">
        <x:v>A — Direct</x:v>
      </x:c>
      <x:c r="M72" s="83" t="str">
        <x:v>Context only</x:v>
      </x:c>
      <x:c r="N72" s="83" t="str">
        <x:v>S07</x:v>
      </x:c>
      <x:c r="O72" s="83" t="str">
        <x:v>Terna Prospettive Sviluppo Sistema Energetico 2050.pdf</x:v>
      </x:c>
      <x:c r="P72" s="83" t="str">
        <x:v>44–49</x:v>
      </x:c>
      <x:c r="Q72" s="83" t="str">
        <x:v>42–47</x:v>
      </x:c>
      <x:c r="R72" s="83" t="str">
        <x:v>Auction discussion</x:v>
      </x:c>
      <x:c r="S72" s="83" t="str">
        <x:v>Direct transcription</x:v>
      </x:c>
      <x:c r="T72" s="83" t="str">
        <x:v>A — Direct</x:v>
      </x:c>
      <x:c r="U72" s="83" t="str">
        <x:v>Store + Links</x:v>
      </x:c>
      <x:c r="V72" s="83" t="str">
        <x:v>efficiency / standing_loss / context</x:v>
      </x:c>
      <x:c r="W72" s="83" t="str">
        <x:v>Candidate or context; not automatically adopted</x:v>
      </x:c>
      <x:c r="X72" s="83" t="str">
        <x:v>Weighted-average award price.</x:v>
      </x:c>
    </x:row>
    <x:row r="73">
      <x:c r="A73" s="83" t="str">
        <x:v>INT-069</x:v>
      </x:c>
      <x:c r="B73" s="83" t="str">
        <x:v>Storage</x:v>
      </x:c>
      <x:c r="C73" s="83" t="str">
        <x:v>MACSE BESS</x:v>
      </x:c>
      <x:c r="D73" s="83" t="str">
        <x:v>Implied project CAPEX</x:v>
      </x:c>
      <x:c r="E73" s="83" t="n">
        <x:v>2028</x:v>
      </x:c>
      <x:c r="F73" s="83" t="str"/>
      <x:c r="G73" s="279" t="n">
        <x:v>70</x:v>
      </x:c>
      <x:c r="H73" s="279"/>
      <x:c r="I73" s="279" t="n">
        <x:v>110</x:v>
      </x:c>
      <x:c r="J73" s="83" t="str">
        <x:v>EUR/kWh</x:v>
      </x:c>
      <x:c r="K73" s="83" t="str">
        <x:v>As reported by source</x:v>
      </x:c>
      <x:c r="L73" s="83" t="str">
        <x:v>A — Direct</x:v>
      </x:c>
      <x:c r="M73" s="83" t="str">
        <x:v>Context only</x:v>
      </x:c>
      <x:c r="N73" s="83" t="str">
        <x:v>S07</x:v>
      </x:c>
      <x:c r="O73" s="83" t="str">
        <x:v>Terna Prospettive Sviluppo Sistema Energetico 2050.pdf</x:v>
      </x:c>
      <x:c r="P73" s="83" t="str">
        <x:v>44–49</x:v>
      </x:c>
      <x:c r="Q73" s="83" t="str">
        <x:v>42–47</x:v>
      </x:c>
      <x:c r="R73" s="83" t="str">
        <x:v>Auction discussion</x:v>
      </x:c>
      <x:c r="S73" s="83" t="str">
        <x:v>Direct transcription</x:v>
      </x:c>
      <x:c r="T73" s="83" t="str">
        <x:v>A — Direct</x:v>
      </x:c>
      <x:c r="U73" s="83" t="str">
        <x:v>Store + Links</x:v>
      </x:c>
      <x:c r="V73" s="83" t="str">
        <x:v>efficiency / standing_loss / context</x:v>
      </x:c>
      <x:c r="W73" s="83" t="str">
        <x:v>Candidate or context; not automatically adopted</x:v>
      </x:c>
      <x:c r="X73" s="83" t="str">
        <x:v>Terna inference assuming 5–8% IRR.</x:v>
      </x:c>
    </x:row>
    <x:row r="74">
      <x:c r="A74" s="83" t="str">
        <x:v>INT-070</x:v>
      </x:c>
      <x:c r="B74" s="83" t="str">
        <x:v>Storage</x:v>
      </x:c>
      <x:c r="C74" s="83" t="str">
        <x:v>Battery 4h</x:v>
      </x:c>
      <x:c r="D74" s="83" t="str">
        <x:v>CAPEX index</x:v>
      </x:c>
      <x:c r="E74" s="83" t="n">
        <x:v>2022</x:v>
      </x:c>
      <x:c r="F74" s="83" t="str"/>
      <x:c r="G74" s="279"/>
      <x:c r="H74" s="279" t="n">
        <x:v>100</x:v>
      </x:c>
      <x:c r="I74" s="279"/>
      <x:c r="J74" s="83" t="str">
        <x:v>index 2022=100</x:v>
      </x:c>
      <x:c r="K74" s="83" t="str">
        <x:v>As reported by source</x:v>
      </x:c>
      <x:c r="L74" s="83" t="str">
        <x:v>A — Direct</x:v>
      </x:c>
      <x:c r="M74" s="83" t="str">
        <x:v>Context only</x:v>
      </x:c>
      <x:c r="N74" s="83" t="str">
        <x:v>S07</x:v>
      </x:c>
      <x:c r="O74" s="83" t="str">
        <x:v>Terna Prospettive Sviluppo Sistema Energetico 2050.pdf</x:v>
      </x:c>
      <x:c r="P74" s="83" t="str">
        <x:v>44–49</x:v>
      </x:c>
      <x:c r="Q74" s="83" t="str">
        <x:v>42–47</x:v>
      </x:c>
      <x:c r="R74" s="83" t="str">
        <x:v>Figure 42</x:v>
      </x:c>
      <x:c r="S74" s="83" t="str">
        <x:v>Direct transcription</x:v>
      </x:c>
      <x:c r="T74" s="83" t="str">
        <x:v>A — Direct</x:v>
      </x:c>
      <x:c r="U74" s="83" t="str">
        <x:v>Store + Links</x:v>
      </x:c>
      <x:c r="V74" s="83" t="str">
        <x:v>efficiency / standing_loss / context</x:v>
      </x:c>
      <x:c r="W74" s="83" t="str">
        <x:v>Candidate or context; not automatically adopted</x:v>
      </x:c>
      <x:c r="X74" s="83" t="str">
        <x:v>Relative cost trajectory.</x:v>
      </x:c>
    </x:row>
    <x:row r="75">
      <x:c r="A75" s="83" t="str">
        <x:v>INT-071</x:v>
      </x:c>
      <x:c r="B75" s="83" t="str">
        <x:v>Storage</x:v>
      </x:c>
      <x:c r="C75" s="83" t="str">
        <x:v>Battery 4h</x:v>
      </x:c>
      <x:c r="D75" s="83" t="str">
        <x:v>CAPEX index</x:v>
      </x:c>
      <x:c r="E75" s="83" t="n">
        <x:v>2023</x:v>
      </x:c>
      <x:c r="F75" s="83" t="str"/>
      <x:c r="G75" s="279"/>
      <x:c r="H75" s="279" t="n">
        <x:v>80</x:v>
      </x:c>
      <x:c r="I75" s="279"/>
      <x:c r="J75" s="83" t="str">
        <x:v>index 2022=100</x:v>
      </x:c>
      <x:c r="K75" s="83" t="str">
        <x:v>As reported by source</x:v>
      </x:c>
      <x:c r="L75" s="83" t="str">
        <x:v>A — Direct</x:v>
      </x:c>
      <x:c r="M75" s="83" t="str">
        <x:v>Context only</x:v>
      </x:c>
      <x:c r="N75" s="83" t="str">
        <x:v>S07</x:v>
      </x:c>
      <x:c r="O75" s="83" t="str">
        <x:v>Terna Prospettive Sviluppo Sistema Energetico 2050.pdf</x:v>
      </x:c>
      <x:c r="P75" s="83" t="str">
        <x:v>44–49</x:v>
      </x:c>
      <x:c r="Q75" s="83" t="str">
        <x:v>42–47</x:v>
      </x:c>
      <x:c r="R75" s="83" t="str">
        <x:v>Figure 42</x:v>
      </x:c>
      <x:c r="S75" s="83" t="str">
        <x:v>Direct transcription</x:v>
      </x:c>
      <x:c r="T75" s="83" t="str">
        <x:v>A — Direct</x:v>
      </x:c>
      <x:c r="U75" s="83" t="str">
        <x:v>Store + Links</x:v>
      </x:c>
      <x:c r="V75" s="83" t="str">
        <x:v>efficiency / standing_loss / context</x:v>
      </x:c>
      <x:c r="W75" s="83" t="str">
        <x:v>Candidate or context; not automatically adopted</x:v>
      </x:c>
      <x:c r="X75" s="83" t="str">
        <x:v>Relative cost trajectory.</x:v>
      </x:c>
    </x:row>
    <x:row r="76">
      <x:c r="A76" s="83" t="str">
        <x:v>INT-072</x:v>
      </x:c>
      <x:c r="B76" s="83" t="str">
        <x:v>Storage</x:v>
      </x:c>
      <x:c r="C76" s="83" t="str">
        <x:v>Battery 4h</x:v>
      </x:c>
      <x:c r="D76" s="83" t="str">
        <x:v>CAPEX index</x:v>
      </x:c>
      <x:c r="E76" s="83" t="n">
        <x:v>2024</x:v>
      </x:c>
      <x:c r="F76" s="83" t="str"/>
      <x:c r="G76" s="279"/>
      <x:c r="H76" s="279" t="n">
        <x:v>57</x:v>
      </x:c>
      <x:c r="I76" s="279"/>
      <x:c r="J76" s="83" t="str">
        <x:v>index 2022=100</x:v>
      </x:c>
      <x:c r="K76" s="83" t="str">
        <x:v>As reported by source</x:v>
      </x:c>
      <x:c r="L76" s="83" t="str">
        <x:v>A — Direct</x:v>
      </x:c>
      <x:c r="M76" s="83" t="str">
        <x:v>Context only</x:v>
      </x:c>
      <x:c r="N76" s="83" t="str">
        <x:v>S07</x:v>
      </x:c>
      <x:c r="O76" s="83" t="str">
        <x:v>Terna Prospettive Sviluppo Sistema Energetico 2050.pdf</x:v>
      </x:c>
      <x:c r="P76" s="83" t="str">
        <x:v>44–49</x:v>
      </x:c>
      <x:c r="Q76" s="83" t="str">
        <x:v>42–47</x:v>
      </x:c>
      <x:c r="R76" s="83" t="str">
        <x:v>Figure 42</x:v>
      </x:c>
      <x:c r="S76" s="83" t="str">
        <x:v>Direct transcription</x:v>
      </x:c>
      <x:c r="T76" s="83" t="str">
        <x:v>A — Direct</x:v>
      </x:c>
      <x:c r="U76" s="83" t="str">
        <x:v>Store + Links</x:v>
      </x:c>
      <x:c r="V76" s="83" t="str">
        <x:v>efficiency / standing_loss / context</x:v>
      </x:c>
      <x:c r="W76" s="83" t="str">
        <x:v>Candidate or context; not automatically adopted</x:v>
      </x:c>
      <x:c r="X76" s="83" t="str">
        <x:v>Relative cost trajectory.</x:v>
      </x:c>
    </x:row>
    <x:row r="77">
      <x:c r="A77" s="83" t="str">
        <x:v>INT-073</x:v>
      </x:c>
      <x:c r="B77" s="83" t="str">
        <x:v>Storage</x:v>
      </x:c>
      <x:c r="C77" s="83" t="str">
        <x:v>Battery 4h</x:v>
      </x:c>
      <x:c r="D77" s="83" t="str">
        <x:v>LCOS, daily cycle</x:v>
      </x:c>
      <x:c r="E77" s="83" t="n">
        <x:v>2050</x:v>
      </x:c>
      <x:c r="F77" s="83" t="str"/>
      <x:c r="G77" s="279"/>
      <x:c r="H77" s="279" t="n">
        <x:v>60</x:v>
      </x:c>
      <x:c r="I77" s="279"/>
      <x:c r="J77" s="83" t="str">
        <x:v>EUR/MWh_through_storage</x:v>
      </x:c>
      <x:c r="K77" s="83" t="str">
        <x:v>As reported by source</x:v>
      </x:c>
      <x:c r="L77" s="83" t="str">
        <x:v>A — Direct</x:v>
      </x:c>
      <x:c r="M77" s="83" t="str">
        <x:v>Context only</x:v>
      </x:c>
      <x:c r="N77" s="83" t="str">
        <x:v>S07</x:v>
      </x:c>
      <x:c r="O77" s="83" t="str">
        <x:v>Terna Prospettive Sviluppo Sistema Energetico 2050.pdf</x:v>
      </x:c>
      <x:c r="P77" s="83" t="str">
        <x:v>44–49</x:v>
      </x:c>
      <x:c r="Q77" s="83" t="str">
        <x:v>42–47</x:v>
      </x:c>
      <x:c r="R77" s="83" t="str">
        <x:v>Figure 44</x:v>
      </x:c>
      <x:c r="S77" s="83" t="str">
        <x:v>Direct transcription</x:v>
      </x:c>
      <x:c r="T77" s="83" t="str">
        <x:v>A — Direct</x:v>
      </x:c>
      <x:c r="U77" s="83" t="str">
        <x:v>Store + Links</x:v>
      </x:c>
      <x:c r="V77" s="83" t="str">
        <x:v>efficiency / standing_loss / context</x:v>
      </x:c>
      <x:c r="W77" s="83" t="str">
        <x:v>Candidate or context; not automatically adopted</x:v>
      </x:c>
      <x:c r="X77" s="83" t="str">
        <x:v>Excludes charging energy price.</x:v>
      </x:c>
    </x:row>
    <x:row r="78">
      <x:c r="A78" s="83" t="str">
        <x:v>INT-074</x:v>
      </x:c>
      <x:c r="B78" s="83" t="str">
        <x:v>Storage</x:v>
      </x:c>
      <x:c r="C78" s="83" t="str">
        <x:v>Battery 4h</x:v>
      </x:c>
      <x:c r="D78" s="83" t="str">
        <x:v>LCOS, weekly cycle</x:v>
      </x:c>
      <x:c r="E78" s="83" t="n">
        <x:v>2050</x:v>
      </x:c>
      <x:c r="F78" s="83" t="str"/>
      <x:c r="G78" s="279"/>
      <x:c r="H78" s="279" t="n">
        <x:v>400</x:v>
      </x:c>
      <x:c r="I78" s="279"/>
      <x:c r="J78" s="83" t="str">
        <x:v>EUR/MWh_through_storage</x:v>
      </x:c>
      <x:c r="K78" s="83" t="str">
        <x:v>As reported by source</x:v>
      </x:c>
      <x:c r="L78" s="83" t="str">
        <x:v>A — Direct</x:v>
      </x:c>
      <x:c r="M78" s="83" t="str">
        <x:v>Context only</x:v>
      </x:c>
      <x:c r="N78" s="83" t="str">
        <x:v>S07</x:v>
      </x:c>
      <x:c r="O78" s="83" t="str">
        <x:v>Terna Prospettive Sviluppo Sistema Energetico 2050.pdf</x:v>
      </x:c>
      <x:c r="P78" s="83" t="str">
        <x:v>44–49</x:v>
      </x:c>
      <x:c r="Q78" s="83" t="str">
        <x:v>42–47</x:v>
      </x:c>
      <x:c r="R78" s="83" t="str">
        <x:v>Figure 44</x:v>
      </x:c>
      <x:c r="S78" s="83" t="str">
        <x:v>Direct transcription</x:v>
      </x:c>
      <x:c r="T78" s="83" t="str">
        <x:v>A — Direct</x:v>
      </x:c>
      <x:c r="U78" s="83" t="str">
        <x:v>Store + Links</x:v>
      </x:c>
      <x:c r="V78" s="83" t="str">
        <x:v>efficiency / standing_loss / context</x:v>
      </x:c>
      <x:c r="W78" s="83" t="str">
        <x:v>Candidate or context; not automatically adopted</x:v>
      </x:c>
      <x:c r="X78" s="83" t="str">
        <x:v>Excludes charging energy price.</x:v>
      </x:c>
    </x:row>
    <x:row r="79">
      <x:c r="A79" s="83" t="str">
        <x:v>INT-075</x:v>
      </x:c>
      <x:c r="B79" s="83" t="str">
        <x:v>Storage</x:v>
      </x:c>
      <x:c r="C79" s="83" t="str">
        <x:v>Battery 4h</x:v>
      </x:c>
      <x:c r="D79" s="83" t="str">
        <x:v>LCOS, annual cycle</x:v>
      </x:c>
      <x:c r="E79" s="83" t="n">
        <x:v>2050</x:v>
      </x:c>
      <x:c r="F79" s="83" t="str"/>
      <x:c r="G79" s="279"/>
      <x:c r="H79" s="279" t="n">
        <x:v>21000</x:v>
      </x:c>
      <x:c r="I79" s="279"/>
      <x:c r="J79" s="83" t="str">
        <x:v>EUR/MWh_through_storage</x:v>
      </x:c>
      <x:c r="K79" s="83" t="str">
        <x:v>As reported by source</x:v>
      </x:c>
      <x:c r="L79" s="83" t="str">
        <x:v>A — Direct</x:v>
      </x:c>
      <x:c r="M79" s="83" t="str">
        <x:v>Context only</x:v>
      </x:c>
      <x:c r="N79" s="83" t="str">
        <x:v>S07</x:v>
      </x:c>
      <x:c r="O79" s="83" t="str">
        <x:v>Terna Prospettive Sviluppo Sistema Energetico 2050.pdf</x:v>
      </x:c>
      <x:c r="P79" s="83" t="str">
        <x:v>44–49</x:v>
      </x:c>
      <x:c r="Q79" s="83" t="str">
        <x:v>42–47</x:v>
      </x:c>
      <x:c r="R79" s="83" t="str">
        <x:v>Figure 44</x:v>
      </x:c>
      <x:c r="S79" s="83" t="str">
        <x:v>Direct transcription</x:v>
      </x:c>
      <x:c r="T79" s="83" t="str">
        <x:v>A — Direct</x:v>
      </x:c>
      <x:c r="U79" s="83" t="str">
        <x:v>Store + Links</x:v>
      </x:c>
      <x:c r="V79" s="83" t="str">
        <x:v>efficiency / standing_loss / context</x:v>
      </x:c>
      <x:c r="W79" s="83" t="str">
        <x:v>Candidate or context; not automatically adopted</x:v>
      </x:c>
      <x:c r="X79" s="83" t="str">
        <x:v>Seasonal limit case; excludes charging energy price.</x:v>
      </x:c>
    </x:row>
    <x:row r="80">
      <x:c r="A80" s="83" t="str">
        <x:v>INT-076</x:v>
      </x:c>
      <x:c r="B80" s="83" t="str">
        <x:v>Storage</x:v>
      </x:c>
      <x:c r="C80" s="83" t="str">
        <x:v>Battery 4h</x:v>
      </x:c>
      <x:c r="D80" s="83" t="str">
        <x:v>LCOS discount rate</x:v>
      </x:c>
      <x:c r="E80" s="83" t="n">
        <x:v>2050</x:v>
      </x:c>
      <x:c r="F80" s="83" t="str"/>
      <x:c r="G80" s="279"/>
      <x:c r="H80" s="279" t="n">
        <x:v>0.07</x:v>
      </x:c>
      <x:c r="I80" s="279"/>
      <x:c r="J80" s="83" t="str">
        <x:v>p.u.</x:v>
      </x:c>
      <x:c r="K80" s="83" t="str">
        <x:v>As reported by source</x:v>
      </x:c>
      <x:c r="L80" s="83" t="str">
        <x:v>A — Direct</x:v>
      </x:c>
      <x:c r="M80" s="83" t="str">
        <x:v>Context only</x:v>
      </x:c>
      <x:c r="N80" s="83" t="str">
        <x:v>S07</x:v>
      </x:c>
      <x:c r="O80" s="83" t="str">
        <x:v>Terna Prospettive Sviluppo Sistema Energetico 2050.pdf</x:v>
      </x:c>
      <x:c r="P80" s="83" t="str">
        <x:v>44–49</x:v>
      </x:c>
      <x:c r="Q80" s="83" t="str">
        <x:v>42–47</x:v>
      </x:c>
      <x:c r="R80" s="83" t="str">
        <x:v>Footnote 45</x:v>
      </x:c>
      <x:c r="S80" s="83" t="str">
        <x:v>Direct transcription</x:v>
      </x:c>
      <x:c r="T80" s="83" t="str">
        <x:v>A — Direct</x:v>
      </x:c>
      <x:c r="U80" s="83" t="str">
        <x:v>Store + Links</x:v>
      </x:c>
      <x:c r="V80" s="83" t="str">
        <x:v>efficiency / standing_loss / context</x:v>
      </x:c>
      <x:c r="W80" s="83" t="str">
        <x:v>Candidate or context; not automatically adopted</x:v>
      </x:c>
      <x:c r="X80" s="83" t="str">
        <x:v>Used for LCOS illustration.</x:v>
      </x:c>
    </x:row>
    <x:row r="81">
      <x:c r="A81" s="83" t="str">
        <x:v>INT-077</x:v>
      </x:c>
      <x:c r="B81" s="83" t="str">
        <x:v>Storage</x:v>
      </x:c>
      <x:c r="C81" s="83" t="str">
        <x:v>Battery 4h</x:v>
      </x:c>
      <x:c r="D81" s="83" t="str">
        <x:v>LCOS useful life</x:v>
      </x:c>
      <x:c r="E81" s="83" t="n">
        <x:v>2050</x:v>
      </x:c>
      <x:c r="F81" s="83" t="str"/>
      <x:c r="G81" s="279"/>
      <x:c r="H81" s="279" t="n">
        <x:v>15</x:v>
      </x:c>
      <x:c r="I81" s="279"/>
      <x:c r="J81" s="83" t="str">
        <x:v>years</x:v>
      </x:c>
      <x:c r="K81" s="83" t="str">
        <x:v>As reported by source</x:v>
      </x:c>
      <x:c r="L81" s="83" t="str">
        <x:v>A — Direct</x:v>
      </x:c>
      <x:c r="M81" s="83" t="str">
        <x:v>Context only</x:v>
      </x:c>
      <x:c r="N81" s="83" t="str">
        <x:v>S07</x:v>
      </x:c>
      <x:c r="O81" s="83" t="str">
        <x:v>Terna Prospettive Sviluppo Sistema Energetico 2050.pdf</x:v>
      </x:c>
      <x:c r="P81" s="83" t="str">
        <x:v>44–49</x:v>
      </x:c>
      <x:c r="Q81" s="83" t="str">
        <x:v>42–47</x:v>
      </x:c>
      <x:c r="R81" s="83" t="str">
        <x:v>Footnote 45</x:v>
      </x:c>
      <x:c r="S81" s="83" t="str">
        <x:v>Direct transcription</x:v>
      </x:c>
      <x:c r="T81" s="83" t="str">
        <x:v>A — Direct</x:v>
      </x:c>
      <x:c r="U81" s="83" t="str">
        <x:v>Store + Links</x:v>
      </x:c>
      <x:c r="V81" s="83" t="str">
        <x:v>efficiency / standing_loss / context</x:v>
      </x:c>
      <x:c r="W81" s="83" t="str">
        <x:v>Candidate or context; not automatically adopted</x:v>
      </x:c>
      <x:c r="X81" s="83" t="str">
        <x:v>Used for LCOS illustration.</x:v>
      </x:c>
    </x:row>
    <x:row r="82">
      <x:c r="A82" s="83" t="str">
        <x:v>INT-078</x:v>
      </x:c>
      <x:c r="B82" s="83" t="str">
        <x:v>Nuclear</x:v>
      </x:c>
      <x:c r="C82" s="83" t="str">
        <x:v>SMR / AMR</x:v>
      </x:c>
      <x:c r="D82" s="83" t="str">
        <x:v>Unit size</x:v>
      </x:c>
      <x:c r="E82" s="83" t="n">
        <x:v>2050</x:v>
      </x:c>
      <x:c r="F82" s="83" t="str"/>
      <x:c r="G82" s="279" t="n">
        <x:v>100</x:v>
      </x:c>
      <x:c r="H82" s="279"/>
      <x:c r="I82" s="279" t="n">
        <x:v>450</x:v>
      </x:c>
      <x:c r="J82" s="83" t="str">
        <x:v>MW_e</x:v>
      </x:c>
      <x:c r="K82" s="83" t="str">
        <x:v>As reported</x:v>
      </x:c>
      <x:c r="L82" s="83" t="str">
        <x:v>A — Direct</x:v>
      </x:c>
      <x:c r="M82" s="83" t="str">
        <x:v>Context / topology</x:v>
      </x:c>
      <x:c r="N82" s="83" t="str">
        <x:v>S07</x:v>
      </x:c>
      <x:c r="O82" s="83" t="str">
        <x:v>Terna Prospettive Sviluppo Sistema Energetico 2050.pdf</x:v>
      </x:c>
      <x:c r="P82" s="83" t="str">
        <x:v>41–43</x:v>
      </x:c>
      <x:c r="Q82" s="83" t="str">
        <x:v>39–41</x:v>
      </x:c>
      <x:c r="R82" s="83" t="str">
        <x:v>Technology text</x:v>
      </x:c>
      <x:c r="S82" s="83" t="str">
        <x:v>Direct transcription</x:v>
      </x:c>
      <x:c r="T82" s="83" t="str">
        <x:v>A — Direct</x:v>
      </x:c>
      <x:c r="U82" s="83" t="str">
        <x:v>Generator</x:v>
      </x:c>
      <x:c r="V82" s="83" t="str">
        <x:v>context only</x:v>
      </x:c>
      <x:c r="W82" s="83" t="str">
        <x:v>Sensitivity context; operational parameters missing</x:v>
      </x:c>
      <x:c r="X82" s="83" t="str">
        <x:v>Range of modular unit sizes.</x:v>
      </x:c>
    </x:row>
    <x:row r="83">
      <x:c r="A83" s="83" t="str">
        <x:v>INT-079</x:v>
      </x:c>
      <x:c r="B83" s="83" t="str">
        <x:v>Nuclear</x:v>
      </x:c>
      <x:c r="C83" s="83" t="str">
        <x:v>New nuclear</x:v>
      </x:c>
      <x:c r="D83" s="83" t="str">
        <x:v>LCOE, IEA 2050</x:v>
      </x:c>
      <x:c r="E83" s="83" t="n">
        <x:v>2050</x:v>
      </x:c>
      <x:c r="F83" s="83" t="str"/>
      <x:c r="G83" s="279" t="n">
        <x:v>120</x:v>
      </x:c>
      <x:c r="H83" s="279"/>
      <x:c r="I83" s="279" t="n">
        <x:v>125</x:v>
      </x:c>
      <x:c r="J83" s="83" t="str">
        <x:v>USD/MWh</x:v>
      </x:c>
      <x:c r="K83" s="83" t="str">
        <x:v>As reported</x:v>
      </x:c>
      <x:c r="L83" s="83" t="str">
        <x:v>A — Direct</x:v>
      </x:c>
      <x:c r="M83" s="83" t="str">
        <x:v>Context only</x:v>
      </x:c>
      <x:c r="N83" s="83" t="str">
        <x:v>S07</x:v>
      </x:c>
      <x:c r="O83" s="83" t="str">
        <x:v>Terna Prospettive Sviluppo Sistema Energetico 2050.pdf</x:v>
      </x:c>
      <x:c r="P83" s="83" t="str">
        <x:v>41–43</x:v>
      </x:c>
      <x:c r="Q83" s="83" t="str">
        <x:v>39–41</x:v>
      </x:c>
      <x:c r="R83" s="83" t="str">
        <x:v>Figure 39 / text</x:v>
      </x:c>
      <x:c r="S83" s="83" t="str">
        <x:v>Direct transcription</x:v>
      </x:c>
      <x:c r="T83" s="83" t="str">
        <x:v>A — Direct</x:v>
      </x:c>
      <x:c r="U83" s="83" t="str">
        <x:v>Generator</x:v>
      </x:c>
      <x:c r="V83" s="83" t="str">
        <x:v>context only</x:v>
      </x:c>
      <x:c r="W83" s="83" t="str">
        <x:v>Sensitivity context; operational parameters missing</x:v>
      </x:c>
      <x:c r="X83" s="83" t="str">
        <x:v>Scenario-dependent.</x:v>
      </x:c>
    </x:row>
    <x:row r="84">
      <x:c r="A84" s="83" t="str">
        <x:v>INT-080</x:v>
      </x:c>
      <x:c r="B84" s="83" t="str">
        <x:v>Nuclear</x:v>
      </x:c>
      <x:c r="C84" s="83" t="str">
        <x:v>New nuclear</x:v>
      </x:c>
      <x:c r="D84" s="83" t="str">
        <x:v>LCOE, NREL 2050</x:v>
      </x:c>
      <x:c r="E84" s="83" t="n">
        <x:v>2050</x:v>
      </x:c>
      <x:c r="F84" s="83" t="str"/>
      <x:c r="G84" s="279" t="n">
        <x:v>42</x:v>
      </x:c>
      <x:c r="H84" s="279"/>
      <x:c r="I84" s="279" t="n">
        <x:v>94</x:v>
      </x:c>
      <x:c r="J84" s="83" t="str">
        <x:v>USD2022/MWh</x:v>
      </x:c>
      <x:c r="K84" s="83" t="str">
        <x:v>As reported</x:v>
      </x:c>
      <x:c r="L84" s="83" t="str">
        <x:v>A — Direct</x:v>
      </x:c>
      <x:c r="M84" s="83" t="str">
        <x:v>Context only</x:v>
      </x:c>
      <x:c r="N84" s="83" t="str">
        <x:v>S07</x:v>
      </x:c>
      <x:c r="O84" s="83" t="str">
        <x:v>Terna Prospettive Sviluppo Sistema Energetico 2050.pdf</x:v>
      </x:c>
      <x:c r="P84" s="83" t="str">
        <x:v>41–43</x:v>
      </x:c>
      <x:c r="Q84" s="83" t="str">
        <x:v>39–41</x:v>
      </x:c>
      <x:c r="R84" s="83" t="str">
        <x:v>Figure 39 / text</x:v>
      </x:c>
      <x:c r="S84" s="83" t="str">
        <x:v>Direct transcription</x:v>
      </x:c>
      <x:c r="T84" s="83" t="str">
        <x:v>A — Direct</x:v>
      </x:c>
      <x:c r="U84" s="83" t="str">
        <x:v>Generator</x:v>
      </x:c>
      <x:c r="V84" s="83" t="str">
        <x:v>context only</x:v>
      </x:c>
      <x:c r="W84" s="83" t="str">
        <x:v>Sensitivity context; operational parameters missing</x:v>
      </x:c>
      <x:c r="X84" s="83" t="str">
        <x:v>Wide uncertainty range.</x:v>
      </x:c>
    </x:row>
    <x:row r="85">
      <x:c r="A85" s="83" t="str">
        <x:v>INT-081</x:v>
      </x:c>
      <x:c r="B85" s="83" t="str">
        <x:v>Nuclear</x:v>
      </x:c>
      <x:c r="C85" s="83" t="str">
        <x:v>French nuclear</x:v>
      </x:c>
      <x:c r="D85" s="83" t="str">
        <x:v>LCOE 2030</x:v>
      </x:c>
      <x:c r="E85" s="83" t="n">
        <x:v>2030</x:v>
      </x:c>
      <x:c r="F85" s="83" t="str"/>
      <x:c r="G85" s="279"/>
      <x:c r="H85" s="279" t="n">
        <x:v>120</x:v>
      </x:c>
      <x:c r="I85" s="279"/>
      <x:c r="J85" s="83" t="str">
        <x:v>EUR/MWh</x:v>
      </x:c>
      <x:c r="K85" s="83" t="str">
        <x:v>As reported</x:v>
      </x:c>
      <x:c r="L85" s="83" t="str">
        <x:v>A — Direct</x:v>
      </x:c>
      <x:c r="M85" s="83" t="str">
        <x:v>Context only</x:v>
      </x:c>
      <x:c r="N85" s="83" t="str">
        <x:v>S07</x:v>
      </x:c>
      <x:c r="O85" s="83" t="str">
        <x:v>Terna Prospettive Sviluppo Sistema Energetico 2050.pdf</x:v>
      </x:c>
      <x:c r="P85" s="83" t="str">
        <x:v>41–43</x:v>
      </x:c>
      <x:c r="Q85" s="83" t="str">
        <x:v>39–41</x:v>
      </x:c>
      <x:c r="R85" s="83" t="str">
        <x:v>CRE benchmark</x:v>
      </x:c>
      <x:c r="S85" s="83" t="str">
        <x:v>Direct transcription</x:v>
      </x:c>
      <x:c r="T85" s="83" t="str">
        <x:v>A — Direct</x:v>
      </x:c>
      <x:c r="U85" s="83" t="str">
        <x:v>Generator</x:v>
      </x:c>
      <x:c r="V85" s="83" t="str">
        <x:v>context only</x:v>
      </x:c>
      <x:c r="W85" s="83" t="str">
        <x:v>Sensitivity context; operational parameters missing</x:v>
      </x:c>
      <x:c r="X85" s="83" t="str">
        <x:v>French benchmark.</x:v>
      </x:c>
    </x:row>
    <x:row r="86">
      <x:c r="A86" s="83" t="str">
        <x:v>INT-082</x:v>
      </x:c>
      <x:c r="B86" s="83" t="str">
        <x:v>Nuclear</x:v>
      </x:c>
      <x:c r="C86" s="83" t="str">
        <x:v>French nuclear</x:v>
      </x:c>
      <x:c r="D86" s="83" t="str">
        <x:v>LCOE 2050</x:v>
      </x:c>
      <x:c r="E86" s="83" t="n">
        <x:v>2050</x:v>
      </x:c>
      <x:c r="F86" s="83" t="str"/>
      <x:c r="G86" s="279"/>
      <x:c r="H86" s="279" t="n">
        <x:v>93</x:v>
      </x:c>
      <x:c r="I86" s="279"/>
      <x:c r="J86" s="83" t="str">
        <x:v>EUR/MWh</x:v>
      </x:c>
      <x:c r="K86" s="83" t="str">
        <x:v>As reported</x:v>
      </x:c>
      <x:c r="L86" s="83" t="str">
        <x:v>A — Direct</x:v>
      </x:c>
      <x:c r="M86" s="83" t="str">
        <x:v>Context only</x:v>
      </x:c>
      <x:c r="N86" s="83" t="str">
        <x:v>S07</x:v>
      </x:c>
      <x:c r="O86" s="83" t="str">
        <x:v>Terna Prospettive Sviluppo Sistema Energetico 2050.pdf</x:v>
      </x:c>
      <x:c r="P86" s="83" t="str">
        <x:v>41–43</x:v>
      </x:c>
      <x:c r="Q86" s="83" t="str">
        <x:v>39–41</x:v>
      </x:c>
      <x:c r="R86" s="83" t="str">
        <x:v>CRE benchmark</x:v>
      </x:c>
      <x:c r="S86" s="83" t="str">
        <x:v>Direct transcription</x:v>
      </x:c>
      <x:c r="T86" s="83" t="str">
        <x:v>A — Direct</x:v>
      </x:c>
      <x:c r="U86" s="83" t="str">
        <x:v>Generator</x:v>
      </x:c>
      <x:c r="V86" s="83" t="str">
        <x:v>context only</x:v>
      </x:c>
      <x:c r="W86" s="83" t="str">
        <x:v>Sensitivity context; operational parameters missing</x:v>
      </x:c>
      <x:c r="X86" s="83" t="str">
        <x:v>French benchmark.</x:v>
      </x:c>
    </x:row>
    <x:row r="87">
      <x:c r="A87" s="83" t="str">
        <x:v>INT-083</x:v>
      </x:c>
      <x:c r="B87" s="83" t="str">
        <x:v>CCUS</x:v>
      </x:c>
      <x:c r="C87" s="83" t="str">
        <x:v>CCGT 750 MW utility MEA</x:v>
      </x:c>
      <x:c r="D87" s="83" t="str">
        <x:v>Capture cost</x:v>
      </x:c>
      <x:c r="E87" s="83" t="n">
        <x:v>2030</x:v>
      </x:c>
      <x:c r="F87" s="83" t="str"/>
      <x:c r="G87" s="279"/>
      <x:c r="H87" s="279" t="n">
        <x:v>134</x:v>
      </x:c>
      <x:c r="I87" s="279"/>
      <x:c r="J87" s="83" t="str">
        <x:v>EUR/tCO2_captured</x:v>
      </x:c>
      <x:c r="K87" s="83" t="str">
        <x:v>As reported</x:v>
      </x:c>
      <x:c r="L87" s="83" t="str">
        <x:v>A — Direct</x:v>
      </x:c>
      <x:c r="M87" s="83" t="str">
        <x:v>Context / conversion required</x:v>
      </x:c>
      <x:c r="N87" s="83" t="str">
        <x:v>S07</x:v>
      </x:c>
      <x:c r="O87" s="83" t="str">
        <x:v>Terna Prospettive Sviluppo Sistema Energetico 2050.pdf</x:v>
      </x:c>
      <x:c r="P87" s="83" t="str">
        <x:v>46–47</x:v>
      </x:c>
      <x:c r="Q87" s="83" t="str">
        <x:v>44–45</x:v>
      </x:c>
      <x:c r="R87" s="83" t="str">
        <x:v>Figure 41 / notes 38–39</x:v>
      </x:c>
      <x:c r="S87" s="83" t="str">
        <x:v>Direct transcription</x:v>
      </x:c>
      <x:c r="T87" s="83" t="str">
        <x:v>A — Direct</x:v>
      </x:c>
      <x:c r="U87" s="83" t="str">
        <x:v>Generator / Link / Store</x:v>
      </x:c>
      <x:c r="V87" s="83" t="str">
        <x:v>requires conversion to marginal_cost and residual emissions</x:v>
      </x:c>
      <x:c r="W87" s="83" t="str">
        <x:v>Not model-ready</x:v>
      </x:c>
      <x:c r="X87" s="83" t="str">
        <x:v>Capture rate and energy penalty are not supplied in the corpus.</x:v>
      </x:c>
    </x:row>
    <x:row r="88">
      <x:c r="A88" s="83" t="str">
        <x:v>INT-084</x:v>
      </x:c>
      <x:c r="B88" s="83" t="str">
        <x:v>CCUS</x:v>
      </x:c>
      <x:c r="C88" s="83" t="str">
        <x:v>CCGT 750 MW utility MEA</x:v>
      </x:c>
      <x:c r="D88" s="83" t="str">
        <x:v>Capture CAPEX component</x:v>
      </x:c>
      <x:c r="E88" s="83" t="n">
        <x:v>2030</x:v>
      </x:c>
      <x:c r="F88" s="83" t="str"/>
      <x:c r="G88" s="279"/>
      <x:c r="H88" s="279" t="n">
        <x:v>80</x:v>
      </x:c>
      <x:c r="I88" s="279"/>
      <x:c r="J88" s="83" t="str">
        <x:v>EUR/tCO2_captured</x:v>
      </x:c>
      <x:c r="K88" s="83" t="str">
        <x:v>As reported</x:v>
      </x:c>
      <x:c r="L88" s="83" t="str">
        <x:v>A — Direct</x:v>
      </x:c>
      <x:c r="M88" s="83" t="str">
        <x:v>Context only</x:v>
      </x:c>
      <x:c r="N88" s="83" t="str">
        <x:v>S07</x:v>
      </x:c>
      <x:c r="O88" s="83" t="str">
        <x:v>Terna Prospettive Sviluppo Sistema Energetico 2050.pdf</x:v>
      </x:c>
      <x:c r="P88" s="83" t="str">
        <x:v>46–47</x:v>
      </x:c>
      <x:c r="Q88" s="83" t="str">
        <x:v>44–45</x:v>
      </x:c>
      <x:c r="R88" s="83" t="str">
        <x:v>Figure 41 / notes 38–39</x:v>
      </x:c>
      <x:c r="S88" s="83" t="str">
        <x:v>Direct transcription</x:v>
      </x:c>
      <x:c r="T88" s="83" t="str">
        <x:v>A — Direct</x:v>
      </x:c>
      <x:c r="U88" s="83" t="str">
        <x:v>Generator / Link / Store</x:v>
      </x:c>
      <x:c r="V88" s="83" t="str">
        <x:v>requires conversion to marginal_cost and residual emissions</x:v>
      </x:c>
      <x:c r="W88" s="83" t="str">
        <x:v>Not model-ready</x:v>
      </x:c>
      <x:c r="X88" s="83" t="str">
        <x:v>Capture rate and energy penalty are not supplied in the corpus.</x:v>
      </x:c>
    </x:row>
    <x:row r="89">
      <x:c r="A89" s="83" t="str">
        <x:v>INT-085</x:v>
      </x:c>
      <x:c r="B89" s="83" t="str">
        <x:v>CCUS</x:v>
      </x:c>
      <x:c r="C89" s="83" t="str">
        <x:v>CCGT 750 MW utility MEA</x:v>
      </x:c>
      <x:c r="D89" s="83" t="str">
        <x:v>Capture OPEX component</x:v>
      </x:c>
      <x:c r="E89" s="83" t="n">
        <x:v>2030</x:v>
      </x:c>
      <x:c r="F89" s="83" t="str"/>
      <x:c r="G89" s="279"/>
      <x:c r="H89" s="279" t="n">
        <x:v>54</x:v>
      </x:c>
      <x:c r="I89" s="279"/>
      <x:c r="J89" s="83" t="str">
        <x:v>EUR/tCO2_captured</x:v>
      </x:c>
      <x:c r="K89" s="83" t="str">
        <x:v>As reported</x:v>
      </x:c>
      <x:c r="L89" s="83" t="str">
        <x:v>A — Direct</x:v>
      </x:c>
      <x:c r="M89" s="83" t="str">
        <x:v>Context / conversion required</x:v>
      </x:c>
      <x:c r="N89" s="83" t="str">
        <x:v>S07</x:v>
      </x:c>
      <x:c r="O89" s="83" t="str">
        <x:v>Terna Prospettive Sviluppo Sistema Energetico 2050.pdf</x:v>
      </x:c>
      <x:c r="P89" s="83" t="str">
        <x:v>46–47</x:v>
      </x:c>
      <x:c r="Q89" s="83" t="str">
        <x:v>44–45</x:v>
      </x:c>
      <x:c r="R89" s="83" t="str">
        <x:v>Figure 41 / notes 38–39</x:v>
      </x:c>
      <x:c r="S89" s="83" t="str">
        <x:v>Direct transcription</x:v>
      </x:c>
      <x:c r="T89" s="83" t="str">
        <x:v>A — Direct</x:v>
      </x:c>
      <x:c r="U89" s="83" t="str">
        <x:v>Generator / Link / Store</x:v>
      </x:c>
      <x:c r="V89" s="83" t="str">
        <x:v>requires conversion to marginal_cost and residual emissions</x:v>
      </x:c>
      <x:c r="W89" s="83" t="str">
        <x:v>Not model-ready</x:v>
      </x:c>
      <x:c r="X89" s="83" t="str">
        <x:v>Capture rate and energy penalty are not supplied in the corpus.</x:v>
      </x:c>
    </x:row>
    <x:row r="90">
      <x:c r="A90" s="83" t="str">
        <x:v>INT-086</x:v>
      </x:c>
      <x:c r="B90" s="83" t="str">
        <x:v>CCUS</x:v>
      </x:c>
      <x:c r="C90" s="83" t="str">
        <x:v>CCGT CHP 300 MW MEA</x:v>
      </x:c>
      <x:c r="D90" s="83" t="str">
        <x:v>Capture cost</x:v>
      </x:c>
      <x:c r="E90" s="83" t="n">
        <x:v>2030</x:v>
      </x:c>
      <x:c r="F90" s="83" t="str"/>
      <x:c r="G90" s="279"/>
      <x:c r="H90" s="279" t="n">
        <x:v>134</x:v>
      </x:c>
      <x:c r="I90" s="279"/>
      <x:c r="J90" s="83" t="str">
        <x:v>EUR/tCO2_captured</x:v>
      </x:c>
      <x:c r="K90" s="83" t="str">
        <x:v>As reported</x:v>
      </x:c>
      <x:c r="L90" s="83" t="str">
        <x:v>A — Direct</x:v>
      </x:c>
      <x:c r="M90" s="83" t="str">
        <x:v>Context / conversion required</x:v>
      </x:c>
      <x:c r="N90" s="83" t="str">
        <x:v>S07</x:v>
      </x:c>
      <x:c r="O90" s="83" t="str">
        <x:v>Terna Prospettive Sviluppo Sistema Energetico 2050.pdf</x:v>
      </x:c>
      <x:c r="P90" s="83" t="str">
        <x:v>46–47</x:v>
      </x:c>
      <x:c r="Q90" s="83" t="str">
        <x:v>44–45</x:v>
      </x:c>
      <x:c r="R90" s="83" t="str">
        <x:v>Figure 41 / notes 38–39</x:v>
      </x:c>
      <x:c r="S90" s="83" t="str">
        <x:v>Direct transcription</x:v>
      </x:c>
      <x:c r="T90" s="83" t="str">
        <x:v>A — Direct</x:v>
      </x:c>
      <x:c r="U90" s="83" t="str">
        <x:v>Generator / Link / Store</x:v>
      </x:c>
      <x:c r="V90" s="83" t="str">
        <x:v>requires conversion to marginal_cost and residual emissions</x:v>
      </x:c>
      <x:c r="W90" s="83" t="str">
        <x:v>Not model-ready</x:v>
      </x:c>
      <x:c r="X90" s="83" t="str">
        <x:v>Capture rate and energy penalty are not supplied in the corpus.</x:v>
      </x:c>
    </x:row>
    <x:row r="91">
      <x:c r="A91" s="83" t="str">
        <x:v>INT-087</x:v>
      </x:c>
      <x:c r="B91" s="83" t="str">
        <x:v>CCUS</x:v>
      </x:c>
      <x:c r="C91" s="83" t="str">
        <x:v>Gas turbine CHP 40 MW MEA</x:v>
      </x:c>
      <x:c r="D91" s="83" t="str">
        <x:v>Capture cost</x:v>
      </x:c>
      <x:c r="E91" s="83" t="n">
        <x:v>2030</x:v>
      </x:c>
      <x:c r="F91" s="83" t="str"/>
      <x:c r="G91" s="279"/>
      <x:c r="H91" s="279" t="n">
        <x:v>183</x:v>
      </x:c>
      <x:c r="I91" s="279"/>
      <x:c r="J91" s="83" t="str">
        <x:v>EUR/tCO2_captured</x:v>
      </x:c>
      <x:c r="K91" s="83" t="str">
        <x:v>As reported</x:v>
      </x:c>
      <x:c r="L91" s="83" t="str">
        <x:v>A — Direct</x:v>
      </x:c>
      <x:c r="M91" s="83" t="str">
        <x:v>Context / conversion required</x:v>
      </x:c>
      <x:c r="N91" s="83" t="str">
        <x:v>S07</x:v>
      </x:c>
      <x:c r="O91" s="83" t="str">
        <x:v>Terna Prospettive Sviluppo Sistema Energetico 2050.pdf</x:v>
      </x:c>
      <x:c r="P91" s="83" t="str">
        <x:v>46–47</x:v>
      </x:c>
      <x:c r="Q91" s="83" t="str">
        <x:v>44–45</x:v>
      </x:c>
      <x:c r="R91" s="83" t="str">
        <x:v>Figure 41 / notes 38–39</x:v>
      </x:c>
      <x:c r="S91" s="83" t="str">
        <x:v>Direct transcription</x:v>
      </x:c>
      <x:c r="T91" s="83" t="str">
        <x:v>A — Direct</x:v>
      </x:c>
      <x:c r="U91" s="83" t="str">
        <x:v>Generator / Link / Store</x:v>
      </x:c>
      <x:c r="V91" s="83" t="str">
        <x:v>requires conversion to marginal_cost and residual emissions</x:v>
      </x:c>
      <x:c r="W91" s="83" t="str">
        <x:v>Not model-ready</x:v>
      </x:c>
      <x:c r="X91" s="83" t="str">
        <x:v>Capture rate and energy penalty are not supplied in the corpus.</x:v>
      </x:c>
    </x:row>
    <x:row r="92">
      <x:c r="A92" s="83" t="str">
        <x:v>INT-088</x:v>
      </x:c>
      <x:c r="B92" s="83" t="str">
        <x:v>CCUS</x:v>
      </x:c>
      <x:c r="C92" s="83" t="str">
        <x:v>CO2 transport</x:v>
      </x:c>
      <x:c r="D92" s="83" t="str">
        <x:v>Cost</x:v>
      </x:c>
      <x:c r="E92" s="83" t="n">
        <x:v>2030</x:v>
      </x:c>
      <x:c r="F92" s="83" t="str"/>
      <x:c r="G92" s="279" t="n">
        <x:v>3.8</x:v>
      </x:c>
      <x:c r="H92" s="279" t="n">
        <x:v>10</x:v>
      </x:c>
      <x:c r="I92" s="279" t="n">
        <x:v>18.3</x:v>
      </x:c>
      <x:c r="J92" s="83" t="str">
        <x:v>EUR/tCO2</x:v>
      </x:c>
      <x:c r="K92" s="83" t="str">
        <x:v>As reported</x:v>
      </x:c>
      <x:c r="L92" s="83" t="str">
        <x:v>A — Direct</x:v>
      </x:c>
      <x:c r="M92" s="83" t="str">
        <x:v>Context / conversion required</x:v>
      </x:c>
      <x:c r="N92" s="83" t="str">
        <x:v>S07</x:v>
      </x:c>
      <x:c r="O92" s="83" t="str">
        <x:v>Terna Prospettive Sviluppo Sistema Energetico 2050.pdf</x:v>
      </x:c>
      <x:c r="P92" s="83" t="str">
        <x:v>46–47</x:v>
      </x:c>
      <x:c r="Q92" s="83" t="str">
        <x:v>44–45</x:v>
      </x:c>
      <x:c r="R92" s="83" t="str">
        <x:v>Figure 41 / notes 38–39</x:v>
      </x:c>
      <x:c r="S92" s="83" t="str">
        <x:v>Direct transcription</x:v>
      </x:c>
      <x:c r="T92" s="83" t="str">
        <x:v>A — Direct</x:v>
      </x:c>
      <x:c r="U92" s="83" t="str">
        <x:v>Generator / Link / Store</x:v>
      </x:c>
      <x:c r="V92" s="83" t="str">
        <x:v>requires conversion to marginal_cost and residual emissions</x:v>
      </x:c>
      <x:c r="W92" s="83" t="str">
        <x:v>Not model-ready</x:v>
      </x:c>
      <x:c r="X92" s="83" t="str">
        <x:v>Capture rate and energy penalty are not supplied in the corpus.</x:v>
      </x:c>
    </x:row>
    <x:row r="93">
      <x:c r="A93" s="83" t="str">
        <x:v>INT-089</x:v>
      </x:c>
      <x:c r="B93" s="83" t="str">
        <x:v>CCUS</x:v>
      </x:c>
      <x:c r="C93" s="83" t="str">
        <x:v>CO2 storage</x:v>
      </x:c>
      <x:c r="D93" s="83" t="str">
        <x:v>Cost</x:v>
      </x:c>
      <x:c r="E93" s="83" t="n">
        <x:v>2030</x:v>
      </x:c>
      <x:c r="F93" s="83" t="str"/>
      <x:c r="G93" s="279" t="n">
        <x:v>42.5</x:v>
      </x:c>
      <x:c r="H93" s="279" t="n">
        <x:v>50</x:v>
      </x:c>
      <x:c r="I93" s="279" t="n">
        <x:v>75.8</x:v>
      </x:c>
      <x:c r="J93" s="83" t="str">
        <x:v>EUR/tCO2</x:v>
      </x:c>
      <x:c r="K93" s="83" t="str">
        <x:v>As reported</x:v>
      </x:c>
      <x:c r="L93" s="83" t="str">
        <x:v>A — Direct</x:v>
      </x:c>
      <x:c r="M93" s="83" t="str">
        <x:v>Context / conversion required</x:v>
      </x:c>
      <x:c r="N93" s="83" t="str">
        <x:v>S07</x:v>
      </x:c>
      <x:c r="O93" s="83" t="str">
        <x:v>Terna Prospettive Sviluppo Sistema Energetico 2050.pdf</x:v>
      </x:c>
      <x:c r="P93" s="83" t="str">
        <x:v>46–47</x:v>
      </x:c>
      <x:c r="Q93" s="83" t="str">
        <x:v>44–45</x:v>
      </x:c>
      <x:c r="R93" s="83" t="str">
        <x:v>Figure 41 / notes 38–39</x:v>
      </x:c>
      <x:c r="S93" s="83" t="str">
        <x:v>Direct transcription</x:v>
      </x:c>
      <x:c r="T93" s="83" t="str">
        <x:v>A — Direct</x:v>
      </x:c>
      <x:c r="U93" s="83" t="str">
        <x:v>Generator / Link / Store</x:v>
      </x:c>
      <x:c r="V93" s="83" t="str">
        <x:v>requires conversion to marginal_cost and residual emissions</x:v>
      </x:c>
      <x:c r="W93" s="83" t="str">
        <x:v>Not model-ready</x:v>
      </x:c>
      <x:c r="X93" s="83" t="str">
        <x:v>Capture rate and energy penalty are not supplied in the corpus.</x:v>
      </x:c>
    </x:row>
    <x:row r="94">
      <x:c r="A94" s="83" t="str">
        <x:v>INT-090</x:v>
      </x:c>
      <x:c r="B94" s="83" t="str">
        <x:v>CCUS</x:v>
      </x:c>
      <x:c r="C94" s="83" t="str">
        <x:v>CCGT CCUS case</x:v>
      </x:c>
      <x:c r="D94" s="83" t="str">
        <x:v>Gas price</x:v>
      </x:c>
      <x:c r="E94" s="83" t="n">
        <x:v>2030</x:v>
      </x:c>
      <x:c r="F94" s="83" t="str"/>
      <x:c r="G94" s="279"/>
      <x:c r="H94" s="279" t="n">
        <x:v>32</x:v>
      </x:c>
      <x:c r="I94" s="279"/>
      <x:c r="J94" s="83" t="str">
        <x:v>EUR/MWh_th</x:v>
      </x:c>
      <x:c r="K94" s="83" t="str">
        <x:v>As reported</x:v>
      </x:c>
      <x:c r="L94" s="83" t="str">
        <x:v>A — Direct</x:v>
      </x:c>
      <x:c r="M94" s="83" t="str">
        <x:v>Context only</x:v>
      </x:c>
      <x:c r="N94" s="83" t="str">
        <x:v>S07</x:v>
      </x:c>
      <x:c r="O94" s="83" t="str">
        <x:v>Terna Prospettive Sviluppo Sistema Energetico 2050.pdf</x:v>
      </x:c>
      <x:c r="P94" s="83" t="str">
        <x:v>46–47</x:v>
      </x:c>
      <x:c r="Q94" s="83" t="str">
        <x:v>44–45</x:v>
      </x:c>
      <x:c r="R94" s="83" t="str">
        <x:v>Figure 41 / notes 38–39</x:v>
      </x:c>
      <x:c r="S94" s="83" t="str">
        <x:v>Direct transcription</x:v>
      </x:c>
      <x:c r="T94" s="83" t="str">
        <x:v>A — Direct</x:v>
      </x:c>
      <x:c r="U94" s="83" t="str">
        <x:v>Generator / Link / Store</x:v>
      </x:c>
      <x:c r="V94" s="83" t="str">
        <x:v>requires conversion to marginal_cost and residual emissions</x:v>
      </x:c>
      <x:c r="W94" s="83" t="str">
        <x:v>Not model-ready</x:v>
      </x:c>
      <x:c r="X94" s="83" t="str">
        <x:v>Capture rate and energy penalty are not supplied in the corpus.</x:v>
      </x:c>
    </x:row>
    <x:row r="95">
      <x:c r="A95" s="83" t="str">
        <x:v>INT-091</x:v>
      </x:c>
      <x:c r="B95" s="83" t="str">
        <x:v>CCUS</x:v>
      </x:c>
      <x:c r="C95" s="83" t="str">
        <x:v>CCGT CCUS case</x:v>
      </x:c>
      <x:c r="D95" s="83" t="str">
        <x:v>ETS price</x:v>
      </x:c>
      <x:c r="E95" s="83" t="n">
        <x:v>2030</x:v>
      </x:c>
      <x:c r="F95" s="83" t="str"/>
      <x:c r="G95" s="279"/>
      <x:c r="H95" s="279" t="n">
        <x:v>95</x:v>
      </x:c>
      <x:c r="I95" s="279"/>
      <x:c r="J95" s="83" t="str">
        <x:v>EUR/tCO2</x:v>
      </x:c>
      <x:c r="K95" s="83" t="str">
        <x:v>As reported</x:v>
      </x:c>
      <x:c r="L95" s="83" t="str">
        <x:v>A — Direct</x:v>
      </x:c>
      <x:c r="M95" s="83" t="str">
        <x:v>Context only</x:v>
      </x:c>
      <x:c r="N95" s="83" t="str">
        <x:v>S07</x:v>
      </x:c>
      <x:c r="O95" s="83" t="str">
        <x:v>Terna Prospettive Sviluppo Sistema Energetico 2050.pdf</x:v>
      </x:c>
      <x:c r="P95" s="83" t="str">
        <x:v>46–47</x:v>
      </x:c>
      <x:c r="Q95" s="83" t="str">
        <x:v>44–45</x:v>
      </x:c>
      <x:c r="R95" s="83" t="str">
        <x:v>Figure 41 / notes 38–39</x:v>
      </x:c>
      <x:c r="S95" s="83" t="str">
        <x:v>Direct transcription</x:v>
      </x:c>
      <x:c r="T95" s="83" t="str">
        <x:v>A — Direct</x:v>
      </x:c>
      <x:c r="U95" s="83" t="str">
        <x:v>Generator / Link / Store</x:v>
      </x:c>
      <x:c r="V95" s="83" t="str">
        <x:v>requires conversion to marginal_cost and residual emissions</x:v>
      </x:c>
      <x:c r="W95" s="83" t="str">
        <x:v>Not model-ready</x:v>
      </x:c>
      <x:c r="X95" s="83" t="str">
        <x:v>Capture rate and energy penalty are not supplied in the corpus.</x:v>
      </x:c>
    </x:row>
    <x:row r="96">
      <x:c r="A96" s="83" t="str">
        <x:v>INT-092</x:v>
      </x:c>
      <x:c r="B96" s="83" t="str">
        <x:v>CCUS</x:v>
      </x:c>
      <x:c r="C96" s="83" t="str">
        <x:v>CCGT CCUS case</x:v>
      </x:c>
      <x:c r="D96" s="83" t="str">
        <x:v>WACC</x:v>
      </x:c>
      <x:c r="E96" s="83" t="n">
        <x:v>2030</x:v>
      </x:c>
      <x:c r="F96" s="83" t="str"/>
      <x:c r="G96" s="279"/>
      <x:c r="H96" s="279" t="n">
        <x:v>0.08</x:v>
      </x:c>
      <x:c r="I96" s="279"/>
      <x:c r="J96" s="83" t="str">
        <x:v>p.u.</x:v>
      </x:c>
      <x:c r="K96" s="83" t="str">
        <x:v>As reported</x:v>
      </x:c>
      <x:c r="L96" s="83" t="str">
        <x:v>A — Direct</x:v>
      </x:c>
      <x:c r="M96" s="83" t="str">
        <x:v>Context only</x:v>
      </x:c>
      <x:c r="N96" s="83" t="str">
        <x:v>S07</x:v>
      </x:c>
      <x:c r="O96" s="83" t="str">
        <x:v>Terna Prospettive Sviluppo Sistema Energetico 2050.pdf</x:v>
      </x:c>
      <x:c r="P96" s="83" t="str">
        <x:v>46–47</x:v>
      </x:c>
      <x:c r="Q96" s="83" t="str">
        <x:v>44–45</x:v>
      </x:c>
      <x:c r="R96" s="83" t="str">
        <x:v>Figure 41 / notes 38–39</x:v>
      </x:c>
      <x:c r="S96" s="83" t="str">
        <x:v>Direct transcription</x:v>
      </x:c>
      <x:c r="T96" s="83" t="str">
        <x:v>A — Direct</x:v>
      </x:c>
      <x:c r="U96" s="83" t="str">
        <x:v>Generator / Link / Store</x:v>
      </x:c>
      <x:c r="V96" s="83" t="str">
        <x:v>requires conversion to marginal_cost and residual emissions</x:v>
      </x:c>
      <x:c r="W96" s="83" t="str">
        <x:v>Not model-ready</x:v>
      </x:c>
      <x:c r="X96" s="83" t="str">
        <x:v>Capture rate and energy penalty are not supplied in the corpus.</x:v>
      </x:c>
    </x:row>
    <x:row r="97">
      <x:c r="A97" s="83" t="str">
        <x:v>INT-093</x:v>
      </x:c>
      <x:c r="B97" s="83" t="str">
        <x:v>System economics</x:v>
      </x:c>
      <x:c r="C97" s="83" t="str">
        <x:v>PNIEC electricity transition</x:v>
      </x:c>
      <x:c r="D97" s="83" t="str">
        <x:v>Total investment requirement</x:v>
      </x:c>
      <x:c r="E97" s="83" t="n">
        <x:v>2030</x:v>
      </x:c>
      <x:c r="F97" s="83" t="str"/>
      <x:c r="G97" s="279"/>
      <x:c r="H97" s="279" t="n">
        <x:v>130</x:v>
      </x:c>
      <x:c r="I97" s="279"/>
      <x:c r="J97" s="83" t="str">
        <x:v>EUR bn</x:v>
      </x:c>
      <x:c r="K97" s="83" t="str">
        <x:v>Approximate current/plan basis</x:v>
      </x:c>
      <x:c r="L97" s="83" t="str">
        <x:v>A — Direct</x:v>
      </x:c>
      <x:c r="M97" s="83" t="str">
        <x:v>Context only</x:v>
      </x:c>
      <x:c r="N97" s="83" t="str">
        <x:v>S07 / S08</x:v>
      </x:c>
      <x:c r="O97" s="83" t="str">
        <x:v>Terna Prospettive Sviluppo Sistema Energetico 2050.pdf; PNIEC 2024.pdf</x:v>
      </x:c>
      <x:c r="P97" s="83" t="n">
        <x:v>10</x:v>
      </x:c>
      <x:c r="Q97" s="83" t="n">
        <x:v>8</x:v>
      </x:c>
      <x:c r="R97" s="83" t="str">
        <x:v>Text / Figure 4</x:v>
      </x:c>
      <x:c r="S97" s="83" t="str">
        <x:v>Direct transcription</x:v>
      </x:c>
      <x:c r="T97" s="83" t="str">
        <x:v>A — Direct</x:v>
      </x:c>
      <x:c r="U97" s="83" t="str">
        <x:v>None in dispatch-only</x:v>
      </x:c>
      <x:c r="V97" s="83" t="str">
        <x:v>not used</x:v>
      </x:c>
      <x:c r="W97" s="83" t="str">
        <x:v>Context only</x:v>
      </x:c>
      <x:c r="X97" s="83" t="str">
        <x:v>Covers renewables, storage and grids; not technology-specific CAPEX.</x:v>
      </x:c>
    </x:row>
    <x:row r="98">
      <x:c r="A98" s="83" t="str">
        <x:v>INT-094</x:v>
      </x:c>
      <x:c r="B98" s="83" t="str">
        <x:v>System economics</x:v>
      </x:c>
      <x:c r="C98" s="83" t="str">
        <x:v>PNIEC electricity transition</x:v>
      </x:c>
      <x:c r="D98" s="83" t="str">
        <x:v>Equivalent annualised cost</x:v>
      </x:c>
      <x:c r="E98" s="83" t="n">
        <x:v>2030</x:v>
      </x:c>
      <x:c r="F98" s="83" t="str"/>
      <x:c r="G98" s="279"/>
      <x:c r="H98" s="279" t="n">
        <x:v>90</x:v>
      </x:c>
      <x:c r="I98" s="279"/>
      <x:c r="J98" s="83" t="str">
        <x:v>EUR/MWh</x:v>
      </x:c>
      <x:c r="K98" s="83" t="str">
        <x:v>Illustrative, 30 years and 7% discount rate</x:v>
      </x:c>
      <x:c r="L98" s="83" t="str">
        <x:v>B — Derived by source</x:v>
      </x:c>
      <x:c r="M98" s="83" t="str">
        <x:v>Context only</x:v>
      </x:c>
      <x:c r="N98" s="83" t="str">
        <x:v>S07</x:v>
      </x:c>
      <x:c r="O98" s="83" t="str">
        <x:v>Terna Prospettive Sviluppo Sistema Energetico 2050.pdf</x:v>
      </x:c>
      <x:c r="P98" s="83" t="n">
        <x:v>10</x:v>
      </x:c>
      <x:c r="Q98" s="83" t="n">
        <x:v>8</x:v>
      </x:c>
      <x:c r="R98" s="83" t="str">
        <x:v>Figure 4 / footnote 5</x:v>
      </x:c>
      <x:c r="S98" s="83" t="str">
        <x:v>Direct transcription</x:v>
      </x:c>
      <x:c r="T98" s="83" t="str">
        <x:v>B — Derived</x:v>
      </x:c>
      <x:c r="U98" s="83" t="str">
        <x:v>None in dispatch-only</x:v>
      </x:c>
      <x:c r="V98" s="83" t="str">
        <x:v>not used</x:v>
      </x:c>
      <x:c r="W98" s="83" t="str">
        <x:v>Context only</x:v>
      </x:c>
      <x:c r="X98" s="83" t="str">
        <x:v>Illustrative system-level comparison, not renewable marginal cost.</x:v>
      </x:c>
    </x:row>
  </x:sheetData>
  <x:mergeCells>
    <x:mergeCell ref="A1:X1"/>
    <x:mergeCell ref="A2:X2"/>
  </x:mergeCells>
  <x:conditionalFormatting sqref="M5:M98">
    <x:cfRule type="expression" dxfId="67" priority="1">
      <x:formula>M5="Direct"</x:formula>
    </x:cfRule>
    <x:cfRule type="expression" dxfId="68" priority="2">
      <x:formula>ISNUMBER(SEARCH("Context",M5))</x:formula>
    </x:cfRule>
  </x:conditionalFormatting>
  <x:conditionalFormatting sqref="W5:W98">
    <x:cfRule type="expression" dxfId="69" priority="3">
      <x:formula>ISNUMBER(SEARCH("Not model-ready",W5))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3d0fd0cd174ffb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17" hidden="0" customWidth="1"/>
    <x:col min="5" max="5" width="15" hidden="0" customWidth="1"/>
    <x:col min="6" max="6" width="14" hidden="0" customWidth="1"/>
    <x:col min="7" max="7" width="20" hidden="0" customWidth="1"/>
    <x:col min="8" max="8" width="19" hidden="0" customWidth="1"/>
    <x:col min="9" max="9" width="18" hidden="0" customWidth="1"/>
    <x:col min="10" max="10" width="20" hidden="0" customWidth="1"/>
    <x:col min="11" max="11" width="20" hidden="0" customWidth="1"/>
    <x:col min="12" max="12" width="18" hidden="0" customWidth="1"/>
    <x:col min="13" max="13" width="16" hidden="0" customWidth="1"/>
    <x:col min="14" max="14" width="20" hidden="0" customWidth="1"/>
    <x:col min="15" max="15" width="36" hidden="0" customWidth="1"/>
    <x:col min="16" max="16" width="58" hidden="0" customWidth="1"/>
  </x:cols>
  <x:sheetData>
    <x:row r="1" ht="34" customHeight="1">
      <x:c r="A1" s="270" t="str">
        <x:v>Combustibili, CO₂ e costruzione del marginal cost CCGT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</x:row>
    <x:row r="2" ht="30" customHeight="1">
      <x:c r="A2" s="274" t="str">
        <x:v>Formula esplicita fuel/efficiency + CO₂×emission factor/efficiency + VOM; nessun valore 2050 inventato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  <x:c r="P2" s="274"/>
    </x:row>
    <x:row r="4" ht="42" customHeight="1">
      <x:c r="A4" s="278" t="str">
        <x:v>Record ID</x:v>
      </x:c>
      <x:c r="B4" s="278" t="str">
        <x:v>Anno</x:v>
      </x:c>
      <x:c r="C4" s="278" t="str">
        <x:v>Scenario</x:v>
      </x:c>
      <x:c r="D4" s="278" t="str">
        <x:v>Gas EUR/MWh_th</x:v>
      </x:c>
      <x:c r="E4" s="278" t="str">
        <x:v>CO₂ EUR/t</x:v>
      </x:c>
      <x:c r="F4" s="278" t="str">
        <x:v>Efficienza</x:v>
      </x:c>
      <x:c r="G4" s="278" t="str">
        <x:v>Fattore emissivo t/MWh_th</x:v>
      </x:c>
      <x:c r="H4" s="278" t="str">
        <x:v>Componente combustibile</x:v>
      </x:c>
      <x:c r="I4" s="278" t="str">
        <x:v>Componente CO₂</x:v>
      </x:c>
      <x:c r="J4" s="278" t="str">
        <x:v>Subtotale prima VOM</x:v>
      </x:c>
      <x:c r="K4" s="278" t="str">
        <x:v>Costo variabile Terna</x:v>
      </x:c>
      <x:c r="L4" s="278" t="str">
        <x:v>Residuo implicito</x:v>
      </x:c>
      <x:c r="M4" s="278" t="str">
        <x:v>VOM candidato</x:v>
      </x:c>
      <x:c r="N4" s="278" t="str">
        <x:v>Costo marginale finale</x:v>
      </x:c>
      <x:c r="O4" s="278" t="str">
        <x:v>Stato</x:v>
      </x:c>
      <x:c r="P4" s="278" t="str">
        <x:v>Note</x:v>
      </x:c>
    </x:row>
    <x:row r="5">
      <x:c r="A5" s="83" t="str">
        <x:v>MC-2023</x:v>
      </x:c>
      <x:c r="B5" s="83" t="n">
        <x:v>2023</x:v>
      </x:c>
      <x:c r="C5" s="83" t="str">
        <x:v>PNIEC / DDS</x:v>
      </x:c>
      <x:c r="D5" s="197" t="n">
        <x:v>39.2</x:v>
      </x:c>
      <x:c r="E5" s="197" t="n">
        <x:v>92</x:v>
      </x:c>
      <x:c r="F5" s="197" t="n">
        <x:v>0.5</x:v>
      </x:c>
      <x:c r="G5" s="197" t="n">
        <x:v>0.212</x:v>
      </x:c>
      <x:c r="H5" s="197" t="n">
        <x:f>D5/F5</x:f>
        <x:v>78.4</x:v>
      </x:c>
      <x:c r="I5" s="197" t="n">
        <x:f>E5*G5/F5</x:f>
        <x:v>39.007999999999996</x:v>
      </x:c>
      <x:c r="J5" s="197" t="n">
        <x:f>H5+I5</x:f>
        <x:v>117.408</x:v>
      </x:c>
      <x:c r="K5" s="197" t="n">
        <x:v>121</x:v>
      </x:c>
      <x:c r="L5" s="197" t="n">
        <x:f>IF(K5="","",K5-J5)</x:f>
        <x:v>3.5919999999999987</x:v>
      </x:c>
      <x:c r="M5" s="197"/>
      <x:c r="N5" s="197" t="str">
        <x:f>IF(M5="","",J5+M5)</x:f>
      </x:c>
      <x:c r="O5" s="83" t="str">
        <x:v>Historical QA</x:v>
      </x:c>
      <x:c r="P5" s="83" t="str">
        <x:v>Internal Terna calibration uses 50% efficiency and 0.212 tCO2/MWh_th.</x:v>
      </x:c>
    </x:row>
    <x:row r="6">
      <x:c r="A6" s="83" t="str">
        <x:v>MC-2030</x:v>
      </x:c>
      <x:c r="B6" s="83" t="n">
        <x:v>2030</x:v>
      </x:c>
      <x:c r="C6" s="83" t="str">
        <x:v>PNIEC / DDS</x:v>
      </x:c>
      <x:c r="D6" s="197" t="n">
        <x:v>32.4</x:v>
      </x:c>
      <x:c r="E6" s="197" t="n">
        <x:v>95</x:v>
      </x:c>
      <x:c r="F6" s="197" t="n">
        <x:v>0.5</x:v>
      </x:c>
      <x:c r="G6" s="197" t="n">
        <x:v>0.212</x:v>
      </x:c>
      <x:c r="H6" s="197" t="n">
        <x:f>D6/F6</x:f>
        <x:v>64.8</x:v>
      </x:c>
      <x:c r="I6" s="197" t="n">
        <x:f>E6*G6/F6</x:f>
        <x:v>40.28</x:v>
      </x:c>
      <x:c r="J6" s="197" t="n">
        <x:f>H6+I6</x:f>
        <x:v>105.08</x:v>
      </x:c>
      <x:c r="K6" s="197"/>
      <x:c r="L6" s="197" t="str">
        <x:f>IF(K6="","",K6-J6)</x:f>
      </x:c>
      <x:c r="M6" s="197"/>
      <x:c r="N6" s="197" t="str">
        <x:f>IF(M6="","",J6+M6)</x:f>
      </x:c>
      <x:c r="O6" s="83" t="str">
        <x:v>Scenario build awaiting VOM/efficiency decision</x:v>
      </x:c>
      <x:c r="P6" s="83" t="str">
        <x:v>Internal Terna calibration uses 50% efficiency and 0.212 tCO2/MWh_th.</x:v>
      </x:c>
    </x:row>
    <x:row r="7">
      <x:c r="A7" s="83" t="str">
        <x:v>MC-2035</x:v>
      </x:c>
      <x:c r="B7" s="83" t="n">
        <x:v>2035</x:v>
      </x:c>
      <x:c r="C7" s="83" t="str">
        <x:v>PNIEC / DDS</x:v>
      </x:c>
      <x:c r="D7" s="197" t="n">
        <x:v>29.5</x:v>
      </x:c>
      <x:c r="E7" s="197" t="n">
        <x:v>100</x:v>
      </x:c>
      <x:c r="F7" s="197" t="n">
        <x:v>0.5</x:v>
      </x:c>
      <x:c r="G7" s="197" t="n">
        <x:v>0.212</x:v>
      </x:c>
      <x:c r="H7" s="197" t="n">
        <x:f>D7/F7</x:f>
        <x:v>59</x:v>
      </x:c>
      <x:c r="I7" s="197" t="n">
        <x:f>E7*G7/F7</x:f>
        <x:v>42.4</x:v>
      </x:c>
      <x:c r="J7" s="197" t="n">
        <x:f>H7+I7</x:f>
        <x:v>101.4</x:v>
      </x:c>
      <x:c r="K7" s="197"/>
      <x:c r="L7" s="197" t="str">
        <x:f>IF(K7="","",K7-J7)</x:f>
      </x:c>
      <x:c r="M7" s="197"/>
      <x:c r="N7" s="197" t="str">
        <x:f>IF(M7="","",J7+M7)</x:f>
      </x:c>
      <x:c r="O7" s="83" t="str">
        <x:v>Scenario build awaiting VOM/efficiency decision</x:v>
      </x:c>
      <x:c r="P7" s="83" t="str">
        <x:v>Internal Terna calibration uses 50% efficiency and 0.212 tCO2/MWh_th.</x:v>
      </x:c>
    </x:row>
    <x:row r="8">
      <x:c r="A8" s="83" t="str">
        <x:v>MC-2040</x:v>
      </x:c>
      <x:c r="B8" s="83" t="n">
        <x:v>2040</x:v>
      </x:c>
      <x:c r="C8" s="83" t="str">
        <x:v>PNIEC / DDS</x:v>
      </x:c>
      <x:c r="D8" s="197" t="n">
        <x:v>36.4</x:v>
      </x:c>
      <x:c r="E8" s="197" t="n">
        <x:v>100</x:v>
      </x:c>
      <x:c r="F8" s="197" t="n">
        <x:v>0.5</x:v>
      </x:c>
      <x:c r="G8" s="197" t="n">
        <x:v>0.212</x:v>
      </x:c>
      <x:c r="H8" s="197" t="n">
        <x:f>D8/F8</x:f>
        <x:v>72.8</x:v>
      </x:c>
      <x:c r="I8" s="197" t="n">
        <x:f>E8*G8/F8</x:f>
        <x:v>42.4</x:v>
      </x:c>
      <x:c r="J8" s="197" t="n">
        <x:f>H8+I8</x:f>
        <x:v>115.19999999999999</x:v>
      </x:c>
      <x:c r="K8" s="197"/>
      <x:c r="L8" s="197" t="str">
        <x:f>IF(K8="","",K8-J8)</x:f>
      </x:c>
      <x:c r="M8" s="197"/>
      <x:c r="N8" s="197" t="str">
        <x:f>IF(M8="","",J8+M8)</x:f>
      </x:c>
      <x:c r="O8" s="83" t="str">
        <x:v>Scenario build awaiting VOM/efficiency decision</x:v>
      </x:c>
      <x:c r="P8" s="83" t="str">
        <x:v>Internal Terna calibration uses 50% efficiency and 0.212 tCO2/MWh_th.</x:v>
      </x:c>
    </x:row>
  </x:sheetData>
  <x:mergeCells>
    <x:mergeCell ref="A1:P1"/>
    <x:mergeCell ref="A2:P2"/>
  </x:mergeCells>
  <x:conditionalFormatting sqref="L5:L8">
    <x:cfRule type="expression" dxfId="70" priority="1">
      <x:formula>ABS(L5)&gt;5</x:formula>
    </x:cfRule>
  </x:conditionalFormatting>
  <x:conditionalFormatting sqref="O5:O8">
    <x:cfRule type="expression" dxfId="71" priority="2">
      <x:formula>ISNUMBER(SEARCH("awaiting",O5))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175ff76a1a4d68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2" hidden="0" customWidth="1"/>
    <x:col min="4" max="4" width="12" hidden="0" customWidth="1"/>
    <x:col min="5" max="5" width="28" hidden="0" customWidth="1"/>
    <x:col min="6" max="6" width="22" hidden="0" customWidth="1"/>
    <x:col min="7" max="7" width="15" hidden="0" customWidth="1"/>
    <x:col min="8" max="8" width="24" hidden="0" customWidth="1"/>
    <x:col min="9" max="9" width="15" hidden="0" customWidth="1"/>
    <x:col min="10" max="10" width="66" hidden="0" customWidth="1"/>
    <x:col min="11" max="11" width="72" hidden="0" customWidth="1"/>
    <x:col min="12" max="12" width="30" hidden="0" customWidth="1"/>
    <x:col min="13" max="13" width="44" hidden="0" customWidth="1"/>
    <x:col min="14" max="14" width="60" hidden="0" customWidth="1"/>
    <x:col min="15" max="15" width="58" hidden="0" customWidth="1"/>
  </x:cols>
  <x:sheetData>
    <x:row r="1" ht="34" customHeight="1">
      <x:c r="A1" s="270" t="str">
        <x:v>Parametri candidati PyPSA technology-data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</x:row>
    <x:row r="2" ht="30" customHeight="1">
      <x:c r="A2" s="274" t="str">
        <x:v>252 righe da v0.9.2 e v0.15.0 per 2040/2050; nessuna release è adottata senza pin del progetto CLI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</x:row>
    <x:row r="4" ht="42" customHeight="1">
      <x:c r="A4" s="278" t="str">
        <x:v>Candidate ID</x:v>
      </x:c>
      <x:c r="B4" s="278" t="str">
        <x:v>Famiglia fonte</x:v>
      </x:c>
      <x:c r="C4" s="278" t="str">
        <x:v>Versione</x:v>
      </x:c>
      <x:c r="D4" s="278" t="str">
        <x:v>Anno modello</x:v>
      </x:c>
      <x:c r="E4" s="278" t="str">
        <x:v>Tecnologia</x:v>
      </x:c>
      <x:c r="F4" s="278" t="str">
        <x:v>Parametro</x:v>
      </x:c>
      <x:c r="G4" s="278" t="str">
        <x:v>Valore</x:v>
      </x:c>
      <x:c r="H4" s="278" t="str">
        <x:v>Unità</x:v>
      </x:c>
      <x:c r="I4" s="278" t="str">
        <x:v>Currency year</x:v>
      </x:c>
      <x:c r="J4" s="278" t="str">
        <x:v>Fonte originaria</x:v>
      </x:c>
      <x:c r="K4" s="278" t="str">
        <x:v>Descrizione</x:v>
      </x:c>
      <x:c r="L4" s="278" t="str">
        <x:v>Ruolo</x:v>
      </x:c>
      <x:c r="M4" s="278" t="str">
        <x:v>Status adozione</x:v>
      </x:c>
      <x:c r="N4" s="278" t="str">
        <x:v>URL file ufficiale</x:v>
      </x:c>
      <x:c r="O4" s="278" t="str">
        <x:v>Note</x:v>
      </x:c>
    </x:row>
    <x:row r="5">
      <x:c r="A5" s="83" t="str">
        <x:v>EXT-0001</x:v>
      </x:c>
      <x:c r="B5" s="83" t="str">
        <x:v>PyPSA technology-data</x:v>
      </x:c>
      <x:c r="C5" s="83" t="str">
        <x:v>v0.9.2</x:v>
      </x:c>
      <x:c r="D5" s="83" t="n">
        <x:v>2040</x:v>
      </x:c>
      <x:c r="E5" s="83" t="str">
        <x:v>CCGT</x:v>
      </x:c>
      <x:c r="F5" s="83" t="str">
        <x:v>FOM</x:v>
      </x:c>
      <x:c r="G5" s="279" t="n">
        <x:v>3.3006</x:v>
      </x:c>
      <x:c r="H5" s="83" t="str">
        <x:v>%/year</x:v>
      </x:c>
      <x:c r="I5" s="83" t="str">
        <x:v>2015.0</x:v>
      </x:c>
      <x:c r="J5" s="83" t="str">
        <x:v>Danish Energy Agency, technology_data_for_el_and_dh.xlsx</x:v>
      </x:c>
      <x:c r="K5" s="83" t="str">
        <x:v>05 Gas turb. CC, steam extract.:  Fixed O&amp;M</x:v>
      </x:c>
      <x:c r="L5" s="83" t="str">
        <x:v>Context / capacity optimisation</x:v>
      </x:c>
      <x:c r="M5" s="83" t="str">
        <x:v>Candidate — do not adopt until CLI version is pinned</x:v>
      </x:c>
      <x:c r="N5" s="120" t="str">
        <x:v>https://raw.githubusercontent.com/PyPSA/technology-data/v0.9.2/outputs/costs_2040.csv</x:v>
      </x:c>
      <x:c r="O5" s="83" t="str">
        <x:v>Values from different releases may use different currency-year and inflation conventions; do not blend releases.</x:v>
      </x:c>
    </x:row>
    <x:row r="6">
      <x:c r="A6" s="83" t="str">
        <x:v>EXT-0002</x:v>
      </x:c>
      <x:c r="B6" s="83" t="str">
        <x:v>PyPSA technology-data</x:v>
      </x:c>
      <x:c r="C6" s="83" t="str">
        <x:v>v0.9.2</x:v>
      </x:c>
      <x:c r="D6" s="83" t="n">
        <x:v>2040</x:v>
      </x:c>
      <x:c r="E6" s="83" t="str">
        <x:v>CCGT</x:v>
      </x:c>
      <x:c r="F6" s="83" t="str">
        <x:v>VOM</x:v>
      </x:c>
      <x:c r="G6" s="279" t="n">
        <x:v>4.3387</x:v>
      </x:c>
      <x:c r="H6" s="83" t="str">
        <x:v>EUR/MWh</x:v>
      </x:c>
      <x:c r="I6" s="83" t="str">
        <x:v>2015.0</x:v>
      </x:c>
      <x:c r="J6" s="83" t="str">
        <x:v>Danish Energy Agency, technology_data_for_el_and_dh.xlsx</x:v>
      </x:c>
      <x:c r="K6" s="83" t="str">
        <x:v>05 Gas turb. CC, steam extract.:  Variable O&amp;M</x:v>
      </x:c>
      <x:c r="L6" s="83" t="str">
        <x:v>Direct candidate</x:v>
      </x:c>
      <x:c r="M6" s="83" t="str">
        <x:v>Candidate — do not adopt until CLI version is pinned</x:v>
      </x:c>
      <x:c r="N6" s="120" t="str">
        <x:v>https://raw.githubusercontent.com/PyPSA/technology-data/v0.9.2/outputs/costs_2040.csv</x:v>
      </x:c>
      <x:c r="O6" s="83" t="str">
        <x:v>Values from different releases may use different currency-year and inflation conventions; do not blend releases.</x:v>
      </x:c>
    </x:row>
    <x:row r="7">
      <x:c r="A7" s="83" t="str">
        <x:v>EXT-0003</x:v>
      </x:c>
      <x:c r="B7" s="83" t="str">
        <x:v>PyPSA technology-data</x:v>
      </x:c>
      <x:c r="C7" s="83" t="str">
        <x:v>v0.9.2</x:v>
      </x:c>
      <x:c r="D7" s="83" t="n">
        <x:v>2040</x:v>
      </x:c>
      <x:c r="E7" s="83" t="str">
        <x:v>CCGT</x:v>
      </x:c>
      <x:c r="F7" s="83" t="str">
        <x:v>efficiency</x:v>
      </x:c>
      <x:c r="G7" s="279" t="n">
        <x:v>0.59</x:v>
      </x:c>
      <x:c r="H7" s="83" t="str">
        <x:v>per unit</x:v>
      </x:c>
      <x:c r="I7" s="83" t="str">
        <x:v>2015.0</x:v>
      </x:c>
      <x:c r="J7" s="83" t="str">
        <x:v>Danish Energy Agency, technology_data_for_el_and_dh.xlsx</x:v>
      </x:c>
      <x:c r="K7" s="83" t="str">
        <x:v>05 Gas turb. CC, steam extract.:  Electricity efficiency, annual average</x:v>
      </x:c>
      <x:c r="L7" s="83" t="str">
        <x:v>Direct candidate</x:v>
      </x:c>
      <x:c r="M7" s="83" t="str">
        <x:v>Candidate — do not adopt until CLI version is pinned</x:v>
      </x:c>
      <x:c r="N7" s="120" t="str">
        <x:v>https://raw.githubusercontent.com/PyPSA/technology-data/v0.9.2/outputs/costs_2040.csv</x:v>
      </x:c>
      <x:c r="O7" s="83" t="str">
        <x:v>Values from different releases may use different currency-year and inflation conventions; do not blend releases.</x:v>
      </x:c>
    </x:row>
    <x:row r="8">
      <x:c r="A8" s="83" t="str">
        <x:v>EXT-0004</x:v>
      </x:c>
      <x:c r="B8" s="83" t="str">
        <x:v>PyPSA technology-data</x:v>
      </x:c>
      <x:c r="C8" s="83" t="str">
        <x:v>v0.9.2</x:v>
      </x:c>
      <x:c r="D8" s="83" t="n">
        <x:v>2040</x:v>
      </x:c>
      <x:c r="E8" s="83" t="str">
        <x:v>CCGT</x:v>
      </x:c>
      <x:c r="F8" s="83" t="str">
        <x:v>investment</x:v>
      </x:c>
      <x:c r="G8" s="279" t="n">
        <x:v>862.4506</x:v>
      </x:c>
      <x:c r="H8" s="83" t="str">
        <x:v>EUR/kW</x:v>
      </x:c>
      <x:c r="I8" s="83" t="str">
        <x:v>2015.0</x:v>
      </x:c>
      <x:c r="J8" s="83" t="str">
        <x:v>Danish Energy Agency, technology_data_for_el_and_dh.xlsx</x:v>
      </x:c>
      <x:c r="K8" s="83" t="str">
        <x:v>05 Gas turb. CC, steam extract.:  Nominal investment</x:v>
      </x:c>
      <x:c r="L8" s="83" t="str">
        <x:v>Context / capacity optimisation</x:v>
      </x:c>
      <x:c r="M8" s="83" t="str">
        <x:v>Candidate — do not adopt until CLI version is pinned</x:v>
      </x:c>
      <x:c r="N8" s="120" t="str">
        <x:v>https://raw.githubusercontent.com/PyPSA/technology-data/v0.9.2/outputs/costs_2040.csv</x:v>
      </x:c>
      <x:c r="O8" s="83" t="str">
        <x:v>Values from different releases may use different currency-year and inflation conventions; do not blend releases.</x:v>
      </x:c>
    </x:row>
    <x:row r="9">
      <x:c r="A9" s="83" t="str">
        <x:v>EXT-0005</x:v>
      </x:c>
      <x:c r="B9" s="83" t="str">
        <x:v>PyPSA technology-data</x:v>
      </x:c>
      <x:c r="C9" s="83" t="str">
        <x:v>v0.9.2</x:v>
      </x:c>
      <x:c r="D9" s="83" t="n">
        <x:v>2040</x:v>
      </x:c>
      <x:c r="E9" s="83" t="str">
        <x:v>CCGT</x:v>
      </x:c>
      <x:c r="F9" s="83" t="str">
        <x:v>lifetime</x:v>
      </x:c>
      <x:c r="G9" s="279" t="n">
        <x:v>25</x:v>
      </x:c>
      <x:c r="H9" s="83" t="str">
        <x:v>years</x:v>
      </x:c>
      <x:c r="I9" s="83" t="str">
        <x:v>2015.0</x:v>
      </x:c>
      <x:c r="J9" s="83" t="str">
        <x:v>Danish Energy Agency, technology_data_for_el_and_dh.xlsx</x:v>
      </x:c>
      <x:c r="K9" s="83" t="str">
        <x:v>05 Gas turb. CC, steam extract.:  Technical lifetime</x:v>
      </x:c>
      <x:c r="L9" s="83" t="str">
        <x:v>Context / capacity optimisation</x:v>
      </x:c>
      <x:c r="M9" s="83" t="str">
        <x:v>Candidate — do not adopt until CLI version is pinned</x:v>
      </x:c>
      <x:c r="N9" s="120" t="str">
        <x:v>https://raw.githubusercontent.com/PyPSA/technology-data/v0.9.2/outputs/costs_2040.csv</x:v>
      </x:c>
      <x:c r="O9" s="83" t="str">
        <x:v>Values from different releases may use different currency-year and inflation conventions; do not blend releases.</x:v>
      </x:c>
    </x:row>
    <x:row r="10">
      <x:c r="A10" s="83" t="str">
        <x:v>EXT-0006</x:v>
      </x:c>
      <x:c r="B10" s="83" t="str">
        <x:v>PyPSA technology-data</x:v>
      </x:c>
      <x:c r="C10" s="83" t="str">
        <x:v>v0.9.2</x:v>
      </x:c>
      <x:c r="D10" s="83" t="n">
        <x:v>2040</x:v>
      </x:c>
      <x:c r="E10" s="83" t="str">
        <x:v>OCGT</x:v>
      </x:c>
      <x:c r="F10" s="83" t="str">
        <x:v>FOM</x:v>
      </x:c>
      <x:c r="G10" s="279" t="n">
        <x:v>1.7906</x:v>
      </x:c>
      <x:c r="H10" s="83" t="str">
        <x:v>%/year</x:v>
      </x:c>
      <x:c r="I10" s="83" t="str">
        <x:v>2015.0</x:v>
      </x:c>
      <x:c r="J10" s="83" t="str">
        <x:v>Danish Energy Agency, technology_data_for_el_and_dh.xlsx</x:v>
      </x:c>
      <x:c r="K10" s="83" t="str">
        <x:v>52 OCGT - Natural gas:  Fixed O&amp;M</x:v>
      </x:c>
      <x:c r="L10" s="83" t="str">
        <x:v>Context / capacity optimisation</x:v>
      </x:c>
      <x:c r="M10" s="83" t="str">
        <x:v>Candidate — do not adopt until CLI version is pinned</x:v>
      </x:c>
      <x:c r="N10" s="120" t="str">
        <x:v>https://raw.githubusercontent.com/PyPSA/technology-data/v0.9.2/outputs/costs_2040.csv</x:v>
      </x:c>
      <x:c r="O10" s="83" t="str">
        <x:v>Values from different releases may use different currency-year and inflation conventions; do not blend releases.</x:v>
      </x:c>
    </x:row>
    <x:row r="11">
      <x:c r="A11" s="83" t="str">
        <x:v>EXT-0007</x:v>
      </x:c>
      <x:c r="B11" s="83" t="str">
        <x:v>PyPSA technology-data</x:v>
      </x:c>
      <x:c r="C11" s="83" t="str">
        <x:v>v0.9.2</x:v>
      </x:c>
      <x:c r="D11" s="83" t="n">
        <x:v>2040</x:v>
      </x:c>
      <x:c r="E11" s="83" t="str">
        <x:v>OCGT</x:v>
      </x:c>
      <x:c r="F11" s="83" t="str">
        <x:v>VOM</x:v>
      </x:c>
      <x:c r="G11" s="279" t="n">
        <x:v>4.762</x:v>
      </x:c>
      <x:c r="H11" s="83" t="str">
        <x:v>EUR/MWh</x:v>
      </x:c>
      <x:c r="I11" s="83" t="str">
        <x:v>2015.0</x:v>
      </x:c>
      <x:c r="J11" s="83" t="str">
        <x:v>Danish Energy Agency, technology_data_for_el_and_dh.xlsx</x:v>
      </x:c>
      <x:c r="K11" s="83" t="str">
        <x:v>52 OCGT - Natural gas:  Variable O&amp;M</x:v>
      </x:c>
      <x:c r="L11" s="83" t="str">
        <x:v>Direct candidate</x:v>
      </x:c>
      <x:c r="M11" s="83" t="str">
        <x:v>Candidate — do not adopt until CLI version is pinned</x:v>
      </x:c>
      <x:c r="N11" s="120" t="str">
        <x:v>https://raw.githubusercontent.com/PyPSA/technology-data/v0.9.2/outputs/costs_2040.csv</x:v>
      </x:c>
      <x:c r="O11" s="83" t="str">
        <x:v>Values from different releases may use different currency-year and inflation conventions; do not blend releases.</x:v>
      </x:c>
    </x:row>
    <x:row r="12">
      <x:c r="A12" s="83" t="str">
        <x:v>EXT-0008</x:v>
      </x:c>
      <x:c r="B12" s="83" t="str">
        <x:v>PyPSA technology-data</x:v>
      </x:c>
      <x:c r="C12" s="83" t="str">
        <x:v>v0.9.2</x:v>
      </x:c>
      <x:c r="D12" s="83" t="n">
        <x:v>2040</x:v>
      </x:c>
      <x:c r="E12" s="83" t="str">
        <x:v>OCGT</x:v>
      </x:c>
      <x:c r="F12" s="83" t="str">
        <x:v>efficiency</x:v>
      </x:c>
      <x:c r="G12" s="279" t="n">
        <x:v>0.42</x:v>
      </x:c>
      <x:c r="H12" s="83" t="str">
        <x:v>per unit</x:v>
      </x:c>
      <x:c r="I12" s="83" t="str">
        <x:v>2015.0</x:v>
      </x:c>
      <x:c r="J12" s="83" t="str">
        <x:v>Danish Energy Agency, technology_data_for_el_and_dh.xlsx</x:v>
      </x:c>
      <x:c r="K12" s="83" t="str">
        <x:v>52 OCGT - Natural gas:  Electricity efficiency, annual average</x:v>
      </x:c>
      <x:c r="L12" s="83" t="str">
        <x:v>Direct candidate</x:v>
      </x:c>
      <x:c r="M12" s="83" t="str">
        <x:v>Candidate — do not adopt until CLI version is pinned</x:v>
      </x:c>
      <x:c r="N12" s="120" t="str">
        <x:v>https://raw.githubusercontent.com/PyPSA/technology-data/v0.9.2/outputs/costs_2040.csv</x:v>
      </x:c>
      <x:c r="O12" s="83" t="str">
        <x:v>Values from different releases may use different currency-year and inflation conventions; do not blend releases.</x:v>
      </x:c>
    </x:row>
    <x:row r="13">
      <x:c r="A13" s="83" t="str">
        <x:v>EXT-0009</x:v>
      </x:c>
      <x:c r="B13" s="83" t="str">
        <x:v>PyPSA technology-data</x:v>
      </x:c>
      <x:c r="C13" s="83" t="str">
        <x:v>v0.9.2</x:v>
      </x:c>
      <x:c r="D13" s="83" t="n">
        <x:v>2040</x:v>
      </x:c>
      <x:c r="E13" s="83" t="str">
        <x:v>OCGT</x:v>
      </x:c>
      <x:c r="F13" s="83" t="str">
        <x:v>investment</x:v>
      </x:c>
      <x:c r="G13" s="279" t="n">
        <x:v>448.1992</x:v>
      </x:c>
      <x:c r="H13" s="83" t="str">
        <x:v>EUR/kW</x:v>
      </x:c>
      <x:c r="I13" s="83" t="str">
        <x:v>2015.0</x:v>
      </x:c>
      <x:c r="J13" s="83" t="str">
        <x:v>Danish Energy Agency, technology_data_for_el_and_dh.xlsx</x:v>
      </x:c>
      <x:c r="K13" s="83" t="str">
        <x:v>52 OCGT - Natural gas:  Specific investment</x:v>
      </x:c>
      <x:c r="L13" s="83" t="str">
        <x:v>Context / capacity optimisation</x:v>
      </x:c>
      <x:c r="M13" s="83" t="str">
        <x:v>Candidate — do not adopt until CLI version is pinned</x:v>
      </x:c>
      <x:c r="N13" s="120" t="str">
        <x:v>https://raw.githubusercontent.com/PyPSA/technology-data/v0.9.2/outputs/costs_2040.csv</x:v>
      </x:c>
      <x:c r="O13" s="83" t="str">
        <x:v>Values from different releases may use different currency-year and inflation conventions; do not blend releases.</x:v>
      </x:c>
    </x:row>
    <x:row r="14">
      <x:c r="A14" s="83" t="str">
        <x:v>EXT-0010</x:v>
      </x:c>
      <x:c r="B14" s="83" t="str">
        <x:v>PyPSA technology-data</x:v>
      </x:c>
      <x:c r="C14" s="83" t="str">
        <x:v>v0.9.2</x:v>
      </x:c>
      <x:c r="D14" s="83" t="n">
        <x:v>2040</x:v>
      </x:c>
      <x:c r="E14" s="83" t="str">
        <x:v>OCGT</x:v>
      </x:c>
      <x:c r="F14" s="83" t="str">
        <x:v>lifetime</x:v>
      </x:c>
      <x:c r="G14" s="279" t="n">
        <x:v>25</x:v>
      </x:c>
      <x:c r="H14" s="83" t="str">
        <x:v>years</x:v>
      </x:c>
      <x:c r="I14" s="83" t="str">
        <x:v>2015.0</x:v>
      </x:c>
      <x:c r="J14" s="83" t="str">
        <x:v>Danish Energy Agency, technology_data_for_el_and_dh.xlsx</x:v>
      </x:c>
      <x:c r="K14" s="83" t="str">
        <x:v>52 OCGT - Natural gas:  Technical lifetime</x:v>
      </x:c>
      <x:c r="L14" s="83" t="str">
        <x:v>Context / capacity optimisation</x:v>
      </x:c>
      <x:c r="M14" s="83" t="str">
        <x:v>Candidate — do not adopt until CLI version is pinned</x:v>
      </x:c>
      <x:c r="N14" s="120" t="str">
        <x:v>https://raw.githubusercontent.com/PyPSA/technology-data/v0.9.2/outputs/costs_2040.csv</x:v>
      </x:c>
      <x:c r="O14" s="83" t="str">
        <x:v>Values from different releases may use different currency-year and inflation conventions; do not blend releases.</x:v>
      </x:c>
    </x:row>
    <x:row r="15">
      <x:c r="A15" s="83" t="str">
        <x:v>EXT-0011</x:v>
      </x:c>
      <x:c r="B15" s="83" t="str">
        <x:v>PyPSA technology-data</x:v>
      </x:c>
      <x:c r="C15" s="83" t="str">
        <x:v>v0.9.2</x:v>
      </x:c>
      <x:c r="D15" s="83" t="n">
        <x:v>2040</x:v>
      </x:c>
      <x:c r="E15" s="83" t="str">
        <x:v>PHS</x:v>
      </x:c>
      <x:c r="F15" s="83" t="str">
        <x:v>FOM</x:v>
      </x:c>
      <x:c r="G15" s="279" t="n">
        <x:v>1</x:v>
      </x:c>
      <x:c r="H15" s="83" t="str">
        <x:v>%/year</x:v>
      </x:c>
      <x:c r="I15" s="83" t="str">
        <x:v>2015.0</x:v>
      </x:c>
      <x:c r="J15" s="83" t="str">
        <x:v>DIW DataDoc http://hdl.handle.net/10419/80348</x:v>
      </x:c>
      <x:c r="K15" s="83" t="str">
        <x:v> from old pypsa cost assumptions</x:v>
      </x:c>
      <x:c r="L15" s="83" t="str">
        <x:v>Context / capacity optimisation</x:v>
      </x:c>
      <x:c r="M15" s="83" t="str">
        <x:v>Candidate — do not adopt until CLI version is pinned</x:v>
      </x:c>
      <x:c r="N15" s="120" t="str">
        <x:v>https://raw.githubusercontent.com/PyPSA/technology-data/v0.9.2/outputs/costs_2040.csv</x:v>
      </x:c>
      <x:c r="O15" s="83" t="str">
        <x:v>Values from different releases may use different currency-year and inflation conventions; do not blend releases.</x:v>
      </x:c>
    </x:row>
    <x:row r="16">
      <x:c r="A16" s="83" t="str">
        <x:v>EXT-0012</x:v>
      </x:c>
      <x:c r="B16" s="83" t="str">
        <x:v>PyPSA technology-data</x:v>
      </x:c>
      <x:c r="C16" s="83" t="str">
        <x:v>v0.9.2</x:v>
      </x:c>
      <x:c r="D16" s="83" t="n">
        <x:v>2040</x:v>
      </x:c>
      <x:c r="E16" s="83" t="str">
        <x:v>PHS</x:v>
      </x:c>
      <x:c r="F16" s="83" t="str">
        <x:v>efficiency</x:v>
      </x:c>
      <x:c r="G16" s="279" t="n">
        <x:v>0.75</x:v>
      </x:c>
      <x:c r="H16" s="83" t="str">
        <x:v>per unit</x:v>
      </x:c>
      <x:c r="I16" s="83" t="str">
        <x:v>2015.0</x:v>
      </x:c>
      <x:c r="J16" s="83" t="str">
        <x:v>DIW DataDoc http://hdl.handle.net/10419/80348</x:v>
      </x:c>
      <x:c r="K16" s="83" t="str">
        <x:v> from old pypsa cost assumptions</x:v>
      </x:c>
      <x:c r="L16" s="83" t="str">
        <x:v>Direct candidate</x:v>
      </x:c>
      <x:c r="M16" s="83" t="str">
        <x:v>Candidate — do not adopt until CLI version is pinned</x:v>
      </x:c>
      <x:c r="N16" s="120" t="str">
        <x:v>https://raw.githubusercontent.com/PyPSA/technology-data/v0.9.2/outputs/costs_2040.csv</x:v>
      </x:c>
      <x:c r="O16" s="83" t="str">
        <x:v>Values from different releases may use different currency-year and inflation conventions; do not blend releases.</x:v>
      </x:c>
    </x:row>
    <x:row r="17">
      <x:c r="A17" s="83" t="str">
        <x:v>EXT-0013</x:v>
      </x:c>
      <x:c r="B17" s="83" t="str">
        <x:v>PyPSA technology-data</x:v>
      </x:c>
      <x:c r="C17" s="83" t="str">
        <x:v>v0.9.2</x:v>
      </x:c>
      <x:c r="D17" s="83" t="n">
        <x:v>2040</x:v>
      </x:c>
      <x:c r="E17" s="83" t="str">
        <x:v>PHS</x:v>
      </x:c>
      <x:c r="F17" s="83" t="str">
        <x:v>investment</x:v>
      </x:c>
      <x:c r="G17" s="279" t="n">
        <x:v>2274.8177</x:v>
      </x:c>
      <x:c r="H17" s="83" t="str">
        <x:v>EUR/kWel</x:v>
      </x:c>
      <x:c r="I17" s="83" t="str">
        <x:v>2010.0</x:v>
      </x:c>
      <x:c r="J17" s="83" t="str">
        <x:v>DIW DataDoc http://hdl.handle.net/10419/80348</x:v>
      </x:c>
      <x:c r="K17" s="83" t="str">
        <x:v> from old pypsa cost assumptions</x:v>
      </x:c>
      <x:c r="L17" s="83" t="str">
        <x:v>Context / capacity optimisation</x:v>
      </x:c>
      <x:c r="M17" s="83" t="str">
        <x:v>Candidate — do not adopt until CLI version is pinned</x:v>
      </x:c>
      <x:c r="N17" s="120" t="str">
        <x:v>https://raw.githubusercontent.com/PyPSA/technology-data/v0.9.2/outputs/costs_2040.csv</x:v>
      </x:c>
      <x:c r="O17" s="83" t="str">
        <x:v>Values from different releases may use different currency-year and inflation conventions; do not blend releases.</x:v>
      </x:c>
    </x:row>
    <x:row r="18">
      <x:c r="A18" s="83" t="str">
        <x:v>EXT-0014</x:v>
      </x:c>
      <x:c r="B18" s="83" t="str">
        <x:v>PyPSA technology-data</x:v>
      </x:c>
      <x:c r="C18" s="83" t="str">
        <x:v>v0.9.2</x:v>
      </x:c>
      <x:c r="D18" s="83" t="n">
        <x:v>2040</x:v>
      </x:c>
      <x:c r="E18" s="83" t="str">
        <x:v>PHS</x:v>
      </x:c>
      <x:c r="F18" s="83" t="str">
        <x:v>lifetime</x:v>
      </x:c>
      <x:c r="G18" s="279" t="n">
        <x:v>80</x:v>
      </x:c>
      <x:c r="H18" s="83" t="str">
        <x:v>years</x:v>
      </x:c>
      <x:c r="I18" s="83" t="str">
        <x:v>2015.0</x:v>
      </x:c>
      <x:c r="J18" s="83" t="str">
        <x:v>IEA2010</x:v>
      </x:c>
      <x:c r="K18" s="83" t="str">
        <x:v> from old pypsa cost assumptions</x:v>
      </x:c>
      <x:c r="L18" s="83" t="str">
        <x:v>Context / capacity optimisation</x:v>
      </x:c>
      <x:c r="M18" s="83" t="str">
        <x:v>Candidate — do not adopt until CLI version is pinned</x:v>
      </x:c>
      <x:c r="N18" s="120" t="str">
        <x:v>https://raw.githubusercontent.com/PyPSA/technology-data/v0.9.2/outputs/costs_2040.csv</x:v>
      </x:c>
      <x:c r="O18" s="83" t="str">
        <x:v>Values from different releases may use different currency-year and inflation conventions; do not blend releases.</x:v>
      </x:c>
    </x:row>
    <x:row r="19">
      <x:c r="A19" s="83" t="str">
        <x:v>EXT-0015</x:v>
      </x:c>
      <x:c r="B19" s="83" t="str">
        <x:v>PyPSA technology-data</x:v>
      </x:c>
      <x:c r="C19" s="83" t="str">
        <x:v>v0.9.2</x:v>
      </x:c>
      <x:c r="D19" s="83" t="n">
        <x:v>2040</x:v>
      </x:c>
      <x:c r="E19" s="83" t="str">
        <x:v>battery inverter</x:v>
      </x:c>
      <x:c r="F19" s="83" t="str">
        <x:v>FOM</x:v>
      </x:c>
      <x:c r="G19" s="279" t="n">
        <x:v>0.54</x:v>
      </x:c>
      <x:c r="H19" s="83" t="str">
        <x:v>%/year</x:v>
      </x:c>
      <x:c r="I19" s="83" t="str">
        <x:v>2015.0</x:v>
      </x:c>
      <x:c r="J19" s="83" t="str">
        <x:v>Danish Energy Agency, technology_data_catalogue_for_energy_storage.xlsx</x:v>
      </x:c>
      <x:c r="K19" s="83" t="str">
        <x:v>:  Fixed O&amp;M</x:v>
      </x:c>
      <x:c r="L19" s="83" t="str">
        <x:v>Context / capacity optimisation</x:v>
      </x:c>
      <x:c r="M19" s="83" t="str">
        <x:v>Candidate — do not adopt until CLI version is pinned</x:v>
      </x:c>
      <x:c r="N19" s="120" t="str">
        <x:v>https://raw.githubusercontent.com/PyPSA/technology-data/v0.9.2/outputs/costs_2040.csv</x:v>
      </x:c>
      <x:c r="O19" s="83" t="str">
        <x:v>Values from different releases may use different currency-year and inflation conventions; do not blend releases.</x:v>
      </x:c>
    </x:row>
    <x:row r="20">
      <x:c r="A20" s="83" t="str">
        <x:v>EXT-0016</x:v>
      </x:c>
      <x:c r="B20" s="83" t="str">
        <x:v>PyPSA technology-data</x:v>
      </x:c>
      <x:c r="C20" s="83" t="str">
        <x:v>v0.9.2</x:v>
      </x:c>
      <x:c r="D20" s="83" t="n">
        <x:v>2040</x:v>
      </x:c>
      <x:c r="E20" s="83" t="str">
        <x:v>battery inverter</x:v>
      </x:c>
      <x:c r="F20" s="83" t="str">
        <x:v>efficiency</x:v>
      </x:c>
      <x:c r="G20" s="279" t="n">
        <x:v>0.96</x:v>
      </x:c>
      <x:c r="H20" s="83" t="str">
        <x:v>per unit</x:v>
      </x:c>
      <x:c r="I20" s="83" t="str">
        <x:v>2015.0</x:v>
      </x:c>
      <x:c r="J20" s="83" t="str">
        <x:v>Danish Energy Agency, technology_data_catalogue_for_energy_storage.xlsx</x:v>
      </x:c>
      <x:c r="K20" s="83" t="str">
        <x:v>:  Round trip efficiency DC</x:v>
      </x:c>
      <x:c r="L20" s="83" t="str">
        <x:v>Direct candidate</x:v>
      </x:c>
      <x:c r="M20" s="83" t="str">
        <x:v>Candidate — do not adopt until CLI version is pinned</x:v>
      </x:c>
      <x:c r="N20" s="120" t="str">
        <x:v>https://raw.githubusercontent.com/PyPSA/technology-data/v0.9.2/outputs/costs_2040.csv</x:v>
      </x:c>
      <x:c r="O20" s="83" t="str">
        <x:v>Values from different releases may use different currency-year and inflation conventions; do not blend releases.</x:v>
      </x:c>
    </x:row>
    <x:row r="21">
      <x:c r="A21" s="83" t="str">
        <x:v>EXT-0017</x:v>
      </x:c>
      <x:c r="B21" s="83" t="str">
        <x:v>PyPSA technology-data</x:v>
      </x:c>
      <x:c r="C21" s="83" t="str">
        <x:v>v0.9.2</x:v>
      </x:c>
      <x:c r="D21" s="83" t="n">
        <x:v>2040</x:v>
      </x:c>
      <x:c r="E21" s="83" t="str">
        <x:v>battery inverter</x:v>
      </x:c>
      <x:c r="F21" s="83" t="str">
        <x:v>investment</x:v>
      </x:c>
      <x:c r="G21" s="279" t="n">
        <x:v>105.8222</x:v>
      </x:c>
      <x:c r="H21" s="83" t="str">
        <x:v>EUR/kW</x:v>
      </x:c>
      <x:c r="I21" s="83" t="str">
        <x:v>2015.0</x:v>
      </x:c>
      <x:c r="J21" s="83" t="str">
        <x:v>Danish Energy Agency, technology_data_catalogue_for_energy_storage.xlsx</x:v>
      </x:c>
      <x:c r="K21" s="83" t="str">
        <x:v>:  Output capacity expansion cost investment</x:v>
      </x:c>
      <x:c r="L21" s="83" t="str">
        <x:v>Context / capacity optimisation</x:v>
      </x:c>
      <x:c r="M21" s="83" t="str">
        <x:v>Candidate — do not adopt until CLI version is pinned</x:v>
      </x:c>
      <x:c r="N21" s="120" t="str">
        <x:v>https://raw.githubusercontent.com/PyPSA/technology-data/v0.9.2/outputs/costs_2040.csv</x:v>
      </x:c>
      <x:c r="O21" s="83" t="str">
        <x:v>Values from different releases may use different currency-year and inflation conventions; do not blend releases.</x:v>
      </x:c>
    </x:row>
    <x:row r="22">
      <x:c r="A22" s="83" t="str">
        <x:v>EXT-0018</x:v>
      </x:c>
      <x:c r="B22" s="83" t="str">
        <x:v>PyPSA technology-data</x:v>
      </x:c>
      <x:c r="C22" s="83" t="str">
        <x:v>v0.9.2</x:v>
      </x:c>
      <x:c r="D22" s="83" t="n">
        <x:v>2040</x:v>
      </x:c>
      <x:c r="E22" s="83" t="str">
        <x:v>battery inverter</x:v>
      </x:c>
      <x:c r="F22" s="83" t="str">
        <x:v>lifetime</x:v>
      </x:c>
      <x:c r="G22" s="279" t="n">
        <x:v>10</x:v>
      </x:c>
      <x:c r="H22" s="83" t="str">
        <x:v>years</x:v>
      </x:c>
      <x:c r="I22" s="83" t="str">
        <x:v>2015.0</x:v>
      </x:c>
      <x:c r="J22" s="83" t="str">
        <x:v>Danish Energy Agency, technology_data_catalogue_for_energy_storage.xlsx, Note K.</x:v>
      </x:c>
      <x:c r="K22" s="83" t="str">
        <x:v>:  Technical lifetime</x:v>
      </x:c>
      <x:c r="L22" s="83" t="str">
        <x:v>Context / capacity optimisation</x:v>
      </x:c>
      <x:c r="M22" s="83" t="str">
        <x:v>Candidate — do not adopt until CLI version is pinned</x:v>
      </x:c>
      <x:c r="N22" s="120" t="str">
        <x:v>https://raw.githubusercontent.com/PyPSA/technology-data/v0.9.2/outputs/costs_2040.csv</x:v>
      </x:c>
      <x:c r="O22" s="83" t="str">
        <x:v>Values from different releases may use different currency-year and inflation conventions; do not blend releases.</x:v>
      </x:c>
    </x:row>
    <x:row r="23">
      <x:c r="A23" s="83" t="str">
        <x:v>EXT-0019</x:v>
      </x:c>
      <x:c r="B23" s="83" t="str">
        <x:v>PyPSA technology-data</x:v>
      </x:c>
      <x:c r="C23" s="83" t="str">
        <x:v>v0.9.2</x:v>
      </x:c>
      <x:c r="D23" s="83" t="n">
        <x:v>2040</x:v>
      </x:c>
      <x:c r="E23" s="83" t="str">
        <x:v>battery storage</x:v>
      </x:c>
      <x:c r="F23" s="83" t="str">
        <x:v>investment</x:v>
      </x:c>
      <x:c r="G23" s="279" t="n">
        <x:v>99.4728</x:v>
      </x:c>
      <x:c r="H23" s="83" t="str">
        <x:v>EUR/kWh</x:v>
      </x:c>
      <x:c r="I23" s="83" t="str">
        <x:v>2015.0</x:v>
      </x:c>
      <x:c r="J23" s="83" t="str">
        <x:v>Danish Energy Agency, technology_data_catalogue_for_energy_storage.xlsx</x:v>
      </x:c>
      <x:c r="K23" s="83" t="str">
        <x:v>:  Energy storage expansion cost investment</x:v>
      </x:c>
      <x:c r="L23" s="83" t="str">
        <x:v>Context / capacity optimisation</x:v>
      </x:c>
      <x:c r="M23" s="83" t="str">
        <x:v>Candidate — do not adopt until CLI version is pinned</x:v>
      </x:c>
      <x:c r="N23" s="120" t="str">
        <x:v>https://raw.githubusercontent.com/PyPSA/technology-data/v0.9.2/outputs/costs_2040.csv</x:v>
      </x:c>
      <x:c r="O23" s="83" t="str">
        <x:v>Values from different releases may use different currency-year and inflation conventions; do not blend releases.</x:v>
      </x:c>
    </x:row>
    <x:row r="24">
      <x:c r="A24" s="83" t="str">
        <x:v>EXT-0020</x:v>
      </x:c>
      <x:c r="B24" s="83" t="str">
        <x:v>PyPSA technology-data</x:v>
      </x:c>
      <x:c r="C24" s="83" t="str">
        <x:v>v0.9.2</x:v>
      </x:c>
      <x:c r="D24" s="83" t="n">
        <x:v>2040</x:v>
      </x:c>
      <x:c r="E24" s="83" t="str">
        <x:v>battery storage</x:v>
      </x:c>
      <x:c r="F24" s="83" t="str">
        <x:v>lifetime</x:v>
      </x:c>
      <x:c r="G24" s="279" t="n">
        <x:v>30</x:v>
      </x:c>
      <x:c r="H24" s="83" t="str">
        <x:v>years</x:v>
      </x:c>
      <x:c r="I24" s="83" t="str">
        <x:v>2015.0</x:v>
      </x:c>
      <x:c r="J24" s="83" t="str">
        <x:v>Danish Energy Agency, technology_data_catalogue_for_energy_storage.xlsx</x:v>
      </x:c>
      <x:c r="K24" s="83" t="str">
        <x:v>:  Technical lifetime</x:v>
      </x:c>
      <x:c r="L24" s="83" t="str">
        <x:v>Context / capacity optimisation</x:v>
      </x:c>
      <x:c r="M24" s="83" t="str">
        <x:v>Candidate — do not adopt until CLI version is pinned</x:v>
      </x:c>
      <x:c r="N24" s="120" t="str">
        <x:v>https://raw.githubusercontent.com/PyPSA/technology-data/v0.9.2/outputs/costs_2040.csv</x:v>
      </x:c>
      <x:c r="O24" s="83" t="str">
        <x:v>Values from different releases may use different currency-year and inflation conventions; do not blend releases.</x:v>
      </x:c>
    </x:row>
    <x:row r="25">
      <x:c r="A25" s="83" t="str">
        <x:v>EXT-0021</x:v>
      </x:c>
      <x:c r="B25" s="83" t="str">
        <x:v>PyPSA technology-data</x:v>
      </x:c>
      <x:c r="C25" s="83" t="str">
        <x:v>v0.9.2</x:v>
      </x:c>
      <x:c r="D25" s="83" t="n">
        <x:v>2040</x:v>
      </x:c>
      <x:c r="E25" s="83" t="str">
        <x:v>biomass</x:v>
      </x:c>
      <x:c r="F25" s="83" t="str">
        <x:v>FOM</x:v>
      </x:c>
      <x:c r="G25" s="279" t="n">
        <x:v>4.5269</x:v>
      </x:c>
      <x:c r="H25" s="83" t="str">
        <x:v>%/year</x:v>
      </x:c>
      <x:c r="I25" s="83" t="str">
        <x:v>2015.0</x:v>
      </x:c>
      <x:c r="J25" s="83" t="str">
        <x:v>DIW DataDoc http://hdl.handle.net/10419/80348</x:v>
      </x:c>
      <x:c r="K25" s="83" t="str">
        <x:v> from old pypsa cost assumptions</x:v>
      </x:c>
      <x:c r="L25" s="83" t="str">
        <x:v>Context / capacity optimisation</x:v>
      </x:c>
      <x:c r="M25" s="83" t="str">
        <x:v>Candidate — do not adopt until CLI version is pinned</x:v>
      </x:c>
      <x:c r="N25" s="120" t="str">
        <x:v>https://raw.githubusercontent.com/PyPSA/technology-data/v0.9.2/outputs/costs_2040.csv</x:v>
      </x:c>
      <x:c r="O25" s="83" t="str">
        <x:v>Values from different releases may use different currency-year and inflation conventions; do not blend releases.</x:v>
      </x:c>
    </x:row>
    <x:row r="26">
      <x:c r="A26" s="83" t="str">
        <x:v>EXT-0022</x:v>
      </x:c>
      <x:c r="B26" s="83" t="str">
        <x:v>PyPSA technology-data</x:v>
      </x:c>
      <x:c r="C26" s="83" t="str">
        <x:v>v0.9.2</x:v>
      </x:c>
      <x:c r="D26" s="83" t="n">
        <x:v>2040</x:v>
      </x:c>
      <x:c r="E26" s="83" t="str">
        <x:v>biomass</x:v>
      </x:c>
      <x:c r="F26" s="83" t="str">
        <x:v>efficiency</x:v>
      </x:c>
      <x:c r="G26" s="279" t="n">
        <x:v>0.468</x:v>
      </x:c>
      <x:c r="H26" s="83" t="str">
        <x:v>per unit</x:v>
      </x:c>
      <x:c r="I26" s="83" t="str">
        <x:v>2015.0</x:v>
      </x:c>
      <x:c r="J26" s="83" t="str">
        <x:v>DIW DataDoc http://hdl.handle.net/10419/80348</x:v>
      </x:c>
      <x:c r="K26" s="83" t="str">
        <x:v> from old pypsa cost assumptions</x:v>
      </x:c>
      <x:c r="L26" s="83" t="str">
        <x:v>Direct candidate</x:v>
      </x:c>
      <x:c r="M26" s="83" t="str">
        <x:v>Candidate — do not adopt until CLI version is pinned</x:v>
      </x:c>
      <x:c r="N26" s="120" t="str">
        <x:v>https://raw.githubusercontent.com/PyPSA/technology-data/v0.9.2/outputs/costs_2040.csv</x:v>
      </x:c>
      <x:c r="O26" s="83" t="str">
        <x:v>Values from different releases may use different currency-year and inflation conventions; do not blend releases.</x:v>
      </x:c>
    </x:row>
    <x:row r="27">
      <x:c r="A27" s="83" t="str">
        <x:v>EXT-0023</x:v>
      </x:c>
      <x:c r="B27" s="83" t="str">
        <x:v>PyPSA technology-data</x:v>
      </x:c>
      <x:c r="C27" s="83" t="str">
        <x:v>v0.9.2</x:v>
      </x:c>
      <x:c r="D27" s="83" t="n">
        <x:v>2040</x:v>
      </x:c>
      <x:c r="E27" s="83" t="str">
        <x:v>biomass</x:v>
      </x:c>
      <x:c r="F27" s="83" t="str">
        <x:v>fuel</x:v>
      </x:c>
      <x:c r="G27" s="279" t="n">
        <x:v>7.4076</x:v>
      </x:c>
      <x:c r="H27" s="83" t="str">
        <x:v>EUR/MWhth</x:v>
      </x:c>
      <x:c r="I27" s="83" t="str">
        <x:v>2015.0</x:v>
      </x:c>
      <x:c r="J27" s="83" t="str">
        <x:v>IEA2011b</x:v>
      </x:c>
      <x:c r="K27" s="83" t="str">
        <x:v> from old pypsa cost assumptions</x:v>
      </x:c>
      <x:c r="L27" s="83" t="str">
        <x:v>Direct candidate</x:v>
      </x:c>
      <x:c r="M27" s="83" t="str">
        <x:v>Candidate — do not adopt until CLI version is pinned</x:v>
      </x:c>
      <x:c r="N27" s="120" t="str">
        <x:v>https://raw.githubusercontent.com/PyPSA/technology-data/v0.9.2/outputs/costs_2040.csv</x:v>
      </x:c>
      <x:c r="O27" s="83" t="str">
        <x:v>Values from different releases may use different currency-year and inflation conventions; do not blend releases.</x:v>
      </x:c>
    </x:row>
    <x:row r="28">
      <x:c r="A28" s="83" t="str">
        <x:v>EXT-0024</x:v>
      </x:c>
      <x:c r="B28" s="83" t="str">
        <x:v>PyPSA technology-data</x:v>
      </x:c>
      <x:c r="C28" s="83" t="str">
        <x:v>v0.9.2</x:v>
      </x:c>
      <x:c r="D28" s="83" t="n">
        <x:v>2040</x:v>
      </x:c>
      <x:c r="E28" s="83" t="str">
        <x:v>biomass</x:v>
      </x:c>
      <x:c r="F28" s="83" t="str">
        <x:v>investment</x:v>
      </x:c>
      <x:c r="G28" s="279" t="n">
        <x:v>2337.6116</x:v>
      </x:c>
      <x:c r="H28" s="83" t="str">
        <x:v>EUR/kWel</x:v>
      </x:c>
      <x:c r="I28" s="83" t="str">
        <x:v>2015.0</x:v>
      </x:c>
      <x:c r="J28" s="83" t="str">
        <x:v>DIW DataDoc http://hdl.handle.net/10419/80348</x:v>
      </x:c>
      <x:c r="K28" s="83" t="str">
        <x:v> from old pypsa cost assumptions</x:v>
      </x:c>
      <x:c r="L28" s="83" t="str">
        <x:v>Context / capacity optimisation</x:v>
      </x:c>
      <x:c r="M28" s="83" t="str">
        <x:v>Candidate — do not adopt until CLI version is pinned</x:v>
      </x:c>
      <x:c r="N28" s="120" t="str">
        <x:v>https://raw.githubusercontent.com/PyPSA/technology-data/v0.9.2/outputs/costs_2040.csv</x:v>
      </x:c>
      <x:c r="O28" s="83" t="str">
        <x:v>Values from different releases may use different currency-year and inflation conventions; do not blend releases.</x:v>
      </x:c>
    </x:row>
    <x:row r="29">
      <x:c r="A29" s="83" t="str">
        <x:v>EXT-0025</x:v>
      </x:c>
      <x:c r="B29" s="83" t="str">
        <x:v>PyPSA technology-data</x:v>
      </x:c>
      <x:c r="C29" s="83" t="str">
        <x:v>v0.9.2</x:v>
      </x:c>
      <x:c r="D29" s="83" t="n">
        <x:v>2040</x:v>
      </x:c>
      <x:c r="E29" s="83" t="str">
        <x:v>biomass</x:v>
      </x:c>
      <x:c r="F29" s="83" t="str">
        <x:v>lifetime</x:v>
      </x:c>
      <x:c r="G29" s="279" t="n">
        <x:v>30</x:v>
      </x:c>
      <x:c r="H29" s="83" t="str">
        <x:v>years</x:v>
      </x:c>
      <x:c r="I29" s="83" t="str">
        <x:v>2015.0</x:v>
      </x:c>
      <x:c r="J29" s="83" t="str">
        <x:v>ECF2010 in DIW DataDoc http://hdl.handle.net/10419/80348</x:v>
      </x:c>
      <x:c r="K29" s="83" t="str">
        <x:v> from old pypsa cost assumptions</x:v>
      </x:c>
      <x:c r="L29" s="83" t="str">
        <x:v>Context / capacity optimisation</x:v>
      </x:c>
      <x:c r="M29" s="83" t="str">
        <x:v>Candidate — do not adopt until CLI version is pinned</x:v>
      </x:c>
      <x:c r="N29" s="120" t="str">
        <x:v>https://raw.githubusercontent.com/PyPSA/technology-data/v0.9.2/outputs/costs_2040.csv</x:v>
      </x:c>
      <x:c r="O29" s="83" t="str">
        <x:v>Values from different releases may use different currency-year and inflation conventions; do not blend releases.</x:v>
      </x:c>
    </x:row>
    <x:row r="30">
      <x:c r="A30" s="83" t="str">
        <x:v>EXT-0026</x:v>
      </x:c>
      <x:c r="B30" s="83" t="str">
        <x:v>PyPSA technology-data</x:v>
      </x:c>
      <x:c r="C30" s="83" t="str">
        <x:v>v0.9.2</x:v>
      </x:c>
      <x:c r="D30" s="83" t="n">
        <x:v>2040</x:v>
      </x:c>
      <x:c r="E30" s="83" t="str">
        <x:v>electrolysis</x:v>
      </x:c>
      <x:c r="F30" s="83" t="str">
        <x:v>FOM</x:v>
      </x:c>
      <x:c r="G30" s="279" t="n">
        <x:v>4</x:v>
      </x:c>
      <x:c r="H30" s="83" t="str">
        <x:v>%/year</x:v>
      </x:c>
      <x:c r="I30" s="83" t="str">
        <x:v>2020.0</x:v>
      </x:c>
      <x:c r="J30" s="83" t="str">
        <x:v>Danish Energy Agency, data_sheets_for_renewable_fuels.xlsx</x:v>
      </x:c>
      <x:c r="K30" s="83" t="str">
        <x:v>86 AEC 100 MW:  Fixed O&amp;M </x:v>
      </x:c>
      <x:c r="L30" s="83" t="str">
        <x:v>Context / capacity optimisation</x:v>
      </x:c>
      <x:c r="M30" s="83" t="str">
        <x:v>Candidate — do not adopt until CLI version is pinned</x:v>
      </x:c>
      <x:c r="N30" s="120" t="str">
        <x:v>https://raw.githubusercontent.com/PyPSA/technology-data/v0.9.2/outputs/costs_2040.csv</x:v>
      </x:c>
      <x:c r="O30" s="83" t="str">
        <x:v>Values from different releases may use different currency-year and inflation conventions; do not blend releases.</x:v>
      </x:c>
    </x:row>
    <x:row r="31">
      <x:c r="A31" s="83" t="str">
        <x:v>EXT-0027</x:v>
      </x:c>
      <x:c r="B31" s="83" t="str">
        <x:v>PyPSA technology-data</x:v>
      </x:c>
      <x:c r="C31" s="83" t="str">
        <x:v>v0.9.2</x:v>
      </x:c>
      <x:c r="D31" s="83" t="n">
        <x:v>2040</x:v>
      </x:c>
      <x:c r="E31" s="83" t="str">
        <x:v>electrolysis</x:v>
      </x:c>
      <x:c r="F31" s="83" t="str">
        <x:v>efficiency</x:v>
      </x:c>
      <x:c r="G31" s="279" t="n">
        <x:v>0.6532</x:v>
      </x:c>
      <x:c r="H31" s="83" t="str">
        <x:v>per unit</x:v>
      </x:c>
      <x:c r="I31" s="83" t="str">
        <x:v>2020.0</x:v>
      </x:c>
      <x:c r="J31" s="83" t="str">
        <x:v>Danish Energy Agency, data_sheets_for_renewable_fuels.xlsx</x:v>
      </x:c>
      <x:c r="K31" s="83" t="str">
        <x:v>86 AEC 100 MW:  Hydrogen Output</x:v>
      </x:c>
      <x:c r="L31" s="83" t="str">
        <x:v>Direct candidate</x:v>
      </x:c>
      <x:c r="M31" s="83" t="str">
        <x:v>Candidate — do not adopt until CLI version is pinned</x:v>
      </x:c>
      <x:c r="N31" s="120" t="str">
        <x:v>https://raw.githubusercontent.com/PyPSA/technology-data/v0.9.2/outputs/costs_2040.csv</x:v>
      </x:c>
      <x:c r="O31" s="83" t="str">
        <x:v>Values from different releases may use different currency-year and inflation conventions; do not blend releases.</x:v>
      </x:c>
    </x:row>
    <x:row r="32">
      <x:c r="A32" s="83" t="str">
        <x:v>EXT-0028</x:v>
      </x:c>
      <x:c r="B32" s="83" t="str">
        <x:v>PyPSA technology-data</x:v>
      </x:c>
      <x:c r="C32" s="83" t="str">
        <x:v>v0.9.2</x:v>
      </x:c>
      <x:c r="D32" s="83" t="n">
        <x:v>2040</x:v>
      </x:c>
      <x:c r="E32" s="83" t="str">
        <x:v>electrolysis</x:v>
      </x:c>
      <x:c r="F32" s="83" t="str">
        <x:v>efficiency-heat</x:v>
      </x:c>
      <x:c r="G32" s="279" t="n">
        <x:v>0.1849</x:v>
      </x:c>
      <x:c r="H32" s="83" t="str">
        <x:v>per unit</x:v>
      </x:c>
      <x:c r="I32" s="83" t="str">
        <x:v>2020.0</x:v>
      </x:c>
      <x:c r="J32" s="83" t="str">
        <x:v>Danish Energy Agency, data_sheets_for_renewable_fuels.xlsx</x:v>
      </x:c>
      <x:c r="K32" s="83" t="str">
        <x:v>86 AEC 100 MW:   - hereof recoverable for district heating</x:v>
      </x:c>
      <x:c r="L32" s="83" t="str">
        <x:v>Context / capacity optimisation</x:v>
      </x:c>
      <x:c r="M32" s="83" t="str">
        <x:v>Candidate — do not adopt until CLI version is pinned</x:v>
      </x:c>
      <x:c r="N32" s="120" t="str">
        <x:v>https://raw.githubusercontent.com/PyPSA/technology-data/v0.9.2/outputs/costs_2040.csv</x:v>
      </x:c>
      <x:c r="O32" s="83" t="str">
        <x:v>Values from different releases may use different currency-year and inflation conventions; do not blend releases.</x:v>
      </x:c>
    </x:row>
    <x:row r="33">
      <x:c r="A33" s="83" t="str">
        <x:v>EXT-0029</x:v>
      </x:c>
      <x:c r="B33" s="83" t="str">
        <x:v>PyPSA technology-data</x:v>
      </x:c>
      <x:c r="C33" s="83" t="str">
        <x:v>v0.9.2</x:v>
      </x:c>
      <x:c r="D33" s="83" t="n">
        <x:v>2040</x:v>
      </x:c>
      <x:c r="E33" s="83" t="str">
        <x:v>electrolysis</x:v>
      </x:c>
      <x:c r="F33" s="83" t="str">
        <x:v>investment</x:v>
      </x:c>
      <x:c r="G33" s="279" t="n">
        <x:v>1200</x:v>
      </x:c>
      <x:c r="H33" s="83" t="str">
        <x:v>EUR/kW_e</x:v>
      </x:c>
      <x:c r="I33" s="83" t="str">
        <x:v>2020.0</x:v>
      </x:c>
      <x:c r="J33" s="83" t="str">
        <x:v>private communications; IEA https://iea.blob.core.windows.net/assets/9e0c82d4-06d2-496b-9542-f184ba803645/TheRoleofE-fuelsinDecarbonisingTransport.pdf</x:v>
      </x:c>
      <x:c r="K33" s="83" t="str"/>
      <x:c r="L33" s="83" t="str">
        <x:v>Context / capacity optimisation</x:v>
      </x:c>
      <x:c r="M33" s="83" t="str">
        <x:v>Candidate — do not adopt until CLI version is pinned</x:v>
      </x:c>
      <x:c r="N33" s="120" t="str">
        <x:v>https://raw.githubusercontent.com/PyPSA/technology-data/v0.9.2/outputs/costs_2040.csv</x:v>
      </x:c>
      <x:c r="O33" s="83" t="str">
        <x:v>Values from different releases may use different currency-year and inflation conventions; do not blend releases.</x:v>
      </x:c>
    </x:row>
    <x:row r="34">
      <x:c r="A34" s="83" t="str">
        <x:v>EXT-0030</x:v>
      </x:c>
      <x:c r="B34" s="83" t="str">
        <x:v>PyPSA technology-data</x:v>
      </x:c>
      <x:c r="C34" s="83" t="str">
        <x:v>v0.9.2</x:v>
      </x:c>
      <x:c r="D34" s="83" t="n">
        <x:v>2040</x:v>
      </x:c>
      <x:c r="E34" s="83" t="str">
        <x:v>electrolysis</x:v>
      </x:c>
      <x:c r="F34" s="83" t="str">
        <x:v>lifetime</x:v>
      </x:c>
      <x:c r="G34" s="279" t="n">
        <x:v>25</x:v>
      </x:c>
      <x:c r="H34" s="83" t="str">
        <x:v>years</x:v>
      </x:c>
      <x:c r="I34" s="83" t="str">
        <x:v>2020.0</x:v>
      </x:c>
      <x:c r="J34" s="83" t="str">
        <x:v>Danish Energy Agency, data_sheets_for_renewable_fuels.xlsx</x:v>
      </x:c>
      <x:c r="K34" s="83" t="str">
        <x:v>86 AEC 100 MW:  Technical lifetime</x:v>
      </x:c>
      <x:c r="L34" s="83" t="str">
        <x:v>Context / capacity optimisation</x:v>
      </x:c>
      <x:c r="M34" s="83" t="str">
        <x:v>Candidate — do not adopt until CLI version is pinned</x:v>
      </x:c>
      <x:c r="N34" s="120" t="str">
        <x:v>https://raw.githubusercontent.com/PyPSA/technology-data/v0.9.2/outputs/costs_2040.csv</x:v>
      </x:c>
      <x:c r="O34" s="83" t="str">
        <x:v>Values from different releases may use different currency-year and inflation conventions; do not blend releases.</x:v>
      </x:c>
    </x:row>
    <x:row r="35">
      <x:c r="A35" s="83" t="str">
        <x:v>EXT-0031</x:v>
      </x:c>
      <x:c r="B35" s="83" t="str">
        <x:v>PyPSA technology-data</x:v>
      </x:c>
      <x:c r="C35" s="83" t="str">
        <x:v>v0.9.2</x:v>
      </x:c>
      <x:c r="D35" s="83" t="n">
        <x:v>2040</x:v>
      </x:c>
      <x:c r="E35" s="83" t="str">
        <x:v>gas</x:v>
      </x:c>
      <x:c r="F35" s="83" t="str">
        <x:v>CO2 intensity</x:v>
      </x:c>
      <x:c r="G35" s="279" t="n">
        <x:v>0.198</x:v>
      </x:c>
      <x:c r="H35" s="83" t="str">
        <x:v>tCO2/MWh_th</x:v>
      </x:c>
      <x:c r="I35" s="83" t="str"/>
      <x:c r="J35" s="83" t="str">
        <x:v>Stoichiometric calculation with 50 GJ/t CH4</x:v>
      </x:c>
      <x:c r="K35" s="83" t="str"/>
      <x:c r="L35" s="83" t="str">
        <x:v>Direct candidate</x:v>
      </x:c>
      <x:c r="M35" s="83" t="str">
        <x:v>Candidate — do not adopt until CLI version is pinned</x:v>
      </x:c>
      <x:c r="N35" s="120" t="str">
        <x:v>https://raw.githubusercontent.com/PyPSA/technology-data/v0.9.2/outputs/costs_2040.csv</x:v>
      </x:c>
      <x:c r="O35" s="83" t="str">
        <x:v>Values from different releases may use different currency-year and inflation conventions; do not blend releases.</x:v>
      </x:c>
    </x:row>
    <x:row r="36">
      <x:c r="A36" s="83" t="str">
        <x:v>EXT-0032</x:v>
      </x:c>
      <x:c r="B36" s="83" t="str">
        <x:v>PyPSA technology-data</x:v>
      </x:c>
      <x:c r="C36" s="83" t="str">
        <x:v>v0.9.2</x:v>
      </x:c>
      <x:c r="D36" s="83" t="n">
        <x:v>2040</x:v>
      </x:c>
      <x:c r="E36" s="83" t="str">
        <x:v>gas</x:v>
      </x:c>
      <x:c r="F36" s="83" t="str">
        <x:v>fuel</x:v>
      </x:c>
      <x:c r="G36" s="279" t="n">
        <x:v>24.568</x:v>
      </x:c>
      <x:c r="H36" s="83" t="str">
        <x:v>EUR/MWh_th</x:v>
      </x:c>
      <x:c r="I36" s="83" t="str">
        <x:v>2010.0</x:v>
      </x:c>
      <x:c r="J36" s="83" t="str">
        <x:v>DIW (2013): Current and propsective costs of electricity generation until 2050, http://hdl.handle.net/10419/80348 , pg. 80 text below figure 10, accessed: 2023-12-14.</x:v>
      </x:c>
      <x:c r="K36" s="83" t="str">
        <x:v>Based on IEA 2011 data.</x:v>
      </x:c>
      <x:c r="L36" s="83" t="str">
        <x:v>Direct candidate</x:v>
      </x:c>
      <x:c r="M36" s="83" t="str">
        <x:v>Candidate — do not adopt until CLI version is pinned</x:v>
      </x:c>
      <x:c r="N36" s="120" t="str">
        <x:v>https://raw.githubusercontent.com/PyPSA/technology-data/v0.9.2/outputs/costs_2040.csv</x:v>
      </x:c>
      <x:c r="O36" s="83" t="str">
        <x:v>Values from different releases may use different currency-year and inflation conventions; do not blend releases.</x:v>
      </x:c>
    </x:row>
    <x:row r="37">
      <x:c r="A37" s="83" t="str">
        <x:v>EXT-0033</x:v>
      </x:c>
      <x:c r="B37" s="83" t="str">
        <x:v>PyPSA technology-data</x:v>
      </x:c>
      <x:c r="C37" s="83" t="str">
        <x:v>v0.9.2</x:v>
      </x:c>
      <x:c r="D37" s="83" t="n">
        <x:v>2040</x:v>
      </x:c>
      <x:c r="E37" s="83" t="str">
        <x:v>geothermal</x:v>
      </x:c>
      <x:c r="F37" s="83" t="str">
        <x:v>CO2 intensity</x:v>
      </x:c>
      <x:c r="G37" s="279" t="n">
        <x:v>0.12</x:v>
      </x:c>
      <x:c r="H37" s="83" t="str">
        <x:v>tCO2/MWh_th</x:v>
      </x:c>
      <x:c r="I37" s="83" t="str">
        <x:v>2020.0</x:v>
      </x:c>
      <x:c r="J37" s="83" t="str">
        <x:v>Aghahosseini, Breyer 2020: From hot rock to useful energy: A global estimate of enhanced geothermal systems potential, https://www.sciencedirect.com/science/article/pii/S0306261920312551</x:v>
      </x:c>
      <x:c r="K37" s="83" t="str">
        <x:v>Likely to be improved; Average of 85 percent of global egs power plant capacity; Result of fluid circulation through rock formations</x:v>
      </x:c>
      <x:c r="L37" s="83" t="str">
        <x:v>Direct candidate</x:v>
      </x:c>
      <x:c r="M37" s="83" t="str">
        <x:v>Candidate — do not adopt until CLI version is pinned</x:v>
      </x:c>
      <x:c r="N37" s="120" t="str">
        <x:v>https://raw.githubusercontent.com/PyPSA/technology-data/v0.9.2/outputs/costs_2040.csv</x:v>
      </x:c>
      <x:c r="O37" s="83" t="str">
        <x:v>Values from different releases may use different currency-year and inflation conventions; do not blend releases.</x:v>
      </x:c>
    </x:row>
    <x:row r="38">
      <x:c r="A38" s="83" t="str">
        <x:v>EXT-0034</x:v>
      </x:c>
      <x:c r="B38" s="83" t="str">
        <x:v>PyPSA technology-data</x:v>
      </x:c>
      <x:c r="C38" s="83" t="str">
        <x:v>v0.9.2</x:v>
      </x:c>
      <x:c r="D38" s="83" t="n">
        <x:v>2040</x:v>
      </x:c>
      <x:c r="E38" s="83" t="str">
        <x:v>geothermal</x:v>
      </x:c>
      <x:c r="F38" s="83" t="str">
        <x:v>FOM</x:v>
      </x:c>
      <x:c r="G38" s="279" t="n">
        <x:v>2</x:v>
      </x:c>
      <x:c r="H38" s="83" t="str">
        <x:v>%/year</x:v>
      </x:c>
      <x:c r="I38" s="83" t="str">
        <x:v>2020.0</x:v>
      </x:c>
      <x:c r="J38" s="83" t="str">
        <x:v>Aghahosseini, Breyer 2020: From hot rock to useful energy: A global estimate of enhanced geothermal systems potential, https://www.sciencedirect.com/science/article/pii/S0306261920312551</x:v>
      </x:c>
      <x:c r="K38" s="83" t="str">
        <x:v>See Supplemental Material of source for details</x:v>
      </x:c>
      <x:c r="L38" s="83" t="str">
        <x:v>Context / capacity optimisation</x:v>
      </x:c>
      <x:c r="M38" s="83" t="str">
        <x:v>Candidate — do not adopt until CLI version is pinned</x:v>
      </x:c>
      <x:c r="N38" s="120" t="str">
        <x:v>https://raw.githubusercontent.com/PyPSA/technology-data/v0.9.2/outputs/costs_2040.csv</x:v>
      </x:c>
      <x:c r="O38" s="83" t="str">
        <x:v>Values from different releases may use different currency-year and inflation conventions; do not blend releases.</x:v>
      </x:c>
    </x:row>
    <x:row r="39">
      <x:c r="A39" s="83" t="str">
        <x:v>EXT-0035</x:v>
      </x:c>
      <x:c r="B39" s="83" t="str">
        <x:v>PyPSA technology-data</x:v>
      </x:c>
      <x:c r="C39" s="83" t="str">
        <x:v>v0.9.2</x:v>
      </x:c>
      <x:c r="D39" s="83" t="n">
        <x:v>2040</x:v>
      </x:c>
      <x:c r="E39" s="83" t="str">
        <x:v>geothermal</x:v>
      </x:c>
      <x:c r="F39" s="83" t="str">
        <x:v>lifetime</x:v>
      </x:c>
      <x:c r="G39" s="279" t="n">
        <x:v>30</x:v>
      </x:c>
      <x:c r="H39" s="83" t="str">
        <x:v>years</x:v>
      </x:c>
      <x:c r="I39" s="83" t="str">
        <x:v>2020.0</x:v>
      </x:c>
      <x:c r="J39" s="83" t="str">
        <x:v>Aghahosseini, Breyer 2020: From hot rock to useful energy: A global estimate of enhanced geothermal systems potential, https://www.sciencedirect.com/science/article/pii/S0306261920312551</x:v>
      </x:c>
      <x:c r="K39" s="83" t="str"/>
      <x:c r="L39" s="83" t="str">
        <x:v>Context / capacity optimisation</x:v>
      </x:c>
      <x:c r="M39" s="83" t="str">
        <x:v>Candidate — do not adopt until CLI version is pinned</x:v>
      </x:c>
      <x:c r="N39" s="120" t="str">
        <x:v>https://raw.githubusercontent.com/PyPSA/technology-data/v0.9.2/outputs/costs_2040.csv</x:v>
      </x:c>
      <x:c r="O39" s="83" t="str">
        <x:v>Values from different releases may use different currency-year and inflation conventions; do not blend releases.</x:v>
      </x:c>
    </x:row>
    <x:row r="40">
      <x:c r="A40" s="83" t="str">
        <x:v>EXT-0036</x:v>
      </x:c>
      <x:c r="B40" s="83" t="str">
        <x:v>PyPSA technology-data</x:v>
      </x:c>
      <x:c r="C40" s="83" t="str">
        <x:v>v0.9.2</x:v>
      </x:c>
      <x:c r="D40" s="83" t="n">
        <x:v>2040</x:v>
      </x:c>
      <x:c r="E40" s="83" t="str">
        <x:v>hydro</x:v>
      </x:c>
      <x:c r="F40" s="83" t="str">
        <x:v>FOM</x:v>
      </x:c>
      <x:c r="G40" s="279" t="n">
        <x:v>1</x:v>
      </x:c>
      <x:c r="H40" s="83" t="str">
        <x:v>%/year</x:v>
      </x:c>
      <x:c r="I40" s="83" t="str">
        <x:v>2015.0</x:v>
      </x:c>
      <x:c r="J40" s="83" t="str">
        <x:v>DIW DataDoc http://hdl.handle.net/10419/80348</x:v>
      </x:c>
      <x:c r="K40" s="83" t="str">
        <x:v> from old pypsa cost assumptions</x:v>
      </x:c>
      <x:c r="L40" s="83" t="str">
        <x:v>Context / capacity optimisation</x:v>
      </x:c>
      <x:c r="M40" s="83" t="str">
        <x:v>Candidate — do not adopt until CLI version is pinned</x:v>
      </x:c>
      <x:c r="N40" s="120" t="str">
        <x:v>https://raw.githubusercontent.com/PyPSA/technology-data/v0.9.2/outputs/costs_2040.csv</x:v>
      </x:c>
      <x:c r="O40" s="83" t="str">
        <x:v>Values from different releases may use different currency-year and inflation conventions; do not blend releases.</x:v>
      </x:c>
    </x:row>
    <x:row r="41">
      <x:c r="A41" s="83" t="str">
        <x:v>EXT-0037</x:v>
      </x:c>
      <x:c r="B41" s="83" t="str">
        <x:v>PyPSA technology-data</x:v>
      </x:c>
      <x:c r="C41" s="83" t="str">
        <x:v>v0.9.2</x:v>
      </x:c>
      <x:c r="D41" s="83" t="n">
        <x:v>2040</x:v>
      </x:c>
      <x:c r="E41" s="83" t="str">
        <x:v>hydro</x:v>
      </x:c>
      <x:c r="F41" s="83" t="str">
        <x:v>efficiency</x:v>
      </x:c>
      <x:c r="G41" s="279" t="n">
        <x:v>0.9</x:v>
      </x:c>
      <x:c r="H41" s="83" t="str">
        <x:v>per unit</x:v>
      </x:c>
      <x:c r="I41" s="83" t="str">
        <x:v>2015.0</x:v>
      </x:c>
      <x:c r="J41" s="83" t="str">
        <x:v>DIW DataDoc http://hdl.handle.net/10419/80348</x:v>
      </x:c>
      <x:c r="K41" s="83" t="str">
        <x:v> from old pypsa cost assumptions</x:v>
      </x:c>
      <x:c r="L41" s="83" t="str">
        <x:v>Direct candidate</x:v>
      </x:c>
      <x:c r="M41" s="83" t="str">
        <x:v>Candidate — do not adopt until CLI version is pinned</x:v>
      </x:c>
      <x:c r="N41" s="120" t="str">
        <x:v>https://raw.githubusercontent.com/PyPSA/technology-data/v0.9.2/outputs/costs_2040.csv</x:v>
      </x:c>
      <x:c r="O41" s="83" t="str">
        <x:v>Values from different releases may use different currency-year and inflation conventions; do not blend releases.</x:v>
      </x:c>
    </x:row>
    <x:row r="42">
      <x:c r="A42" s="83" t="str">
        <x:v>EXT-0038</x:v>
      </x:c>
      <x:c r="B42" s="83" t="str">
        <x:v>PyPSA technology-data</x:v>
      </x:c>
      <x:c r="C42" s="83" t="str">
        <x:v>v0.9.2</x:v>
      </x:c>
      <x:c r="D42" s="83" t="n">
        <x:v>2040</x:v>
      </x:c>
      <x:c r="E42" s="83" t="str">
        <x:v>hydro</x:v>
      </x:c>
      <x:c r="F42" s="83" t="str">
        <x:v>investment</x:v>
      </x:c>
      <x:c r="G42" s="279" t="n">
        <x:v>2274.8177</x:v>
      </x:c>
      <x:c r="H42" s="83" t="str">
        <x:v>EUR/kWel</x:v>
      </x:c>
      <x:c r="I42" s="83" t="str">
        <x:v>2010.0</x:v>
      </x:c>
      <x:c r="J42" s="83" t="str">
        <x:v>DIW DataDoc http://hdl.handle.net/10419/80348</x:v>
      </x:c>
      <x:c r="K42" s="83" t="str">
        <x:v> from old pypsa cost assumptions</x:v>
      </x:c>
      <x:c r="L42" s="83" t="str">
        <x:v>Context / capacity optimisation</x:v>
      </x:c>
      <x:c r="M42" s="83" t="str">
        <x:v>Candidate — do not adopt until CLI version is pinned</x:v>
      </x:c>
      <x:c r="N42" s="120" t="str">
        <x:v>https://raw.githubusercontent.com/PyPSA/technology-data/v0.9.2/outputs/costs_2040.csv</x:v>
      </x:c>
      <x:c r="O42" s="83" t="str">
        <x:v>Values from different releases may use different currency-year and inflation conventions; do not blend releases.</x:v>
      </x:c>
    </x:row>
    <x:row r="43">
      <x:c r="A43" s="83" t="str">
        <x:v>EXT-0039</x:v>
      </x:c>
      <x:c r="B43" s="83" t="str">
        <x:v>PyPSA technology-data</x:v>
      </x:c>
      <x:c r="C43" s="83" t="str">
        <x:v>v0.9.2</x:v>
      </x:c>
      <x:c r="D43" s="83" t="n">
        <x:v>2040</x:v>
      </x:c>
      <x:c r="E43" s="83" t="str">
        <x:v>hydro</x:v>
      </x:c>
      <x:c r="F43" s="83" t="str">
        <x:v>lifetime</x:v>
      </x:c>
      <x:c r="G43" s="279" t="n">
        <x:v>80</x:v>
      </x:c>
      <x:c r="H43" s="83" t="str">
        <x:v>years</x:v>
      </x:c>
      <x:c r="I43" s="83" t="str">
        <x:v>2015.0</x:v>
      </x:c>
      <x:c r="J43" s="83" t="str">
        <x:v>IEA2010</x:v>
      </x:c>
      <x:c r="K43" s="83" t="str">
        <x:v> from old pypsa cost assumptions</x:v>
      </x:c>
      <x:c r="L43" s="83" t="str">
        <x:v>Context / capacity optimisation</x:v>
      </x:c>
      <x:c r="M43" s="83" t="str">
        <x:v>Candidate — do not adopt until CLI version is pinned</x:v>
      </x:c>
      <x:c r="N43" s="120" t="str">
        <x:v>https://raw.githubusercontent.com/PyPSA/technology-data/v0.9.2/outputs/costs_2040.csv</x:v>
      </x:c>
      <x:c r="O43" s="83" t="str">
        <x:v>Values from different releases may use different currency-year and inflation conventions; do not blend releases.</x:v>
      </x:c>
    </x:row>
    <x:row r="44">
      <x:c r="A44" s="83" t="str">
        <x:v>EXT-0040</x:v>
      </x:c>
      <x:c r="B44" s="83" t="str">
        <x:v>PyPSA technology-data</x:v>
      </x:c>
      <x:c r="C44" s="83" t="str">
        <x:v>v0.9.2</x:v>
      </x:c>
      <x:c r="D44" s="83" t="n">
        <x:v>2040</x:v>
      </x:c>
      <x:c r="E44" s="83" t="str">
        <x:v>nuclear</x:v>
      </x:c>
      <x:c r="F44" s="83" t="str">
        <x:v>FOM</x:v>
      </x:c>
      <x:c r="G44" s="279" t="n">
        <x:v>1.27</x:v>
      </x:c>
      <x:c r="H44" s="83" t="str">
        <x:v>%/year</x:v>
      </x:c>
      <x:c r="I44" s="83" t="str">
        <x:v>2023.0</x:v>
      </x:c>
      <x:c r="J44" s="83" t="str">
        <x:v>Lazard's levelized cost of energy analysis - version 16.0 (2023): https://www.lazard.com/media/typdgxmm/lazards-lcoeplus-april-2023.pdf , pg. 49 (Levelized Cost of Energy - Key Assumptions), accessed: 2023-12-14.</x:v>
      </x:c>
      <x:c r="K44" s="83" t="str">
        <x:v>U.S. specific costs including newly commissioned Vogtle plant, average of range and currency converted, i.e. (131.5+152.75)/2 USD/kW_e / (1.09 USD/EUR) relative to investment costs.</x:v>
      </x:c>
      <x:c r="L44" s="83" t="str">
        <x:v>Context / capacity optimisation</x:v>
      </x:c>
      <x:c r="M44" s="83" t="str">
        <x:v>Candidate — do not adopt until CLI version is pinned</x:v>
      </x:c>
      <x:c r="N44" s="120" t="str">
        <x:v>https://raw.githubusercontent.com/PyPSA/technology-data/v0.9.2/outputs/costs_2040.csv</x:v>
      </x:c>
      <x:c r="O44" s="83" t="str">
        <x:v>Values from different releases may use different currency-year and inflation conventions; do not blend releases.</x:v>
      </x:c>
    </x:row>
    <x:row r="45">
      <x:c r="A45" s="83" t="str">
        <x:v>EXT-0041</x:v>
      </x:c>
      <x:c r="B45" s="83" t="str">
        <x:v>PyPSA technology-data</x:v>
      </x:c>
      <x:c r="C45" s="83" t="str">
        <x:v>v0.9.2</x:v>
      </x:c>
      <x:c r="D45" s="83" t="n">
        <x:v>2040</x:v>
      </x:c>
      <x:c r="E45" s="83" t="str">
        <x:v>nuclear</x:v>
      </x:c>
      <x:c r="F45" s="83" t="str">
        <x:v>VOM</x:v>
      </x:c>
      <x:c r="G45" s="279" t="n">
        <x:v>3.5464</x:v>
      </x:c>
      <x:c r="H45" s="83" t="str">
        <x:v>EUR/MWh_e</x:v>
      </x:c>
      <x:c r="I45" s="83" t="str">
        <x:v>2023.0</x:v>
      </x:c>
      <x:c r="J45" s="83" t="str">
        <x:v>Lazard's levelized cost of energy analysis - version 16.0 (2023): https://www.lazard.com/media/typdgxmm/lazards-lcoeplus-april-2023.pdf , pg. 49 (Levelized Cost of Energy - Key Assumptions), accessed: 2023-12-14.</x:v>
      </x:c>
      <x:c r="K45" s="83" t="str">
        <x:v>U.S. specific costs including newly commissioned Vogtle plant, average of range and currency converted, i.e. (4.25+5)/2 USD/kW_e / (1.09 USD/EUR) .</x:v>
      </x:c>
      <x:c r="L45" s="83" t="str">
        <x:v>Direct candidate</x:v>
      </x:c>
      <x:c r="M45" s="83" t="str">
        <x:v>Candidate — do not adopt until CLI version is pinned</x:v>
      </x:c>
      <x:c r="N45" s="120" t="str">
        <x:v>https://raw.githubusercontent.com/PyPSA/technology-data/v0.9.2/outputs/costs_2040.csv</x:v>
      </x:c>
      <x:c r="O45" s="83" t="str">
        <x:v>Values from different releases may use different currency-year and inflation conventions; do not blend releases.</x:v>
      </x:c>
    </x:row>
    <x:row r="46">
      <x:c r="A46" s="83" t="str">
        <x:v>EXT-0042</x:v>
      </x:c>
      <x:c r="B46" s="83" t="str">
        <x:v>PyPSA technology-data</x:v>
      </x:c>
      <x:c r="C46" s="83" t="str">
        <x:v>v0.9.2</x:v>
      </x:c>
      <x:c r="D46" s="83" t="n">
        <x:v>2040</x:v>
      </x:c>
      <x:c r="E46" s="83" t="str">
        <x:v>nuclear</x:v>
      </x:c>
      <x:c r="F46" s="83" t="str">
        <x:v>efficiency</x:v>
      </x:c>
      <x:c r="G46" s="279" t="n">
        <x:v>0.326</x:v>
      </x:c>
      <x:c r="H46" s="83" t="str">
        <x:v>p.u.</x:v>
      </x:c>
      <x:c r="I46" s="83" t="str">
        <x:v>2023.0</x:v>
      </x:c>
      <x:c r="J46" s="83" t="str">
        <x:v>Lazard's levelized cost of energy analysis - version 16.0 (2023): https://www.lazard.com/media/typdgxmm/lazards-lcoeplus-april-2023.pdf , pg. 49 (Levelized Cost of Energy - Key Assumptions), accessed: 2023-12-14.</x:v>
      </x:c>
      <x:c r="K46" s="83" t="str">
        <x:v>Based on heat rate of 10.45 MMBtu/MWh_e and 3.4095 MMBtu/MWh_th, i.e. 1/(10.45/3.4095) = 0.3260.</x:v>
      </x:c>
      <x:c r="L46" s="83" t="str">
        <x:v>Direct candidate</x:v>
      </x:c>
      <x:c r="M46" s="83" t="str">
        <x:v>Candidate — do not adopt until CLI version is pinned</x:v>
      </x:c>
      <x:c r="N46" s="120" t="str">
        <x:v>https://raw.githubusercontent.com/PyPSA/technology-data/v0.9.2/outputs/costs_2040.csv</x:v>
      </x:c>
      <x:c r="O46" s="83" t="str">
        <x:v>Values from different releases may use different currency-year and inflation conventions; do not blend releases.</x:v>
      </x:c>
    </x:row>
    <x:row r="47">
      <x:c r="A47" s="83" t="str">
        <x:v>EXT-0043</x:v>
      </x:c>
      <x:c r="B47" s="83" t="str">
        <x:v>PyPSA technology-data</x:v>
      </x:c>
      <x:c r="C47" s="83" t="str">
        <x:v>v0.9.2</x:v>
      </x:c>
      <x:c r="D47" s="83" t="n">
        <x:v>2040</x:v>
      </x:c>
      <x:c r="E47" s="83" t="str">
        <x:v>nuclear</x:v>
      </x:c>
      <x:c r="F47" s="83" t="str">
        <x:v>fuel</x:v>
      </x:c>
      <x:c r="G47" s="279" t="n">
        <x:v>3.4122</x:v>
      </x:c>
      <x:c r="H47" s="83" t="str">
        <x:v>EUR/MWh_th</x:v>
      </x:c>
      <x:c r="I47" s="83" t="str">
        <x:v>2010.0</x:v>
      </x:c>
      <x:c r="J47" s="83" t="str">
        <x:v>DIW (2013): Current and propsective costs of electricity generation until 2050, http://hdl.handle.net/10419/80348 , pg. 80 text below figure 10, accessed: 2023-12-14.</x:v>
      </x:c>
      <x:c r="K47" s="83" t="str">
        <x:v>Based on IEA 2011 data.</x:v>
      </x:c>
      <x:c r="L47" s="83" t="str">
        <x:v>Direct candidate</x:v>
      </x:c>
      <x:c r="M47" s="83" t="str">
        <x:v>Candidate — do not adopt until CLI version is pinned</x:v>
      </x:c>
      <x:c r="N47" s="120" t="str">
        <x:v>https://raw.githubusercontent.com/PyPSA/technology-data/v0.9.2/outputs/costs_2040.csv</x:v>
      </x:c>
      <x:c r="O47" s="83" t="str">
        <x:v>Values from different releases may use different currency-year and inflation conventions; do not blend releases.</x:v>
      </x:c>
    </x:row>
    <x:row r="48">
      <x:c r="A48" s="83" t="str">
        <x:v>EXT-0044</x:v>
      </x:c>
      <x:c r="B48" s="83" t="str">
        <x:v>PyPSA technology-data</x:v>
      </x:c>
      <x:c r="C48" s="83" t="str">
        <x:v>v0.9.2</x:v>
      </x:c>
      <x:c r="D48" s="83" t="n">
        <x:v>2040</x:v>
      </x:c>
      <x:c r="E48" s="83" t="str">
        <x:v>nuclear</x:v>
      </x:c>
      <x:c r="F48" s="83" t="str">
        <x:v>investment</x:v>
      </x:c>
      <x:c r="G48" s="279" t="n">
        <x:v>8594.1354</x:v>
      </x:c>
      <x:c r="H48" s="83" t="str">
        <x:v>EUR/kW_e</x:v>
      </x:c>
      <x:c r="I48" s="83" t="str">
        <x:v>2023.0</x:v>
      </x:c>
      <x:c r="J48" s="83" t="str">
        <x:v>Lazard's levelized cost of energy analysis - version 16.0 (2023): https://www.lazard.com/media/typdgxmm/lazards-lcoeplus-april-2023.pdf , pg. 49 (Levelized Cost of Energy - Key Assumptions), accessed: 2023-12-14.</x:v>
      </x:c>
      <x:c r="K48" s="83" t="str">
        <x:v>U.S. specific costs including newly commissioned Vogtle plant, average of range and currency converted, i.e. (8475+13925)/2 USD/kW_e / (1.09 USD/EUR) .</x:v>
      </x:c>
      <x:c r="L48" s="83" t="str">
        <x:v>Context / capacity optimisation</x:v>
      </x:c>
      <x:c r="M48" s="83" t="str">
        <x:v>Candidate — do not adopt until CLI version is pinned</x:v>
      </x:c>
      <x:c r="N48" s="120" t="str">
        <x:v>https://raw.githubusercontent.com/PyPSA/technology-data/v0.9.2/outputs/costs_2040.csv</x:v>
      </x:c>
      <x:c r="O48" s="83" t="str">
        <x:v>Values from different releases may use different currency-year and inflation conventions; do not blend releases.</x:v>
      </x:c>
    </x:row>
    <x:row r="49">
      <x:c r="A49" s="83" t="str">
        <x:v>EXT-0045</x:v>
      </x:c>
      <x:c r="B49" s="83" t="str">
        <x:v>PyPSA technology-data</x:v>
      </x:c>
      <x:c r="C49" s="83" t="str">
        <x:v>v0.9.2</x:v>
      </x:c>
      <x:c r="D49" s="83" t="n">
        <x:v>2040</x:v>
      </x:c>
      <x:c r="E49" s="83" t="str">
        <x:v>nuclear</x:v>
      </x:c>
      <x:c r="F49" s="83" t="str">
        <x:v>lifetime</x:v>
      </x:c>
      <x:c r="G49" s="279" t="n">
        <x:v>40</x:v>
      </x:c>
      <x:c r="H49" s="83" t="str">
        <x:v>years</x:v>
      </x:c>
      <x:c r="I49" s="83" t="str">
        <x:v>2023.0</x:v>
      </x:c>
      <x:c r="J49" s="83" t="str">
        <x:v>Lazard's levelized cost of energy analysis - version 16.0 (2023): https://www.lazard.com/media/typdgxmm/lazards-lcoeplus-april-2023.pdf , pg. 49 (Levelized Cost of Energy - Key Assumptions), accessed: 2023-12-14.</x:v>
      </x:c>
      <x:c r="K49" s="83" t="str"/>
      <x:c r="L49" s="83" t="str">
        <x:v>Context / capacity optimisation</x:v>
      </x:c>
      <x:c r="M49" s="83" t="str">
        <x:v>Candidate — do not adopt until CLI version is pinned</x:v>
      </x:c>
      <x:c r="N49" s="120" t="str">
        <x:v>https://raw.githubusercontent.com/PyPSA/technology-data/v0.9.2/outputs/costs_2040.csv</x:v>
      </x:c>
      <x:c r="O49" s="83" t="str">
        <x:v>Values from different releases may use different currency-year and inflation conventions; do not blend releases.</x:v>
      </x:c>
    </x:row>
    <x:row r="50">
      <x:c r="A50" s="83" t="str">
        <x:v>EXT-0046</x:v>
      </x:c>
      <x:c r="B50" s="83" t="str">
        <x:v>PyPSA technology-data</x:v>
      </x:c>
      <x:c r="C50" s="83" t="str">
        <x:v>v0.9.2</x:v>
      </x:c>
      <x:c r="D50" s="83" t="n">
        <x:v>2040</x:v>
      </x:c>
      <x:c r="E50" s="83" t="str">
        <x:v>offwind</x:v>
      </x:c>
      <x:c r="F50" s="83" t="str">
        <x:v>FOM</x:v>
      </x:c>
      <x:c r="G50" s="279" t="n">
        <x:v>2.1762</x:v>
      </x:c>
      <x:c r="H50" s="83" t="str">
        <x:v>%/year</x:v>
      </x:c>
      <x:c r="I50" s="83" t="str">
        <x:v>2020.0</x:v>
      </x:c>
      <x:c r="J50" s="83" t="str">
        <x:v>Danish Energy Agency, technology_data_for_el_and_dh.xlsx</x:v>
      </x:c>
      <x:c r="K50" s="83" t="str">
        <x:v>21 Offshore turbines:  Fixed O&amp;M [EUR/MW_e/y, 2020]</x:v>
      </x:c>
      <x:c r="L50" s="83" t="str">
        <x:v>Context / capacity optimisation</x:v>
      </x:c>
      <x:c r="M50" s="83" t="str">
        <x:v>Candidate — do not adopt until CLI version is pinned</x:v>
      </x:c>
      <x:c r="N50" s="120" t="str">
        <x:v>https://raw.githubusercontent.com/PyPSA/technology-data/v0.9.2/outputs/costs_2040.csv</x:v>
      </x:c>
      <x:c r="O50" s="83" t="str">
        <x:v>Values from different releases may use different currency-year and inflation conventions; do not blend releases.</x:v>
      </x:c>
    </x:row>
    <x:row r="51">
      <x:c r="A51" s="83" t="str">
        <x:v>EXT-0047</x:v>
      </x:c>
      <x:c r="B51" s="83" t="str">
        <x:v>PyPSA technology-data</x:v>
      </x:c>
      <x:c r="C51" s="83" t="str">
        <x:v>v0.9.2</x:v>
      </x:c>
      <x:c r="D51" s="83" t="n">
        <x:v>2040</x:v>
      </x:c>
      <x:c r="E51" s="83" t="str">
        <x:v>offwind</x:v>
      </x:c>
      <x:c r="F51" s="83" t="str">
        <x:v>VOM</x:v>
      </x:c>
      <x:c r="G51" s="279" t="n">
        <x:v>0.0212</x:v>
      </x:c>
      <x:c r="H51" s="83" t="str">
        <x:v>EUR/MWhel</x:v>
      </x:c>
      <x:c r="I51" s="83" t="str">
        <x:v>2015.0</x:v>
      </x:c>
      <x:c r="J51" s="83" t="str">
        <x:v>RES costs made up to fix curtailment order</x:v>
      </x:c>
      <x:c r="K51" s="83" t="str">
        <x:v> from old pypsa cost assumptions</x:v>
      </x:c>
      <x:c r="L51" s="83" t="str">
        <x:v>Direct candidate</x:v>
      </x:c>
      <x:c r="M51" s="83" t="str">
        <x:v>Candidate — do not adopt until CLI version is pinned</x:v>
      </x:c>
      <x:c r="N51" s="120" t="str">
        <x:v>https://raw.githubusercontent.com/PyPSA/technology-data/v0.9.2/outputs/costs_2040.csv</x:v>
      </x:c>
      <x:c r="O51" s="83" t="str">
        <x:v>Values from different releases may use different currency-year and inflation conventions; do not blend releases.</x:v>
      </x:c>
    </x:row>
    <x:row r="52">
      <x:c r="A52" s="83" t="str">
        <x:v>EXT-0048</x:v>
      </x:c>
      <x:c r="B52" s="83" t="str">
        <x:v>PyPSA technology-data</x:v>
      </x:c>
      <x:c r="C52" s="83" t="str">
        <x:v>v0.9.2</x:v>
      </x:c>
      <x:c r="D52" s="83" t="n">
        <x:v>2040</x:v>
      </x:c>
      <x:c r="E52" s="83" t="str">
        <x:v>offwind</x:v>
      </x:c>
      <x:c r="F52" s="83" t="str">
        <x:v>investment</x:v>
      </x:c>
      <x:c r="G52" s="279" t="n">
        <x:v>1562.3661</x:v>
      </x:c>
      <x:c r="H52" s="83" t="str">
        <x:v>EUR/kW_e, 2020</x:v>
      </x:c>
      <x:c r="I52" s="83" t="str">
        <x:v>2020.0</x:v>
      </x:c>
      <x:c r="J52" s="83" t="str">
        <x:v>Danish Energy Agency, technology_data_for_el_and_dh.xlsx</x:v>
      </x:c>
      <x:c r="K52" s="83" t="str">
        <x:v>21 Offshore turbines:  Nominal investment [MEUR/MW_e, 2020] grid connection costs substracted from investment costs</x:v>
      </x:c>
      <x:c r="L52" s="83" t="str">
        <x:v>Context / capacity optimisation</x:v>
      </x:c>
      <x:c r="M52" s="83" t="str">
        <x:v>Candidate — do not adopt until CLI version is pinned</x:v>
      </x:c>
      <x:c r="N52" s="120" t="str">
        <x:v>https://raw.githubusercontent.com/PyPSA/technology-data/v0.9.2/outputs/costs_2040.csv</x:v>
      </x:c>
      <x:c r="O52" s="83" t="str">
        <x:v>Values from different releases may use different currency-year and inflation conventions; do not blend releases.</x:v>
      </x:c>
    </x:row>
    <x:row r="53">
      <x:c r="A53" s="83" t="str">
        <x:v>EXT-0049</x:v>
      </x:c>
      <x:c r="B53" s="83" t="str">
        <x:v>PyPSA technology-data</x:v>
      </x:c>
      <x:c r="C53" s="83" t="str">
        <x:v>v0.9.2</x:v>
      </x:c>
      <x:c r="D53" s="83" t="n">
        <x:v>2040</x:v>
      </x:c>
      <x:c r="E53" s="83" t="str">
        <x:v>offwind</x:v>
      </x:c>
      <x:c r="F53" s="83" t="str">
        <x:v>lifetime</x:v>
      </x:c>
      <x:c r="G53" s="279" t="n">
        <x:v>30</x:v>
      </x:c>
      <x:c r="H53" s="83" t="str">
        <x:v>years</x:v>
      </x:c>
      <x:c r="I53" s="83" t="str">
        <x:v>2020.0</x:v>
      </x:c>
      <x:c r="J53" s="83" t="str">
        <x:v>Danish Energy Agency, technology_data_for_el_and_dh.xlsx</x:v>
      </x:c>
      <x:c r="K53" s="83" t="str">
        <x:v>21 Offshore turbines:  Technical lifetime [years]</x:v>
      </x:c>
      <x:c r="L53" s="83" t="str">
        <x:v>Context / capacity optimisation</x:v>
      </x:c>
      <x:c r="M53" s="83" t="str">
        <x:v>Candidate — do not adopt until CLI version is pinned</x:v>
      </x:c>
      <x:c r="N53" s="120" t="str">
        <x:v>https://raw.githubusercontent.com/PyPSA/technology-data/v0.9.2/outputs/costs_2040.csv</x:v>
      </x:c>
      <x:c r="O53" s="83" t="str">
        <x:v>Values from different releases may use different currency-year and inflation conventions; do not blend releases.</x:v>
      </x:c>
    </x:row>
    <x:row r="54">
      <x:c r="A54" s="83" t="str">
        <x:v>EXT-0050</x:v>
      </x:c>
      <x:c r="B54" s="83" t="str">
        <x:v>PyPSA technology-data</x:v>
      </x:c>
      <x:c r="C54" s="83" t="str">
        <x:v>v0.9.2</x:v>
      </x:c>
      <x:c r="D54" s="83" t="n">
        <x:v>2040</x:v>
      </x:c>
      <x:c r="E54" s="83" t="str">
        <x:v>offwind-float</x:v>
      </x:c>
      <x:c r="F54" s="83" t="str">
        <x:v>FOM</x:v>
      </x:c>
      <x:c r="G54" s="279" t="n">
        <x:v>1.22</x:v>
      </x:c>
      <x:c r="H54" s="83" t="str">
        <x:v>%/year</x:v>
      </x:c>
      <x:c r="I54" s="83" t="str">
        <x:v>2020.0</x:v>
      </x:c>
      <x:c r="J54" s="83" t="str">
        <x:v>https://doi.org/10.1016/j.adapen.2021.100067</x:v>
      </x:c>
      <x:c r="K54" s="83" t="str"/>
      <x:c r="L54" s="83" t="str">
        <x:v>Context / capacity optimisation</x:v>
      </x:c>
      <x:c r="M54" s="83" t="str">
        <x:v>Candidate — do not adopt until CLI version is pinned</x:v>
      </x:c>
      <x:c r="N54" s="120" t="str">
        <x:v>https://raw.githubusercontent.com/PyPSA/technology-data/v0.9.2/outputs/costs_2040.csv</x:v>
      </x:c>
      <x:c r="O54" s="83" t="str">
        <x:v>Values from different releases may use different currency-year and inflation conventions; do not blend releases.</x:v>
      </x:c>
    </x:row>
    <x:row r="55">
      <x:c r="A55" s="83" t="str">
        <x:v>EXT-0051</x:v>
      </x:c>
      <x:c r="B55" s="83" t="str">
        <x:v>PyPSA technology-data</x:v>
      </x:c>
      <x:c r="C55" s="83" t="str">
        <x:v>v0.9.2</x:v>
      </x:c>
      <x:c r="D55" s="83" t="n">
        <x:v>2040</x:v>
      </x:c>
      <x:c r="E55" s="83" t="str">
        <x:v>offwind-float</x:v>
      </x:c>
      <x:c r="F55" s="83" t="str">
        <x:v>investment</x:v>
      </x:c>
      <x:c r="G55" s="279" t="n">
        <x:v>1960</x:v>
      </x:c>
      <x:c r="H55" s="83" t="str">
        <x:v>EUR/kWel</x:v>
      </x:c>
      <x:c r="I55" s="83" t="str">
        <x:v>2020.0</x:v>
      </x:c>
      <x:c r="J55" s="83" t="str">
        <x:v>https://doi.org/10.1016/j.adapen.2021.100067</x:v>
      </x:c>
      <x:c r="K55" s="83" t="str"/>
      <x:c r="L55" s="83" t="str">
        <x:v>Context / capacity optimisation</x:v>
      </x:c>
      <x:c r="M55" s="83" t="str">
        <x:v>Candidate — do not adopt until CLI version is pinned</x:v>
      </x:c>
      <x:c r="N55" s="120" t="str">
        <x:v>https://raw.githubusercontent.com/PyPSA/technology-data/v0.9.2/outputs/costs_2040.csv</x:v>
      </x:c>
      <x:c r="O55" s="83" t="str">
        <x:v>Values from different releases may use different currency-year and inflation conventions; do not blend releases.</x:v>
      </x:c>
    </x:row>
    <x:row r="56">
      <x:c r="A56" s="83" t="str">
        <x:v>EXT-0052</x:v>
      </x:c>
      <x:c r="B56" s="83" t="str">
        <x:v>PyPSA technology-data</x:v>
      </x:c>
      <x:c r="C56" s="83" t="str">
        <x:v>v0.9.2</x:v>
      </x:c>
      <x:c r="D56" s="83" t="n">
        <x:v>2040</x:v>
      </x:c>
      <x:c r="E56" s="83" t="str">
        <x:v>offwind-float</x:v>
      </x:c>
      <x:c r="F56" s="83" t="str">
        <x:v>lifetime</x:v>
      </x:c>
      <x:c r="G56" s="279" t="n">
        <x:v>20</x:v>
      </x:c>
      <x:c r="H56" s="83" t="str">
        <x:v>years</x:v>
      </x:c>
      <x:c r="I56" s="83" t="str">
        <x:v>2020.0</x:v>
      </x:c>
      <x:c r="J56" s="83" t="str">
        <x:v>C. Maienza 2020 A life cycle cost model for floating offshore wind farms</x:v>
      </x:c>
      <x:c r="K56" s="83" t="str"/>
      <x:c r="L56" s="83" t="str">
        <x:v>Context / capacity optimisation</x:v>
      </x:c>
      <x:c r="M56" s="83" t="str">
        <x:v>Candidate — do not adopt until CLI version is pinned</x:v>
      </x:c>
      <x:c r="N56" s="120" t="str">
        <x:v>https://raw.githubusercontent.com/PyPSA/technology-data/v0.9.2/outputs/costs_2040.csv</x:v>
      </x:c>
      <x:c r="O56" s="83" t="str">
        <x:v>Values from different releases may use different currency-year and inflation conventions; do not blend releases.</x:v>
      </x:c>
    </x:row>
    <x:row r="57">
      <x:c r="A57" s="83" t="str">
        <x:v>EXT-0053</x:v>
      </x:c>
      <x:c r="B57" s="83" t="str">
        <x:v>PyPSA technology-data</x:v>
      </x:c>
      <x:c r="C57" s="83" t="str">
        <x:v>v0.9.2</x:v>
      </x:c>
      <x:c r="D57" s="83" t="n">
        <x:v>2040</x:v>
      </x:c>
      <x:c r="E57" s="83" t="str">
        <x:v>onwind</x:v>
      </x:c>
      <x:c r="F57" s="83" t="str">
        <x:v>FOM</x:v>
      </x:c>
      <x:c r="G57" s="279" t="n">
        <x:v>1.1858</x:v>
      </x:c>
      <x:c r="H57" s="83" t="str">
        <x:v>%/year</x:v>
      </x:c>
      <x:c r="I57" s="83" t="str">
        <x:v>2015.0</x:v>
      </x:c>
      <x:c r="J57" s="83" t="str">
        <x:v>Danish Energy Agency, technology_data_for_el_and_dh.xlsx</x:v>
      </x:c>
      <x:c r="K57" s="83" t="str">
        <x:v>20 Onshore turbines:  Fixed O&amp;M</x:v>
      </x:c>
      <x:c r="L57" s="83" t="str">
        <x:v>Context / capacity optimisation</x:v>
      </x:c>
      <x:c r="M57" s="83" t="str">
        <x:v>Candidate — do not adopt until CLI version is pinned</x:v>
      </x:c>
      <x:c r="N57" s="120" t="str">
        <x:v>https://raw.githubusercontent.com/PyPSA/technology-data/v0.9.2/outputs/costs_2040.csv</x:v>
      </x:c>
      <x:c r="O57" s="83" t="str">
        <x:v>Values from different releases may use different currency-year and inflation conventions; do not blend releases.</x:v>
      </x:c>
    </x:row>
    <x:row r="58">
      <x:c r="A58" s="83" t="str">
        <x:v>EXT-0054</x:v>
      </x:c>
      <x:c r="B58" s="83" t="str">
        <x:v>PyPSA technology-data</x:v>
      </x:c>
      <x:c r="C58" s="83" t="str">
        <x:v>v0.9.2</x:v>
      </x:c>
      <x:c r="D58" s="83" t="n">
        <x:v>2040</x:v>
      </x:c>
      <x:c r="E58" s="83" t="str">
        <x:v>onwind</x:v>
      </x:c>
      <x:c r="F58" s="83" t="str">
        <x:v>VOM</x:v>
      </x:c>
      <x:c r="G58" s="279" t="n">
        <x:v>1.3143</x:v>
      </x:c>
      <x:c r="H58" s="83" t="str">
        <x:v>EUR/MWh</x:v>
      </x:c>
      <x:c r="I58" s="83" t="str">
        <x:v>2015.0</x:v>
      </x:c>
      <x:c r="J58" s="83" t="str">
        <x:v>Danish Energy Agency, technology_data_for_el_and_dh.xlsx</x:v>
      </x:c>
      <x:c r="K58" s="83" t="str">
        <x:v>20 Onshore turbines:  Variable O&amp;M</x:v>
      </x:c>
      <x:c r="L58" s="83" t="str">
        <x:v>Direct candidate</x:v>
      </x:c>
      <x:c r="M58" s="83" t="str">
        <x:v>Candidate — do not adopt until CLI version is pinned</x:v>
      </x:c>
      <x:c r="N58" s="120" t="str">
        <x:v>https://raw.githubusercontent.com/PyPSA/technology-data/v0.9.2/outputs/costs_2040.csv</x:v>
      </x:c>
      <x:c r="O58" s="83" t="str">
        <x:v>Values from different releases may use different currency-year and inflation conventions; do not blend releases.</x:v>
      </x:c>
    </x:row>
    <x:row r="59">
      <x:c r="A59" s="83" t="str">
        <x:v>EXT-0055</x:v>
      </x:c>
      <x:c r="B59" s="83" t="str">
        <x:v>PyPSA technology-data</x:v>
      </x:c>
      <x:c r="C59" s="83" t="str">
        <x:v>v0.9.2</x:v>
      </x:c>
      <x:c r="D59" s="83" t="n">
        <x:v>2040</x:v>
      </x:c>
      <x:c r="E59" s="83" t="str">
        <x:v>onwind</x:v>
      </x:c>
      <x:c r="F59" s="83" t="str">
        <x:v>investment</x:v>
      </x:c>
      <x:c r="G59" s="279" t="n">
        <x:v>1034.4807</x:v>
      </x:c>
      <x:c r="H59" s="83" t="str">
        <x:v>EUR/kW</x:v>
      </x:c>
      <x:c r="I59" s="83" t="str">
        <x:v>2015.0</x:v>
      </x:c>
      <x:c r="J59" s="83" t="str">
        <x:v>Danish Energy Agency, technology_data_for_el_and_dh.xlsx</x:v>
      </x:c>
      <x:c r="K59" s="83" t="str">
        <x:v>20 Onshore turbines:  Nominal investment </x:v>
      </x:c>
      <x:c r="L59" s="83" t="str">
        <x:v>Context / capacity optimisation</x:v>
      </x:c>
      <x:c r="M59" s="83" t="str">
        <x:v>Candidate — do not adopt until CLI version is pinned</x:v>
      </x:c>
      <x:c r="N59" s="120" t="str">
        <x:v>https://raw.githubusercontent.com/PyPSA/technology-data/v0.9.2/outputs/costs_2040.csv</x:v>
      </x:c>
      <x:c r="O59" s="83" t="str">
        <x:v>Values from different releases may use different currency-year and inflation conventions; do not blend releases.</x:v>
      </x:c>
    </x:row>
    <x:row r="60">
      <x:c r="A60" s="83" t="str">
        <x:v>EXT-0056</x:v>
      </x:c>
      <x:c r="B60" s="83" t="str">
        <x:v>PyPSA technology-data</x:v>
      </x:c>
      <x:c r="C60" s="83" t="str">
        <x:v>v0.9.2</x:v>
      </x:c>
      <x:c r="D60" s="83" t="n">
        <x:v>2040</x:v>
      </x:c>
      <x:c r="E60" s="83" t="str">
        <x:v>onwind</x:v>
      </x:c>
      <x:c r="F60" s="83" t="str">
        <x:v>lifetime</x:v>
      </x:c>
      <x:c r="G60" s="279" t="n">
        <x:v>30</x:v>
      </x:c>
      <x:c r="H60" s="83" t="str">
        <x:v>years</x:v>
      </x:c>
      <x:c r="I60" s="83" t="str">
        <x:v>2015.0</x:v>
      </x:c>
      <x:c r="J60" s="83" t="str">
        <x:v>Danish Energy Agency, technology_data_for_el_and_dh.xlsx</x:v>
      </x:c>
      <x:c r="K60" s="83" t="str">
        <x:v>20 Onshore turbines:  Technical lifetime</x:v>
      </x:c>
      <x:c r="L60" s="83" t="str">
        <x:v>Context / capacity optimisation</x:v>
      </x:c>
      <x:c r="M60" s="83" t="str">
        <x:v>Candidate — do not adopt until CLI version is pinned</x:v>
      </x:c>
      <x:c r="N60" s="120" t="str">
        <x:v>https://raw.githubusercontent.com/PyPSA/technology-data/v0.9.2/outputs/costs_2040.csv</x:v>
      </x:c>
      <x:c r="O60" s="83" t="str">
        <x:v>Values from different releases may use different currency-year and inflation conventions; do not blend releases.</x:v>
      </x:c>
    </x:row>
    <x:row r="61">
      <x:c r="A61" s="83" t="str">
        <x:v>EXT-0057</x:v>
      </x:c>
      <x:c r="B61" s="83" t="str">
        <x:v>PyPSA technology-data</x:v>
      </x:c>
      <x:c r="C61" s="83" t="str">
        <x:v>v0.9.2</x:v>
      </x:c>
      <x:c r="D61" s="83" t="n">
        <x:v>2040</x:v>
      </x:c>
      <x:c r="E61" s="83" t="str">
        <x:v>solar-rooftop</x:v>
      </x:c>
      <x:c r="F61" s="83" t="str">
        <x:v>FOM</x:v>
      </x:c>
      <x:c r="G61" s="279" t="n">
        <x:v>1.5552</x:v>
      </x:c>
      <x:c r="H61" s="83" t="str">
        <x:v>%/year</x:v>
      </x:c>
      <x:c r="I61" s="83" t="str">
        <x:v>2020.0</x:v>
      </x:c>
      <x:c r="J61" s="83" t="str">
        <x:v>Calculated. See 'further description'.</x:v>
      </x:c>
      <x:c r="K61" s="83" t="str">
        <x:v>Mixed investment costs based on average of 50% 'solar-rooftop commercial' and 50% 'solar-rooftop residential'</x:v>
      </x:c>
      <x:c r="L61" s="83" t="str">
        <x:v>Context / capacity optimisation</x:v>
      </x:c>
      <x:c r="M61" s="83" t="str">
        <x:v>Candidate — do not adopt until CLI version is pinned</x:v>
      </x:c>
      <x:c r="N61" s="120" t="str">
        <x:v>https://raw.githubusercontent.com/PyPSA/technology-data/v0.9.2/outputs/costs_2040.csv</x:v>
      </x:c>
      <x:c r="O61" s="83" t="str">
        <x:v>Values from different releases may use different currency-year and inflation conventions; do not blend releases.</x:v>
      </x:c>
    </x:row>
    <x:row r="62">
      <x:c r="A62" s="83" t="str">
        <x:v>EXT-0058</x:v>
      </x:c>
      <x:c r="B62" s="83" t="str">
        <x:v>PyPSA technology-data</x:v>
      </x:c>
      <x:c r="C62" s="83" t="str">
        <x:v>v0.9.2</x:v>
      </x:c>
      <x:c r="D62" s="83" t="n">
        <x:v>2040</x:v>
      </x:c>
      <x:c r="E62" s="83" t="str">
        <x:v>solar-rooftop</x:v>
      </x:c>
      <x:c r="F62" s="83" t="str">
        <x:v>discount rate</x:v>
      </x:c>
      <x:c r="G62" s="279" t="n">
        <x:v>0.04</x:v>
      </x:c>
      <x:c r="H62" s="83" t="str">
        <x:v>per unit</x:v>
      </x:c>
      <x:c r="I62" s="83" t="str">
        <x:v>2015.0</x:v>
      </x:c>
      <x:c r="J62" s="83" t="str">
        <x:v>standard for decentral</x:v>
      </x:c>
      <x:c r="K62" s="83" t="str">
        <x:v> from old pypsa cost assumptions</x:v>
      </x:c>
      <x:c r="L62" s="83" t="str">
        <x:v>Context / capacity optimisation</x:v>
      </x:c>
      <x:c r="M62" s="83" t="str">
        <x:v>Candidate — do not adopt until CLI version is pinned</x:v>
      </x:c>
      <x:c r="N62" s="120" t="str">
        <x:v>https://raw.githubusercontent.com/PyPSA/technology-data/v0.9.2/outputs/costs_2040.csv</x:v>
      </x:c>
      <x:c r="O62" s="83" t="str">
        <x:v>Values from different releases may use different currency-year and inflation conventions; do not blend releases.</x:v>
      </x:c>
    </x:row>
    <x:row r="63">
      <x:c r="A63" s="83" t="str">
        <x:v>EXT-0059</x:v>
      </x:c>
      <x:c r="B63" s="83" t="str">
        <x:v>PyPSA technology-data</x:v>
      </x:c>
      <x:c r="C63" s="83" t="str">
        <x:v>v0.9.2</x:v>
      </x:c>
      <x:c r="D63" s="83" t="n">
        <x:v>2040</x:v>
      </x:c>
      <x:c r="E63" s="83" t="str">
        <x:v>solar-rooftop</x:v>
      </x:c>
      <x:c r="F63" s="83" t="str">
        <x:v>investment</x:v>
      </x:c>
      <x:c r="G63" s="279" t="n">
        <x:v>579.8196</x:v>
      </x:c>
      <x:c r="H63" s="83" t="str">
        <x:v>EUR/kW_e</x:v>
      </x:c>
      <x:c r="I63" s="83" t="str">
        <x:v>2020.0</x:v>
      </x:c>
      <x:c r="J63" s="83" t="str">
        <x:v>Calculated. See 'further description'.</x:v>
      </x:c>
      <x:c r="K63" s="83" t="str">
        <x:v>Mixed investment costs based on average of 50% 'solar-rooftop commercial' and 50% 'solar-rooftop residential'</x:v>
      </x:c>
      <x:c r="L63" s="83" t="str">
        <x:v>Context / capacity optimisation</x:v>
      </x:c>
      <x:c r="M63" s="83" t="str">
        <x:v>Candidate — do not adopt until CLI version is pinned</x:v>
      </x:c>
      <x:c r="N63" s="120" t="str">
        <x:v>https://raw.githubusercontent.com/PyPSA/technology-data/v0.9.2/outputs/costs_2040.csv</x:v>
      </x:c>
      <x:c r="O63" s="83" t="str">
        <x:v>Values from different releases may use different currency-year and inflation conventions; do not blend releases.</x:v>
      </x:c>
    </x:row>
    <x:row r="64">
      <x:c r="A64" s="83" t="str">
        <x:v>EXT-0060</x:v>
      </x:c>
      <x:c r="B64" s="83" t="str">
        <x:v>PyPSA technology-data</x:v>
      </x:c>
      <x:c r="C64" s="83" t="str">
        <x:v>v0.9.2</x:v>
      </x:c>
      <x:c r="D64" s="83" t="n">
        <x:v>2040</x:v>
      </x:c>
      <x:c r="E64" s="83" t="str">
        <x:v>solar-rooftop</x:v>
      </x:c>
      <x:c r="F64" s="83" t="str">
        <x:v>lifetime</x:v>
      </x:c>
      <x:c r="G64" s="279" t="n">
        <x:v>40</x:v>
      </x:c>
      <x:c r="H64" s="83" t="str">
        <x:v>years</x:v>
      </x:c>
      <x:c r="I64" s="83" t="str">
        <x:v>2020.0</x:v>
      </x:c>
      <x:c r="J64" s="83" t="str">
        <x:v>Calculated. See 'further description'.</x:v>
      </x:c>
      <x:c r="K64" s="83" t="str">
        <x:v>Mixed investment costs based on average of 50% 'solar-rooftop commercial' and 50% 'solar-rooftop residential'</x:v>
      </x:c>
      <x:c r="L64" s="83" t="str">
        <x:v>Context / capacity optimisation</x:v>
      </x:c>
      <x:c r="M64" s="83" t="str">
        <x:v>Candidate — do not adopt until CLI version is pinned</x:v>
      </x:c>
      <x:c r="N64" s="120" t="str">
        <x:v>https://raw.githubusercontent.com/PyPSA/technology-data/v0.9.2/outputs/costs_2040.csv</x:v>
      </x:c>
      <x:c r="O64" s="83" t="str">
        <x:v>Values from different releases may use different currency-year and inflation conventions; do not blend releases.</x:v>
      </x:c>
    </x:row>
    <x:row r="65">
      <x:c r="A65" s="83" t="str">
        <x:v>EXT-0061</x:v>
      </x:c>
      <x:c r="B65" s="83" t="str">
        <x:v>PyPSA technology-data</x:v>
      </x:c>
      <x:c r="C65" s="83" t="str">
        <x:v>v0.9.2</x:v>
      </x:c>
      <x:c r="D65" s="83" t="n">
        <x:v>2040</x:v>
      </x:c>
      <x:c r="E65" s="83" t="str">
        <x:v>solar-utility</x:v>
      </x:c>
      <x:c r="F65" s="83" t="str">
        <x:v>FOM</x:v>
      </x:c>
      <x:c r="G65" s="279" t="n">
        <x:v>2.5247</x:v>
      </x:c>
      <x:c r="H65" s="83" t="str">
        <x:v>%/year</x:v>
      </x:c>
      <x:c r="I65" s="83" t="str">
        <x:v>2020.0</x:v>
      </x:c>
      <x:c r="J65" s="83" t="str">
        <x:v>Danish Energy Agency, technology_data_for_el_and_dh.xlsx</x:v>
      </x:c>
      <x:c r="K65" s="83" t="str">
        <x:v>22 Utility-scale PV:  Fixed O&amp;M [2020-EUR/MW_e/y]</x:v>
      </x:c>
      <x:c r="L65" s="83" t="str">
        <x:v>Context / capacity optimisation</x:v>
      </x:c>
      <x:c r="M65" s="83" t="str">
        <x:v>Candidate — do not adopt until CLI version is pinned</x:v>
      </x:c>
      <x:c r="N65" s="120" t="str">
        <x:v>https://raw.githubusercontent.com/PyPSA/technology-data/v0.9.2/outputs/costs_2040.csv</x:v>
      </x:c>
      <x:c r="O65" s="83" t="str">
        <x:v>Values from different releases may use different currency-year and inflation conventions; do not blend releases.</x:v>
      </x:c>
    </x:row>
    <x:row r="66">
      <x:c r="A66" s="83" t="str">
        <x:v>EXT-0062</x:v>
      </x:c>
      <x:c r="B66" s="83" t="str">
        <x:v>PyPSA technology-data</x:v>
      </x:c>
      <x:c r="C66" s="83" t="str">
        <x:v>v0.9.2</x:v>
      </x:c>
      <x:c r="D66" s="83" t="n">
        <x:v>2040</x:v>
      </x:c>
      <x:c r="E66" s="83" t="str">
        <x:v>solar-utility</x:v>
      </x:c>
      <x:c r="F66" s="83" t="str">
        <x:v>investment</x:v>
      </x:c>
      <x:c r="G66" s="279" t="n">
        <x:v>320.8246</x:v>
      </x:c>
      <x:c r="H66" s="83" t="str">
        <x:v>EUR/kW_e</x:v>
      </x:c>
      <x:c r="I66" s="83" t="str">
        <x:v>2020.0</x:v>
      </x:c>
      <x:c r="J66" s="83" t="str">
        <x:v>Danish Energy Agency, technology_data_for_el_and_dh.xlsx</x:v>
      </x:c>
      <x:c r="K66" s="83" t="str">
        <x:v>22 Utility-scale PV:  Nominal investment [2020-MEUR/MW_e]</x:v>
      </x:c>
      <x:c r="L66" s="83" t="str">
        <x:v>Context / capacity optimisation</x:v>
      </x:c>
      <x:c r="M66" s="83" t="str">
        <x:v>Candidate — do not adopt until CLI version is pinned</x:v>
      </x:c>
      <x:c r="N66" s="120" t="str">
        <x:v>https://raw.githubusercontent.com/PyPSA/technology-data/v0.9.2/outputs/costs_2040.csv</x:v>
      </x:c>
      <x:c r="O66" s="83" t="str">
        <x:v>Values from different releases may use different currency-year and inflation conventions; do not blend releases.</x:v>
      </x:c>
    </x:row>
    <x:row r="67">
      <x:c r="A67" s="83" t="str">
        <x:v>EXT-0063</x:v>
      </x:c>
      <x:c r="B67" s="83" t="str">
        <x:v>PyPSA technology-data</x:v>
      </x:c>
      <x:c r="C67" s="83" t="str">
        <x:v>v0.9.2</x:v>
      </x:c>
      <x:c r="D67" s="83" t="n">
        <x:v>2040</x:v>
      </x:c>
      <x:c r="E67" s="83" t="str">
        <x:v>solar-utility</x:v>
      </x:c>
      <x:c r="F67" s="83" t="str">
        <x:v>lifetime</x:v>
      </x:c>
      <x:c r="G67" s="279" t="n">
        <x:v>40</x:v>
      </x:c>
      <x:c r="H67" s="83" t="str">
        <x:v>years</x:v>
      </x:c>
      <x:c r="I67" s="83" t="str">
        <x:v>2020.0</x:v>
      </x:c>
      <x:c r="J67" s="83" t="str">
        <x:v>Danish Energy Agency, technology_data_for_el_and_dh.xlsx</x:v>
      </x:c>
      <x:c r="K67" s="83" t="str">
        <x:v>22 Utility-scale PV:  Technical lifetime [years]</x:v>
      </x:c>
      <x:c r="L67" s="83" t="str">
        <x:v>Context / capacity optimisation</x:v>
      </x:c>
      <x:c r="M67" s="83" t="str">
        <x:v>Candidate — do not adopt until CLI version is pinned</x:v>
      </x:c>
      <x:c r="N67" s="120" t="str">
        <x:v>https://raw.githubusercontent.com/PyPSA/technology-data/v0.9.2/outputs/costs_2040.csv</x:v>
      </x:c>
      <x:c r="O67" s="83" t="str">
        <x:v>Values from different releases may use different currency-year and inflation conventions; do not blend releases.</x:v>
      </x:c>
    </x:row>
    <x:row r="68">
      <x:c r="A68" s="83" t="str">
        <x:v>EXT-0064</x:v>
      </x:c>
      <x:c r="B68" s="83" t="str">
        <x:v>PyPSA technology-data</x:v>
      </x:c>
      <x:c r="C68" s="83" t="str">
        <x:v>v0.9.2</x:v>
      </x:c>
      <x:c r="D68" s="83" t="n">
        <x:v>2050</x:v>
      </x:c>
      <x:c r="E68" s="83" t="str">
        <x:v>CCGT</x:v>
      </x:c>
      <x:c r="F68" s="83" t="str">
        <x:v>FOM</x:v>
      </x:c>
      <x:c r="G68" s="279" t="n">
        <x:v>3.25</x:v>
      </x:c>
      <x:c r="H68" s="83" t="str">
        <x:v>%/year</x:v>
      </x:c>
      <x:c r="I68" s="83" t="str">
        <x:v>2015.0</x:v>
      </x:c>
      <x:c r="J68" s="83" t="str">
        <x:v>Danish Energy Agency, technology_data_for_el_and_dh.xlsx</x:v>
      </x:c>
      <x:c r="K68" s="83" t="str">
        <x:v>05 Gas turb. CC, steam extract.:  Fixed O&amp;M</x:v>
      </x:c>
      <x:c r="L68" s="83" t="str">
        <x:v>Context / capacity optimisation</x:v>
      </x:c>
      <x:c r="M68" s="83" t="str">
        <x:v>Candidate — do not adopt until CLI version is pinned</x:v>
      </x:c>
      <x:c r="N68" s="120" t="str">
        <x:v>https://raw.githubusercontent.com/PyPSA/technology-data/v0.9.2/outputs/costs_2050.csv</x:v>
      </x:c>
      <x:c r="O68" s="83" t="str">
        <x:v>Values from different releases may use different currency-year and inflation conventions; do not blend releases.</x:v>
      </x:c>
    </x:row>
    <x:row r="69">
      <x:c r="A69" s="83" t="str">
        <x:v>EXT-0065</x:v>
      </x:c>
      <x:c r="B69" s="83" t="str">
        <x:v>PyPSA technology-data</x:v>
      </x:c>
      <x:c r="C69" s="83" t="str">
        <x:v>v0.9.2</x:v>
      </x:c>
      <x:c r="D69" s="83" t="n">
        <x:v>2050</x:v>
      </x:c>
      <x:c r="E69" s="83" t="str">
        <x:v>CCGT</x:v>
      </x:c>
      <x:c r="F69" s="83" t="str">
        <x:v>VOM</x:v>
      </x:c>
      <x:c r="G69" s="279" t="n">
        <x:v>4.2329</x:v>
      </x:c>
      <x:c r="H69" s="83" t="str">
        <x:v>EUR/MWh</x:v>
      </x:c>
      <x:c r="I69" s="83" t="str">
        <x:v>2015.0</x:v>
      </x:c>
      <x:c r="J69" s="83" t="str">
        <x:v>Danish Energy Agency, technology_data_for_el_and_dh.xlsx</x:v>
      </x:c>
      <x:c r="K69" s="83" t="str">
        <x:v>05 Gas turb. CC, steam extract.:  Variable O&amp;M</x:v>
      </x:c>
      <x:c r="L69" s="83" t="str">
        <x:v>Direct candidate</x:v>
      </x:c>
      <x:c r="M69" s="83" t="str">
        <x:v>Candidate — do not adopt until CLI version is pinned</x:v>
      </x:c>
      <x:c r="N69" s="120" t="str">
        <x:v>https://raw.githubusercontent.com/PyPSA/technology-data/v0.9.2/outputs/costs_2050.csv</x:v>
      </x:c>
      <x:c r="O69" s="83" t="str">
        <x:v>Values from different releases may use different currency-year and inflation conventions; do not blend releases.</x:v>
      </x:c>
    </x:row>
    <x:row r="70">
      <x:c r="A70" s="83" t="str">
        <x:v>EXT-0066</x:v>
      </x:c>
      <x:c r="B70" s="83" t="str">
        <x:v>PyPSA technology-data</x:v>
      </x:c>
      <x:c r="C70" s="83" t="str">
        <x:v>v0.9.2</x:v>
      </x:c>
      <x:c r="D70" s="83" t="n">
        <x:v>2050</x:v>
      </x:c>
      <x:c r="E70" s="83" t="str">
        <x:v>CCGT</x:v>
      </x:c>
      <x:c r="F70" s="83" t="str">
        <x:v>efficiency</x:v>
      </x:c>
      <x:c r="G70" s="279" t="n">
        <x:v>0.6</x:v>
      </x:c>
      <x:c r="H70" s="83" t="str">
        <x:v>per unit</x:v>
      </x:c>
      <x:c r="I70" s="83" t="str">
        <x:v>2015.0</x:v>
      </x:c>
      <x:c r="J70" s="83" t="str">
        <x:v>Danish Energy Agency, technology_data_for_el_and_dh.xlsx</x:v>
      </x:c>
      <x:c r="K70" s="83" t="str">
        <x:v>05 Gas turb. CC, steam extract.:  Electricity efficiency, annual average</x:v>
      </x:c>
      <x:c r="L70" s="83" t="str">
        <x:v>Direct candidate</x:v>
      </x:c>
      <x:c r="M70" s="83" t="str">
        <x:v>Candidate — do not adopt until CLI version is pinned</x:v>
      </x:c>
      <x:c r="N70" s="120" t="str">
        <x:v>https://raw.githubusercontent.com/PyPSA/technology-data/v0.9.2/outputs/costs_2050.csv</x:v>
      </x:c>
      <x:c r="O70" s="83" t="str">
        <x:v>Values from different releases may use different currency-year and inflation conventions; do not blend releases.</x:v>
      </x:c>
    </x:row>
    <x:row r="71">
      <x:c r="A71" s="83" t="str">
        <x:v>EXT-0067</x:v>
      </x:c>
      <x:c r="B71" s="83" t="str">
        <x:v>PyPSA technology-data</x:v>
      </x:c>
      <x:c r="C71" s="83" t="str">
        <x:v>v0.9.2</x:v>
      </x:c>
      <x:c r="D71" s="83" t="n">
        <x:v>2050</x:v>
      </x:c>
      <x:c r="E71" s="83" t="str">
        <x:v>CCGT</x:v>
      </x:c>
      <x:c r="F71" s="83" t="str">
        <x:v>investment</x:v>
      </x:c>
      <x:c r="G71" s="279" t="n">
        <x:v>846.5773</x:v>
      </x:c>
      <x:c r="H71" s="83" t="str">
        <x:v>EUR/kW</x:v>
      </x:c>
      <x:c r="I71" s="83" t="str">
        <x:v>2015.0</x:v>
      </x:c>
      <x:c r="J71" s="83" t="str">
        <x:v>Danish Energy Agency, technology_data_for_el_and_dh.xlsx</x:v>
      </x:c>
      <x:c r="K71" s="83" t="str">
        <x:v>05 Gas turb. CC, steam extract.:  Nominal investment</x:v>
      </x:c>
      <x:c r="L71" s="83" t="str">
        <x:v>Context / capacity optimisation</x:v>
      </x:c>
      <x:c r="M71" s="83" t="str">
        <x:v>Candidate — do not adopt until CLI version is pinned</x:v>
      </x:c>
      <x:c r="N71" s="120" t="str">
        <x:v>https://raw.githubusercontent.com/PyPSA/technology-data/v0.9.2/outputs/costs_2050.csv</x:v>
      </x:c>
      <x:c r="O71" s="83" t="str">
        <x:v>Values from different releases may use different currency-year and inflation conventions; do not blend releases.</x:v>
      </x:c>
    </x:row>
    <x:row r="72">
      <x:c r="A72" s="83" t="str">
        <x:v>EXT-0068</x:v>
      </x:c>
      <x:c r="B72" s="83" t="str">
        <x:v>PyPSA technology-data</x:v>
      </x:c>
      <x:c r="C72" s="83" t="str">
        <x:v>v0.9.2</x:v>
      </x:c>
      <x:c r="D72" s="83" t="n">
        <x:v>2050</x:v>
      </x:c>
      <x:c r="E72" s="83" t="str">
        <x:v>CCGT</x:v>
      </x:c>
      <x:c r="F72" s="83" t="str">
        <x:v>lifetime</x:v>
      </x:c>
      <x:c r="G72" s="279" t="n">
        <x:v>25</x:v>
      </x:c>
      <x:c r="H72" s="83" t="str">
        <x:v>years</x:v>
      </x:c>
      <x:c r="I72" s="83" t="str">
        <x:v>2015.0</x:v>
      </x:c>
      <x:c r="J72" s="83" t="str">
        <x:v>Danish Energy Agency, technology_data_for_el_and_dh.xlsx</x:v>
      </x:c>
      <x:c r="K72" s="83" t="str">
        <x:v>05 Gas turb. CC, steam extract.:  Technical lifetime</x:v>
      </x:c>
      <x:c r="L72" s="83" t="str">
        <x:v>Context / capacity optimisation</x:v>
      </x:c>
      <x:c r="M72" s="83" t="str">
        <x:v>Candidate — do not adopt until CLI version is pinned</x:v>
      </x:c>
      <x:c r="N72" s="120" t="str">
        <x:v>https://raw.githubusercontent.com/PyPSA/technology-data/v0.9.2/outputs/costs_2050.csv</x:v>
      </x:c>
      <x:c r="O72" s="83" t="str">
        <x:v>Values from different releases may use different currency-year and inflation conventions; do not blend releases.</x:v>
      </x:c>
    </x:row>
    <x:row r="73">
      <x:c r="A73" s="83" t="str">
        <x:v>EXT-0069</x:v>
      </x:c>
      <x:c r="B73" s="83" t="str">
        <x:v>PyPSA technology-data</x:v>
      </x:c>
      <x:c r="C73" s="83" t="str">
        <x:v>v0.9.2</x:v>
      </x:c>
      <x:c r="D73" s="83" t="n">
        <x:v>2050</x:v>
      </x:c>
      <x:c r="E73" s="83" t="str">
        <x:v>OCGT</x:v>
      </x:c>
      <x:c r="F73" s="83" t="str">
        <x:v>FOM</x:v>
      </x:c>
      <x:c r="G73" s="279" t="n">
        <x:v>1.8023</x:v>
      </x:c>
      <x:c r="H73" s="83" t="str">
        <x:v>%/year</x:v>
      </x:c>
      <x:c r="I73" s="83" t="str">
        <x:v>2015.0</x:v>
      </x:c>
      <x:c r="J73" s="83" t="str">
        <x:v>Danish Energy Agency, technology_data_for_el_and_dh.xlsx</x:v>
      </x:c>
      <x:c r="K73" s="83" t="str">
        <x:v>52 OCGT - Natural gas:  Fixed O&amp;M</x:v>
      </x:c>
      <x:c r="L73" s="83" t="str">
        <x:v>Context / capacity optimisation</x:v>
      </x:c>
      <x:c r="M73" s="83" t="str">
        <x:v>Candidate — do not adopt until CLI version is pinned</x:v>
      </x:c>
      <x:c r="N73" s="120" t="str">
        <x:v>https://raw.githubusercontent.com/PyPSA/technology-data/v0.9.2/outputs/costs_2050.csv</x:v>
      </x:c>
      <x:c r="O73" s="83" t="str">
        <x:v>Values from different releases may use different currency-year and inflation conventions; do not blend releases.</x:v>
      </x:c>
    </x:row>
    <x:row r="74">
      <x:c r="A74" s="83" t="str">
        <x:v>EXT-0070</x:v>
      </x:c>
      <x:c r="B74" s="83" t="str">
        <x:v>PyPSA technology-data</x:v>
      </x:c>
      <x:c r="C74" s="83" t="str">
        <x:v>v0.9.2</x:v>
      </x:c>
      <x:c r="D74" s="83" t="n">
        <x:v>2050</x:v>
      </x:c>
      <x:c r="E74" s="83" t="str">
        <x:v>OCGT</x:v>
      </x:c>
      <x:c r="F74" s="83" t="str">
        <x:v>VOM</x:v>
      </x:c>
      <x:c r="G74" s="279" t="n">
        <x:v>4.762</x:v>
      </x:c>
      <x:c r="H74" s="83" t="str">
        <x:v>EUR/MWh</x:v>
      </x:c>
      <x:c r="I74" s="83" t="str">
        <x:v>2015.0</x:v>
      </x:c>
      <x:c r="J74" s="83" t="str">
        <x:v>Danish Energy Agency, technology_data_for_el_and_dh.xlsx</x:v>
      </x:c>
      <x:c r="K74" s="83" t="str">
        <x:v>52 OCGT - Natural gas:  Variable O&amp;M</x:v>
      </x:c>
      <x:c r="L74" s="83" t="str">
        <x:v>Direct candidate</x:v>
      </x:c>
      <x:c r="M74" s="83" t="str">
        <x:v>Candidate — do not adopt until CLI version is pinned</x:v>
      </x:c>
      <x:c r="N74" s="120" t="str">
        <x:v>https://raw.githubusercontent.com/PyPSA/technology-data/v0.9.2/outputs/costs_2050.csv</x:v>
      </x:c>
      <x:c r="O74" s="83" t="str">
        <x:v>Values from different releases may use different currency-year and inflation conventions; do not blend releases.</x:v>
      </x:c>
    </x:row>
    <x:row r="75">
      <x:c r="A75" s="83" t="str">
        <x:v>EXT-0071</x:v>
      </x:c>
      <x:c r="B75" s="83" t="str">
        <x:v>PyPSA technology-data</x:v>
      </x:c>
      <x:c r="C75" s="83" t="str">
        <x:v>v0.9.2</x:v>
      </x:c>
      <x:c r="D75" s="83" t="n">
        <x:v>2050</x:v>
      </x:c>
      <x:c r="E75" s="83" t="str">
        <x:v>OCGT</x:v>
      </x:c>
      <x:c r="F75" s="83" t="str">
        <x:v>efficiency</x:v>
      </x:c>
      <x:c r="G75" s="279" t="n">
        <x:v>0.43</x:v>
      </x:c>
      <x:c r="H75" s="83" t="str">
        <x:v>per unit</x:v>
      </x:c>
      <x:c r="I75" s="83" t="str">
        <x:v>2015.0</x:v>
      </x:c>
      <x:c r="J75" s="83" t="str">
        <x:v>Danish Energy Agency, technology_data_for_el_and_dh.xlsx</x:v>
      </x:c>
      <x:c r="K75" s="83" t="str">
        <x:v>52 OCGT - Natural gas:  Electricity efficiency, annual average</x:v>
      </x:c>
      <x:c r="L75" s="83" t="str">
        <x:v>Direct candidate</x:v>
      </x:c>
      <x:c r="M75" s="83" t="str">
        <x:v>Candidate — do not adopt until CLI version is pinned</x:v>
      </x:c>
      <x:c r="N75" s="120" t="str">
        <x:v>https://raw.githubusercontent.com/PyPSA/technology-data/v0.9.2/outputs/costs_2050.csv</x:v>
      </x:c>
      <x:c r="O75" s="83" t="str">
        <x:v>Values from different releases may use different currency-year and inflation conventions; do not blend releases.</x:v>
      </x:c>
    </x:row>
    <x:row r="76">
      <x:c r="A76" s="83" t="str">
        <x:v>EXT-0072</x:v>
      </x:c>
      <x:c r="B76" s="83" t="str">
        <x:v>PyPSA technology-data</x:v>
      </x:c>
      <x:c r="C76" s="83" t="str">
        <x:v>v0.9.2</x:v>
      </x:c>
      <x:c r="D76" s="83" t="n">
        <x:v>2050</x:v>
      </x:c>
      <x:c r="E76" s="83" t="str">
        <x:v>OCGT</x:v>
      </x:c>
      <x:c r="F76" s="83" t="str">
        <x:v>investment</x:v>
      </x:c>
      <x:c r="G76" s="279" t="n">
        <x:v>435.818</x:v>
      </x:c>
      <x:c r="H76" s="83" t="str">
        <x:v>EUR/kW</x:v>
      </x:c>
      <x:c r="I76" s="83" t="str">
        <x:v>2015.0</x:v>
      </x:c>
      <x:c r="J76" s="83" t="str">
        <x:v>Danish Energy Agency, technology_data_for_el_and_dh.xlsx</x:v>
      </x:c>
      <x:c r="K76" s="83" t="str">
        <x:v>52 OCGT - Natural gas:  Specific investment</x:v>
      </x:c>
      <x:c r="L76" s="83" t="str">
        <x:v>Context / capacity optimisation</x:v>
      </x:c>
      <x:c r="M76" s="83" t="str">
        <x:v>Candidate — do not adopt until CLI version is pinned</x:v>
      </x:c>
      <x:c r="N76" s="120" t="str">
        <x:v>https://raw.githubusercontent.com/PyPSA/technology-data/v0.9.2/outputs/costs_2050.csv</x:v>
      </x:c>
      <x:c r="O76" s="83" t="str">
        <x:v>Values from different releases may use different currency-year and inflation conventions; do not blend releases.</x:v>
      </x:c>
    </x:row>
    <x:row r="77">
      <x:c r="A77" s="83" t="str">
        <x:v>EXT-0073</x:v>
      </x:c>
      <x:c r="B77" s="83" t="str">
        <x:v>PyPSA technology-data</x:v>
      </x:c>
      <x:c r="C77" s="83" t="str">
        <x:v>v0.9.2</x:v>
      </x:c>
      <x:c r="D77" s="83" t="n">
        <x:v>2050</x:v>
      </x:c>
      <x:c r="E77" s="83" t="str">
        <x:v>OCGT</x:v>
      </x:c>
      <x:c r="F77" s="83" t="str">
        <x:v>lifetime</x:v>
      </x:c>
      <x:c r="G77" s="279" t="n">
        <x:v>25</x:v>
      </x:c>
      <x:c r="H77" s="83" t="str">
        <x:v>years</x:v>
      </x:c>
      <x:c r="I77" s="83" t="str">
        <x:v>2015.0</x:v>
      </x:c>
      <x:c r="J77" s="83" t="str">
        <x:v>Danish Energy Agency, technology_data_for_el_and_dh.xlsx</x:v>
      </x:c>
      <x:c r="K77" s="83" t="str">
        <x:v>52 OCGT - Natural gas:  Technical lifetime</x:v>
      </x:c>
      <x:c r="L77" s="83" t="str">
        <x:v>Context / capacity optimisation</x:v>
      </x:c>
      <x:c r="M77" s="83" t="str">
        <x:v>Candidate — do not adopt until CLI version is pinned</x:v>
      </x:c>
      <x:c r="N77" s="120" t="str">
        <x:v>https://raw.githubusercontent.com/PyPSA/technology-data/v0.9.2/outputs/costs_2050.csv</x:v>
      </x:c>
      <x:c r="O77" s="83" t="str">
        <x:v>Values from different releases may use different currency-year and inflation conventions; do not blend releases.</x:v>
      </x:c>
    </x:row>
    <x:row r="78">
      <x:c r="A78" s="83" t="str">
        <x:v>EXT-0074</x:v>
      </x:c>
      <x:c r="B78" s="83" t="str">
        <x:v>PyPSA technology-data</x:v>
      </x:c>
      <x:c r="C78" s="83" t="str">
        <x:v>v0.9.2</x:v>
      </x:c>
      <x:c r="D78" s="83" t="n">
        <x:v>2050</x:v>
      </x:c>
      <x:c r="E78" s="83" t="str">
        <x:v>PHS</x:v>
      </x:c>
      <x:c r="F78" s="83" t="str">
        <x:v>FOM</x:v>
      </x:c>
      <x:c r="G78" s="279" t="n">
        <x:v>1</x:v>
      </x:c>
      <x:c r="H78" s="83" t="str">
        <x:v>%/year</x:v>
      </x:c>
      <x:c r="I78" s="83" t="str">
        <x:v>2015.0</x:v>
      </x:c>
      <x:c r="J78" s="83" t="str">
        <x:v>DIW DataDoc http://hdl.handle.net/10419/80348</x:v>
      </x:c>
      <x:c r="K78" s="83" t="str">
        <x:v> from old pypsa cost assumptions</x:v>
      </x:c>
      <x:c r="L78" s="83" t="str">
        <x:v>Context / capacity optimisation</x:v>
      </x:c>
      <x:c r="M78" s="83" t="str">
        <x:v>Candidate — do not adopt until CLI version is pinned</x:v>
      </x:c>
      <x:c r="N78" s="120" t="str">
        <x:v>https://raw.githubusercontent.com/PyPSA/technology-data/v0.9.2/outputs/costs_2050.csv</x:v>
      </x:c>
      <x:c r="O78" s="83" t="str">
        <x:v>Values from different releases may use different currency-year and inflation conventions; do not blend releases.</x:v>
      </x:c>
    </x:row>
    <x:row r="79">
      <x:c r="A79" s="83" t="str">
        <x:v>EXT-0075</x:v>
      </x:c>
      <x:c r="B79" s="83" t="str">
        <x:v>PyPSA technology-data</x:v>
      </x:c>
      <x:c r="C79" s="83" t="str">
        <x:v>v0.9.2</x:v>
      </x:c>
      <x:c r="D79" s="83" t="n">
        <x:v>2050</x:v>
      </x:c>
      <x:c r="E79" s="83" t="str">
        <x:v>PHS</x:v>
      </x:c>
      <x:c r="F79" s="83" t="str">
        <x:v>efficiency</x:v>
      </x:c>
      <x:c r="G79" s="279" t="n">
        <x:v>0.75</x:v>
      </x:c>
      <x:c r="H79" s="83" t="str">
        <x:v>per unit</x:v>
      </x:c>
      <x:c r="I79" s="83" t="str">
        <x:v>2015.0</x:v>
      </x:c>
      <x:c r="J79" s="83" t="str">
        <x:v>DIW DataDoc http://hdl.handle.net/10419/80348</x:v>
      </x:c>
      <x:c r="K79" s="83" t="str">
        <x:v> from old pypsa cost assumptions</x:v>
      </x:c>
      <x:c r="L79" s="83" t="str">
        <x:v>Direct candidate</x:v>
      </x:c>
      <x:c r="M79" s="83" t="str">
        <x:v>Candidate — do not adopt until CLI version is pinned</x:v>
      </x:c>
      <x:c r="N79" s="120" t="str">
        <x:v>https://raw.githubusercontent.com/PyPSA/technology-data/v0.9.2/outputs/costs_2050.csv</x:v>
      </x:c>
      <x:c r="O79" s="83" t="str">
        <x:v>Values from different releases may use different currency-year and inflation conventions; do not blend releases.</x:v>
      </x:c>
    </x:row>
    <x:row r="80">
      <x:c r="A80" s="83" t="str">
        <x:v>EXT-0076</x:v>
      </x:c>
      <x:c r="B80" s="83" t="str">
        <x:v>PyPSA technology-data</x:v>
      </x:c>
      <x:c r="C80" s="83" t="str">
        <x:v>v0.9.2</x:v>
      </x:c>
      <x:c r="D80" s="83" t="n">
        <x:v>2050</x:v>
      </x:c>
      <x:c r="E80" s="83" t="str">
        <x:v>PHS</x:v>
      </x:c>
      <x:c r="F80" s="83" t="str">
        <x:v>investment</x:v>
      </x:c>
      <x:c r="G80" s="279" t="n">
        <x:v>2274.8177</x:v>
      </x:c>
      <x:c r="H80" s="83" t="str">
        <x:v>EUR/kWel</x:v>
      </x:c>
      <x:c r="I80" s="83" t="str">
        <x:v>2010.0</x:v>
      </x:c>
      <x:c r="J80" s="83" t="str">
        <x:v>DIW DataDoc http://hdl.handle.net/10419/80348</x:v>
      </x:c>
      <x:c r="K80" s="83" t="str">
        <x:v> from old pypsa cost assumptions</x:v>
      </x:c>
      <x:c r="L80" s="83" t="str">
        <x:v>Context / capacity optimisation</x:v>
      </x:c>
      <x:c r="M80" s="83" t="str">
        <x:v>Candidate — do not adopt until CLI version is pinned</x:v>
      </x:c>
      <x:c r="N80" s="120" t="str">
        <x:v>https://raw.githubusercontent.com/PyPSA/technology-data/v0.9.2/outputs/costs_2050.csv</x:v>
      </x:c>
      <x:c r="O80" s="83" t="str">
        <x:v>Values from different releases may use different currency-year and inflation conventions; do not blend releases.</x:v>
      </x:c>
    </x:row>
    <x:row r="81">
      <x:c r="A81" s="83" t="str">
        <x:v>EXT-0077</x:v>
      </x:c>
      <x:c r="B81" s="83" t="str">
        <x:v>PyPSA technology-data</x:v>
      </x:c>
      <x:c r="C81" s="83" t="str">
        <x:v>v0.9.2</x:v>
      </x:c>
      <x:c r="D81" s="83" t="n">
        <x:v>2050</x:v>
      </x:c>
      <x:c r="E81" s="83" t="str">
        <x:v>PHS</x:v>
      </x:c>
      <x:c r="F81" s="83" t="str">
        <x:v>lifetime</x:v>
      </x:c>
      <x:c r="G81" s="279" t="n">
        <x:v>80</x:v>
      </x:c>
      <x:c r="H81" s="83" t="str">
        <x:v>years</x:v>
      </x:c>
      <x:c r="I81" s="83" t="str">
        <x:v>2015.0</x:v>
      </x:c>
      <x:c r="J81" s="83" t="str">
        <x:v>IEA2010</x:v>
      </x:c>
      <x:c r="K81" s="83" t="str">
        <x:v> from old pypsa cost assumptions</x:v>
      </x:c>
      <x:c r="L81" s="83" t="str">
        <x:v>Context / capacity optimisation</x:v>
      </x:c>
      <x:c r="M81" s="83" t="str">
        <x:v>Candidate — do not adopt until CLI version is pinned</x:v>
      </x:c>
      <x:c r="N81" s="120" t="str">
        <x:v>https://raw.githubusercontent.com/PyPSA/technology-data/v0.9.2/outputs/costs_2050.csv</x:v>
      </x:c>
      <x:c r="O81" s="83" t="str">
        <x:v>Values from different releases may use different currency-year and inflation conventions; do not blend releases.</x:v>
      </x:c>
    </x:row>
    <x:row r="82">
      <x:c r="A82" s="83" t="str">
        <x:v>EXT-0078</x:v>
      </x:c>
      <x:c r="B82" s="83" t="str">
        <x:v>PyPSA technology-data</x:v>
      </x:c>
      <x:c r="C82" s="83" t="str">
        <x:v>v0.9.2</x:v>
      </x:c>
      <x:c r="D82" s="83" t="n">
        <x:v>2050</x:v>
      </x:c>
      <x:c r="E82" s="83" t="str">
        <x:v>battery inverter</x:v>
      </x:c>
      <x:c r="F82" s="83" t="str">
        <x:v>FOM</x:v>
      </x:c>
      <x:c r="G82" s="279" t="n">
        <x:v>0.9</x:v>
      </x:c>
      <x:c r="H82" s="83" t="str">
        <x:v>%/year</x:v>
      </x:c>
      <x:c r="I82" s="83" t="str">
        <x:v>2015.0</x:v>
      </x:c>
      <x:c r="J82" s="83" t="str">
        <x:v>Danish Energy Agency, technology_data_catalogue_for_energy_storage.xlsx</x:v>
      </x:c>
      <x:c r="K82" s="83" t="str">
        <x:v>:  Fixed O&amp;M</x:v>
      </x:c>
      <x:c r="L82" s="83" t="str">
        <x:v>Context / capacity optimisation</x:v>
      </x:c>
      <x:c r="M82" s="83" t="str">
        <x:v>Candidate — do not adopt until CLI version is pinned</x:v>
      </x:c>
      <x:c r="N82" s="120" t="str">
        <x:v>https://raw.githubusercontent.com/PyPSA/technology-data/v0.9.2/outputs/costs_2050.csv</x:v>
      </x:c>
      <x:c r="O82" s="83" t="str">
        <x:v>Values from different releases may use different currency-year and inflation conventions; do not blend releases.</x:v>
      </x:c>
    </x:row>
    <x:row r="83">
      <x:c r="A83" s="83" t="str">
        <x:v>EXT-0079</x:v>
      </x:c>
      <x:c r="B83" s="83" t="str">
        <x:v>PyPSA technology-data</x:v>
      </x:c>
      <x:c r="C83" s="83" t="str">
        <x:v>v0.9.2</x:v>
      </x:c>
      <x:c r="D83" s="83" t="n">
        <x:v>2050</x:v>
      </x:c>
      <x:c r="E83" s="83" t="str">
        <x:v>battery inverter</x:v>
      </x:c>
      <x:c r="F83" s="83" t="str">
        <x:v>efficiency</x:v>
      </x:c>
      <x:c r="G83" s="279" t="n">
        <x:v>0.96</x:v>
      </x:c>
      <x:c r="H83" s="83" t="str">
        <x:v>per unit</x:v>
      </x:c>
      <x:c r="I83" s="83" t="str">
        <x:v>2015.0</x:v>
      </x:c>
      <x:c r="J83" s="83" t="str">
        <x:v>Danish Energy Agency, technology_data_catalogue_for_energy_storage.xlsx</x:v>
      </x:c>
      <x:c r="K83" s="83" t="str">
        <x:v>:  Round trip efficiency DC</x:v>
      </x:c>
      <x:c r="L83" s="83" t="str">
        <x:v>Direct candidate</x:v>
      </x:c>
      <x:c r="M83" s="83" t="str">
        <x:v>Candidate — do not adopt until CLI version is pinned</x:v>
      </x:c>
      <x:c r="N83" s="120" t="str">
        <x:v>https://raw.githubusercontent.com/PyPSA/technology-data/v0.9.2/outputs/costs_2050.csv</x:v>
      </x:c>
      <x:c r="O83" s="83" t="str">
        <x:v>Values from different releases may use different currency-year and inflation conventions; do not blend releases.</x:v>
      </x:c>
    </x:row>
    <x:row r="84">
      <x:c r="A84" s="83" t="str">
        <x:v>EXT-0080</x:v>
      </x:c>
      <x:c r="B84" s="83" t="str">
        <x:v>PyPSA technology-data</x:v>
      </x:c>
      <x:c r="C84" s="83" t="str">
        <x:v>v0.9.2</x:v>
      </x:c>
      <x:c r="D84" s="83" t="n">
        <x:v>2050</x:v>
      </x:c>
      <x:c r="E84" s="83" t="str">
        <x:v>battery inverter</x:v>
      </x:c>
      <x:c r="F84" s="83" t="str">
        <x:v>investment</x:v>
      </x:c>
      <x:c r="G84" s="279" t="n">
        <x:v>63.4933</x:v>
      </x:c>
      <x:c r="H84" s="83" t="str">
        <x:v>EUR/kW</x:v>
      </x:c>
      <x:c r="I84" s="83" t="str">
        <x:v>2015.0</x:v>
      </x:c>
      <x:c r="J84" s="83" t="str">
        <x:v>Danish Energy Agency, technology_data_catalogue_for_energy_storage.xlsx</x:v>
      </x:c>
      <x:c r="K84" s="83" t="str">
        <x:v>:  Output capacity expansion cost investment</x:v>
      </x:c>
      <x:c r="L84" s="83" t="str">
        <x:v>Context / capacity optimisation</x:v>
      </x:c>
      <x:c r="M84" s="83" t="str">
        <x:v>Candidate — do not adopt until CLI version is pinned</x:v>
      </x:c>
      <x:c r="N84" s="120" t="str">
        <x:v>https://raw.githubusercontent.com/PyPSA/technology-data/v0.9.2/outputs/costs_2050.csv</x:v>
      </x:c>
      <x:c r="O84" s="83" t="str">
        <x:v>Values from different releases may use different currency-year and inflation conventions; do not blend releases.</x:v>
      </x:c>
    </x:row>
    <x:row r="85">
      <x:c r="A85" s="83" t="str">
        <x:v>EXT-0081</x:v>
      </x:c>
      <x:c r="B85" s="83" t="str">
        <x:v>PyPSA technology-data</x:v>
      </x:c>
      <x:c r="C85" s="83" t="str">
        <x:v>v0.9.2</x:v>
      </x:c>
      <x:c r="D85" s="83" t="n">
        <x:v>2050</x:v>
      </x:c>
      <x:c r="E85" s="83" t="str">
        <x:v>battery inverter</x:v>
      </x:c>
      <x:c r="F85" s="83" t="str">
        <x:v>lifetime</x:v>
      </x:c>
      <x:c r="G85" s="279" t="n">
        <x:v>10</x:v>
      </x:c>
      <x:c r="H85" s="83" t="str">
        <x:v>years</x:v>
      </x:c>
      <x:c r="I85" s="83" t="str">
        <x:v>2015.0</x:v>
      </x:c>
      <x:c r="J85" s="83" t="str">
        <x:v>Danish Energy Agency, technology_data_catalogue_for_energy_storage.xlsx, Note K.</x:v>
      </x:c>
      <x:c r="K85" s="83" t="str">
        <x:v>:  Technical lifetime</x:v>
      </x:c>
      <x:c r="L85" s="83" t="str">
        <x:v>Context / capacity optimisation</x:v>
      </x:c>
      <x:c r="M85" s="83" t="str">
        <x:v>Candidate — do not adopt until CLI version is pinned</x:v>
      </x:c>
      <x:c r="N85" s="120" t="str">
        <x:v>https://raw.githubusercontent.com/PyPSA/technology-data/v0.9.2/outputs/costs_2050.csv</x:v>
      </x:c>
      <x:c r="O85" s="83" t="str">
        <x:v>Values from different releases may use different currency-year and inflation conventions; do not blend releases.</x:v>
      </x:c>
    </x:row>
    <x:row r="86">
      <x:c r="A86" s="83" t="str">
        <x:v>EXT-0082</x:v>
      </x:c>
      <x:c r="B86" s="83" t="str">
        <x:v>PyPSA technology-data</x:v>
      </x:c>
      <x:c r="C86" s="83" t="str">
        <x:v>v0.9.2</x:v>
      </x:c>
      <x:c r="D86" s="83" t="n">
        <x:v>2050</x:v>
      </x:c>
      <x:c r="E86" s="83" t="str">
        <x:v>battery storage</x:v>
      </x:c>
      <x:c r="F86" s="83" t="str">
        <x:v>investment</x:v>
      </x:c>
      <x:c r="G86" s="279" t="n">
        <x:v>79.3666</x:v>
      </x:c>
      <x:c r="H86" s="83" t="str">
        <x:v>EUR/kWh</x:v>
      </x:c>
      <x:c r="I86" s="83" t="str">
        <x:v>2015.0</x:v>
      </x:c>
      <x:c r="J86" s="83" t="str">
        <x:v>Danish Energy Agency, technology_data_catalogue_for_energy_storage.xlsx</x:v>
      </x:c>
      <x:c r="K86" s="83" t="str">
        <x:v>:  Energy storage expansion cost investment</x:v>
      </x:c>
      <x:c r="L86" s="83" t="str">
        <x:v>Context / capacity optimisation</x:v>
      </x:c>
      <x:c r="M86" s="83" t="str">
        <x:v>Candidate — do not adopt until CLI version is pinned</x:v>
      </x:c>
      <x:c r="N86" s="120" t="str">
        <x:v>https://raw.githubusercontent.com/PyPSA/technology-data/v0.9.2/outputs/costs_2050.csv</x:v>
      </x:c>
      <x:c r="O86" s="83" t="str">
        <x:v>Values from different releases may use different currency-year and inflation conventions; do not blend releases.</x:v>
      </x:c>
    </x:row>
    <x:row r="87">
      <x:c r="A87" s="83" t="str">
        <x:v>EXT-0083</x:v>
      </x:c>
      <x:c r="B87" s="83" t="str">
        <x:v>PyPSA technology-data</x:v>
      </x:c>
      <x:c r="C87" s="83" t="str">
        <x:v>v0.9.2</x:v>
      </x:c>
      <x:c r="D87" s="83" t="n">
        <x:v>2050</x:v>
      </x:c>
      <x:c r="E87" s="83" t="str">
        <x:v>battery storage</x:v>
      </x:c>
      <x:c r="F87" s="83" t="str">
        <x:v>lifetime</x:v>
      </x:c>
      <x:c r="G87" s="279" t="n">
        <x:v>30</x:v>
      </x:c>
      <x:c r="H87" s="83" t="str">
        <x:v>years</x:v>
      </x:c>
      <x:c r="I87" s="83" t="str">
        <x:v>2015.0</x:v>
      </x:c>
      <x:c r="J87" s="83" t="str">
        <x:v>Danish Energy Agency, technology_data_catalogue_for_energy_storage.xlsx</x:v>
      </x:c>
      <x:c r="K87" s="83" t="str">
        <x:v>:  Technical lifetime</x:v>
      </x:c>
      <x:c r="L87" s="83" t="str">
        <x:v>Context / capacity optimisation</x:v>
      </x:c>
      <x:c r="M87" s="83" t="str">
        <x:v>Candidate — do not adopt until CLI version is pinned</x:v>
      </x:c>
      <x:c r="N87" s="120" t="str">
        <x:v>https://raw.githubusercontent.com/PyPSA/technology-data/v0.9.2/outputs/costs_2050.csv</x:v>
      </x:c>
      <x:c r="O87" s="83" t="str">
        <x:v>Values from different releases may use different currency-year and inflation conventions; do not blend releases.</x:v>
      </x:c>
    </x:row>
    <x:row r="88">
      <x:c r="A88" s="83" t="str">
        <x:v>EXT-0084</x:v>
      </x:c>
      <x:c r="B88" s="83" t="str">
        <x:v>PyPSA technology-data</x:v>
      </x:c>
      <x:c r="C88" s="83" t="str">
        <x:v>v0.9.2</x:v>
      </x:c>
      <x:c r="D88" s="83" t="n">
        <x:v>2050</x:v>
      </x:c>
      <x:c r="E88" s="83" t="str">
        <x:v>biomass</x:v>
      </x:c>
      <x:c r="F88" s="83" t="str">
        <x:v>FOM</x:v>
      </x:c>
      <x:c r="G88" s="279" t="n">
        <x:v>4.5269</x:v>
      </x:c>
      <x:c r="H88" s="83" t="str">
        <x:v>%/year</x:v>
      </x:c>
      <x:c r="I88" s="83" t="str">
        <x:v>2015.0</x:v>
      </x:c>
      <x:c r="J88" s="83" t="str">
        <x:v>DIW DataDoc http://hdl.handle.net/10419/80348</x:v>
      </x:c>
      <x:c r="K88" s="83" t="str">
        <x:v> from old pypsa cost assumptions</x:v>
      </x:c>
      <x:c r="L88" s="83" t="str">
        <x:v>Context / capacity optimisation</x:v>
      </x:c>
      <x:c r="M88" s="83" t="str">
        <x:v>Candidate — do not adopt until CLI version is pinned</x:v>
      </x:c>
      <x:c r="N88" s="120" t="str">
        <x:v>https://raw.githubusercontent.com/PyPSA/technology-data/v0.9.2/outputs/costs_2050.csv</x:v>
      </x:c>
      <x:c r="O88" s="83" t="str">
        <x:v>Values from different releases may use different currency-year and inflation conventions; do not blend releases.</x:v>
      </x:c>
    </x:row>
    <x:row r="89">
      <x:c r="A89" s="83" t="str">
        <x:v>EXT-0085</x:v>
      </x:c>
      <x:c r="B89" s="83" t="str">
        <x:v>PyPSA technology-data</x:v>
      </x:c>
      <x:c r="C89" s="83" t="str">
        <x:v>v0.9.2</x:v>
      </x:c>
      <x:c r="D89" s="83" t="n">
        <x:v>2050</x:v>
      </x:c>
      <x:c r="E89" s="83" t="str">
        <x:v>biomass</x:v>
      </x:c>
      <x:c r="F89" s="83" t="str">
        <x:v>efficiency</x:v>
      </x:c>
      <x:c r="G89" s="279" t="n">
        <x:v>0.468</x:v>
      </x:c>
      <x:c r="H89" s="83" t="str">
        <x:v>per unit</x:v>
      </x:c>
      <x:c r="I89" s="83" t="str">
        <x:v>2015.0</x:v>
      </x:c>
      <x:c r="J89" s="83" t="str">
        <x:v>DIW DataDoc http://hdl.handle.net/10419/80348</x:v>
      </x:c>
      <x:c r="K89" s="83" t="str">
        <x:v> from old pypsa cost assumptions</x:v>
      </x:c>
      <x:c r="L89" s="83" t="str">
        <x:v>Direct candidate</x:v>
      </x:c>
      <x:c r="M89" s="83" t="str">
        <x:v>Candidate — do not adopt until CLI version is pinned</x:v>
      </x:c>
      <x:c r="N89" s="120" t="str">
        <x:v>https://raw.githubusercontent.com/PyPSA/technology-data/v0.9.2/outputs/costs_2050.csv</x:v>
      </x:c>
      <x:c r="O89" s="83" t="str">
        <x:v>Values from different releases may use different currency-year and inflation conventions; do not blend releases.</x:v>
      </x:c>
    </x:row>
    <x:row r="90">
      <x:c r="A90" s="83" t="str">
        <x:v>EXT-0086</x:v>
      </x:c>
      <x:c r="B90" s="83" t="str">
        <x:v>PyPSA technology-data</x:v>
      </x:c>
      <x:c r="C90" s="83" t="str">
        <x:v>v0.9.2</x:v>
      </x:c>
      <x:c r="D90" s="83" t="n">
        <x:v>2050</x:v>
      </x:c>
      <x:c r="E90" s="83" t="str">
        <x:v>biomass</x:v>
      </x:c>
      <x:c r="F90" s="83" t="str">
        <x:v>fuel</x:v>
      </x:c>
      <x:c r="G90" s="279" t="n">
        <x:v>7.4076</x:v>
      </x:c>
      <x:c r="H90" s="83" t="str">
        <x:v>EUR/MWhth</x:v>
      </x:c>
      <x:c r="I90" s="83" t="str">
        <x:v>2015.0</x:v>
      </x:c>
      <x:c r="J90" s="83" t="str">
        <x:v>IEA2011b</x:v>
      </x:c>
      <x:c r="K90" s="83" t="str">
        <x:v> from old pypsa cost assumptions</x:v>
      </x:c>
      <x:c r="L90" s="83" t="str">
        <x:v>Direct candidate</x:v>
      </x:c>
      <x:c r="M90" s="83" t="str">
        <x:v>Candidate — do not adopt until CLI version is pinned</x:v>
      </x:c>
      <x:c r="N90" s="120" t="str">
        <x:v>https://raw.githubusercontent.com/PyPSA/technology-data/v0.9.2/outputs/costs_2050.csv</x:v>
      </x:c>
      <x:c r="O90" s="83" t="str">
        <x:v>Values from different releases may use different currency-year and inflation conventions; do not blend releases.</x:v>
      </x:c>
    </x:row>
    <x:row r="91">
      <x:c r="A91" s="83" t="str">
        <x:v>EXT-0087</x:v>
      </x:c>
      <x:c r="B91" s="83" t="str">
        <x:v>PyPSA technology-data</x:v>
      </x:c>
      <x:c r="C91" s="83" t="str">
        <x:v>v0.9.2</x:v>
      </x:c>
      <x:c r="D91" s="83" t="n">
        <x:v>2050</x:v>
      </x:c>
      <x:c r="E91" s="83" t="str">
        <x:v>biomass</x:v>
      </x:c>
      <x:c r="F91" s="83" t="str">
        <x:v>investment</x:v>
      </x:c>
      <x:c r="G91" s="279" t="n">
        <x:v>2337.6116</x:v>
      </x:c>
      <x:c r="H91" s="83" t="str">
        <x:v>EUR/kWel</x:v>
      </x:c>
      <x:c r="I91" s="83" t="str">
        <x:v>2015.0</x:v>
      </x:c>
      <x:c r="J91" s="83" t="str">
        <x:v>DIW DataDoc http://hdl.handle.net/10419/80348</x:v>
      </x:c>
      <x:c r="K91" s="83" t="str">
        <x:v> from old pypsa cost assumptions</x:v>
      </x:c>
      <x:c r="L91" s="83" t="str">
        <x:v>Context / capacity optimisation</x:v>
      </x:c>
      <x:c r="M91" s="83" t="str">
        <x:v>Candidate — do not adopt until CLI version is pinned</x:v>
      </x:c>
      <x:c r="N91" s="120" t="str">
        <x:v>https://raw.githubusercontent.com/PyPSA/technology-data/v0.9.2/outputs/costs_2050.csv</x:v>
      </x:c>
      <x:c r="O91" s="83" t="str">
        <x:v>Values from different releases may use different currency-year and inflation conventions; do not blend releases.</x:v>
      </x:c>
    </x:row>
    <x:row r="92">
      <x:c r="A92" s="83" t="str">
        <x:v>EXT-0088</x:v>
      </x:c>
      <x:c r="B92" s="83" t="str">
        <x:v>PyPSA technology-data</x:v>
      </x:c>
      <x:c r="C92" s="83" t="str">
        <x:v>v0.9.2</x:v>
      </x:c>
      <x:c r="D92" s="83" t="n">
        <x:v>2050</x:v>
      </x:c>
      <x:c r="E92" s="83" t="str">
        <x:v>biomass</x:v>
      </x:c>
      <x:c r="F92" s="83" t="str">
        <x:v>lifetime</x:v>
      </x:c>
      <x:c r="G92" s="279" t="n">
        <x:v>30</x:v>
      </x:c>
      <x:c r="H92" s="83" t="str">
        <x:v>years</x:v>
      </x:c>
      <x:c r="I92" s="83" t="str">
        <x:v>2015.0</x:v>
      </x:c>
      <x:c r="J92" s="83" t="str">
        <x:v>ECF2010 in DIW DataDoc http://hdl.handle.net/10419/80348</x:v>
      </x:c>
      <x:c r="K92" s="83" t="str">
        <x:v> from old pypsa cost assumptions</x:v>
      </x:c>
      <x:c r="L92" s="83" t="str">
        <x:v>Context / capacity optimisation</x:v>
      </x:c>
      <x:c r="M92" s="83" t="str">
        <x:v>Candidate — do not adopt until CLI version is pinned</x:v>
      </x:c>
      <x:c r="N92" s="120" t="str">
        <x:v>https://raw.githubusercontent.com/PyPSA/technology-data/v0.9.2/outputs/costs_2050.csv</x:v>
      </x:c>
      <x:c r="O92" s="83" t="str">
        <x:v>Values from different releases may use different currency-year and inflation conventions; do not blend releases.</x:v>
      </x:c>
    </x:row>
    <x:row r="93">
      <x:c r="A93" s="83" t="str">
        <x:v>EXT-0089</x:v>
      </x:c>
      <x:c r="B93" s="83" t="str">
        <x:v>PyPSA technology-data</x:v>
      </x:c>
      <x:c r="C93" s="83" t="str">
        <x:v>v0.9.2</x:v>
      </x:c>
      <x:c r="D93" s="83" t="n">
        <x:v>2050</x:v>
      </x:c>
      <x:c r="E93" s="83" t="str">
        <x:v>electrolysis</x:v>
      </x:c>
      <x:c r="F93" s="83" t="str">
        <x:v>FOM</x:v>
      </x:c>
      <x:c r="G93" s="279" t="n">
        <x:v>4</x:v>
      </x:c>
      <x:c r="H93" s="83" t="str">
        <x:v>%/year</x:v>
      </x:c>
      <x:c r="I93" s="83" t="str">
        <x:v>2020.0</x:v>
      </x:c>
      <x:c r="J93" s="83" t="str">
        <x:v>Danish Energy Agency, data_sheets_for_renewable_fuels.xlsx</x:v>
      </x:c>
      <x:c r="K93" s="83" t="str">
        <x:v>86 AEC 100 MW:  Fixed O&amp;M </x:v>
      </x:c>
      <x:c r="L93" s="83" t="str">
        <x:v>Context / capacity optimisation</x:v>
      </x:c>
      <x:c r="M93" s="83" t="str">
        <x:v>Candidate — do not adopt until CLI version is pinned</x:v>
      </x:c>
      <x:c r="N93" s="120" t="str">
        <x:v>https://raw.githubusercontent.com/PyPSA/technology-data/v0.9.2/outputs/costs_2050.csv</x:v>
      </x:c>
      <x:c r="O93" s="83" t="str">
        <x:v>Values from different releases may use different currency-year and inflation conventions; do not blend releases.</x:v>
      </x:c>
    </x:row>
    <x:row r="94">
      <x:c r="A94" s="83" t="str">
        <x:v>EXT-0090</x:v>
      </x:c>
      <x:c r="B94" s="83" t="str">
        <x:v>PyPSA technology-data</x:v>
      </x:c>
      <x:c r="C94" s="83" t="str">
        <x:v>v0.9.2</x:v>
      </x:c>
      <x:c r="D94" s="83" t="n">
        <x:v>2050</x:v>
      </x:c>
      <x:c r="E94" s="83" t="str">
        <x:v>electrolysis</x:v>
      </x:c>
      <x:c r="F94" s="83" t="str">
        <x:v>efficiency</x:v>
      </x:c>
      <x:c r="G94" s="279" t="n">
        <x:v>0.6994</x:v>
      </x:c>
      <x:c r="H94" s="83" t="str">
        <x:v>per unit</x:v>
      </x:c>
      <x:c r="I94" s="83" t="str">
        <x:v>2020.0</x:v>
      </x:c>
      <x:c r="J94" s="83" t="str">
        <x:v>Danish Energy Agency, data_sheets_for_renewable_fuels.xlsx</x:v>
      </x:c>
      <x:c r="K94" s="83" t="str">
        <x:v>86 AEC 100 MW:  Hydrogen Output</x:v>
      </x:c>
      <x:c r="L94" s="83" t="str">
        <x:v>Direct candidate</x:v>
      </x:c>
      <x:c r="M94" s="83" t="str">
        <x:v>Candidate — do not adopt until CLI version is pinned</x:v>
      </x:c>
      <x:c r="N94" s="120" t="str">
        <x:v>https://raw.githubusercontent.com/PyPSA/technology-data/v0.9.2/outputs/costs_2050.csv</x:v>
      </x:c>
      <x:c r="O94" s="83" t="str">
        <x:v>Values from different releases may use different currency-year and inflation conventions; do not blend releases.</x:v>
      </x:c>
    </x:row>
    <x:row r="95">
      <x:c r="A95" s="83" t="str">
        <x:v>EXT-0091</x:v>
      </x:c>
      <x:c r="B95" s="83" t="str">
        <x:v>PyPSA technology-data</x:v>
      </x:c>
      <x:c r="C95" s="83" t="str">
        <x:v>v0.9.2</x:v>
      </x:c>
      <x:c r="D95" s="83" t="n">
        <x:v>2050</x:v>
      </x:c>
      <x:c r="E95" s="83" t="str">
        <x:v>electrolysis</x:v>
      </x:c>
      <x:c r="F95" s="83" t="str">
        <x:v>efficiency-heat</x:v>
      </x:c>
      <x:c r="G95" s="279" t="n">
        <x:v>0.1294</x:v>
      </x:c>
      <x:c r="H95" s="83" t="str">
        <x:v>per unit</x:v>
      </x:c>
      <x:c r="I95" s="83" t="str">
        <x:v>2020.0</x:v>
      </x:c>
      <x:c r="J95" s="83" t="str">
        <x:v>Danish Energy Agency, data_sheets_for_renewable_fuels.xlsx</x:v>
      </x:c>
      <x:c r="K95" s="83" t="str">
        <x:v>86 AEC 100 MW:   - hereof recoverable for district heating</x:v>
      </x:c>
      <x:c r="L95" s="83" t="str">
        <x:v>Context / capacity optimisation</x:v>
      </x:c>
      <x:c r="M95" s="83" t="str">
        <x:v>Candidate — do not adopt until CLI version is pinned</x:v>
      </x:c>
      <x:c r="N95" s="120" t="str">
        <x:v>https://raw.githubusercontent.com/PyPSA/technology-data/v0.9.2/outputs/costs_2050.csv</x:v>
      </x:c>
      <x:c r="O95" s="83" t="str">
        <x:v>Values from different releases may use different currency-year and inflation conventions; do not blend releases.</x:v>
      </x:c>
    </x:row>
    <x:row r="96">
      <x:c r="A96" s="83" t="str">
        <x:v>EXT-0092</x:v>
      </x:c>
      <x:c r="B96" s="83" t="str">
        <x:v>PyPSA technology-data</x:v>
      </x:c>
      <x:c r="C96" s="83" t="str">
        <x:v>v0.9.2</x:v>
      </x:c>
      <x:c r="D96" s="83" t="n">
        <x:v>2050</x:v>
      </x:c>
      <x:c r="E96" s="83" t="str">
        <x:v>electrolysis</x:v>
      </x:c>
      <x:c r="F96" s="83" t="str">
        <x:v>investment</x:v>
      </x:c>
      <x:c r="G96" s="279" t="n">
        <x:v>1000</x:v>
      </x:c>
      <x:c r="H96" s="83" t="str">
        <x:v>EUR/kW_e</x:v>
      </x:c>
      <x:c r="I96" s="83" t="str">
        <x:v>2020.0</x:v>
      </x:c>
      <x:c r="J96" s="83" t="str">
        <x:v>private communications; IEA https://iea.blob.core.windows.net/assets/9e0c82d4-06d2-496b-9542-f184ba803645/TheRoleofE-fuelsinDecarbonisingTransport.pdf</x:v>
      </x:c>
      <x:c r="K96" s="83" t="str"/>
      <x:c r="L96" s="83" t="str">
        <x:v>Context / capacity optimisation</x:v>
      </x:c>
      <x:c r="M96" s="83" t="str">
        <x:v>Candidate — do not adopt until CLI version is pinned</x:v>
      </x:c>
      <x:c r="N96" s="120" t="str">
        <x:v>https://raw.githubusercontent.com/PyPSA/technology-data/v0.9.2/outputs/costs_2050.csv</x:v>
      </x:c>
      <x:c r="O96" s="83" t="str">
        <x:v>Values from different releases may use different currency-year and inflation conventions; do not blend releases.</x:v>
      </x:c>
    </x:row>
    <x:row r="97">
      <x:c r="A97" s="83" t="str">
        <x:v>EXT-0093</x:v>
      </x:c>
      <x:c r="B97" s="83" t="str">
        <x:v>PyPSA technology-data</x:v>
      </x:c>
      <x:c r="C97" s="83" t="str">
        <x:v>v0.9.2</x:v>
      </x:c>
      <x:c r="D97" s="83" t="n">
        <x:v>2050</x:v>
      </x:c>
      <x:c r="E97" s="83" t="str">
        <x:v>electrolysis</x:v>
      </x:c>
      <x:c r="F97" s="83" t="str">
        <x:v>lifetime</x:v>
      </x:c>
      <x:c r="G97" s="279" t="n">
        <x:v>25</x:v>
      </x:c>
      <x:c r="H97" s="83" t="str">
        <x:v>years</x:v>
      </x:c>
      <x:c r="I97" s="83" t="str">
        <x:v>2020.0</x:v>
      </x:c>
      <x:c r="J97" s="83" t="str">
        <x:v>Danish Energy Agency, data_sheets_for_renewable_fuels.xlsx</x:v>
      </x:c>
      <x:c r="K97" s="83" t="str">
        <x:v>86 AEC 100 MW:  Technical lifetime</x:v>
      </x:c>
      <x:c r="L97" s="83" t="str">
        <x:v>Context / capacity optimisation</x:v>
      </x:c>
      <x:c r="M97" s="83" t="str">
        <x:v>Candidate — do not adopt until CLI version is pinned</x:v>
      </x:c>
      <x:c r="N97" s="120" t="str">
        <x:v>https://raw.githubusercontent.com/PyPSA/technology-data/v0.9.2/outputs/costs_2050.csv</x:v>
      </x:c>
      <x:c r="O97" s="83" t="str">
        <x:v>Values from different releases may use different currency-year and inflation conventions; do not blend releases.</x:v>
      </x:c>
    </x:row>
    <x:row r="98">
      <x:c r="A98" s="83" t="str">
        <x:v>EXT-0094</x:v>
      </x:c>
      <x:c r="B98" s="83" t="str">
        <x:v>PyPSA technology-data</x:v>
      </x:c>
      <x:c r="C98" s="83" t="str">
        <x:v>v0.9.2</x:v>
      </x:c>
      <x:c r="D98" s="83" t="n">
        <x:v>2050</x:v>
      </x:c>
      <x:c r="E98" s="83" t="str">
        <x:v>gas</x:v>
      </x:c>
      <x:c r="F98" s="83" t="str">
        <x:v>CO2 intensity</x:v>
      </x:c>
      <x:c r="G98" s="279" t="n">
        <x:v>0.198</x:v>
      </x:c>
      <x:c r="H98" s="83" t="str">
        <x:v>tCO2/MWh_th</x:v>
      </x:c>
      <x:c r="I98" s="83" t="str"/>
      <x:c r="J98" s="83" t="str">
        <x:v>Stoichiometric calculation with 50 GJ/t CH4</x:v>
      </x:c>
      <x:c r="K98" s="83" t="str"/>
      <x:c r="L98" s="83" t="str">
        <x:v>Direct candidate</x:v>
      </x:c>
      <x:c r="M98" s="83" t="str">
        <x:v>Candidate — do not adopt until CLI version is pinned</x:v>
      </x:c>
      <x:c r="N98" s="120" t="str">
        <x:v>https://raw.githubusercontent.com/PyPSA/technology-data/v0.9.2/outputs/costs_2050.csv</x:v>
      </x:c>
      <x:c r="O98" s="83" t="str">
        <x:v>Values from different releases may use different currency-year and inflation conventions; do not blend releases.</x:v>
      </x:c>
    </x:row>
    <x:row r="99">
      <x:c r="A99" s="83" t="str">
        <x:v>EXT-0095</x:v>
      </x:c>
      <x:c r="B99" s="83" t="str">
        <x:v>PyPSA technology-data</x:v>
      </x:c>
      <x:c r="C99" s="83" t="str">
        <x:v>v0.9.2</x:v>
      </x:c>
      <x:c r="D99" s="83" t="n">
        <x:v>2050</x:v>
      </x:c>
      <x:c r="E99" s="83" t="str">
        <x:v>gas</x:v>
      </x:c>
      <x:c r="F99" s="83" t="str">
        <x:v>fuel</x:v>
      </x:c>
      <x:c r="G99" s="279" t="n">
        <x:v>24.568</x:v>
      </x:c>
      <x:c r="H99" s="83" t="str">
        <x:v>EUR/MWh_th</x:v>
      </x:c>
      <x:c r="I99" s="83" t="str">
        <x:v>2010.0</x:v>
      </x:c>
      <x:c r="J99" s="83" t="str">
        <x:v>DIW (2013): Current and propsective costs of electricity generation until 2050, http://hdl.handle.net/10419/80348 , pg. 80 text below figure 10, accessed: 2023-12-14.</x:v>
      </x:c>
      <x:c r="K99" s="83" t="str">
        <x:v>Based on IEA 2011 data.</x:v>
      </x:c>
      <x:c r="L99" s="83" t="str">
        <x:v>Direct candidate</x:v>
      </x:c>
      <x:c r="M99" s="83" t="str">
        <x:v>Candidate — do not adopt until CLI version is pinned</x:v>
      </x:c>
      <x:c r="N99" s="120" t="str">
        <x:v>https://raw.githubusercontent.com/PyPSA/technology-data/v0.9.2/outputs/costs_2050.csv</x:v>
      </x:c>
      <x:c r="O99" s="83" t="str">
        <x:v>Values from different releases may use different currency-year and inflation conventions; do not blend releases.</x:v>
      </x:c>
    </x:row>
    <x:row r="100">
      <x:c r="A100" s="83" t="str">
        <x:v>EXT-0096</x:v>
      </x:c>
      <x:c r="B100" s="83" t="str">
        <x:v>PyPSA technology-data</x:v>
      </x:c>
      <x:c r="C100" s="83" t="str">
        <x:v>v0.9.2</x:v>
      </x:c>
      <x:c r="D100" s="83" t="n">
        <x:v>2050</x:v>
      </x:c>
      <x:c r="E100" s="83" t="str">
        <x:v>geothermal</x:v>
      </x:c>
      <x:c r="F100" s="83" t="str">
        <x:v>CO2 intensity</x:v>
      </x:c>
      <x:c r="G100" s="279" t="n">
        <x:v>0.12</x:v>
      </x:c>
      <x:c r="H100" s="83" t="str">
        <x:v>tCO2/MWh_th</x:v>
      </x:c>
      <x:c r="I100" s="83" t="str">
        <x:v>2020.0</x:v>
      </x:c>
      <x:c r="J100" s="83" t="str">
        <x:v>Aghahosseini, Breyer 2020: From hot rock to useful energy: A global estimate of enhanced geothermal systems potential, https://www.sciencedirect.com/science/article/pii/S0306261920312551</x:v>
      </x:c>
      <x:c r="K100" s="83" t="str">
        <x:v>Likely to be improved; Average of 85 percent of global egs power plant capacity; Result of fluid circulation through rock formations</x:v>
      </x:c>
      <x:c r="L100" s="83" t="str">
        <x:v>Direct candidate</x:v>
      </x:c>
      <x:c r="M100" s="83" t="str">
        <x:v>Candidate — do not adopt until CLI version is pinned</x:v>
      </x:c>
      <x:c r="N100" s="120" t="str">
        <x:v>https://raw.githubusercontent.com/PyPSA/technology-data/v0.9.2/outputs/costs_2050.csv</x:v>
      </x:c>
      <x:c r="O100" s="83" t="str">
        <x:v>Values from different releases may use different currency-year and inflation conventions; do not blend releases.</x:v>
      </x:c>
    </x:row>
    <x:row r="101">
      <x:c r="A101" s="83" t="str">
        <x:v>EXT-0097</x:v>
      </x:c>
      <x:c r="B101" s="83" t="str">
        <x:v>PyPSA technology-data</x:v>
      </x:c>
      <x:c r="C101" s="83" t="str">
        <x:v>v0.9.2</x:v>
      </x:c>
      <x:c r="D101" s="83" t="n">
        <x:v>2050</x:v>
      </x:c>
      <x:c r="E101" s="83" t="str">
        <x:v>geothermal</x:v>
      </x:c>
      <x:c r="F101" s="83" t="str">
        <x:v>FOM</x:v>
      </x:c>
      <x:c r="G101" s="279" t="n">
        <x:v>2</x:v>
      </x:c>
      <x:c r="H101" s="83" t="str">
        <x:v>%/year</x:v>
      </x:c>
      <x:c r="I101" s="83" t="str">
        <x:v>2020.0</x:v>
      </x:c>
      <x:c r="J101" s="83" t="str">
        <x:v>Aghahosseini, Breyer 2020: From hot rock to useful energy: A global estimate of enhanced geothermal systems potential, https://www.sciencedirect.com/science/article/pii/S0306261920312551</x:v>
      </x:c>
      <x:c r="K101" s="83" t="str">
        <x:v>See Supplemental Material of source for details</x:v>
      </x:c>
      <x:c r="L101" s="83" t="str">
        <x:v>Context / capacity optimisation</x:v>
      </x:c>
      <x:c r="M101" s="83" t="str">
        <x:v>Candidate — do not adopt until CLI version is pinned</x:v>
      </x:c>
      <x:c r="N101" s="120" t="str">
        <x:v>https://raw.githubusercontent.com/PyPSA/technology-data/v0.9.2/outputs/costs_2050.csv</x:v>
      </x:c>
      <x:c r="O101" s="83" t="str">
        <x:v>Values from different releases may use different currency-year and inflation conventions; do not blend releases.</x:v>
      </x:c>
    </x:row>
    <x:row r="102">
      <x:c r="A102" s="83" t="str">
        <x:v>EXT-0098</x:v>
      </x:c>
      <x:c r="B102" s="83" t="str">
        <x:v>PyPSA technology-data</x:v>
      </x:c>
      <x:c r="C102" s="83" t="str">
        <x:v>v0.9.2</x:v>
      </x:c>
      <x:c r="D102" s="83" t="n">
        <x:v>2050</x:v>
      </x:c>
      <x:c r="E102" s="83" t="str">
        <x:v>geothermal</x:v>
      </x:c>
      <x:c r="F102" s="83" t="str">
        <x:v>lifetime</x:v>
      </x:c>
      <x:c r="G102" s="279" t="n">
        <x:v>30</x:v>
      </x:c>
      <x:c r="H102" s="83" t="str">
        <x:v>years</x:v>
      </x:c>
      <x:c r="I102" s="83" t="str">
        <x:v>2020.0</x:v>
      </x:c>
      <x:c r="J102" s="83" t="str">
        <x:v>Aghahosseini, Breyer 2020: From hot rock to useful energy: A global estimate of enhanced geothermal systems potential, https://www.sciencedirect.com/science/article/pii/S0306261920312551</x:v>
      </x:c>
      <x:c r="K102" s="83" t="str"/>
      <x:c r="L102" s="83" t="str">
        <x:v>Context / capacity optimisation</x:v>
      </x:c>
      <x:c r="M102" s="83" t="str">
        <x:v>Candidate — do not adopt until CLI version is pinned</x:v>
      </x:c>
      <x:c r="N102" s="120" t="str">
        <x:v>https://raw.githubusercontent.com/PyPSA/technology-data/v0.9.2/outputs/costs_2050.csv</x:v>
      </x:c>
      <x:c r="O102" s="83" t="str">
        <x:v>Values from different releases may use different currency-year and inflation conventions; do not blend releases.</x:v>
      </x:c>
    </x:row>
    <x:row r="103">
      <x:c r="A103" s="83" t="str">
        <x:v>EXT-0099</x:v>
      </x:c>
      <x:c r="B103" s="83" t="str">
        <x:v>PyPSA technology-data</x:v>
      </x:c>
      <x:c r="C103" s="83" t="str">
        <x:v>v0.9.2</x:v>
      </x:c>
      <x:c r="D103" s="83" t="n">
        <x:v>2050</x:v>
      </x:c>
      <x:c r="E103" s="83" t="str">
        <x:v>hydro</x:v>
      </x:c>
      <x:c r="F103" s="83" t="str">
        <x:v>FOM</x:v>
      </x:c>
      <x:c r="G103" s="279" t="n">
        <x:v>1</x:v>
      </x:c>
      <x:c r="H103" s="83" t="str">
        <x:v>%/year</x:v>
      </x:c>
      <x:c r="I103" s="83" t="str">
        <x:v>2015.0</x:v>
      </x:c>
      <x:c r="J103" s="83" t="str">
        <x:v>DIW DataDoc http://hdl.handle.net/10419/80348</x:v>
      </x:c>
      <x:c r="K103" s="83" t="str">
        <x:v> from old pypsa cost assumptions</x:v>
      </x:c>
      <x:c r="L103" s="83" t="str">
        <x:v>Context / capacity optimisation</x:v>
      </x:c>
      <x:c r="M103" s="83" t="str">
        <x:v>Candidate — do not adopt until CLI version is pinned</x:v>
      </x:c>
      <x:c r="N103" s="120" t="str">
        <x:v>https://raw.githubusercontent.com/PyPSA/technology-data/v0.9.2/outputs/costs_2050.csv</x:v>
      </x:c>
      <x:c r="O103" s="83" t="str">
        <x:v>Values from different releases may use different currency-year and inflation conventions; do not blend releases.</x:v>
      </x:c>
    </x:row>
    <x:row r="104">
      <x:c r="A104" s="83" t="str">
        <x:v>EXT-0100</x:v>
      </x:c>
      <x:c r="B104" s="83" t="str">
        <x:v>PyPSA technology-data</x:v>
      </x:c>
      <x:c r="C104" s="83" t="str">
        <x:v>v0.9.2</x:v>
      </x:c>
      <x:c r="D104" s="83" t="n">
        <x:v>2050</x:v>
      </x:c>
      <x:c r="E104" s="83" t="str">
        <x:v>hydro</x:v>
      </x:c>
      <x:c r="F104" s="83" t="str">
        <x:v>efficiency</x:v>
      </x:c>
      <x:c r="G104" s="279" t="n">
        <x:v>0.9</x:v>
      </x:c>
      <x:c r="H104" s="83" t="str">
        <x:v>per unit</x:v>
      </x:c>
      <x:c r="I104" s="83" t="str">
        <x:v>2015.0</x:v>
      </x:c>
      <x:c r="J104" s="83" t="str">
        <x:v>DIW DataDoc http://hdl.handle.net/10419/80348</x:v>
      </x:c>
      <x:c r="K104" s="83" t="str">
        <x:v> from old pypsa cost assumptions</x:v>
      </x:c>
      <x:c r="L104" s="83" t="str">
        <x:v>Direct candidate</x:v>
      </x:c>
      <x:c r="M104" s="83" t="str">
        <x:v>Candidate — do not adopt until CLI version is pinned</x:v>
      </x:c>
      <x:c r="N104" s="120" t="str">
        <x:v>https://raw.githubusercontent.com/PyPSA/technology-data/v0.9.2/outputs/costs_2050.csv</x:v>
      </x:c>
      <x:c r="O104" s="83" t="str">
        <x:v>Values from different releases may use different currency-year and inflation conventions; do not blend releases.</x:v>
      </x:c>
    </x:row>
    <x:row r="105">
      <x:c r="A105" s="83" t="str">
        <x:v>EXT-0101</x:v>
      </x:c>
      <x:c r="B105" s="83" t="str">
        <x:v>PyPSA technology-data</x:v>
      </x:c>
      <x:c r="C105" s="83" t="str">
        <x:v>v0.9.2</x:v>
      </x:c>
      <x:c r="D105" s="83" t="n">
        <x:v>2050</x:v>
      </x:c>
      <x:c r="E105" s="83" t="str">
        <x:v>hydro</x:v>
      </x:c>
      <x:c r="F105" s="83" t="str">
        <x:v>investment</x:v>
      </x:c>
      <x:c r="G105" s="279" t="n">
        <x:v>2274.8177</x:v>
      </x:c>
      <x:c r="H105" s="83" t="str">
        <x:v>EUR/kWel</x:v>
      </x:c>
      <x:c r="I105" s="83" t="str">
        <x:v>2010.0</x:v>
      </x:c>
      <x:c r="J105" s="83" t="str">
        <x:v>DIW DataDoc http://hdl.handle.net/10419/80348</x:v>
      </x:c>
      <x:c r="K105" s="83" t="str">
        <x:v> from old pypsa cost assumptions</x:v>
      </x:c>
      <x:c r="L105" s="83" t="str">
        <x:v>Context / capacity optimisation</x:v>
      </x:c>
      <x:c r="M105" s="83" t="str">
        <x:v>Candidate — do not adopt until CLI version is pinned</x:v>
      </x:c>
      <x:c r="N105" s="120" t="str">
        <x:v>https://raw.githubusercontent.com/PyPSA/technology-data/v0.9.2/outputs/costs_2050.csv</x:v>
      </x:c>
      <x:c r="O105" s="83" t="str">
        <x:v>Values from different releases may use different currency-year and inflation conventions; do not blend releases.</x:v>
      </x:c>
    </x:row>
    <x:row r="106">
      <x:c r="A106" s="83" t="str">
        <x:v>EXT-0102</x:v>
      </x:c>
      <x:c r="B106" s="83" t="str">
        <x:v>PyPSA technology-data</x:v>
      </x:c>
      <x:c r="C106" s="83" t="str">
        <x:v>v0.9.2</x:v>
      </x:c>
      <x:c r="D106" s="83" t="n">
        <x:v>2050</x:v>
      </x:c>
      <x:c r="E106" s="83" t="str">
        <x:v>hydro</x:v>
      </x:c>
      <x:c r="F106" s="83" t="str">
        <x:v>lifetime</x:v>
      </x:c>
      <x:c r="G106" s="279" t="n">
        <x:v>80</x:v>
      </x:c>
      <x:c r="H106" s="83" t="str">
        <x:v>years</x:v>
      </x:c>
      <x:c r="I106" s="83" t="str">
        <x:v>2015.0</x:v>
      </x:c>
      <x:c r="J106" s="83" t="str">
        <x:v>IEA2010</x:v>
      </x:c>
      <x:c r="K106" s="83" t="str">
        <x:v> from old pypsa cost assumptions</x:v>
      </x:c>
      <x:c r="L106" s="83" t="str">
        <x:v>Context / capacity optimisation</x:v>
      </x:c>
      <x:c r="M106" s="83" t="str">
        <x:v>Candidate — do not adopt until CLI version is pinned</x:v>
      </x:c>
      <x:c r="N106" s="120" t="str">
        <x:v>https://raw.githubusercontent.com/PyPSA/technology-data/v0.9.2/outputs/costs_2050.csv</x:v>
      </x:c>
      <x:c r="O106" s="83" t="str">
        <x:v>Values from different releases may use different currency-year and inflation conventions; do not blend releases.</x:v>
      </x:c>
    </x:row>
    <x:row r="107">
      <x:c r="A107" s="83" t="str">
        <x:v>EXT-0103</x:v>
      </x:c>
      <x:c r="B107" s="83" t="str">
        <x:v>PyPSA technology-data</x:v>
      </x:c>
      <x:c r="C107" s="83" t="str">
        <x:v>v0.9.2</x:v>
      </x:c>
      <x:c r="D107" s="83" t="n">
        <x:v>2050</x:v>
      </x:c>
      <x:c r="E107" s="83" t="str">
        <x:v>nuclear</x:v>
      </x:c>
      <x:c r="F107" s="83" t="str">
        <x:v>FOM</x:v>
      </x:c>
      <x:c r="G107" s="279" t="n">
        <x:v>1.27</x:v>
      </x:c>
      <x:c r="H107" s="83" t="str">
        <x:v>%/year</x:v>
      </x:c>
      <x:c r="I107" s="83" t="str">
        <x:v>2023.0</x:v>
      </x:c>
      <x:c r="J107" s="83" t="str">
        <x:v>Lazard's levelized cost of energy analysis - version 16.0 (2023): https://www.lazard.com/media/typdgxmm/lazards-lcoeplus-april-2023.pdf , pg. 49 (Levelized Cost of Energy - Key Assumptions), accessed: 2023-12-14.</x:v>
      </x:c>
      <x:c r="K107" s="83" t="str">
        <x:v>U.S. specific costs including newly commissioned Vogtle plant, average of range and currency converted, i.e. (131.5+152.75)/2 USD/kW_e / (1.09 USD/EUR) relative to investment costs.</x:v>
      </x:c>
      <x:c r="L107" s="83" t="str">
        <x:v>Context / capacity optimisation</x:v>
      </x:c>
      <x:c r="M107" s="83" t="str">
        <x:v>Candidate — do not adopt until CLI version is pinned</x:v>
      </x:c>
      <x:c r="N107" s="120" t="str">
        <x:v>https://raw.githubusercontent.com/PyPSA/technology-data/v0.9.2/outputs/costs_2050.csv</x:v>
      </x:c>
      <x:c r="O107" s="83" t="str">
        <x:v>Values from different releases may use different currency-year and inflation conventions; do not blend releases.</x:v>
      </x:c>
    </x:row>
    <x:row r="108">
      <x:c r="A108" s="83" t="str">
        <x:v>EXT-0104</x:v>
      </x:c>
      <x:c r="B108" s="83" t="str">
        <x:v>PyPSA technology-data</x:v>
      </x:c>
      <x:c r="C108" s="83" t="str">
        <x:v>v0.9.2</x:v>
      </x:c>
      <x:c r="D108" s="83" t="n">
        <x:v>2050</x:v>
      </x:c>
      <x:c r="E108" s="83" t="str">
        <x:v>nuclear</x:v>
      </x:c>
      <x:c r="F108" s="83" t="str">
        <x:v>VOM</x:v>
      </x:c>
      <x:c r="G108" s="279" t="n">
        <x:v>3.5464</x:v>
      </x:c>
      <x:c r="H108" s="83" t="str">
        <x:v>EUR/MWh_e</x:v>
      </x:c>
      <x:c r="I108" s="83" t="str">
        <x:v>2023.0</x:v>
      </x:c>
      <x:c r="J108" s="83" t="str">
        <x:v>Lazard's levelized cost of energy analysis - version 16.0 (2023): https://www.lazard.com/media/typdgxmm/lazards-lcoeplus-april-2023.pdf , pg. 49 (Levelized Cost of Energy - Key Assumptions), accessed: 2023-12-14.</x:v>
      </x:c>
      <x:c r="K108" s="83" t="str">
        <x:v>U.S. specific costs including newly commissioned Vogtle plant, average of range and currency converted, i.e. (4.25+5)/2 USD/kW_e / (1.09 USD/EUR) .</x:v>
      </x:c>
      <x:c r="L108" s="83" t="str">
        <x:v>Direct candidate</x:v>
      </x:c>
      <x:c r="M108" s="83" t="str">
        <x:v>Candidate — do not adopt until CLI version is pinned</x:v>
      </x:c>
      <x:c r="N108" s="120" t="str">
        <x:v>https://raw.githubusercontent.com/PyPSA/technology-data/v0.9.2/outputs/costs_2050.csv</x:v>
      </x:c>
      <x:c r="O108" s="83" t="str">
        <x:v>Values from different releases may use different currency-year and inflation conventions; do not blend releases.</x:v>
      </x:c>
    </x:row>
    <x:row r="109">
      <x:c r="A109" s="83" t="str">
        <x:v>EXT-0105</x:v>
      </x:c>
      <x:c r="B109" s="83" t="str">
        <x:v>PyPSA technology-data</x:v>
      </x:c>
      <x:c r="C109" s="83" t="str">
        <x:v>v0.9.2</x:v>
      </x:c>
      <x:c r="D109" s="83" t="n">
        <x:v>2050</x:v>
      </x:c>
      <x:c r="E109" s="83" t="str">
        <x:v>nuclear</x:v>
      </x:c>
      <x:c r="F109" s="83" t="str">
        <x:v>efficiency</x:v>
      </x:c>
      <x:c r="G109" s="279" t="n">
        <x:v>0.326</x:v>
      </x:c>
      <x:c r="H109" s="83" t="str">
        <x:v>p.u.</x:v>
      </x:c>
      <x:c r="I109" s="83" t="str">
        <x:v>2023.0</x:v>
      </x:c>
      <x:c r="J109" s="83" t="str">
        <x:v>Lazard's levelized cost of energy analysis - version 16.0 (2023): https://www.lazard.com/media/typdgxmm/lazards-lcoeplus-april-2023.pdf , pg. 49 (Levelized Cost of Energy - Key Assumptions), accessed: 2023-12-14.</x:v>
      </x:c>
      <x:c r="K109" s="83" t="str">
        <x:v>Based on heat rate of 10.45 MMBtu/MWh_e and 3.4095 MMBtu/MWh_th, i.e. 1/(10.45/3.4095) = 0.3260.</x:v>
      </x:c>
      <x:c r="L109" s="83" t="str">
        <x:v>Direct candidate</x:v>
      </x:c>
      <x:c r="M109" s="83" t="str">
        <x:v>Candidate — do not adopt until CLI version is pinned</x:v>
      </x:c>
      <x:c r="N109" s="120" t="str">
        <x:v>https://raw.githubusercontent.com/PyPSA/technology-data/v0.9.2/outputs/costs_2050.csv</x:v>
      </x:c>
      <x:c r="O109" s="83" t="str">
        <x:v>Values from different releases may use different currency-year and inflation conventions; do not blend releases.</x:v>
      </x:c>
    </x:row>
    <x:row r="110">
      <x:c r="A110" s="83" t="str">
        <x:v>EXT-0106</x:v>
      </x:c>
      <x:c r="B110" s="83" t="str">
        <x:v>PyPSA technology-data</x:v>
      </x:c>
      <x:c r="C110" s="83" t="str">
        <x:v>v0.9.2</x:v>
      </x:c>
      <x:c r="D110" s="83" t="n">
        <x:v>2050</x:v>
      </x:c>
      <x:c r="E110" s="83" t="str">
        <x:v>nuclear</x:v>
      </x:c>
      <x:c r="F110" s="83" t="str">
        <x:v>fuel</x:v>
      </x:c>
      <x:c r="G110" s="279" t="n">
        <x:v>3.4122</x:v>
      </x:c>
      <x:c r="H110" s="83" t="str">
        <x:v>EUR/MWh_th</x:v>
      </x:c>
      <x:c r="I110" s="83" t="str">
        <x:v>2010.0</x:v>
      </x:c>
      <x:c r="J110" s="83" t="str">
        <x:v>DIW (2013): Current and propsective costs of electricity generation until 2050, http://hdl.handle.net/10419/80348 , pg. 80 text below figure 10, accessed: 2023-12-14.</x:v>
      </x:c>
      <x:c r="K110" s="83" t="str">
        <x:v>Based on IEA 2011 data.</x:v>
      </x:c>
      <x:c r="L110" s="83" t="str">
        <x:v>Direct candidate</x:v>
      </x:c>
      <x:c r="M110" s="83" t="str">
        <x:v>Candidate — do not adopt until CLI version is pinned</x:v>
      </x:c>
      <x:c r="N110" s="120" t="str">
        <x:v>https://raw.githubusercontent.com/PyPSA/technology-data/v0.9.2/outputs/costs_2050.csv</x:v>
      </x:c>
      <x:c r="O110" s="83" t="str">
        <x:v>Values from different releases may use different currency-year and inflation conventions; do not blend releases.</x:v>
      </x:c>
    </x:row>
    <x:row r="111">
      <x:c r="A111" s="83" t="str">
        <x:v>EXT-0107</x:v>
      </x:c>
      <x:c r="B111" s="83" t="str">
        <x:v>PyPSA technology-data</x:v>
      </x:c>
      <x:c r="C111" s="83" t="str">
        <x:v>v0.9.2</x:v>
      </x:c>
      <x:c r="D111" s="83" t="n">
        <x:v>2050</x:v>
      </x:c>
      <x:c r="E111" s="83" t="str">
        <x:v>nuclear</x:v>
      </x:c>
      <x:c r="F111" s="83" t="str">
        <x:v>investment</x:v>
      </x:c>
      <x:c r="G111" s="279" t="n">
        <x:v>8594.1354</x:v>
      </x:c>
      <x:c r="H111" s="83" t="str">
        <x:v>EUR/kW_e</x:v>
      </x:c>
      <x:c r="I111" s="83" t="str">
        <x:v>2023.0</x:v>
      </x:c>
      <x:c r="J111" s="83" t="str">
        <x:v>Lazard's levelized cost of energy analysis - version 16.0 (2023): https://www.lazard.com/media/typdgxmm/lazards-lcoeplus-april-2023.pdf , pg. 49 (Levelized Cost of Energy - Key Assumptions), accessed: 2023-12-14.</x:v>
      </x:c>
      <x:c r="K111" s="83" t="str">
        <x:v>U.S. specific costs including newly commissioned Vogtle plant, average of range and currency converted, i.e. (8475+13925)/2 USD/kW_e / (1.09 USD/EUR) .</x:v>
      </x:c>
      <x:c r="L111" s="83" t="str">
        <x:v>Context / capacity optimisation</x:v>
      </x:c>
      <x:c r="M111" s="83" t="str">
        <x:v>Candidate — do not adopt until CLI version is pinned</x:v>
      </x:c>
      <x:c r="N111" s="120" t="str">
        <x:v>https://raw.githubusercontent.com/PyPSA/technology-data/v0.9.2/outputs/costs_2050.csv</x:v>
      </x:c>
      <x:c r="O111" s="83" t="str">
        <x:v>Values from different releases may use different currency-year and inflation conventions; do not blend releases.</x:v>
      </x:c>
    </x:row>
    <x:row r="112">
      <x:c r="A112" s="83" t="str">
        <x:v>EXT-0108</x:v>
      </x:c>
      <x:c r="B112" s="83" t="str">
        <x:v>PyPSA technology-data</x:v>
      </x:c>
      <x:c r="C112" s="83" t="str">
        <x:v>v0.9.2</x:v>
      </x:c>
      <x:c r="D112" s="83" t="n">
        <x:v>2050</x:v>
      </x:c>
      <x:c r="E112" s="83" t="str">
        <x:v>nuclear</x:v>
      </x:c>
      <x:c r="F112" s="83" t="str">
        <x:v>lifetime</x:v>
      </x:c>
      <x:c r="G112" s="279" t="n">
        <x:v>40</x:v>
      </x:c>
      <x:c r="H112" s="83" t="str">
        <x:v>years</x:v>
      </x:c>
      <x:c r="I112" s="83" t="str">
        <x:v>2023.0</x:v>
      </x:c>
      <x:c r="J112" s="83" t="str">
        <x:v>Lazard's levelized cost of energy analysis - version 16.0 (2023): https://www.lazard.com/media/typdgxmm/lazards-lcoeplus-april-2023.pdf , pg. 49 (Levelized Cost of Energy - Key Assumptions), accessed: 2023-12-14.</x:v>
      </x:c>
      <x:c r="K112" s="83" t="str"/>
      <x:c r="L112" s="83" t="str">
        <x:v>Context / capacity optimisation</x:v>
      </x:c>
      <x:c r="M112" s="83" t="str">
        <x:v>Candidate — do not adopt until CLI version is pinned</x:v>
      </x:c>
      <x:c r="N112" s="120" t="str">
        <x:v>https://raw.githubusercontent.com/PyPSA/technology-data/v0.9.2/outputs/costs_2050.csv</x:v>
      </x:c>
      <x:c r="O112" s="83" t="str">
        <x:v>Values from different releases may use different currency-year and inflation conventions; do not blend releases.</x:v>
      </x:c>
    </x:row>
    <x:row r="113">
      <x:c r="A113" s="83" t="str">
        <x:v>EXT-0109</x:v>
      </x:c>
      <x:c r="B113" s="83" t="str">
        <x:v>PyPSA technology-data</x:v>
      </x:c>
      <x:c r="C113" s="83" t="str">
        <x:v>v0.9.2</x:v>
      </x:c>
      <x:c r="D113" s="83" t="n">
        <x:v>2050</x:v>
      </x:c>
      <x:c r="E113" s="83" t="str">
        <x:v>offwind</x:v>
      </x:c>
      <x:c r="F113" s="83" t="str">
        <x:v>FOM</x:v>
      </x:c>
      <x:c r="G113" s="279" t="n">
        <x:v>2.1655</x:v>
      </x:c>
      <x:c r="H113" s="83" t="str">
        <x:v>%/year</x:v>
      </x:c>
      <x:c r="I113" s="83" t="str">
        <x:v>2020.0</x:v>
      </x:c>
      <x:c r="J113" s="83" t="str">
        <x:v>Danish Energy Agency, technology_data_for_el_and_dh.xlsx</x:v>
      </x:c>
      <x:c r="K113" s="83" t="str">
        <x:v>21 Offshore turbines:  Fixed O&amp;M [EUR/MW_e/y, 2020]</x:v>
      </x:c>
      <x:c r="L113" s="83" t="str">
        <x:v>Context / capacity optimisation</x:v>
      </x:c>
      <x:c r="M113" s="83" t="str">
        <x:v>Candidate — do not adopt until CLI version is pinned</x:v>
      </x:c>
      <x:c r="N113" s="120" t="str">
        <x:v>https://raw.githubusercontent.com/PyPSA/technology-data/v0.9.2/outputs/costs_2050.csv</x:v>
      </x:c>
      <x:c r="O113" s="83" t="str">
        <x:v>Values from different releases may use different currency-year and inflation conventions; do not blend releases.</x:v>
      </x:c>
    </x:row>
    <x:row r="114">
      <x:c r="A114" s="83" t="str">
        <x:v>EXT-0110</x:v>
      </x:c>
      <x:c r="B114" s="83" t="str">
        <x:v>PyPSA technology-data</x:v>
      </x:c>
      <x:c r="C114" s="83" t="str">
        <x:v>v0.9.2</x:v>
      </x:c>
      <x:c r="D114" s="83" t="n">
        <x:v>2050</x:v>
      </x:c>
      <x:c r="E114" s="83" t="str">
        <x:v>offwind</x:v>
      </x:c>
      <x:c r="F114" s="83" t="str">
        <x:v>VOM</x:v>
      </x:c>
      <x:c r="G114" s="279" t="n">
        <x:v>0.0212</x:v>
      </x:c>
      <x:c r="H114" s="83" t="str">
        <x:v>EUR/MWhel</x:v>
      </x:c>
      <x:c r="I114" s="83" t="str">
        <x:v>2015.0</x:v>
      </x:c>
      <x:c r="J114" s="83" t="str">
        <x:v>RES costs made up to fix curtailment order</x:v>
      </x:c>
      <x:c r="K114" s="83" t="str">
        <x:v> from old pypsa cost assumptions</x:v>
      </x:c>
      <x:c r="L114" s="83" t="str">
        <x:v>Direct candidate</x:v>
      </x:c>
      <x:c r="M114" s="83" t="str">
        <x:v>Candidate — do not adopt until CLI version is pinned</x:v>
      </x:c>
      <x:c r="N114" s="120" t="str">
        <x:v>https://raw.githubusercontent.com/PyPSA/technology-data/v0.9.2/outputs/costs_2050.csv</x:v>
      </x:c>
      <x:c r="O114" s="83" t="str">
        <x:v>Values from different releases may use different currency-year and inflation conventions; do not blend releases.</x:v>
      </x:c>
    </x:row>
    <x:row r="115">
      <x:c r="A115" s="83" t="str">
        <x:v>EXT-0111</x:v>
      </x:c>
      <x:c r="B115" s="83" t="str">
        <x:v>PyPSA technology-data</x:v>
      </x:c>
      <x:c r="C115" s="83" t="str">
        <x:v>v0.9.2</x:v>
      </x:c>
      <x:c r="D115" s="83" t="n">
        <x:v>2050</x:v>
      </x:c>
      <x:c r="E115" s="83" t="str">
        <x:v>offwind</x:v>
      </x:c>
      <x:c r="F115" s="83" t="str">
        <x:v>investment</x:v>
      </x:c>
      <x:c r="G115" s="279" t="n">
        <x:v>1523.9311</x:v>
      </x:c>
      <x:c r="H115" s="83" t="str">
        <x:v>EUR/kW_e, 2020</x:v>
      </x:c>
      <x:c r="I115" s="83" t="str">
        <x:v>2020.0</x:v>
      </x:c>
      <x:c r="J115" s="83" t="str">
        <x:v>Danish Energy Agency, technology_data_for_el_and_dh.xlsx</x:v>
      </x:c>
      <x:c r="K115" s="83" t="str">
        <x:v>21 Offshore turbines:  Nominal investment [MEUR/MW_e, 2020] grid connection costs substracted from investment costs</x:v>
      </x:c>
      <x:c r="L115" s="83" t="str">
        <x:v>Context / capacity optimisation</x:v>
      </x:c>
      <x:c r="M115" s="83" t="str">
        <x:v>Candidate — do not adopt until CLI version is pinned</x:v>
      </x:c>
      <x:c r="N115" s="120" t="str">
        <x:v>https://raw.githubusercontent.com/PyPSA/technology-data/v0.9.2/outputs/costs_2050.csv</x:v>
      </x:c>
      <x:c r="O115" s="83" t="str">
        <x:v>Values from different releases may use different currency-year and inflation conventions; do not blend releases.</x:v>
      </x:c>
    </x:row>
    <x:row r="116">
      <x:c r="A116" s="83" t="str">
        <x:v>EXT-0112</x:v>
      </x:c>
      <x:c r="B116" s="83" t="str">
        <x:v>PyPSA technology-data</x:v>
      </x:c>
      <x:c r="C116" s="83" t="str">
        <x:v>v0.9.2</x:v>
      </x:c>
      <x:c r="D116" s="83" t="n">
        <x:v>2050</x:v>
      </x:c>
      <x:c r="E116" s="83" t="str">
        <x:v>offwind</x:v>
      </x:c>
      <x:c r="F116" s="83" t="str">
        <x:v>lifetime</x:v>
      </x:c>
      <x:c r="G116" s="279" t="n">
        <x:v>30</x:v>
      </x:c>
      <x:c r="H116" s="83" t="str">
        <x:v>years</x:v>
      </x:c>
      <x:c r="I116" s="83" t="str">
        <x:v>2020.0</x:v>
      </x:c>
      <x:c r="J116" s="83" t="str">
        <x:v>Danish Energy Agency, technology_data_for_el_and_dh.xlsx</x:v>
      </x:c>
      <x:c r="K116" s="83" t="str">
        <x:v>21 Offshore turbines:  Technical lifetime [years]</x:v>
      </x:c>
      <x:c r="L116" s="83" t="str">
        <x:v>Context / capacity optimisation</x:v>
      </x:c>
      <x:c r="M116" s="83" t="str">
        <x:v>Candidate — do not adopt until CLI version is pinned</x:v>
      </x:c>
      <x:c r="N116" s="120" t="str">
        <x:v>https://raw.githubusercontent.com/PyPSA/technology-data/v0.9.2/outputs/costs_2050.csv</x:v>
      </x:c>
      <x:c r="O116" s="83" t="str">
        <x:v>Values from different releases may use different currency-year and inflation conventions; do not blend releases.</x:v>
      </x:c>
    </x:row>
    <x:row r="117">
      <x:c r="A117" s="83" t="str">
        <x:v>EXT-0113</x:v>
      </x:c>
      <x:c r="B117" s="83" t="str">
        <x:v>PyPSA technology-data</x:v>
      </x:c>
      <x:c r="C117" s="83" t="str">
        <x:v>v0.9.2</x:v>
      </x:c>
      <x:c r="D117" s="83" t="n">
        <x:v>2050</x:v>
      </x:c>
      <x:c r="E117" s="83" t="str">
        <x:v>offwind-float</x:v>
      </x:c>
      <x:c r="F117" s="83" t="str">
        <x:v>FOM</x:v>
      </x:c>
      <x:c r="G117" s="279" t="n">
        <x:v>1.39</x:v>
      </x:c>
      <x:c r="H117" s="83" t="str">
        <x:v>%/year</x:v>
      </x:c>
      <x:c r="I117" s="83" t="str">
        <x:v>2020.0</x:v>
      </x:c>
      <x:c r="J117" s="83" t="str">
        <x:v>https://doi.org/10.1016/j.adapen.2021.100067</x:v>
      </x:c>
      <x:c r="K117" s="83" t="str"/>
      <x:c r="L117" s="83" t="str">
        <x:v>Context / capacity optimisation</x:v>
      </x:c>
      <x:c r="M117" s="83" t="str">
        <x:v>Candidate — do not adopt until CLI version is pinned</x:v>
      </x:c>
      <x:c r="N117" s="120" t="str">
        <x:v>https://raw.githubusercontent.com/PyPSA/technology-data/v0.9.2/outputs/costs_2050.csv</x:v>
      </x:c>
      <x:c r="O117" s="83" t="str">
        <x:v>Values from different releases may use different currency-year and inflation conventions; do not blend releases.</x:v>
      </x:c>
    </x:row>
    <x:row r="118">
      <x:c r="A118" s="83" t="str">
        <x:v>EXT-0114</x:v>
      </x:c>
      <x:c r="B118" s="83" t="str">
        <x:v>PyPSA technology-data</x:v>
      </x:c>
      <x:c r="C118" s="83" t="str">
        <x:v>v0.9.2</x:v>
      </x:c>
      <x:c r="D118" s="83" t="n">
        <x:v>2050</x:v>
      </x:c>
      <x:c r="E118" s="83" t="str">
        <x:v>offwind-float</x:v>
      </x:c>
      <x:c r="F118" s="83" t="str">
        <x:v>investment</x:v>
      </x:c>
      <x:c r="G118" s="279" t="n">
        <x:v>1580</x:v>
      </x:c>
      <x:c r="H118" s="83" t="str">
        <x:v>EUR/kWel</x:v>
      </x:c>
      <x:c r="I118" s="83" t="str">
        <x:v>2020.0</x:v>
      </x:c>
      <x:c r="J118" s="83" t="str">
        <x:v>https://doi.org/10.1016/j.adapen.2021.100067</x:v>
      </x:c>
      <x:c r="K118" s="83" t="str"/>
      <x:c r="L118" s="83" t="str">
        <x:v>Context / capacity optimisation</x:v>
      </x:c>
      <x:c r="M118" s="83" t="str">
        <x:v>Candidate — do not adopt until CLI version is pinned</x:v>
      </x:c>
      <x:c r="N118" s="120" t="str">
        <x:v>https://raw.githubusercontent.com/PyPSA/technology-data/v0.9.2/outputs/costs_2050.csv</x:v>
      </x:c>
      <x:c r="O118" s="83" t="str">
        <x:v>Values from different releases may use different currency-year and inflation conventions; do not blend releases.</x:v>
      </x:c>
    </x:row>
    <x:row r="119">
      <x:c r="A119" s="83" t="str">
        <x:v>EXT-0115</x:v>
      </x:c>
      <x:c r="B119" s="83" t="str">
        <x:v>PyPSA technology-data</x:v>
      </x:c>
      <x:c r="C119" s="83" t="str">
        <x:v>v0.9.2</x:v>
      </x:c>
      <x:c r="D119" s="83" t="n">
        <x:v>2050</x:v>
      </x:c>
      <x:c r="E119" s="83" t="str">
        <x:v>offwind-float</x:v>
      </x:c>
      <x:c r="F119" s="83" t="str">
        <x:v>lifetime</x:v>
      </x:c>
      <x:c r="G119" s="279" t="n">
        <x:v>20</x:v>
      </x:c>
      <x:c r="H119" s="83" t="str">
        <x:v>years</x:v>
      </x:c>
      <x:c r="I119" s="83" t="str">
        <x:v>2020.0</x:v>
      </x:c>
      <x:c r="J119" s="83" t="str">
        <x:v>C. Maienza 2020 A life cycle cost model for floating offshore wind farms</x:v>
      </x:c>
      <x:c r="K119" s="83" t="str"/>
      <x:c r="L119" s="83" t="str">
        <x:v>Context / capacity optimisation</x:v>
      </x:c>
      <x:c r="M119" s="83" t="str">
        <x:v>Candidate — do not adopt until CLI version is pinned</x:v>
      </x:c>
      <x:c r="N119" s="120" t="str">
        <x:v>https://raw.githubusercontent.com/PyPSA/technology-data/v0.9.2/outputs/costs_2050.csv</x:v>
      </x:c>
      <x:c r="O119" s="83" t="str">
        <x:v>Values from different releases may use different currency-year and inflation conventions; do not blend releases.</x:v>
      </x:c>
    </x:row>
    <x:row r="120">
      <x:c r="A120" s="83" t="str">
        <x:v>EXT-0116</x:v>
      </x:c>
      <x:c r="B120" s="83" t="str">
        <x:v>PyPSA technology-data</x:v>
      </x:c>
      <x:c r="C120" s="83" t="str">
        <x:v>v0.9.2</x:v>
      </x:c>
      <x:c r="D120" s="83" t="n">
        <x:v>2050</x:v>
      </x:c>
      <x:c r="E120" s="83" t="str">
        <x:v>onwind</x:v>
      </x:c>
      <x:c r="F120" s="83" t="str">
        <x:v>FOM</x:v>
      </x:c>
      <x:c r="G120" s="279" t="n">
        <x:v>1.1775</x:v>
      </x:c>
      <x:c r="H120" s="83" t="str">
        <x:v>%/year</x:v>
      </x:c>
      <x:c r="I120" s="83" t="str">
        <x:v>2015.0</x:v>
      </x:c>
      <x:c r="J120" s="83" t="str">
        <x:v>Danish Energy Agency, technology_data_for_el_and_dh.xlsx</x:v>
      </x:c>
      <x:c r="K120" s="83" t="str">
        <x:v>20 Onshore turbines:  Fixed O&amp;M</x:v>
      </x:c>
      <x:c r="L120" s="83" t="str">
        <x:v>Context / capacity optimisation</x:v>
      </x:c>
      <x:c r="M120" s="83" t="str">
        <x:v>Candidate — do not adopt until CLI version is pinned</x:v>
      </x:c>
      <x:c r="N120" s="120" t="str">
        <x:v>https://raw.githubusercontent.com/PyPSA/technology-data/v0.9.2/outputs/costs_2050.csv</x:v>
      </x:c>
      <x:c r="O120" s="83" t="str">
        <x:v>Values from different releases may use different currency-year and inflation conventions; do not blend releases.</x:v>
      </x:c>
    </x:row>
    <x:row r="121">
      <x:c r="A121" s="83" t="str">
        <x:v>EXT-0117</x:v>
      </x:c>
      <x:c r="B121" s="83" t="str">
        <x:v>PyPSA technology-data</x:v>
      </x:c>
      <x:c r="C121" s="83" t="str">
        <x:v>v0.9.2</x:v>
      </x:c>
      <x:c r="D121" s="83" t="n">
        <x:v>2050</x:v>
      </x:c>
      <x:c r="E121" s="83" t="str">
        <x:v>onwind</x:v>
      </x:c>
      <x:c r="F121" s="83" t="str">
        <x:v>VOM</x:v>
      </x:c>
      <x:c r="G121" s="279" t="n">
        <x:v>1.2857</x:v>
      </x:c>
      <x:c r="H121" s="83" t="str">
        <x:v>EUR/MWh</x:v>
      </x:c>
      <x:c r="I121" s="83" t="str">
        <x:v>2015.0</x:v>
      </x:c>
      <x:c r="J121" s="83" t="str">
        <x:v>Danish Energy Agency, technology_data_for_el_and_dh.xlsx</x:v>
      </x:c>
      <x:c r="K121" s="83" t="str">
        <x:v>20 Onshore turbines:  Variable O&amp;M</x:v>
      </x:c>
      <x:c r="L121" s="83" t="str">
        <x:v>Direct candidate</x:v>
      </x:c>
      <x:c r="M121" s="83" t="str">
        <x:v>Candidate — do not adopt until CLI version is pinned</x:v>
      </x:c>
      <x:c r="N121" s="120" t="str">
        <x:v>https://raw.githubusercontent.com/PyPSA/technology-data/v0.9.2/outputs/costs_2050.csv</x:v>
      </x:c>
      <x:c r="O121" s="83" t="str">
        <x:v>Values from different releases may use different currency-year and inflation conventions; do not blend releases.</x:v>
      </x:c>
    </x:row>
    <x:row r="122">
      <x:c r="A122" s="83" t="str">
        <x:v>EXT-0118</x:v>
      </x:c>
      <x:c r="B122" s="83" t="str">
        <x:v>PyPSA technology-data</x:v>
      </x:c>
      <x:c r="C122" s="83" t="str">
        <x:v>v0.9.2</x:v>
      </x:c>
      <x:c r="D122" s="83" t="n">
        <x:v>2050</x:v>
      </x:c>
      <x:c r="E122" s="83" t="str">
        <x:v>onwind</x:v>
      </x:c>
      <x:c r="F122" s="83" t="str">
        <x:v>investment</x:v>
      </x:c>
      <x:c r="G122" s="279" t="n">
        <x:v>1019.1375</x:v>
      </x:c>
      <x:c r="H122" s="83" t="str">
        <x:v>EUR/kW</x:v>
      </x:c>
      <x:c r="I122" s="83" t="str">
        <x:v>2015.0</x:v>
      </x:c>
      <x:c r="J122" s="83" t="str">
        <x:v>Danish Energy Agency, technology_data_for_el_and_dh.xlsx</x:v>
      </x:c>
      <x:c r="K122" s="83" t="str">
        <x:v>20 Onshore turbines:  Nominal investment </x:v>
      </x:c>
      <x:c r="L122" s="83" t="str">
        <x:v>Context / capacity optimisation</x:v>
      </x:c>
      <x:c r="M122" s="83" t="str">
        <x:v>Candidate — do not adopt until CLI version is pinned</x:v>
      </x:c>
      <x:c r="N122" s="120" t="str">
        <x:v>https://raw.githubusercontent.com/PyPSA/technology-data/v0.9.2/outputs/costs_2050.csv</x:v>
      </x:c>
      <x:c r="O122" s="83" t="str">
        <x:v>Values from different releases may use different currency-year and inflation conventions; do not blend releases.</x:v>
      </x:c>
    </x:row>
    <x:row r="123">
      <x:c r="A123" s="83" t="str">
        <x:v>EXT-0119</x:v>
      </x:c>
      <x:c r="B123" s="83" t="str">
        <x:v>PyPSA technology-data</x:v>
      </x:c>
      <x:c r="C123" s="83" t="str">
        <x:v>v0.9.2</x:v>
      </x:c>
      <x:c r="D123" s="83" t="n">
        <x:v>2050</x:v>
      </x:c>
      <x:c r="E123" s="83" t="str">
        <x:v>onwind</x:v>
      </x:c>
      <x:c r="F123" s="83" t="str">
        <x:v>lifetime</x:v>
      </x:c>
      <x:c r="G123" s="279" t="n">
        <x:v>30</x:v>
      </x:c>
      <x:c r="H123" s="83" t="str">
        <x:v>years</x:v>
      </x:c>
      <x:c r="I123" s="83" t="str">
        <x:v>2015.0</x:v>
      </x:c>
      <x:c r="J123" s="83" t="str">
        <x:v>Danish Energy Agency, technology_data_for_el_and_dh.xlsx</x:v>
      </x:c>
      <x:c r="K123" s="83" t="str">
        <x:v>20 Onshore turbines:  Technical lifetime</x:v>
      </x:c>
      <x:c r="L123" s="83" t="str">
        <x:v>Context / capacity optimisation</x:v>
      </x:c>
      <x:c r="M123" s="83" t="str">
        <x:v>Candidate — do not adopt until CLI version is pinned</x:v>
      </x:c>
      <x:c r="N123" s="120" t="str">
        <x:v>https://raw.githubusercontent.com/PyPSA/technology-data/v0.9.2/outputs/costs_2050.csv</x:v>
      </x:c>
      <x:c r="O123" s="83" t="str">
        <x:v>Values from different releases may use different currency-year and inflation conventions; do not blend releases.</x:v>
      </x:c>
    </x:row>
    <x:row r="124">
      <x:c r="A124" s="83" t="str">
        <x:v>EXT-0120</x:v>
      </x:c>
      <x:c r="B124" s="83" t="str">
        <x:v>PyPSA technology-data</x:v>
      </x:c>
      <x:c r="C124" s="83" t="str">
        <x:v>v0.9.2</x:v>
      </x:c>
      <x:c r="D124" s="83" t="n">
        <x:v>2050</x:v>
      </x:c>
      <x:c r="E124" s="83" t="str">
        <x:v>solar-rooftop</x:v>
      </x:c>
      <x:c r="F124" s="83" t="str">
        <x:v>FOM</x:v>
      </x:c>
      <x:c r="G124" s="279" t="n">
        <x:v>1.6059</x:v>
      </x:c>
      <x:c r="H124" s="83" t="str">
        <x:v>%/year</x:v>
      </x:c>
      <x:c r="I124" s="83" t="str">
        <x:v>2020.0</x:v>
      </x:c>
      <x:c r="J124" s="83" t="str">
        <x:v>Calculated. See 'further description'.</x:v>
      </x:c>
      <x:c r="K124" s="83" t="str">
        <x:v>Mixed investment costs based on average of 50% 'solar-rooftop commercial' and 50% 'solar-rooftop residential'</x:v>
      </x:c>
      <x:c r="L124" s="83" t="str">
        <x:v>Context / capacity optimisation</x:v>
      </x:c>
      <x:c r="M124" s="83" t="str">
        <x:v>Candidate — do not adopt until CLI version is pinned</x:v>
      </x:c>
      <x:c r="N124" s="120" t="str">
        <x:v>https://raw.githubusercontent.com/PyPSA/technology-data/v0.9.2/outputs/costs_2050.csv</x:v>
      </x:c>
      <x:c r="O124" s="83" t="str">
        <x:v>Values from different releases may use different currency-year and inflation conventions; do not blend releases.</x:v>
      </x:c>
    </x:row>
    <x:row r="125">
      <x:c r="A125" s="83" t="str">
        <x:v>EXT-0121</x:v>
      </x:c>
      <x:c r="B125" s="83" t="str">
        <x:v>PyPSA technology-data</x:v>
      </x:c>
      <x:c r="C125" s="83" t="str">
        <x:v>v0.9.2</x:v>
      </x:c>
      <x:c r="D125" s="83" t="n">
        <x:v>2050</x:v>
      </x:c>
      <x:c r="E125" s="83" t="str">
        <x:v>solar-rooftop</x:v>
      </x:c>
      <x:c r="F125" s="83" t="str">
        <x:v>discount rate</x:v>
      </x:c>
      <x:c r="G125" s="279" t="n">
        <x:v>0.04</x:v>
      </x:c>
      <x:c r="H125" s="83" t="str">
        <x:v>per unit</x:v>
      </x:c>
      <x:c r="I125" s="83" t="str">
        <x:v>2015.0</x:v>
      </x:c>
      <x:c r="J125" s="83" t="str">
        <x:v>standard for decentral</x:v>
      </x:c>
      <x:c r="K125" s="83" t="str">
        <x:v> from old pypsa cost assumptions</x:v>
      </x:c>
      <x:c r="L125" s="83" t="str">
        <x:v>Context / capacity optimisation</x:v>
      </x:c>
      <x:c r="M125" s="83" t="str">
        <x:v>Candidate — do not adopt until CLI version is pinned</x:v>
      </x:c>
      <x:c r="N125" s="120" t="str">
        <x:v>https://raw.githubusercontent.com/PyPSA/technology-data/v0.9.2/outputs/costs_2050.csv</x:v>
      </x:c>
      <x:c r="O125" s="83" t="str">
        <x:v>Values from different releases may use different currency-year and inflation conventions; do not blend releases.</x:v>
      </x:c>
    </x:row>
    <x:row r="126">
      <x:c r="A126" s="83" t="str">
        <x:v>EXT-0122</x:v>
      </x:c>
      <x:c r="B126" s="83" t="str">
        <x:v>PyPSA technology-data</x:v>
      </x:c>
      <x:c r="C126" s="83" t="str">
        <x:v>v0.9.2</x:v>
      </x:c>
      <x:c r="D126" s="83" t="n">
        <x:v>2050</x:v>
      </x:c>
      <x:c r="E126" s="83" t="str">
        <x:v>solar-rooftop</x:v>
      </x:c>
      <x:c r="F126" s="83" t="str">
        <x:v>investment</x:v>
      </x:c>
      <x:c r="G126" s="279" t="n">
        <x:v>524.8579</x:v>
      </x:c>
      <x:c r="H126" s="83" t="str">
        <x:v>EUR/kW_e</x:v>
      </x:c>
      <x:c r="I126" s="83" t="str">
        <x:v>2020.0</x:v>
      </x:c>
      <x:c r="J126" s="83" t="str">
        <x:v>Calculated. See 'further description'.</x:v>
      </x:c>
      <x:c r="K126" s="83" t="str">
        <x:v>Mixed investment costs based on average of 50% 'solar-rooftop commercial' and 50% 'solar-rooftop residential'</x:v>
      </x:c>
      <x:c r="L126" s="83" t="str">
        <x:v>Context / capacity optimisation</x:v>
      </x:c>
      <x:c r="M126" s="83" t="str">
        <x:v>Candidate — do not adopt until CLI version is pinned</x:v>
      </x:c>
      <x:c r="N126" s="120" t="str">
        <x:v>https://raw.githubusercontent.com/PyPSA/technology-data/v0.9.2/outputs/costs_2050.csv</x:v>
      </x:c>
      <x:c r="O126" s="83" t="str">
        <x:v>Values from different releases may use different currency-year and inflation conventions; do not blend releases.</x:v>
      </x:c>
    </x:row>
    <x:row r="127">
      <x:c r="A127" s="83" t="str">
        <x:v>EXT-0123</x:v>
      </x:c>
      <x:c r="B127" s="83" t="str">
        <x:v>PyPSA technology-data</x:v>
      </x:c>
      <x:c r="C127" s="83" t="str">
        <x:v>v0.9.2</x:v>
      </x:c>
      <x:c r="D127" s="83" t="n">
        <x:v>2050</x:v>
      </x:c>
      <x:c r="E127" s="83" t="str">
        <x:v>solar-rooftop</x:v>
      </x:c>
      <x:c r="F127" s="83" t="str">
        <x:v>lifetime</x:v>
      </x:c>
      <x:c r="G127" s="279" t="n">
        <x:v>40</x:v>
      </x:c>
      <x:c r="H127" s="83" t="str">
        <x:v>years</x:v>
      </x:c>
      <x:c r="I127" s="83" t="str">
        <x:v>2020.0</x:v>
      </x:c>
      <x:c r="J127" s="83" t="str">
        <x:v>Calculated. See 'further description'.</x:v>
      </x:c>
      <x:c r="K127" s="83" t="str">
        <x:v>Mixed investment costs based on average of 50% 'solar-rooftop commercial' and 50% 'solar-rooftop residential'</x:v>
      </x:c>
      <x:c r="L127" s="83" t="str">
        <x:v>Context / capacity optimisation</x:v>
      </x:c>
      <x:c r="M127" s="83" t="str">
        <x:v>Candidate — do not adopt until CLI version is pinned</x:v>
      </x:c>
      <x:c r="N127" s="120" t="str">
        <x:v>https://raw.githubusercontent.com/PyPSA/technology-data/v0.9.2/outputs/costs_2050.csv</x:v>
      </x:c>
      <x:c r="O127" s="83" t="str">
        <x:v>Values from different releases may use different currency-year and inflation conventions; do not blend releases.</x:v>
      </x:c>
    </x:row>
    <x:row r="128">
      <x:c r="A128" s="83" t="str">
        <x:v>EXT-0124</x:v>
      </x:c>
      <x:c r="B128" s="83" t="str">
        <x:v>PyPSA technology-data</x:v>
      </x:c>
      <x:c r="C128" s="83" t="str">
        <x:v>v0.9.2</x:v>
      </x:c>
      <x:c r="D128" s="83" t="n">
        <x:v>2050</x:v>
      </x:c>
      <x:c r="E128" s="83" t="str">
        <x:v>solar-utility</x:v>
      </x:c>
      <x:c r="F128" s="83" t="str">
        <x:v>FOM</x:v>
      </x:c>
      <x:c r="G128" s="279" t="n">
        <x:v>2.5292</x:v>
      </x:c>
      <x:c r="H128" s="83" t="str">
        <x:v>%/year</x:v>
      </x:c>
      <x:c r="I128" s="83" t="str">
        <x:v>2020.0</x:v>
      </x:c>
      <x:c r="J128" s="83" t="str">
        <x:v>Danish Energy Agency, technology_data_for_el_and_dh.xlsx</x:v>
      </x:c>
      <x:c r="K128" s="83" t="str">
        <x:v>22 Utility-scale PV:  Fixed O&amp;M [2020-EUR/MW_e/y]</x:v>
      </x:c>
      <x:c r="L128" s="83" t="str">
        <x:v>Context / capacity optimisation</x:v>
      </x:c>
      <x:c r="M128" s="83" t="str">
        <x:v>Candidate — do not adopt until CLI version is pinned</x:v>
      </x:c>
      <x:c r="N128" s="120" t="str">
        <x:v>https://raw.githubusercontent.com/PyPSA/technology-data/v0.9.2/outputs/costs_2050.csv</x:v>
      </x:c>
      <x:c r="O128" s="83" t="str">
        <x:v>Values from different releases may use different currency-year and inflation conventions; do not blend releases.</x:v>
      </x:c>
    </x:row>
    <x:row r="129">
      <x:c r="A129" s="83" t="str">
        <x:v>EXT-0125</x:v>
      </x:c>
      <x:c r="B129" s="83" t="str">
        <x:v>PyPSA technology-data</x:v>
      </x:c>
      <x:c r="C129" s="83" t="str">
        <x:v>v0.9.2</x:v>
      </x:c>
      <x:c r="D129" s="83" t="n">
        <x:v>2050</x:v>
      </x:c>
      <x:c r="E129" s="83" t="str">
        <x:v>solar-utility</x:v>
      </x:c>
      <x:c r="F129" s="83" t="str">
        <x:v>investment</x:v>
      </x:c>
      <x:c r="G129" s="279" t="n">
        <x:v>292.5769</x:v>
      </x:c>
      <x:c r="H129" s="83" t="str">
        <x:v>EUR/kW_e</x:v>
      </x:c>
      <x:c r="I129" s="83" t="str">
        <x:v>2020.0</x:v>
      </x:c>
      <x:c r="J129" s="83" t="str">
        <x:v>Danish Energy Agency, technology_data_for_el_and_dh.xlsx</x:v>
      </x:c>
      <x:c r="K129" s="83" t="str">
        <x:v>22 Utility-scale PV:  Nominal investment [2020-MEUR/MW_e]</x:v>
      </x:c>
      <x:c r="L129" s="83" t="str">
        <x:v>Context / capacity optimisation</x:v>
      </x:c>
      <x:c r="M129" s="83" t="str">
        <x:v>Candidate — do not adopt until CLI version is pinned</x:v>
      </x:c>
      <x:c r="N129" s="120" t="str">
        <x:v>https://raw.githubusercontent.com/PyPSA/technology-data/v0.9.2/outputs/costs_2050.csv</x:v>
      </x:c>
      <x:c r="O129" s="83" t="str">
        <x:v>Values from different releases may use different currency-year and inflation conventions; do not blend releases.</x:v>
      </x:c>
    </x:row>
    <x:row r="130">
      <x:c r="A130" s="83" t="str">
        <x:v>EXT-0126</x:v>
      </x:c>
      <x:c r="B130" s="83" t="str">
        <x:v>PyPSA technology-data</x:v>
      </x:c>
      <x:c r="C130" s="83" t="str">
        <x:v>v0.9.2</x:v>
      </x:c>
      <x:c r="D130" s="83" t="n">
        <x:v>2050</x:v>
      </x:c>
      <x:c r="E130" s="83" t="str">
        <x:v>solar-utility</x:v>
      </x:c>
      <x:c r="F130" s="83" t="str">
        <x:v>lifetime</x:v>
      </x:c>
      <x:c r="G130" s="279" t="n">
        <x:v>40</x:v>
      </x:c>
      <x:c r="H130" s="83" t="str">
        <x:v>years</x:v>
      </x:c>
      <x:c r="I130" s="83" t="str">
        <x:v>2020.0</x:v>
      </x:c>
      <x:c r="J130" s="83" t="str">
        <x:v>Danish Energy Agency, technology_data_for_el_and_dh.xlsx</x:v>
      </x:c>
      <x:c r="K130" s="83" t="str">
        <x:v>22 Utility-scale PV:  Technical lifetime [years]</x:v>
      </x:c>
      <x:c r="L130" s="83" t="str">
        <x:v>Context / capacity optimisation</x:v>
      </x:c>
      <x:c r="M130" s="83" t="str">
        <x:v>Candidate — do not adopt until CLI version is pinned</x:v>
      </x:c>
      <x:c r="N130" s="120" t="str">
        <x:v>https://raw.githubusercontent.com/PyPSA/technology-data/v0.9.2/outputs/costs_2050.csv</x:v>
      </x:c>
      <x:c r="O130" s="83" t="str">
        <x:v>Values from different releases may use different currency-year and inflation conventions; do not blend releases.</x:v>
      </x:c>
    </x:row>
    <x:row r="131">
      <x:c r="A131" s="83" t="str">
        <x:v>EXT-0127</x:v>
      </x:c>
      <x:c r="B131" s="83" t="str">
        <x:v>PyPSA technology-data</x:v>
      </x:c>
      <x:c r="C131" s="83" t="str">
        <x:v>v0.15.0</x:v>
      </x:c>
      <x:c r="D131" s="83" t="n">
        <x:v>2040</x:v>
      </x:c>
      <x:c r="E131" s="83" t="str">
        <x:v>CCGT</x:v>
      </x:c>
      <x:c r="F131" s="83" t="str">
        <x:v>FOM</x:v>
      </x:c>
      <x:c r="G131" s="279" t="n">
        <x:v>3.3006</x:v>
      </x:c>
      <x:c r="H131" s="83" t="str">
        <x:v>%/year</x:v>
      </x:c>
      <x:c r="I131" s="83" t="str">
        <x:v>2015.0</x:v>
      </x:c>
      <x:c r="J131" s="83" t="str">
        <x:v>Danish Energy Agency, inputs/technology_data_for_el_and_dh.xlsx</x:v>
      </x:c>
      <x:c r="K131" s="83" t="str">
        <x:v>05 Gas turb. CC, steam extract.:  Fixed O&amp;M</x:v>
      </x:c>
      <x:c r="L131" s="83" t="str">
        <x:v>Context / capacity optimisation</x:v>
      </x:c>
      <x:c r="M131" s="83" t="str">
        <x:v>Candidate — do not adopt until CLI version is pinned</x:v>
      </x:c>
      <x:c r="N131" s="120" t="str">
        <x:v>https://raw.githubusercontent.com/PyPSA/technology-data/v0.15.0/outputs/costs_2040.csv</x:v>
      </x:c>
      <x:c r="O131" s="83" t="str">
        <x:v>Values from different releases may use different currency-year and inflation conventions; do not blend releases.</x:v>
      </x:c>
    </x:row>
    <x:row r="132">
      <x:c r="A132" s="83" t="str">
        <x:v>EXT-0128</x:v>
      </x:c>
      <x:c r="B132" s="83" t="str">
        <x:v>PyPSA technology-data</x:v>
      </x:c>
      <x:c r="C132" s="83" t="str">
        <x:v>v0.15.0</x:v>
      </x:c>
      <x:c r="D132" s="83" t="n">
        <x:v>2040</x:v>
      </x:c>
      <x:c r="E132" s="83" t="str">
        <x:v>CCGT</x:v>
      </x:c>
      <x:c r="F132" s="83" t="str">
        <x:v>VOM</x:v>
      </x:c>
      <x:c r="G132" s="279" t="n">
        <x:v>5.4768</x:v>
      </x:c>
      <x:c r="H132" s="83" t="str">
        <x:v>EUR/MWh</x:v>
      </x:c>
      <x:c r="I132" s="83" t="str">
        <x:v>2025.0</x:v>
      </x:c>
      <x:c r="J132" s="83" t="str">
        <x:v>Danish Energy Agency, inputs/technology_data_for_el_and_dh.xlsx</x:v>
      </x:c>
      <x:c r="K132" s="83" t="str">
        <x:v>05 Gas turb. CC, steam extract.:  Variable O&amp;M</x:v>
      </x:c>
      <x:c r="L132" s="83" t="str">
        <x:v>Direct candidate</x:v>
      </x:c>
      <x:c r="M132" s="83" t="str">
        <x:v>Candidate — do not adopt until CLI version is pinned</x:v>
      </x:c>
      <x:c r="N132" s="120" t="str">
        <x:v>https://raw.githubusercontent.com/PyPSA/technology-data/v0.15.0/outputs/costs_2040.csv</x:v>
      </x:c>
      <x:c r="O132" s="83" t="str">
        <x:v>Values from different releases may use different currency-year and inflation conventions; do not blend releases.</x:v>
      </x:c>
    </x:row>
    <x:row r="133">
      <x:c r="A133" s="83" t="str">
        <x:v>EXT-0129</x:v>
      </x:c>
      <x:c r="B133" s="83" t="str">
        <x:v>PyPSA technology-data</x:v>
      </x:c>
      <x:c r="C133" s="83" t="str">
        <x:v>v0.15.0</x:v>
      </x:c>
      <x:c r="D133" s="83" t="n">
        <x:v>2040</x:v>
      </x:c>
      <x:c r="E133" s="83" t="str">
        <x:v>CCGT</x:v>
      </x:c>
      <x:c r="F133" s="83" t="str">
        <x:v>efficiency</x:v>
      </x:c>
      <x:c r="G133" s="279" t="n">
        <x:v>0.59</x:v>
      </x:c>
      <x:c r="H133" s="83" t="str">
        <x:v>per unit</x:v>
      </x:c>
      <x:c r="I133" s="83" t="str">
        <x:v>2015.0</x:v>
      </x:c>
      <x:c r="J133" s="83" t="str">
        <x:v>Danish Energy Agency, inputs/technology_data_for_el_and_dh.xlsx</x:v>
      </x:c>
      <x:c r="K133" s="83" t="str">
        <x:v>05 Gas turb. CC, steam extract.:  Electricity efficiency, annual average</x:v>
      </x:c>
      <x:c r="L133" s="83" t="str">
        <x:v>Direct candidate</x:v>
      </x:c>
      <x:c r="M133" s="83" t="str">
        <x:v>Candidate — do not adopt until CLI version is pinned</x:v>
      </x:c>
      <x:c r="N133" s="120" t="str">
        <x:v>https://raw.githubusercontent.com/PyPSA/technology-data/v0.15.0/outputs/costs_2040.csv</x:v>
      </x:c>
      <x:c r="O133" s="83" t="str">
        <x:v>Values from different releases may use different currency-year and inflation conventions; do not blend releases.</x:v>
      </x:c>
    </x:row>
    <x:row r="134">
      <x:c r="A134" s="83" t="str">
        <x:v>EXT-0130</x:v>
      </x:c>
      <x:c r="B134" s="83" t="str">
        <x:v>PyPSA technology-data</x:v>
      </x:c>
      <x:c r="C134" s="83" t="str">
        <x:v>v0.15.0</x:v>
      </x:c>
      <x:c r="D134" s="83" t="n">
        <x:v>2040</x:v>
      </x:c>
      <x:c r="E134" s="83" t="str">
        <x:v>CCGT</x:v>
      </x:c>
      <x:c r="F134" s="83" t="str">
        <x:v>investment</x:v>
      </x:c>
      <x:c r="G134" s="279" t="n">
        <x:v>1088.6795</x:v>
      </x:c>
      <x:c r="H134" s="83" t="str">
        <x:v>EUR/kW</x:v>
      </x:c>
      <x:c r="I134" s="83" t="str">
        <x:v>2025.0</x:v>
      </x:c>
      <x:c r="J134" s="83" t="str">
        <x:v>Danish Energy Agency, inputs/technology_data_for_el_and_dh.xlsx</x:v>
      </x:c>
      <x:c r="K134" s="83" t="str">
        <x:v>05 Gas turb. CC, steam extract.:  Nominal investment</x:v>
      </x:c>
      <x:c r="L134" s="83" t="str">
        <x:v>Context / capacity optimisation</x:v>
      </x:c>
      <x:c r="M134" s="83" t="str">
        <x:v>Candidate — do not adopt until CLI version is pinned</x:v>
      </x:c>
      <x:c r="N134" s="120" t="str">
        <x:v>https://raw.githubusercontent.com/PyPSA/technology-data/v0.15.0/outputs/costs_2040.csv</x:v>
      </x:c>
      <x:c r="O134" s="83" t="str">
        <x:v>Values from different releases may use different currency-year and inflation conventions; do not blend releases.</x:v>
      </x:c>
    </x:row>
    <x:row r="135">
      <x:c r="A135" s="83" t="str">
        <x:v>EXT-0131</x:v>
      </x:c>
      <x:c r="B135" s="83" t="str">
        <x:v>PyPSA technology-data</x:v>
      </x:c>
      <x:c r="C135" s="83" t="str">
        <x:v>v0.15.0</x:v>
      </x:c>
      <x:c r="D135" s="83" t="n">
        <x:v>2040</x:v>
      </x:c>
      <x:c r="E135" s="83" t="str">
        <x:v>CCGT</x:v>
      </x:c>
      <x:c r="F135" s="83" t="str">
        <x:v>lifetime</x:v>
      </x:c>
      <x:c r="G135" s="279" t="n">
        <x:v>25</x:v>
      </x:c>
      <x:c r="H135" s="83" t="str">
        <x:v>years</x:v>
      </x:c>
      <x:c r="I135" s="83" t="str">
        <x:v>2015.0</x:v>
      </x:c>
      <x:c r="J135" s="83" t="str">
        <x:v>Danish Energy Agency, inputs/technology_data_for_el_and_dh.xlsx</x:v>
      </x:c>
      <x:c r="K135" s="83" t="str">
        <x:v>05 Gas turb. CC, steam extract.:  Technical lifetime</x:v>
      </x:c>
      <x:c r="L135" s="83" t="str">
        <x:v>Context / capacity optimisation</x:v>
      </x:c>
      <x:c r="M135" s="83" t="str">
        <x:v>Candidate — do not adopt until CLI version is pinned</x:v>
      </x:c>
      <x:c r="N135" s="120" t="str">
        <x:v>https://raw.githubusercontent.com/PyPSA/technology-data/v0.15.0/outputs/costs_2040.csv</x:v>
      </x:c>
      <x:c r="O135" s="83" t="str">
        <x:v>Values from different releases may use different currency-year and inflation conventions; do not blend releases.</x:v>
      </x:c>
    </x:row>
    <x:row r="136">
      <x:c r="A136" s="83" t="str">
        <x:v>EXT-0132</x:v>
      </x:c>
      <x:c r="B136" s="83" t="str">
        <x:v>PyPSA technology-data</x:v>
      </x:c>
      <x:c r="C136" s="83" t="str">
        <x:v>v0.15.0</x:v>
      </x:c>
      <x:c r="D136" s="83" t="n">
        <x:v>2040</x:v>
      </x:c>
      <x:c r="E136" s="83" t="str">
        <x:v>OCGT</x:v>
      </x:c>
      <x:c r="F136" s="83" t="str">
        <x:v>FOM</x:v>
      </x:c>
      <x:c r="G136" s="279" t="n">
        <x:v>1.7906</x:v>
      </x:c>
      <x:c r="H136" s="83" t="str">
        <x:v>%/year</x:v>
      </x:c>
      <x:c r="I136" s="83" t="str">
        <x:v>2015.0</x:v>
      </x:c>
      <x:c r="J136" s="83" t="str">
        <x:v>Danish Energy Agency, inputs/technology_data_for_el_and_dh.xlsx</x:v>
      </x:c>
      <x:c r="K136" s="83" t="str">
        <x:v>52 OCGT - Natural gas:  Fixed O&amp;M</x:v>
      </x:c>
      <x:c r="L136" s="83" t="str">
        <x:v>Context / capacity optimisation</x:v>
      </x:c>
      <x:c r="M136" s="83" t="str">
        <x:v>Candidate — do not adopt until CLI version is pinned</x:v>
      </x:c>
      <x:c r="N136" s="120" t="str">
        <x:v>https://raw.githubusercontent.com/PyPSA/technology-data/v0.15.0/outputs/costs_2040.csv</x:v>
      </x:c>
      <x:c r="O136" s="83" t="str">
        <x:v>Values from different releases may use different currency-year and inflation conventions; do not blend releases.</x:v>
      </x:c>
    </x:row>
    <x:row r="137">
      <x:c r="A137" s="83" t="str">
        <x:v>EXT-0133</x:v>
      </x:c>
      <x:c r="B137" s="83" t="str">
        <x:v>PyPSA technology-data</x:v>
      </x:c>
      <x:c r="C137" s="83" t="str">
        <x:v>v0.15.0</x:v>
      </x:c>
      <x:c r="D137" s="83" t="n">
        <x:v>2040</x:v>
      </x:c>
      <x:c r="E137" s="83" t="str">
        <x:v>OCGT</x:v>
      </x:c>
      <x:c r="F137" s="83" t="str">
        <x:v>VOM</x:v>
      </x:c>
      <x:c r="G137" s="279" t="n">
        <x:v>6.0111</x:v>
      </x:c>
      <x:c r="H137" s="83" t="str">
        <x:v>EUR/MWh</x:v>
      </x:c>
      <x:c r="I137" s="83" t="str">
        <x:v>2025.0</x:v>
      </x:c>
      <x:c r="J137" s="83" t="str">
        <x:v>Danish Energy Agency, inputs/technology_data_for_el_and_dh.xlsx</x:v>
      </x:c>
      <x:c r="K137" s="83" t="str">
        <x:v>52 OCGT - Natural gas:  Variable O&amp;M</x:v>
      </x:c>
      <x:c r="L137" s="83" t="str">
        <x:v>Direct candidate</x:v>
      </x:c>
      <x:c r="M137" s="83" t="str">
        <x:v>Candidate — do not adopt until CLI version is pinned</x:v>
      </x:c>
      <x:c r="N137" s="120" t="str">
        <x:v>https://raw.githubusercontent.com/PyPSA/technology-data/v0.15.0/outputs/costs_2040.csv</x:v>
      </x:c>
      <x:c r="O137" s="83" t="str">
        <x:v>Values from different releases may use different currency-year and inflation conventions; do not blend releases.</x:v>
      </x:c>
    </x:row>
    <x:row r="138">
      <x:c r="A138" s="83" t="str">
        <x:v>EXT-0134</x:v>
      </x:c>
      <x:c r="B138" s="83" t="str">
        <x:v>PyPSA technology-data</x:v>
      </x:c>
      <x:c r="C138" s="83" t="str">
        <x:v>v0.15.0</x:v>
      </x:c>
      <x:c r="D138" s="83" t="n">
        <x:v>2040</x:v>
      </x:c>
      <x:c r="E138" s="83" t="str">
        <x:v>OCGT</x:v>
      </x:c>
      <x:c r="F138" s="83" t="str">
        <x:v>efficiency</x:v>
      </x:c>
      <x:c r="G138" s="279" t="n">
        <x:v>0.42</x:v>
      </x:c>
      <x:c r="H138" s="83" t="str">
        <x:v>per unit</x:v>
      </x:c>
      <x:c r="I138" s="83" t="str">
        <x:v>2015.0</x:v>
      </x:c>
      <x:c r="J138" s="83" t="str">
        <x:v>Danish Energy Agency, inputs/technology_data_for_el_and_dh.xlsx</x:v>
      </x:c>
      <x:c r="K138" s="83" t="str">
        <x:v>52 OCGT - Natural gas:  Electricity efficiency, annual average</x:v>
      </x:c>
      <x:c r="L138" s="83" t="str">
        <x:v>Direct candidate</x:v>
      </x:c>
      <x:c r="M138" s="83" t="str">
        <x:v>Candidate — do not adopt until CLI version is pinned</x:v>
      </x:c>
      <x:c r="N138" s="120" t="str">
        <x:v>https://raw.githubusercontent.com/PyPSA/technology-data/v0.15.0/outputs/costs_2040.csv</x:v>
      </x:c>
      <x:c r="O138" s="83" t="str">
        <x:v>Values from different releases may use different currency-year and inflation conventions; do not blend releases.</x:v>
      </x:c>
    </x:row>
    <x:row r="139">
      <x:c r="A139" s="83" t="str">
        <x:v>EXT-0135</x:v>
      </x:c>
      <x:c r="B139" s="83" t="str">
        <x:v>PyPSA technology-data</x:v>
      </x:c>
      <x:c r="C139" s="83" t="str">
        <x:v>v0.15.0</x:v>
      </x:c>
      <x:c r="D139" s="83" t="n">
        <x:v>2040</x:v>
      </x:c>
      <x:c r="E139" s="83" t="str">
        <x:v>OCGT</x:v>
      </x:c>
      <x:c r="F139" s="83" t="str">
        <x:v>investment</x:v>
      </x:c>
      <x:c r="G139" s="279" t="n">
        <x:v>565.766</x:v>
      </x:c>
      <x:c r="H139" s="83" t="str">
        <x:v>EUR/kW</x:v>
      </x:c>
      <x:c r="I139" s="83" t="str">
        <x:v>2025.0</x:v>
      </x:c>
      <x:c r="J139" s="83" t="str">
        <x:v>Danish Energy Agency, inputs/technology_data_for_el_and_dh.xlsx</x:v>
      </x:c>
      <x:c r="K139" s="83" t="str">
        <x:v>52 OCGT - Natural gas:  Specific investment</x:v>
      </x:c>
      <x:c r="L139" s="83" t="str">
        <x:v>Context / capacity optimisation</x:v>
      </x:c>
      <x:c r="M139" s="83" t="str">
        <x:v>Candidate — do not adopt until CLI version is pinned</x:v>
      </x:c>
      <x:c r="N139" s="120" t="str">
        <x:v>https://raw.githubusercontent.com/PyPSA/technology-data/v0.15.0/outputs/costs_2040.csv</x:v>
      </x:c>
      <x:c r="O139" s="83" t="str">
        <x:v>Values from different releases may use different currency-year and inflation conventions; do not blend releases.</x:v>
      </x:c>
    </x:row>
    <x:row r="140">
      <x:c r="A140" s="83" t="str">
        <x:v>EXT-0136</x:v>
      </x:c>
      <x:c r="B140" s="83" t="str">
        <x:v>PyPSA technology-data</x:v>
      </x:c>
      <x:c r="C140" s="83" t="str">
        <x:v>v0.15.0</x:v>
      </x:c>
      <x:c r="D140" s="83" t="n">
        <x:v>2040</x:v>
      </x:c>
      <x:c r="E140" s="83" t="str">
        <x:v>OCGT</x:v>
      </x:c>
      <x:c r="F140" s="83" t="str">
        <x:v>lifetime</x:v>
      </x:c>
      <x:c r="G140" s="279" t="n">
        <x:v>25</x:v>
      </x:c>
      <x:c r="H140" s="83" t="str">
        <x:v>years</x:v>
      </x:c>
      <x:c r="I140" s="83" t="str">
        <x:v>2015.0</x:v>
      </x:c>
      <x:c r="J140" s="83" t="str">
        <x:v>Danish Energy Agency, inputs/technology_data_for_el_and_dh.xlsx</x:v>
      </x:c>
      <x:c r="K140" s="83" t="str">
        <x:v>52 OCGT - Natural gas:  Technical lifetime</x:v>
      </x:c>
      <x:c r="L140" s="83" t="str">
        <x:v>Context / capacity optimisation</x:v>
      </x:c>
      <x:c r="M140" s="83" t="str">
        <x:v>Candidate — do not adopt until CLI version is pinned</x:v>
      </x:c>
      <x:c r="N140" s="120" t="str">
        <x:v>https://raw.githubusercontent.com/PyPSA/technology-data/v0.15.0/outputs/costs_2040.csv</x:v>
      </x:c>
      <x:c r="O140" s="83" t="str">
        <x:v>Values from different releases may use different currency-year and inflation conventions; do not blend releases.</x:v>
      </x:c>
    </x:row>
    <x:row r="141">
      <x:c r="A141" s="83" t="str">
        <x:v>EXT-0137</x:v>
      </x:c>
      <x:c r="B141" s="83" t="str">
        <x:v>PyPSA technology-data</x:v>
      </x:c>
      <x:c r="C141" s="83" t="str">
        <x:v>v0.15.0</x:v>
      </x:c>
      <x:c r="D141" s="83" t="n">
        <x:v>2040</x:v>
      </x:c>
      <x:c r="E141" s="83" t="str">
        <x:v>PHS</x:v>
      </x:c>
      <x:c r="F141" s="83" t="str">
        <x:v>FOM</x:v>
      </x:c>
      <x:c r="G141" s="279" t="n">
        <x:v>1</x:v>
      </x:c>
      <x:c r="H141" s="83" t="str">
        <x:v>%/year</x:v>
      </x:c>
      <x:c r="I141" s="83" t="str">
        <x:v>2015.0</x:v>
      </x:c>
      <x:c r="J141" s="83" t="str">
        <x:v>DIW DataDoc http://hdl.handle.net/10419/80348</x:v>
      </x:c>
      <x:c r="K141" s="83" t="str">
        <x:v> from old pypsa cost assumptions</x:v>
      </x:c>
      <x:c r="L141" s="83" t="str">
        <x:v>Context / capacity optimisation</x:v>
      </x:c>
      <x:c r="M141" s="83" t="str">
        <x:v>Candidate — do not adopt until CLI version is pinned</x:v>
      </x:c>
      <x:c r="N141" s="120" t="str">
        <x:v>https://raw.githubusercontent.com/PyPSA/technology-data/v0.15.0/outputs/costs_2040.csv</x:v>
      </x:c>
      <x:c r="O141" s="83" t="str">
        <x:v>Values from different releases may use different currency-year and inflation conventions; do not blend releases.</x:v>
      </x:c>
    </x:row>
    <x:row r="142">
      <x:c r="A142" s="83" t="str">
        <x:v>EXT-0138</x:v>
      </x:c>
      <x:c r="B142" s="83" t="str">
        <x:v>PyPSA technology-data</x:v>
      </x:c>
      <x:c r="C142" s="83" t="str">
        <x:v>v0.15.0</x:v>
      </x:c>
      <x:c r="D142" s="83" t="n">
        <x:v>2040</x:v>
      </x:c>
      <x:c r="E142" s="83" t="str">
        <x:v>PHS</x:v>
      </x:c>
      <x:c r="F142" s="83" t="str">
        <x:v>efficiency</x:v>
      </x:c>
      <x:c r="G142" s="279" t="n">
        <x:v>0.75</x:v>
      </x:c>
      <x:c r="H142" s="83" t="str">
        <x:v>per unit</x:v>
      </x:c>
      <x:c r="I142" s="83" t="str">
        <x:v>2015.0</x:v>
      </x:c>
      <x:c r="J142" s="83" t="str">
        <x:v>DIW DataDoc http://hdl.handle.net/10419/80348</x:v>
      </x:c>
      <x:c r="K142" s="83" t="str">
        <x:v> from old pypsa cost assumptions</x:v>
      </x:c>
      <x:c r="L142" s="83" t="str">
        <x:v>Direct candidate</x:v>
      </x:c>
      <x:c r="M142" s="83" t="str">
        <x:v>Candidate — do not adopt until CLI version is pinned</x:v>
      </x:c>
      <x:c r="N142" s="120" t="str">
        <x:v>https://raw.githubusercontent.com/PyPSA/technology-data/v0.15.0/outputs/costs_2040.csv</x:v>
      </x:c>
      <x:c r="O142" s="83" t="str">
        <x:v>Values from different releases may use different currency-year and inflation conventions; do not blend releases.</x:v>
      </x:c>
    </x:row>
    <x:row r="143">
      <x:c r="A143" s="83" t="str">
        <x:v>EXT-0139</x:v>
      </x:c>
      <x:c r="B143" s="83" t="str">
        <x:v>PyPSA technology-data</x:v>
      </x:c>
      <x:c r="C143" s="83" t="str">
        <x:v>v0.15.0</x:v>
      </x:c>
      <x:c r="D143" s="83" t="n">
        <x:v>2040</x:v>
      </x:c>
      <x:c r="E143" s="83" t="str">
        <x:v>PHS</x:v>
      </x:c>
      <x:c r="F143" s="83" t="str">
        <x:v>investment</x:v>
      </x:c>
      <x:c r="G143" s="279" t="n">
        <x:v>2888.5279</x:v>
      </x:c>
      <x:c r="H143" s="83" t="str">
        <x:v>EUR/kWel</x:v>
      </x:c>
      <x:c r="I143" s="83" t="str">
        <x:v>2025.0</x:v>
      </x:c>
      <x:c r="J143" s="83" t="str">
        <x:v>DIW DataDoc http://hdl.handle.net/10419/80348</x:v>
      </x:c>
      <x:c r="K143" s="83" t="str">
        <x:v> from old pypsa cost assumptions</x:v>
      </x:c>
      <x:c r="L143" s="83" t="str">
        <x:v>Context / capacity optimisation</x:v>
      </x:c>
      <x:c r="M143" s="83" t="str">
        <x:v>Candidate — do not adopt until CLI version is pinned</x:v>
      </x:c>
      <x:c r="N143" s="120" t="str">
        <x:v>https://raw.githubusercontent.com/PyPSA/technology-data/v0.15.0/outputs/costs_2040.csv</x:v>
      </x:c>
      <x:c r="O143" s="83" t="str">
        <x:v>Values from different releases may use different currency-year and inflation conventions; do not blend releases.</x:v>
      </x:c>
    </x:row>
    <x:row r="144">
      <x:c r="A144" s="83" t="str">
        <x:v>EXT-0140</x:v>
      </x:c>
      <x:c r="B144" s="83" t="str">
        <x:v>PyPSA technology-data</x:v>
      </x:c>
      <x:c r="C144" s="83" t="str">
        <x:v>v0.15.0</x:v>
      </x:c>
      <x:c r="D144" s="83" t="n">
        <x:v>2040</x:v>
      </x:c>
      <x:c r="E144" s="83" t="str">
        <x:v>PHS</x:v>
      </x:c>
      <x:c r="F144" s="83" t="str">
        <x:v>lifetime</x:v>
      </x:c>
      <x:c r="G144" s="279" t="n">
        <x:v>80</x:v>
      </x:c>
      <x:c r="H144" s="83" t="str">
        <x:v>years</x:v>
      </x:c>
      <x:c r="I144" s="83" t="str">
        <x:v>2015.0</x:v>
      </x:c>
      <x:c r="J144" s="83" t="str">
        <x:v>IEA2010</x:v>
      </x:c>
      <x:c r="K144" s="83" t="str">
        <x:v> from old pypsa cost assumptions</x:v>
      </x:c>
      <x:c r="L144" s="83" t="str">
        <x:v>Context / capacity optimisation</x:v>
      </x:c>
      <x:c r="M144" s="83" t="str">
        <x:v>Candidate — do not adopt until CLI version is pinned</x:v>
      </x:c>
      <x:c r="N144" s="120" t="str">
        <x:v>https://raw.githubusercontent.com/PyPSA/technology-data/v0.15.0/outputs/costs_2040.csv</x:v>
      </x:c>
      <x:c r="O144" s="83" t="str">
        <x:v>Values from different releases may use different currency-year and inflation conventions; do not blend releases.</x:v>
      </x:c>
    </x:row>
    <x:row r="145">
      <x:c r="A145" s="83" t="str">
        <x:v>EXT-0141</x:v>
      </x:c>
      <x:c r="B145" s="83" t="str">
        <x:v>PyPSA technology-data</x:v>
      </x:c>
      <x:c r="C145" s="83" t="str">
        <x:v>v0.15.0</x:v>
      </x:c>
      <x:c r="D145" s="83" t="n">
        <x:v>2040</x:v>
      </x:c>
      <x:c r="E145" s="83" t="str">
        <x:v>battery inverter</x:v>
      </x:c>
      <x:c r="F145" s="83" t="str">
        <x:v>FOM</x:v>
      </x:c>
      <x:c r="G145" s="279" t="n">
        <x:v>0.54</x:v>
      </x:c>
      <x:c r="H145" s="83" t="str">
        <x:v>%/year</x:v>
      </x:c>
      <x:c r="I145" s="83" t="str">
        <x:v>2020.0</x:v>
      </x:c>
      <x:c r="J145" s="83" t="str">
        <x:v>Danish Energy Agency, inputs/technology_data_catalogue_for_energy_storage.xlsx</x:v>
      </x:c>
      <x:c r="K145" s="83" t="str">
        <x:v>:  Fixed O&amp;M</x:v>
      </x:c>
      <x:c r="L145" s="83" t="str">
        <x:v>Context / capacity optimisation</x:v>
      </x:c>
      <x:c r="M145" s="83" t="str">
        <x:v>Candidate — do not adopt until CLI version is pinned</x:v>
      </x:c>
      <x:c r="N145" s="120" t="str">
        <x:v>https://raw.githubusercontent.com/PyPSA/technology-data/v0.15.0/outputs/costs_2040.csv</x:v>
      </x:c>
      <x:c r="O145" s="83" t="str">
        <x:v>Values from different releases may use different currency-year and inflation conventions; do not blend releases.</x:v>
      </x:c>
    </x:row>
    <x:row r="146">
      <x:c r="A146" s="83" t="str">
        <x:v>EXT-0142</x:v>
      </x:c>
      <x:c r="B146" s="83" t="str">
        <x:v>PyPSA technology-data</x:v>
      </x:c>
      <x:c r="C146" s="83" t="str">
        <x:v>v0.15.0</x:v>
      </x:c>
      <x:c r="D146" s="83" t="n">
        <x:v>2040</x:v>
      </x:c>
      <x:c r="E146" s="83" t="str">
        <x:v>battery inverter</x:v>
      </x:c>
      <x:c r="F146" s="83" t="str">
        <x:v>efficiency</x:v>
      </x:c>
      <x:c r="G146" s="279" t="n">
        <x:v>0.96</x:v>
      </x:c>
      <x:c r="H146" s="83" t="str">
        <x:v>per unit</x:v>
      </x:c>
      <x:c r="I146" s="83" t="str">
        <x:v>2020.0</x:v>
      </x:c>
      <x:c r="J146" s="83" t="str">
        <x:v>Danish Energy Agency, inputs/technology_data_catalogue_for_energy_storage.xlsx</x:v>
      </x:c>
      <x:c r="K146" s="83" t="str">
        <x:v>:  Round trip efficiency DC</x:v>
      </x:c>
      <x:c r="L146" s="83" t="str">
        <x:v>Direct candidate</x:v>
      </x:c>
      <x:c r="M146" s="83" t="str">
        <x:v>Candidate — do not adopt until CLI version is pinned</x:v>
      </x:c>
      <x:c r="N146" s="120" t="str">
        <x:v>https://raw.githubusercontent.com/PyPSA/technology-data/v0.15.0/outputs/costs_2040.csv</x:v>
      </x:c>
      <x:c r="O146" s="83" t="str">
        <x:v>Values from different releases may use different currency-year and inflation conventions; do not blend releases.</x:v>
      </x:c>
    </x:row>
    <x:row r="147">
      <x:c r="A147" s="83" t="str">
        <x:v>EXT-0143</x:v>
      </x:c>
      <x:c r="B147" s="83" t="str">
        <x:v>PyPSA technology-data</x:v>
      </x:c>
      <x:c r="C147" s="83" t="str">
        <x:v>v0.15.0</x:v>
      </x:c>
      <x:c r="D147" s="83" t="n">
        <x:v>2040</x:v>
      </x:c>
      <x:c r="E147" s="83" t="str">
        <x:v>battery inverter</x:v>
      </x:c>
      <x:c r="F147" s="83" t="str">
        <x:v>investment</x:v>
      </x:c>
      <x:c r="G147" s="279" t="n">
        <x:v>133.705</x:v>
      </x:c>
      <x:c r="H147" s="83" t="str">
        <x:v>EUR/kW</x:v>
      </x:c>
      <x:c r="I147" s="83" t="str">
        <x:v>2025.0</x:v>
      </x:c>
      <x:c r="J147" s="83" t="str">
        <x:v>Danish Energy Agency, inputs/technology_data_catalogue_for_energy_storage.xlsx</x:v>
      </x:c>
      <x:c r="K147" s="83" t="str">
        <x:v>:  Output capacity expansion cost investment</x:v>
      </x:c>
      <x:c r="L147" s="83" t="str">
        <x:v>Context / capacity optimisation</x:v>
      </x:c>
      <x:c r="M147" s="83" t="str">
        <x:v>Candidate — do not adopt until CLI version is pinned</x:v>
      </x:c>
      <x:c r="N147" s="120" t="str">
        <x:v>https://raw.githubusercontent.com/PyPSA/technology-data/v0.15.0/outputs/costs_2040.csv</x:v>
      </x:c>
      <x:c r="O147" s="83" t="str">
        <x:v>Values from different releases may use different currency-year and inflation conventions; do not blend releases.</x:v>
      </x:c>
    </x:row>
    <x:row r="148">
      <x:c r="A148" s="83" t="str">
        <x:v>EXT-0144</x:v>
      </x:c>
      <x:c r="B148" s="83" t="str">
        <x:v>PyPSA technology-data</x:v>
      </x:c>
      <x:c r="C148" s="83" t="str">
        <x:v>v0.15.0</x:v>
      </x:c>
      <x:c r="D148" s="83" t="n">
        <x:v>2040</x:v>
      </x:c>
      <x:c r="E148" s="83" t="str">
        <x:v>battery inverter</x:v>
      </x:c>
      <x:c r="F148" s="83" t="str">
        <x:v>lifetime</x:v>
      </x:c>
      <x:c r="G148" s="279" t="n">
        <x:v>10</x:v>
      </x:c>
      <x:c r="H148" s="83" t="str">
        <x:v>years</x:v>
      </x:c>
      <x:c r="I148" s="83" t="str">
        <x:v>2020.0</x:v>
      </x:c>
      <x:c r="J148" s="83" t="str">
        <x:v>Danish Energy Agency, inputs/technology_data_catalogue_for_energy_storage.xlsx, Note K.</x:v>
      </x:c>
      <x:c r="K148" s="83" t="str">
        <x:v>:  Technical lifetime</x:v>
      </x:c>
      <x:c r="L148" s="83" t="str">
        <x:v>Context / capacity optimisation</x:v>
      </x:c>
      <x:c r="M148" s="83" t="str">
        <x:v>Candidate — do not adopt until CLI version is pinned</x:v>
      </x:c>
      <x:c r="N148" s="120" t="str">
        <x:v>https://raw.githubusercontent.com/PyPSA/technology-data/v0.15.0/outputs/costs_2040.csv</x:v>
      </x:c>
      <x:c r="O148" s="83" t="str">
        <x:v>Values from different releases may use different currency-year and inflation conventions; do not blend releases.</x:v>
      </x:c>
    </x:row>
    <x:row r="149">
      <x:c r="A149" s="83" t="str">
        <x:v>EXT-0145</x:v>
      </x:c>
      <x:c r="B149" s="83" t="str">
        <x:v>PyPSA technology-data</x:v>
      </x:c>
      <x:c r="C149" s="83" t="str">
        <x:v>v0.15.0</x:v>
      </x:c>
      <x:c r="D149" s="83" t="n">
        <x:v>2040</x:v>
      </x:c>
      <x:c r="E149" s="83" t="str">
        <x:v>battery storage</x:v>
      </x:c>
      <x:c r="F149" s="83" t="str">
        <x:v>investment</x:v>
      </x:c>
      <x:c r="G149" s="279" t="n">
        <x:v>125.6827</x:v>
      </x:c>
      <x:c r="H149" s="83" t="str">
        <x:v>EUR/kWh</x:v>
      </x:c>
      <x:c r="I149" s="83" t="str">
        <x:v>2025.0</x:v>
      </x:c>
      <x:c r="J149" s="83" t="str">
        <x:v>Danish Energy Agency, inputs/technology_data_catalogue_for_energy_storage.xlsx</x:v>
      </x:c>
      <x:c r="K149" s="83" t="str">
        <x:v>:  Energy storage expansion cost investment</x:v>
      </x:c>
      <x:c r="L149" s="83" t="str">
        <x:v>Context / capacity optimisation</x:v>
      </x:c>
      <x:c r="M149" s="83" t="str">
        <x:v>Candidate — do not adopt until CLI version is pinned</x:v>
      </x:c>
      <x:c r="N149" s="120" t="str">
        <x:v>https://raw.githubusercontent.com/PyPSA/technology-data/v0.15.0/outputs/costs_2040.csv</x:v>
      </x:c>
      <x:c r="O149" s="83" t="str">
        <x:v>Values from different releases may use different currency-year and inflation conventions; do not blend releases.</x:v>
      </x:c>
    </x:row>
    <x:row r="150">
      <x:c r="A150" s="83" t="str">
        <x:v>EXT-0146</x:v>
      </x:c>
      <x:c r="B150" s="83" t="str">
        <x:v>PyPSA technology-data</x:v>
      </x:c>
      <x:c r="C150" s="83" t="str">
        <x:v>v0.15.0</x:v>
      </x:c>
      <x:c r="D150" s="83" t="n">
        <x:v>2040</x:v>
      </x:c>
      <x:c r="E150" s="83" t="str">
        <x:v>battery storage</x:v>
      </x:c>
      <x:c r="F150" s="83" t="str">
        <x:v>lifetime</x:v>
      </x:c>
      <x:c r="G150" s="279" t="n">
        <x:v>30</x:v>
      </x:c>
      <x:c r="H150" s="83" t="str">
        <x:v>years</x:v>
      </x:c>
      <x:c r="I150" s="83" t="str">
        <x:v>2020.0</x:v>
      </x:c>
      <x:c r="J150" s="83" t="str">
        <x:v>Danish Energy Agency, inputs/technology_data_catalogue_for_energy_storage.xlsx</x:v>
      </x:c>
      <x:c r="K150" s="83" t="str">
        <x:v>:  Technical lifetime</x:v>
      </x:c>
      <x:c r="L150" s="83" t="str">
        <x:v>Context / capacity optimisation</x:v>
      </x:c>
      <x:c r="M150" s="83" t="str">
        <x:v>Candidate — do not adopt until CLI version is pinned</x:v>
      </x:c>
      <x:c r="N150" s="120" t="str">
        <x:v>https://raw.githubusercontent.com/PyPSA/technology-data/v0.15.0/outputs/costs_2040.csv</x:v>
      </x:c>
      <x:c r="O150" s="83" t="str">
        <x:v>Values from different releases may use different currency-year and inflation conventions; do not blend releases.</x:v>
      </x:c>
    </x:row>
    <x:row r="151">
      <x:c r="A151" s="83" t="str">
        <x:v>EXT-0147</x:v>
      </x:c>
      <x:c r="B151" s="83" t="str">
        <x:v>PyPSA technology-data</x:v>
      </x:c>
      <x:c r="C151" s="83" t="str">
        <x:v>v0.15.0</x:v>
      </x:c>
      <x:c r="D151" s="83" t="n">
        <x:v>2040</x:v>
      </x:c>
      <x:c r="E151" s="83" t="str">
        <x:v>biomass</x:v>
      </x:c>
      <x:c r="F151" s="83" t="str">
        <x:v>FOM</x:v>
      </x:c>
      <x:c r="G151" s="279" t="n">
        <x:v>4.5269</x:v>
      </x:c>
      <x:c r="H151" s="83" t="str">
        <x:v>%/year</x:v>
      </x:c>
      <x:c r="I151" s="83" t="str">
        <x:v>2015.0</x:v>
      </x:c>
      <x:c r="J151" s="83" t="str">
        <x:v>DIW DataDoc http://hdl.handle.net/10419/80348</x:v>
      </x:c>
      <x:c r="K151" s="83" t="str">
        <x:v> from old pypsa cost assumptions</x:v>
      </x:c>
      <x:c r="L151" s="83" t="str">
        <x:v>Context / capacity optimisation</x:v>
      </x:c>
      <x:c r="M151" s="83" t="str">
        <x:v>Candidate — do not adopt until CLI version is pinned</x:v>
      </x:c>
      <x:c r="N151" s="120" t="str">
        <x:v>https://raw.githubusercontent.com/PyPSA/technology-data/v0.15.0/outputs/costs_2040.csv</x:v>
      </x:c>
      <x:c r="O151" s="83" t="str">
        <x:v>Values from different releases may use different currency-year and inflation conventions; do not blend releases.</x:v>
      </x:c>
    </x:row>
    <x:row r="152">
      <x:c r="A152" s="83" t="str">
        <x:v>EXT-0148</x:v>
      </x:c>
      <x:c r="B152" s="83" t="str">
        <x:v>PyPSA technology-data</x:v>
      </x:c>
      <x:c r="C152" s="83" t="str">
        <x:v>v0.15.0</x:v>
      </x:c>
      <x:c r="D152" s="83" t="n">
        <x:v>2040</x:v>
      </x:c>
      <x:c r="E152" s="83" t="str">
        <x:v>biomass</x:v>
      </x:c>
      <x:c r="F152" s="83" t="str">
        <x:v>efficiency</x:v>
      </x:c>
      <x:c r="G152" s="279" t="n">
        <x:v>0.468</x:v>
      </x:c>
      <x:c r="H152" s="83" t="str">
        <x:v>per unit</x:v>
      </x:c>
      <x:c r="I152" s="83" t="str">
        <x:v>2015.0</x:v>
      </x:c>
      <x:c r="J152" s="83" t="str">
        <x:v>DIW DataDoc http://hdl.handle.net/10419/80348</x:v>
      </x:c>
      <x:c r="K152" s="83" t="str">
        <x:v> from old pypsa cost assumptions</x:v>
      </x:c>
      <x:c r="L152" s="83" t="str">
        <x:v>Direct candidate</x:v>
      </x:c>
      <x:c r="M152" s="83" t="str">
        <x:v>Candidate — do not adopt until CLI version is pinned</x:v>
      </x:c>
      <x:c r="N152" s="120" t="str">
        <x:v>https://raw.githubusercontent.com/PyPSA/technology-data/v0.15.0/outputs/costs_2040.csv</x:v>
      </x:c>
      <x:c r="O152" s="83" t="str">
        <x:v>Values from different releases may use different currency-year and inflation conventions; do not blend releases.</x:v>
      </x:c>
    </x:row>
    <x:row r="153">
      <x:c r="A153" s="83" t="str">
        <x:v>EXT-0149</x:v>
      </x:c>
      <x:c r="B153" s="83" t="str">
        <x:v>PyPSA technology-data</x:v>
      </x:c>
      <x:c r="C153" s="83" t="str">
        <x:v>v0.15.0</x:v>
      </x:c>
      <x:c r="D153" s="83" t="n">
        <x:v>2040</x:v>
      </x:c>
      <x:c r="E153" s="83" t="str">
        <x:v>biomass</x:v>
      </x:c>
      <x:c r="F153" s="83" t="str">
        <x:v>fuel</x:v>
      </x:c>
      <x:c r="G153" s="279" t="n">
        <x:v>9.3506</x:v>
      </x:c>
      <x:c r="H153" s="83" t="str">
        <x:v>EUR/MWhth</x:v>
      </x:c>
      <x:c r="I153" s="83" t="str">
        <x:v>2025.0</x:v>
      </x:c>
      <x:c r="J153" s="83" t="str">
        <x:v>IEA2011b</x:v>
      </x:c>
      <x:c r="K153" s="83" t="str">
        <x:v> from old pypsa cost assumptions</x:v>
      </x:c>
      <x:c r="L153" s="83" t="str">
        <x:v>Direct candidate</x:v>
      </x:c>
      <x:c r="M153" s="83" t="str">
        <x:v>Candidate — do not adopt until CLI version is pinned</x:v>
      </x:c>
      <x:c r="N153" s="120" t="str">
        <x:v>https://raw.githubusercontent.com/PyPSA/technology-data/v0.15.0/outputs/costs_2040.csv</x:v>
      </x:c>
      <x:c r="O153" s="83" t="str">
        <x:v>Values from different releases may use different currency-year and inflation conventions; do not blend releases.</x:v>
      </x:c>
    </x:row>
    <x:row r="154">
      <x:c r="A154" s="83" t="str">
        <x:v>EXT-0150</x:v>
      </x:c>
      <x:c r="B154" s="83" t="str">
        <x:v>PyPSA technology-data</x:v>
      </x:c>
      <x:c r="C154" s="83" t="str">
        <x:v>v0.15.0</x:v>
      </x:c>
      <x:c r="D154" s="83" t="n">
        <x:v>2040</x:v>
      </x:c>
      <x:c r="E154" s="83" t="str">
        <x:v>biomass</x:v>
      </x:c>
      <x:c r="F154" s="83" t="str">
        <x:v>investment</x:v>
      </x:c>
      <x:c r="G154" s="279" t="n">
        <x:v>2950.7891</x:v>
      </x:c>
      <x:c r="H154" s="83" t="str">
        <x:v>EUR/kWel</x:v>
      </x:c>
      <x:c r="I154" s="83" t="str">
        <x:v>2025.0</x:v>
      </x:c>
      <x:c r="J154" s="83" t="str">
        <x:v>DIW DataDoc http://hdl.handle.net/10419/80348</x:v>
      </x:c>
      <x:c r="K154" s="83" t="str">
        <x:v> from old pypsa cost assumptions</x:v>
      </x:c>
      <x:c r="L154" s="83" t="str">
        <x:v>Context / capacity optimisation</x:v>
      </x:c>
      <x:c r="M154" s="83" t="str">
        <x:v>Candidate — do not adopt until CLI version is pinned</x:v>
      </x:c>
      <x:c r="N154" s="120" t="str">
        <x:v>https://raw.githubusercontent.com/PyPSA/technology-data/v0.15.0/outputs/costs_2040.csv</x:v>
      </x:c>
      <x:c r="O154" s="83" t="str">
        <x:v>Values from different releases may use different currency-year and inflation conventions; do not blend releases.</x:v>
      </x:c>
    </x:row>
    <x:row r="155">
      <x:c r="A155" s="83" t="str">
        <x:v>EXT-0151</x:v>
      </x:c>
      <x:c r="B155" s="83" t="str">
        <x:v>PyPSA technology-data</x:v>
      </x:c>
      <x:c r="C155" s="83" t="str">
        <x:v>v0.15.0</x:v>
      </x:c>
      <x:c r="D155" s="83" t="n">
        <x:v>2040</x:v>
      </x:c>
      <x:c r="E155" s="83" t="str">
        <x:v>biomass</x:v>
      </x:c>
      <x:c r="F155" s="83" t="str">
        <x:v>lifetime</x:v>
      </x:c>
      <x:c r="G155" s="279" t="n">
        <x:v>30</x:v>
      </x:c>
      <x:c r="H155" s="83" t="str">
        <x:v>years</x:v>
      </x:c>
      <x:c r="I155" s="83" t="str">
        <x:v>2015.0</x:v>
      </x:c>
      <x:c r="J155" s="83" t="str">
        <x:v>ECF2010 in DIW DataDoc http://hdl.handle.net/10419/80348</x:v>
      </x:c>
      <x:c r="K155" s="83" t="str">
        <x:v> from old pypsa cost assumptions</x:v>
      </x:c>
      <x:c r="L155" s="83" t="str">
        <x:v>Context / capacity optimisation</x:v>
      </x:c>
      <x:c r="M155" s="83" t="str">
        <x:v>Candidate — do not adopt until CLI version is pinned</x:v>
      </x:c>
      <x:c r="N155" s="120" t="str">
        <x:v>https://raw.githubusercontent.com/PyPSA/technology-data/v0.15.0/outputs/costs_2040.csv</x:v>
      </x:c>
      <x:c r="O155" s="83" t="str">
        <x:v>Values from different releases may use different currency-year and inflation conventions; do not blend releases.</x:v>
      </x:c>
    </x:row>
    <x:row r="156">
      <x:c r="A156" s="83" t="str">
        <x:v>EXT-0152</x:v>
      </x:c>
      <x:c r="B156" s="83" t="str">
        <x:v>PyPSA technology-data</x:v>
      </x:c>
      <x:c r="C156" s="83" t="str">
        <x:v>v0.15.0</x:v>
      </x:c>
      <x:c r="D156" s="83" t="n">
        <x:v>2040</x:v>
      </x:c>
      <x:c r="E156" s="83" t="str">
        <x:v>electrolysis</x:v>
      </x:c>
      <x:c r="F156" s="83" t="str">
        <x:v>FOM</x:v>
      </x:c>
      <x:c r="G156" s="279" t="n">
        <x:v>4</x:v>
      </x:c>
      <x:c r="H156" s="83" t="str">
        <x:v>%/year</x:v>
      </x:c>
      <x:c r="I156" s="83" t="str">
        <x:v>2020.0</x:v>
      </x:c>
      <x:c r="J156" s="83" t="str">
        <x:v>Danish Energy Agency, inputs/data_sheets_for_renewable_fuels.xlsx</x:v>
      </x:c>
      <x:c r="K156" s="83" t="str">
        <x:v>86 AEC 100 MW:  Fixed O&amp;M </x:v>
      </x:c>
      <x:c r="L156" s="83" t="str">
        <x:v>Context / capacity optimisation</x:v>
      </x:c>
      <x:c r="M156" s="83" t="str">
        <x:v>Candidate — do not adopt until CLI version is pinned</x:v>
      </x:c>
      <x:c r="N156" s="120" t="str">
        <x:v>https://raw.githubusercontent.com/PyPSA/technology-data/v0.15.0/outputs/costs_2040.csv</x:v>
      </x:c>
      <x:c r="O156" s="83" t="str">
        <x:v>Values from different releases may use different currency-year and inflation conventions; do not blend releases.</x:v>
      </x:c>
    </x:row>
    <x:row r="157">
      <x:c r="A157" s="83" t="str">
        <x:v>EXT-0153</x:v>
      </x:c>
      <x:c r="B157" s="83" t="str">
        <x:v>PyPSA technology-data</x:v>
      </x:c>
      <x:c r="C157" s="83" t="str">
        <x:v>v0.15.0</x:v>
      </x:c>
      <x:c r="D157" s="83" t="n">
        <x:v>2040</x:v>
      </x:c>
      <x:c r="E157" s="83" t="str">
        <x:v>electrolysis</x:v>
      </x:c>
      <x:c r="F157" s="83" t="str">
        <x:v>efficiency</x:v>
      </x:c>
      <x:c r="G157" s="279" t="n">
        <x:v>0.6532</x:v>
      </x:c>
      <x:c r="H157" s="83" t="str">
        <x:v>per unit</x:v>
      </x:c>
      <x:c r="I157" s="83" t="str">
        <x:v>2020.0</x:v>
      </x:c>
      <x:c r="J157" s="83" t="str">
        <x:v>Danish Energy Agency, inputs/data_sheets_for_renewable_fuels.xlsx</x:v>
      </x:c>
      <x:c r="K157" s="83" t="str">
        <x:v>86 AEC 100 MW:  Hydrogen Output</x:v>
      </x:c>
      <x:c r="L157" s="83" t="str">
        <x:v>Direct candidate</x:v>
      </x:c>
      <x:c r="M157" s="83" t="str">
        <x:v>Candidate — do not adopt until CLI version is pinned</x:v>
      </x:c>
      <x:c r="N157" s="120" t="str">
        <x:v>https://raw.githubusercontent.com/PyPSA/technology-data/v0.15.0/outputs/costs_2040.csv</x:v>
      </x:c>
      <x:c r="O157" s="83" t="str">
        <x:v>Values from different releases may use different currency-year and inflation conventions; do not blend releases.</x:v>
      </x:c>
    </x:row>
    <x:row r="158">
      <x:c r="A158" s="83" t="str">
        <x:v>EXT-0154</x:v>
      </x:c>
      <x:c r="B158" s="83" t="str">
        <x:v>PyPSA technology-data</x:v>
      </x:c>
      <x:c r="C158" s="83" t="str">
        <x:v>v0.15.0</x:v>
      </x:c>
      <x:c r="D158" s="83" t="n">
        <x:v>2040</x:v>
      </x:c>
      <x:c r="E158" s="83" t="str">
        <x:v>electrolysis</x:v>
      </x:c>
      <x:c r="F158" s="83" t="str">
        <x:v>efficiency-heat</x:v>
      </x:c>
      <x:c r="G158" s="279" t="n">
        <x:v>0.1849</x:v>
      </x:c>
      <x:c r="H158" s="83" t="str">
        <x:v>per unit</x:v>
      </x:c>
      <x:c r="I158" s="83" t="str">
        <x:v>2020.0</x:v>
      </x:c>
      <x:c r="J158" s="83" t="str">
        <x:v>Danish Energy Agency, inputs/data_sheets_for_renewable_fuels.xlsx</x:v>
      </x:c>
      <x:c r="K158" s="83" t="str">
        <x:v>86 AEC 100 MW:   - hereof recoverable for district heating</x:v>
      </x:c>
      <x:c r="L158" s="83" t="str">
        <x:v>Context / capacity optimisation</x:v>
      </x:c>
      <x:c r="M158" s="83" t="str">
        <x:v>Candidate — do not adopt until CLI version is pinned</x:v>
      </x:c>
      <x:c r="N158" s="120" t="str">
        <x:v>https://raw.githubusercontent.com/PyPSA/technology-data/v0.15.0/outputs/costs_2040.csv</x:v>
      </x:c>
      <x:c r="O158" s="83" t="str">
        <x:v>Values from different releases may use different currency-year and inflation conventions; do not blend releases.</x:v>
      </x:c>
    </x:row>
    <x:row r="159">
      <x:c r="A159" s="83" t="str">
        <x:v>EXT-0155</x:v>
      </x:c>
      <x:c r="B159" s="83" t="str">
        <x:v>PyPSA technology-data</x:v>
      </x:c>
      <x:c r="C159" s="83" t="str">
        <x:v>v0.15.0</x:v>
      </x:c>
      <x:c r="D159" s="83" t="n">
        <x:v>2040</x:v>
      </x:c>
      <x:c r="E159" s="83" t="str">
        <x:v>electrolysis</x:v>
      </x:c>
      <x:c r="F159" s="83" t="str">
        <x:v>investment</x:v>
      </x:c>
      <x:c r="G159" s="279" t="n">
        <x:v>1508.8015</x:v>
      </x:c>
      <x:c r="H159" s="83" t="str">
        <x:v>EUR/kW_e</x:v>
      </x:c>
      <x:c r="I159" s="83" t="str">
        <x:v>2025.0</x:v>
      </x:c>
      <x:c r="J159" s="83" t="str">
        <x:v>private communications; IEA https://iea.blob.core.windows.net/assets/9e0c82d4-06d2-496b-9542-f184ba803645/TheRoleofE-fuelsinDecarbonisingTransport.pdf</x:v>
      </x:c>
      <x:c r="K159" s="83" t="str"/>
      <x:c r="L159" s="83" t="str">
        <x:v>Context / capacity optimisation</x:v>
      </x:c>
      <x:c r="M159" s="83" t="str">
        <x:v>Candidate — do not adopt until CLI version is pinned</x:v>
      </x:c>
      <x:c r="N159" s="120" t="str">
        <x:v>https://raw.githubusercontent.com/PyPSA/technology-data/v0.15.0/outputs/costs_2040.csv</x:v>
      </x:c>
      <x:c r="O159" s="83" t="str">
        <x:v>Values from different releases may use different currency-year and inflation conventions; do not blend releases.</x:v>
      </x:c>
    </x:row>
    <x:row r="160">
      <x:c r="A160" s="83" t="str">
        <x:v>EXT-0156</x:v>
      </x:c>
      <x:c r="B160" s="83" t="str">
        <x:v>PyPSA technology-data</x:v>
      </x:c>
      <x:c r="C160" s="83" t="str">
        <x:v>v0.15.0</x:v>
      </x:c>
      <x:c r="D160" s="83" t="n">
        <x:v>2040</x:v>
      </x:c>
      <x:c r="E160" s="83" t="str">
        <x:v>electrolysis</x:v>
      </x:c>
      <x:c r="F160" s="83" t="str">
        <x:v>lifetime</x:v>
      </x:c>
      <x:c r="G160" s="279" t="n">
        <x:v>25</x:v>
      </x:c>
      <x:c r="H160" s="83" t="str">
        <x:v>years</x:v>
      </x:c>
      <x:c r="I160" s="83" t="str">
        <x:v>2020.0</x:v>
      </x:c>
      <x:c r="J160" s="83" t="str">
        <x:v>Danish Energy Agency, inputs/data_sheets_for_renewable_fuels.xlsx</x:v>
      </x:c>
      <x:c r="K160" s="83" t="str">
        <x:v>86 AEC 100 MW:  Technical lifetime</x:v>
      </x:c>
      <x:c r="L160" s="83" t="str">
        <x:v>Context / capacity optimisation</x:v>
      </x:c>
      <x:c r="M160" s="83" t="str">
        <x:v>Candidate — do not adopt until CLI version is pinned</x:v>
      </x:c>
      <x:c r="N160" s="120" t="str">
        <x:v>https://raw.githubusercontent.com/PyPSA/technology-data/v0.15.0/outputs/costs_2040.csv</x:v>
      </x:c>
      <x:c r="O160" s="83" t="str">
        <x:v>Values from different releases may use different currency-year and inflation conventions; do not blend releases.</x:v>
      </x:c>
    </x:row>
    <x:row r="161">
      <x:c r="A161" s="83" t="str">
        <x:v>EXT-0157</x:v>
      </x:c>
      <x:c r="B161" s="83" t="str">
        <x:v>PyPSA technology-data</x:v>
      </x:c>
      <x:c r="C161" s="83" t="str">
        <x:v>v0.15.0</x:v>
      </x:c>
      <x:c r="D161" s="83" t="n">
        <x:v>2040</x:v>
      </x:c>
      <x:c r="E161" s="83" t="str">
        <x:v>gas</x:v>
      </x:c>
      <x:c r="F161" s="83" t="str">
        <x:v>CO2 intensity</x:v>
      </x:c>
      <x:c r="G161" s="279" t="n">
        <x:v>0.198</x:v>
      </x:c>
      <x:c r="H161" s="83" t="str">
        <x:v>tCO2/MWh_th</x:v>
      </x:c>
      <x:c r="I161" s="83" t="str"/>
      <x:c r="J161" s="83" t="str">
        <x:v>Stoichiometric calculation with 50 GJ/t CH4</x:v>
      </x:c>
      <x:c r="K161" s="83" t="str"/>
      <x:c r="L161" s="83" t="str">
        <x:v>Direct candidate</x:v>
      </x:c>
      <x:c r="M161" s="83" t="str">
        <x:v>Candidate — do not adopt until CLI version is pinned</x:v>
      </x:c>
      <x:c r="N161" s="120" t="str">
        <x:v>https://raw.githubusercontent.com/PyPSA/technology-data/v0.15.0/outputs/costs_2040.csv</x:v>
      </x:c>
      <x:c r="O161" s="83" t="str">
        <x:v>Values from different releases may use different currency-year and inflation conventions; do not blend releases.</x:v>
      </x:c>
    </x:row>
    <x:row r="162">
      <x:c r="A162" s="83" t="str">
        <x:v>EXT-0158</x:v>
      </x:c>
      <x:c r="B162" s="83" t="str">
        <x:v>PyPSA technology-data</x:v>
      </x:c>
      <x:c r="C162" s="83" t="str">
        <x:v>v0.15.0</x:v>
      </x:c>
      <x:c r="D162" s="83" t="n">
        <x:v>2040</x:v>
      </x:c>
      <x:c r="E162" s="83" t="str">
        <x:v>gas</x:v>
      </x:c>
      <x:c r="F162" s="83" t="str">
        <x:v>fuel</x:v>
      </x:c>
      <x:c r="G162" s="279" t="n">
        <x:v>25.5868</x:v>
      </x:c>
      <x:c r="H162" s="83" t="str">
        <x:v>EUR/MWh_th</x:v>
      </x:c>
      <x:c r="I162" s="83" t="str">
        <x:v>2025.0</x:v>
      </x:c>
      <x:c r="J162" s="83" t="str">
        <x:v>World Bank (2025) Commodity Markets, https://www.worldbank.org/en/research/commodity-markets; and ENTSO-E &amp; ENTSOG TYNDP 2024 Scenarios Inputs Commodity Prices, https://2024-data.entsos-tyndp-scenarios.eu/files/scenarios-inputs/Prices.zip, accessed: 2026-02-03.</x:v>
      </x:c>
      <x:c r="K162" s="83" t="str">
        <x:v>average monthly prices, 1 MWh = 3.412142 MMBTU, 0.85 USD/EUR; and average monthly prices, 1 MWh = 3.412142 MMBTU, 0.836 USD/EUR; and Based on IEA 2022 (APS) data, 3.6 GJ/MWh</x:v>
      </x:c>
      <x:c r="L162" s="83" t="str">
        <x:v>Direct candidate</x:v>
      </x:c>
      <x:c r="M162" s="83" t="str">
        <x:v>Candidate — do not adopt until CLI version is pinned</x:v>
      </x:c>
      <x:c r="N162" s="120" t="str">
        <x:v>https://raw.githubusercontent.com/PyPSA/technology-data/v0.15.0/outputs/costs_2040.csv</x:v>
      </x:c>
      <x:c r="O162" s="83" t="str">
        <x:v>Values from different releases may use different currency-year and inflation conventions; do not blend releases.</x:v>
      </x:c>
    </x:row>
    <x:row r="163">
      <x:c r="A163" s="83" t="str">
        <x:v>EXT-0159</x:v>
      </x:c>
      <x:c r="B163" s="83" t="str">
        <x:v>PyPSA technology-data</x:v>
      </x:c>
      <x:c r="C163" s="83" t="str">
        <x:v>v0.15.0</x:v>
      </x:c>
      <x:c r="D163" s="83" t="n">
        <x:v>2040</x:v>
      </x:c>
      <x:c r="E163" s="83" t="str">
        <x:v>geothermal</x:v>
      </x:c>
      <x:c r="F163" s="83" t="str">
        <x:v>CO2 intensity</x:v>
      </x:c>
      <x:c r="G163" s="279" t="n">
        <x:v>0.12</x:v>
      </x:c>
      <x:c r="H163" s="83" t="str">
        <x:v>tCO2/MWh_th</x:v>
      </x:c>
      <x:c r="I163" s="83" t="str">
        <x:v>2020.0</x:v>
      </x:c>
      <x:c r="J163" s="83" t="str">
        <x:v>Aghahosseini, Breyer 2020: From hot rock to useful energy: A global estimate of enhanced geothermal systems potential, https://www.sciencedirect.com/science/article/pii/S0306261920312551</x:v>
      </x:c>
      <x:c r="K163" s="83" t="str">
        <x:v>Likely to be improved; Average of 85 percent of global egs power plant capacity; Result of fluid circulation through rock formations</x:v>
      </x:c>
      <x:c r="L163" s="83" t="str">
        <x:v>Direct candidate</x:v>
      </x:c>
      <x:c r="M163" s="83" t="str">
        <x:v>Candidate — do not adopt until CLI version is pinned</x:v>
      </x:c>
      <x:c r="N163" s="120" t="str">
        <x:v>https://raw.githubusercontent.com/PyPSA/technology-data/v0.15.0/outputs/costs_2040.csv</x:v>
      </x:c>
      <x:c r="O163" s="83" t="str">
        <x:v>Values from different releases may use different currency-year and inflation conventions; do not blend releases.</x:v>
      </x:c>
    </x:row>
    <x:row r="164">
      <x:c r="A164" s="83" t="str">
        <x:v>EXT-0160</x:v>
      </x:c>
      <x:c r="B164" s="83" t="str">
        <x:v>PyPSA technology-data</x:v>
      </x:c>
      <x:c r="C164" s="83" t="str">
        <x:v>v0.15.0</x:v>
      </x:c>
      <x:c r="D164" s="83" t="n">
        <x:v>2040</x:v>
      </x:c>
      <x:c r="E164" s="83" t="str">
        <x:v>geothermal</x:v>
      </x:c>
      <x:c r="F164" s="83" t="str">
        <x:v>FOM</x:v>
      </x:c>
      <x:c r="G164" s="279" t="n">
        <x:v>2</x:v>
      </x:c>
      <x:c r="H164" s="83" t="str">
        <x:v>%/year</x:v>
      </x:c>
      <x:c r="I164" s="83" t="str">
        <x:v>2020.0</x:v>
      </x:c>
      <x:c r="J164" s="83" t="str">
        <x:v>Aghahosseini, Breyer 2020: From hot rock to useful energy: A global estimate of enhanced geothermal systems potential, https://www.sciencedirect.com/science/article/pii/S0306261920312551</x:v>
      </x:c>
      <x:c r="K164" s="83" t="str">
        <x:v>See Supplemental Material of source for details</x:v>
      </x:c>
      <x:c r="L164" s="83" t="str">
        <x:v>Context / capacity optimisation</x:v>
      </x:c>
      <x:c r="M164" s="83" t="str">
        <x:v>Candidate — do not adopt until CLI version is pinned</x:v>
      </x:c>
      <x:c r="N164" s="120" t="str">
        <x:v>https://raw.githubusercontent.com/PyPSA/technology-data/v0.15.0/outputs/costs_2040.csv</x:v>
      </x:c>
      <x:c r="O164" s="83" t="str">
        <x:v>Values from different releases may use different currency-year and inflation conventions; do not blend releases.</x:v>
      </x:c>
    </x:row>
    <x:row r="165">
      <x:c r="A165" s="83" t="str">
        <x:v>EXT-0161</x:v>
      </x:c>
      <x:c r="B165" s="83" t="str">
        <x:v>PyPSA technology-data</x:v>
      </x:c>
      <x:c r="C165" s="83" t="str">
        <x:v>v0.15.0</x:v>
      </x:c>
      <x:c r="D165" s="83" t="n">
        <x:v>2040</x:v>
      </x:c>
      <x:c r="E165" s="83" t="str">
        <x:v>geothermal</x:v>
      </x:c>
      <x:c r="F165" s="83" t="str">
        <x:v>lifetime</x:v>
      </x:c>
      <x:c r="G165" s="279" t="n">
        <x:v>30</x:v>
      </x:c>
      <x:c r="H165" s="83" t="str">
        <x:v>years</x:v>
      </x:c>
      <x:c r="I165" s="83" t="str">
        <x:v>2020.0</x:v>
      </x:c>
      <x:c r="J165" s="83" t="str">
        <x:v>Aghahosseini, Breyer 2020: From hot rock to useful energy: A global estimate of enhanced geothermal systems potential, https://www.sciencedirect.com/science/article/pii/S0306261920312551</x:v>
      </x:c>
      <x:c r="K165" s="83" t="str"/>
      <x:c r="L165" s="83" t="str">
        <x:v>Context / capacity optimisation</x:v>
      </x:c>
      <x:c r="M165" s="83" t="str">
        <x:v>Candidate — do not adopt until CLI version is pinned</x:v>
      </x:c>
      <x:c r="N165" s="120" t="str">
        <x:v>https://raw.githubusercontent.com/PyPSA/technology-data/v0.15.0/outputs/costs_2040.csv</x:v>
      </x:c>
      <x:c r="O165" s="83" t="str">
        <x:v>Values from different releases may use different currency-year and inflation conventions; do not blend releases.</x:v>
      </x:c>
    </x:row>
    <x:row r="166">
      <x:c r="A166" s="83" t="str">
        <x:v>EXT-0162</x:v>
      </x:c>
      <x:c r="B166" s="83" t="str">
        <x:v>PyPSA technology-data</x:v>
      </x:c>
      <x:c r="C166" s="83" t="str">
        <x:v>v0.15.0</x:v>
      </x:c>
      <x:c r="D166" s="83" t="n">
        <x:v>2040</x:v>
      </x:c>
      <x:c r="E166" s="83" t="str">
        <x:v>hydro</x:v>
      </x:c>
      <x:c r="F166" s="83" t="str">
        <x:v>FOM</x:v>
      </x:c>
      <x:c r="G166" s="279" t="n">
        <x:v>1</x:v>
      </x:c>
      <x:c r="H166" s="83" t="str">
        <x:v>%/year</x:v>
      </x:c>
      <x:c r="I166" s="83" t="str">
        <x:v>2015.0</x:v>
      </x:c>
      <x:c r="J166" s="83" t="str">
        <x:v>DIW DataDoc http://hdl.handle.net/10419/80348</x:v>
      </x:c>
      <x:c r="K166" s="83" t="str">
        <x:v> from old pypsa cost assumptions</x:v>
      </x:c>
      <x:c r="L166" s="83" t="str">
        <x:v>Context / capacity optimisation</x:v>
      </x:c>
      <x:c r="M166" s="83" t="str">
        <x:v>Candidate — do not adopt until CLI version is pinned</x:v>
      </x:c>
      <x:c r="N166" s="120" t="str">
        <x:v>https://raw.githubusercontent.com/PyPSA/technology-data/v0.15.0/outputs/costs_2040.csv</x:v>
      </x:c>
      <x:c r="O166" s="83" t="str">
        <x:v>Values from different releases may use different currency-year and inflation conventions; do not blend releases.</x:v>
      </x:c>
    </x:row>
    <x:row r="167">
      <x:c r="A167" s="83" t="str">
        <x:v>EXT-0163</x:v>
      </x:c>
      <x:c r="B167" s="83" t="str">
        <x:v>PyPSA technology-data</x:v>
      </x:c>
      <x:c r="C167" s="83" t="str">
        <x:v>v0.15.0</x:v>
      </x:c>
      <x:c r="D167" s="83" t="n">
        <x:v>2040</x:v>
      </x:c>
      <x:c r="E167" s="83" t="str">
        <x:v>hydro</x:v>
      </x:c>
      <x:c r="F167" s="83" t="str">
        <x:v>efficiency</x:v>
      </x:c>
      <x:c r="G167" s="279" t="n">
        <x:v>0.9</x:v>
      </x:c>
      <x:c r="H167" s="83" t="str">
        <x:v>per unit</x:v>
      </x:c>
      <x:c r="I167" s="83" t="str">
        <x:v>2015.0</x:v>
      </x:c>
      <x:c r="J167" s="83" t="str">
        <x:v>DIW DataDoc http://hdl.handle.net/10419/80348</x:v>
      </x:c>
      <x:c r="K167" s="83" t="str">
        <x:v> from old pypsa cost assumptions</x:v>
      </x:c>
      <x:c r="L167" s="83" t="str">
        <x:v>Direct candidate</x:v>
      </x:c>
      <x:c r="M167" s="83" t="str">
        <x:v>Candidate — do not adopt until CLI version is pinned</x:v>
      </x:c>
      <x:c r="N167" s="120" t="str">
        <x:v>https://raw.githubusercontent.com/PyPSA/technology-data/v0.15.0/outputs/costs_2040.csv</x:v>
      </x:c>
      <x:c r="O167" s="83" t="str">
        <x:v>Values from different releases may use different currency-year and inflation conventions; do not blend releases.</x:v>
      </x:c>
    </x:row>
    <x:row r="168">
      <x:c r="A168" s="83" t="str">
        <x:v>EXT-0164</x:v>
      </x:c>
      <x:c r="B168" s="83" t="str">
        <x:v>PyPSA technology-data</x:v>
      </x:c>
      <x:c r="C168" s="83" t="str">
        <x:v>v0.15.0</x:v>
      </x:c>
      <x:c r="D168" s="83" t="n">
        <x:v>2040</x:v>
      </x:c>
      <x:c r="E168" s="83" t="str">
        <x:v>hydro</x:v>
      </x:c>
      <x:c r="F168" s="83" t="str">
        <x:v>investment</x:v>
      </x:c>
      <x:c r="G168" s="279" t="n">
        <x:v>2888.5279</x:v>
      </x:c>
      <x:c r="H168" s="83" t="str">
        <x:v>EUR/kWel</x:v>
      </x:c>
      <x:c r="I168" s="83" t="str">
        <x:v>2025.0</x:v>
      </x:c>
      <x:c r="J168" s="83" t="str">
        <x:v>DIW DataDoc http://hdl.handle.net/10419/80348</x:v>
      </x:c>
      <x:c r="K168" s="83" t="str">
        <x:v> from old pypsa cost assumptions</x:v>
      </x:c>
      <x:c r="L168" s="83" t="str">
        <x:v>Context / capacity optimisation</x:v>
      </x:c>
      <x:c r="M168" s="83" t="str">
        <x:v>Candidate — do not adopt until CLI version is pinned</x:v>
      </x:c>
      <x:c r="N168" s="120" t="str">
        <x:v>https://raw.githubusercontent.com/PyPSA/technology-data/v0.15.0/outputs/costs_2040.csv</x:v>
      </x:c>
      <x:c r="O168" s="83" t="str">
        <x:v>Values from different releases may use different currency-year and inflation conventions; do not blend releases.</x:v>
      </x:c>
    </x:row>
    <x:row r="169">
      <x:c r="A169" s="83" t="str">
        <x:v>EXT-0165</x:v>
      </x:c>
      <x:c r="B169" s="83" t="str">
        <x:v>PyPSA technology-data</x:v>
      </x:c>
      <x:c r="C169" s="83" t="str">
        <x:v>v0.15.0</x:v>
      </x:c>
      <x:c r="D169" s="83" t="n">
        <x:v>2040</x:v>
      </x:c>
      <x:c r="E169" s="83" t="str">
        <x:v>hydro</x:v>
      </x:c>
      <x:c r="F169" s="83" t="str">
        <x:v>lifetime</x:v>
      </x:c>
      <x:c r="G169" s="279" t="n">
        <x:v>80</x:v>
      </x:c>
      <x:c r="H169" s="83" t="str">
        <x:v>years</x:v>
      </x:c>
      <x:c r="I169" s="83" t="str">
        <x:v>2015.0</x:v>
      </x:c>
      <x:c r="J169" s="83" t="str">
        <x:v>IEA2010</x:v>
      </x:c>
      <x:c r="K169" s="83" t="str">
        <x:v> from old pypsa cost assumptions</x:v>
      </x:c>
      <x:c r="L169" s="83" t="str">
        <x:v>Context / capacity optimisation</x:v>
      </x:c>
      <x:c r="M169" s="83" t="str">
        <x:v>Candidate — do not adopt until CLI version is pinned</x:v>
      </x:c>
      <x:c r="N169" s="120" t="str">
        <x:v>https://raw.githubusercontent.com/PyPSA/technology-data/v0.15.0/outputs/costs_2040.csv</x:v>
      </x:c>
      <x:c r="O169" s="83" t="str">
        <x:v>Values from different releases may use different currency-year and inflation conventions; do not blend releases.</x:v>
      </x:c>
    </x:row>
    <x:row r="170">
      <x:c r="A170" s="83" t="str">
        <x:v>EXT-0166</x:v>
      </x:c>
      <x:c r="B170" s="83" t="str">
        <x:v>PyPSA technology-data</x:v>
      </x:c>
      <x:c r="C170" s="83" t="str">
        <x:v>v0.15.0</x:v>
      </x:c>
      <x:c r="D170" s="83" t="n">
        <x:v>2040</x:v>
      </x:c>
      <x:c r="E170" s="83" t="str">
        <x:v>nuclear</x:v>
      </x:c>
      <x:c r="F170" s="83" t="str">
        <x:v>FOM</x:v>
      </x:c>
      <x:c r="G170" s="279" t="n">
        <x:v>1.27</x:v>
      </x:c>
      <x:c r="H170" s="83" t="str">
        <x:v>%/year</x:v>
      </x:c>
      <x:c r="I170" s="83" t="str">
        <x:v>2023.0</x:v>
      </x:c>
      <x:c r="J170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0" s="83" t="str">
        <x:v>U.S. specific costs including newly commissioned Vogtle plant, average of range and currency converted, i.e. (131.5+152.75)/2 USD/kW_e / (1.09 USD/EUR) relative to investment costs.</x:v>
      </x:c>
      <x:c r="L170" s="83" t="str">
        <x:v>Context / capacity optimisation</x:v>
      </x:c>
      <x:c r="M170" s="83" t="str">
        <x:v>Candidate — do not adopt until CLI version is pinned</x:v>
      </x:c>
      <x:c r="N170" s="120" t="str">
        <x:v>https://raw.githubusercontent.com/PyPSA/technology-data/v0.15.0/outputs/costs_2040.csv</x:v>
      </x:c>
      <x:c r="O170" s="83" t="str">
        <x:v>Values from different releases may use different currency-year and inflation conventions; do not blend releases.</x:v>
      </x:c>
    </x:row>
    <x:row r="171">
      <x:c r="A171" s="83" t="str">
        <x:v>EXT-0167</x:v>
      </x:c>
      <x:c r="B171" s="83" t="str">
        <x:v>PyPSA technology-data</x:v>
      </x:c>
      <x:c r="C171" s="83" t="str">
        <x:v>v0.15.0</x:v>
      </x:c>
      <x:c r="D171" s="83" t="n">
        <x:v>2040</x:v>
      </x:c>
      <x:c r="E171" s="83" t="str">
        <x:v>nuclear</x:v>
      </x:c>
      <x:c r="F171" s="83" t="str">
        <x:v>VOM</x:v>
      </x:c>
      <x:c r="G171" s="279" t="n">
        <x:v>4.459</x:v>
      </x:c>
      <x:c r="H171" s="83" t="str">
        <x:v>EUR/MWh_e</x:v>
      </x:c>
      <x:c r="I171" s="83" t="str">
        <x:v>2025.0</x:v>
      </x:c>
      <x:c r="J171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1" s="83" t="str">
        <x:v>U.S. specific costs including newly commissioned Vogtle plant, average of range and currency converted, i.e. (4.25+5)/2 USD/kW_e / (1.09 USD/EUR) .</x:v>
      </x:c>
      <x:c r="L171" s="83" t="str">
        <x:v>Direct candidate</x:v>
      </x:c>
      <x:c r="M171" s="83" t="str">
        <x:v>Candidate — do not adopt until CLI version is pinned</x:v>
      </x:c>
      <x:c r="N171" s="120" t="str">
        <x:v>https://raw.githubusercontent.com/PyPSA/technology-data/v0.15.0/outputs/costs_2040.csv</x:v>
      </x:c>
      <x:c r="O171" s="83" t="str">
        <x:v>Values from different releases may use different currency-year and inflation conventions; do not blend releases.</x:v>
      </x:c>
    </x:row>
    <x:row r="172">
      <x:c r="A172" s="83" t="str">
        <x:v>EXT-0168</x:v>
      </x:c>
      <x:c r="B172" s="83" t="str">
        <x:v>PyPSA technology-data</x:v>
      </x:c>
      <x:c r="C172" s="83" t="str">
        <x:v>v0.15.0</x:v>
      </x:c>
      <x:c r="D172" s="83" t="n">
        <x:v>2040</x:v>
      </x:c>
      <x:c r="E172" s="83" t="str">
        <x:v>nuclear</x:v>
      </x:c>
      <x:c r="F172" s="83" t="str">
        <x:v>efficiency</x:v>
      </x:c>
      <x:c r="G172" s="279" t="n">
        <x:v>0.326</x:v>
      </x:c>
      <x:c r="H172" s="83" t="str">
        <x:v>p.u.</x:v>
      </x:c>
      <x:c r="I172" s="83" t="str">
        <x:v>2023.0</x:v>
      </x:c>
      <x:c r="J172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2" s="83" t="str">
        <x:v>Based on heat rate of 10.45 MMBtu/MWh_e and 3.4095 MMBtu/MWh_th, i.e. 1/(10.45/3.4095) = 0.3260.</x:v>
      </x:c>
      <x:c r="L172" s="83" t="str">
        <x:v>Direct candidate</x:v>
      </x:c>
      <x:c r="M172" s="83" t="str">
        <x:v>Candidate — do not adopt until CLI version is pinned</x:v>
      </x:c>
      <x:c r="N172" s="120" t="str">
        <x:v>https://raw.githubusercontent.com/PyPSA/technology-data/v0.15.0/outputs/costs_2040.csv</x:v>
      </x:c>
      <x:c r="O172" s="83" t="str">
        <x:v>Values from different releases may use different currency-year and inflation conventions; do not blend releases.</x:v>
      </x:c>
    </x:row>
    <x:row r="173">
      <x:c r="A173" s="83" t="str">
        <x:v>EXT-0169</x:v>
      </x:c>
      <x:c r="B173" s="83" t="str">
        <x:v>PyPSA technology-data</x:v>
      </x:c>
      <x:c r="C173" s="83" t="str">
        <x:v>v0.15.0</x:v>
      </x:c>
      <x:c r="D173" s="83" t="n">
        <x:v>2040</x:v>
      </x:c>
      <x:c r="E173" s="83" t="str">
        <x:v>nuclear</x:v>
      </x:c>
      <x:c r="F173" s="83" t="str">
        <x:v>fuel</x:v>
      </x:c>
      <x:c r="G173" s="279" t="n">
        <x:v>7.4536</x:v>
      </x:c>
      <x:c r="H173" s="83" t="str">
        <x:v>EUR/MWh_th</x:v>
      </x:c>
      <x:c r="I173" s="83" t="str">
        <x:v>2025.0</x:v>
      </x:c>
      <x:c r="J173" s="83" t="str">
        <x:v>ENTSO-E &amp; ENTSOG TYNDP 2024 Scenarios Inputs Commodity Prices, https://2024-data.entsos-tyndp-scenarios.eu/files/scenarios-inputs/Prices.zip, accessed: 2026-02-03.</x:v>
      </x:c>
      <x:c r="K173" s="83" t="str">
        <x:v>Based on EIA (2022) data, 3.6 GJ/MWh.</x:v>
      </x:c>
      <x:c r="L173" s="83" t="str">
        <x:v>Direct candidate</x:v>
      </x:c>
      <x:c r="M173" s="83" t="str">
        <x:v>Candidate — do not adopt until CLI version is pinned</x:v>
      </x:c>
      <x:c r="N173" s="120" t="str">
        <x:v>https://raw.githubusercontent.com/PyPSA/technology-data/v0.15.0/outputs/costs_2040.csv</x:v>
      </x:c>
      <x:c r="O173" s="83" t="str">
        <x:v>Values from different releases may use different currency-year and inflation conventions; do not blend releases.</x:v>
      </x:c>
    </x:row>
    <x:row r="174">
      <x:c r="A174" s="83" t="str">
        <x:v>EXT-0170</x:v>
      </x:c>
      <x:c r="B174" s="83" t="str">
        <x:v>PyPSA technology-data</x:v>
      </x:c>
      <x:c r="C174" s="83" t="str">
        <x:v>v0.15.0</x:v>
      </x:c>
      <x:c r="D174" s="83" t="n">
        <x:v>2040</x:v>
      </x:c>
      <x:c r="E174" s="83" t="str">
        <x:v>nuclear</x:v>
      </x:c>
      <x:c r="F174" s="83" t="str">
        <x:v>investment</x:v>
      </x:c>
      <x:c r="G174" s="279" t="n">
        <x:v>10805.7038</x:v>
      </x:c>
      <x:c r="H174" s="83" t="str">
        <x:v>EUR/kW_e</x:v>
      </x:c>
      <x:c r="I174" s="83" t="str">
        <x:v>2025.0</x:v>
      </x:c>
      <x:c r="J174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4" s="83" t="str">
        <x:v>U.S. specific costs including newly commissioned Vogtle plant, average of range and currency converted, i.e. (8475+13925)/2 USD/kW_e / (1.09 USD/EUR) .</x:v>
      </x:c>
      <x:c r="L174" s="83" t="str">
        <x:v>Context / capacity optimisation</x:v>
      </x:c>
      <x:c r="M174" s="83" t="str">
        <x:v>Candidate — do not adopt until CLI version is pinned</x:v>
      </x:c>
      <x:c r="N174" s="120" t="str">
        <x:v>https://raw.githubusercontent.com/PyPSA/technology-data/v0.15.0/outputs/costs_2040.csv</x:v>
      </x:c>
      <x:c r="O174" s="83" t="str">
        <x:v>Values from different releases may use different currency-year and inflation conventions; do not blend releases.</x:v>
      </x:c>
    </x:row>
    <x:row r="175">
      <x:c r="A175" s="83" t="str">
        <x:v>EXT-0171</x:v>
      </x:c>
      <x:c r="B175" s="83" t="str">
        <x:v>PyPSA technology-data</x:v>
      </x:c>
      <x:c r="C175" s="83" t="str">
        <x:v>v0.15.0</x:v>
      </x:c>
      <x:c r="D175" s="83" t="n">
        <x:v>2040</x:v>
      </x:c>
      <x:c r="E175" s="83" t="str">
        <x:v>nuclear</x:v>
      </x:c>
      <x:c r="F175" s="83" t="str">
        <x:v>lifetime</x:v>
      </x:c>
      <x:c r="G175" s="279" t="n">
        <x:v>40</x:v>
      </x:c>
      <x:c r="H175" s="83" t="str">
        <x:v>years</x:v>
      </x:c>
      <x:c r="I175" s="83" t="str">
        <x:v>2023.0</x:v>
      </x:c>
      <x:c r="J175" s="83" t="str">
        <x:v>Lazard's levelized cost of energy analysis - version 16.0 (2023): https://www.lazard.com/media/typdgxmm/lazards-lcoeplus-april-2023.pdf , pg. 49 (Levelized Cost of Energy - Key Assumptions), accessed: 2023-12-14.</x:v>
      </x:c>
      <x:c r="K175" s="83" t="str"/>
      <x:c r="L175" s="83" t="str">
        <x:v>Context / capacity optimisation</x:v>
      </x:c>
      <x:c r="M175" s="83" t="str">
        <x:v>Candidate — do not adopt until CLI version is pinned</x:v>
      </x:c>
      <x:c r="N175" s="120" t="str">
        <x:v>https://raw.githubusercontent.com/PyPSA/technology-data/v0.15.0/outputs/costs_2040.csv</x:v>
      </x:c>
      <x:c r="O175" s="83" t="str">
        <x:v>Values from different releases may use different currency-year and inflation conventions; do not blend releases.</x:v>
      </x:c>
    </x:row>
    <x:row r="176">
      <x:c r="A176" s="83" t="str">
        <x:v>EXT-0172</x:v>
      </x:c>
      <x:c r="B176" s="83" t="str">
        <x:v>PyPSA technology-data</x:v>
      </x:c>
      <x:c r="C176" s="83" t="str">
        <x:v>v0.15.0</x:v>
      </x:c>
      <x:c r="D176" s="83" t="n">
        <x:v>2040</x:v>
      </x:c>
      <x:c r="E176" s="83" t="str">
        <x:v>offwind</x:v>
      </x:c>
      <x:c r="F176" s="83" t="str">
        <x:v>FOM</x:v>
      </x:c>
      <x:c r="G176" s="279" t="n">
        <x:v>2.1762</x:v>
      </x:c>
      <x:c r="H176" s="83" t="str">
        <x:v>%/year</x:v>
      </x:c>
      <x:c r="I176" s="83" t="str">
        <x:v>2020.0</x:v>
      </x:c>
      <x:c r="J176" s="83" t="str">
        <x:v>Danish Energy Agency, inputs/technology_data_for_el_and_dh.xlsx</x:v>
      </x:c>
      <x:c r="K176" s="83" t="str">
        <x:v>21 Offshore turbines:  Fixed O&amp;M [EUR/MW_e/y, 2020]</x:v>
      </x:c>
      <x:c r="L176" s="83" t="str">
        <x:v>Context / capacity optimisation</x:v>
      </x:c>
      <x:c r="M176" s="83" t="str">
        <x:v>Candidate — do not adopt until CLI version is pinned</x:v>
      </x:c>
      <x:c r="N176" s="120" t="str">
        <x:v>https://raw.githubusercontent.com/PyPSA/technology-data/v0.15.0/outputs/costs_2040.csv</x:v>
      </x:c>
      <x:c r="O176" s="83" t="str">
        <x:v>Values from different releases may use different currency-year and inflation conventions; do not blend releases.</x:v>
      </x:c>
    </x:row>
    <x:row r="177">
      <x:c r="A177" s="83" t="str">
        <x:v>EXT-0173</x:v>
      </x:c>
      <x:c r="B177" s="83" t="str">
        <x:v>PyPSA technology-data</x:v>
      </x:c>
      <x:c r="C177" s="83" t="str">
        <x:v>v0.15.0</x:v>
      </x:c>
      <x:c r="D177" s="83" t="n">
        <x:v>2040</x:v>
      </x:c>
      <x:c r="E177" s="83" t="str">
        <x:v>offwind</x:v>
      </x:c>
      <x:c r="F177" s="83" t="str">
        <x:v>VOM</x:v>
      </x:c>
      <x:c r="G177" s="279" t="n">
        <x:v>0.0267</x:v>
      </x:c>
      <x:c r="H177" s="83" t="str">
        <x:v>EUR/MWhel</x:v>
      </x:c>
      <x:c r="I177" s="83" t="str">
        <x:v>2025.0</x:v>
      </x:c>
      <x:c r="J177" s="83" t="str">
        <x:v>RES costs made up to fix curtailment order</x:v>
      </x:c>
      <x:c r="K177" s="83" t="str">
        <x:v> from old pypsa cost assumptions</x:v>
      </x:c>
      <x:c r="L177" s="83" t="str">
        <x:v>Direct candidate</x:v>
      </x:c>
      <x:c r="M177" s="83" t="str">
        <x:v>Candidate — do not adopt until CLI version is pinned</x:v>
      </x:c>
      <x:c r="N177" s="120" t="str">
        <x:v>https://raw.githubusercontent.com/PyPSA/technology-data/v0.15.0/outputs/costs_2040.csv</x:v>
      </x:c>
      <x:c r="O177" s="83" t="str">
        <x:v>Values from different releases may use different currency-year and inflation conventions; do not blend releases.</x:v>
      </x:c>
    </x:row>
    <x:row r="178">
      <x:c r="A178" s="83" t="str">
        <x:v>EXT-0174</x:v>
      </x:c>
      <x:c r="B178" s="83" t="str">
        <x:v>PyPSA technology-data</x:v>
      </x:c>
      <x:c r="C178" s="83" t="str">
        <x:v>v0.15.0</x:v>
      </x:c>
      <x:c r="D178" s="83" t="n">
        <x:v>2040</x:v>
      </x:c>
      <x:c r="E178" s="83" t="str">
        <x:v>offwind</x:v>
      </x:c>
      <x:c r="F178" s="83" t="str">
        <x:v>investment</x:v>
      </x:c>
      <x:c r="G178" s="279" t="n">
        <x:v>1964.4169</x:v>
      </x:c>
      <x:c r="H178" s="83" t="str">
        <x:v>EUR/kW_e, 2020</x:v>
      </x:c>
      <x:c r="I178" s="83" t="str">
        <x:v>2025.0</x:v>
      </x:c>
      <x:c r="J178" s="83" t="str">
        <x:v>Danish Energy Agency, inputs/technology_data_for_el_and_dh.xlsx</x:v>
      </x:c>
      <x:c r="K178" s="83" t="str">
        <x:v>21 Offshore turbines:  Nominal investment [MEUR/MW_e, 2020] grid connection costs subtracted from investment costs</x:v>
      </x:c>
      <x:c r="L178" s="83" t="str">
        <x:v>Context / capacity optimisation</x:v>
      </x:c>
      <x:c r="M178" s="83" t="str">
        <x:v>Candidate — do not adopt until CLI version is pinned</x:v>
      </x:c>
      <x:c r="N178" s="120" t="str">
        <x:v>https://raw.githubusercontent.com/PyPSA/technology-data/v0.15.0/outputs/costs_2040.csv</x:v>
      </x:c>
      <x:c r="O178" s="83" t="str">
        <x:v>Values from different releases may use different currency-year and inflation conventions; do not blend releases.</x:v>
      </x:c>
    </x:row>
    <x:row r="179">
      <x:c r="A179" s="83" t="str">
        <x:v>EXT-0175</x:v>
      </x:c>
      <x:c r="B179" s="83" t="str">
        <x:v>PyPSA technology-data</x:v>
      </x:c>
      <x:c r="C179" s="83" t="str">
        <x:v>v0.15.0</x:v>
      </x:c>
      <x:c r="D179" s="83" t="n">
        <x:v>2040</x:v>
      </x:c>
      <x:c r="E179" s="83" t="str">
        <x:v>offwind</x:v>
      </x:c>
      <x:c r="F179" s="83" t="str">
        <x:v>lifetime</x:v>
      </x:c>
      <x:c r="G179" s="279" t="n">
        <x:v>30</x:v>
      </x:c>
      <x:c r="H179" s="83" t="str">
        <x:v>years</x:v>
      </x:c>
      <x:c r="I179" s="83" t="str">
        <x:v>2020.0</x:v>
      </x:c>
      <x:c r="J179" s="83" t="str">
        <x:v>Danish Energy Agency, inputs/technology_data_for_el_and_dh.xlsx</x:v>
      </x:c>
      <x:c r="K179" s="83" t="str">
        <x:v>21 Offshore turbines:  Technical lifetime [years]</x:v>
      </x:c>
      <x:c r="L179" s="83" t="str">
        <x:v>Context / capacity optimisation</x:v>
      </x:c>
      <x:c r="M179" s="83" t="str">
        <x:v>Candidate — do not adopt until CLI version is pinned</x:v>
      </x:c>
      <x:c r="N179" s="120" t="str">
        <x:v>https://raw.githubusercontent.com/PyPSA/technology-data/v0.15.0/outputs/costs_2040.csv</x:v>
      </x:c>
      <x:c r="O179" s="83" t="str">
        <x:v>Values from different releases may use different currency-year and inflation conventions; do not blend releases.</x:v>
      </x:c>
    </x:row>
    <x:row r="180">
      <x:c r="A180" s="83" t="str">
        <x:v>EXT-0176</x:v>
      </x:c>
      <x:c r="B180" s="83" t="str">
        <x:v>PyPSA technology-data</x:v>
      </x:c>
      <x:c r="C180" s="83" t="str">
        <x:v>v0.15.0</x:v>
      </x:c>
      <x:c r="D180" s="83" t="n">
        <x:v>2040</x:v>
      </x:c>
      <x:c r="E180" s="83" t="str">
        <x:v>offwind-float</x:v>
      </x:c>
      <x:c r="F180" s="83" t="str">
        <x:v>FOM</x:v>
      </x:c>
      <x:c r="G180" s="279" t="n">
        <x:v>1.22</x:v>
      </x:c>
      <x:c r="H180" s="83" t="str">
        <x:v>%/year</x:v>
      </x:c>
      <x:c r="I180" s="83" t="str">
        <x:v>2020.0</x:v>
      </x:c>
      <x:c r="J180" s="83" t="str">
        <x:v>https://doi.org/10.1016/j.adapen.2021.100067</x:v>
      </x:c>
      <x:c r="K180" s="83" t="str"/>
      <x:c r="L180" s="83" t="str">
        <x:v>Context / capacity optimisation</x:v>
      </x:c>
      <x:c r="M180" s="83" t="str">
        <x:v>Candidate — do not adopt until CLI version is pinned</x:v>
      </x:c>
      <x:c r="N180" s="120" t="str">
        <x:v>https://raw.githubusercontent.com/PyPSA/technology-data/v0.15.0/outputs/costs_2040.csv</x:v>
      </x:c>
      <x:c r="O180" s="83" t="str">
        <x:v>Values from different releases may use different currency-year and inflation conventions; do not blend releases.</x:v>
      </x:c>
    </x:row>
    <x:row r="181">
      <x:c r="A181" s="83" t="str">
        <x:v>EXT-0177</x:v>
      </x:c>
      <x:c r="B181" s="83" t="str">
        <x:v>PyPSA technology-data</x:v>
      </x:c>
      <x:c r="C181" s="83" t="str">
        <x:v>v0.15.0</x:v>
      </x:c>
      <x:c r="D181" s="83" t="n">
        <x:v>2040</x:v>
      </x:c>
      <x:c r="E181" s="83" t="str">
        <x:v>offwind-float</x:v>
      </x:c>
      <x:c r="F181" s="83" t="str">
        <x:v>investment</x:v>
      </x:c>
      <x:c r="G181" s="279" t="n">
        <x:v>2464.3758</x:v>
      </x:c>
      <x:c r="H181" s="83" t="str">
        <x:v>EUR/kWel</x:v>
      </x:c>
      <x:c r="I181" s="83" t="str">
        <x:v>2025.0</x:v>
      </x:c>
      <x:c r="J181" s="83" t="str">
        <x:v>https://doi.org/10.1016/j.adapen.2021.100067</x:v>
      </x:c>
      <x:c r="K181" s="83" t="str"/>
      <x:c r="L181" s="83" t="str">
        <x:v>Context / capacity optimisation</x:v>
      </x:c>
      <x:c r="M181" s="83" t="str">
        <x:v>Candidate — do not adopt until CLI version is pinned</x:v>
      </x:c>
      <x:c r="N181" s="120" t="str">
        <x:v>https://raw.githubusercontent.com/PyPSA/technology-data/v0.15.0/outputs/costs_2040.csv</x:v>
      </x:c>
      <x:c r="O181" s="83" t="str">
        <x:v>Values from different releases may use different currency-year and inflation conventions; do not blend releases.</x:v>
      </x:c>
    </x:row>
    <x:row r="182">
      <x:c r="A182" s="83" t="str">
        <x:v>EXT-0178</x:v>
      </x:c>
      <x:c r="B182" s="83" t="str">
        <x:v>PyPSA technology-data</x:v>
      </x:c>
      <x:c r="C182" s="83" t="str">
        <x:v>v0.15.0</x:v>
      </x:c>
      <x:c r="D182" s="83" t="n">
        <x:v>2040</x:v>
      </x:c>
      <x:c r="E182" s="83" t="str">
        <x:v>offwind-float</x:v>
      </x:c>
      <x:c r="F182" s="83" t="str">
        <x:v>lifetime</x:v>
      </x:c>
      <x:c r="G182" s="279" t="n">
        <x:v>20</x:v>
      </x:c>
      <x:c r="H182" s="83" t="str">
        <x:v>years</x:v>
      </x:c>
      <x:c r="I182" s="83" t="str">
        <x:v>2020.0</x:v>
      </x:c>
      <x:c r="J182" s="83" t="str">
        <x:v>C. Maienza 2020 A life cycle cost model for floating offshore wind farms</x:v>
      </x:c>
      <x:c r="K182" s="83" t="str"/>
      <x:c r="L182" s="83" t="str">
        <x:v>Context / capacity optimisation</x:v>
      </x:c>
      <x:c r="M182" s="83" t="str">
        <x:v>Candidate — do not adopt until CLI version is pinned</x:v>
      </x:c>
      <x:c r="N182" s="120" t="str">
        <x:v>https://raw.githubusercontent.com/PyPSA/technology-data/v0.15.0/outputs/costs_2040.csv</x:v>
      </x:c>
      <x:c r="O182" s="83" t="str">
        <x:v>Values from different releases may use different currency-year and inflation conventions; do not blend releases.</x:v>
      </x:c>
    </x:row>
    <x:row r="183">
      <x:c r="A183" s="83" t="str">
        <x:v>EXT-0179</x:v>
      </x:c>
      <x:c r="B183" s="83" t="str">
        <x:v>PyPSA technology-data</x:v>
      </x:c>
      <x:c r="C183" s="83" t="str">
        <x:v>v0.15.0</x:v>
      </x:c>
      <x:c r="D183" s="83" t="n">
        <x:v>2040</x:v>
      </x:c>
      <x:c r="E183" s="83" t="str">
        <x:v>onwind</x:v>
      </x:c>
      <x:c r="F183" s="83" t="str">
        <x:v>FOM</x:v>
      </x:c>
      <x:c r="G183" s="279" t="n">
        <x:v>1.1858</x:v>
      </x:c>
      <x:c r="H183" s="83" t="str">
        <x:v>%/year</x:v>
      </x:c>
      <x:c r="I183" s="83" t="str">
        <x:v>2015.0</x:v>
      </x:c>
      <x:c r="J183" s="83" t="str">
        <x:v>Danish Energy Agency, inputs/technology_data_for_el_and_dh.xlsx</x:v>
      </x:c>
      <x:c r="K183" s="83" t="str">
        <x:v>20 Onshore turbines:  Fixed O&amp;M</x:v>
      </x:c>
      <x:c r="L183" s="83" t="str">
        <x:v>Context / capacity optimisation</x:v>
      </x:c>
      <x:c r="M183" s="83" t="str">
        <x:v>Candidate — do not adopt until CLI version is pinned</x:v>
      </x:c>
      <x:c r="N183" s="120" t="str">
        <x:v>https://raw.githubusercontent.com/PyPSA/technology-data/v0.15.0/outputs/costs_2040.csv</x:v>
      </x:c>
      <x:c r="O183" s="83" t="str">
        <x:v>Values from different releases may use different currency-year and inflation conventions; do not blend releases.</x:v>
      </x:c>
    </x:row>
    <x:row r="184">
      <x:c r="A184" s="83" t="str">
        <x:v>EXT-0180</x:v>
      </x:c>
      <x:c r="B184" s="83" t="str">
        <x:v>PyPSA technology-data</x:v>
      </x:c>
      <x:c r="C184" s="83" t="str">
        <x:v>v0.15.0</x:v>
      </x:c>
      <x:c r="D184" s="83" t="n">
        <x:v>2040</x:v>
      </x:c>
      <x:c r="E184" s="83" t="str">
        <x:v>onwind</x:v>
      </x:c>
      <x:c r="F184" s="83" t="str">
        <x:v>VOM</x:v>
      </x:c>
      <x:c r="G184" s="279" t="n">
        <x:v>1.6591</x:v>
      </x:c>
      <x:c r="H184" s="83" t="str">
        <x:v>EUR/MWh</x:v>
      </x:c>
      <x:c r="I184" s="83" t="str">
        <x:v>2025.0</x:v>
      </x:c>
      <x:c r="J184" s="83" t="str">
        <x:v>Danish Energy Agency, inputs/technology_data_for_el_and_dh.xlsx</x:v>
      </x:c>
      <x:c r="K184" s="83" t="str">
        <x:v>20 Onshore turbines:  Variable O&amp;M</x:v>
      </x:c>
      <x:c r="L184" s="83" t="str">
        <x:v>Direct candidate</x:v>
      </x:c>
      <x:c r="M184" s="83" t="str">
        <x:v>Candidate — do not adopt until CLI version is pinned</x:v>
      </x:c>
      <x:c r="N184" s="120" t="str">
        <x:v>https://raw.githubusercontent.com/PyPSA/technology-data/v0.15.0/outputs/costs_2040.csv</x:v>
      </x:c>
      <x:c r="O184" s="83" t="str">
        <x:v>Values from different releases may use different currency-year and inflation conventions; do not blend releases.</x:v>
      </x:c>
    </x:row>
    <x:row r="185">
      <x:c r="A185" s="83" t="str">
        <x:v>EXT-0181</x:v>
      </x:c>
      <x:c r="B185" s="83" t="str">
        <x:v>PyPSA technology-data</x:v>
      </x:c>
      <x:c r="C185" s="83" t="str">
        <x:v>v0.15.0</x:v>
      </x:c>
      <x:c r="D185" s="83" t="n">
        <x:v>2040</x:v>
      </x:c>
      <x:c r="E185" s="83" t="str">
        <x:v>onwind</x:v>
      </x:c>
      <x:c r="F185" s="83" t="str">
        <x:v>investment</x:v>
      </x:c>
      <x:c r="G185" s="279" t="n">
        <x:v>1305.8347</x:v>
      </x:c>
      <x:c r="H185" s="83" t="str">
        <x:v>EUR/kW</x:v>
      </x:c>
      <x:c r="I185" s="83" t="str">
        <x:v>2025.0</x:v>
      </x:c>
      <x:c r="J185" s="83" t="str">
        <x:v>Danish Energy Agency, inputs/technology_data_for_el_and_dh.xlsx</x:v>
      </x:c>
      <x:c r="K185" s="83" t="str">
        <x:v>20 Onshore turbines:  Nominal investment </x:v>
      </x:c>
      <x:c r="L185" s="83" t="str">
        <x:v>Context / capacity optimisation</x:v>
      </x:c>
      <x:c r="M185" s="83" t="str">
        <x:v>Candidate — do not adopt until CLI version is pinned</x:v>
      </x:c>
      <x:c r="N185" s="120" t="str">
        <x:v>https://raw.githubusercontent.com/PyPSA/technology-data/v0.15.0/outputs/costs_2040.csv</x:v>
      </x:c>
      <x:c r="O185" s="83" t="str">
        <x:v>Values from different releases may use different currency-year and inflation conventions; do not blend releases.</x:v>
      </x:c>
    </x:row>
    <x:row r="186">
      <x:c r="A186" s="83" t="str">
        <x:v>EXT-0182</x:v>
      </x:c>
      <x:c r="B186" s="83" t="str">
        <x:v>PyPSA technology-data</x:v>
      </x:c>
      <x:c r="C186" s="83" t="str">
        <x:v>v0.15.0</x:v>
      </x:c>
      <x:c r="D186" s="83" t="n">
        <x:v>2040</x:v>
      </x:c>
      <x:c r="E186" s="83" t="str">
        <x:v>onwind</x:v>
      </x:c>
      <x:c r="F186" s="83" t="str">
        <x:v>lifetime</x:v>
      </x:c>
      <x:c r="G186" s="279" t="n">
        <x:v>30</x:v>
      </x:c>
      <x:c r="H186" s="83" t="str">
        <x:v>years</x:v>
      </x:c>
      <x:c r="I186" s="83" t="str">
        <x:v>2015.0</x:v>
      </x:c>
      <x:c r="J186" s="83" t="str">
        <x:v>Danish Energy Agency, inputs/technology_data_for_el_and_dh.xlsx</x:v>
      </x:c>
      <x:c r="K186" s="83" t="str">
        <x:v>20 Onshore turbines:  Technical lifetime</x:v>
      </x:c>
      <x:c r="L186" s="83" t="str">
        <x:v>Context / capacity optimisation</x:v>
      </x:c>
      <x:c r="M186" s="83" t="str">
        <x:v>Candidate — do not adopt until CLI version is pinned</x:v>
      </x:c>
      <x:c r="N186" s="120" t="str">
        <x:v>https://raw.githubusercontent.com/PyPSA/technology-data/v0.15.0/outputs/costs_2040.csv</x:v>
      </x:c>
      <x:c r="O186" s="83" t="str">
        <x:v>Values from different releases may use different currency-year and inflation conventions; do not blend releases.</x:v>
      </x:c>
    </x:row>
    <x:row r="187">
      <x:c r="A187" s="83" t="str">
        <x:v>EXT-0183</x:v>
      </x:c>
      <x:c r="B187" s="83" t="str">
        <x:v>PyPSA technology-data</x:v>
      </x:c>
      <x:c r="C187" s="83" t="str">
        <x:v>v0.15.0</x:v>
      </x:c>
      <x:c r="D187" s="83" t="n">
        <x:v>2040</x:v>
      </x:c>
      <x:c r="E187" s="83" t="str">
        <x:v>solar-rooftop</x:v>
      </x:c>
      <x:c r="F187" s="83" t="str">
        <x:v>FOM</x:v>
      </x:c>
      <x:c r="G187" s="279" t="n">
        <x:v>1.5552</x:v>
      </x:c>
      <x:c r="H187" s="83" t="str">
        <x:v>%/year</x:v>
      </x:c>
      <x:c r="I187" s="83" t="str">
        <x:v>2020.0</x:v>
      </x:c>
      <x:c r="J187" s="83" t="str">
        <x:v>Calculated. See 'further description'.</x:v>
      </x:c>
      <x:c r="K187" s="83" t="str">
        <x:v>Mixed investment costs based on average of 50% 'solar-rooftop commercial' and 50% 'solar-rooftop residential'</x:v>
      </x:c>
      <x:c r="L187" s="83" t="str">
        <x:v>Context / capacity optimisation</x:v>
      </x:c>
      <x:c r="M187" s="83" t="str">
        <x:v>Candidate — do not adopt until CLI version is pinned</x:v>
      </x:c>
      <x:c r="N187" s="120" t="str">
        <x:v>https://raw.githubusercontent.com/PyPSA/technology-data/v0.15.0/outputs/costs_2040.csv</x:v>
      </x:c>
      <x:c r="O187" s="83" t="str">
        <x:v>Values from different releases may use different currency-year and inflation conventions; do not blend releases.</x:v>
      </x:c>
    </x:row>
    <x:row r="188">
      <x:c r="A188" s="83" t="str">
        <x:v>EXT-0184</x:v>
      </x:c>
      <x:c r="B188" s="83" t="str">
        <x:v>PyPSA technology-data</x:v>
      </x:c>
      <x:c r="C188" s="83" t="str">
        <x:v>v0.15.0</x:v>
      </x:c>
      <x:c r="D188" s="83" t="n">
        <x:v>2040</x:v>
      </x:c>
      <x:c r="E188" s="83" t="str">
        <x:v>solar-rooftop</x:v>
      </x:c>
      <x:c r="F188" s="83" t="str">
        <x:v>discount rate</x:v>
      </x:c>
      <x:c r="G188" s="279" t="n">
        <x:v>0.04</x:v>
      </x:c>
      <x:c r="H188" s="83" t="str">
        <x:v>per unit</x:v>
      </x:c>
      <x:c r="I188" s="83" t="str">
        <x:v>2015.0</x:v>
      </x:c>
      <x:c r="J188" s="83" t="str">
        <x:v>standard for decentral</x:v>
      </x:c>
      <x:c r="K188" s="83" t="str">
        <x:v> from old pypsa cost assumptions</x:v>
      </x:c>
      <x:c r="L188" s="83" t="str">
        <x:v>Context / capacity optimisation</x:v>
      </x:c>
      <x:c r="M188" s="83" t="str">
        <x:v>Candidate — do not adopt until CLI version is pinned</x:v>
      </x:c>
      <x:c r="N188" s="120" t="str">
        <x:v>https://raw.githubusercontent.com/PyPSA/technology-data/v0.15.0/outputs/costs_2040.csv</x:v>
      </x:c>
      <x:c r="O188" s="83" t="str">
        <x:v>Values from different releases may use different currency-year and inflation conventions; do not blend releases.</x:v>
      </x:c>
    </x:row>
    <x:row r="189">
      <x:c r="A189" s="83" t="str">
        <x:v>EXT-0185</x:v>
      </x:c>
      <x:c r="B189" s="83" t="str">
        <x:v>PyPSA technology-data</x:v>
      </x:c>
      <x:c r="C189" s="83" t="str">
        <x:v>v0.15.0</x:v>
      </x:c>
      <x:c r="D189" s="83" t="n">
        <x:v>2040</x:v>
      </x:c>
      <x:c r="E189" s="83" t="str">
        <x:v>solar-rooftop</x:v>
      </x:c>
      <x:c r="F189" s="83" t="str">
        <x:v>investment</x:v>
      </x:c>
      <x:c r="G189" s="279" t="n">
        <x:v>729.0272</x:v>
      </x:c>
      <x:c r="H189" s="83" t="str">
        <x:v>EUR/kW_e</x:v>
      </x:c>
      <x:c r="I189" s="83" t="str">
        <x:v>2025.0</x:v>
      </x:c>
      <x:c r="J189" s="83" t="str">
        <x:v>Calculated. See 'further description'.</x:v>
      </x:c>
      <x:c r="K189" s="83" t="str">
        <x:v>Mixed investment costs based on average of 50% 'solar-rooftop commercial' and 50% 'solar-rooftop residential'</x:v>
      </x:c>
      <x:c r="L189" s="83" t="str">
        <x:v>Context / capacity optimisation</x:v>
      </x:c>
      <x:c r="M189" s="83" t="str">
        <x:v>Candidate — do not adopt until CLI version is pinned</x:v>
      </x:c>
      <x:c r="N189" s="120" t="str">
        <x:v>https://raw.githubusercontent.com/PyPSA/technology-data/v0.15.0/outputs/costs_2040.csv</x:v>
      </x:c>
      <x:c r="O189" s="83" t="str">
        <x:v>Values from different releases may use different currency-year and inflation conventions; do not blend releases.</x:v>
      </x:c>
    </x:row>
    <x:row r="190">
      <x:c r="A190" s="83" t="str">
        <x:v>EXT-0186</x:v>
      </x:c>
      <x:c r="B190" s="83" t="str">
        <x:v>PyPSA technology-data</x:v>
      </x:c>
      <x:c r="C190" s="83" t="str">
        <x:v>v0.15.0</x:v>
      </x:c>
      <x:c r="D190" s="83" t="n">
        <x:v>2040</x:v>
      </x:c>
      <x:c r="E190" s="83" t="str">
        <x:v>solar-rooftop</x:v>
      </x:c>
      <x:c r="F190" s="83" t="str">
        <x:v>lifetime</x:v>
      </x:c>
      <x:c r="G190" s="279" t="n">
        <x:v>40</x:v>
      </x:c>
      <x:c r="H190" s="83" t="str">
        <x:v>years</x:v>
      </x:c>
      <x:c r="I190" s="83" t="str">
        <x:v>2020.0</x:v>
      </x:c>
      <x:c r="J190" s="83" t="str">
        <x:v>Calculated. See 'further description'.</x:v>
      </x:c>
      <x:c r="K190" s="83" t="str">
        <x:v>Mixed investment costs based on average of 50% 'solar-rooftop commercial' and 50% 'solar-rooftop residential'</x:v>
      </x:c>
      <x:c r="L190" s="83" t="str">
        <x:v>Context / capacity optimisation</x:v>
      </x:c>
      <x:c r="M190" s="83" t="str">
        <x:v>Candidate — do not adopt until CLI version is pinned</x:v>
      </x:c>
      <x:c r="N190" s="120" t="str">
        <x:v>https://raw.githubusercontent.com/PyPSA/technology-data/v0.15.0/outputs/costs_2040.csv</x:v>
      </x:c>
      <x:c r="O190" s="83" t="str">
        <x:v>Values from different releases may use different currency-year and inflation conventions; do not blend releases.</x:v>
      </x:c>
    </x:row>
    <x:row r="191">
      <x:c r="A191" s="83" t="str">
        <x:v>EXT-0187</x:v>
      </x:c>
      <x:c r="B191" s="83" t="str">
        <x:v>PyPSA technology-data</x:v>
      </x:c>
      <x:c r="C191" s="83" t="str">
        <x:v>v0.15.0</x:v>
      </x:c>
      <x:c r="D191" s="83" t="n">
        <x:v>2040</x:v>
      </x:c>
      <x:c r="E191" s="83" t="str">
        <x:v>solar-utility</x:v>
      </x:c>
      <x:c r="F191" s="83" t="str">
        <x:v>FOM</x:v>
      </x:c>
      <x:c r="G191" s="279" t="n">
        <x:v>2.5247</x:v>
      </x:c>
      <x:c r="H191" s="83" t="str">
        <x:v>%/year</x:v>
      </x:c>
      <x:c r="I191" s="83" t="str">
        <x:v>2020.0</x:v>
      </x:c>
      <x:c r="J191" s="83" t="str">
        <x:v>Danish Energy Agency, inputs/technology_data_for_el_and_dh.xlsx</x:v>
      </x:c>
      <x:c r="K191" s="83" t="str">
        <x:v>22 Utility-scale PV:  Fixed O&amp;M [2020-EUR/MW_e/y]</x:v>
      </x:c>
      <x:c r="L191" s="83" t="str">
        <x:v>Context / capacity optimisation</x:v>
      </x:c>
      <x:c r="M191" s="83" t="str">
        <x:v>Candidate — do not adopt until CLI version is pinned</x:v>
      </x:c>
      <x:c r="N191" s="120" t="str">
        <x:v>https://raw.githubusercontent.com/PyPSA/technology-data/v0.15.0/outputs/costs_2040.csv</x:v>
      </x:c>
      <x:c r="O191" s="83" t="str">
        <x:v>Values from different releases may use different currency-year and inflation conventions; do not blend releases.</x:v>
      </x:c>
    </x:row>
    <x:row r="192">
      <x:c r="A192" s="83" t="str">
        <x:v>EXT-0188</x:v>
      </x:c>
      <x:c r="B192" s="83" t="str">
        <x:v>PyPSA technology-data</x:v>
      </x:c>
      <x:c r="C192" s="83" t="str">
        <x:v>v0.15.0</x:v>
      </x:c>
      <x:c r="D192" s="83" t="n">
        <x:v>2040</x:v>
      </x:c>
      <x:c r="E192" s="83" t="str">
        <x:v>solar-utility</x:v>
      </x:c>
      <x:c r="F192" s="83" t="str">
        <x:v>investment</x:v>
      </x:c>
      <x:c r="G192" s="279" t="n">
        <x:v>403.3839</x:v>
      </x:c>
      <x:c r="H192" s="83" t="str">
        <x:v>EUR/kW_e</x:v>
      </x:c>
      <x:c r="I192" s="83" t="str">
        <x:v>2025.0</x:v>
      </x:c>
      <x:c r="J192" s="83" t="str">
        <x:v>Danish Energy Agency, inputs/technology_data_for_el_and_dh.xlsx</x:v>
      </x:c>
      <x:c r="K192" s="83" t="str">
        <x:v>22 Utility-scale PV:  Nominal investment [2020-MEUR/MW_e]</x:v>
      </x:c>
      <x:c r="L192" s="83" t="str">
        <x:v>Context / capacity optimisation</x:v>
      </x:c>
      <x:c r="M192" s="83" t="str">
        <x:v>Candidate — do not adopt until CLI version is pinned</x:v>
      </x:c>
      <x:c r="N192" s="120" t="str">
        <x:v>https://raw.githubusercontent.com/PyPSA/technology-data/v0.15.0/outputs/costs_2040.csv</x:v>
      </x:c>
      <x:c r="O192" s="83" t="str">
        <x:v>Values from different releases may use different currency-year and inflation conventions; do not blend releases.</x:v>
      </x:c>
    </x:row>
    <x:row r="193">
      <x:c r="A193" s="83" t="str">
        <x:v>EXT-0189</x:v>
      </x:c>
      <x:c r="B193" s="83" t="str">
        <x:v>PyPSA technology-data</x:v>
      </x:c>
      <x:c r="C193" s="83" t="str">
        <x:v>v0.15.0</x:v>
      </x:c>
      <x:c r="D193" s="83" t="n">
        <x:v>2040</x:v>
      </x:c>
      <x:c r="E193" s="83" t="str">
        <x:v>solar-utility</x:v>
      </x:c>
      <x:c r="F193" s="83" t="str">
        <x:v>lifetime</x:v>
      </x:c>
      <x:c r="G193" s="279" t="n">
        <x:v>40</x:v>
      </x:c>
      <x:c r="H193" s="83" t="str">
        <x:v>years</x:v>
      </x:c>
      <x:c r="I193" s="83" t="str">
        <x:v>2020.0</x:v>
      </x:c>
      <x:c r="J193" s="83" t="str">
        <x:v>Danish Energy Agency, inputs/technology_data_for_el_and_dh.xlsx</x:v>
      </x:c>
      <x:c r="K193" s="83" t="str">
        <x:v>22 Utility-scale PV:  Technical lifetime [years]</x:v>
      </x:c>
      <x:c r="L193" s="83" t="str">
        <x:v>Context / capacity optimisation</x:v>
      </x:c>
      <x:c r="M193" s="83" t="str">
        <x:v>Candidate — do not adopt until CLI version is pinned</x:v>
      </x:c>
      <x:c r="N193" s="120" t="str">
        <x:v>https://raw.githubusercontent.com/PyPSA/technology-data/v0.15.0/outputs/costs_2040.csv</x:v>
      </x:c>
      <x:c r="O193" s="83" t="str">
        <x:v>Values from different releases may use different currency-year and inflation conventions; do not blend releases.</x:v>
      </x:c>
    </x:row>
    <x:row r="194">
      <x:c r="A194" s="83" t="str">
        <x:v>EXT-0190</x:v>
      </x:c>
      <x:c r="B194" s="83" t="str">
        <x:v>PyPSA technology-data</x:v>
      </x:c>
      <x:c r="C194" s="83" t="str">
        <x:v>v0.15.0</x:v>
      </x:c>
      <x:c r="D194" s="83" t="n">
        <x:v>2050</x:v>
      </x:c>
      <x:c r="E194" s="83" t="str">
        <x:v>CCGT</x:v>
      </x:c>
      <x:c r="F194" s="83" t="str">
        <x:v>FOM</x:v>
      </x:c>
      <x:c r="G194" s="279" t="n">
        <x:v>3.25</x:v>
      </x:c>
      <x:c r="H194" s="83" t="str">
        <x:v>%/year</x:v>
      </x:c>
      <x:c r="I194" s="83" t="str">
        <x:v>2015.0</x:v>
      </x:c>
      <x:c r="J194" s="83" t="str">
        <x:v>Danish Energy Agency, inputs/technology_data_for_el_and_dh.xlsx</x:v>
      </x:c>
      <x:c r="K194" s="83" t="str">
        <x:v>05 Gas turb. CC, steam extract.:  Fixed O&amp;M</x:v>
      </x:c>
      <x:c r="L194" s="83" t="str">
        <x:v>Context / capacity optimisation</x:v>
      </x:c>
      <x:c r="M194" s="83" t="str">
        <x:v>Candidate — do not adopt until CLI version is pinned</x:v>
      </x:c>
      <x:c r="N194" s="120" t="str">
        <x:v>https://raw.githubusercontent.com/PyPSA/technology-data/v0.15.0/outputs/costs_2050.csv</x:v>
      </x:c>
      <x:c r="O194" s="83" t="str">
        <x:v>Values from different releases may use different currency-year and inflation conventions; do not blend releases.</x:v>
      </x:c>
    </x:row>
    <x:row r="195">
      <x:c r="A195" s="83" t="str">
        <x:v>EXT-0191</x:v>
      </x:c>
      <x:c r="B195" s="83" t="str">
        <x:v>PyPSA technology-data</x:v>
      </x:c>
      <x:c r="C195" s="83" t="str">
        <x:v>v0.15.0</x:v>
      </x:c>
      <x:c r="D195" s="83" t="n">
        <x:v>2050</x:v>
      </x:c>
      <x:c r="E195" s="83" t="str">
        <x:v>CCGT</x:v>
      </x:c>
      <x:c r="F195" s="83" t="str">
        <x:v>VOM</x:v>
      </x:c>
      <x:c r="G195" s="279" t="n">
        <x:v>5.3432</x:v>
      </x:c>
      <x:c r="H195" s="83" t="str">
        <x:v>EUR/MWh</x:v>
      </x:c>
      <x:c r="I195" s="83" t="str">
        <x:v>2025.0</x:v>
      </x:c>
      <x:c r="J195" s="83" t="str">
        <x:v>Danish Energy Agency, inputs/technology_data_for_el_and_dh.xlsx</x:v>
      </x:c>
      <x:c r="K195" s="83" t="str">
        <x:v>05 Gas turb. CC, steam extract.:  Variable O&amp;M</x:v>
      </x:c>
      <x:c r="L195" s="83" t="str">
        <x:v>Direct candidate</x:v>
      </x:c>
      <x:c r="M195" s="83" t="str">
        <x:v>Candidate — do not adopt until CLI version is pinned</x:v>
      </x:c>
      <x:c r="N195" s="120" t="str">
        <x:v>https://raw.githubusercontent.com/PyPSA/technology-data/v0.15.0/outputs/costs_2050.csv</x:v>
      </x:c>
      <x:c r="O195" s="83" t="str">
        <x:v>Values from different releases may use different currency-year and inflation conventions; do not blend releases.</x:v>
      </x:c>
    </x:row>
    <x:row r="196">
      <x:c r="A196" s="83" t="str">
        <x:v>EXT-0192</x:v>
      </x:c>
      <x:c r="B196" s="83" t="str">
        <x:v>PyPSA technology-data</x:v>
      </x:c>
      <x:c r="C196" s="83" t="str">
        <x:v>v0.15.0</x:v>
      </x:c>
      <x:c r="D196" s="83" t="n">
        <x:v>2050</x:v>
      </x:c>
      <x:c r="E196" s="83" t="str">
        <x:v>CCGT</x:v>
      </x:c>
      <x:c r="F196" s="83" t="str">
        <x:v>efficiency</x:v>
      </x:c>
      <x:c r="G196" s="279" t="n">
        <x:v>0.6</x:v>
      </x:c>
      <x:c r="H196" s="83" t="str">
        <x:v>per unit</x:v>
      </x:c>
      <x:c r="I196" s="83" t="str">
        <x:v>2015.0</x:v>
      </x:c>
      <x:c r="J196" s="83" t="str">
        <x:v>Danish Energy Agency, inputs/technology_data_for_el_and_dh.xlsx</x:v>
      </x:c>
      <x:c r="K196" s="83" t="str">
        <x:v>05 Gas turb. CC, steam extract.:  Electricity efficiency, annual average</x:v>
      </x:c>
      <x:c r="L196" s="83" t="str">
        <x:v>Direct candidate</x:v>
      </x:c>
      <x:c r="M196" s="83" t="str">
        <x:v>Candidate — do not adopt until CLI version is pinned</x:v>
      </x:c>
      <x:c r="N196" s="120" t="str">
        <x:v>https://raw.githubusercontent.com/PyPSA/technology-data/v0.15.0/outputs/costs_2050.csv</x:v>
      </x:c>
      <x:c r="O196" s="83" t="str">
        <x:v>Values from different releases may use different currency-year and inflation conventions; do not blend releases.</x:v>
      </x:c>
    </x:row>
    <x:row r="197">
      <x:c r="A197" s="83" t="str">
        <x:v>EXT-0193</x:v>
      </x:c>
      <x:c r="B197" s="83" t="str">
        <x:v>PyPSA technology-data</x:v>
      </x:c>
      <x:c r="C197" s="83" t="str">
        <x:v>v0.15.0</x:v>
      </x:c>
      <x:c r="D197" s="83" t="n">
        <x:v>2050</x:v>
      </x:c>
      <x:c r="E197" s="83" t="str">
        <x:v>CCGT</x:v>
      </x:c>
      <x:c r="F197" s="83" t="str">
        <x:v>investment</x:v>
      </x:c>
      <x:c r="G197" s="279" t="n">
        <x:v>1068.6425</x:v>
      </x:c>
      <x:c r="H197" s="83" t="str">
        <x:v>EUR/kW</x:v>
      </x:c>
      <x:c r="I197" s="83" t="str">
        <x:v>2025.0</x:v>
      </x:c>
      <x:c r="J197" s="83" t="str">
        <x:v>Danish Energy Agency, inputs/technology_data_for_el_and_dh.xlsx</x:v>
      </x:c>
      <x:c r="K197" s="83" t="str">
        <x:v>05 Gas turb. CC, steam extract.:  Nominal investment</x:v>
      </x:c>
      <x:c r="L197" s="83" t="str">
        <x:v>Context / capacity optimisation</x:v>
      </x:c>
      <x:c r="M197" s="83" t="str">
        <x:v>Candidate — do not adopt until CLI version is pinned</x:v>
      </x:c>
      <x:c r="N197" s="120" t="str">
        <x:v>https://raw.githubusercontent.com/PyPSA/technology-data/v0.15.0/outputs/costs_2050.csv</x:v>
      </x:c>
      <x:c r="O197" s="83" t="str">
        <x:v>Values from different releases may use different currency-year and inflation conventions; do not blend releases.</x:v>
      </x:c>
    </x:row>
    <x:row r="198">
      <x:c r="A198" s="83" t="str">
        <x:v>EXT-0194</x:v>
      </x:c>
      <x:c r="B198" s="83" t="str">
        <x:v>PyPSA technology-data</x:v>
      </x:c>
      <x:c r="C198" s="83" t="str">
        <x:v>v0.15.0</x:v>
      </x:c>
      <x:c r="D198" s="83" t="n">
        <x:v>2050</x:v>
      </x:c>
      <x:c r="E198" s="83" t="str">
        <x:v>CCGT</x:v>
      </x:c>
      <x:c r="F198" s="83" t="str">
        <x:v>lifetime</x:v>
      </x:c>
      <x:c r="G198" s="279" t="n">
        <x:v>25</x:v>
      </x:c>
      <x:c r="H198" s="83" t="str">
        <x:v>years</x:v>
      </x:c>
      <x:c r="I198" s="83" t="str">
        <x:v>2015.0</x:v>
      </x:c>
      <x:c r="J198" s="83" t="str">
        <x:v>Danish Energy Agency, inputs/technology_data_for_el_and_dh.xlsx</x:v>
      </x:c>
      <x:c r="K198" s="83" t="str">
        <x:v>05 Gas turb. CC, steam extract.:  Technical lifetime</x:v>
      </x:c>
      <x:c r="L198" s="83" t="str">
        <x:v>Context / capacity optimisation</x:v>
      </x:c>
      <x:c r="M198" s="83" t="str">
        <x:v>Candidate — do not adopt until CLI version is pinned</x:v>
      </x:c>
      <x:c r="N198" s="120" t="str">
        <x:v>https://raw.githubusercontent.com/PyPSA/technology-data/v0.15.0/outputs/costs_2050.csv</x:v>
      </x:c>
      <x:c r="O198" s="83" t="str">
        <x:v>Values from different releases may use different currency-year and inflation conventions; do not blend releases.</x:v>
      </x:c>
    </x:row>
    <x:row r="199">
      <x:c r="A199" s="83" t="str">
        <x:v>EXT-0195</x:v>
      </x:c>
      <x:c r="B199" s="83" t="str">
        <x:v>PyPSA technology-data</x:v>
      </x:c>
      <x:c r="C199" s="83" t="str">
        <x:v>v0.15.0</x:v>
      </x:c>
      <x:c r="D199" s="83" t="n">
        <x:v>2050</x:v>
      </x:c>
      <x:c r="E199" s="83" t="str">
        <x:v>OCGT</x:v>
      </x:c>
      <x:c r="F199" s="83" t="str">
        <x:v>FOM</x:v>
      </x:c>
      <x:c r="G199" s="279" t="n">
        <x:v>1.8023</x:v>
      </x:c>
      <x:c r="H199" s="83" t="str">
        <x:v>%/year</x:v>
      </x:c>
      <x:c r="I199" s="83" t="str">
        <x:v>2015.0</x:v>
      </x:c>
      <x:c r="J199" s="83" t="str">
        <x:v>Danish Energy Agency, inputs/technology_data_for_el_and_dh.xlsx</x:v>
      </x:c>
      <x:c r="K199" s="83" t="str">
        <x:v>52 OCGT - Natural gas:  Fixed O&amp;M</x:v>
      </x:c>
      <x:c r="L199" s="83" t="str">
        <x:v>Context / capacity optimisation</x:v>
      </x:c>
      <x:c r="M199" s="83" t="str">
        <x:v>Candidate — do not adopt until CLI version is pinned</x:v>
      </x:c>
      <x:c r="N199" s="120" t="str">
        <x:v>https://raw.githubusercontent.com/PyPSA/technology-data/v0.15.0/outputs/costs_2050.csv</x:v>
      </x:c>
      <x:c r="O199" s="83" t="str">
        <x:v>Values from different releases may use different currency-year and inflation conventions; do not blend releases.</x:v>
      </x:c>
    </x:row>
    <x:row r="200">
      <x:c r="A200" s="83" t="str">
        <x:v>EXT-0196</x:v>
      </x:c>
      <x:c r="B200" s="83" t="str">
        <x:v>PyPSA technology-data</x:v>
      </x:c>
      <x:c r="C200" s="83" t="str">
        <x:v>v0.15.0</x:v>
      </x:c>
      <x:c r="D200" s="83" t="n">
        <x:v>2050</x:v>
      </x:c>
      <x:c r="E200" s="83" t="str">
        <x:v>OCGT</x:v>
      </x:c>
      <x:c r="F200" s="83" t="str">
        <x:v>VOM</x:v>
      </x:c>
      <x:c r="G200" s="279" t="n">
        <x:v>6.0111</x:v>
      </x:c>
      <x:c r="H200" s="83" t="str">
        <x:v>EUR/MWh</x:v>
      </x:c>
      <x:c r="I200" s="83" t="str">
        <x:v>2025.0</x:v>
      </x:c>
      <x:c r="J200" s="83" t="str">
        <x:v>Danish Energy Agency, inputs/technology_data_for_el_and_dh.xlsx</x:v>
      </x:c>
      <x:c r="K200" s="83" t="str">
        <x:v>52 OCGT - Natural gas:  Variable O&amp;M</x:v>
      </x:c>
      <x:c r="L200" s="83" t="str">
        <x:v>Direct candidate</x:v>
      </x:c>
      <x:c r="M200" s="83" t="str">
        <x:v>Candidate — do not adopt until CLI version is pinned</x:v>
      </x:c>
      <x:c r="N200" s="120" t="str">
        <x:v>https://raw.githubusercontent.com/PyPSA/technology-data/v0.15.0/outputs/costs_2050.csv</x:v>
      </x:c>
      <x:c r="O200" s="83" t="str">
        <x:v>Values from different releases may use different currency-year and inflation conventions; do not blend releases.</x:v>
      </x:c>
    </x:row>
    <x:row r="201">
      <x:c r="A201" s="83" t="str">
        <x:v>EXT-0197</x:v>
      </x:c>
      <x:c r="B201" s="83" t="str">
        <x:v>PyPSA technology-data</x:v>
      </x:c>
      <x:c r="C201" s="83" t="str">
        <x:v>v0.15.0</x:v>
      </x:c>
      <x:c r="D201" s="83" t="n">
        <x:v>2050</x:v>
      </x:c>
      <x:c r="E201" s="83" t="str">
        <x:v>OCGT</x:v>
      </x:c>
      <x:c r="F201" s="83" t="str">
        <x:v>efficiency</x:v>
      </x:c>
      <x:c r="G201" s="279" t="n">
        <x:v>0.43</x:v>
      </x:c>
      <x:c r="H201" s="83" t="str">
        <x:v>per unit</x:v>
      </x:c>
      <x:c r="I201" s="83" t="str">
        <x:v>2015.0</x:v>
      </x:c>
      <x:c r="J201" s="83" t="str">
        <x:v>Danish Energy Agency, inputs/technology_data_for_el_and_dh.xlsx</x:v>
      </x:c>
      <x:c r="K201" s="83" t="str">
        <x:v>52 OCGT - Natural gas:  Electricity efficiency, annual average</x:v>
      </x:c>
      <x:c r="L201" s="83" t="str">
        <x:v>Direct candidate</x:v>
      </x:c>
      <x:c r="M201" s="83" t="str">
        <x:v>Candidate — do not adopt until CLI version is pinned</x:v>
      </x:c>
      <x:c r="N201" s="120" t="str">
        <x:v>https://raw.githubusercontent.com/PyPSA/technology-data/v0.15.0/outputs/costs_2050.csv</x:v>
      </x:c>
      <x:c r="O201" s="83" t="str">
        <x:v>Values from different releases may use different currency-year and inflation conventions; do not blend releases.</x:v>
      </x:c>
    </x:row>
    <x:row r="202">
      <x:c r="A202" s="83" t="str">
        <x:v>EXT-0198</x:v>
      </x:c>
      <x:c r="B202" s="83" t="str">
        <x:v>PyPSA technology-data</x:v>
      </x:c>
      <x:c r="C202" s="83" t="str">
        <x:v>v0.15.0</x:v>
      </x:c>
      <x:c r="D202" s="83" t="n">
        <x:v>2050</x:v>
      </x:c>
      <x:c r="E202" s="83" t="str">
        <x:v>OCGT</x:v>
      </x:c>
      <x:c r="F202" s="83" t="str">
        <x:v>investment</x:v>
      </x:c>
      <x:c r="G202" s="279" t="n">
        <x:v>550.1372</x:v>
      </x:c>
      <x:c r="H202" s="83" t="str">
        <x:v>EUR/kW</x:v>
      </x:c>
      <x:c r="I202" s="83" t="str">
        <x:v>2025.0</x:v>
      </x:c>
      <x:c r="J202" s="83" t="str">
        <x:v>Danish Energy Agency, inputs/technology_data_for_el_and_dh.xlsx</x:v>
      </x:c>
      <x:c r="K202" s="83" t="str">
        <x:v>52 OCGT - Natural gas:  Specific investment</x:v>
      </x:c>
      <x:c r="L202" s="83" t="str">
        <x:v>Context / capacity optimisation</x:v>
      </x:c>
      <x:c r="M202" s="83" t="str">
        <x:v>Candidate — do not adopt until CLI version is pinned</x:v>
      </x:c>
      <x:c r="N202" s="120" t="str">
        <x:v>https://raw.githubusercontent.com/PyPSA/technology-data/v0.15.0/outputs/costs_2050.csv</x:v>
      </x:c>
      <x:c r="O202" s="83" t="str">
        <x:v>Values from different releases may use different currency-year and inflation conventions; do not blend releases.</x:v>
      </x:c>
    </x:row>
    <x:row r="203">
      <x:c r="A203" s="83" t="str">
        <x:v>EXT-0199</x:v>
      </x:c>
      <x:c r="B203" s="83" t="str">
        <x:v>PyPSA technology-data</x:v>
      </x:c>
      <x:c r="C203" s="83" t="str">
        <x:v>v0.15.0</x:v>
      </x:c>
      <x:c r="D203" s="83" t="n">
        <x:v>2050</x:v>
      </x:c>
      <x:c r="E203" s="83" t="str">
        <x:v>OCGT</x:v>
      </x:c>
      <x:c r="F203" s="83" t="str">
        <x:v>lifetime</x:v>
      </x:c>
      <x:c r="G203" s="279" t="n">
        <x:v>25</x:v>
      </x:c>
      <x:c r="H203" s="83" t="str">
        <x:v>years</x:v>
      </x:c>
      <x:c r="I203" s="83" t="str">
        <x:v>2015.0</x:v>
      </x:c>
      <x:c r="J203" s="83" t="str">
        <x:v>Danish Energy Agency, inputs/technology_data_for_el_and_dh.xlsx</x:v>
      </x:c>
      <x:c r="K203" s="83" t="str">
        <x:v>52 OCGT - Natural gas:  Technical lifetime</x:v>
      </x:c>
      <x:c r="L203" s="83" t="str">
        <x:v>Context / capacity optimisation</x:v>
      </x:c>
      <x:c r="M203" s="83" t="str">
        <x:v>Candidate — do not adopt until CLI version is pinned</x:v>
      </x:c>
      <x:c r="N203" s="120" t="str">
        <x:v>https://raw.githubusercontent.com/PyPSA/technology-data/v0.15.0/outputs/costs_2050.csv</x:v>
      </x:c>
      <x:c r="O203" s="83" t="str">
        <x:v>Values from different releases may use different currency-year and inflation conventions; do not blend releases.</x:v>
      </x:c>
    </x:row>
    <x:row r="204">
      <x:c r="A204" s="83" t="str">
        <x:v>EXT-0200</x:v>
      </x:c>
      <x:c r="B204" s="83" t="str">
        <x:v>PyPSA technology-data</x:v>
      </x:c>
      <x:c r="C204" s="83" t="str">
        <x:v>v0.15.0</x:v>
      </x:c>
      <x:c r="D204" s="83" t="n">
        <x:v>2050</x:v>
      </x:c>
      <x:c r="E204" s="83" t="str">
        <x:v>PHS</x:v>
      </x:c>
      <x:c r="F204" s="83" t="str">
        <x:v>FOM</x:v>
      </x:c>
      <x:c r="G204" s="279" t="n">
        <x:v>1</x:v>
      </x:c>
      <x:c r="H204" s="83" t="str">
        <x:v>%/year</x:v>
      </x:c>
      <x:c r="I204" s="83" t="str">
        <x:v>2015.0</x:v>
      </x:c>
      <x:c r="J204" s="83" t="str">
        <x:v>DIW DataDoc http://hdl.handle.net/10419/80348</x:v>
      </x:c>
      <x:c r="K204" s="83" t="str">
        <x:v> from old pypsa cost assumptions</x:v>
      </x:c>
      <x:c r="L204" s="83" t="str">
        <x:v>Context / capacity optimisation</x:v>
      </x:c>
      <x:c r="M204" s="83" t="str">
        <x:v>Candidate — do not adopt until CLI version is pinned</x:v>
      </x:c>
      <x:c r="N204" s="120" t="str">
        <x:v>https://raw.githubusercontent.com/PyPSA/technology-data/v0.15.0/outputs/costs_2050.csv</x:v>
      </x:c>
      <x:c r="O204" s="83" t="str">
        <x:v>Values from different releases may use different currency-year and inflation conventions; do not blend releases.</x:v>
      </x:c>
    </x:row>
    <x:row r="205">
      <x:c r="A205" s="83" t="str">
        <x:v>EXT-0201</x:v>
      </x:c>
      <x:c r="B205" s="83" t="str">
        <x:v>PyPSA technology-data</x:v>
      </x:c>
      <x:c r="C205" s="83" t="str">
        <x:v>v0.15.0</x:v>
      </x:c>
      <x:c r="D205" s="83" t="n">
        <x:v>2050</x:v>
      </x:c>
      <x:c r="E205" s="83" t="str">
        <x:v>PHS</x:v>
      </x:c>
      <x:c r="F205" s="83" t="str">
        <x:v>efficiency</x:v>
      </x:c>
      <x:c r="G205" s="279" t="n">
        <x:v>0.75</x:v>
      </x:c>
      <x:c r="H205" s="83" t="str">
        <x:v>per unit</x:v>
      </x:c>
      <x:c r="I205" s="83" t="str">
        <x:v>2015.0</x:v>
      </x:c>
      <x:c r="J205" s="83" t="str">
        <x:v>DIW DataDoc http://hdl.handle.net/10419/80348</x:v>
      </x:c>
      <x:c r="K205" s="83" t="str">
        <x:v> from old pypsa cost assumptions</x:v>
      </x:c>
      <x:c r="L205" s="83" t="str">
        <x:v>Direct candidate</x:v>
      </x:c>
      <x:c r="M205" s="83" t="str">
        <x:v>Candidate — do not adopt until CLI version is pinned</x:v>
      </x:c>
      <x:c r="N205" s="120" t="str">
        <x:v>https://raw.githubusercontent.com/PyPSA/technology-data/v0.15.0/outputs/costs_2050.csv</x:v>
      </x:c>
      <x:c r="O205" s="83" t="str">
        <x:v>Values from different releases may use different currency-year and inflation conventions; do not blend releases.</x:v>
      </x:c>
    </x:row>
    <x:row r="206">
      <x:c r="A206" s="83" t="str">
        <x:v>EXT-0202</x:v>
      </x:c>
      <x:c r="B206" s="83" t="str">
        <x:v>PyPSA technology-data</x:v>
      </x:c>
      <x:c r="C206" s="83" t="str">
        <x:v>v0.15.0</x:v>
      </x:c>
      <x:c r="D206" s="83" t="n">
        <x:v>2050</x:v>
      </x:c>
      <x:c r="E206" s="83" t="str">
        <x:v>PHS</x:v>
      </x:c>
      <x:c r="F206" s="83" t="str">
        <x:v>investment</x:v>
      </x:c>
      <x:c r="G206" s="279" t="n">
        <x:v>2888.5279</x:v>
      </x:c>
      <x:c r="H206" s="83" t="str">
        <x:v>EUR/kWel</x:v>
      </x:c>
      <x:c r="I206" s="83" t="str">
        <x:v>2025.0</x:v>
      </x:c>
      <x:c r="J206" s="83" t="str">
        <x:v>DIW DataDoc http://hdl.handle.net/10419/80348</x:v>
      </x:c>
      <x:c r="K206" s="83" t="str">
        <x:v> from old pypsa cost assumptions</x:v>
      </x:c>
      <x:c r="L206" s="83" t="str">
        <x:v>Context / capacity optimisation</x:v>
      </x:c>
      <x:c r="M206" s="83" t="str">
        <x:v>Candidate — do not adopt until CLI version is pinned</x:v>
      </x:c>
      <x:c r="N206" s="120" t="str">
        <x:v>https://raw.githubusercontent.com/PyPSA/technology-data/v0.15.0/outputs/costs_2050.csv</x:v>
      </x:c>
      <x:c r="O206" s="83" t="str">
        <x:v>Values from different releases may use different currency-year and inflation conventions; do not blend releases.</x:v>
      </x:c>
    </x:row>
    <x:row r="207">
      <x:c r="A207" s="83" t="str">
        <x:v>EXT-0203</x:v>
      </x:c>
      <x:c r="B207" s="83" t="str">
        <x:v>PyPSA technology-data</x:v>
      </x:c>
      <x:c r="C207" s="83" t="str">
        <x:v>v0.15.0</x:v>
      </x:c>
      <x:c r="D207" s="83" t="n">
        <x:v>2050</x:v>
      </x:c>
      <x:c r="E207" s="83" t="str">
        <x:v>PHS</x:v>
      </x:c>
      <x:c r="F207" s="83" t="str">
        <x:v>lifetime</x:v>
      </x:c>
      <x:c r="G207" s="279" t="n">
        <x:v>80</x:v>
      </x:c>
      <x:c r="H207" s="83" t="str">
        <x:v>years</x:v>
      </x:c>
      <x:c r="I207" s="83" t="str">
        <x:v>2015.0</x:v>
      </x:c>
      <x:c r="J207" s="83" t="str">
        <x:v>IEA2010</x:v>
      </x:c>
      <x:c r="K207" s="83" t="str">
        <x:v> from old pypsa cost assumptions</x:v>
      </x:c>
      <x:c r="L207" s="83" t="str">
        <x:v>Context / capacity optimisation</x:v>
      </x:c>
      <x:c r="M207" s="83" t="str">
        <x:v>Candidate — do not adopt until CLI version is pinned</x:v>
      </x:c>
      <x:c r="N207" s="120" t="str">
        <x:v>https://raw.githubusercontent.com/PyPSA/technology-data/v0.15.0/outputs/costs_2050.csv</x:v>
      </x:c>
      <x:c r="O207" s="83" t="str">
        <x:v>Values from different releases may use different currency-year and inflation conventions; do not blend releases.</x:v>
      </x:c>
    </x:row>
    <x:row r="208">
      <x:c r="A208" s="83" t="str">
        <x:v>EXT-0204</x:v>
      </x:c>
      <x:c r="B208" s="83" t="str">
        <x:v>PyPSA technology-data</x:v>
      </x:c>
      <x:c r="C208" s="83" t="str">
        <x:v>v0.15.0</x:v>
      </x:c>
      <x:c r="D208" s="83" t="n">
        <x:v>2050</x:v>
      </x:c>
      <x:c r="E208" s="83" t="str">
        <x:v>battery inverter</x:v>
      </x:c>
      <x:c r="F208" s="83" t="str">
        <x:v>FOM</x:v>
      </x:c>
      <x:c r="G208" s="279" t="n">
        <x:v>0.9</x:v>
      </x:c>
      <x:c r="H208" s="83" t="str">
        <x:v>%/year</x:v>
      </x:c>
      <x:c r="I208" s="83" t="str">
        <x:v>2020.0</x:v>
      </x:c>
      <x:c r="J208" s="83" t="str">
        <x:v>Danish Energy Agency, inputs/technology_data_catalogue_for_energy_storage.xlsx</x:v>
      </x:c>
      <x:c r="K208" s="83" t="str">
        <x:v>:  Fixed O&amp;M</x:v>
      </x:c>
      <x:c r="L208" s="83" t="str">
        <x:v>Context / capacity optimisation</x:v>
      </x:c>
      <x:c r="M208" s="83" t="str">
        <x:v>Candidate — do not adopt until CLI version is pinned</x:v>
      </x:c>
      <x:c r="N208" s="120" t="str">
        <x:v>https://raw.githubusercontent.com/PyPSA/technology-data/v0.15.0/outputs/costs_2050.csv</x:v>
      </x:c>
      <x:c r="O208" s="83" t="str">
        <x:v>Values from different releases may use different currency-year and inflation conventions; do not blend releases.</x:v>
      </x:c>
    </x:row>
    <x:row r="209">
      <x:c r="A209" s="83" t="str">
        <x:v>EXT-0205</x:v>
      </x:c>
      <x:c r="B209" s="83" t="str">
        <x:v>PyPSA technology-data</x:v>
      </x:c>
      <x:c r="C209" s="83" t="str">
        <x:v>v0.15.0</x:v>
      </x:c>
      <x:c r="D209" s="83" t="n">
        <x:v>2050</x:v>
      </x:c>
      <x:c r="E209" s="83" t="str">
        <x:v>battery inverter</x:v>
      </x:c>
      <x:c r="F209" s="83" t="str">
        <x:v>efficiency</x:v>
      </x:c>
      <x:c r="G209" s="279" t="n">
        <x:v>0.96</x:v>
      </x:c>
      <x:c r="H209" s="83" t="str">
        <x:v>per unit</x:v>
      </x:c>
      <x:c r="I209" s="83" t="str">
        <x:v>2020.0</x:v>
      </x:c>
      <x:c r="J209" s="83" t="str">
        <x:v>Danish Energy Agency, inputs/technology_data_catalogue_for_energy_storage.xlsx</x:v>
      </x:c>
      <x:c r="K209" s="83" t="str">
        <x:v>:  Round trip efficiency DC</x:v>
      </x:c>
      <x:c r="L209" s="83" t="str">
        <x:v>Direct candidate</x:v>
      </x:c>
      <x:c r="M209" s="83" t="str">
        <x:v>Candidate — do not adopt until CLI version is pinned</x:v>
      </x:c>
      <x:c r="N209" s="120" t="str">
        <x:v>https://raw.githubusercontent.com/PyPSA/technology-data/v0.15.0/outputs/costs_2050.csv</x:v>
      </x:c>
      <x:c r="O209" s="83" t="str">
        <x:v>Values from different releases may use different currency-year and inflation conventions; do not blend releases.</x:v>
      </x:c>
    </x:row>
    <x:row r="210">
      <x:c r="A210" s="83" t="str">
        <x:v>EXT-0206</x:v>
      </x:c>
      <x:c r="B210" s="83" t="str">
        <x:v>PyPSA technology-data</x:v>
      </x:c>
      <x:c r="C210" s="83" t="str">
        <x:v>v0.15.0</x:v>
      </x:c>
      <x:c r="D210" s="83" t="n">
        <x:v>2050</x:v>
      </x:c>
      <x:c r="E210" s="83" t="str">
        <x:v>battery inverter</x:v>
      </x:c>
      <x:c r="F210" s="83" t="str">
        <x:v>investment</x:v>
      </x:c>
      <x:c r="G210" s="279" t="n">
        <x:v>80.223</x:v>
      </x:c>
      <x:c r="H210" s="83" t="str">
        <x:v>EUR/kW</x:v>
      </x:c>
      <x:c r="I210" s="83" t="str">
        <x:v>2025.0</x:v>
      </x:c>
      <x:c r="J210" s="83" t="str">
        <x:v>Danish Energy Agency, inputs/technology_data_catalogue_for_energy_storage.xlsx</x:v>
      </x:c>
      <x:c r="K210" s="83" t="str">
        <x:v>:  Output capacity expansion cost investment</x:v>
      </x:c>
      <x:c r="L210" s="83" t="str">
        <x:v>Context / capacity optimisation</x:v>
      </x:c>
      <x:c r="M210" s="83" t="str">
        <x:v>Candidate — do not adopt until CLI version is pinned</x:v>
      </x:c>
      <x:c r="N210" s="120" t="str">
        <x:v>https://raw.githubusercontent.com/PyPSA/technology-data/v0.15.0/outputs/costs_2050.csv</x:v>
      </x:c>
      <x:c r="O210" s="83" t="str">
        <x:v>Values from different releases may use different currency-year and inflation conventions; do not blend releases.</x:v>
      </x:c>
    </x:row>
    <x:row r="211">
      <x:c r="A211" s="83" t="str">
        <x:v>EXT-0207</x:v>
      </x:c>
      <x:c r="B211" s="83" t="str">
        <x:v>PyPSA technology-data</x:v>
      </x:c>
      <x:c r="C211" s="83" t="str">
        <x:v>v0.15.0</x:v>
      </x:c>
      <x:c r="D211" s="83" t="n">
        <x:v>2050</x:v>
      </x:c>
      <x:c r="E211" s="83" t="str">
        <x:v>battery inverter</x:v>
      </x:c>
      <x:c r="F211" s="83" t="str">
        <x:v>lifetime</x:v>
      </x:c>
      <x:c r="G211" s="279" t="n">
        <x:v>10</x:v>
      </x:c>
      <x:c r="H211" s="83" t="str">
        <x:v>years</x:v>
      </x:c>
      <x:c r="I211" s="83" t="str">
        <x:v>2020.0</x:v>
      </x:c>
      <x:c r="J211" s="83" t="str">
        <x:v>Danish Energy Agency, inputs/technology_data_catalogue_for_energy_storage.xlsx, Note K.</x:v>
      </x:c>
      <x:c r="K211" s="83" t="str">
        <x:v>:  Technical lifetime</x:v>
      </x:c>
      <x:c r="L211" s="83" t="str">
        <x:v>Context / capacity optimisation</x:v>
      </x:c>
      <x:c r="M211" s="83" t="str">
        <x:v>Candidate — do not adopt until CLI version is pinned</x:v>
      </x:c>
      <x:c r="N211" s="120" t="str">
        <x:v>https://raw.githubusercontent.com/PyPSA/technology-data/v0.15.0/outputs/costs_2050.csv</x:v>
      </x:c>
      <x:c r="O211" s="83" t="str">
        <x:v>Values from different releases may use different currency-year and inflation conventions; do not blend releases.</x:v>
      </x:c>
    </x:row>
    <x:row r="212">
      <x:c r="A212" s="83" t="str">
        <x:v>EXT-0208</x:v>
      </x:c>
      <x:c r="B212" s="83" t="str">
        <x:v>PyPSA technology-data</x:v>
      </x:c>
      <x:c r="C212" s="83" t="str">
        <x:v>v0.15.0</x:v>
      </x:c>
      <x:c r="D212" s="83" t="n">
        <x:v>2050</x:v>
      </x:c>
      <x:c r="E212" s="83" t="str">
        <x:v>battery storage</x:v>
      </x:c>
      <x:c r="F212" s="83" t="str">
        <x:v>investment</x:v>
      </x:c>
      <x:c r="G212" s="279" t="n">
        <x:v>100.2787</x:v>
      </x:c>
      <x:c r="H212" s="83" t="str">
        <x:v>EUR/kWh</x:v>
      </x:c>
      <x:c r="I212" s="83" t="str">
        <x:v>2025.0</x:v>
      </x:c>
      <x:c r="J212" s="83" t="str">
        <x:v>Danish Energy Agency, inputs/technology_data_catalogue_for_energy_storage.xlsx</x:v>
      </x:c>
      <x:c r="K212" s="83" t="str">
        <x:v>:  Energy storage expansion cost investment</x:v>
      </x:c>
      <x:c r="L212" s="83" t="str">
        <x:v>Context / capacity optimisation</x:v>
      </x:c>
      <x:c r="M212" s="83" t="str">
        <x:v>Candidate — do not adopt until CLI version is pinned</x:v>
      </x:c>
      <x:c r="N212" s="120" t="str">
        <x:v>https://raw.githubusercontent.com/PyPSA/technology-data/v0.15.0/outputs/costs_2050.csv</x:v>
      </x:c>
      <x:c r="O212" s="83" t="str">
        <x:v>Values from different releases may use different currency-year and inflation conventions; do not blend releases.</x:v>
      </x:c>
    </x:row>
    <x:row r="213">
      <x:c r="A213" s="83" t="str">
        <x:v>EXT-0209</x:v>
      </x:c>
      <x:c r="B213" s="83" t="str">
        <x:v>PyPSA technology-data</x:v>
      </x:c>
      <x:c r="C213" s="83" t="str">
        <x:v>v0.15.0</x:v>
      </x:c>
      <x:c r="D213" s="83" t="n">
        <x:v>2050</x:v>
      </x:c>
      <x:c r="E213" s="83" t="str">
        <x:v>battery storage</x:v>
      </x:c>
      <x:c r="F213" s="83" t="str">
        <x:v>lifetime</x:v>
      </x:c>
      <x:c r="G213" s="279" t="n">
        <x:v>30</x:v>
      </x:c>
      <x:c r="H213" s="83" t="str">
        <x:v>years</x:v>
      </x:c>
      <x:c r="I213" s="83" t="str">
        <x:v>2020.0</x:v>
      </x:c>
      <x:c r="J213" s="83" t="str">
        <x:v>Danish Energy Agency, inputs/technology_data_catalogue_for_energy_storage.xlsx</x:v>
      </x:c>
      <x:c r="K213" s="83" t="str">
        <x:v>:  Technical lifetime</x:v>
      </x:c>
      <x:c r="L213" s="83" t="str">
        <x:v>Context / capacity optimisation</x:v>
      </x:c>
      <x:c r="M213" s="83" t="str">
        <x:v>Candidate — do not adopt until CLI version is pinned</x:v>
      </x:c>
      <x:c r="N213" s="120" t="str">
        <x:v>https://raw.githubusercontent.com/PyPSA/technology-data/v0.15.0/outputs/costs_2050.csv</x:v>
      </x:c>
      <x:c r="O213" s="83" t="str">
        <x:v>Values from different releases may use different currency-year and inflation conventions; do not blend releases.</x:v>
      </x:c>
    </x:row>
    <x:row r="214">
      <x:c r="A214" s="83" t="str">
        <x:v>EXT-0210</x:v>
      </x:c>
      <x:c r="B214" s="83" t="str">
        <x:v>PyPSA technology-data</x:v>
      </x:c>
      <x:c r="C214" s="83" t="str">
        <x:v>v0.15.0</x:v>
      </x:c>
      <x:c r="D214" s="83" t="n">
        <x:v>2050</x:v>
      </x:c>
      <x:c r="E214" s="83" t="str">
        <x:v>biomass</x:v>
      </x:c>
      <x:c r="F214" s="83" t="str">
        <x:v>FOM</x:v>
      </x:c>
      <x:c r="G214" s="279" t="n">
        <x:v>4.5269</x:v>
      </x:c>
      <x:c r="H214" s="83" t="str">
        <x:v>%/year</x:v>
      </x:c>
      <x:c r="I214" s="83" t="str">
        <x:v>2015.0</x:v>
      </x:c>
      <x:c r="J214" s="83" t="str">
        <x:v>DIW DataDoc http://hdl.handle.net/10419/80348</x:v>
      </x:c>
      <x:c r="K214" s="83" t="str">
        <x:v> from old pypsa cost assumptions</x:v>
      </x:c>
      <x:c r="L214" s="83" t="str">
        <x:v>Context / capacity optimisation</x:v>
      </x:c>
      <x:c r="M214" s="83" t="str">
        <x:v>Candidate — do not adopt until CLI version is pinned</x:v>
      </x:c>
      <x:c r="N214" s="120" t="str">
        <x:v>https://raw.githubusercontent.com/PyPSA/technology-data/v0.15.0/outputs/costs_2050.csv</x:v>
      </x:c>
      <x:c r="O214" s="83" t="str">
        <x:v>Values from different releases may use different currency-year and inflation conventions; do not blend releases.</x:v>
      </x:c>
    </x:row>
    <x:row r="215">
      <x:c r="A215" s="83" t="str">
        <x:v>EXT-0211</x:v>
      </x:c>
      <x:c r="B215" s="83" t="str">
        <x:v>PyPSA technology-data</x:v>
      </x:c>
      <x:c r="C215" s="83" t="str">
        <x:v>v0.15.0</x:v>
      </x:c>
      <x:c r="D215" s="83" t="n">
        <x:v>2050</x:v>
      </x:c>
      <x:c r="E215" s="83" t="str">
        <x:v>biomass</x:v>
      </x:c>
      <x:c r="F215" s="83" t="str">
        <x:v>efficiency</x:v>
      </x:c>
      <x:c r="G215" s="279" t="n">
        <x:v>0.468</x:v>
      </x:c>
      <x:c r="H215" s="83" t="str">
        <x:v>per unit</x:v>
      </x:c>
      <x:c r="I215" s="83" t="str">
        <x:v>2015.0</x:v>
      </x:c>
      <x:c r="J215" s="83" t="str">
        <x:v>DIW DataDoc http://hdl.handle.net/10419/80348</x:v>
      </x:c>
      <x:c r="K215" s="83" t="str">
        <x:v> from old pypsa cost assumptions</x:v>
      </x:c>
      <x:c r="L215" s="83" t="str">
        <x:v>Direct candidate</x:v>
      </x:c>
      <x:c r="M215" s="83" t="str">
        <x:v>Candidate — do not adopt until CLI version is pinned</x:v>
      </x:c>
      <x:c r="N215" s="120" t="str">
        <x:v>https://raw.githubusercontent.com/PyPSA/technology-data/v0.15.0/outputs/costs_2050.csv</x:v>
      </x:c>
      <x:c r="O215" s="83" t="str">
        <x:v>Values from different releases may use different currency-year and inflation conventions; do not blend releases.</x:v>
      </x:c>
    </x:row>
    <x:row r="216">
      <x:c r="A216" s="83" t="str">
        <x:v>EXT-0212</x:v>
      </x:c>
      <x:c r="B216" s="83" t="str">
        <x:v>PyPSA technology-data</x:v>
      </x:c>
      <x:c r="C216" s="83" t="str">
        <x:v>v0.15.0</x:v>
      </x:c>
      <x:c r="D216" s="83" t="n">
        <x:v>2050</x:v>
      </x:c>
      <x:c r="E216" s="83" t="str">
        <x:v>biomass</x:v>
      </x:c>
      <x:c r="F216" s="83" t="str">
        <x:v>fuel</x:v>
      </x:c>
      <x:c r="G216" s="279" t="n">
        <x:v>9.3506</x:v>
      </x:c>
      <x:c r="H216" s="83" t="str">
        <x:v>EUR/MWhth</x:v>
      </x:c>
      <x:c r="I216" s="83" t="str">
        <x:v>2025.0</x:v>
      </x:c>
      <x:c r="J216" s="83" t="str">
        <x:v>IEA2011b</x:v>
      </x:c>
      <x:c r="K216" s="83" t="str">
        <x:v> from old pypsa cost assumptions</x:v>
      </x:c>
      <x:c r="L216" s="83" t="str">
        <x:v>Direct candidate</x:v>
      </x:c>
      <x:c r="M216" s="83" t="str">
        <x:v>Candidate — do not adopt until CLI version is pinned</x:v>
      </x:c>
      <x:c r="N216" s="120" t="str">
        <x:v>https://raw.githubusercontent.com/PyPSA/technology-data/v0.15.0/outputs/costs_2050.csv</x:v>
      </x:c>
      <x:c r="O216" s="83" t="str">
        <x:v>Values from different releases may use different currency-year and inflation conventions; do not blend releases.</x:v>
      </x:c>
    </x:row>
    <x:row r="217">
      <x:c r="A217" s="83" t="str">
        <x:v>EXT-0213</x:v>
      </x:c>
      <x:c r="B217" s="83" t="str">
        <x:v>PyPSA technology-data</x:v>
      </x:c>
      <x:c r="C217" s="83" t="str">
        <x:v>v0.15.0</x:v>
      </x:c>
      <x:c r="D217" s="83" t="n">
        <x:v>2050</x:v>
      </x:c>
      <x:c r="E217" s="83" t="str">
        <x:v>biomass</x:v>
      </x:c>
      <x:c r="F217" s="83" t="str">
        <x:v>investment</x:v>
      </x:c>
      <x:c r="G217" s="279" t="n">
        <x:v>2950.7891</x:v>
      </x:c>
      <x:c r="H217" s="83" t="str">
        <x:v>EUR/kWel</x:v>
      </x:c>
      <x:c r="I217" s="83" t="str">
        <x:v>2025.0</x:v>
      </x:c>
      <x:c r="J217" s="83" t="str">
        <x:v>DIW DataDoc http://hdl.handle.net/10419/80348</x:v>
      </x:c>
      <x:c r="K217" s="83" t="str">
        <x:v> from old pypsa cost assumptions</x:v>
      </x:c>
      <x:c r="L217" s="83" t="str">
        <x:v>Context / capacity optimisation</x:v>
      </x:c>
      <x:c r="M217" s="83" t="str">
        <x:v>Candidate — do not adopt until CLI version is pinned</x:v>
      </x:c>
      <x:c r="N217" s="120" t="str">
        <x:v>https://raw.githubusercontent.com/PyPSA/technology-data/v0.15.0/outputs/costs_2050.csv</x:v>
      </x:c>
      <x:c r="O217" s="83" t="str">
        <x:v>Values from different releases may use different currency-year and inflation conventions; do not blend releases.</x:v>
      </x:c>
    </x:row>
    <x:row r="218">
      <x:c r="A218" s="83" t="str">
        <x:v>EXT-0214</x:v>
      </x:c>
      <x:c r="B218" s="83" t="str">
        <x:v>PyPSA technology-data</x:v>
      </x:c>
      <x:c r="C218" s="83" t="str">
        <x:v>v0.15.0</x:v>
      </x:c>
      <x:c r="D218" s="83" t="n">
        <x:v>2050</x:v>
      </x:c>
      <x:c r="E218" s="83" t="str">
        <x:v>biomass</x:v>
      </x:c>
      <x:c r="F218" s="83" t="str">
        <x:v>lifetime</x:v>
      </x:c>
      <x:c r="G218" s="279" t="n">
        <x:v>30</x:v>
      </x:c>
      <x:c r="H218" s="83" t="str">
        <x:v>years</x:v>
      </x:c>
      <x:c r="I218" s="83" t="str">
        <x:v>2015.0</x:v>
      </x:c>
      <x:c r="J218" s="83" t="str">
        <x:v>ECF2010 in DIW DataDoc http://hdl.handle.net/10419/80348</x:v>
      </x:c>
      <x:c r="K218" s="83" t="str">
        <x:v> from old pypsa cost assumptions</x:v>
      </x:c>
      <x:c r="L218" s="83" t="str">
        <x:v>Context / capacity optimisation</x:v>
      </x:c>
      <x:c r="M218" s="83" t="str">
        <x:v>Candidate — do not adopt until CLI version is pinned</x:v>
      </x:c>
      <x:c r="N218" s="120" t="str">
        <x:v>https://raw.githubusercontent.com/PyPSA/technology-data/v0.15.0/outputs/costs_2050.csv</x:v>
      </x:c>
      <x:c r="O218" s="83" t="str">
        <x:v>Values from different releases may use different currency-year and inflation conventions; do not blend releases.</x:v>
      </x:c>
    </x:row>
    <x:row r="219">
      <x:c r="A219" s="83" t="str">
        <x:v>EXT-0215</x:v>
      </x:c>
      <x:c r="B219" s="83" t="str">
        <x:v>PyPSA technology-data</x:v>
      </x:c>
      <x:c r="C219" s="83" t="str">
        <x:v>v0.15.0</x:v>
      </x:c>
      <x:c r="D219" s="83" t="n">
        <x:v>2050</x:v>
      </x:c>
      <x:c r="E219" s="83" t="str">
        <x:v>electrolysis</x:v>
      </x:c>
      <x:c r="F219" s="83" t="str">
        <x:v>FOM</x:v>
      </x:c>
      <x:c r="G219" s="279" t="n">
        <x:v>4</x:v>
      </x:c>
      <x:c r="H219" s="83" t="str">
        <x:v>%/year</x:v>
      </x:c>
      <x:c r="I219" s="83" t="str">
        <x:v>2020.0</x:v>
      </x:c>
      <x:c r="J219" s="83" t="str">
        <x:v>Danish Energy Agency, inputs/data_sheets_for_renewable_fuels.xlsx</x:v>
      </x:c>
      <x:c r="K219" s="83" t="str">
        <x:v>86 AEC 100 MW:  Fixed O&amp;M </x:v>
      </x:c>
      <x:c r="L219" s="83" t="str">
        <x:v>Context / capacity optimisation</x:v>
      </x:c>
      <x:c r="M219" s="83" t="str">
        <x:v>Candidate — do not adopt until CLI version is pinned</x:v>
      </x:c>
      <x:c r="N219" s="120" t="str">
        <x:v>https://raw.githubusercontent.com/PyPSA/technology-data/v0.15.0/outputs/costs_2050.csv</x:v>
      </x:c>
      <x:c r="O219" s="83" t="str">
        <x:v>Values from different releases may use different currency-year and inflation conventions; do not blend releases.</x:v>
      </x:c>
    </x:row>
    <x:row r="220">
      <x:c r="A220" s="83" t="str">
        <x:v>EXT-0216</x:v>
      </x:c>
      <x:c r="B220" s="83" t="str">
        <x:v>PyPSA technology-data</x:v>
      </x:c>
      <x:c r="C220" s="83" t="str">
        <x:v>v0.15.0</x:v>
      </x:c>
      <x:c r="D220" s="83" t="n">
        <x:v>2050</x:v>
      </x:c>
      <x:c r="E220" s="83" t="str">
        <x:v>electrolysis</x:v>
      </x:c>
      <x:c r="F220" s="83" t="str">
        <x:v>efficiency</x:v>
      </x:c>
      <x:c r="G220" s="279" t="n">
        <x:v>0.6994</x:v>
      </x:c>
      <x:c r="H220" s="83" t="str">
        <x:v>per unit</x:v>
      </x:c>
      <x:c r="I220" s="83" t="str">
        <x:v>2020.0</x:v>
      </x:c>
      <x:c r="J220" s="83" t="str">
        <x:v>Danish Energy Agency, inputs/data_sheets_for_renewable_fuels.xlsx</x:v>
      </x:c>
      <x:c r="K220" s="83" t="str">
        <x:v>86 AEC 100 MW:  Hydrogen Output</x:v>
      </x:c>
      <x:c r="L220" s="83" t="str">
        <x:v>Direct candidate</x:v>
      </x:c>
      <x:c r="M220" s="83" t="str">
        <x:v>Candidate — do not adopt until CLI version is pinned</x:v>
      </x:c>
      <x:c r="N220" s="120" t="str">
        <x:v>https://raw.githubusercontent.com/PyPSA/technology-data/v0.15.0/outputs/costs_2050.csv</x:v>
      </x:c>
      <x:c r="O220" s="83" t="str">
        <x:v>Values from different releases may use different currency-year and inflation conventions; do not blend releases.</x:v>
      </x:c>
    </x:row>
    <x:row r="221">
      <x:c r="A221" s="83" t="str">
        <x:v>EXT-0217</x:v>
      </x:c>
      <x:c r="B221" s="83" t="str">
        <x:v>PyPSA technology-data</x:v>
      </x:c>
      <x:c r="C221" s="83" t="str">
        <x:v>v0.15.0</x:v>
      </x:c>
      <x:c r="D221" s="83" t="n">
        <x:v>2050</x:v>
      </x:c>
      <x:c r="E221" s="83" t="str">
        <x:v>electrolysis</x:v>
      </x:c>
      <x:c r="F221" s="83" t="str">
        <x:v>efficiency-heat</x:v>
      </x:c>
      <x:c r="G221" s="279" t="n">
        <x:v>0.1294</x:v>
      </x:c>
      <x:c r="H221" s="83" t="str">
        <x:v>per unit</x:v>
      </x:c>
      <x:c r="I221" s="83" t="str">
        <x:v>2020.0</x:v>
      </x:c>
      <x:c r="J221" s="83" t="str">
        <x:v>Danish Energy Agency, inputs/data_sheets_for_renewable_fuels.xlsx</x:v>
      </x:c>
      <x:c r="K221" s="83" t="str">
        <x:v>86 AEC 100 MW:   - hereof recoverable for district heating</x:v>
      </x:c>
      <x:c r="L221" s="83" t="str">
        <x:v>Context / capacity optimisation</x:v>
      </x:c>
      <x:c r="M221" s="83" t="str">
        <x:v>Candidate — do not adopt until CLI version is pinned</x:v>
      </x:c>
      <x:c r="N221" s="120" t="str">
        <x:v>https://raw.githubusercontent.com/PyPSA/technology-data/v0.15.0/outputs/costs_2050.csv</x:v>
      </x:c>
      <x:c r="O221" s="83" t="str">
        <x:v>Values from different releases may use different currency-year and inflation conventions; do not blend releases.</x:v>
      </x:c>
    </x:row>
    <x:row r="222">
      <x:c r="A222" s="83" t="str">
        <x:v>EXT-0218</x:v>
      </x:c>
      <x:c r="B222" s="83" t="str">
        <x:v>PyPSA technology-data</x:v>
      </x:c>
      <x:c r="C222" s="83" t="str">
        <x:v>v0.15.0</x:v>
      </x:c>
      <x:c r="D222" s="83" t="n">
        <x:v>2050</x:v>
      </x:c>
      <x:c r="E222" s="83" t="str">
        <x:v>electrolysis</x:v>
      </x:c>
      <x:c r="F222" s="83" t="str">
        <x:v>investment</x:v>
      </x:c>
      <x:c r="G222" s="279" t="n">
        <x:v>1257.3346</x:v>
      </x:c>
      <x:c r="H222" s="83" t="str">
        <x:v>EUR/kW_e</x:v>
      </x:c>
      <x:c r="I222" s="83" t="str">
        <x:v>2025.0</x:v>
      </x:c>
      <x:c r="J222" s="83" t="str">
        <x:v>private communications; IEA https://iea.blob.core.windows.net/assets/9e0c82d4-06d2-496b-9542-f184ba803645/TheRoleofE-fuelsinDecarbonisingTransport.pdf</x:v>
      </x:c>
      <x:c r="K222" s="83" t="str"/>
      <x:c r="L222" s="83" t="str">
        <x:v>Context / capacity optimisation</x:v>
      </x:c>
      <x:c r="M222" s="83" t="str">
        <x:v>Candidate — do not adopt until CLI version is pinned</x:v>
      </x:c>
      <x:c r="N222" s="120" t="str">
        <x:v>https://raw.githubusercontent.com/PyPSA/technology-data/v0.15.0/outputs/costs_2050.csv</x:v>
      </x:c>
      <x:c r="O222" s="83" t="str">
        <x:v>Values from different releases may use different currency-year and inflation conventions; do not blend releases.</x:v>
      </x:c>
    </x:row>
    <x:row r="223">
      <x:c r="A223" s="83" t="str">
        <x:v>EXT-0219</x:v>
      </x:c>
      <x:c r="B223" s="83" t="str">
        <x:v>PyPSA technology-data</x:v>
      </x:c>
      <x:c r="C223" s="83" t="str">
        <x:v>v0.15.0</x:v>
      </x:c>
      <x:c r="D223" s="83" t="n">
        <x:v>2050</x:v>
      </x:c>
      <x:c r="E223" s="83" t="str">
        <x:v>electrolysis</x:v>
      </x:c>
      <x:c r="F223" s="83" t="str">
        <x:v>lifetime</x:v>
      </x:c>
      <x:c r="G223" s="279" t="n">
        <x:v>25</x:v>
      </x:c>
      <x:c r="H223" s="83" t="str">
        <x:v>years</x:v>
      </x:c>
      <x:c r="I223" s="83" t="str">
        <x:v>2020.0</x:v>
      </x:c>
      <x:c r="J223" s="83" t="str">
        <x:v>Danish Energy Agency, inputs/data_sheets_for_renewable_fuels.xlsx</x:v>
      </x:c>
      <x:c r="K223" s="83" t="str">
        <x:v>86 AEC 100 MW:  Technical lifetime</x:v>
      </x:c>
      <x:c r="L223" s="83" t="str">
        <x:v>Context / capacity optimisation</x:v>
      </x:c>
      <x:c r="M223" s="83" t="str">
        <x:v>Candidate — do not adopt until CLI version is pinned</x:v>
      </x:c>
      <x:c r="N223" s="120" t="str">
        <x:v>https://raw.githubusercontent.com/PyPSA/technology-data/v0.15.0/outputs/costs_2050.csv</x:v>
      </x:c>
      <x:c r="O223" s="83" t="str">
        <x:v>Values from different releases may use different currency-year and inflation conventions; do not blend releases.</x:v>
      </x:c>
    </x:row>
    <x:row r="224">
      <x:c r="A224" s="83" t="str">
        <x:v>EXT-0220</x:v>
      </x:c>
      <x:c r="B224" s="83" t="str">
        <x:v>PyPSA technology-data</x:v>
      </x:c>
      <x:c r="C224" s="83" t="str">
        <x:v>v0.15.0</x:v>
      </x:c>
      <x:c r="D224" s="83" t="n">
        <x:v>2050</x:v>
      </x:c>
      <x:c r="E224" s="83" t="str">
        <x:v>gas</x:v>
      </x:c>
      <x:c r="F224" s="83" t="str">
        <x:v>CO2 intensity</x:v>
      </x:c>
      <x:c r="G224" s="279" t="n">
        <x:v>0.198</x:v>
      </x:c>
      <x:c r="H224" s="83" t="str">
        <x:v>tCO2/MWh_th</x:v>
      </x:c>
      <x:c r="I224" s="83" t="str"/>
      <x:c r="J224" s="83" t="str">
        <x:v>Stoichiometric calculation with 50 GJ/t CH4</x:v>
      </x:c>
      <x:c r="K224" s="83" t="str"/>
      <x:c r="L224" s="83" t="str">
        <x:v>Direct candidate</x:v>
      </x:c>
      <x:c r="M224" s="83" t="str">
        <x:v>Candidate — do not adopt until CLI version is pinned</x:v>
      </x:c>
      <x:c r="N224" s="120" t="str">
        <x:v>https://raw.githubusercontent.com/PyPSA/technology-data/v0.15.0/outputs/costs_2050.csv</x:v>
      </x:c>
      <x:c r="O224" s="83" t="str">
        <x:v>Values from different releases may use different currency-year and inflation conventions; do not blend releases.</x:v>
      </x:c>
    </x:row>
    <x:row r="225">
      <x:c r="A225" s="83" t="str">
        <x:v>EXT-0221</x:v>
      </x:c>
      <x:c r="B225" s="83" t="str">
        <x:v>PyPSA technology-data</x:v>
      </x:c>
      <x:c r="C225" s="83" t="str">
        <x:v>v0.15.0</x:v>
      </x:c>
      <x:c r="D225" s="83" t="n">
        <x:v>2050</x:v>
      </x:c>
      <x:c r="E225" s="83" t="str">
        <x:v>gas</x:v>
      </x:c>
      <x:c r="F225" s="83" t="str">
        <x:v>fuel</x:v>
      </x:c>
      <x:c r="G225" s="279" t="n">
        <x:v>22.7578</x:v>
      </x:c>
      <x:c r="H225" s="83" t="str">
        <x:v>EUR/MWh_th</x:v>
      </x:c>
      <x:c r="I225" s="83" t="str">
        <x:v>2025.0</x:v>
      </x:c>
      <x:c r="J225" s="83" t="str">
        <x:v>World Bank (2025) Commodity Markets, https://www.worldbank.org/en/research/commodity-markets; and ENTSO-E &amp; ENTSOG TYNDP 2024 Scenarios Inputs Commodity Prices, https://2024-data.entsos-tyndp-scenarios.eu/files/scenarios-inputs/Prices.zip, accessed: 2026-02-03.</x:v>
      </x:c>
      <x:c r="K225" s="83" t="str">
        <x:v>average monthly prices, 1 MWh = 3.412142 MMBTU, 0.85 USD/EUR; and average monthly prices, 1 MWh = 3.412142 MMBTU, 0.836 USD/EUR; and Based on IEA 2022 (APS) data, 3.6 GJ/MWh</x:v>
      </x:c>
      <x:c r="L225" s="83" t="str">
        <x:v>Direct candidate</x:v>
      </x:c>
      <x:c r="M225" s="83" t="str">
        <x:v>Candidate — do not adopt until CLI version is pinned</x:v>
      </x:c>
      <x:c r="N225" s="120" t="str">
        <x:v>https://raw.githubusercontent.com/PyPSA/technology-data/v0.15.0/outputs/costs_2050.csv</x:v>
      </x:c>
      <x:c r="O225" s="83" t="str">
        <x:v>Values from different releases may use different currency-year and inflation conventions; do not blend releases.</x:v>
      </x:c>
    </x:row>
    <x:row r="226">
      <x:c r="A226" s="83" t="str">
        <x:v>EXT-0222</x:v>
      </x:c>
      <x:c r="B226" s="83" t="str">
        <x:v>PyPSA technology-data</x:v>
      </x:c>
      <x:c r="C226" s="83" t="str">
        <x:v>v0.15.0</x:v>
      </x:c>
      <x:c r="D226" s="83" t="n">
        <x:v>2050</x:v>
      </x:c>
      <x:c r="E226" s="83" t="str">
        <x:v>geothermal</x:v>
      </x:c>
      <x:c r="F226" s="83" t="str">
        <x:v>CO2 intensity</x:v>
      </x:c>
      <x:c r="G226" s="279" t="n">
        <x:v>0.12</x:v>
      </x:c>
      <x:c r="H226" s="83" t="str">
        <x:v>tCO2/MWh_th</x:v>
      </x:c>
      <x:c r="I226" s="83" t="str">
        <x:v>2020.0</x:v>
      </x:c>
      <x:c r="J226" s="83" t="str">
        <x:v>Aghahosseini, Breyer 2020: From hot rock to useful energy: A global estimate of enhanced geothermal systems potential, https://www.sciencedirect.com/science/article/pii/S0306261920312551</x:v>
      </x:c>
      <x:c r="K226" s="83" t="str">
        <x:v>Likely to be improved; Average of 85 percent of global egs power plant capacity; Result of fluid circulation through rock formations</x:v>
      </x:c>
      <x:c r="L226" s="83" t="str">
        <x:v>Direct candidate</x:v>
      </x:c>
      <x:c r="M226" s="83" t="str">
        <x:v>Candidate — do not adopt until CLI version is pinned</x:v>
      </x:c>
      <x:c r="N226" s="120" t="str">
        <x:v>https://raw.githubusercontent.com/PyPSA/technology-data/v0.15.0/outputs/costs_2050.csv</x:v>
      </x:c>
      <x:c r="O226" s="83" t="str">
        <x:v>Values from different releases may use different currency-year and inflation conventions; do not blend releases.</x:v>
      </x:c>
    </x:row>
    <x:row r="227">
      <x:c r="A227" s="83" t="str">
        <x:v>EXT-0223</x:v>
      </x:c>
      <x:c r="B227" s="83" t="str">
        <x:v>PyPSA technology-data</x:v>
      </x:c>
      <x:c r="C227" s="83" t="str">
        <x:v>v0.15.0</x:v>
      </x:c>
      <x:c r="D227" s="83" t="n">
        <x:v>2050</x:v>
      </x:c>
      <x:c r="E227" s="83" t="str">
        <x:v>geothermal</x:v>
      </x:c>
      <x:c r="F227" s="83" t="str">
        <x:v>FOM</x:v>
      </x:c>
      <x:c r="G227" s="279" t="n">
        <x:v>2</x:v>
      </x:c>
      <x:c r="H227" s="83" t="str">
        <x:v>%/year</x:v>
      </x:c>
      <x:c r="I227" s="83" t="str">
        <x:v>2020.0</x:v>
      </x:c>
      <x:c r="J227" s="83" t="str">
        <x:v>Aghahosseini, Breyer 2020: From hot rock to useful energy: A global estimate of enhanced geothermal systems potential, https://www.sciencedirect.com/science/article/pii/S0306261920312551</x:v>
      </x:c>
      <x:c r="K227" s="83" t="str">
        <x:v>See Supplemental Material of source for details</x:v>
      </x:c>
      <x:c r="L227" s="83" t="str">
        <x:v>Context / capacity optimisation</x:v>
      </x:c>
      <x:c r="M227" s="83" t="str">
        <x:v>Candidate — do not adopt until CLI version is pinned</x:v>
      </x:c>
      <x:c r="N227" s="120" t="str">
        <x:v>https://raw.githubusercontent.com/PyPSA/technology-data/v0.15.0/outputs/costs_2050.csv</x:v>
      </x:c>
      <x:c r="O227" s="83" t="str">
        <x:v>Values from different releases may use different currency-year and inflation conventions; do not blend releases.</x:v>
      </x:c>
    </x:row>
    <x:row r="228">
      <x:c r="A228" s="83" t="str">
        <x:v>EXT-0224</x:v>
      </x:c>
      <x:c r="B228" s="83" t="str">
        <x:v>PyPSA technology-data</x:v>
      </x:c>
      <x:c r="C228" s="83" t="str">
        <x:v>v0.15.0</x:v>
      </x:c>
      <x:c r="D228" s="83" t="n">
        <x:v>2050</x:v>
      </x:c>
      <x:c r="E228" s="83" t="str">
        <x:v>geothermal</x:v>
      </x:c>
      <x:c r="F228" s="83" t="str">
        <x:v>lifetime</x:v>
      </x:c>
      <x:c r="G228" s="279" t="n">
        <x:v>30</x:v>
      </x:c>
      <x:c r="H228" s="83" t="str">
        <x:v>years</x:v>
      </x:c>
      <x:c r="I228" s="83" t="str">
        <x:v>2020.0</x:v>
      </x:c>
      <x:c r="J228" s="83" t="str">
        <x:v>Aghahosseini, Breyer 2020: From hot rock to useful energy: A global estimate of enhanced geothermal systems potential, https://www.sciencedirect.com/science/article/pii/S0306261920312551</x:v>
      </x:c>
      <x:c r="K228" s="83" t="str"/>
      <x:c r="L228" s="83" t="str">
        <x:v>Context / capacity optimisation</x:v>
      </x:c>
      <x:c r="M228" s="83" t="str">
        <x:v>Candidate — do not adopt until CLI version is pinned</x:v>
      </x:c>
      <x:c r="N228" s="120" t="str">
        <x:v>https://raw.githubusercontent.com/PyPSA/technology-data/v0.15.0/outputs/costs_2050.csv</x:v>
      </x:c>
      <x:c r="O228" s="83" t="str">
        <x:v>Values from different releases may use different currency-year and inflation conventions; do not blend releases.</x:v>
      </x:c>
    </x:row>
    <x:row r="229">
      <x:c r="A229" s="83" t="str">
        <x:v>EXT-0225</x:v>
      </x:c>
      <x:c r="B229" s="83" t="str">
        <x:v>PyPSA technology-data</x:v>
      </x:c>
      <x:c r="C229" s="83" t="str">
        <x:v>v0.15.0</x:v>
      </x:c>
      <x:c r="D229" s="83" t="n">
        <x:v>2050</x:v>
      </x:c>
      <x:c r="E229" s="83" t="str">
        <x:v>hydro</x:v>
      </x:c>
      <x:c r="F229" s="83" t="str">
        <x:v>FOM</x:v>
      </x:c>
      <x:c r="G229" s="279" t="n">
        <x:v>1</x:v>
      </x:c>
      <x:c r="H229" s="83" t="str">
        <x:v>%/year</x:v>
      </x:c>
      <x:c r="I229" s="83" t="str">
        <x:v>2015.0</x:v>
      </x:c>
      <x:c r="J229" s="83" t="str">
        <x:v>DIW DataDoc http://hdl.handle.net/10419/80348</x:v>
      </x:c>
      <x:c r="K229" s="83" t="str">
        <x:v> from old pypsa cost assumptions</x:v>
      </x:c>
      <x:c r="L229" s="83" t="str">
        <x:v>Context / capacity optimisation</x:v>
      </x:c>
      <x:c r="M229" s="83" t="str">
        <x:v>Candidate — do not adopt until CLI version is pinned</x:v>
      </x:c>
      <x:c r="N229" s="120" t="str">
        <x:v>https://raw.githubusercontent.com/PyPSA/technology-data/v0.15.0/outputs/costs_2050.csv</x:v>
      </x:c>
      <x:c r="O229" s="83" t="str">
        <x:v>Values from different releases may use different currency-year and inflation conventions; do not blend releases.</x:v>
      </x:c>
    </x:row>
    <x:row r="230">
      <x:c r="A230" s="83" t="str">
        <x:v>EXT-0226</x:v>
      </x:c>
      <x:c r="B230" s="83" t="str">
        <x:v>PyPSA technology-data</x:v>
      </x:c>
      <x:c r="C230" s="83" t="str">
        <x:v>v0.15.0</x:v>
      </x:c>
      <x:c r="D230" s="83" t="n">
        <x:v>2050</x:v>
      </x:c>
      <x:c r="E230" s="83" t="str">
        <x:v>hydro</x:v>
      </x:c>
      <x:c r="F230" s="83" t="str">
        <x:v>efficiency</x:v>
      </x:c>
      <x:c r="G230" s="279" t="n">
        <x:v>0.9</x:v>
      </x:c>
      <x:c r="H230" s="83" t="str">
        <x:v>per unit</x:v>
      </x:c>
      <x:c r="I230" s="83" t="str">
        <x:v>2015.0</x:v>
      </x:c>
      <x:c r="J230" s="83" t="str">
        <x:v>DIW DataDoc http://hdl.handle.net/10419/80348</x:v>
      </x:c>
      <x:c r="K230" s="83" t="str">
        <x:v> from old pypsa cost assumptions</x:v>
      </x:c>
      <x:c r="L230" s="83" t="str">
        <x:v>Direct candidate</x:v>
      </x:c>
      <x:c r="M230" s="83" t="str">
        <x:v>Candidate — do not adopt until CLI version is pinned</x:v>
      </x:c>
      <x:c r="N230" s="120" t="str">
        <x:v>https://raw.githubusercontent.com/PyPSA/technology-data/v0.15.0/outputs/costs_2050.csv</x:v>
      </x:c>
      <x:c r="O230" s="83" t="str">
        <x:v>Values from different releases may use different currency-year and inflation conventions; do not blend releases.</x:v>
      </x:c>
    </x:row>
    <x:row r="231">
      <x:c r="A231" s="83" t="str">
        <x:v>EXT-0227</x:v>
      </x:c>
      <x:c r="B231" s="83" t="str">
        <x:v>PyPSA technology-data</x:v>
      </x:c>
      <x:c r="C231" s="83" t="str">
        <x:v>v0.15.0</x:v>
      </x:c>
      <x:c r="D231" s="83" t="n">
        <x:v>2050</x:v>
      </x:c>
      <x:c r="E231" s="83" t="str">
        <x:v>hydro</x:v>
      </x:c>
      <x:c r="F231" s="83" t="str">
        <x:v>investment</x:v>
      </x:c>
      <x:c r="G231" s="279" t="n">
        <x:v>2888.5279</x:v>
      </x:c>
      <x:c r="H231" s="83" t="str">
        <x:v>EUR/kWel</x:v>
      </x:c>
      <x:c r="I231" s="83" t="str">
        <x:v>2025.0</x:v>
      </x:c>
      <x:c r="J231" s="83" t="str">
        <x:v>DIW DataDoc http://hdl.handle.net/10419/80348</x:v>
      </x:c>
      <x:c r="K231" s="83" t="str">
        <x:v> from old pypsa cost assumptions</x:v>
      </x:c>
      <x:c r="L231" s="83" t="str">
        <x:v>Context / capacity optimisation</x:v>
      </x:c>
      <x:c r="M231" s="83" t="str">
        <x:v>Candidate — do not adopt until CLI version is pinned</x:v>
      </x:c>
      <x:c r="N231" s="120" t="str">
        <x:v>https://raw.githubusercontent.com/PyPSA/technology-data/v0.15.0/outputs/costs_2050.csv</x:v>
      </x:c>
      <x:c r="O231" s="83" t="str">
        <x:v>Values from different releases may use different currency-year and inflation conventions; do not blend releases.</x:v>
      </x:c>
    </x:row>
    <x:row r="232">
      <x:c r="A232" s="83" t="str">
        <x:v>EXT-0228</x:v>
      </x:c>
      <x:c r="B232" s="83" t="str">
        <x:v>PyPSA technology-data</x:v>
      </x:c>
      <x:c r="C232" s="83" t="str">
        <x:v>v0.15.0</x:v>
      </x:c>
      <x:c r="D232" s="83" t="n">
        <x:v>2050</x:v>
      </x:c>
      <x:c r="E232" s="83" t="str">
        <x:v>hydro</x:v>
      </x:c>
      <x:c r="F232" s="83" t="str">
        <x:v>lifetime</x:v>
      </x:c>
      <x:c r="G232" s="279" t="n">
        <x:v>80</x:v>
      </x:c>
      <x:c r="H232" s="83" t="str">
        <x:v>years</x:v>
      </x:c>
      <x:c r="I232" s="83" t="str">
        <x:v>2015.0</x:v>
      </x:c>
      <x:c r="J232" s="83" t="str">
        <x:v>IEA2010</x:v>
      </x:c>
      <x:c r="K232" s="83" t="str">
        <x:v> from old pypsa cost assumptions</x:v>
      </x:c>
      <x:c r="L232" s="83" t="str">
        <x:v>Context / capacity optimisation</x:v>
      </x:c>
      <x:c r="M232" s="83" t="str">
        <x:v>Candidate — do not adopt until CLI version is pinned</x:v>
      </x:c>
      <x:c r="N232" s="120" t="str">
        <x:v>https://raw.githubusercontent.com/PyPSA/technology-data/v0.15.0/outputs/costs_2050.csv</x:v>
      </x:c>
      <x:c r="O232" s="83" t="str">
        <x:v>Values from different releases may use different currency-year and inflation conventions; do not blend releases.</x:v>
      </x:c>
    </x:row>
    <x:row r="233">
      <x:c r="A233" s="83" t="str">
        <x:v>EXT-0229</x:v>
      </x:c>
      <x:c r="B233" s="83" t="str">
        <x:v>PyPSA technology-data</x:v>
      </x:c>
      <x:c r="C233" s="83" t="str">
        <x:v>v0.15.0</x:v>
      </x:c>
      <x:c r="D233" s="83" t="n">
        <x:v>2050</x:v>
      </x:c>
      <x:c r="E233" s="83" t="str">
        <x:v>nuclear</x:v>
      </x:c>
      <x:c r="F233" s="83" t="str">
        <x:v>FOM</x:v>
      </x:c>
      <x:c r="G233" s="279" t="n">
        <x:v>1.27</x:v>
      </x:c>
      <x:c r="H233" s="83" t="str">
        <x:v>%/year</x:v>
      </x:c>
      <x:c r="I233" s="83" t="str">
        <x:v>2023.0</x:v>
      </x:c>
      <x:c r="J233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3" s="83" t="str">
        <x:v>U.S. specific costs including newly commissioned Vogtle plant, average of range and currency converted, i.e. (131.5+152.75)/2 USD/kW_e / (1.09 USD/EUR) relative to investment costs.</x:v>
      </x:c>
      <x:c r="L233" s="83" t="str">
        <x:v>Context / capacity optimisation</x:v>
      </x:c>
      <x:c r="M233" s="83" t="str">
        <x:v>Candidate — do not adopt until CLI version is pinned</x:v>
      </x:c>
      <x:c r="N233" s="120" t="str">
        <x:v>https://raw.githubusercontent.com/PyPSA/technology-data/v0.15.0/outputs/costs_2050.csv</x:v>
      </x:c>
      <x:c r="O233" s="83" t="str">
        <x:v>Values from different releases may use different currency-year and inflation conventions; do not blend releases.</x:v>
      </x:c>
    </x:row>
    <x:row r="234">
      <x:c r="A234" s="83" t="str">
        <x:v>EXT-0230</x:v>
      </x:c>
      <x:c r="B234" s="83" t="str">
        <x:v>PyPSA technology-data</x:v>
      </x:c>
      <x:c r="C234" s="83" t="str">
        <x:v>v0.15.0</x:v>
      </x:c>
      <x:c r="D234" s="83" t="n">
        <x:v>2050</x:v>
      </x:c>
      <x:c r="E234" s="83" t="str">
        <x:v>nuclear</x:v>
      </x:c>
      <x:c r="F234" s="83" t="str">
        <x:v>VOM</x:v>
      </x:c>
      <x:c r="G234" s="279" t="n">
        <x:v>4.459</x:v>
      </x:c>
      <x:c r="H234" s="83" t="str">
        <x:v>EUR/MWh_e</x:v>
      </x:c>
      <x:c r="I234" s="83" t="str">
        <x:v>2025.0</x:v>
      </x:c>
      <x:c r="J234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4" s="83" t="str">
        <x:v>U.S. specific costs including newly commissioned Vogtle plant, average of range and currency converted, i.e. (4.25+5)/2 USD/kW_e / (1.09 USD/EUR) .</x:v>
      </x:c>
      <x:c r="L234" s="83" t="str">
        <x:v>Direct candidate</x:v>
      </x:c>
      <x:c r="M234" s="83" t="str">
        <x:v>Candidate — do not adopt until CLI version is pinned</x:v>
      </x:c>
      <x:c r="N234" s="120" t="str">
        <x:v>https://raw.githubusercontent.com/PyPSA/technology-data/v0.15.0/outputs/costs_2050.csv</x:v>
      </x:c>
      <x:c r="O234" s="83" t="str">
        <x:v>Values from different releases may use different currency-year and inflation conventions; do not blend releases.</x:v>
      </x:c>
    </x:row>
    <x:row r="235">
      <x:c r="A235" s="83" t="str">
        <x:v>EXT-0231</x:v>
      </x:c>
      <x:c r="B235" s="83" t="str">
        <x:v>PyPSA technology-data</x:v>
      </x:c>
      <x:c r="C235" s="83" t="str">
        <x:v>v0.15.0</x:v>
      </x:c>
      <x:c r="D235" s="83" t="n">
        <x:v>2050</x:v>
      </x:c>
      <x:c r="E235" s="83" t="str">
        <x:v>nuclear</x:v>
      </x:c>
      <x:c r="F235" s="83" t="str">
        <x:v>efficiency</x:v>
      </x:c>
      <x:c r="G235" s="279" t="n">
        <x:v>0.326</x:v>
      </x:c>
      <x:c r="H235" s="83" t="str">
        <x:v>p.u.</x:v>
      </x:c>
      <x:c r="I235" s="83" t="str">
        <x:v>2023.0</x:v>
      </x:c>
      <x:c r="J235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5" s="83" t="str">
        <x:v>Based on heat rate of 10.45 MMBtu/MWh_e and 3.4095 MMBtu/MWh_th, i.e. 1/(10.45/3.4095) = 0.3260.</x:v>
      </x:c>
      <x:c r="L235" s="83" t="str">
        <x:v>Direct candidate</x:v>
      </x:c>
      <x:c r="M235" s="83" t="str">
        <x:v>Candidate — do not adopt until CLI version is pinned</x:v>
      </x:c>
      <x:c r="N235" s="120" t="str">
        <x:v>https://raw.githubusercontent.com/PyPSA/technology-data/v0.15.0/outputs/costs_2050.csv</x:v>
      </x:c>
      <x:c r="O235" s="83" t="str">
        <x:v>Values from different releases may use different currency-year and inflation conventions; do not blend releases.</x:v>
      </x:c>
    </x:row>
    <x:row r="236">
      <x:c r="A236" s="83" t="str">
        <x:v>EXT-0232</x:v>
      </x:c>
      <x:c r="B236" s="83" t="str">
        <x:v>PyPSA technology-data</x:v>
      </x:c>
      <x:c r="C236" s="83" t="str">
        <x:v>v0.15.0</x:v>
      </x:c>
      <x:c r="D236" s="83" t="n">
        <x:v>2050</x:v>
      </x:c>
      <x:c r="E236" s="83" t="str">
        <x:v>nuclear</x:v>
      </x:c>
      <x:c r="F236" s="83" t="str">
        <x:v>fuel</x:v>
      </x:c>
      <x:c r="G236" s="279" t="n">
        <x:v>7.4536</x:v>
      </x:c>
      <x:c r="H236" s="83" t="str">
        <x:v>EUR/MWh_th</x:v>
      </x:c>
      <x:c r="I236" s="83" t="str">
        <x:v>2025.0</x:v>
      </x:c>
      <x:c r="J236" s="83" t="str">
        <x:v>ENTSO-E &amp; ENTSOG TYNDP 2024 Scenarios Inputs Commodity Prices, https://2024-data.entsos-tyndp-scenarios.eu/files/scenarios-inputs/Prices.zip, accessed: 2026-02-03.</x:v>
      </x:c>
      <x:c r="K236" s="83" t="str">
        <x:v>Based on EIA (2022) data, 3.6 GJ/MWh.</x:v>
      </x:c>
      <x:c r="L236" s="83" t="str">
        <x:v>Direct candidate</x:v>
      </x:c>
      <x:c r="M236" s="83" t="str">
        <x:v>Candidate — do not adopt until CLI version is pinned</x:v>
      </x:c>
      <x:c r="N236" s="120" t="str">
        <x:v>https://raw.githubusercontent.com/PyPSA/technology-data/v0.15.0/outputs/costs_2050.csv</x:v>
      </x:c>
      <x:c r="O236" s="83" t="str">
        <x:v>Values from different releases may use different currency-year and inflation conventions; do not blend releases.</x:v>
      </x:c>
    </x:row>
    <x:row r="237">
      <x:c r="A237" s="83" t="str">
        <x:v>EXT-0233</x:v>
      </x:c>
      <x:c r="B237" s="83" t="str">
        <x:v>PyPSA technology-data</x:v>
      </x:c>
      <x:c r="C237" s="83" t="str">
        <x:v>v0.15.0</x:v>
      </x:c>
      <x:c r="D237" s="83" t="n">
        <x:v>2050</x:v>
      </x:c>
      <x:c r="E237" s="83" t="str">
        <x:v>nuclear</x:v>
      </x:c>
      <x:c r="F237" s="83" t="str">
        <x:v>investment</x:v>
      </x:c>
      <x:c r="G237" s="279" t="n">
        <x:v>10805.7038</x:v>
      </x:c>
      <x:c r="H237" s="83" t="str">
        <x:v>EUR/kW_e</x:v>
      </x:c>
      <x:c r="I237" s="83" t="str">
        <x:v>2025.0</x:v>
      </x:c>
      <x:c r="J237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7" s="83" t="str">
        <x:v>U.S. specific costs including newly commissioned Vogtle plant, average of range and currency converted, i.e. (8475+13925)/2 USD/kW_e / (1.09 USD/EUR) .</x:v>
      </x:c>
      <x:c r="L237" s="83" t="str">
        <x:v>Context / capacity optimisation</x:v>
      </x:c>
      <x:c r="M237" s="83" t="str">
        <x:v>Candidate — do not adopt until CLI version is pinned</x:v>
      </x:c>
      <x:c r="N237" s="120" t="str">
        <x:v>https://raw.githubusercontent.com/PyPSA/technology-data/v0.15.0/outputs/costs_2050.csv</x:v>
      </x:c>
      <x:c r="O237" s="83" t="str">
        <x:v>Values from different releases may use different currency-year and inflation conventions; do not blend releases.</x:v>
      </x:c>
    </x:row>
    <x:row r="238">
      <x:c r="A238" s="83" t="str">
        <x:v>EXT-0234</x:v>
      </x:c>
      <x:c r="B238" s="83" t="str">
        <x:v>PyPSA technology-data</x:v>
      </x:c>
      <x:c r="C238" s="83" t="str">
        <x:v>v0.15.0</x:v>
      </x:c>
      <x:c r="D238" s="83" t="n">
        <x:v>2050</x:v>
      </x:c>
      <x:c r="E238" s="83" t="str">
        <x:v>nuclear</x:v>
      </x:c>
      <x:c r="F238" s="83" t="str">
        <x:v>lifetime</x:v>
      </x:c>
      <x:c r="G238" s="279" t="n">
        <x:v>40</x:v>
      </x:c>
      <x:c r="H238" s="83" t="str">
        <x:v>years</x:v>
      </x:c>
      <x:c r="I238" s="83" t="str">
        <x:v>2023.0</x:v>
      </x:c>
      <x:c r="J238" s="83" t="str">
        <x:v>Lazard's levelized cost of energy analysis - version 16.0 (2023): https://www.lazard.com/media/typdgxmm/lazards-lcoeplus-april-2023.pdf , pg. 49 (Levelized Cost of Energy - Key Assumptions), accessed: 2023-12-14.</x:v>
      </x:c>
      <x:c r="K238" s="83" t="str"/>
      <x:c r="L238" s="83" t="str">
        <x:v>Context / capacity optimisation</x:v>
      </x:c>
      <x:c r="M238" s="83" t="str">
        <x:v>Candidate — do not adopt until CLI version is pinned</x:v>
      </x:c>
      <x:c r="N238" s="120" t="str">
        <x:v>https://raw.githubusercontent.com/PyPSA/technology-data/v0.15.0/outputs/costs_2050.csv</x:v>
      </x:c>
      <x:c r="O238" s="83" t="str">
        <x:v>Values from different releases may use different currency-year and inflation conventions; do not blend releases.</x:v>
      </x:c>
    </x:row>
    <x:row r="239">
      <x:c r="A239" s="83" t="str">
        <x:v>EXT-0235</x:v>
      </x:c>
      <x:c r="B239" s="83" t="str">
        <x:v>PyPSA technology-data</x:v>
      </x:c>
      <x:c r="C239" s="83" t="str">
        <x:v>v0.15.0</x:v>
      </x:c>
      <x:c r="D239" s="83" t="n">
        <x:v>2050</x:v>
      </x:c>
      <x:c r="E239" s="83" t="str">
        <x:v>offwind</x:v>
      </x:c>
      <x:c r="F239" s="83" t="str">
        <x:v>FOM</x:v>
      </x:c>
      <x:c r="G239" s="279" t="n">
        <x:v>2.1655</x:v>
      </x:c>
      <x:c r="H239" s="83" t="str">
        <x:v>%/year</x:v>
      </x:c>
      <x:c r="I239" s="83" t="str">
        <x:v>2020.0</x:v>
      </x:c>
      <x:c r="J239" s="83" t="str">
        <x:v>Danish Energy Agency, inputs/technology_data_for_el_and_dh.xlsx</x:v>
      </x:c>
      <x:c r="K239" s="83" t="str">
        <x:v>21 Offshore turbines:  Fixed O&amp;M [EUR/MW_e/y, 2020]</x:v>
      </x:c>
      <x:c r="L239" s="83" t="str">
        <x:v>Context / capacity optimisation</x:v>
      </x:c>
      <x:c r="M239" s="83" t="str">
        <x:v>Candidate — do not adopt until CLI version is pinned</x:v>
      </x:c>
      <x:c r="N239" s="120" t="str">
        <x:v>https://raw.githubusercontent.com/PyPSA/technology-data/v0.15.0/outputs/costs_2050.csv</x:v>
      </x:c>
      <x:c r="O239" s="83" t="str">
        <x:v>Values from different releases may use different currency-year and inflation conventions; do not blend releases.</x:v>
      </x:c>
    </x:row>
    <x:row r="240">
      <x:c r="A240" s="83" t="str">
        <x:v>EXT-0236</x:v>
      </x:c>
      <x:c r="B240" s="83" t="str">
        <x:v>PyPSA technology-data</x:v>
      </x:c>
      <x:c r="C240" s="83" t="str">
        <x:v>v0.15.0</x:v>
      </x:c>
      <x:c r="D240" s="83" t="n">
        <x:v>2050</x:v>
      </x:c>
      <x:c r="E240" s="83" t="str">
        <x:v>offwind</x:v>
      </x:c>
      <x:c r="F240" s="83" t="str">
        <x:v>VOM</x:v>
      </x:c>
      <x:c r="G240" s="279" t="n">
        <x:v>0.0267</x:v>
      </x:c>
      <x:c r="H240" s="83" t="str">
        <x:v>EUR/MWhel</x:v>
      </x:c>
      <x:c r="I240" s="83" t="str">
        <x:v>2025.0</x:v>
      </x:c>
      <x:c r="J240" s="83" t="str">
        <x:v>RES costs made up to fix curtailment order</x:v>
      </x:c>
      <x:c r="K240" s="83" t="str">
        <x:v> from old pypsa cost assumptions</x:v>
      </x:c>
      <x:c r="L240" s="83" t="str">
        <x:v>Direct candidate</x:v>
      </x:c>
      <x:c r="M240" s="83" t="str">
        <x:v>Candidate — do not adopt until CLI version is pinned</x:v>
      </x:c>
      <x:c r="N240" s="120" t="str">
        <x:v>https://raw.githubusercontent.com/PyPSA/technology-data/v0.15.0/outputs/costs_2050.csv</x:v>
      </x:c>
      <x:c r="O240" s="83" t="str">
        <x:v>Values from different releases may use different currency-year and inflation conventions; do not blend releases.</x:v>
      </x:c>
    </x:row>
    <x:row r="241">
      <x:c r="A241" s="83" t="str">
        <x:v>EXT-0237</x:v>
      </x:c>
      <x:c r="B241" s="83" t="str">
        <x:v>PyPSA technology-data</x:v>
      </x:c>
      <x:c r="C241" s="83" t="str">
        <x:v>v0.15.0</x:v>
      </x:c>
      <x:c r="D241" s="83" t="n">
        <x:v>2050</x:v>
      </x:c>
      <x:c r="E241" s="83" t="str">
        <x:v>offwind</x:v>
      </x:c>
      <x:c r="F241" s="83" t="str">
        <x:v>investment</x:v>
      </x:c>
      <x:c r="G241" s="279" t="n">
        <x:v>1916.0913</x:v>
      </x:c>
      <x:c r="H241" s="83" t="str">
        <x:v>EUR/kW_e, 2020</x:v>
      </x:c>
      <x:c r="I241" s="83" t="str">
        <x:v>2025.0</x:v>
      </x:c>
      <x:c r="J241" s="83" t="str">
        <x:v>Danish Energy Agency, inputs/technology_data_for_el_and_dh.xlsx</x:v>
      </x:c>
      <x:c r="K241" s="83" t="str">
        <x:v>21 Offshore turbines:  Nominal investment [MEUR/MW_e, 2020] grid connection costs subtracted from investment costs</x:v>
      </x:c>
      <x:c r="L241" s="83" t="str">
        <x:v>Context / capacity optimisation</x:v>
      </x:c>
      <x:c r="M241" s="83" t="str">
        <x:v>Candidate — do not adopt until CLI version is pinned</x:v>
      </x:c>
      <x:c r="N241" s="120" t="str">
        <x:v>https://raw.githubusercontent.com/PyPSA/technology-data/v0.15.0/outputs/costs_2050.csv</x:v>
      </x:c>
      <x:c r="O241" s="83" t="str">
        <x:v>Values from different releases may use different currency-year and inflation conventions; do not blend releases.</x:v>
      </x:c>
    </x:row>
    <x:row r="242">
      <x:c r="A242" s="83" t="str">
        <x:v>EXT-0238</x:v>
      </x:c>
      <x:c r="B242" s="83" t="str">
        <x:v>PyPSA technology-data</x:v>
      </x:c>
      <x:c r="C242" s="83" t="str">
        <x:v>v0.15.0</x:v>
      </x:c>
      <x:c r="D242" s="83" t="n">
        <x:v>2050</x:v>
      </x:c>
      <x:c r="E242" s="83" t="str">
        <x:v>offwind</x:v>
      </x:c>
      <x:c r="F242" s="83" t="str">
        <x:v>lifetime</x:v>
      </x:c>
      <x:c r="G242" s="279" t="n">
        <x:v>30</x:v>
      </x:c>
      <x:c r="H242" s="83" t="str">
        <x:v>years</x:v>
      </x:c>
      <x:c r="I242" s="83" t="str">
        <x:v>2020.0</x:v>
      </x:c>
      <x:c r="J242" s="83" t="str">
        <x:v>Danish Energy Agency, inputs/technology_data_for_el_and_dh.xlsx</x:v>
      </x:c>
      <x:c r="K242" s="83" t="str">
        <x:v>21 Offshore turbines:  Technical lifetime [years]</x:v>
      </x:c>
      <x:c r="L242" s="83" t="str">
        <x:v>Context / capacity optimisation</x:v>
      </x:c>
      <x:c r="M242" s="83" t="str">
        <x:v>Candidate — do not adopt until CLI version is pinned</x:v>
      </x:c>
      <x:c r="N242" s="120" t="str">
        <x:v>https://raw.githubusercontent.com/PyPSA/technology-data/v0.15.0/outputs/costs_2050.csv</x:v>
      </x:c>
      <x:c r="O242" s="83" t="str">
        <x:v>Values from different releases may use different currency-year and inflation conventions; do not blend releases.</x:v>
      </x:c>
    </x:row>
    <x:row r="243">
      <x:c r="A243" s="83" t="str">
        <x:v>EXT-0239</x:v>
      </x:c>
      <x:c r="B243" s="83" t="str">
        <x:v>PyPSA technology-data</x:v>
      </x:c>
      <x:c r="C243" s="83" t="str">
        <x:v>v0.15.0</x:v>
      </x:c>
      <x:c r="D243" s="83" t="n">
        <x:v>2050</x:v>
      </x:c>
      <x:c r="E243" s="83" t="str">
        <x:v>offwind-float</x:v>
      </x:c>
      <x:c r="F243" s="83" t="str">
        <x:v>FOM</x:v>
      </x:c>
      <x:c r="G243" s="279" t="n">
        <x:v>1.39</x:v>
      </x:c>
      <x:c r="H243" s="83" t="str">
        <x:v>%/year</x:v>
      </x:c>
      <x:c r="I243" s="83" t="str">
        <x:v>2020.0</x:v>
      </x:c>
      <x:c r="J243" s="83" t="str">
        <x:v>https://doi.org/10.1016/j.adapen.2021.100067</x:v>
      </x:c>
      <x:c r="K243" s="83" t="str"/>
      <x:c r="L243" s="83" t="str">
        <x:v>Context / capacity optimisation</x:v>
      </x:c>
      <x:c r="M243" s="83" t="str">
        <x:v>Candidate — do not adopt until CLI version is pinned</x:v>
      </x:c>
      <x:c r="N243" s="120" t="str">
        <x:v>https://raw.githubusercontent.com/PyPSA/technology-data/v0.15.0/outputs/costs_2050.csv</x:v>
      </x:c>
      <x:c r="O243" s="83" t="str">
        <x:v>Values from different releases may use different currency-year and inflation conventions; do not blend releases.</x:v>
      </x:c>
    </x:row>
    <x:row r="244">
      <x:c r="A244" s="83" t="str">
        <x:v>EXT-0240</x:v>
      </x:c>
      <x:c r="B244" s="83" t="str">
        <x:v>PyPSA technology-data</x:v>
      </x:c>
      <x:c r="C244" s="83" t="str">
        <x:v>v0.15.0</x:v>
      </x:c>
      <x:c r="D244" s="83" t="n">
        <x:v>2050</x:v>
      </x:c>
      <x:c r="E244" s="83" t="str">
        <x:v>offwind-float</x:v>
      </x:c>
      <x:c r="F244" s="83" t="str">
        <x:v>investment</x:v>
      </x:c>
      <x:c r="G244" s="279" t="n">
        <x:v>1986.5887</x:v>
      </x:c>
      <x:c r="H244" s="83" t="str">
        <x:v>EUR/kWel</x:v>
      </x:c>
      <x:c r="I244" s="83" t="str">
        <x:v>2025.0</x:v>
      </x:c>
      <x:c r="J244" s="83" t="str">
        <x:v>https://doi.org/10.1016/j.adapen.2021.100067</x:v>
      </x:c>
      <x:c r="K244" s="83" t="str"/>
      <x:c r="L244" s="83" t="str">
        <x:v>Context / capacity optimisation</x:v>
      </x:c>
      <x:c r="M244" s="83" t="str">
        <x:v>Candidate — do not adopt until CLI version is pinned</x:v>
      </x:c>
      <x:c r="N244" s="120" t="str">
        <x:v>https://raw.githubusercontent.com/PyPSA/technology-data/v0.15.0/outputs/costs_2050.csv</x:v>
      </x:c>
      <x:c r="O244" s="83" t="str">
        <x:v>Values from different releases may use different currency-year and inflation conventions; do not blend releases.</x:v>
      </x:c>
    </x:row>
    <x:row r="245">
      <x:c r="A245" s="83" t="str">
        <x:v>EXT-0241</x:v>
      </x:c>
      <x:c r="B245" s="83" t="str">
        <x:v>PyPSA technology-data</x:v>
      </x:c>
      <x:c r="C245" s="83" t="str">
        <x:v>v0.15.0</x:v>
      </x:c>
      <x:c r="D245" s="83" t="n">
        <x:v>2050</x:v>
      </x:c>
      <x:c r="E245" s="83" t="str">
        <x:v>offwind-float</x:v>
      </x:c>
      <x:c r="F245" s="83" t="str">
        <x:v>lifetime</x:v>
      </x:c>
      <x:c r="G245" s="279" t="n">
        <x:v>20</x:v>
      </x:c>
      <x:c r="H245" s="83" t="str">
        <x:v>years</x:v>
      </x:c>
      <x:c r="I245" s="83" t="str">
        <x:v>2020.0</x:v>
      </x:c>
      <x:c r="J245" s="83" t="str">
        <x:v>C. Maienza 2020 A life cycle cost model for floating offshore wind farms</x:v>
      </x:c>
      <x:c r="K245" s="83" t="str"/>
      <x:c r="L245" s="83" t="str">
        <x:v>Context / capacity optimisation</x:v>
      </x:c>
      <x:c r="M245" s="83" t="str">
        <x:v>Candidate — do not adopt until CLI version is pinned</x:v>
      </x:c>
      <x:c r="N245" s="120" t="str">
        <x:v>https://raw.githubusercontent.com/PyPSA/technology-data/v0.15.0/outputs/costs_2050.csv</x:v>
      </x:c>
      <x:c r="O245" s="83" t="str">
        <x:v>Values from different releases may use different currency-year and inflation conventions; do not blend releases.</x:v>
      </x:c>
    </x:row>
    <x:row r="246">
      <x:c r="A246" s="83" t="str">
        <x:v>EXT-0242</x:v>
      </x:c>
      <x:c r="B246" s="83" t="str">
        <x:v>PyPSA technology-data</x:v>
      </x:c>
      <x:c r="C246" s="83" t="str">
        <x:v>v0.15.0</x:v>
      </x:c>
      <x:c r="D246" s="83" t="n">
        <x:v>2050</x:v>
      </x:c>
      <x:c r="E246" s="83" t="str">
        <x:v>onwind</x:v>
      </x:c>
      <x:c r="F246" s="83" t="str">
        <x:v>FOM</x:v>
      </x:c>
      <x:c r="G246" s="279" t="n">
        <x:v>1.1775</x:v>
      </x:c>
      <x:c r="H246" s="83" t="str">
        <x:v>%/year</x:v>
      </x:c>
      <x:c r="I246" s="83" t="str">
        <x:v>2015.0</x:v>
      </x:c>
      <x:c r="J246" s="83" t="str">
        <x:v>Danish Energy Agency, inputs/technology_data_for_el_and_dh.xlsx</x:v>
      </x:c>
      <x:c r="K246" s="83" t="str">
        <x:v>20 Onshore turbines:  Fixed O&amp;M</x:v>
      </x:c>
      <x:c r="L246" s="83" t="str">
        <x:v>Context / capacity optimisation</x:v>
      </x:c>
      <x:c r="M246" s="83" t="str">
        <x:v>Candidate — do not adopt until CLI version is pinned</x:v>
      </x:c>
      <x:c r="N246" s="120" t="str">
        <x:v>https://raw.githubusercontent.com/PyPSA/technology-data/v0.15.0/outputs/costs_2050.csv</x:v>
      </x:c>
      <x:c r="O246" s="83" t="str">
        <x:v>Values from different releases may use different currency-year and inflation conventions; do not blend releases.</x:v>
      </x:c>
    </x:row>
    <x:row r="247">
      <x:c r="A247" s="83" t="str">
        <x:v>EXT-0243</x:v>
      </x:c>
      <x:c r="B247" s="83" t="str">
        <x:v>PyPSA technology-data</x:v>
      </x:c>
      <x:c r="C247" s="83" t="str">
        <x:v>v0.15.0</x:v>
      </x:c>
      <x:c r="D247" s="83" t="n">
        <x:v>2050</x:v>
      </x:c>
      <x:c r="E247" s="83" t="str">
        <x:v>onwind</x:v>
      </x:c>
      <x:c r="F247" s="83" t="str">
        <x:v>VOM</x:v>
      </x:c>
      <x:c r="G247" s="279" t="n">
        <x:v>1.623</x:v>
      </x:c>
      <x:c r="H247" s="83" t="str">
        <x:v>EUR/MWh</x:v>
      </x:c>
      <x:c r="I247" s="83" t="str">
        <x:v>2025.0</x:v>
      </x:c>
      <x:c r="J247" s="83" t="str">
        <x:v>Danish Energy Agency, inputs/technology_data_for_el_and_dh.xlsx</x:v>
      </x:c>
      <x:c r="K247" s="83" t="str">
        <x:v>20 Onshore turbines:  Variable O&amp;M</x:v>
      </x:c>
      <x:c r="L247" s="83" t="str">
        <x:v>Direct candidate</x:v>
      </x:c>
      <x:c r="M247" s="83" t="str">
        <x:v>Candidate — do not adopt until CLI version is pinned</x:v>
      </x:c>
      <x:c r="N247" s="120" t="str">
        <x:v>https://raw.githubusercontent.com/PyPSA/technology-data/v0.15.0/outputs/costs_2050.csv</x:v>
      </x:c>
      <x:c r="O247" s="83" t="str">
        <x:v>Values from different releases may use different currency-year and inflation conventions; do not blend releases.</x:v>
      </x:c>
    </x:row>
    <x:row r="248">
      <x:c r="A248" s="83" t="str">
        <x:v>EXT-0244</x:v>
      </x:c>
      <x:c r="B248" s="83" t="str">
        <x:v>PyPSA technology-data</x:v>
      </x:c>
      <x:c r="C248" s="83" t="str">
        <x:v>v0.15.0</x:v>
      </x:c>
      <x:c r="D248" s="83" t="n">
        <x:v>2050</x:v>
      </x:c>
      <x:c r="E248" s="83" t="str">
        <x:v>onwind</x:v>
      </x:c>
      <x:c r="F248" s="83" t="str">
        <x:v>investment</x:v>
      </x:c>
      <x:c r="G248" s="279" t="n">
        <x:v>1286.4669</x:v>
      </x:c>
      <x:c r="H248" s="83" t="str">
        <x:v>EUR/kW</x:v>
      </x:c>
      <x:c r="I248" s="83" t="str">
        <x:v>2025.0</x:v>
      </x:c>
      <x:c r="J248" s="83" t="str">
        <x:v>Danish Energy Agency, inputs/technology_data_for_el_and_dh.xlsx</x:v>
      </x:c>
      <x:c r="K248" s="83" t="str">
        <x:v>20 Onshore turbines:  Nominal investment </x:v>
      </x:c>
      <x:c r="L248" s="83" t="str">
        <x:v>Context / capacity optimisation</x:v>
      </x:c>
      <x:c r="M248" s="83" t="str">
        <x:v>Candidate — do not adopt until CLI version is pinned</x:v>
      </x:c>
      <x:c r="N248" s="120" t="str">
        <x:v>https://raw.githubusercontent.com/PyPSA/technology-data/v0.15.0/outputs/costs_2050.csv</x:v>
      </x:c>
      <x:c r="O248" s="83" t="str">
        <x:v>Values from different releases may use different currency-year and inflation conventions; do not blend releases.</x:v>
      </x:c>
    </x:row>
    <x:row r="249">
      <x:c r="A249" s="83" t="str">
        <x:v>EXT-0245</x:v>
      </x:c>
      <x:c r="B249" s="83" t="str">
        <x:v>PyPSA technology-data</x:v>
      </x:c>
      <x:c r="C249" s="83" t="str">
        <x:v>v0.15.0</x:v>
      </x:c>
      <x:c r="D249" s="83" t="n">
        <x:v>2050</x:v>
      </x:c>
      <x:c r="E249" s="83" t="str">
        <x:v>onwind</x:v>
      </x:c>
      <x:c r="F249" s="83" t="str">
        <x:v>lifetime</x:v>
      </x:c>
      <x:c r="G249" s="279" t="n">
        <x:v>30</x:v>
      </x:c>
      <x:c r="H249" s="83" t="str">
        <x:v>years</x:v>
      </x:c>
      <x:c r="I249" s="83" t="str">
        <x:v>2015.0</x:v>
      </x:c>
      <x:c r="J249" s="83" t="str">
        <x:v>Danish Energy Agency, inputs/technology_data_for_el_and_dh.xlsx</x:v>
      </x:c>
      <x:c r="K249" s="83" t="str">
        <x:v>20 Onshore turbines:  Technical lifetime</x:v>
      </x:c>
      <x:c r="L249" s="83" t="str">
        <x:v>Context / capacity optimisation</x:v>
      </x:c>
      <x:c r="M249" s="83" t="str">
        <x:v>Candidate — do not adopt until CLI version is pinned</x:v>
      </x:c>
      <x:c r="N249" s="120" t="str">
        <x:v>https://raw.githubusercontent.com/PyPSA/technology-data/v0.15.0/outputs/costs_2050.csv</x:v>
      </x:c>
      <x:c r="O249" s="83" t="str">
        <x:v>Values from different releases may use different currency-year and inflation conventions; do not blend releases.</x:v>
      </x:c>
    </x:row>
    <x:row r="250">
      <x:c r="A250" s="83" t="str">
        <x:v>EXT-0246</x:v>
      </x:c>
      <x:c r="B250" s="83" t="str">
        <x:v>PyPSA technology-data</x:v>
      </x:c>
      <x:c r="C250" s="83" t="str">
        <x:v>v0.15.0</x:v>
      </x:c>
      <x:c r="D250" s="83" t="n">
        <x:v>2050</x:v>
      </x:c>
      <x:c r="E250" s="83" t="str">
        <x:v>solar-rooftop</x:v>
      </x:c>
      <x:c r="F250" s="83" t="str">
        <x:v>FOM</x:v>
      </x:c>
      <x:c r="G250" s="279" t="n">
        <x:v>1.6059</x:v>
      </x:c>
      <x:c r="H250" s="83" t="str">
        <x:v>%/year</x:v>
      </x:c>
      <x:c r="I250" s="83" t="str">
        <x:v>2020.0</x:v>
      </x:c>
      <x:c r="J250" s="83" t="str">
        <x:v>Calculated. See 'further description'.</x:v>
      </x:c>
      <x:c r="K250" s="83" t="str">
        <x:v>Mixed investment costs based on average of 50% 'solar-rooftop commercial' and 50% 'solar-rooftop residential'</x:v>
      </x:c>
      <x:c r="L250" s="83" t="str">
        <x:v>Context / capacity optimisation</x:v>
      </x:c>
      <x:c r="M250" s="83" t="str">
        <x:v>Candidate — do not adopt until CLI version is pinned</x:v>
      </x:c>
      <x:c r="N250" s="120" t="str">
        <x:v>https://raw.githubusercontent.com/PyPSA/technology-data/v0.15.0/outputs/costs_2050.csv</x:v>
      </x:c>
      <x:c r="O250" s="83" t="str">
        <x:v>Values from different releases may use different currency-year and inflation conventions; do not blend releases.</x:v>
      </x:c>
    </x:row>
    <x:row r="251">
      <x:c r="A251" s="83" t="str">
        <x:v>EXT-0247</x:v>
      </x:c>
      <x:c r="B251" s="83" t="str">
        <x:v>PyPSA technology-data</x:v>
      </x:c>
      <x:c r="C251" s="83" t="str">
        <x:v>v0.15.0</x:v>
      </x:c>
      <x:c r="D251" s="83" t="n">
        <x:v>2050</x:v>
      </x:c>
      <x:c r="E251" s="83" t="str">
        <x:v>solar-rooftop</x:v>
      </x:c>
      <x:c r="F251" s="83" t="str">
        <x:v>discount rate</x:v>
      </x:c>
      <x:c r="G251" s="279" t="n">
        <x:v>0.04</x:v>
      </x:c>
      <x:c r="H251" s="83" t="str">
        <x:v>per unit</x:v>
      </x:c>
      <x:c r="I251" s="83" t="str">
        <x:v>2015.0</x:v>
      </x:c>
      <x:c r="J251" s="83" t="str">
        <x:v>standard for decentral</x:v>
      </x:c>
      <x:c r="K251" s="83" t="str">
        <x:v> from old pypsa cost assumptions</x:v>
      </x:c>
      <x:c r="L251" s="83" t="str">
        <x:v>Context / capacity optimisation</x:v>
      </x:c>
      <x:c r="M251" s="83" t="str">
        <x:v>Candidate — do not adopt until CLI version is pinned</x:v>
      </x:c>
      <x:c r="N251" s="120" t="str">
        <x:v>https://raw.githubusercontent.com/PyPSA/technology-data/v0.15.0/outputs/costs_2050.csv</x:v>
      </x:c>
      <x:c r="O251" s="83" t="str">
        <x:v>Values from different releases may use different currency-year and inflation conventions; do not blend releases.</x:v>
      </x:c>
    </x:row>
    <x:row r="252">
      <x:c r="A252" s="83" t="str">
        <x:v>EXT-0248</x:v>
      </x:c>
      <x:c r="B252" s="83" t="str">
        <x:v>PyPSA technology-data</x:v>
      </x:c>
      <x:c r="C252" s="83" t="str">
        <x:v>v0.15.0</x:v>
      </x:c>
      <x:c r="D252" s="83" t="n">
        <x:v>2050</x:v>
      </x:c>
      <x:c r="E252" s="83" t="str">
        <x:v>solar-rooftop</x:v>
      </x:c>
      <x:c r="F252" s="83" t="str">
        <x:v>investment</x:v>
      </x:c>
      <x:c r="G252" s="279" t="n">
        <x:v>659.922</x:v>
      </x:c>
      <x:c r="H252" s="83" t="str">
        <x:v>EUR/kW_e</x:v>
      </x:c>
      <x:c r="I252" s="83" t="str">
        <x:v>2025.0</x:v>
      </x:c>
      <x:c r="J252" s="83" t="str">
        <x:v>Calculated. See 'further description'.</x:v>
      </x:c>
      <x:c r="K252" s="83" t="str">
        <x:v>Mixed investment costs based on average of 50% 'solar-rooftop commercial' and 50% 'solar-rooftop residential'</x:v>
      </x:c>
      <x:c r="L252" s="83" t="str">
        <x:v>Context / capacity optimisation</x:v>
      </x:c>
      <x:c r="M252" s="83" t="str">
        <x:v>Candidate — do not adopt until CLI version is pinned</x:v>
      </x:c>
      <x:c r="N252" s="120" t="str">
        <x:v>https://raw.githubusercontent.com/PyPSA/technology-data/v0.15.0/outputs/costs_2050.csv</x:v>
      </x:c>
      <x:c r="O252" s="83" t="str">
        <x:v>Values from different releases may use different currency-year and inflation conventions; do not blend releases.</x:v>
      </x:c>
    </x:row>
    <x:row r="253">
      <x:c r="A253" s="83" t="str">
        <x:v>EXT-0249</x:v>
      </x:c>
      <x:c r="B253" s="83" t="str">
        <x:v>PyPSA technology-data</x:v>
      </x:c>
      <x:c r="C253" s="83" t="str">
        <x:v>v0.15.0</x:v>
      </x:c>
      <x:c r="D253" s="83" t="n">
        <x:v>2050</x:v>
      </x:c>
      <x:c r="E253" s="83" t="str">
        <x:v>solar-rooftop</x:v>
      </x:c>
      <x:c r="F253" s="83" t="str">
        <x:v>lifetime</x:v>
      </x:c>
      <x:c r="G253" s="279" t="n">
        <x:v>40</x:v>
      </x:c>
      <x:c r="H253" s="83" t="str">
        <x:v>years</x:v>
      </x:c>
      <x:c r="I253" s="83" t="str">
        <x:v>2020.0</x:v>
      </x:c>
      <x:c r="J253" s="83" t="str">
        <x:v>Calculated. See 'further description'.</x:v>
      </x:c>
      <x:c r="K253" s="83" t="str">
        <x:v>Mixed investment costs based on average of 50% 'solar-rooftop commercial' and 50% 'solar-rooftop residential'</x:v>
      </x:c>
      <x:c r="L253" s="83" t="str">
        <x:v>Context / capacity optimisation</x:v>
      </x:c>
      <x:c r="M253" s="83" t="str">
        <x:v>Candidate — do not adopt until CLI version is pinned</x:v>
      </x:c>
      <x:c r="N253" s="120" t="str">
        <x:v>https://raw.githubusercontent.com/PyPSA/technology-data/v0.15.0/outputs/costs_2050.csv</x:v>
      </x:c>
      <x:c r="O253" s="83" t="str">
        <x:v>Values from different releases may use different currency-year and inflation conventions; do not blend releases.</x:v>
      </x:c>
    </x:row>
    <x:row r="254">
      <x:c r="A254" s="83" t="str">
        <x:v>EXT-0250</x:v>
      </x:c>
      <x:c r="B254" s="83" t="str">
        <x:v>PyPSA technology-data</x:v>
      </x:c>
      <x:c r="C254" s="83" t="str">
        <x:v>v0.15.0</x:v>
      </x:c>
      <x:c r="D254" s="83" t="n">
        <x:v>2050</x:v>
      </x:c>
      <x:c r="E254" s="83" t="str">
        <x:v>solar-utility</x:v>
      </x:c>
      <x:c r="F254" s="83" t="str">
        <x:v>FOM</x:v>
      </x:c>
      <x:c r="G254" s="279" t="n">
        <x:v>2.5292</x:v>
      </x:c>
      <x:c r="H254" s="83" t="str">
        <x:v>%/year</x:v>
      </x:c>
      <x:c r="I254" s="83" t="str">
        <x:v>2020.0</x:v>
      </x:c>
      <x:c r="J254" s="83" t="str">
        <x:v>Danish Energy Agency, inputs/technology_data_for_el_and_dh.xlsx</x:v>
      </x:c>
      <x:c r="K254" s="83" t="str">
        <x:v>22 Utility-scale PV:  Fixed O&amp;M [2020-EUR/MW_e/y]</x:v>
      </x:c>
      <x:c r="L254" s="83" t="str">
        <x:v>Context / capacity optimisation</x:v>
      </x:c>
      <x:c r="M254" s="83" t="str">
        <x:v>Candidate — do not adopt until CLI version is pinned</x:v>
      </x:c>
      <x:c r="N254" s="120" t="str">
        <x:v>https://raw.githubusercontent.com/PyPSA/technology-data/v0.15.0/outputs/costs_2050.csv</x:v>
      </x:c>
      <x:c r="O254" s="83" t="str">
        <x:v>Values from different releases may use different currency-year and inflation conventions; do not blend releases.</x:v>
      </x:c>
    </x:row>
    <x:row r="255">
      <x:c r="A255" s="83" t="str">
        <x:v>EXT-0251</x:v>
      </x:c>
      <x:c r="B255" s="83" t="str">
        <x:v>PyPSA technology-data</x:v>
      </x:c>
      <x:c r="C255" s="83" t="str">
        <x:v>v0.15.0</x:v>
      </x:c>
      <x:c r="D255" s="83" t="n">
        <x:v>2050</x:v>
      </x:c>
      <x:c r="E255" s="83" t="str">
        <x:v>solar-utility</x:v>
      </x:c>
      <x:c r="F255" s="83" t="str">
        <x:v>investment</x:v>
      </x:c>
      <x:c r="G255" s="279" t="n">
        <x:v>367.8671</x:v>
      </x:c>
      <x:c r="H255" s="83" t="str">
        <x:v>EUR/kW_e</x:v>
      </x:c>
      <x:c r="I255" s="83" t="str">
        <x:v>2025.0</x:v>
      </x:c>
      <x:c r="J255" s="83" t="str">
        <x:v>Danish Energy Agency, inputs/technology_data_for_el_and_dh.xlsx</x:v>
      </x:c>
      <x:c r="K255" s="83" t="str">
        <x:v>22 Utility-scale PV:  Nominal investment [2020-MEUR/MW_e]</x:v>
      </x:c>
      <x:c r="L255" s="83" t="str">
        <x:v>Context / capacity optimisation</x:v>
      </x:c>
      <x:c r="M255" s="83" t="str">
        <x:v>Candidate — do not adopt until CLI version is pinned</x:v>
      </x:c>
      <x:c r="N255" s="120" t="str">
        <x:v>https://raw.githubusercontent.com/PyPSA/technology-data/v0.15.0/outputs/costs_2050.csv</x:v>
      </x:c>
      <x:c r="O255" s="83" t="str">
        <x:v>Values from different releases may use different currency-year and inflation conventions; do not blend releases.</x:v>
      </x:c>
    </x:row>
    <x:row r="256">
      <x:c r="A256" s="83" t="str">
        <x:v>EXT-0252</x:v>
      </x:c>
      <x:c r="B256" s="83" t="str">
        <x:v>PyPSA technology-data</x:v>
      </x:c>
      <x:c r="C256" s="83" t="str">
        <x:v>v0.15.0</x:v>
      </x:c>
      <x:c r="D256" s="83" t="n">
        <x:v>2050</x:v>
      </x:c>
      <x:c r="E256" s="83" t="str">
        <x:v>solar-utility</x:v>
      </x:c>
      <x:c r="F256" s="83" t="str">
        <x:v>lifetime</x:v>
      </x:c>
      <x:c r="G256" s="279" t="n">
        <x:v>40</x:v>
      </x:c>
      <x:c r="H256" s="83" t="str">
        <x:v>years</x:v>
      </x:c>
      <x:c r="I256" s="83" t="str">
        <x:v>2020.0</x:v>
      </x:c>
      <x:c r="J256" s="83" t="str">
        <x:v>Danish Energy Agency, inputs/technology_data_for_el_and_dh.xlsx</x:v>
      </x:c>
      <x:c r="K256" s="83" t="str">
        <x:v>22 Utility-scale PV:  Technical lifetime [years]</x:v>
      </x:c>
      <x:c r="L256" s="83" t="str">
        <x:v>Context / capacity optimisation</x:v>
      </x:c>
      <x:c r="M256" s="83" t="str">
        <x:v>Candidate — do not adopt until CLI version is pinned</x:v>
      </x:c>
      <x:c r="N256" s="120" t="str">
        <x:v>https://raw.githubusercontent.com/PyPSA/technology-data/v0.15.0/outputs/costs_2050.csv</x:v>
      </x:c>
      <x:c r="O256" s="83" t="str">
        <x:v>Values from different releases may use different currency-year and inflation conventions; do not blend releases.</x:v>
      </x:c>
    </x:row>
  </x:sheetData>
  <x:mergeCells>
    <x:mergeCell ref="A1:O1"/>
    <x:mergeCell ref="A2:O2"/>
  </x:mergeCells>
  <x:conditionalFormatting sqref="C5:C256">
    <x:cfRule type="expression" dxfId="72" priority="1">
      <x:formula>C5="v0.15.0"</x:formula>
    </x:cfRule>
    <x:cfRule type="expression" dxfId="73" priority="2">
      <x:formula>C5="v0.9.2"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6df4b1255f48a3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42" hidden="0" customWidth="1"/>
    <x:col min="5" max="5" width="25" hidden="0" customWidth="1"/>
    <x:col min="6" max="6" width="20" hidden="0" customWidth="1"/>
    <x:col min="7" max="7" width="50" hidden="0" customWidth="1"/>
    <x:col min="8" max="8" width="58" hidden="0" customWidth="1"/>
    <x:col min="9" max="9" width="20" hidden="0" customWidth="1"/>
    <x:col min="10" max="10" width="56" hidden="0" customWidth="1"/>
    <x:col min="11" max="11" width="12" hidden="0" customWidth="1"/>
    <x:col min="12" max="12" width="24" hidden="0" customWidth="1"/>
    <x:col min="13" max="13" width="16" hidden="0" customWidth="1"/>
    <x:col min="14" max="14" width="64" hidden="0" customWidth="1"/>
  </x:cols>
  <x:sheetData>
    <x:row r="1" ht="34" customHeight="1">
      <x:c r="A1" s="270" t="str">
        <x:v>Registro dei gap e delle fonti esterne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</x:row>
    <x:row r="2" ht="30" customHeight="1">
      <x:c r="A2" s="274" t="str">
        <x:v>30 gap espliciti; i P0 bloccano il model build ma non la prosecuzione metodologica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</x:row>
    <x:row r="4" ht="42" customHeight="1">
      <x:c r="A4" s="278" t="str">
        <x:v>Gap ID</x:v>
      </x:c>
      <x:c r="B4" s="278" t="str">
        <x:v>Categoria</x:v>
      </x:c>
      <x:c r="C4" s="278" t="str">
        <x:v>Tecnologia</x:v>
      </x:c>
      <x:c r="D4" s="278" t="str">
        <x:v>Parametro</x:v>
      </x:c>
      <x:c r="E4" s="278" t="str">
        <x:v>Criticità dispatch</x:v>
      </x:c>
      <x:c r="F4" s="278" t="str">
        <x:v>Criticità report</x:v>
      </x:c>
      <x:c r="G4" s="278" t="str">
        <x:v>Fonte candidata</x:v>
      </x:c>
      <x:c r="H4" s="278" t="str">
        <x:v>URL candidato</x:v>
      </x:c>
      <x:c r="I4" s="278" t="str">
        <x:v>Anno monetario</x:v>
      </x:c>
      <x:c r="J4" s="278" t="str">
        <x:v>Conversione richiesta</x:v>
      </x:c>
      <x:c r="K4" s="278" t="str">
        <x:v>Priorità</x:v>
      </x:c>
      <x:c r="L4" s="278" t="str">
        <x:v>Fase risoluzione</x:v>
      </x:c>
      <x:c r="M4" s="278" t="str">
        <x:v>Stato</x:v>
      </x:c>
      <x:c r="N4" s="278" t="str">
        <x:v>Note</x:v>
      </x:c>
    </x:row>
    <x:row r="5">
      <x:c r="A5" s="83" t="str">
        <x:v>G3D-001</x:v>
      </x:c>
      <x:c r="B5" s="83" t="str">
        <x:v>Thermal</x:v>
      </x:c>
      <x:c r="C5" s="83" t="str">
        <x:v>CCGT fleet cohorts</x:v>
      </x:c>
      <x:c r="D5" s="83" t="str">
        <x:v>Efficiency by cohort and year</x:v>
      </x:c>
      <x:c r="E5" s="83" t="str">
        <x:v>Critical</x:v>
      </x:c>
      <x:c r="F5" s="83" t="str">
        <x:v>High</x:v>
      </x:c>
      <x:c r="G5" s="83" t="str">
        <x:v>Plant-level data / pinned technology-data / JRC</x:v>
      </x:c>
      <x:c r="H5" s="120" t="str">
        <x:v>https://github.com/PyPSA/technology-data</x:v>
      </x:c>
      <x:c r="I5" s="83" t="str">
        <x:v>n/a</x:v>
      </x:c>
      <x:c r="J5" s="83" t="str">
        <x:v>Map plants to cohorts; no monetary conversion</x:v>
      </x:c>
      <x:c r="K5" s="83" t="str">
        <x:v>P0</x:v>
      </x:c>
      <x:c r="L5" s="83" t="str">
        <x:v>Phase 4</x:v>
      </x:c>
      <x:c r="M5" s="83" t="str">
        <x:v>Open</x:v>
      </x:c>
      <x:c r="N5" s="83" t="str">
        <x:v>Terna 50% is a historical calibration; modern CCGT candidates are 59–60%.</x:v>
      </x:c>
    </x:row>
    <x:row r="6">
      <x:c r="A6" s="83" t="str">
        <x:v>G3D-002</x:v>
      </x:c>
      <x:c r="B6" s="83" t="str">
        <x:v>Thermal</x:v>
      </x:c>
      <x:c r="C6" s="83" t="str">
        <x:v>OCGT</x:v>
      </x:c>
      <x:c r="D6" s="83" t="str">
        <x:v>Efficiency and VOM</x:v>
      </x:c>
      <x:c r="E6" s="83" t="str">
        <x:v>Critical</x:v>
      </x:c>
      <x:c r="F6" s="83" t="str">
        <x:v>High</x:v>
      </x:c>
      <x:c r="G6" s="83" t="str">
        <x:v>Pinned technology-data / DEA / JRC</x:v>
      </x:c>
      <x:c r="H6" s="120" t="str">
        <x:v>https://github.com/PyPSA/technology-data</x:v>
      </x:c>
      <x:c r="I6" s="83" t="str">
        <x:v>source-specific</x:v>
      </x:c>
      <x:c r="J6" s="83" t="str">
        <x:v>Unit normalisation</x:v>
      </x:c>
      <x:c r="K6" s="83" t="str">
        <x:v>P0</x:v>
      </x:c>
      <x:c r="L6" s="83" t="str">
        <x:v>Phase 4</x:v>
      </x:c>
      <x:c r="M6" s="83" t="str">
        <x:v>Open</x:v>
      </x:c>
      <x:c r="N6" s="83" t="str">
        <x:v>No internal OCGT operating parameters.</x:v>
      </x:c>
    </x:row>
    <x:row r="7">
      <x:c r="A7" s="83" t="str">
        <x:v>G3D-003</x:v>
      </x:c>
      <x:c r="B7" s="83" t="str">
        <x:v>Thermal</x:v>
      </x:c>
      <x:c r="C7" s="83" t="str">
        <x:v>Gas fleet</x:v>
      </x:c>
      <x:c r="D7" s="83" t="str">
        <x:v>Availability and forced outage</x:v>
      </x:c>
      <x:c r="E7" s="83" t="str">
        <x:v>Critical</x:v>
      </x:c>
      <x:c r="F7" s="83" t="str">
        <x:v>Medium</x:v>
      </x:c>
      <x:c r="G7" s="83" t="str">
        <x:v>ENTSO-E Transparency / Terna / plant data</x:v>
      </x:c>
      <x:c r="H7" s="120" t="str"/>
      <x:c r="I7" s="83" t="str">
        <x:v>n/a</x:v>
      </x:c>
      <x:c r="J7" s="83" t="str">
        <x:v>Construct hourly or seasonal p_max_pu</x:v>
      </x:c>
      <x:c r="K7" s="83" t="str">
        <x:v>P0</x:v>
      </x:c>
      <x:c r="L7" s="83" t="str">
        <x:v>Phase 4</x:v>
      </x:c>
      <x:c r="M7" s="83" t="str">
        <x:v>Open</x:v>
      </x:c>
      <x:c r="N7" s="83" t="str">
        <x:v>Needed for scarcity and peak prices.</x:v>
      </x:c>
    </x:row>
    <x:row r="8">
      <x:c r="A8" s="83" t="str">
        <x:v>G3D-004</x:v>
      </x:c>
      <x:c r="B8" s="83" t="str">
        <x:v>Thermal</x:v>
      </x:c>
      <x:c r="C8" s="83" t="str">
        <x:v>Gas fleet</x:v>
      </x:c>
      <x:c r="D8" s="83" t="str">
        <x:v>Minimum stable output</x:v>
      </x:c>
      <x:c r="E8" s="83" t="str">
        <x:v>High</x:v>
      </x:c>
      <x:c r="F8" s="83" t="str">
        <x:v>Medium</x:v>
      </x:c>
      <x:c r="G8" s="83" t="str">
        <x:v>DEA / JRC / plant data</x:v>
      </x:c>
      <x:c r="H8" s="120" t="str"/>
      <x:c r="I8" s="83" t="str">
        <x:v>n/a</x:v>
      </x:c>
      <x:c r="J8" s="83" t="str">
        <x:v>Technology/cohort mapping</x:v>
      </x:c>
      <x:c r="K8" s="83" t="str">
        <x:v>P1</x:v>
      </x:c>
      <x:c r="L8" s="83" t="str">
        <x:v>Before UC sensitivity</x:v>
      </x:c>
      <x:c r="M8" s="83" t="str">
        <x:v>Open</x:v>
      </x:c>
      <x:c r="N8" s="83" t="str">
        <x:v>Not needed in LP base if unit commitment remains off.</x:v>
      </x:c>
    </x:row>
    <x:row r="9">
      <x:c r="A9" s="83" t="str">
        <x:v>G3D-005</x:v>
      </x:c>
      <x:c r="B9" s="83" t="str">
        <x:v>Thermal</x:v>
      </x:c>
      <x:c r="C9" s="83" t="str">
        <x:v>Gas fleet</x:v>
      </x:c>
      <x:c r="D9" s="83" t="str">
        <x:v>Ramp rates</x:v>
      </x:c>
      <x:c r="E9" s="83" t="str">
        <x:v>Medium</x:v>
      </x:c>
      <x:c r="F9" s="83" t="str">
        <x:v>Medium</x:v>
      </x:c>
      <x:c r="G9" s="83" t="str">
        <x:v>DEA / JRC / plant data</x:v>
      </x:c>
      <x:c r="H9" s="120" t="str"/>
      <x:c r="I9" s="83" t="str">
        <x:v>n/a</x:v>
      </x:c>
      <x:c r="J9" s="83" t="str">
        <x:v>Convert %/min to p.u./snapshot</x:v>
      </x:c>
      <x:c r="K9" s="83" t="str">
        <x:v>P1</x:v>
      </x:c>
      <x:c r="L9" s="83" t="str">
        <x:v>Before UC sensitivity</x:v>
      </x:c>
      <x:c r="M9" s="83" t="str">
        <x:v>Open</x:v>
      </x:c>
      <x:c r="N9" s="83" t="str">
        <x:v>Base LP can omit but sensitivity requires it.</x:v>
      </x:c>
    </x:row>
    <x:row r="10">
      <x:c r="A10" s="83" t="str">
        <x:v>G3D-006</x:v>
      </x:c>
      <x:c r="B10" s="83" t="str">
        <x:v>Thermal</x:v>
      </x:c>
      <x:c r="C10" s="83" t="str">
        <x:v>Gas fleet</x:v>
      </x:c>
      <x:c r="D10" s="83" t="str">
        <x:v>Startup and shutdown costs</x:v>
      </x:c>
      <x:c r="E10" s="83" t="str">
        <x:v>Medium</x:v>
      </x:c>
      <x:c r="F10" s="83" t="str">
        <x:v>Medium</x:v>
      </x:c>
      <x:c r="G10" s="83" t="str">
        <x:v>DEA / JRC / plant data</x:v>
      </x:c>
      <x:c r="H10" s="120" t="str"/>
      <x:c r="I10" s="83" t="str">
        <x:v>source-specific</x:v>
      </x:c>
      <x:c r="J10" s="83" t="str">
        <x:v>Normalize to EUR/start and model units</x:v>
      </x:c>
      <x:c r="K10" s="83" t="str">
        <x:v>P1</x:v>
      </x:c>
      <x:c r="L10" s="83" t="str">
        <x:v>Before UC sensitivity</x:v>
      </x:c>
      <x:c r="M10" s="83" t="str">
        <x:v>Open</x:v>
      </x:c>
      <x:c r="N10" s="83" t="str">
        <x:v>Not used in LP base.</x:v>
      </x:c>
    </x:row>
    <x:row r="11">
      <x:c r="A11" s="83" t="str">
        <x:v>G3D-007</x:v>
      </x:c>
      <x:c r="B11" s="83" t="str">
        <x:v>Thermal</x:v>
      </x:c>
      <x:c r="C11" s="83" t="str">
        <x:v>Coal/oil residual units</x:v>
      </x:c>
      <x:c r="D11" s="83" t="str">
        <x:v>Efficiency, VOM and emissions</x:v>
      </x:c>
      <x:c r="E11" s="83" t="str">
        <x:v>High</x:v>
      </x:c>
      <x:c r="F11" s="83" t="str">
        <x:v>Medium</x:v>
      </x:c>
      <x:c r="G11" s="83" t="str">
        <x:v>Pinned technology-data / JRC / ISPRA</x:v>
      </x:c>
      <x:c r="H11" s="120" t="str">
        <x:v>https://github.com/PyPSA/technology-data</x:v>
      </x:c>
      <x:c r="I11" s="83" t="str">
        <x:v>source-specific</x:v>
      </x:c>
      <x:c r="J11" s="83" t="str">
        <x:v>Technology mapping</x:v>
      </x:c>
      <x:c r="K11" s="83" t="str">
        <x:v>P1</x:v>
      </x:c>
      <x:c r="L11" s="83" t="str">
        <x:v>Phase 4</x:v>
      </x:c>
      <x:c r="M11" s="83" t="str">
        <x:v>Open</x:v>
      </x:c>
      <x:c r="N11" s="83" t="str">
        <x:v>Relevant only if capacity remains in scenario.</x:v>
      </x:c>
    </x:row>
    <x:row r="12">
      <x:c r="A12" s="83" t="str">
        <x:v>G3D-008</x:v>
      </x:c>
      <x:c r="B12" s="83" t="str">
        <x:v>Renewables</x:v>
      </x:c>
      <x:c r="C12" s="83" t="str">
        <x:v>Solar/wind</x:v>
      </x:c>
      <x:c r="D12" s="83" t="str">
        <x:v>Hourly availability profiles</x:v>
      </x:c>
      <x:c r="E12" s="83" t="str">
        <x:v>Critical</x:v>
      </x:c>
      <x:c r="F12" s="83" t="str">
        <x:v>High</x:v>
      </x:c>
      <x:c r="G12" s="83" t="str">
        <x:v>PyPSA-Eur weather pipeline / PECD / ERA5</x:v>
      </x:c>
      <x:c r="H12" s="120" t="str">
        <x:v>https://pypsa-eur.readthedocs.io/</x:v>
      </x:c>
      <x:c r="I12" s="83" t="str">
        <x:v>n/a</x:v>
      </x:c>
      <x:c r="J12" s="83" t="str">
        <x:v>Normalize p_max_pu to scenario capacity</x:v>
      </x:c>
      <x:c r="K12" s="83" t="str">
        <x:v>P0</x:v>
      </x:c>
      <x:c r="L12" s="83" t="str">
        <x:v>Phase 4</x:v>
      </x:c>
      <x:c r="M12" s="83" t="str">
        <x:v>Open</x:v>
      </x:c>
      <x:c r="N12" s="83" t="str">
        <x:v>LCOE and capacity factor do not replace hourly profiles.</x:v>
      </x:c>
    </x:row>
    <x:row r="13">
      <x:c r="A13" s="83" t="str">
        <x:v>G3D-009</x:v>
      </x:c>
      <x:c r="B13" s="83" t="str">
        <x:v>Renewables</x:v>
      </x:c>
      <x:c r="C13" s="83" t="str">
        <x:v>Solar/wind</x:v>
      </x:c>
      <x:c r="D13" s="83" t="str">
        <x:v>Marginal bid / negative offers</x:v>
      </x:c>
      <x:c r="E13" s="83" t="str">
        <x:v>Medium</x:v>
      </x:c>
      <x:c r="F13" s="83" t="str">
        <x:v>Medium</x:v>
      </x:c>
      <x:c r="G13" s="83" t="str">
        <x:v>GME/ARERA market evidence</x:v>
      </x:c>
      <x:c r="H13" s="120" t="str"/>
      <x:c r="I13" s="83" t="str">
        <x:v>current EUR</x:v>
      </x:c>
      <x:c r="J13" s="83" t="str">
        <x:v>Define base zero and negative-bid sensitivity</x:v>
      </x:c>
      <x:c r="K13" s="83" t="str">
        <x:v>P2</x:v>
      </x:c>
      <x:c r="L13" s="83" t="str">
        <x:v>Phase 4</x:v>
      </x:c>
      <x:c r="M13" s="83" t="str">
        <x:v>Open</x:v>
      </x:c>
      <x:c r="N13" s="83" t="str">
        <x:v>Recommend zero in base.</x:v>
      </x:c>
    </x:row>
    <x:row r="14">
      <x:c r="A14" s="83" t="str">
        <x:v>G3D-010</x:v>
      </x:c>
      <x:c r="B14" s="83" t="str">
        <x:v>Renewables</x:v>
      </x:c>
      <x:c r="C14" s="83" t="str">
        <x:v>Biomass</x:v>
      </x:c>
      <x:c r="D14" s="83" t="str">
        <x:v>Fuel cost, efficiency, VOM and emissions</x:v>
      </x:c>
      <x:c r="E14" s="83" t="str">
        <x:v>High</x:v>
      </x:c>
      <x:c r="F14" s="83" t="str">
        <x:v>High</x:v>
      </x:c>
      <x:c r="G14" s="83" t="str">
        <x:v>Pinned technology-data / JRC / ISPRA</x:v>
      </x:c>
      <x:c r="H14" s="120" t="str">
        <x:v>https://github.com/PyPSA/technology-data</x:v>
      </x:c>
      <x:c r="I14" s="83" t="str">
        <x:v>source-specific</x:v>
      </x:c>
      <x:c r="J14" s="83" t="str">
        <x:v>Carrier and sustainability mapping</x:v>
      </x:c>
      <x:c r="K14" s="83" t="str">
        <x:v>P1</x:v>
      </x:c>
      <x:c r="L14" s="83" t="str">
        <x:v>Phase 4</x:v>
      </x:c>
      <x:c r="M14" s="83" t="str">
        <x:v>Open</x:v>
      </x:c>
      <x:c r="N14" s="83" t="str">
        <x:v>Technology-data values are candidates, not Italy-specific.</x:v>
      </x:c>
    </x:row>
    <x:row r="15">
      <x:c r="A15" s="83" t="str">
        <x:v>G3D-011</x:v>
      </x:c>
      <x:c r="B15" s="83" t="str">
        <x:v>Renewables</x:v>
      </x:c>
      <x:c r="C15" s="83" t="str">
        <x:v>Geothermal</x:v>
      </x:c>
      <x:c r="D15" s="83" t="str">
        <x:v>VOM, availability and minimum generation</x:v>
      </x:c>
      <x:c r="E15" s="83" t="str">
        <x:v>High</x:v>
      </x:c>
      <x:c r="F15" s="83" t="str">
        <x:v>High</x:v>
      </x:c>
      <x:c r="G15" s="83" t="str">
        <x:v>JRC / DEA / Italian plant data</x:v>
      </x:c>
      <x:c r="H15" s="120" t="str"/>
      <x:c r="I15" s="83" t="str">
        <x:v>source-specific</x:v>
      </x:c>
      <x:c r="J15" s="83" t="str">
        <x:v>Plant/cohort mapping</x:v>
      </x:c>
      <x:c r="K15" s="83" t="str">
        <x:v>P1</x:v>
      </x:c>
      <x:c r="L15" s="83" t="str">
        <x:v>Phase 4</x:v>
      </x:c>
      <x:c r="M15" s="83" t="str">
        <x:v>Open</x:v>
      </x:c>
      <x:c r="N15" s="83" t="str">
        <x:v>Potential must-run behaviour affects prices.</x:v>
      </x:c>
    </x:row>
    <x:row r="16">
      <x:c r="A16" s="83" t="str">
        <x:v>G3D-012</x:v>
      </x:c>
      <x:c r="B16" s="83" t="str">
        <x:v>Storage</x:v>
      </x:c>
      <x:c r="C16" s="83" t="str">
        <x:v>Li-ion BESS</x:v>
      </x:c>
      <x:c r="D16" s="83" t="str">
        <x:v>One-way charge/discharge efficiency</x:v>
      </x:c>
      <x:c r="E16" s="83" t="str">
        <x:v>Critical</x:v>
      </x:c>
      <x:c r="F16" s="83" t="str">
        <x:v>High</x:v>
      </x:c>
      <x:c r="G16" s="83" t="str">
        <x:v>Internal 90% RTE plus pinned technology-data</x:v>
      </x:c>
      <x:c r="H16" s="120" t="str"/>
      <x:c r="I16" s="83" t="str">
        <x:v>n/a</x:v>
      </x:c>
      <x:c r="J16" s="83" t="str">
        <x:v>If symmetric, sqrt(RTE); document convention</x:v>
      </x:c>
      <x:c r="K16" s="83" t="str">
        <x:v>P0</x:v>
      </x:c>
      <x:c r="L16" s="83" t="str">
        <x:v>Phase 4</x:v>
      </x:c>
      <x:c r="M16" s="83" t="str">
        <x:v>Open</x:v>
      </x:c>
      <x:c r="N16" s="83" t="str">
        <x:v>Do not apply 90% to both directions.</x:v>
      </x:c>
    </x:row>
    <x:row r="17">
      <x:c r="A17" s="83" t="str">
        <x:v>G3D-013</x:v>
      </x:c>
      <x:c r="B17" s="83" t="str">
        <x:v>Storage</x:v>
      </x:c>
      <x:c r="C17" s="83" t="str">
        <x:v>Li-ion BESS</x:v>
      </x:c>
      <x:c r="D17" s="83" t="str">
        <x:v>Standing loss</x:v>
      </x:c>
      <x:c r="E17" s="83" t="str">
        <x:v>High</x:v>
      </x:c>
      <x:c r="F17" s="83" t="str">
        <x:v>Medium</x:v>
      </x:c>
      <x:c r="G17" s="83" t="str">
        <x:v>Pinned technology-data / DEA storage catalogue</x:v>
      </x:c>
      <x:c r="H17" s="120" t="str">
        <x:v>https://ens.dk/en/analyses-and-statistics/technology-data-energy-storage</x:v>
      </x:c>
      <x:c r="I17" s="83" t="str">
        <x:v>n/a</x:v>
      </x:c>
      <x:c r="J17" s="83" t="str">
        <x:v>Convert daily/hourly loss convention</x:v>
      </x:c>
      <x:c r="K17" s="83" t="str">
        <x:v>P1</x:v>
      </x:c>
      <x:c r="L17" s="83" t="str">
        <x:v>Phase 4</x:v>
      </x:c>
      <x:c r="M17" s="83" t="str">
        <x:v>Open</x:v>
      </x:c>
      <x:c r="N17" s="83" t="str">
        <x:v>Not supplied internally.</x:v>
      </x:c>
    </x:row>
    <x:row r="18">
      <x:c r="A18" s="83" t="str">
        <x:v>G3D-014</x:v>
      </x:c>
      <x:c r="B18" s="83" t="str">
        <x:v>Storage</x:v>
      </x:c>
      <x:c r="C18" s="83" t="str">
        <x:v>Li-ion BESS</x:v>
      </x:c>
      <x:c r="D18" s="83" t="str">
        <x:v>Variable degradation/cycling cost</x:v>
      </x:c>
      <x:c r="E18" s="83" t="str">
        <x:v>Medium</x:v>
      </x:c>
      <x:c r="F18" s="83" t="str">
        <x:v>High</x:v>
      </x:c>
      <x:c r="G18" s="83" t="str">
        <x:v>DEA / JRC / battery studies</x:v>
      </x:c>
      <x:c r="H18" s="120" t="str">
        <x:v>https://ens.dk/en/analyses-and-statistics/technology-data-energy-storage</x:v>
      </x:c>
      <x:c r="I18" s="83" t="str">
        <x:v>source-specific</x:v>
      </x:c>
      <x:c r="J18" s="83" t="str">
        <x:v>EUR/MWh throughput</x:v>
      </x:c>
      <x:c r="K18" s="83" t="str">
        <x:v>P2</x:v>
      </x:c>
      <x:c r="L18" s="83" t="str">
        <x:v>Sensitivity</x:v>
      </x:c>
      <x:c r="M18" s="83" t="str">
        <x:v>Open</x:v>
      </x:c>
      <x:c r="N18" s="83" t="str">
        <x:v>LCOS is not a marginal cycling cost.</x:v>
      </x:c>
    </x:row>
    <x:row r="19">
      <x:c r="A19" s="83" t="str">
        <x:v>G3D-015</x:v>
      </x:c>
      <x:c r="B19" s="83" t="str">
        <x:v>Storage</x:v>
      </x:c>
      <x:c r="C19" s="83" t="str">
        <x:v>Pumped hydro</x:v>
      </x:c>
      <x:c r="D19" s="83" t="str">
        <x:v>One-way efficiencies</x:v>
      </x:c>
      <x:c r="E19" s="83" t="str">
        <x:v>Critical</x:v>
      </x:c>
      <x:c r="F19" s="83" t="str">
        <x:v>High</x:v>
      </x:c>
      <x:c r="G19" s="83" t="str">
        <x:v>Pinned technology-data / plant data / Terna storage study</x:v>
      </x:c>
      <x:c r="H19" s="120" t="str">
        <x:v>https://github.com/PyPSA/technology-data</x:v>
      </x:c>
      <x:c r="I19" s="83" t="str">
        <x:v>n/a</x:v>
      </x:c>
      <x:c r="J19" s="83" t="str">
        <x:v>Split round-trip into charge/discharge</x:v>
      </x:c>
      <x:c r="K19" s="83" t="str">
        <x:v>P0</x:v>
      </x:c>
      <x:c r="L19" s="83" t="str">
        <x:v>Phase 4</x:v>
      </x:c>
      <x:c r="M19" s="83" t="str">
        <x:v>Open</x:v>
      </x:c>
      <x:c r="N19" s="83" t="str">
        <x:v>Internal source says slightly below Li-ion but no value.</x:v>
      </x:c>
    </x:row>
    <x:row r="20">
      <x:c r="A20" s="83" t="str">
        <x:v>G3D-016</x:v>
      </x:c>
      <x:c r="B20" s="83" t="str">
        <x:v>Hydro</x:v>
      </x:c>
      <x:c r="C20" s="83" t="str">
        <x:v>Reservoir hydro</x:v>
      </x:c>
      <x:c r="D20" s="83" t="str">
        <x:v>Energy capacity and inflows</x:v>
      </x:c>
      <x:c r="E20" s="83" t="str">
        <x:v>Critical</x:v>
      </x:c>
      <x:c r="F20" s="83" t="str">
        <x:v>High</x:v>
      </x:c>
      <x:c r="G20" s="83" t="str">
        <x:v>ENTSO-E / JRC hydro database / PyPSA-Eur</x:v>
      </x:c>
      <x:c r="H20" s="120" t="str"/>
      <x:c r="I20" s="83" t="str">
        <x:v>n/a</x:v>
      </x:c>
      <x:c r="J20" s="83" t="str">
        <x:v>Plant/zone aggregation and time series</x:v>
      </x:c>
      <x:c r="K20" s="83" t="str">
        <x:v>P0</x:v>
      </x:c>
      <x:c r="L20" s="83" t="str">
        <x:v>Phase 4</x:v>
      </x:c>
      <x:c r="M20" s="83" t="str">
        <x:v>Open</x:v>
      </x:c>
      <x:c r="N20" s="83" t="str">
        <x:v>Core dispatch gap.</x:v>
      </x:c>
    </x:row>
    <x:row r="21">
      <x:c r="A21" s="83" t="str">
        <x:v>G3D-017</x:v>
      </x:c>
      <x:c r="B21" s="83" t="str">
        <x:v>Hydro</x:v>
      </x:c>
      <x:c r="C21" s="83" t="str">
        <x:v>Run-of-river</x:v>
      </x:c>
      <x:c r="D21" s="83" t="str">
        <x:v>Hourly inflow/profile</x:v>
      </x:c>
      <x:c r="E21" s="83" t="str">
        <x:v>Critical</x:v>
      </x:c>
      <x:c r="F21" s="83" t="str">
        <x:v>High</x:v>
      </x:c>
      <x:c r="G21" s="83" t="str">
        <x:v>PyPSA-Eur / ENTSO-E / climate data</x:v>
      </x:c>
      <x:c r="H21" s="120" t="str"/>
      <x:c r="I21" s="83" t="str">
        <x:v>n/a</x:v>
      </x:c>
      <x:c r="J21" s="83" t="str">
        <x:v>Normalize p_max_pu</x:v>
      </x:c>
      <x:c r="K21" s="83" t="str">
        <x:v>P0</x:v>
      </x:c>
      <x:c r="L21" s="83" t="str">
        <x:v>Phase 4</x:v>
      </x:c>
      <x:c r="M21" s="83" t="str">
        <x:v>Open</x:v>
      </x:c>
      <x:c r="N21" s="83" t="str">
        <x:v>Annual TWh is QA only.</x:v>
      </x:c>
    </x:row>
    <x:row r="22">
      <x:c r="A22" s="83" t="str">
        <x:v>G3D-018</x:v>
      </x:c>
      <x:c r="B22" s="83" t="str">
        <x:v>Nuclear</x:v>
      </x:c>
      <x:c r="C22" s="83" t="str">
        <x:v>New nuclear / SMR</x:v>
      </x:c>
      <x:c r="D22" s="83" t="str">
        <x:v>Efficiency, fuel and VOM</x:v>
      </x:c>
      <x:c r="E22" s="83" t="str">
        <x:v>Critical for nuclear branch</x:v>
      </x:c>
      <x:c r="F22" s="83" t="str">
        <x:v>High</x:v>
      </x:c>
      <x:c r="G22" s="83" t="str">
        <x:v>Pinned technology-data / JRC / IEA / DEA</x:v>
      </x:c>
      <x:c r="H22" s="120" t="str">
        <x:v>https://github.com/PyPSA/technology-data</x:v>
      </x:c>
      <x:c r="I22" s="83" t="str">
        <x:v>source-specific</x:v>
      </x:c>
      <x:c r="J22" s="83" t="str">
        <x:v>Select consistent set; do not derive from LCOE</x:v>
      </x:c>
      <x:c r="K22" s="83" t="str">
        <x:v>P0</x:v>
      </x:c>
      <x:c r="L22" s="83" t="str">
        <x:v>Phase 4</x:v>
      </x:c>
      <x:c r="M22" s="83" t="str">
        <x:v>Open</x:v>
      </x:c>
      <x:c r="N22" s="83" t="str">
        <x:v>LCOE cannot be used as marginal cost.</x:v>
      </x:c>
    </x:row>
    <x:row r="23">
      <x:c r="A23" s="83" t="str">
        <x:v>G3D-019</x:v>
      </x:c>
      <x:c r="B23" s="83" t="str">
        <x:v>Nuclear</x:v>
      </x:c>
      <x:c r="C23" s="83" t="str">
        <x:v>New nuclear / SMR</x:v>
      </x:c>
      <x:c r="D23" s="83" t="str">
        <x:v>Availability, refuelling and minimum load</x:v>
      </x:c>
      <x:c r="E23" s="83" t="str">
        <x:v>Critical for nuclear branch</x:v>
      </x:c>
      <x:c r="F23" s="83" t="str">
        <x:v>High</x:v>
      </x:c>
      <x:c r="G23" s="83" t="str">
        <x:v>IEA / JRC / vendor or regulator data</x:v>
      </x:c>
      <x:c r="H23" s="120" t="str"/>
      <x:c r="I23" s="83" t="str">
        <x:v>n/a</x:v>
      </x:c>
      <x:c r="J23" s="83" t="str">
        <x:v>Create p_max_pu and operational constraints</x:v>
      </x:c>
      <x:c r="K23" s="83" t="str">
        <x:v>P0</x:v>
      </x:c>
      <x:c r="L23" s="83" t="str">
        <x:v>Phase 4</x:v>
      </x:c>
      <x:c r="M23" s="83" t="str">
        <x:v>Open</x:v>
      </x:c>
      <x:c r="N23" s="83" t="str">
        <x:v>Strong price impact.</x:v>
      </x:c>
    </x:row>
    <x:row r="24">
      <x:c r="A24" s="83" t="str">
        <x:v>G3D-020</x:v>
      </x:c>
      <x:c r="B24" s="83" t="str">
        <x:v>CCUS</x:v>
      </x:c>
      <x:c r="C24" s="83" t="str">
        <x:v>Gas CCGT with CCS</x:v>
      </x:c>
      <x:c r="D24" s="83" t="str">
        <x:v>Capture rate</x:v>
      </x:c>
      <x:c r="E24" s="83" t="str">
        <x:v>Critical for CCS branch</x:v>
      </x:c>
      <x:c r="F24" s="83" t="str">
        <x:v>High</x:v>
      </x:c>
      <x:c r="G24" s="83" t="str">
        <x:v>DEA CCUS catalogue / JRC</x:v>
      </x:c>
      <x:c r="H24" s="120" t="str">
        <x:v>https://ens.dk/en/analyses-and-statistics/technology-data-carbon-capture-transport-and-storage</x:v>
      </x:c>
      <x:c r="I24" s="83" t="str">
        <x:v>n/a</x:v>
      </x:c>
      <x:c r="J24" s="83" t="str">
        <x:v>Residual emissions = EF × (1-capture rate)</x:v>
      </x:c>
      <x:c r="K24" s="83" t="str">
        <x:v>P0</x:v>
      </x:c>
      <x:c r="L24" s="83" t="str">
        <x:v>Phase 4</x:v>
      </x:c>
      <x:c r="M24" s="83" t="str">
        <x:v>Open</x:v>
      </x:c>
      <x:c r="N24" s="83" t="str">
        <x:v>Not available internally.</x:v>
      </x:c>
    </x:row>
    <x:row r="25">
      <x:c r="A25" s="83" t="str">
        <x:v>G3D-021</x:v>
      </x:c>
      <x:c r="B25" s="83" t="str">
        <x:v>CCUS</x:v>
      </x:c>
      <x:c r="C25" s="83" t="str">
        <x:v>Gas CCGT with CCS</x:v>
      </x:c>
      <x:c r="D25" s="83" t="str">
        <x:v>Efficiency penalty</x:v>
      </x:c>
      <x:c r="E25" s="83" t="str">
        <x:v>Critical for CCS branch</x:v>
      </x:c>
      <x:c r="F25" s="83" t="str">
        <x:v>High</x:v>
      </x:c>
      <x:c r="G25" s="83" t="str">
        <x:v>DEA CCUS catalogue / JRC</x:v>
      </x:c>
      <x:c r="H25" s="120" t="str">
        <x:v>https://ens.dk/en/analyses-and-statistics/technology-data-carbon-capture-transport-and-storage</x:v>
      </x:c>
      <x:c r="I25" s="83" t="str">
        <x:v>n/a</x:v>
      </x:c>
      <x:c r="J25" s="83" t="str">
        <x:v>Adjust fuel use and marginal cost</x:v>
      </x:c>
      <x:c r="K25" s="83" t="str">
        <x:v>P0</x:v>
      </x:c>
      <x:c r="L25" s="83" t="str">
        <x:v>Phase 4</x:v>
      </x:c>
      <x:c r="M25" s="83" t="str">
        <x:v>Open</x:v>
      </x:c>
      <x:c r="N25" s="83" t="str">
        <x:v>Capture cost per tonne is insufficient.</x:v>
      </x:c>
    </x:row>
    <x:row r="26">
      <x:c r="A26" s="83" t="str">
        <x:v>G3D-022</x:v>
      </x:c>
      <x:c r="B26" s="83" t="str">
        <x:v>CCUS</x:v>
      </x:c>
      <x:c r="C26" s="83" t="str">
        <x:v>Gas CCGT with CCS</x:v>
      </x:c>
      <x:c r="D26" s="83" t="str">
        <x:v>Variable capture, transport and storage cost</x:v>
      </x:c>
      <x:c r="E26" s="83" t="str">
        <x:v>Critical for CCS branch</x:v>
      </x:c>
      <x:c r="F26" s="83" t="str">
        <x:v>High</x:v>
      </x:c>
      <x:c r="G26" s="83" t="str">
        <x:v>S07 + DEA/JRC</x:v>
      </x:c>
      <x:c r="H26" s="120" t="str">
        <x:v>https://ens.dk/en/analyses-and-statistics/technology-data-carbon-capture-transport-and-storage</x:v>
      </x:c>
      <x:c r="I26" s="83" t="str">
        <x:v>source-specific</x:v>
      </x:c>
      <x:c r="J26" s="83" t="str">
        <x:v>Convert EUR/t captured to EUR/MWh_e</x:v>
      </x:c>
      <x:c r="K26" s="83" t="str">
        <x:v>P0</x:v>
      </x:c>
      <x:c r="L26" s="83" t="str">
        <x:v>Phase 4</x:v>
      </x:c>
      <x:c r="M26" s="83" t="str">
        <x:v>Open</x:v>
      </x:c>
      <x:c r="N26" s="83" t="str">
        <x:v>Requires capture rate and specific emissions.</x:v>
      </x:c>
    </x:row>
    <x:row r="27">
      <x:c r="A27" s="83" t="str">
        <x:v>G3D-023</x:v>
      </x:c>
      <x:c r="B27" s="83" t="str">
        <x:v>Grid</x:v>
      </x:c>
      <x:c r="C27" s="83" t="str">
        <x:v>Interzonal links</x:v>
      </x:c>
      <x:c r="D27" s="83" t="str">
        <x:v>Loss factors</x:v>
      </x:c>
      <x:c r="E27" s="83" t="str">
        <x:v>Medium</x:v>
      </x:c>
      <x:c r="F27" s="83" t="str">
        <x:v>Medium</x:v>
      </x:c>
      <x:c r="G27" s="83" t="str">
        <x:v>Terna / ENTSO-E / PyPSA-Eur</x:v>
      </x:c>
      <x:c r="H27" s="120" t="str"/>
      <x:c r="I27" s="83" t="str">
        <x:v>n/a</x:v>
      </x:c>
      <x:c r="J27" s="83" t="str">
        <x:v>Map direction-specific efficiency</x:v>
      </x:c>
      <x:c r="K27" s="83" t="str">
        <x:v>P2</x:v>
      </x:c>
      <x:c r="L27" s="83" t="str">
        <x:v>Sensitivity</x:v>
      </x:c>
      <x:c r="M27" s="83" t="str">
        <x:v>Open</x:v>
      </x:c>
      <x:c r="N27" s="83" t="str">
        <x:v>Base remains lossless.</x:v>
      </x:c>
    </x:row>
    <x:row r="28">
      <x:c r="A28" s="83" t="str">
        <x:v>G3D-024</x:v>
      </x:c>
      <x:c r="B28" s="83" t="str">
        <x:v>Grid</x:v>
      </x:c>
      <x:c r="C28" s="83" t="str">
        <x:v>Interzonal and foreign links</x:v>
      </x:c>
      <x:c r="D28" s="83" t="str">
        <x:v>Availability / outage</x:v>
      </x:c>
      <x:c r="E28" s="83" t="str">
        <x:v>High</x:v>
      </x:c>
      <x:c r="F28" s="83" t="str">
        <x:v>Medium</x:v>
      </x:c>
      <x:c r="G28" s="83" t="str">
        <x:v>ENTSO-E / Terna</x:v>
      </x:c>
      <x:c r="H28" s="120" t="str"/>
      <x:c r="I28" s="83" t="str">
        <x:v>n/a</x:v>
      </x:c>
      <x:c r="J28" s="83" t="str">
        <x:v>Hourly or seasonal p_max_pu</x:v>
      </x:c>
      <x:c r="K28" s="83" t="str">
        <x:v>P1</x:v>
      </x:c>
      <x:c r="L28" s="83" t="str">
        <x:v>Phase 4</x:v>
      </x:c>
      <x:c r="M28" s="83" t="str">
        <x:v>Open</x:v>
      </x:c>
      <x:c r="N28" s="83" t="str">
        <x:v>Scarcity and congestion impact.</x:v>
      </x:c>
    </x:row>
    <x:row r="29">
      <x:c r="A29" s="83" t="str">
        <x:v>G3D-025</x:v>
      </x:c>
      <x:c r="B29" s="83" t="str">
        <x:v>Market</x:v>
      </x:c>
      <x:c r="C29" s="83" t="str">
        <x:v>System</x:v>
      </x:c>
      <x:c r="D29" s="83" t="str">
        <x:v>Value of lost load / load shedding cost</x:v>
      </x:c>
      <x:c r="E29" s="83" t="str">
        <x:v>Critical</x:v>
      </x:c>
      <x:c r="F29" s="83" t="str">
        <x:v>High</x:v>
      </x:c>
      <x:c r="G29" s="83" t="str">
        <x:v>ARERA / ACER / ENTSO-E adequacy methodology</x:v>
      </x:c>
      <x:c r="H29" s="120" t="str"/>
      <x:c r="I29" s="83" t="str">
        <x:v>current EUR</x:v>
      </x:c>
      <x:c r="J29" s="83" t="str">
        <x:v>Normalize to EUR/MWh</x:v>
      </x:c>
      <x:c r="K29" s="83" t="str">
        <x:v>P0</x:v>
      </x:c>
      <x:c r="L29" s="83" t="str">
        <x:v>Phase 4</x:v>
      </x:c>
      <x:c r="M29" s="83" t="str">
        <x:v>Open</x:v>
      </x:c>
      <x:c r="N29" s="83" t="str">
        <x:v>Sets scarcity-price ceiling in model.</x:v>
      </x:c>
    </x:row>
    <x:row r="30">
      <x:c r="A30" s="83" t="str">
        <x:v>G3D-026</x:v>
      </x:c>
      <x:c r="B30" s="83" t="str">
        <x:v>Market</x:v>
      </x:c>
      <x:c r="C30" s="83" t="str">
        <x:v>System</x:v>
      </x:c>
      <x:c r="D30" s="83" t="str">
        <x:v>Price cap, floor and negative-price rules</x:v>
      </x:c>
      <x:c r="E30" s="83" t="str">
        <x:v>High</x:v>
      </x:c>
      <x:c r="F30" s="83" t="str">
        <x:v>High</x:v>
      </x:c>
      <x:c r="G30" s="83" t="str">
        <x:v>GME / EU market rules</x:v>
      </x:c>
      <x:c r="H30" s="120" t="str"/>
      <x:c r="I30" s="83" t="str">
        <x:v>current EUR</x:v>
      </x:c>
      <x:c r="J30" s="83" t="str">
        <x:v>Translate market rule to model/sensitivity</x:v>
      </x:c>
      <x:c r="K30" s="83" t="str">
        <x:v>P1</x:v>
      </x:c>
      <x:c r="L30" s="83" t="str">
        <x:v>Phase 4</x:v>
      </x:c>
      <x:c r="M30" s="83" t="str">
        <x:v>Open</x:v>
      </x:c>
      <x:c r="N30" s="83" t="str">
        <x:v>Needed to interpret simulated prices.</x:v>
      </x:c>
    </x:row>
    <x:row r="31">
      <x:c r="A31" s="83" t="str">
        <x:v>G3D-027</x:v>
      </x:c>
      <x:c r="B31" s="83" t="str">
        <x:v>Fuel and CO2</x:v>
      </x:c>
      <x:c r="C31" s="83" t="str">
        <x:v>All thermal</x:v>
      </x:c>
      <x:c r="D31" s="83" t="str">
        <x:v>2050 gas and CO2 scenario prices</x:v>
      </x:c>
      <x:c r="E31" s="83" t="str">
        <x:v>Critical</x:v>
      </x:c>
      <x:c r="F31" s="83" t="str">
        <x:v>High</x:v>
      </x:c>
      <x:c r="G31" s="83" t="str">
        <x:v>EU Commission / TYNDP / scenario source</x:v>
      </x:c>
      <x:c r="H31" s="120" t="str"/>
      <x:c r="I31" s="83" t="str">
        <x:v>real common year</x:v>
      </x:c>
      <x:c r="J31" s="83" t="str">
        <x:v>Select scenario; no flat extrapolation</x:v>
      </x:c>
      <x:c r="K31" s="83" t="str">
        <x:v>P0</x:v>
      </x:c>
      <x:c r="L31" s="83" t="str">
        <x:v>Phase 4</x:v>
      </x:c>
      <x:c r="M31" s="83" t="str">
        <x:v>Open</x:v>
      </x:c>
      <x:c r="N31" s="83" t="str">
        <x:v>2040 values must not be copied to 2050 automatically.</x:v>
      </x:c>
    </x:row>
    <x:row r="32">
      <x:c r="A32" s="83" t="str">
        <x:v>G3D-028</x:v>
      </x:c>
      <x:c r="B32" s="83" t="str">
        <x:v>Economics</x:v>
      </x:c>
      <x:c r="C32" s="83" t="str">
        <x:v>All technologies</x:v>
      </x:c>
      <x:c r="D32" s="83" t="str">
        <x:v>Common monetary year and inflation conversion</x:v>
      </x:c>
      <x:c r="E32" s="83" t="str">
        <x:v>Low for dispatch / critical for CAPEX comparison</x:v>
      </x:c>
      <x:c r="F32" s="83" t="str">
        <x:v>High</x:v>
      </x:c>
      <x:c r="G32" s="83" t="str">
        <x:v>ECB/HICP + technology-data metadata</x:v>
      </x:c>
      <x:c r="H32" s="120" t="str"/>
      <x:c r="I32" s="83" t="str">
        <x:v>target year to decide</x:v>
      </x:c>
      <x:c r="J32" s="83" t="str">
        <x:v>Preserve source value and convert separately</x:v>
      </x:c>
      <x:c r="K32" s="83" t="str">
        <x:v>P1</x:v>
      </x:c>
      <x:c r="L32" s="83" t="str">
        <x:v>Phase 4</x:v>
      </x:c>
      <x:c r="M32" s="83" t="str">
        <x:v>Open</x:v>
      </x:c>
      <x:c r="N32" s="83" t="str">
        <x:v>Do not mix v0.9.2 and v0.15.0 nominal values.</x:v>
      </x:c>
    </x:row>
    <x:row r="33">
      <x:c r="A33" s="83" t="str">
        <x:v>G3D-029</x:v>
      </x:c>
      <x:c r="B33" s="83" t="str">
        <x:v>Data governance</x:v>
      </x:c>
      <x:c r="C33" s="83" t="str">
        <x:v>All technologies</x:v>
      </x:c>
      <x:c r="D33" s="83" t="str">
        <x:v>Technology-data release pinned to CLI project</x:v>
      </x:c>
      <x:c r="E33" s="83" t="str">
        <x:v>Critical</x:v>
      </x:c>
      <x:c r="F33" s="83" t="str">
        <x:v>High</x:v>
      </x:c>
      <x:c r="G33" s="83" t="str">
        <x:v>Actual PyPSA-Eur repository/lock file</x:v>
      </x:c>
      <x:c r="H33" s="120" t="str">
        <x:v>https://github.com/PyPSA/pypsa-eur</x:v>
      </x:c>
      <x:c r="I33" s="83" t="str">
        <x:v>n/a</x:v>
      </x:c>
      <x:c r="J33" s="83" t="str">
        <x:v>Pin commit/tag and import matching CSV</x:v>
      </x:c>
      <x:c r="K33" s="83" t="str">
        <x:v>P0</x:v>
      </x:c>
      <x:c r="L33" s="83" t="str">
        <x:v>Before model build</x:v>
      </x:c>
      <x:c r="M33" s="83" t="str">
        <x:v>Open</x:v>
      </x:c>
      <x:c r="N33" s="83" t="str">
        <x:v>Latest release alone is not sufficient.</x:v>
      </x:c>
    </x:row>
    <x:row r="34">
      <x:c r="A34" s="83" t="str">
        <x:v>G3D-030</x:v>
      </x:c>
      <x:c r="B34" s="83" t="str">
        <x:v>Thermal</x:v>
      </x:c>
      <x:c r="C34" s="83" t="str">
        <x:v>All dispatchable units</x:v>
      </x:c>
      <x:c r="D34" s="83" t="str">
        <x:v>Plant/cohort assignment</x:v>
      </x:c>
      <x:c r="E34" s="83" t="str">
        <x:v>Critical</x:v>
      </x:c>
      <x:c r="F34" s="83" t="str">
        <x:v>High</x:v>
      </x:c>
      <x:c r="G34" s="83" t="str">
        <x:v>Terna Gaudì / ENTSO-E / EIA-like plant data</x:v>
      </x:c>
      <x:c r="H34" s="120" t="str"/>
      <x:c r="I34" s="83" t="str">
        <x:v>n/a</x:v>
      </x:c>
      <x:c r="J34" s="83" t="str">
        <x:v>Map capacity to technology parameters</x:v>
      </x:c>
      <x:c r="K34" s="83" t="str">
        <x:v>P0</x:v>
      </x:c>
      <x:c r="L34" s="83" t="str">
        <x:v>Phase 4</x:v>
      </x:c>
      <x:c r="M34" s="83" t="str">
        <x:v>Open</x:v>
      </x:c>
      <x:c r="N34" s="83" t="str">
        <x:v>Single generic efficiency can distort merit order.</x:v>
      </x:c>
    </x:row>
  </x:sheetData>
  <x:mergeCells>
    <x:mergeCell ref="A1:N1"/>
    <x:mergeCell ref="A2:N2"/>
  </x:mergeCells>
  <x:conditionalFormatting sqref="K5:K34">
    <x:cfRule type="expression" dxfId="74" priority="1">
      <x:formula>K5="P0"</x:formula>
    </x:cfRule>
    <x:cfRule type="expression" dxfId="75" priority="2">
      <x:formula>K5="P1"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981050d5d24204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80" hidden="0" customWidth="1"/>
    <x:col min="4" max="4" width="26" hidden="0" customWidth="1"/>
    <x:col min="5" max="5" width="28" hidden="0" customWidth="1"/>
    <x:col min="6" max="6" width="68" hidden="0" customWidth="1"/>
  </x:cols>
  <x:sheetData>
    <x:row r="1" ht="34" customHeight="1">
      <x:c r="A1" s="270" t="str">
        <x:v>Decisioni di modellazione — costi e parametri</x:v>
      </x:c>
      <x:c r="B1" s="270"/>
      <x:c r="C1" s="270"/>
      <x:c r="D1" s="270"/>
      <x:c r="E1" s="270"/>
      <x:c r="F1" s="270"/>
    </x:row>
    <x:row r="2" ht="30" customHeight="1">
      <x:c r="A2" s="274" t="str">
        <x:v>12 decisioni; nessuna impedisce l'avvio della Fase 4, ma alcune bloccano il model build</x:v>
      </x:c>
      <x:c r="B2" s="274"/>
      <x:c r="C2" s="274"/>
      <x:c r="D2" s="274"/>
      <x:c r="E2" s="274"/>
      <x:c r="F2" s="274"/>
    </x:row>
    <x:row r="4" ht="42" customHeight="1">
      <x:c r="A4" s="278" t="str">
        <x:v>ID</x:v>
      </x:c>
      <x:c r="B4" s="278" t="str">
        <x:v>Tema</x:v>
      </x:c>
      <x:c r="C4" s="278" t="str">
        <x:v>Impostazione raccomandata</x:v>
      </x:c>
      <x:c r="D4" s="278" t="str">
        <x:v>Stato</x:v>
      </x:c>
      <x:c r="E4" s="278" t="str">
        <x:v>Quando blocca</x:v>
      </x:c>
      <x:c r="F4" s="278" t="str">
        <x:v>Motivazione</x:v>
      </x:c>
    </x:row>
    <x:row r="5">
      <x:c r="A5" s="83" t="str">
        <x:v>D3D-01</x:v>
      </x:c>
      <x:c r="B5" s="83" t="str">
        <x:v>Technology-data version</x:v>
      </x:c>
      <x:c r="C5" s="83" t="str">
        <x:v>Use the version/commit pinned by the actual PyPSA-Eur CLI project. Keep v0.9.2 and v0.15.0 only as candidates until that check is completed.</x:v>
      </x:c>
      <x:c r="D5" s="83" t="str">
        <x:v>Open</x:v>
      </x:c>
      <x:c r="E5" s="83" t="str">
        <x:v>Before model build</x:v>
      </x:c>
      <x:c r="F5" s="83" t="str">
        <x:v>Different releases change values, source coverage, currency years and inflation treatment.</x:v>
      </x:c>
    </x:row>
    <x:row r="6">
      <x:c r="A6" s="83" t="str">
        <x:v>D3D-02</x:v>
      </x:c>
      <x:c r="B6" s="83" t="str">
        <x:v>CCGT efficiency</x:v>
      </x:c>
      <x:c r="C6" s="83" t="str">
        <x:v>Use 50% only for Terna historical calibration; use plant/cohort efficiencies for the model, with 59–60% applicable only to efficient/new CCGT cohorts.</x:v>
      </x:c>
      <x:c r="D6" s="83" t="str">
        <x:v>Proposed</x:v>
      </x:c>
      <x:c r="E6" s="83" t="str">
        <x:v>Before Phase 4 harmonisation</x:v>
      </x:c>
      <x:c r="F6" s="83" t="str">
        <x:v>A uniform 50% or 60% would materially change marginal cost and merit order.</x:v>
      </x:c>
    </x:row>
    <x:row r="7">
      <x:c r="A7" s="83" t="str">
        <x:v>D3D-03</x:v>
      </x:c>
      <x:c r="B7" s="83" t="str">
        <x:v>Gas emission factor</x:v>
      </x:c>
      <x:c r="C7" s="83" t="str">
        <x:v>Keep 0.212 tCO2/MWh_th for Terna calibration and use the factor tied to the selected model dataset for production runs; never mix 0.212 and 0.198 silently.</x:v>
      </x:c>
      <x:c r="D7" s="83" t="str">
        <x:v>Proposed</x:v>
      </x:c>
      <x:c r="E7" s="83" t="str">
        <x:v>Before marginal-cost export</x:v>
      </x:c>
      <x:c r="F7" s="83" t="str">
        <x:v>The carbon component is directly proportional to the factor.</x:v>
      </x:c>
    </x:row>
    <x:row r="8">
      <x:c r="A8" s="83" t="str">
        <x:v>D3D-04</x:v>
      </x:c>
      <x:c r="B8" s="83" t="str">
        <x:v>Variable O&amp;M</x:v>
      </x:c>
      <x:c r="C8" s="83" t="str">
        <x:v>Adopt VOM from the pinned technical dataset by technology/cohort. Treat the 2023 implied residual as QA only.</x:v>
      </x:c>
      <x:c r="D8" s="83" t="str">
        <x:v>Proposed</x:v>
      </x:c>
      <x:c r="E8" s="83" t="str">
        <x:v>Before model build</x:v>
      </x:c>
      <x:c r="F8" s="83" t="str">
        <x:v>The implied residual also contains rounding and unreported variable components.</x:v>
      </x:c>
    </x:row>
    <x:row r="9">
      <x:c r="A9" s="83" t="str">
        <x:v>D3D-05</x:v>
      </x:c>
      <x:c r="B9" s="83" t="str">
        <x:v>Battery efficiency</x:v>
      </x:c>
      <x:c r="C9" s="83" t="str">
        <x:v>Use 90% round-trip as internal benchmark. For symmetric links, one-way efficiency equals sqrt(0.90)=94.87%; adopt only after confirming storage architecture.</x:v>
      </x:c>
      <x:c r="D9" s="83" t="str">
        <x:v>Proposed</x:v>
      </x:c>
      <x:c r="E9" s="83" t="str">
        <x:v>Before Phase 4</x:v>
      </x:c>
      <x:c r="F9" s="83" t="str">
        <x:v>Applying 90% twice would produce 81% round-trip.</x:v>
      </x:c>
    </x:row>
    <x:row r="10">
      <x:c r="A10" s="83" t="str">
        <x:v>D3D-06</x:v>
      </x:c>
      <x:c r="B10" s="83" t="str">
        <x:v>Pumped-hydro efficiency</x:v>
      </x:c>
      <x:c r="C10" s="83" t="str">
        <x:v>Use a plant/dataset-specific split. Technology-data 75% round-trip is a candidate; internal evidence is qualitative only.</x:v>
      </x:c>
      <x:c r="D10" s="83" t="str">
        <x:v>Open</x:v>
      </x:c>
      <x:c r="E10" s="83" t="str">
        <x:v>Before Phase 4</x:v>
      </x:c>
      <x:c r="F10" s="83" t="str">
        <x:v>Pumping losses affect arbitrage and prices.</x:v>
      </x:c>
    </x:row>
    <x:row r="11">
      <x:c r="A11" s="83" t="str">
        <x:v>D3D-07</x:v>
      </x:c>
      <x:c r="B11" s="83" t="str">
        <x:v>Renewable marginal cost</x:v>
      </x:c>
      <x:c r="C11" s="83" t="str">
        <x:v>Set wind and solar marginal cost to zero in the base case; create a separate negative-bid sensitivity only with market evidence.</x:v>
      </x:c>
      <x:c r="D11" s="83" t="str">
        <x:v>Proposed</x:v>
      </x:c>
      <x:c r="E11" s="83" t="str">
        <x:v>Before model build</x:v>
      </x:c>
      <x:c r="F11" s="83" t="str">
        <x:v>LCOE/CAPEX must not enter dispatch merit order.</x:v>
      </x:c>
    </x:row>
    <x:row r="12">
      <x:c r="A12" s="83" t="str">
        <x:v>D3D-08</x:v>
      </x:c>
      <x:c r="B12" s="83" t="str">
        <x:v>CAPEX and fixed O&amp;M in dispatch-only</x:v>
      </x:c>
      <x:c r="C12" s="83" t="str">
        <x:v>Exclude CAPEX, fixed O&amp;M, WACC and lifetime from the dispatch objective; retain them as context and future capacity-optimisation inputs.</x:v>
      </x:c>
      <x:c r="D12" s="83" t="str">
        <x:v>Defined in plan</x:v>
      </x:c>
      <x:c r="E12" s="83" t="str">
        <x:v>No</x:v>
      </x:c>
      <x:c r="F12" s="83" t="str">
        <x:v>The model fixes capacity and optimises dispatch only.</x:v>
      </x:c>
    </x:row>
    <x:row r="13">
      <x:c r="A13" s="83" t="str">
        <x:v>D3D-09</x:v>
      </x:c>
      <x:c r="B13" s="83" t="str">
        <x:v>Nuclear and CCS</x:v>
      </x:c>
      <x:c r="C13" s="83" t="str">
        <x:v>Maintain separate 2050 sensitivities. Do not make either branch executable until operational parameters are sourced consistently.</x:v>
      </x:c>
      <x:c r="D13" s="83" t="str">
        <x:v>Open</x:v>
      </x:c>
      <x:c r="E13" s="83" t="str">
        <x:v>Before relevant 2050 branch</x:v>
      </x:c>
      <x:c r="F13" s="83" t="str">
        <x:v>LCOE and capture-cost figures are not sufficient to build marginal costs.</x:v>
      </x:c>
    </x:row>
    <x:row r="14">
      <x:c r="A14" s="83" t="str">
        <x:v>D3D-10</x:v>
      </x:c>
      <x:c r="B14" s="83" t="str">
        <x:v>2050 fuel and CO2 prices</x:v>
      </x:c>
      <x:c r="C14" s="83" t="str">
        <x:v>Select an explicit official 2050 scenario source in Phase 4. Do not extrapolate or freeze 2040 values by default.</x:v>
      </x:c>
      <x:c r="D14" s="83" t="str">
        <x:v>Open</x:v>
      </x:c>
      <x:c r="E14" s="83" t="str">
        <x:v>Before 2050 model build</x:v>
      </x:c>
      <x:c r="F14" s="83" t="str">
        <x:v>Fuel and CO2 assumptions dominate dispatchable generation costs.</x:v>
      </x:c>
    </x:row>
    <x:row r="15">
      <x:c r="A15" s="83" t="str">
        <x:v>D3D-11</x:v>
      </x:c>
      <x:c r="B15" s="83" t="str">
        <x:v>Monetary normalisation</x:v>
      </x:c>
      <x:c r="C15" s="83" t="str">
        <x:v>Preserve every source value and currency year. Create a separate normalised field only after selecting a target price year and index.</x:v>
      </x:c>
      <x:c r="D15" s="83" t="str">
        <x:v>Proposed</x:v>
      </x:c>
      <x:c r="E15" s="83" t="str">
        <x:v>Before economic comparison</x:v>
      </x:c>
      <x:c r="F15" s="83" t="str">
        <x:v>Technology-data releases contain heterogeneous currency years.</x:v>
      </x:c>
    </x:row>
    <x:row r="16">
      <x:c r="A16" s="83" t="str">
        <x:v>D3D-12</x:v>
      </x:c>
      <x:c r="B16" s="83" t="str">
        <x:v>Unit commitment</x:v>
      </x:c>
      <x:c r="C16" s="83" t="str">
        <x:v>Keep linear dispatch as base. Add minimum output, ramps and startup costs only in a separate UC sensitivity after data acquisition.</x:v>
      </x:c>
      <x:c r="D16" s="83" t="str">
        <x:v>Defined in plan</x:v>
      </x:c>
      <x:c r="E16" s="83" t="str">
        <x:v>No for base</x:v>
      </x:c>
      <x:c r="F16" s="83" t="str">
        <x:v>Avoid pseudo-precision and unnecessary computational complexity.</x:v>
      </x:c>
    </x:row>
  </x:sheetData>
  <x:mergeCells>
    <x:mergeCell ref="A1:F1"/>
    <x:mergeCell ref="A2:F2"/>
  </x:mergeCells>
  <x:conditionalFormatting sqref="D5:D16">
    <x:cfRule type="expression" dxfId="76" priority="1">
      <x:formula>D5="Defined in plan"</x:formula>
    </x:cfRule>
    <x:cfRule type="expression" dxfId="77" priority="2">
      <x:formula>D5="Open"</x:formula>
    </x:cfRule>
  </x:conditionalFormatting>
  <x:conditionalFormatting sqref="E5:E16">
    <x:cfRule type="expression" dxfId="78" priority="3">
      <x:formula>ISNUMBER(SEARCH("Before",E5))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f8643678a84eba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8" hidden="0" customWidth="1"/>
    <x:col min="4" max="4" width="50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72" hidden="0" customWidth="1"/>
  </x:cols>
  <x:sheetData>
    <x:row r="1" ht="34" customHeight="1">
      <x:c r="A1" s="270" t="str">
        <x:v>Controlli di qualità — Fase 3D</x:v>
      </x:c>
      <x:c r="B1" s="270"/>
      <x:c r="C1" s="270"/>
      <x:c r="D1" s="270"/>
      <x:c r="E1" s="270"/>
      <x:c r="F1" s="270"/>
      <x:c r="G1" s="270"/>
      <x:c r="H1" s="270"/>
      <x:c r="I1" s="270"/>
      <x:c r="J1" s="270"/>
    </x:row>
    <x:row r="2" ht="30" customHeight="1">
      <x:c r="A2" s="274" t="str">
        <x:v>33 controlli: duplicati di fonte, formule, storage, CCUS e release comparison</x:v>
      </x:c>
      <x:c r="B2" s="274"/>
      <x:c r="C2" s="274"/>
      <x:c r="D2" s="274"/>
      <x:c r="E2" s="274"/>
      <x:c r="F2" s="274"/>
      <x:c r="G2" s="274"/>
      <x:c r="H2" s="274"/>
      <x:c r="I2" s="274"/>
      <x:c r="J2" s="274"/>
    </x:row>
    <x:row r="4" ht="42" customHeight="1">
      <x:c r="A4" s="278" t="str">
        <x:v>QA ID</x:v>
      </x:c>
      <x:c r="B4" s="278" t="str">
        <x:v>Tipo controllo</x:v>
      </x:c>
      <x:c r="C4" s="278" t="str">
        <x:v>Oggetto</x:v>
      </x:c>
      <x:c r="D4" s="278" t="str">
        <x:v>Metrica</x:v>
      </x:c>
      <x:c r="E4" s="278" t="str">
        <x:v>Atteso</x:v>
      </x:c>
      <x:c r="F4" s="278" t="str">
        <x:v>Calcolato</x:v>
      </x:c>
      <x:c r="G4" s="278" t="str">
        <x:v>Differenza</x:v>
      </x:c>
      <x:c r="H4" s="278" t="str">
        <x:v>Tolleranza</x:v>
      </x:c>
      <x:c r="I4" s="278" t="str">
        <x:v>Stato</x:v>
      </x:c>
      <x:c r="J4" s="278" t="str">
        <x:v>Note</x:v>
      </x:c>
    </x:row>
    <x:row r="5">
      <x:c r="A5" s="83" t="str">
        <x:v>QA3D-001</x:v>
      </x:c>
      <x:c r="B5" s="83" t="str">
        <x:v>Source duplication check</x:v>
      </x:c>
      <x:c r="C5" s="83" t="str">
        <x:v>Gas naturale</x:v>
      </x:c>
      <x:c r="D5" s="83" t="str">
        <x:v>S01 vs DDS 2023</x:v>
      </x:c>
      <x:c r="E5" s="279" t="n">
        <x:v>39.2</x:v>
      </x:c>
      <x:c r="F5" s="279" t="n">
        <x:v>39.2</x:v>
      </x:c>
      <x:c r="G5" s="279" t="n">
        <x:f>IF(OR(E5="",F5=""),"",F5-E5)</x:f>
        <x:v>0</x:v>
      </x:c>
      <x:c r="H5" s="279" t="n">
        <x:v>0</x:v>
      </x:c>
      <x:c r="I5" s="83" t="str">
        <x:v>PASS</x:v>
      </x:c>
      <x:c r="J5" s="83" t="str">
        <x:v>Official duplicate tables reconcile exactly.</x:v>
      </x:c>
    </x:row>
    <x:row r="6">
      <x:c r="A6" s="83" t="str">
        <x:v>QA3D-002</x:v>
      </x:c>
      <x:c r="B6" s="83" t="str">
        <x:v>Source duplication check</x:v>
      </x:c>
      <x:c r="C6" s="83" t="str">
        <x:v>Gas naturale</x:v>
      </x:c>
      <x:c r="D6" s="83" t="str">
        <x:v>S01 vs DDS 2030</x:v>
      </x:c>
      <x:c r="E6" s="279" t="n">
        <x:v>32.4</x:v>
      </x:c>
      <x:c r="F6" s="279" t="n">
        <x:v>32.4</x:v>
      </x:c>
      <x:c r="G6" s="279" t="n">
        <x:f>IF(OR(E6="",F6=""),"",F6-E6)</x:f>
        <x:v>0</x:v>
      </x:c>
      <x:c r="H6" s="279" t="n">
        <x:v>0</x:v>
      </x:c>
      <x:c r="I6" s="83" t="str">
        <x:v>PASS</x:v>
      </x:c>
      <x:c r="J6" s="83" t="str">
        <x:v>Official duplicate tables reconcile exactly.</x:v>
      </x:c>
    </x:row>
    <x:row r="7">
      <x:c r="A7" s="83" t="str">
        <x:v>QA3D-003</x:v>
      </x:c>
      <x:c r="B7" s="83" t="str">
        <x:v>Source duplication check</x:v>
      </x:c>
      <x:c r="C7" s="83" t="str">
        <x:v>Gas naturale</x:v>
      </x:c>
      <x:c r="D7" s="83" t="str">
        <x:v>S01 vs DDS 2035</x:v>
      </x:c>
      <x:c r="E7" s="279" t="n">
        <x:v>29.5</x:v>
      </x:c>
      <x:c r="F7" s="279" t="n">
        <x:v>29.5</x:v>
      </x:c>
      <x:c r="G7" s="279" t="n">
        <x:f>IF(OR(E7="",F7=""),"",F7-E7)</x:f>
        <x:v>0</x:v>
      </x:c>
      <x:c r="H7" s="279" t="n">
        <x:v>0</x:v>
      </x:c>
      <x:c r="I7" s="83" t="str">
        <x:v>PASS</x:v>
      </x:c>
      <x:c r="J7" s="83" t="str">
        <x:v>Official duplicate tables reconcile exactly.</x:v>
      </x:c>
    </x:row>
    <x:row r="8">
      <x:c r="A8" s="83" t="str">
        <x:v>QA3D-004</x:v>
      </x:c>
      <x:c r="B8" s="83" t="str">
        <x:v>Source duplication check</x:v>
      </x:c>
      <x:c r="C8" s="83" t="str">
        <x:v>Gas naturale</x:v>
      </x:c>
      <x:c r="D8" s="83" t="str">
        <x:v>S01 vs DDS 2040</x:v>
      </x:c>
      <x:c r="E8" s="279" t="n">
        <x:v>36.4</x:v>
      </x:c>
      <x:c r="F8" s="279" t="n">
        <x:v>36.4</x:v>
      </x:c>
      <x:c r="G8" s="279" t="n">
        <x:f>IF(OR(E8="",F8=""),"",F8-E8)</x:f>
        <x:v>0</x:v>
      </x:c>
      <x:c r="H8" s="279" t="n">
        <x:v>0</x:v>
      </x:c>
      <x:c r="I8" s="83" t="str">
        <x:v>PASS</x:v>
      </x:c>
      <x:c r="J8" s="83" t="str">
        <x:v>Official duplicate tables reconcile exactly.</x:v>
      </x:c>
    </x:row>
    <x:row r="9">
      <x:c r="A9" s="83" t="str">
        <x:v>QA3D-005</x:v>
      </x:c>
      <x:c r="B9" s="83" t="str">
        <x:v>Source duplication check</x:v>
      </x:c>
      <x:c r="C9" s="83" t="str">
        <x:v>Brent</x:v>
      </x:c>
      <x:c r="D9" s="83" t="str">
        <x:v>S01 vs DDS 2023</x:v>
      </x:c>
      <x:c r="E9" s="279" t="n">
        <x:v>45</x:v>
      </x:c>
      <x:c r="F9" s="279" t="n">
        <x:v>45</x:v>
      </x:c>
      <x:c r="G9" s="279" t="n">
        <x:f>IF(OR(E9="",F9=""),"",F9-E9)</x:f>
        <x:v>0</x:v>
      </x:c>
      <x:c r="H9" s="279" t="n">
        <x:v>0</x:v>
      </x:c>
      <x:c r="I9" s="83" t="str">
        <x:v>PASS</x:v>
      </x:c>
      <x:c r="J9" s="83" t="str">
        <x:v>Official duplicate tables reconcile exactly.</x:v>
      </x:c>
    </x:row>
    <x:row r="10">
      <x:c r="A10" s="83" t="str">
        <x:v>QA3D-006</x:v>
      </x:c>
      <x:c r="B10" s="83" t="str">
        <x:v>Source duplication check</x:v>
      </x:c>
      <x:c r="C10" s="83" t="str">
        <x:v>Brent</x:v>
      </x:c>
      <x:c r="D10" s="83" t="str">
        <x:v>S01 vs DDS 2030</x:v>
      </x:c>
      <x:c r="E10" s="279" t="n">
        <x:v>50</x:v>
      </x:c>
      <x:c r="F10" s="279" t="n">
        <x:v>50</x:v>
      </x:c>
      <x:c r="G10" s="279" t="n">
        <x:f>IF(OR(E10="",F10=""),"",F10-E10)</x:f>
        <x:v>0</x:v>
      </x:c>
      <x:c r="H10" s="279" t="n">
        <x:v>0</x:v>
      </x:c>
      <x:c r="I10" s="83" t="str">
        <x:v>PASS</x:v>
      </x:c>
      <x:c r="J10" s="83" t="str">
        <x:v>Official duplicate tables reconcile exactly.</x:v>
      </x:c>
    </x:row>
    <x:row r="11">
      <x:c r="A11" s="83" t="str">
        <x:v>QA3D-007</x:v>
      </x:c>
      <x:c r="B11" s="83" t="str">
        <x:v>Source duplication check</x:v>
      </x:c>
      <x:c r="C11" s="83" t="str">
        <x:v>Brent</x:v>
      </x:c>
      <x:c r="D11" s="83" t="str">
        <x:v>S01 vs DDS 2035</x:v>
      </x:c>
      <x:c r="E11" s="279" t="n">
        <x:v>55.4</x:v>
      </x:c>
      <x:c r="F11" s="279" t="n">
        <x:v>55.4</x:v>
      </x:c>
      <x:c r="G11" s="279" t="n">
        <x:f>IF(OR(E11="",F11=""),"",F11-E11)</x:f>
        <x:v>0</x:v>
      </x:c>
      <x:c r="H11" s="279" t="n">
        <x:v>0</x:v>
      </x:c>
      <x:c r="I11" s="83" t="str">
        <x:v>PASS</x:v>
      </x:c>
      <x:c r="J11" s="83" t="str">
        <x:v>Official duplicate tables reconcile exactly.</x:v>
      </x:c>
    </x:row>
    <x:row r="12">
      <x:c r="A12" s="83" t="str">
        <x:v>QA3D-008</x:v>
      </x:c>
      <x:c r="B12" s="83" t="str">
        <x:v>Source duplication check</x:v>
      </x:c>
      <x:c r="C12" s="83" t="str">
        <x:v>Brent</x:v>
      </x:c>
      <x:c r="D12" s="83" t="str">
        <x:v>S01 vs DDS 2040</x:v>
      </x:c>
      <x:c r="E12" s="279" t="n">
        <x:v>56.9</x:v>
      </x:c>
      <x:c r="F12" s="279" t="n">
        <x:v>56.9</x:v>
      </x:c>
      <x:c r="G12" s="279" t="n">
        <x:f>IF(OR(E12="",F12=""),"",F12-E12)</x:f>
        <x:v>0</x:v>
      </x:c>
      <x:c r="H12" s="279" t="n">
        <x:v>0</x:v>
      </x:c>
      <x:c r="I12" s="83" t="str">
        <x:v>PASS</x:v>
      </x:c>
      <x:c r="J12" s="83" t="str">
        <x:v>Official duplicate tables reconcile exactly.</x:v>
      </x:c>
    </x:row>
    <x:row r="13">
      <x:c r="A13" s="83" t="str">
        <x:v>QA3D-009</x:v>
      </x:c>
      <x:c r="B13" s="83" t="str">
        <x:v>Source duplication check</x:v>
      </x:c>
      <x:c r="C13" s="83" t="str">
        <x:v>Carbone</x:v>
      </x:c>
      <x:c r="D13" s="83" t="str">
        <x:v>S01 vs DDS 2023</x:v>
      </x:c>
      <x:c r="E13" s="279" t="n">
        <x:v>15.8</x:v>
      </x:c>
      <x:c r="F13" s="279" t="n">
        <x:v>15.8</x:v>
      </x:c>
      <x:c r="G13" s="279" t="n">
        <x:f>IF(OR(E13="",F13=""),"",F13-E13)</x:f>
        <x:v>0</x:v>
      </x:c>
      <x:c r="H13" s="279" t="n">
        <x:v>0</x:v>
      </x:c>
      <x:c r="I13" s="83" t="str">
        <x:v>PASS</x:v>
      </x:c>
      <x:c r="J13" s="83" t="str">
        <x:v>Official duplicate tables reconcile exactly.</x:v>
      </x:c>
    </x:row>
    <x:row r="14">
      <x:c r="A14" s="83" t="str">
        <x:v>QA3D-010</x:v>
      </x:c>
      <x:c r="B14" s="83" t="str">
        <x:v>Source duplication check</x:v>
      </x:c>
      <x:c r="C14" s="83" t="str">
        <x:v>Carbone</x:v>
      </x:c>
      <x:c r="D14" s="83" t="str">
        <x:v>S01 vs DDS 2030</x:v>
      </x:c>
      <x:c r="E14" s="279" t="n">
        <x:v>14.4</x:v>
      </x:c>
      <x:c r="F14" s="279" t="n">
        <x:v>14.4</x:v>
      </x:c>
      <x:c r="G14" s="279" t="n">
        <x:f>IF(OR(E14="",F14=""),"",F14-E14)</x:f>
        <x:v>0</x:v>
      </x:c>
      <x:c r="H14" s="279" t="n">
        <x:v>0</x:v>
      </x:c>
      <x:c r="I14" s="83" t="str">
        <x:v>PASS</x:v>
      </x:c>
      <x:c r="J14" s="83" t="str">
        <x:v>Official duplicate tables reconcile exactly.</x:v>
      </x:c>
    </x:row>
    <x:row r="15">
      <x:c r="A15" s="83" t="str">
        <x:v>QA3D-011</x:v>
      </x:c>
      <x:c r="B15" s="83" t="str">
        <x:v>Source duplication check</x:v>
      </x:c>
      <x:c r="C15" s="83" t="str">
        <x:v>Carbone</x:v>
      </x:c>
      <x:c r="D15" s="83" t="str">
        <x:v>S01 vs DDS 2035</x:v>
      </x:c>
      <x:c r="E15" s="279" t="n">
        <x:v>13.7</x:v>
      </x:c>
      <x:c r="F15" s="279" t="n">
        <x:v>13.7</x:v>
      </x:c>
      <x:c r="G15" s="279" t="n">
        <x:f>IF(OR(E15="",F15=""),"",F15-E15)</x:f>
        <x:v>0</x:v>
      </x:c>
      <x:c r="H15" s="279" t="n">
        <x:v>0</x:v>
      </x:c>
      <x:c r="I15" s="83" t="str">
        <x:v>PASS</x:v>
      </x:c>
      <x:c r="J15" s="83" t="str">
        <x:v>Official duplicate tables reconcile exactly.</x:v>
      </x:c>
    </x:row>
    <x:row r="16">
      <x:c r="A16" s="83" t="str">
        <x:v>QA3D-012</x:v>
      </x:c>
      <x:c r="B16" s="83" t="str">
        <x:v>Source duplication check</x:v>
      </x:c>
      <x:c r="C16" s="83" t="str">
        <x:v>Carbone</x:v>
      </x:c>
      <x:c r="D16" s="83" t="str">
        <x:v>S01 vs DDS 2040</x:v>
      </x:c>
      <x:c r="E16" s="279" t="n">
        <x:v>13.7</x:v>
      </x:c>
      <x:c r="F16" s="279" t="n">
        <x:v>13.7</x:v>
      </x:c>
      <x:c r="G16" s="279" t="n">
        <x:f>IF(OR(E16="",F16=""),"",F16-E16)</x:f>
        <x:v>0</x:v>
      </x:c>
      <x:c r="H16" s="279" t="n">
        <x:v>0</x:v>
      </x:c>
      <x:c r="I16" s="83" t="str">
        <x:v>PASS</x:v>
      </x:c>
      <x:c r="J16" s="83" t="str">
        <x:v>Official duplicate tables reconcile exactly.</x:v>
      </x:c>
    </x:row>
    <x:row r="17">
      <x:c r="A17" s="83" t="str">
        <x:v>QA3D-013</x:v>
      </x:c>
      <x:c r="B17" s="83" t="str">
        <x:v>Source duplication check</x:v>
      </x:c>
      <x:c r="C17" s="83" t="str">
        <x:v>CO2 ETS</x:v>
      </x:c>
      <x:c r="D17" s="83" t="str">
        <x:v>S01 vs DDS 2023</x:v>
      </x:c>
      <x:c r="E17" s="279" t="n">
        <x:v>92</x:v>
      </x:c>
      <x:c r="F17" s="279" t="n">
        <x:v>92</x:v>
      </x:c>
      <x:c r="G17" s="279" t="n">
        <x:f>IF(OR(E17="",F17=""),"",F17-E17)</x:f>
        <x:v>0</x:v>
      </x:c>
      <x:c r="H17" s="279" t="n">
        <x:v>0</x:v>
      </x:c>
      <x:c r="I17" s="83" t="str">
        <x:v>PASS</x:v>
      </x:c>
      <x:c r="J17" s="83" t="str">
        <x:v>Official duplicate tables reconcile exactly.</x:v>
      </x:c>
    </x:row>
    <x:row r="18">
      <x:c r="A18" s="83" t="str">
        <x:v>QA3D-014</x:v>
      </x:c>
      <x:c r="B18" s="83" t="str">
        <x:v>Source duplication check</x:v>
      </x:c>
      <x:c r="C18" s="83" t="str">
        <x:v>CO2 ETS</x:v>
      </x:c>
      <x:c r="D18" s="83" t="str">
        <x:v>S01 vs DDS 2030</x:v>
      </x:c>
      <x:c r="E18" s="279" t="n">
        <x:v>95</x:v>
      </x:c>
      <x:c r="F18" s="279" t="n">
        <x:v>95</x:v>
      </x:c>
      <x:c r="G18" s="279" t="n">
        <x:f>IF(OR(E18="",F18=""),"",F18-E18)</x:f>
        <x:v>0</x:v>
      </x:c>
      <x:c r="H18" s="279" t="n">
        <x:v>0</x:v>
      </x:c>
      <x:c r="I18" s="83" t="str">
        <x:v>PASS</x:v>
      </x:c>
      <x:c r="J18" s="83" t="str">
        <x:v>Official duplicate tables reconcile exactly.</x:v>
      </x:c>
    </x:row>
    <x:row r="19">
      <x:c r="A19" s="83" t="str">
        <x:v>QA3D-015</x:v>
      </x:c>
      <x:c r="B19" s="83" t="str">
        <x:v>Source duplication check</x:v>
      </x:c>
      <x:c r="C19" s="83" t="str">
        <x:v>CO2 ETS</x:v>
      </x:c>
      <x:c r="D19" s="83" t="str">
        <x:v>S01 vs DDS 2035</x:v>
      </x:c>
      <x:c r="E19" s="279" t="n">
        <x:v>100</x:v>
      </x:c>
      <x:c r="F19" s="279" t="n">
        <x:v>100</x:v>
      </x:c>
      <x:c r="G19" s="279" t="n">
        <x:f>IF(OR(E19="",F19=""),"",F19-E19)</x:f>
        <x:v>0</x:v>
      </x:c>
      <x:c r="H19" s="279" t="n">
        <x:v>0</x:v>
      </x:c>
      <x:c r="I19" s="83" t="str">
        <x:v>PASS</x:v>
      </x:c>
      <x:c r="J19" s="83" t="str">
        <x:v>Official duplicate tables reconcile exactly.</x:v>
      </x:c>
    </x:row>
    <x:row r="20">
      <x:c r="A20" s="83" t="str">
        <x:v>QA3D-016</x:v>
      </x:c>
      <x:c r="B20" s="83" t="str">
        <x:v>Source duplication check</x:v>
      </x:c>
      <x:c r="C20" s="83" t="str">
        <x:v>CO2 ETS</x:v>
      </x:c>
      <x:c r="D20" s="83" t="str">
        <x:v>S01 vs DDS 2040</x:v>
      </x:c>
      <x:c r="E20" s="279" t="n">
        <x:v>100</x:v>
      </x:c>
      <x:c r="F20" s="279" t="n">
        <x:v>100</x:v>
      </x:c>
      <x:c r="G20" s="279" t="n">
        <x:f>IF(OR(E20="",F20=""),"",F20-E20)</x:f>
        <x:v>0</x:v>
      </x:c>
      <x:c r="H20" s="279" t="n">
        <x:v>0</x:v>
      </x:c>
      <x:c r="I20" s="83" t="str">
        <x:v>PASS</x:v>
      </x:c>
      <x:c r="J20" s="83" t="str">
        <x:v>Official duplicate tables reconcile exactly.</x:v>
      </x:c>
    </x:row>
    <x:row r="21">
      <x:c r="A21" s="83" t="str">
        <x:v>QA3D-017</x:v>
      </x:c>
      <x:c r="B21" s="83" t="str">
        <x:v>Historical calibration</x:v>
      </x:c>
      <x:c r="C21" s="83" t="str">
        <x:v>CCGT 2023</x:v>
      </x:c>
      <x:c r="D21" s="83" t="str">
        <x:v>Reported variable cost minus fuel+CO2 subtotal</x:v>
      </x:c>
      <x:c r="E21" s="279" t="n">
        <x:v>121</x:v>
      </x:c>
      <x:c r="F21" s="279" t="n">
        <x:v>117.408</x:v>
      </x:c>
      <x:c r="G21" s="279" t="n">
        <x:f>IF(OR(E21="",F21=""),"",F21-E21)</x:f>
        <x:v>-3.5919999999999987</x:v>
      </x:c>
      <x:c r="H21" s="279" t="n">
        <x:v>5</x:v>
      </x:c>
      <x:c r="I21" s="83" t="str">
        <x:v>INFO</x:v>
      </x:c>
      <x:c r="J21" s="83" t="str">
        <x:v>Residual is 3.592 EUR/MWh; retained as QA, not automatically future VOM.</x:v>
      </x:c>
    </x:row>
    <x:row r="22">
      <x:c r="A22" s="83" t="str">
        <x:v>QA3D-018</x:v>
      </x:c>
      <x:c r="B22" s="83" t="str">
        <x:v>Formula check</x:v>
      </x:c>
      <x:c r="C22" s="83" t="str">
        <x:v>CCGT 2030</x:v>
      </x:c>
      <x:c r="D22" s="83" t="str">
        <x:v>Fuel+CO2 subtotal recomputation</x:v>
      </x:c>
      <x:c r="E22" s="279" t="n">
        <x:v>105.08</x:v>
      </x:c>
      <x:c r="F22" s="279" t="n">
        <x:v>105.08</x:v>
      </x:c>
      <x:c r="G22" s="279" t="n">
        <x:f>IF(OR(E22="",F22=""),"",F22-E22)</x:f>
        <x:v>0</x:v>
      </x:c>
      <x:c r="H22" s="279" t="n">
        <x:v>0.001</x:v>
      </x:c>
      <x:c r="I22" s="83" t="str">
        <x:v>PASS</x:v>
      </x:c>
      <x:c r="J22" s="83" t="str">
        <x:v>Before VOM and other variable costs.</x:v>
      </x:c>
    </x:row>
    <x:row r="23">
      <x:c r="A23" s="83" t="str">
        <x:v>QA3D-019</x:v>
      </x:c>
      <x:c r="B23" s="83" t="str">
        <x:v>Formula check</x:v>
      </x:c>
      <x:c r="C23" s="83" t="str">
        <x:v>CCGT 2035</x:v>
      </x:c>
      <x:c r="D23" s="83" t="str">
        <x:v>Fuel+CO2 subtotal recomputation</x:v>
      </x:c>
      <x:c r="E23" s="279" t="n">
        <x:v>101.4</x:v>
      </x:c>
      <x:c r="F23" s="279" t="n">
        <x:v>101.4</x:v>
      </x:c>
      <x:c r="G23" s="279" t="n">
        <x:f>IF(OR(E23="",F23=""),"",F23-E23)</x:f>
        <x:v>0</x:v>
      </x:c>
      <x:c r="H23" s="279" t="n">
        <x:v>0.001</x:v>
      </x:c>
      <x:c r="I23" s="83" t="str">
        <x:v>PASS</x:v>
      </x:c>
      <x:c r="J23" s="83" t="str">
        <x:v>Before VOM and other variable costs.</x:v>
      </x:c>
    </x:row>
    <x:row r="24">
      <x:c r="A24" s="83" t="str">
        <x:v>QA3D-020</x:v>
      </x:c>
      <x:c r="B24" s="83" t="str">
        <x:v>Formula check</x:v>
      </x:c>
      <x:c r="C24" s="83" t="str">
        <x:v>CCGT 2040</x:v>
      </x:c>
      <x:c r="D24" s="83" t="str">
        <x:v>Fuel+CO2 subtotal recomputation</x:v>
      </x:c>
      <x:c r="E24" s="279" t="n">
        <x:v>115.19999999999999</x:v>
      </x:c>
      <x:c r="F24" s="279" t="n">
        <x:v>115.19999999999999</x:v>
      </x:c>
      <x:c r="G24" s="279" t="n">
        <x:f>IF(OR(E24="",F24=""),"",F24-E24)</x:f>
        <x:v>0</x:v>
      </x:c>
      <x:c r="H24" s="279" t="n">
        <x:v>0.001</x:v>
      </x:c>
      <x:c r="I24" s="83" t="str">
        <x:v>PASS</x:v>
      </x:c>
      <x:c r="J24" s="83" t="str">
        <x:v>Before VOM and other variable costs.</x:v>
      </x:c>
    </x:row>
    <x:row r="25">
      <x:c r="A25" s="83" t="str">
        <x:v>QA3D-021</x:v>
      </x:c>
      <x:c r="B25" s="83" t="str">
        <x:v>Storage efficiency</x:v>
      </x:c>
      <x:c r="C25" s="83" t="str">
        <x:v>Li-ion</x:v>
      </x:c>
      <x:c r="D25" s="83" t="str">
        <x:v>Symmetric one-way efficiency squared</x:v>
      </x:c>
      <x:c r="E25" s="279" t="n">
        <x:v>0.9</x:v>
      </x:c>
      <x:c r="F25" s="279" t="n">
        <x:v>0.8999999999999999</x:v>
      </x:c>
      <x:c r="G25" s="279" t="n">
        <x:f>IF(OR(E25="",F25=""),"",F25-E25)</x:f>
        <x:v>-1.1102230246251565e-16</x:v>
      </x:c>
      <x:c r="H25" s="279" t="n">
        <x:v>1e-9</x:v>
      </x:c>
      <x:c r="I25" s="83" t="str">
        <x:v>PASS</x:v>
      </x:c>
      <x:c r="J25" s="83" t="str">
        <x:v>sqrt(0.90)=0.948683.</x:v>
      </x:c>
    </x:row>
    <x:row r="26">
      <x:c r="A26" s="83" t="str">
        <x:v>QA3D-022</x:v>
      </x:c>
      <x:c r="B26" s="83" t="str">
        <x:v>MACSE arithmetic</x:v>
      </x:c>
      <x:c r="C26" s="83" t="str">
        <x:v>First auction</x:v>
      </x:c>
      <x:c r="D26" s="83" t="str">
        <x:v>13,000 EUR/MWh/y × 10 GWh</x:v>
      </x:c>
      <x:c r="E26" s="279" t="n">
        <x:v>130000000</x:v>
      </x:c>
      <x:c r="F26" s="279" t="n">
        <x:v>130000000</x:v>
      </x:c>
      <x:c r="G26" s="279" t="n">
        <x:f>IF(OR(E26="",F26=""),"",F26-E26)</x:f>
        <x:v>0</x:v>
      </x:c>
      <x:c r="H26" s="279" t="n">
        <x:v>1</x:v>
      </x:c>
      <x:c r="I26" s="83" t="str">
        <x:v>PASS</x:v>
      </x:c>
      <x:c r="J26" s="83" t="str">
        <x:v>Contextual annual support arithmetic.</x:v>
      </x:c>
    </x:row>
    <x:row r="27">
      <x:c r="A27" s="83" t="str">
        <x:v>QA3D-023</x:v>
      </x:c>
      <x:c r="B27" s="83" t="str">
        <x:v>CCUS chain</x:v>
      </x:c>
      <x:c r="C27" s="83" t="str">
        <x:v>Utility CCGT</x:v>
      </x:c>
      <x:c r="D27" s="83" t="str">
        <x:v>Capture + transport + storage midpoint</x:v>
      </x:c>
      <x:c r="E27" s="279" t="n">
        <x:v>194</x:v>
      </x:c>
      <x:c r="F27" s="279" t="n">
        <x:v>194</x:v>
      </x:c>
      <x:c r="G27" s="279" t="n">
        <x:f>IF(OR(E27="",F27=""),"",F27-E27)</x:f>
        <x:v>0</x:v>
      </x:c>
      <x:c r="H27" s="279" t="n">
        <x:v>0.001</x:v>
      </x:c>
      <x:c r="I27" s="83" t="str">
        <x:v>PASS</x:v>
      </x:c>
      <x:c r="J27" s="83" t="str">
        <x:v>Still not a generator marginal cost without capture rate and energy penalty.</x:v>
      </x:c>
    </x:row>
    <x:row r="28">
      <x:c r="A28" s="83" t="str">
        <x:v>QA3D-024</x:v>
      </x:c>
      <x:c r="B28" s="83" t="str">
        <x:v>Dispatch boundary</x:v>
      </x:c>
      <x:c r="C28" s="83" t="str">
        <x:v>All technologies</x:v>
      </x:c>
      <x:c r="D28" s="83" t="str">
        <x:v>CAPEX/FOM excluded from dispatch parameter set</x:v>
      </x:c>
      <x:c r="E28" s="279" t="n">
        <x:v>1</x:v>
      </x:c>
      <x:c r="F28" s="279" t="n">
        <x:v>1</x:v>
      </x:c>
      <x:c r="G28" s="279" t="n">
        <x:f>IF(OR(E28="",F28=""),"",F28-E28)</x:f>
        <x:v>0</x:v>
      </x:c>
      <x:c r="H28" s="279" t="n">
        <x:v>0</x:v>
      </x:c>
      <x:c r="I28" s="83" t="str">
        <x:v>PASS</x:v>
      </x:c>
      <x:c r="J28" s="83" t="str">
        <x:v>Workbook separates direct dispatch parameters and context.</x:v>
      </x:c>
    </x:row>
    <x:row r="29">
      <x:c r="A29" s="83" t="str">
        <x:v>QA3D-025</x:v>
      </x:c>
      <x:c r="B29" s="83" t="str">
        <x:v>2050 completeness</x:v>
      </x:c>
      <x:c r="C29" s="83" t="str">
        <x:v>Fuel and CO2</x:v>
      </x:c>
      <x:c r="D29" s="83" t="str">
        <x:v>Internal 2050 values not populated</x:v>
      </x:c>
      <x:c r="E29" s="279" t="n">
        <x:v>0</x:v>
      </x:c>
      <x:c r="F29" s="279" t="n">
        <x:v>0</x:v>
      </x:c>
      <x:c r="G29" s="279" t="str">
        <x:f>IF(OR(E29="",F29=""),"",F29-E29)</x:f>
      </x:c>
      <x:c r="H29" s="279" t="n">
        <x:v>0</x:v>
      </x:c>
      <x:c r="I29" s="83" t="str">
        <x:v>PASS</x:v>
      </x:c>
      <x:c r="J29" s="83" t="str">
        <x:v>Gap retained instead of copying 2040.</x:v>
      </x:c>
    </x:row>
    <x:row r="30">
      <x:c r="A30" s="83" t="str">
        <x:v>QA3D-026</x:v>
      </x:c>
      <x:c r="B30" s="83" t="str">
        <x:v>Technology-data release comparison</x:v>
      </x:c>
      <x:c r="C30" s="83" t="str">
        <x:v>CCGT 2040</x:v>
      </x:c>
      <x:c r="D30" s="83" t="str">
        <x:v>efficiency</x:v>
      </x:c>
      <x:c r="E30" s="279" t="n">
        <x:v>0.59</x:v>
      </x:c>
      <x:c r="F30" s="279" t="n">
        <x:v>0.59</x:v>
      </x:c>
      <x:c r="G30" s="279" t="n">
        <x:f>IF(OR(E30="",F30=""),"",F30-E30)</x:f>
        <x:v>0</x:v>
      </x:c>
      <x:c r="H30" s="279" t="n">
        <x:v>0</x:v>
      </x:c>
      <x:c r="I30" s="83" t="str">
        <x:v>INFO</x:v>
      </x:c>
      <x:c r="J30" s="83" t="str">
        <x:v>Change 0.0%; units per unit/per unit; currency years 2015.0/2015.0. Do not blend releases.</x:v>
      </x:c>
    </x:row>
    <x:row r="31">
      <x:c r="A31" s="83" t="str">
        <x:v>QA3D-027</x:v>
      </x:c>
      <x:c r="B31" s="83" t="str">
        <x:v>Technology-data release comparison</x:v>
      </x:c>
      <x:c r="C31" s="83" t="str">
        <x:v>CCGT 2040</x:v>
      </x:c>
      <x:c r="D31" s="83" t="str">
        <x:v>VOM</x:v>
      </x:c>
      <x:c r="E31" s="279" t="n">
        <x:v>4.3387</x:v>
      </x:c>
      <x:c r="F31" s="279" t="n">
        <x:v>5.4768</x:v>
      </x:c>
      <x:c r="G31" s="279" t="n">
        <x:f>IF(OR(E31="",F31=""),"",F31-E31)</x:f>
        <x:v>1.1380999999999997</x:v>
      </x:c>
      <x:c r="H31" s="279" t="n">
        <x:v>0</x:v>
      </x:c>
      <x:c r="I31" s="83" t="str">
        <x:v>INFO</x:v>
      </x:c>
      <x:c r="J31" s="83" t="str">
        <x:v>Change 26.2%; units EUR/MWh/EUR/MWh; currency years 2015.0/2025.0. Do not blend releases.</x:v>
      </x:c>
    </x:row>
    <x:row r="32">
      <x:c r="A32" s="83" t="str">
        <x:v>QA3D-028</x:v>
      </x:c>
      <x:c r="B32" s="83" t="str">
        <x:v>Technology-data release comparison</x:v>
      </x:c>
      <x:c r="C32" s="83" t="str">
        <x:v>gas 2040</x:v>
      </x:c>
      <x:c r="D32" s="83" t="str">
        <x:v>fuel</x:v>
      </x:c>
      <x:c r="E32" s="279" t="n">
        <x:v>24.568</x:v>
      </x:c>
      <x:c r="F32" s="279" t="n">
        <x:v>25.5868</x:v>
      </x:c>
      <x:c r="G32" s="279" t="n">
        <x:f>IF(OR(E32="",F32=""),"",F32-E32)</x:f>
        <x:v>1.0187999999999988</x:v>
      </x:c>
      <x:c r="H32" s="279" t="n">
        <x:v>0</x:v>
      </x:c>
      <x:c r="I32" s="83" t="str">
        <x:v>INFO</x:v>
      </x:c>
      <x:c r="J32" s="83" t="str">
        <x:v>Change 4.1%; units EUR/MWh_th/EUR/MWh_th; currency years 2010.0/2025.0. Do not blend releases.</x:v>
      </x:c>
    </x:row>
    <x:row r="33">
      <x:c r="A33" s="83" t="str">
        <x:v>QA3D-029</x:v>
      </x:c>
      <x:c r="B33" s="83" t="str">
        <x:v>Technology-data release comparison</x:v>
      </x:c>
      <x:c r="C33" s="83" t="str">
        <x:v>nuclear 2040</x:v>
      </x:c>
      <x:c r="D33" s="83" t="str">
        <x:v>fuel</x:v>
      </x:c>
      <x:c r="E33" s="279" t="n">
        <x:v>3.4122</x:v>
      </x:c>
      <x:c r="F33" s="279" t="n">
        <x:v>7.4536</x:v>
      </x:c>
      <x:c r="G33" s="279" t="n">
        <x:f>IF(OR(E33="",F33=""),"",F33-E33)</x:f>
        <x:v>4.041399999999999</x:v>
      </x:c>
      <x:c r="H33" s="279" t="n">
        <x:v>0</x:v>
      </x:c>
      <x:c r="I33" s="83" t="str">
        <x:v>INFO</x:v>
      </x:c>
      <x:c r="J33" s="83" t="str">
        <x:v>Change 118.4%; units EUR/MWh_th/EUR/MWh_th; currency years 2010.0/2025.0. Do not blend releases.</x:v>
      </x:c>
    </x:row>
    <x:row r="34">
      <x:c r="A34" s="83" t="str">
        <x:v>QA3D-030</x:v>
      </x:c>
      <x:c r="B34" s="83" t="str">
        <x:v>Technology-data release comparison</x:v>
      </x:c>
      <x:c r="C34" s="83" t="str">
        <x:v>solar-utility 2040</x:v>
      </x:c>
      <x:c r="D34" s="83" t="str">
        <x:v>investment</x:v>
      </x:c>
      <x:c r="E34" s="279" t="n">
        <x:v>320.8246</x:v>
      </x:c>
      <x:c r="F34" s="279" t="n">
        <x:v>403.3839</x:v>
      </x:c>
      <x:c r="G34" s="279" t="n">
        <x:f>IF(OR(E34="",F34=""),"",F34-E34)</x:f>
        <x:v>82.55930000000001</x:v>
      </x:c>
      <x:c r="H34" s="279" t="n">
        <x:v>0</x:v>
      </x:c>
      <x:c r="I34" s="83" t="str">
        <x:v>INFO</x:v>
      </x:c>
      <x:c r="J34" s="83" t="str">
        <x:v>Change 25.7%; units EUR/kW_e/EUR/kW_e; currency years 2020.0/2025.0. Do not blend releases.</x:v>
      </x:c>
    </x:row>
    <x:row r="35">
      <x:c r="A35" s="83" t="str">
        <x:v>QA3D-031</x:v>
      </x:c>
      <x:c r="B35" s="83" t="str">
        <x:v>Technology-data release comparison</x:v>
      </x:c>
      <x:c r="C35" s="83" t="str">
        <x:v>battery storage 2040</x:v>
      </x:c>
      <x:c r="D35" s="83" t="str">
        <x:v>investment</x:v>
      </x:c>
      <x:c r="E35" s="279" t="n">
        <x:v>99.4728</x:v>
      </x:c>
      <x:c r="F35" s="279" t="n">
        <x:v>125.6827</x:v>
      </x:c>
      <x:c r="G35" s="279" t="n">
        <x:f>IF(OR(E35="",F35=""),"",F35-E35)</x:f>
        <x:v>26.20989999999999</x:v>
      </x:c>
      <x:c r="H35" s="279" t="n">
        <x:v>0</x:v>
      </x:c>
      <x:c r="I35" s="83" t="str">
        <x:v>INFO</x:v>
      </x:c>
      <x:c r="J35" s="83" t="str">
        <x:v>Change 26.3%; units EUR/kWh/EUR/kWh; currency years 2015.0/2025.0. Do not blend releases.</x:v>
      </x:c>
    </x:row>
    <x:row r="36">
      <x:c r="A36" s="83" t="str">
        <x:v>QA3D-032</x:v>
      </x:c>
      <x:c r="B36" s="83" t="str">
        <x:v>Technology-data release comparison</x:v>
      </x:c>
      <x:c r="C36" s="83" t="str">
        <x:v>CCGT 2050</x:v>
      </x:c>
      <x:c r="D36" s="83" t="str">
        <x:v>efficiency</x:v>
      </x:c>
      <x:c r="E36" s="279" t="n">
        <x:v>0.6</x:v>
      </x:c>
      <x:c r="F36" s="279" t="n">
        <x:v>0.6</x:v>
      </x:c>
      <x:c r="G36" s="279" t="n">
        <x:f>IF(OR(E36="",F36=""),"",F36-E36)</x:f>
        <x:v>0</x:v>
      </x:c>
      <x:c r="H36" s="279" t="n">
        <x:v>0</x:v>
      </x:c>
      <x:c r="I36" s="83" t="str">
        <x:v>INFO</x:v>
      </x:c>
      <x:c r="J36" s="83" t="str">
        <x:v>Change 0.0%; units per unit/per unit; currency years 2015.0/2015.0. Do not blend releases.</x:v>
      </x:c>
    </x:row>
    <x:row r="37">
      <x:c r="A37" s="83" t="str">
        <x:v>QA3D-033</x:v>
      </x:c>
      <x:c r="B37" s="83" t="str">
        <x:v>Technology-data release comparison</x:v>
      </x:c>
      <x:c r="C37" s="83" t="str">
        <x:v>battery storage 2050</x:v>
      </x:c>
      <x:c r="D37" s="83" t="str">
        <x:v>investment</x:v>
      </x:c>
      <x:c r="E37" s="279" t="n">
        <x:v>79.3666</x:v>
      </x:c>
      <x:c r="F37" s="279" t="n">
        <x:v>100.2787</x:v>
      </x:c>
      <x:c r="G37" s="279" t="n">
        <x:f>IF(OR(E37="",F37=""),"",F37-E37)</x:f>
        <x:v>20.912099999999995</x:v>
      </x:c>
      <x:c r="H37" s="279" t="n">
        <x:v>0</x:v>
      </x:c>
      <x:c r="I37" s="83" t="str">
        <x:v>INFO</x:v>
      </x:c>
      <x:c r="J37" s="83" t="str">
        <x:v>Change 26.3%; units EUR/kWh/EUR/kWh; currency years 2015.0/2025.0. Do not blend releases.</x:v>
      </x:c>
    </x:row>
  </x:sheetData>
  <x:mergeCells>
    <x:mergeCell ref="A1:J1"/>
    <x:mergeCell ref="A2:J2"/>
  </x:mergeCells>
  <x:conditionalFormatting sqref="I5:I37">
    <x:cfRule type="expression" dxfId="79" priority="1">
      <x:formula>I5="PASS"</x:formula>
    </x:cfRule>
    <x:cfRule type="expression" dxfId="80" priority="2">
      <x:formula>I5="INFO"</x:formula>
    </x:cfRule>
    <x:cfRule type="expression" dxfId="81" priority="3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176ce10d7a406b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4" hidden="0" customWidth="1"/>
    <x:col min="4" max="4" width="22" hidden="0" customWidth="1"/>
    <x:col min="5" max="5" width="30" hidden="0" customWidth="1"/>
    <x:col min="6" max="6" width="34" hidden="0" customWidth="1"/>
    <x:col min="7" max="7" width="20" hidden="0" customWidth="1"/>
    <x:col min="8" max="8" width="42" hidden="0" customWidth="1"/>
    <x:col min="9" max="9" width="68" hidden="0" customWidth="1"/>
  </x:cols>
  <x:sheetData>
    <x:row r="1" ht="34" customHeight="1">
      <x:c r="A1" s="270" t="str">
        <x:v>Registro di estrazione — Fase 3D</x:v>
      </x:c>
      <x:c r="B1" s="270"/>
      <x:c r="C1" s="270"/>
      <x:c r="D1" s="270"/>
      <x:c r="E1" s="270"/>
      <x:c r="F1" s="270"/>
      <x:c r="G1" s="270"/>
      <x:c r="H1" s="270"/>
      <x:c r="I1" s="270"/>
    </x:row>
    <x:row r="2" ht="30" customHeight="1">
      <x:c r="A2" s="274" t="str">
        <x:v>12 blocchi interni ed esterni verificati</x:v>
      </x:c>
      <x:c r="B2" s="274"/>
      <x:c r="C2" s="274"/>
      <x:c r="D2" s="274"/>
      <x:c r="E2" s="274"/>
      <x:c r="F2" s="274"/>
      <x:c r="G2" s="274"/>
      <x:c r="H2" s="274"/>
      <x:c r="I2" s="274"/>
    </x:row>
    <x:row r="4" ht="42" customHeight="1">
      <x:c r="A4" s="278" t="str">
        <x:v>Extraction ID</x:v>
      </x:c>
      <x:c r="B4" s="278" t="str">
        <x:v>Fonte</x:v>
      </x:c>
      <x:c r="C4" s="278" t="str">
        <x:v>Contenuto</x:v>
      </x:c>
      <x:c r="D4" s="278" t="str">
        <x:v>Pagine</x:v>
      </x:c>
      <x:c r="E4" s="278" t="str">
        <x:v>Tabella/Figura</x:v>
      </x:c>
      <x:c r="F4" s="278" t="str">
        <x:v>Blocco output</x:v>
      </x:c>
      <x:c r="G4" s="278" t="str">
        <x:v>Stato</x:v>
      </x:c>
      <x:c r="H4" s="278" t="str">
        <x:v>Metodo</x:v>
      </x:c>
      <x:c r="I4" s="278" t="str">
        <x:v>Note</x:v>
      </x:c>
    </x:row>
    <x:row r="5">
      <x:c r="A5" s="83" t="str">
        <x:v>EX3D-001</x:v>
      </x:c>
      <x:c r="B5" s="83" t="str">
        <x:v>S01 / S09</x:v>
      </x:c>
      <x:c r="C5" s="83" t="str">
        <x:v>Commodity prices 2023–2040</x:v>
      </x:c>
      <x:c r="D5" s="83" t="str">
        <x:v>S01 PDF 88; DDS PDF 28</x:v>
      </x:c>
      <x:c r="E5" s="83" t="str">
        <x:v>Table 14 / Table 4</x:v>
      </x:c>
      <x:c r="F5" s="83" t="str">
        <x:v>FUEL_CO2</x:v>
      </x:c>
      <x:c r="G5" s="83" t="str">
        <x:v>Complete</x:v>
      </x:c>
      <x:c r="H5" s="83" t="str">
        <x:v>Direct table extraction</x:v>
      </x:c>
      <x:c r="I5" s="83" t="str">
        <x:v>Duplicate official values reconciled.</x:v>
      </x:c>
    </x:row>
    <x:row r="6">
      <x:c r="A6" s="83" t="str">
        <x:v>EX3D-002</x:v>
      </x:c>
      <x:c r="B6" s="83" t="str">
        <x:v>S07</x:v>
      </x:c>
      <x:c r="C6" s="83" t="str">
        <x:v>PUN and CCGT variable-cost calibration 2019–2024</x:v>
      </x:c>
      <x:c r="D6" s="83" t="str">
        <x:v>PDF 9</x:v>
      </x:c>
      <x:c r="E6" s="83" t="str">
        <x:v>Table 1 + footnote</x:v>
      </x:c>
      <x:c r="F6" s="83" t="str">
        <x:v>TECH_PARAMETERS / FUEL_CO2</x:v>
      </x:c>
      <x:c r="G6" s="83" t="str">
        <x:v>Complete</x:v>
      </x:c>
      <x:c r="H6" s="83" t="str">
        <x:v>Direct table extraction</x:v>
      </x:c>
      <x:c r="I6" s="83" t="str">
        <x:v>50% efficiency and 0.212 tCO2/MWh_th are calibration assumptions.</x:v>
      </x:c>
    </x:row>
    <x:row r="7">
      <x:c r="A7" s="83" t="str">
        <x:v>EX3D-003</x:v>
      </x:c>
      <x:c r="B7" s="83" t="str">
        <x:v>S07</x:v>
      </x:c>
      <x:c r="C7" s="83" t="str">
        <x:v>CCGT first-half 2025 and fixed-cost context</x:v>
      </x:c>
      <x:c r="D7" s="83" t="str">
        <x:v>PDF 10</x:v>
      </x:c>
      <x:c r="E7" s="83" t="str">
        <x:v>Figure 4 / footnotes</x:v>
      </x:c>
      <x:c r="F7" s="83" t="str">
        <x:v>TECH_PARAMETERS</x:v>
      </x:c>
      <x:c r="G7" s="83" t="str">
        <x:v>Complete</x:v>
      </x:c>
      <x:c r="H7" s="83" t="str">
        <x:v>Direct text extraction</x:v>
      </x:c>
      <x:c r="I7" s="83" t="str">
        <x:v>Fixed costs expressed per generated MWh, not FOM.</x:v>
      </x:c>
    </x:row>
    <x:row r="8">
      <x:c r="A8" s="83" t="str">
        <x:v>EX3D-004</x:v>
      </x:c>
      <x:c r="B8" s="83" t="str">
        <x:v>S07</x:v>
      </x:c>
      <x:c r="C8" s="83" t="str">
        <x:v>Solar technology economics</x:v>
      </x:c>
      <x:c r="D8" s="83" t="str">
        <x:v>PDF 36–39</x:v>
      </x:c>
      <x:c r="E8" s="83" t="str">
        <x:v>Figures 30–32</x:v>
      </x:c>
      <x:c r="F8" s="83" t="str">
        <x:v>TECH_PARAMETERS</x:v>
      </x:c>
      <x:c r="G8" s="83" t="str">
        <x:v>Complete</x:v>
      </x:c>
      <x:c r="H8" s="83" t="str">
        <x:v>Visual/text extraction</x:v>
      </x:c>
      <x:c r="I8" s="83" t="str">
        <x:v>LCOE and CAPEX retained as context.</x:v>
      </x:c>
    </x:row>
    <x:row r="9">
      <x:c r="A9" s="83" t="str">
        <x:v>EX3D-005</x:v>
      </x:c>
      <x:c r="B9" s="83" t="str">
        <x:v>S07</x:v>
      </x:c>
      <x:c r="C9" s="83" t="str">
        <x:v>Onshore wind economics</x:v>
      </x:c>
      <x:c r="D9" s="83" t="str">
        <x:v>PDF 39–41</x:v>
      </x:c>
      <x:c r="E9" s="83" t="str">
        <x:v>Figures 34–35</x:v>
      </x:c>
      <x:c r="F9" s="83" t="str">
        <x:v>TECH_PARAMETERS</x:v>
      </x:c>
      <x:c r="G9" s="83" t="str">
        <x:v>Complete</x:v>
      </x:c>
      <x:c r="H9" s="83" t="str">
        <x:v>Visual/text extraction</x:v>
      </x:c>
      <x:c r="I9" s="83" t="str">
        <x:v>LCOE and CAPEX retained as context.</x:v>
      </x:c>
    </x:row>
    <x:row r="10">
      <x:c r="A10" s="83" t="str">
        <x:v>EX3D-006</x:v>
      </x:c>
      <x:c r="B10" s="83" t="str">
        <x:v>S07</x:v>
      </x:c>
      <x:c r="C10" s="83" t="str">
        <x:v>Offshore wind economics</x:v>
      </x:c>
      <x:c r="D10" s="83" t="str">
        <x:v>PDF 41–43</x:v>
      </x:c>
      <x:c r="E10" s="83" t="str">
        <x:v>Figures 36–37</x:v>
      </x:c>
      <x:c r="F10" s="83" t="str">
        <x:v>TECH_PARAMETERS</x:v>
      </x:c>
      <x:c r="G10" s="83" t="str">
        <x:v>Complete</x:v>
      </x:c>
      <x:c r="H10" s="83" t="str">
        <x:v>Visual/text extraction</x:v>
      </x:c>
      <x:c r="I10" s="83" t="str">
        <x:v>Fixed and floating ranges separated.</x:v>
      </x:c>
    </x:row>
    <x:row r="11">
      <x:c r="A11" s="83" t="str">
        <x:v>EX3D-007</x:v>
      </x:c>
      <x:c r="B11" s="83" t="str">
        <x:v>S07</x:v>
      </x:c>
      <x:c r="C11" s="83" t="str">
        <x:v>Nuclear cost context</x:v>
      </x:c>
      <x:c r="D11" s="83" t="str">
        <x:v>PDF 41–45</x:v>
      </x:c>
      <x:c r="E11" s="83" t="str">
        <x:v>Figure 39 / text</x:v>
      </x:c>
      <x:c r="F11" s="83" t="str">
        <x:v>TECH_PARAMETERS</x:v>
      </x:c>
      <x:c r="G11" s="83" t="str">
        <x:v>Complete</x:v>
      </x:c>
      <x:c r="H11" s="83" t="str">
        <x:v>Visual/text extraction</x:v>
      </x:c>
      <x:c r="I11" s="83" t="str">
        <x:v>No operational parameter set available.</x:v>
      </x:c>
    </x:row>
    <x:row r="12">
      <x:c r="A12" s="83" t="str">
        <x:v>EX3D-008</x:v>
      </x:c>
      <x:c r="B12" s="83" t="str">
        <x:v>S07</x:v>
      </x:c>
      <x:c r="C12" s="83" t="str">
        <x:v>BESS CAPEX, efficiency and LCOS</x:v>
      </x:c>
      <x:c r="D12" s="83" t="str">
        <x:v>PDF 44–49</x:v>
      </x:c>
      <x:c r="E12" s="83" t="str">
        <x:v>Figures 42–44</x:v>
      </x:c>
      <x:c r="F12" s="83" t="str">
        <x:v>TECH_PARAMETERS</x:v>
      </x:c>
      <x:c r="G12" s="83" t="str">
        <x:v>Complete</x:v>
      </x:c>
      <x:c r="H12" s="83" t="str">
        <x:v>Visual/text extraction</x:v>
      </x:c>
      <x:c r="I12" s="83" t="str">
        <x:v>LCOS excludes charging energy price.</x:v>
      </x:c>
    </x:row>
    <x:row r="13">
      <x:c r="A13" s="83" t="str">
        <x:v>EX3D-009</x:v>
      </x:c>
      <x:c r="B13" s="83" t="str">
        <x:v>S07</x:v>
      </x:c>
      <x:c r="C13" s="83" t="str">
        <x:v>CCUS capture, transport and storage costs</x:v>
      </x:c>
      <x:c r="D13" s="83" t="str">
        <x:v>PDF 46–47</x:v>
      </x:c>
      <x:c r="E13" s="83" t="str">
        <x:v>Figure 41 / notes</x:v>
      </x:c>
      <x:c r="F13" s="83" t="str">
        <x:v>TECH_PARAMETERS</x:v>
      </x:c>
      <x:c r="G13" s="83" t="str">
        <x:v>Complete</x:v>
      </x:c>
      <x:c r="H13" s="83" t="str">
        <x:v>Visual/text extraction</x:v>
      </x:c>
      <x:c r="I13" s="83" t="str">
        <x:v>Capture rate and energy penalty remain gaps.</x:v>
      </x:c>
    </x:row>
    <x:row r="14">
      <x:c r="A14" s="83" t="str">
        <x:v>EX3D-010</x:v>
      </x:c>
      <x:c r="B14" s="83" t="str">
        <x:v>External official</x:v>
      </x:c>
      <x:c r="C14" s="83" t="str">
        <x:v>PyPSA technology-data v0.9.2 candidate files</x:v>
      </x:c>
      <x:c r="D14" s="83" t="str">
        <x:v>2040/2050 CSV</x:v>
      </x:c>
      <x:c r="E14" s="83" t="str">
        <x:v>Selected technologies/parameters</x:v>
      </x:c>
      <x:c r="F14" s="83" t="str">
        <x:v>TECH_DATA_CANDIDATES</x:v>
      </x:c>
      <x:c r="G14" s="83" t="str">
        <x:v>Complete</x:v>
      </x:c>
      <x:c r="H14" s="83" t="str">
        <x:v>CSV filtering</x:v>
      </x:c>
      <x:c r="I14" s="83" t="str">
        <x:v>Candidate only.</x:v>
      </x:c>
    </x:row>
    <x:row r="15">
      <x:c r="A15" s="83" t="str">
        <x:v>EX3D-011</x:v>
      </x:c>
      <x:c r="B15" s="83" t="str">
        <x:v>External official</x:v>
      </x:c>
      <x:c r="C15" s="83" t="str">
        <x:v>PyPSA technology-data v0.15.0 candidate files</x:v>
      </x:c>
      <x:c r="D15" s="83" t="str">
        <x:v>2040/2050 CSV</x:v>
      </x:c>
      <x:c r="E15" s="83" t="str">
        <x:v>Selected technologies/parameters</x:v>
      </x:c>
      <x:c r="F15" s="83" t="str">
        <x:v>TECH_DATA_CANDIDATES</x:v>
      </x:c>
      <x:c r="G15" s="83" t="str">
        <x:v>Complete</x:v>
      </x:c>
      <x:c r="H15" s="83" t="str">
        <x:v>CSV filtering</x:v>
      </x:c>
      <x:c r="I15" s="83" t="str">
        <x:v>Latest available candidate at phase date; CLI pin still governs.</x:v>
      </x:c>
    </x:row>
    <x:row r="16">
      <x:c r="A16" s="83" t="str">
        <x:v>EX3D-012</x:v>
      </x:c>
      <x:c r="B16" s="83" t="str">
        <x:v>External official</x:v>
      </x:c>
      <x:c r="C16" s="83" t="str">
        <x:v>DEA/JRC/ENTSO-E candidate source register</x:v>
      </x:c>
      <x:c r="D16" s="83" t="str">
        <x:v>n/a</x:v>
      </x:c>
      <x:c r="E16" s="83" t="str">
        <x:v>External gap register</x:v>
      </x:c>
      <x:c r="F16" s="83" t="str">
        <x:v>EXTERNAL_GAPS</x:v>
      </x:c>
      <x:c r="G16" s="83" t="str">
        <x:v>Complete</x:v>
      </x:c>
      <x:c r="H16" s="83" t="str">
        <x:v>Source prioritisation</x:v>
      </x:c>
      <x:c r="I16" s="83" t="str">
        <x:v>No external gap value adopted in Phase 3D.</x:v>
      </x:c>
    </x:row>
  </x:sheetData>
  <x:mergeCells>
    <x:mergeCell ref="A1:I1"/>
    <x:mergeCell ref="A2:I2"/>
  </x:mergeCells>
  <x:conditionalFormatting sqref="G5:G16">
    <x:cfRule type="expression" dxfId="82" priority="1">
      <x:formula>G5="Complete"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a229a6dd4b4e59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4" hidden="0" customWidth="1"/>
    <x:col min="3" max="3" width="16" hidden="0" customWidth="1"/>
    <x:col min="4" max="4" width="16" hidden="0" customWidth="1"/>
    <x:col min="5" max="5" width="22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270" t="str">
        <x:v>Fase 3D — Costi, efficienze e parametri tecnici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</x:row>
    <x:row r="2" ht="30" customHeight="1">
      <x:c r="A2" s="274" t="str">
        <x:v>Parametri di dispatch separati da CAPEX/LCOE; technology-data importato come candidato, non come baseline adottata</x:v>
      </x:c>
      <x:c r="B2" s="274"/>
      <x:c r="C2" s="274"/>
      <x:c r="D2" s="274"/>
      <x:c r="E2" s="274"/>
      <x:c r="F2" s="274"/>
      <x:c r="G2" s="274"/>
      <x:c r="H2" s="274"/>
      <x:c r="I2" s="274"/>
      <x:c r="J2" s="274"/>
      <x:c r="K2" s="274"/>
      <x:c r="L2" s="274"/>
      <x:c r="M2" s="274"/>
      <x:c r="N2" s="274"/>
      <x:c r="O2" s="274"/>
      <x:c r="P2" s="274"/>
      <x:c r="Q2" s="274"/>
      <x:c r="R2" s="27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310" t="str">
        <x:v>Indicatore</x:v>
      </x:c>
      <x:c r="B4" s="310" t="str">
        <x:v>Valore</x:v>
      </x:c>
      <x:c r="C4" s="45"/>
      <x:c r="D4" s="310" t="str">
        <x:v>Conclusione della fase</x:v>
      </x:c>
      <x:c r="E4" s="310"/>
      <x:c r="F4" s="310"/>
      <x:c r="G4" s="310"/>
      <x:c r="H4" s="310"/>
      <x:c r="I4" s="310"/>
      <x:c r="J4" s="310"/>
      <x:c r="K4" s="45"/>
      <x:c r="L4" s="45"/>
      <x:c r="M4" s="45"/>
      <x:c r="N4" s="45"/>
      <x:c r="O4" s="45"/>
      <x:c r="P4" s="45"/>
      <x:c r="Q4" s="45"/>
      <x:c r="R4" s="45"/>
    </x:row>
    <x:row r="5">
      <x:c r="A5" s="303" t="str">
        <x:v>Evidenze interne</x:v>
      </x:c>
      <x:c r="B5" s="48" t="n">
        <x:v>94</x:v>
      </x:c>
      <x:c r="C5" s="45"/>
      <x:c r="D5" s="287" t="str">
        <x:v>Le fonti interne coprono le commodity fino al 2040, una calibrazione CCGT, benchmark economici per rinnovabili/storage/nucleare e costi CCUS. Non forniscono tuttavia un set operativo completo. Il model build richiede una release technology-data pinning, coorti termoelettriche, profili orari, availability, hydro inflows, VOLL e parametri completi per nucleare/CCS.</x:v>
      </x:c>
      <x:c r="E5" s="287"/>
      <x:c r="F5" s="287"/>
      <x:c r="G5" s="287"/>
      <x:c r="H5" s="287"/>
      <x:c r="I5" s="287"/>
      <x:c r="J5" s="287"/>
      <x:c r="K5" s="45"/>
      <x:c r="L5" s="45"/>
      <x:c r="M5" s="45"/>
      <x:c r="N5" s="45"/>
      <x:c r="O5" s="45"/>
      <x:c r="P5" s="45"/>
      <x:c r="Q5" s="45"/>
      <x:c r="R5" s="45"/>
    </x:row>
    <x:row r="6">
      <x:c r="A6" s="303" t="str">
        <x:v>Righe fuel/CO₂</x:v>
      </x:c>
      <x:c r="B6" s="48" t="n">
        <x:v>4</x:v>
      </x:c>
      <x:c r="C6" s="45"/>
      <x:c r="D6" s="287"/>
      <x:c r="E6" s="287"/>
      <x:c r="F6" s="287"/>
      <x:c r="G6" s="287"/>
      <x:c r="H6" s="287"/>
      <x:c r="I6" s="287"/>
      <x:c r="J6" s="287"/>
      <x:c r="K6" s="45"/>
      <x:c r="L6" s="45"/>
      <x:c r="M6" s="45"/>
      <x:c r="N6" s="45"/>
      <x:c r="O6" s="45"/>
      <x:c r="P6" s="45"/>
      <x:c r="Q6" s="45"/>
      <x:c r="R6" s="45"/>
    </x:row>
    <x:row r="7">
      <x:c r="A7" s="303" t="str">
        <x:v>Candidati technology-data</x:v>
      </x:c>
      <x:c r="B7" s="48" t="n">
        <x:v>252</x:v>
      </x:c>
      <x:c r="C7" s="45"/>
      <x:c r="D7" s="287"/>
      <x:c r="E7" s="287"/>
      <x:c r="F7" s="287"/>
      <x:c r="G7" s="287"/>
      <x:c r="H7" s="287"/>
      <x:c r="I7" s="287"/>
      <x:c r="J7" s="287"/>
      <x:c r="K7" s="45"/>
      <x:c r="L7" s="45"/>
      <x:c r="M7" s="45"/>
      <x:c r="N7" s="45"/>
      <x:c r="O7" s="45"/>
      <x:c r="P7" s="45"/>
      <x:c r="Q7" s="45"/>
      <x:c r="R7" s="45"/>
    </x:row>
    <x:row r="8">
      <x:c r="A8" s="303" t="str">
        <x:v>Gap esterni</x:v>
      </x:c>
      <x:c r="B8" s="48" t="n">
        <x:v>30</x:v>
      </x:c>
      <x:c r="C8" s="45"/>
      <x:c r="D8" s="287"/>
      <x:c r="E8" s="287"/>
      <x:c r="F8" s="287"/>
      <x:c r="G8" s="287"/>
      <x:c r="H8" s="287"/>
      <x:c r="I8" s="287"/>
      <x:c r="J8" s="287"/>
      <x:c r="K8" s="45"/>
      <x:c r="L8" s="45"/>
      <x:c r="M8" s="45"/>
      <x:c r="N8" s="45"/>
      <x:c r="O8" s="45"/>
      <x:c r="P8" s="45"/>
      <x:c r="Q8" s="45"/>
      <x:c r="R8" s="45"/>
    </x:row>
    <x:row r="9">
      <x:c r="A9" s="303" t="str">
        <x:v>Decisioni</x:v>
      </x:c>
      <x:c r="B9" s="48" t="n">
        <x:v>12</x:v>
      </x:c>
      <x:c r="C9" s="45"/>
      <x:c r="D9" s="287"/>
      <x:c r="E9" s="287"/>
      <x:c r="F9" s="287"/>
      <x:c r="G9" s="287"/>
      <x:c r="H9" s="287"/>
      <x:c r="I9" s="287"/>
      <x:c r="J9" s="287"/>
      <x:c r="K9" s="45"/>
      <x:c r="L9" s="45"/>
      <x:c r="M9" s="45"/>
      <x:c r="N9" s="45"/>
      <x:c r="O9" s="45"/>
      <x:c r="P9" s="45"/>
      <x:c r="Q9" s="45"/>
      <x:c r="R9" s="45"/>
    </x:row>
    <x:row r="10">
      <x:c r="A10" s="303" t="str">
        <x:v>QA PASS</x:v>
      </x:c>
      <x:c r="B10" s="48" t="n">
        <x:v>24</x:v>
      </x:c>
      <x:c r="C10" s="45"/>
      <x:c r="D10" s="287"/>
      <x:c r="E10" s="287"/>
      <x:c r="F10" s="287"/>
      <x:c r="G10" s="287"/>
      <x:c r="H10" s="287"/>
      <x:c r="I10" s="287"/>
      <x:c r="J10" s="287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303" t="str">
        <x:v>QA INFO</x:v>
      </x:c>
      <x:c r="B11" s="48" t="n">
        <x:v>9</x:v>
      </x:c>
      <x:c r="C11" s="45"/>
      <x:c r="D11" s="287"/>
      <x:c r="E11" s="287"/>
      <x:c r="F11" s="287"/>
      <x:c r="G11" s="287"/>
      <x:c r="H11" s="287"/>
      <x:c r="I11" s="287"/>
      <x:c r="J11" s="287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303" t="str">
        <x:v>QA REVIEW</x:v>
      </x:c>
      <x:c r="B12" s="48" t="n">
        <x:v>0</x:v>
      </x:c>
      <x:c r="C12" s="45"/>
      <x:c r="D12" s="287"/>
      <x:c r="E12" s="287"/>
      <x:c r="F12" s="287"/>
      <x:c r="G12" s="287"/>
      <x:c r="H12" s="287"/>
      <x:c r="I12" s="287"/>
      <x:c r="J12" s="287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303" t="str">
        <x:v>Blocchi estrazione</x:v>
      </x:c>
      <x:c r="B13" s="48" t="n">
        <x:v>12</x:v>
      </x:c>
      <x:c r="C13" s="45"/>
      <x:c r="D13" s="287"/>
      <x:c r="E13" s="287"/>
      <x:c r="F13" s="287"/>
      <x:c r="G13" s="287"/>
      <x:c r="H13" s="287"/>
      <x:c r="I13" s="287"/>
      <x:c r="J13" s="287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325" t="str">
        <x:v>Anno</x:v>
      </x:c>
      <x:c r="B16" s="325" t="str">
        <x:v>Gas</x:v>
      </x:c>
      <x:c r="C16" s="325" t="str">
        <x:v>CO₂</x:v>
      </x:c>
      <x:c r="D16" s="325" t="str">
        <x:v>Subtotale</x:v>
      </x:c>
      <x:c r="E16" s="325" t="str">
        <x:v>Costo Terna</x:v>
      </x:c>
      <x:c r="F16" s="325" t="str">
        <x:v>Residuo/VOM QA</x:v>
      </x:c>
      <x:c r="G16" s="325" t="str">
        <x:v>Status</x:v>
      </x:c>
      <x:c r="H16" s="311"/>
      <x:c r="I16" s="311"/>
      <x:c r="J16" s="311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n">
        <x:f>'FUEL_CO2'!B5</x:f>
        <x:v>2023</x:v>
      </x:c>
      <x:c r="B17" s="225" t="n">
        <x:f>'FUEL_CO2'!H5</x:f>
        <x:v>78.4</x:v>
      </x:c>
      <x:c r="C17" s="225" t="n">
        <x:f>'FUEL_CO2'!I5</x:f>
        <x:v>39.007999999999996</x:v>
      </x:c>
      <x:c r="D17" s="324" t="n">
        <x:f>'FUEL_CO2'!J5</x:f>
        <x:v>117.408</x:v>
      </x:c>
      <x:c r="E17" s="324" t="n">
        <x:f>IF('FUEL_CO2'!K5="","",'FUEL_CO2'!K5)</x:f>
        <x:v>121</x:v>
      </x:c>
      <x:c r="F17" s="324" t="n">
        <x:f>IF('FUEL_CO2'!L5="","",'FUEL_CO2'!L5)</x:f>
        <x:v>3.5919999999999987</x:v>
      </x:c>
      <x:c r="G17" s="310" t="str">
        <x:f>'FUEL_CO2'!O5</x:f>
        <x:v>Historical QA</x:v>
      </x:c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n">
        <x:f>'FUEL_CO2'!B6</x:f>
        <x:v>2030</x:v>
      </x:c>
      <x:c r="B18" s="225" t="n">
        <x:f>'FUEL_CO2'!H6</x:f>
        <x:v>64.8</x:v>
      </x:c>
      <x:c r="C18" s="225" t="n">
        <x:f>'FUEL_CO2'!I6</x:f>
        <x:v>40.28</x:v>
      </x:c>
      <x:c r="D18" s="322" t="n">
        <x:f>'FUEL_CO2'!J6</x:f>
        <x:v>105.08</x:v>
      </x:c>
      <x:c r="E18" s="322" t="str">
        <x:f>IF('FUEL_CO2'!K6="","",'FUEL_CO2'!K6)</x:f>
      </x:c>
      <x:c r="F18" s="322" t="str">
        <x:f>IF('FUEL_CO2'!L6="","",'FUEL_CO2'!L6)</x:f>
      </x:c>
      <x:c r="G18" s="307" t="str">
        <x:f>'FUEL_CO2'!O6</x:f>
        <x:v>Scenario build awaiting VOM/efficiency decision</x:v>
      </x:c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 t="n">
        <x:f>'FUEL_CO2'!B7</x:f>
        <x:v>2035</x:v>
      </x:c>
      <x:c r="B19" s="225" t="n">
        <x:f>'FUEL_CO2'!H7</x:f>
        <x:v>59</x:v>
      </x:c>
      <x:c r="C19" s="225" t="n">
        <x:f>'FUEL_CO2'!I7</x:f>
        <x:v>42.4</x:v>
      </x:c>
      <x:c r="D19" s="322" t="n">
        <x:f>'FUEL_CO2'!J7</x:f>
        <x:v>101.4</x:v>
      </x:c>
      <x:c r="E19" s="322" t="str">
        <x:f>IF('FUEL_CO2'!K7="","",'FUEL_CO2'!K7)</x:f>
      </x:c>
      <x:c r="F19" s="322" t="str">
        <x:f>IF('FUEL_CO2'!L7="","",'FUEL_CO2'!L7)</x:f>
      </x:c>
      <x:c r="G19" s="307" t="str">
        <x:f>'FUEL_CO2'!O7</x:f>
        <x:v>Scenario build awaiting VOM/efficiency decision</x:v>
      </x:c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 t="n">
        <x:f>'FUEL_CO2'!B8</x:f>
        <x:v>2040</x:v>
      </x:c>
      <x:c r="B20" s="225" t="n">
        <x:f>'FUEL_CO2'!H8</x:f>
        <x:v>72.8</x:v>
      </x:c>
      <x:c r="C20" s="225" t="n">
        <x:f>'FUEL_CO2'!I8</x:f>
        <x:v>42.4</x:v>
      </x:c>
      <x:c r="D20" s="322" t="n">
        <x:f>'FUEL_CO2'!J8</x:f>
        <x:v>115.19999999999999</x:v>
      </x:c>
      <x:c r="E20" s="322" t="str">
        <x:f>IF('FUEL_CO2'!K8="","",'FUEL_CO2'!K8)</x:f>
      </x:c>
      <x:c r="F20" s="322" t="str">
        <x:f>IF('FUEL_CO2'!L8="","",'FUEL_CO2'!L8)</x:f>
      </x:c>
      <x:c r="G20" s="307" t="str">
        <x:f>'FUEL_CO2'!O8</x:f>
        <x:v>Scenario build awaiting VOM/efficiency decision</x:v>
      </x:c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307"/>
      <x:c r="E21" s="307"/>
      <x:c r="F21" s="307"/>
      <x:c r="G21" s="307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45"/>
      <x:c r="B22" s="45"/>
      <x:c r="C22" s="45"/>
      <x:c r="D22" s="307"/>
      <x:c r="E22" s="307"/>
      <x:c r="F22" s="307"/>
      <x:c r="G22" s="307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/>
      <x:c r="B23" s="45"/>
      <x:c r="C23" s="45"/>
      <x:c r="D23" s="307"/>
      <x:c r="E23" s="307"/>
      <x:c r="F23" s="307"/>
      <x:c r="G23" s="307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325" t="str">
        <x:v>Regole consolidate/proposte</x:v>
      </x:c>
      <x:c r="B24" s="325"/>
      <x:c r="C24" s="311"/>
      <x:c r="D24" s="328" t="str">
        <x:v>Gap P0 che bloccano il model build</x:v>
      </x:c>
      <x:c r="E24" s="328"/>
      <x:c r="F24" s="328"/>
      <x:c r="G24" s="328"/>
      <x:c r="H24" s="325"/>
      <x:c r="I24" s="325"/>
      <x:c r="J24" s="325"/>
      <x:c r="K24" s="45"/>
      <x:c r="L24" s="45"/>
      <x:c r="M24" s="45"/>
      <x:c r="N24" s="45"/>
      <x:c r="O24" s="45"/>
      <x:c r="P24" s="45"/>
      <x:c r="Q24" s="45"/>
      <x:c r="R24" s="45"/>
    </x:row>
    <x:row r="25" ht="34" customHeight="1">
      <x:c r="A25" s="327" t="str">
        <x:v>CCGT 50%</x:v>
      </x:c>
      <x:c r="B25" s="262" t="str">
        <x:v>Solo calibrazione storica; coorti moderne possono usare 59–60%.</x:v>
      </x:c>
      <x:c r="C25" s="45"/>
      <x:c r="D25" s="330" t="str">
        <x:v>ID</x:v>
      </x:c>
      <x:c r="E25" s="330" t="str">
        <x:v>Tecnologia</x:v>
      </x:c>
      <x:c r="F25" s="330" t="str">
        <x:v>Parametro</x:v>
      </x:c>
      <x:c r="G25" s="330" t="str">
        <x:v>Risoluzione</x:v>
      </x:c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 ht="28" customHeight="1">
      <x:c r="A26" s="327" t="str">
        <x:v>Emission factor</x:v>
      </x:c>
      <x:c r="B26" s="262" t="str">
        <x:v>0,212 per la calibrazione Terna; fattore del dataset selezionato per il run.</x:v>
      </x:c>
      <x:c r="C26" s="45"/>
      <x:c r="D26" s="331" t="str">
        <x:v>G3D-001</x:v>
      </x:c>
      <x:c r="E26" s="331" t="str">
        <x:v>CCGT fleet cohorts</x:v>
      </x:c>
      <x:c r="F26" s="331" t="str">
        <x:v>Efficiency by cohort and year</x:v>
      </x:c>
      <x:c r="G26" s="331" t="str">
        <x:v>Phase 4</x:v>
      </x:c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 ht="28" customHeight="1">
      <x:c r="A27" s="327" t="str">
        <x:v>VOM</x:v>
      </x:c>
      <x:c r="B27" s="262" t="str">
        <x:v>Dal dataset tecnico pinning; residuo 2023 solo QA.</x:v>
      </x:c>
      <x:c r="C27" s="45"/>
      <x:c r="D27" s="331" t="str">
        <x:v>G3D-002</x:v>
      </x:c>
      <x:c r="E27" s="331" t="str">
        <x:v>OCGT</x:v>
      </x:c>
      <x:c r="F27" s="331" t="str">
        <x:v>Efficiency and VOM</x:v>
      </x:c>
      <x:c r="G27" s="331" t="str">
        <x:v>Phase 4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 ht="28" customHeight="1">
      <x:c r="A28" s="327" t="str">
        <x:v>Wind/Solar</x:v>
      </x:c>
      <x:c r="B28" s="262" t="str">
        <x:v>Marginal cost zero nel Base; LCOE e CAPEX esclusi dal merit order.</x:v>
      </x:c>
      <x:c r="C28" s="45"/>
      <x:c r="D28" s="331" t="str">
        <x:v>G3D-003</x:v>
      </x:c>
      <x:c r="E28" s="331" t="str">
        <x:v>Gas fleet</x:v>
      </x:c>
      <x:c r="F28" s="331" t="str">
        <x:v>Availability and forced outage</x:v>
      </x:c>
      <x:c r="G28" s="331" t="str">
        <x:v>Phase 4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 ht="28" customHeight="1">
      <x:c r="A29" s="327" t="str">
        <x:v>BESS</x:v>
      </x:c>
      <x:c r="B29" s="262" t="str">
        <x:v>90% round-trip; se simmetrico 94,87% per Link.</x:v>
      </x:c>
      <x:c r="C29" s="45"/>
      <x:c r="D29" s="331" t="str">
        <x:v>G3D-008</x:v>
      </x:c>
      <x:c r="E29" s="331" t="str">
        <x:v>Solar/wind</x:v>
      </x:c>
      <x:c r="F29" s="331" t="str">
        <x:v>Hourly availability profiles</x:v>
      </x:c>
      <x:c r="G29" s="331" t="str">
        <x:v>Phase 4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 ht="28" customHeight="1">
      <x:c r="A30" s="327" t="str">
        <x:v>CAPEX/FOM</x:v>
      </x:c>
      <x:c r="B30" s="262" t="str">
        <x:v>Esclusi dall'obiettivo dispatch-only.</x:v>
      </x:c>
      <x:c r="C30" s="45"/>
      <x:c r="D30" s="331" t="str">
        <x:v>G3D-012</x:v>
      </x:c>
      <x:c r="E30" s="331" t="str">
        <x:v>Li-ion BESS</x:v>
      </x:c>
      <x:c r="F30" s="331" t="str">
        <x:v>One-way charge/discharge efficiency</x:v>
      </x:c>
      <x:c r="G30" s="331" t="str">
        <x:v>Phase 4</x:v>
      </x:c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 ht="28" customHeight="1">
      <x:c r="A31" s="327" t="str">
        <x:v>Nucleare/CCS</x:v>
      </x:c>
      <x:c r="B31" s="262" t="str">
        <x:v>Rami separati finché mancano parametri operativi.</x:v>
      </x:c>
      <x:c r="C31" s="45"/>
      <x:c r="D31" s="331" t="str">
        <x:v>G3D-015</x:v>
      </x:c>
      <x:c r="E31" s="331" t="str">
        <x:v>Pumped hydro</x:v>
      </x:c>
      <x:c r="F31" s="331" t="str">
        <x:v>One-way efficiencies</x:v>
      </x:c>
      <x:c r="G31" s="331" t="str">
        <x:v>Phase 4</x:v>
      </x:c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 ht="28" customHeight="1">
      <x:c r="A32" s="327" t="str">
        <x:v>2050 fuel/CO₂</x:v>
      </x:c>
      <x:c r="B32" s="262" t="str">
        <x:v>Gap esplicito; nessun trascinamento automatico del 2040.</x:v>
      </x:c>
      <x:c r="C32" s="45"/>
      <x:c r="D32" s="331" t="str">
        <x:v>G3D-016</x:v>
      </x:c>
      <x:c r="E32" s="331" t="str">
        <x:v>Reservoir hydro</x:v>
      </x:c>
      <x:c r="F32" s="331" t="str">
        <x:v>Energy capacity and inflows</x:v>
      </x:c>
      <x:c r="G32" s="331" t="str">
        <x:v>Phase 4</x:v>
      </x:c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 ht="28" customHeight="1">
      <x:c r="A33" s="45"/>
      <x:c r="B33" s="45"/>
      <x:c r="C33" s="45"/>
      <x:c r="D33" s="331" t="str">
        <x:v>G3D-017</x:v>
      </x:c>
      <x:c r="E33" s="331" t="str">
        <x:v>Run-of-river</x:v>
      </x:c>
      <x:c r="F33" s="331" t="str">
        <x:v>Hourly inflow/profile</x:v>
      </x:c>
      <x:c r="G33" s="331" t="str">
        <x:v>Phase 4</x:v>
      </x:c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</x:row>
    <x:row r="34" ht="28" customHeight="1">
      <x:c r="A34" s="45"/>
      <x:c r="B34" s="45"/>
      <x:c r="C34" s="45"/>
      <x:c r="D34" s="331" t="str">
        <x:v>G3D-018</x:v>
      </x:c>
      <x:c r="E34" s="331" t="str">
        <x:v>New nuclear / SMR</x:v>
      </x:c>
      <x:c r="F34" s="331" t="str">
        <x:v>Efficiency, fuel and VOM</x:v>
      </x:c>
      <x:c r="G34" s="331" t="str">
        <x:v>Phase 4</x:v>
      </x:c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 ht="28" customHeight="1">
      <x:c r="A35" s="45"/>
      <x:c r="B35" s="45"/>
      <x:c r="C35" s="45"/>
      <x:c r="D35" s="331" t="str">
        <x:v>G3D-019</x:v>
      </x:c>
      <x:c r="E35" s="331" t="str">
        <x:v>New nuclear / SMR</x:v>
      </x:c>
      <x:c r="F35" s="331" t="str">
        <x:v>Availability, refuelling and minimum load</x:v>
      </x:c>
      <x:c r="G35" s="331" t="str">
        <x:v>Phase 4</x:v>
      </x:c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311" t="str">
        <x:v>Parametro 2040</x:v>
      </x:c>
      <x:c r="B37" s="311" t="str">
        <x:v>v0.9.2</x:v>
      </x:c>
      <x:c r="C37" s="311" t="str">
        <x:v>v0.15.0</x:v>
      </x:c>
      <x:c r="D37" s="311" t="str">
        <x:v>Unità</x:v>
      </x:c>
      <x:c r="E37" s="311" t="str">
        <x:v>Nota</x:v>
      </x:c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45" t="str">
        <x:v>CCGT efficiency</x:v>
      </x:c>
      <x:c r="B38" s="224" t="n">
        <x:f>'TECH_DATA_CANDIDATES'!G7</x:f>
        <x:v>0.59</x:v>
      </x:c>
      <x:c r="C38" s="224" t="n">
        <x:f>'TECH_DATA_CANDIDATES'!G133</x:f>
        <x:v>0.59</x:v>
      </x:c>
      <x:c r="D38" s="45" t="str">
        <x:f>'TECH_DATA_CANDIDATES'!H133</x:f>
        <x:v>per unit</x:v>
      </x:c>
      <x:c r="E38" s="45" t="str">
        <x:v>Release comparison only</x:v>
      </x:c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45" t="str">
        <x:v>CCGT VOM</x:v>
      </x:c>
      <x:c r="B39" s="224" t="n">
        <x:f>'TECH_DATA_CANDIDATES'!G6</x:f>
        <x:v>4.3387</x:v>
      </x:c>
      <x:c r="C39" s="224" t="n">
        <x:f>'TECH_DATA_CANDIDATES'!G132</x:f>
        <x:v>5.4768</x:v>
      </x:c>
      <x:c r="D39" s="45" t="str">
        <x:f>'TECH_DATA_CANDIDATES'!H132</x:f>
        <x:v>EUR/MWh</x:v>
      </x:c>
      <x:c r="E39" s="45" t="str">
        <x:v>Release comparison only</x:v>
      </x:c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 t="str">
        <x:v>Gas fuel</x:v>
      </x:c>
      <x:c r="B40" s="224" t="n">
        <x:f>'TECH_DATA_CANDIDATES'!G36</x:f>
        <x:v>24.568</x:v>
      </x:c>
      <x:c r="C40" s="224" t="n">
        <x:f>'TECH_DATA_CANDIDATES'!G162</x:f>
        <x:v>25.5868</x:v>
      </x:c>
      <x:c r="D40" s="45" t="str">
        <x:f>'TECH_DATA_CANDIDATES'!H162</x:f>
        <x:v>EUR/MWh_th</x:v>
      </x:c>
      <x:c r="E40" s="45" t="str">
        <x:v>Release comparison only</x:v>
      </x:c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 t="str">
        <x:v>Nuclear fuel</x:v>
      </x:c>
      <x:c r="B41" s="224" t="n">
        <x:f>'TECH_DATA_CANDIDATES'!G47</x:f>
        <x:v>3.4122</x:v>
      </x:c>
      <x:c r="C41" s="224" t="n">
        <x:f>'TECH_DATA_CANDIDATES'!G173</x:f>
        <x:v>7.4536</x:v>
      </x:c>
      <x:c r="D41" s="45" t="str">
        <x:f>'TECH_DATA_CANDIDATES'!H173</x:f>
        <x:v>EUR/MWh_th</x:v>
      </x:c>
      <x:c r="E41" s="45" t="str">
        <x:v>Release comparison only</x:v>
      </x:c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 t="str">
        <x:v>Battery storage investment</x:v>
      </x:c>
      <x:c r="B42" s="224" t="n">
        <x:f>'TECH_DATA_CANDIDATES'!G23</x:f>
        <x:v>99.4728</x:v>
      </x:c>
      <x:c r="C42" s="224" t="n">
        <x:f>'TECH_DATA_CANDIDATES'!G149</x:f>
        <x:v>125.6827</x:v>
      </x:c>
      <x:c r="D42" s="45" t="str">
        <x:f>'TECH_DATA_CANDIDATES'!H149</x:f>
        <x:v>EUR/kWh</x:v>
      </x:c>
      <x:c r="E42" s="45" t="str">
        <x:v>Release comparison only</x:v>
      </x:c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Anno</x:v>
      </x:c>
      <x:c r="B47" s="45" t="str">
        <x:v>Gas component</x:v>
      </x:c>
      <x:c r="C47" s="45" t="str">
        <x:v>CO₂ component</x:v>
      </x:c>
      <x:c r="D47" s="45" t="str">
        <x:v>Subtotal</x:v>
      </x:c>
      <x:c r="E47" s="45"/>
      <x:c r="F47" s="45" t="str">
        <x:v>Parametro</x:v>
      </x:c>
      <x:c r="G47" s="45" t="str">
        <x:v>Variazione v0.15.0 vs v0.9.2</x:v>
      </x:c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 t="n">
        <x:v>2023</x:v>
      </x:c>
      <x:c r="B48" s="45" t="n">
        <x:f>B17</x:f>
        <x:v>78.4</x:v>
      </x:c>
      <x:c r="C48" s="45" t="n">
        <x:f>C17</x:f>
        <x:v>39.007999999999996</x:v>
      </x:c>
      <x:c r="D48" s="45" t="n">
        <x:f>D17</x:f>
        <x:v>117.408</x:v>
      </x:c>
      <x:c r="E48" s="45"/>
      <x:c r="F48" s="45" t="str">
        <x:v>CCGT VOM</x:v>
      </x:c>
      <x:c r="G48" s="334" t="n">
        <x:f>IF(B38=0,"",(C38/B38-1)*100)</x:f>
        <x:v>0</x:v>
      </x:c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</x:row>
    <x:row r="49">
      <x:c r="A49" s="45" t="n">
        <x:v>2030</x:v>
      </x:c>
      <x:c r="B49" s="45" t="n">
        <x:f>B18</x:f>
        <x:v>64.8</x:v>
      </x:c>
      <x:c r="C49" s="45" t="n">
        <x:f>C18</x:f>
        <x:v>40.28</x:v>
      </x:c>
      <x:c r="D49" s="45" t="n">
        <x:f>D18</x:f>
        <x:v>105.08</x:v>
      </x:c>
      <x:c r="E49" s="45"/>
      <x:c r="F49" s="45" t="str">
        <x:v>Gas fuel</x:v>
      </x:c>
      <x:c r="G49" s="334" t="n">
        <x:f>IF(B39=0,"",(C39/B39-1)*100)</x:f>
        <x:v>26.23135962385046</x:v>
      </x:c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</x:row>
    <x:row r="50">
      <x:c r="A50" s="45" t="n">
        <x:v>2035</x:v>
      </x:c>
      <x:c r="B50" s="45" t="n">
        <x:f>B19</x:f>
        <x:v>59</x:v>
      </x:c>
      <x:c r="C50" s="45" t="n">
        <x:f>C19</x:f>
        <x:v>42.4</x:v>
      </x:c>
      <x:c r="D50" s="45" t="n">
        <x:f>D19</x:f>
        <x:v>101.4</x:v>
      </x:c>
      <x:c r="E50" s="45"/>
      <x:c r="F50" s="45" t="str">
        <x:v>Nuclear fuel</x:v>
      </x:c>
      <x:c r="G50" s="334" t="n">
        <x:f>IF(B40=0,"",(C40/B40-1)*100)</x:f>
        <x:v>4.146857701074569</x:v>
      </x:c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</x:row>
    <x:row r="51">
      <x:c r="A51" s="45" t="n">
        <x:v>2040</x:v>
      </x:c>
      <x:c r="B51" s="45" t="n">
        <x:f>B20</x:f>
        <x:v>72.8</x:v>
      </x:c>
      <x:c r="C51" s="45" t="n">
        <x:f>C20</x:f>
        <x:v>42.4</x:v>
      </x:c>
      <x:c r="D51" s="45" t="n">
        <x:f>D20</x:f>
        <x:v>115.19999999999999</x:v>
      </x:c>
      <x:c r="E51" s="45"/>
      <x:c r="F51" s="45" t="str">
        <x:v>Battery storage investment</x:v>
      </x:c>
      <x:c r="G51" s="334" t="n">
        <x:f>IF(B41=0,"",(C41/B41-1)*100)</x:f>
        <x:v>118.43971631205675</x:v>
      </x:c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</x:row>
    <x:row r="52">
      <x:c r="A52" s="45"/>
      <x:c r="B52" s="45"/>
      <x:c r="C52" s="45"/>
      <x:c r="D52" s="45"/>
      <x:c r="E52" s="45"/>
      <x:c r="F52" s="45" t="str">
        <x:v>Solar utility investment</x:v>
      </x:c>
      <x:c r="G52" s="334" t="n">
        <x:f>IF(B42=0,"",(C42/B42-1)*100)</x:f>
        <x:v>26.348810931229426</x:v>
      </x:c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</x:row>
  </x:sheetData>
  <x:mergeCells>
    <x:mergeCell ref="A1:R1"/>
    <x:mergeCell ref="A2:R2"/>
    <x:mergeCell ref="D4:J4"/>
    <x:mergeCell ref="D5:J13"/>
    <x:mergeCell ref="A24:B24"/>
    <x:mergeCell ref="D24:J24"/>
  </x:mergeCells>
  <x:pageMargins left="0.7" right="0.7" top="0.75" bottom="0.75" header="0.3" footer="0.3"/>
  <x:drawing xmlns:r="http://schemas.openxmlformats.org/officeDocument/2006/relationships" r:id="Rc785eb5595814de6"/>
</x:worksheet>
</file>

<file path=xl/worksheets/sheet4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20" hidden="0" customWidth="1"/>
    <x:col min="4" max="4" width="22" hidden="0" customWidth="1"/>
    <x:col min="5" max="5" width="24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40" hidden="0" customWidth="1"/>
    <x:col min="11" max="11" width="68" hidden="0" customWidth="1"/>
    <x:col min="12" max="12" width="64" hidden="0" customWidth="1"/>
  </x:cols>
  <x:sheetData>
    <x:row r="1" ht="34" customHeight="1">
      <x:c r="A1" s="340" t="str">
        <x:v>Catalogo degli scenari armonizzati</x:v>
      </x:c>
      <x:c r="B1" s="340"/>
      <x:c r="C1" s="340"/>
      <x:c r="D1" s="340"/>
      <x:c r="E1" s="340"/>
      <x:c r="F1" s="340"/>
      <x:c r="G1" s="340"/>
      <x:c r="H1" s="340"/>
      <x:c r="I1" s="340"/>
      <x:c r="J1" s="340"/>
      <x:c r="K1" s="340"/>
      <x:c r="L1" s="340"/>
    </x:row>
    <x:row r="2" ht="30" customHeight="1">
      <x:c r="A2" s="344" t="str">
        <x:v>Scenari base, sensitività tecniche e benchmark di policy mantenuti separati</x:v>
      </x:c>
      <x:c r="B2" s="344"/>
      <x:c r="C2" s="344"/>
      <x:c r="D2" s="344"/>
      <x:c r="E2" s="344"/>
      <x:c r="F2" s="344"/>
      <x:c r="G2" s="344"/>
      <x:c r="H2" s="344"/>
      <x:c r="I2" s="344"/>
      <x:c r="J2" s="344"/>
      <x:c r="K2" s="344"/>
      <x:c r="L2" s="344"/>
    </x:row>
    <x:row r="4" ht="42" customHeight="1">
      <x:c r="A4" s="348" t="str">
        <x:v>Scenario ID</x:v>
      </x:c>
      <x:c r="B4" s="348" t="str">
        <x:v>Anno</x:v>
      </x:c>
      <x:c r="C4" s="348" t="str">
        <x:v>Ruolo</x:v>
      </x:c>
      <x:c r="D4" s="348" t="str">
        <x:v>Scenario fonte</x:v>
      </x:c>
      <x:c r="E4" s="348" t="str">
        <x:v>Pacchetto domanda</x:v>
      </x:c>
      <x:c r="F4" s="348" t="str">
        <x:v>Pacchetto capacità</x:v>
      </x:c>
      <x:c r="G4" s="348" t="str">
        <x:v>Pacchetto storage</x:v>
      </x:c>
      <x:c r="H4" s="348" t="str">
        <x:v>Pacchetto rete</x:v>
      </x:c>
      <x:c r="I4" s="348" t="str">
        <x:v>Ramo nucleare</x:v>
      </x:c>
      <x:c r="J4" s="348" t="str">
        <x:v>Technology-data</x:v>
      </x:c>
      <x:c r="K4" s="348" t="str">
        <x:v>Stato di esecuzione</x:v>
      </x:c>
      <x:c r="L4" s="348" t="str">
        <x:v>Razionale</x:v>
      </x:c>
    </x:row>
    <x:row r="5">
      <x:c r="A5" s="83" t="str">
        <x:v>IT2040_BASE_DEIT</x:v>
      </x:c>
      <x:c r="B5" s="83" t="n">
        <x:v>2040</x:v>
      </x:c>
      <x:c r="C5" s="83" t="str">
        <x:v>APPROVED BASE</x:v>
      </x:c>
      <x:c r="D5" s="83" t="str">
        <x:v>DE_IT_2040</x:v>
      </x:c>
      <x:c r="E5" s="83" t="str">
        <x:v>DE-IT 2040</x:v>
      </x:c>
      <x:c r="F5" s="83" t="str">
        <x:v>DE-IT 2040</x:v>
      </x:c>
      <x:c r="G5" s="83" t="str">
        <x:v>DE-IT 2040</x:v>
      </x:c>
      <x:c r="H5" s="83" t="str">
        <x:v>2040_BASE</x:v>
      </x:c>
      <x:c r="I5" s="83" t="str">
        <x:v>No new nuclear</x:v>
      </x:c>
      <x:c r="J5" s="83" t="str">
        <x:v>v0.15.0 provisional; actual CLI pin prevails</x:v>
      </x:c>
      <x:c r="K5" s="83" t="str">
        <x:v>CONDITIONAL — approved base; hourly profiles, hydro and plant cohorts remain model-build inputs</x:v>
      </x:c>
      <x:c r="L5" s="83" t="str">
        <x:v>DE-IT approved. MACSE 42 GWh is a subset of utility-scale storage; Capacity Market remains separate.</x:v>
      </x:c>
    </x:row>
    <x:row r="6">
      <x:c r="A6" s="83" t="str">
        <x:v>IT2040_ALT_GAIT</x:v>
      </x:c>
      <x:c r="B6" s="83" t="n">
        <x:v>2040</x:v>
      </x:c>
      <x:c r="C6" s="83" t="str">
        <x:v>SENSITIVITY</x:v>
      </x:c>
      <x:c r="D6" s="83" t="str">
        <x:v>GA_IT_2040</x:v>
      </x:c>
      <x:c r="E6" s="83" t="str">
        <x:v>GA-IT 2040</x:v>
      </x:c>
      <x:c r="F6" s="83" t="str">
        <x:v>GA-IT 2040</x:v>
      </x:c>
      <x:c r="G6" s="83" t="str">
        <x:v>GA-IT 2040</x:v>
      </x:c>
      <x:c r="H6" s="83" t="str">
        <x:v>2040_BASE</x:v>
      </x:c>
      <x:c r="I6" s="83" t="str">
        <x:v>No new nuclear</x:v>
      </x:c>
      <x:c r="J6" s="83" t="str">
        <x:v>v0.15.0 provisional; actual CLI pin prevails</x:v>
      </x:c>
      <x:c r="K6" s="83" t="str">
        <x:v>CONDITIONAL</x:v>
      </x:c>
      <x:c r="L6" s="83" t="str">
        <x:v>Alternative pathway with greater hydrogen/gas/CCS role and lower electrification.</x:v>
      </x:c>
    </x:row>
    <x:row r="7">
      <x:c r="A7" s="83" t="str">
        <x:v>IT2040_ALT_SLOW</x:v>
      </x:c>
      <x:c r="B7" s="83" t="n">
        <x:v>2040</x:v>
      </x:c>
      <x:c r="C7" s="83" t="str">
        <x:v>SENSITIVITY</x:v>
      </x:c>
      <x:c r="D7" s="83" t="str">
        <x:v>PNIEC_SLOW_2040</x:v>
      </x:c>
      <x:c r="E7" s="83" t="str">
        <x:v>PNIEC Slow 2040</x:v>
      </x:c>
      <x:c r="F7" s="83" t="str">
        <x:v>PNIEC Slow 2040</x:v>
      </x:c>
      <x:c r="G7" s="83" t="str">
        <x:v>PNIEC Slow 2040</x:v>
      </x:c>
      <x:c r="H7" s="83" t="str">
        <x:v>2040_BASE</x:v>
      </x:c>
      <x:c r="I7" s="83" t="str">
        <x:v>No new nuclear</x:v>
      </x:c>
      <x:c r="J7" s="83" t="str">
        <x:v>v0.15.0 provisional; actual CLI pin prevails</x:v>
      </x:c>
      <x:c r="K7" s="83" t="str">
        <x:v>CONDITIONAL</x:v>
      </x:c>
      <x:c r="L7" s="83" t="str">
        <x:v>Delayed-policy/downside configuration with lower demand, renewable and storage deployment.</x:v>
      </x:c>
    </x:row>
    <x:row r="8">
      <x:c r="A8" s="83" t="str">
        <x:v>IT2040_GRID_DELAY</x:v>
      </x:c>
      <x:c r="B8" s="83" t="n">
        <x:v>2040</x:v>
      </x:c>
      <x:c r="C8" s="83" t="str">
        <x:v>SENSITIVITY</x:v>
      </x:c>
      <x:c r="D8" s="83" t="str">
        <x:v>DE_IT_2040</x:v>
      </x:c>
      <x:c r="E8" s="83" t="str">
        <x:v>DE-IT 2040</x:v>
      </x:c>
      <x:c r="F8" s="83" t="str">
        <x:v>DE-IT 2040</x:v>
      </x:c>
      <x:c r="G8" s="83" t="str">
        <x:v>DE-IT 2040</x:v>
      </x:c>
      <x:c r="H8" s="83" t="str">
        <x:v>2040_CONSERVATIVE</x:v>
      </x:c>
      <x:c r="I8" s="83" t="str">
        <x:v>No new nuclear</x:v>
      </x:c>
      <x:c r="J8" s="83" t="str">
        <x:v>v0.15.0 provisional; actual CLI pin prevails</x:v>
      </x:c>
      <x:c r="K8" s="83" t="str">
        <x:v>CONDITIONAL</x:v>
      </x:c>
      <x:c r="L8" s="83" t="str">
        <x:v>Isolates congestion and price effects of retaining the 2035 transmission capability in 2040.</x:v>
      </x:c>
    </x:row>
    <x:row r="9">
      <x:c r="A9" s="83" t="str">
        <x:v>IT2050_SENS_NO_NUCLEAR</x:v>
      </x:c>
      <x:c r="B9" s="83" t="n">
        <x:v>2050</x:v>
      </x:c>
      <x:c r="C9" s="83" t="str">
        <x:v>SENSITIVITY</x:v>
      </x:c>
      <x:c r="D9" s="83" t="str">
        <x:v>TERNA_2050_NO_NUCLEAR</x:v>
      </x:c>
      <x:c r="E9" s="83" t="str">
        <x:v>Terna 2050 total + PNIEC no-nuclear demand composition scaled</x:v>
      </x:c>
      <x:c r="F9" s="83" t="str">
        <x:v>Terna technical 2050 without nuclear</x:v>
      </x:c>
      <x:c r="G9" s="83" t="str">
        <x:v>216 GWh Terna; power derived from nuclear-case portfolio duration</x:v>
      </x:c>
      <x:c r="H9" s="83" t="str">
        <x:v>2050_CENTRAL (2040 PDS floor)</x:v>
      </x:c>
      <x:c r="I9" s="83" t="str">
        <x:v>0 GW</x:v>
      </x:c>
      <x:c r="J9" s="83" t="str">
        <x:v>v0.15.0 provisional; actual CLI pin prevails</x:v>
      </x:c>
      <x:c r="K9" s="83" t="str">
        <x:v>CONDITIONAL SENSITIVITY — CO2 price, programmable fleet composition and inferred BESS power remain open</x:v>
      </x:c>
      <x:c r="L9" s="83" t="str">
        <x:v>Terna technical no-nuclear counterfactual retained as the main 2050 sensitivity.</x:v>
      </x:c>
    </x:row>
    <x:row r="10">
      <x:c r="A10" s="83" t="str">
        <x:v>IT2050_BASE_PNIEC_NUCLEAR_8GW</x:v>
      </x:c>
      <x:c r="B10" s="83" t="n">
        <x:v>2050</x:v>
      </x:c>
      <x:c r="C10" s="83" t="str">
        <x:v>APPROVED BASE</x:v>
      </x:c>
      <x:c r="D10" s="83" t="str">
        <x:v>PNIEC_2050_NUCLEAR</x:v>
      </x:c>
      <x:c r="E10" s="83" t="str">
        <x:v>PNIEC 583.1 TWh; 81.5 TWh Power-to-X</x:v>
      </x:c>
      <x:c r="F10" s="83" t="str">
        <x:v>PNIEC 296 GW FRNP + 8 GW nuclear</x:v>
      </x:c>
      <x:c r="G10" s="83" t="str">
        <x:v>237.667 GWh / 43.653 GW provisional storage bridge</x:v>
      </x:c>
      <x:c r="H10" s="83" t="str">
        <x:v>2050_CENTRAL (2040 PDS floor)</x:v>
      </x:c>
      <x:c r="I10" s="83" t="str">
        <x:v>8 GW PNIEC mean</x:v>
      </x:c>
      <x:c r="J10" s="83" t="str">
        <x:v>v0.15.0 provisional; actual CLI pin prevails</x:v>
      </x:c>
      <x:c r="K10" s="83" t="str">
        <x:v>PHASE 5 READY — RUN BLOCKED pending siting/refuelling, hourly profiles, hydro inputs, 2050 CO2 price and final CLI pin</x:v>
      </x:c>
      <x:c r="L10" s="83" t="str">
        <x:v>Direct PNIEC 2050 nuclear scenario for demand, FRNP and nuclear capacity. Storage is a transparent Terna-based bridge because PNIEC reports n/a.</x:v>
      </x:c>
    </x:row>
    <x:row r="11">
      <x:c r="A11" s="83" t="str">
        <x:v>PNIEC2050_NO_NUCLEAR_BENCHMARK</x:v>
      </x:c>
      <x:c r="B11" s="83" t="n">
        <x:v>2050</x:v>
      </x:c>
      <x:c r="C11" s="83" t="str">
        <x:v>POLICY BENCHMARK</x:v>
      </x:c>
      <x:c r="D11" s="83" t="str">
        <x:v>PNIEC_2050_NO_NUCLEAR</x:v>
      </x:c>
      <x:c r="E11" s="83" t="str">
        <x:v>PNIEC 551.7 TWh</x:v>
      </x:c>
      <x:c r="F11" s="83" t="str">
        <x:v>PNIEC 296 GW FRNP</x:v>
      </x:c>
      <x:c r="G11" s="83" t="str">
        <x:v>Not fully specified</x:v>
      </x:c>
      <x:c r="H11" s="83" t="str">
        <x:v>Not specified</x:v>
      </x:c>
      <x:c r="I11" s="83" t="str">
        <x:v>0 GW</x:v>
      </x:c>
      <x:c r="J11" s="83" t="str">
        <x:v>n/a</x:v>
      </x:c>
      <x:c r="K11" s="83" t="str">
        <x:v>BENCHMARK ONLY</x:v>
      </x:c>
      <x:c r="L11" s="83" t="str">
        <x:v>Policy benchmark retained for reconciliation; not selected as dispatch baseline.</x:v>
      </x:c>
    </x:row>
    <x:row r="12">
      <x:c r="A12" s="83" t="str">
        <x:v>TERNA2050_NUCLEAR_10GW_BENCHMARK</x:v>
      </x:c>
      <x:c r="B12" s="83" t="n">
        <x:v>2050</x:v>
      </x:c>
      <x:c r="C12" s="83" t="str">
        <x:v>TECHNICAL BENCHMARK</x:v>
      </x:c>
      <x:c r="D12" s="83" t="str">
        <x:v>TERNA_2050_NUCLEAR</x:v>
      </x:c>
      <x:c r="E12" s="83" t="str">
        <x:v>Terna 583 TWh</x:v>
      </x:c>
      <x:c r="F12" s="83" t="str">
        <x:v>Terna 246 GW FRNP + 10 GW nuclear</x:v>
      </x:c>
      <x:c r="G12" s="83" t="str">
        <x:v>196 GWh / 36 GW</x:v>
      </x:c>
      <x:c r="H12" s="83" t="str">
        <x:v>PDS 2040 floor in project architecture</x:v>
      </x:c>
      <x:c r="I12" s="83" t="str">
        <x:v>10 GW</x:v>
      </x:c>
      <x:c r="J12" s="83" t="str">
        <x:v>n/a</x:v>
      </x:c>
      <x:c r="K12" s="83" t="str">
        <x:v>BENCHMARK ONLY</x:v>
      </x:c>
      <x:c r="L12" s="83" t="str">
        <x:v>Terna technical endpoint retained for storage and dispatch comparisons.</x:v>
      </x:c>
    </x:row>
  </x:sheetData>
  <x:mergeCells>
    <x:mergeCell ref="A1:L1"/>
    <x:mergeCell ref="A2:L2"/>
  </x:mergeCells>
  <x:conditionalFormatting sqref="C5:C12">
    <x:cfRule type="expression" dxfId="83" priority="1">
      <x:formula>ISNUMBER(SEARCH("BASE",C5))</x:formula>
    </x:cfRule>
    <x:cfRule type="expression" dxfId="84" priority="2">
      <x:formula>ISNUMBER(SEARCH("SENSITIVITY",C5))</x:formula>
    </x:cfRule>
  </x:conditionalFormatting>
  <x:conditionalFormatting sqref="K5:K12">
    <x:cfRule type="expression" dxfId="85" priority="3">
      <x:formula>ISNUMBER(SEARCH("BLOCKED",K5))</x:formula>
    </x:cfRule>
    <x:cfRule type="expression" dxfId="86" priority="4">
      <x:formula>ISNUMBER(SEARCH("CONDITIONAL",K5))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13d002a0c04fb1"/>
  </x:tableParts>
</x:worksheet>
</file>

<file path=xl/worksheets/sheet4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2" hidden="0" customWidth="1"/>
    <x:col min="4" max="4" width="24" hidden="0" customWidth="1"/>
    <x:col min="5" max="5" width="18" hidden="0" customWidth="1"/>
    <x:col min="6" max="6" width="16" hidden="0" customWidth="1"/>
    <x:col min="7" max="7" width="38" hidden="0" customWidth="1"/>
    <x:col min="8" max="8" width="38" hidden="0" customWidth="1"/>
    <x:col min="9" max="9" width="20" hidden="0" customWidth="1"/>
    <x:col min="10" max="10" width="24" hidden="0" customWidth="1"/>
    <x:col min="11" max="11" width="36" hidden="0" customWidth="1"/>
    <x:col min="12" max="12" width="16" hidden="0" customWidth="1"/>
    <x:col min="13" max="13" width="22" hidden="0" customWidth="1"/>
    <x:col min="14" max="14" width="18" hidden="0" customWidth="1"/>
    <x:col min="15" max="15" width="22" hidden="0" customWidth="1"/>
    <x:col min="16" max="16" width="20" hidden="0" customWidth="1"/>
    <x:col min="17" max="17" width="17" hidden="0" customWidth="1"/>
    <x:col min="18" max="18" width="18" hidden="0" customWidth="1"/>
    <x:col min="19" max="19" width="24" hidden="0" customWidth="1"/>
    <x:col min="20" max="20" width="64" hidden="0" customWidth="1"/>
    <x:col min="21" max="21" width="14" hidden="0" customWidth="1"/>
    <x:col min="22" max="22" width="42" hidden="0" customWidth="1"/>
    <x:col min="23" max="23" width="54" hidden="0" customWidth="1"/>
    <x:col min="24" max="24" width="22" hidden="0" customWidth="1"/>
    <x:col min="25" max="25" width="34" hidden="0" customWidth="1"/>
    <x:col min="26" max="26" width="48" hidden="0" customWidth="1"/>
    <x:col min="27" max="27" width="64" hidden="0" customWidth="1"/>
  </x:cols>
  <x:sheetData>
    <x:row r="1" ht="34" customHeight="1">
      <x:c r="A1" s="340" t="str">
        <x:v>Scenario modellistici 2040</x:v>
      </x:c>
      <x:c r="B1" s="340"/>
      <x:c r="C1" s="340"/>
      <x:c r="D1" s="340"/>
      <x:c r="E1" s="340"/>
      <x:c r="F1" s="340"/>
      <x:c r="G1" s="340"/>
      <x:c r="H1" s="340"/>
      <x:c r="I1" s="340"/>
      <x:c r="J1" s="340"/>
      <x:c r="K1" s="340"/>
      <x:c r="L1" s="340"/>
      <x:c r="M1" s="340"/>
      <x:c r="N1" s="340"/>
      <x:c r="O1" s="340"/>
      <x:c r="P1" s="340"/>
      <x:c r="Q1" s="340"/>
      <x:c r="R1" s="340"/>
      <x:c r="S1" s="340"/>
      <x:c r="T1" s="340"/>
      <x:c r="U1" s="340"/>
      <x:c r="V1" s="340"/>
      <x:c r="W1" s="340"/>
      <x:c r="X1" s="340"/>
      <x:c r="Y1" s="340"/>
      <x:c r="Z1" s="340"/>
      <x:c r="AA1" s="340"/>
    </x:row>
    <x:row r="2" ht="30" customHeight="1">
      <x:c r="A2" s="344" t="str">
        <x:v>Dati originali conservati; unità fisiche ed economiche normalizzate tramite formule auditabili</x:v>
      </x:c>
      <x:c r="B2" s="344"/>
      <x:c r="C2" s="344"/>
      <x:c r="D2" s="344"/>
      <x:c r="E2" s="344"/>
      <x:c r="F2" s="344"/>
      <x:c r="G2" s="344"/>
      <x:c r="H2" s="344"/>
      <x:c r="I2" s="344"/>
      <x:c r="J2" s="344"/>
      <x:c r="K2" s="344"/>
      <x:c r="L2" s="344"/>
      <x:c r="M2" s="344"/>
      <x:c r="N2" s="344"/>
      <x:c r="O2" s="344"/>
      <x:c r="P2" s="344"/>
      <x:c r="Q2" s="344"/>
      <x:c r="R2" s="344"/>
      <x:c r="S2" s="344"/>
      <x:c r="T2" s="344"/>
      <x:c r="U2" s="344"/>
      <x:c r="V2" s="344"/>
      <x:c r="W2" s="344"/>
      <x:c r="X2" s="344"/>
      <x:c r="Y2" s="344"/>
      <x:c r="Z2" s="344"/>
      <x:c r="AA2" s="344"/>
    </x:row>
    <x:row r="4" ht="42" customHeight="1">
      <x:c r="A4" s="348" t="str">
        <x:v>Record ID</x:v>
      </x:c>
      <x:c r="B4" s="348" t="str">
        <x:v>Scenario ID</x:v>
      </x:c>
      <x:c r="C4" s="348" t="str">
        <x:v>Anno modello</x:v>
      </x:c>
      <x:c r="D4" s="348" t="str">
        <x:v>Blocco input</x:v>
      </x:c>
      <x:c r="E4" s="348" t="str">
        <x:v>Geografia</x:v>
      </x:c>
      <x:c r="F4" s="348" t="str">
        <x:v>Zona</x:v>
      </x:c>
      <x:c r="G4" s="348" t="str">
        <x:v>Tecnologia fonte</x:v>
      </x:c>
      <x:c r="H4" s="348" t="str">
        <x:v>Tecnologia standard</x:v>
      </x:c>
      <x:c r="I4" s="348" t="str">
        <x:v>Carrier</x:v>
      </x:c>
      <x:c r="J4" s="348" t="str">
        <x:v>Componente PyPSA</x:v>
      </x:c>
      <x:c r="K4" s="348" t="str">
        <x:v>Campo PyPSA</x:v>
      </x:c>
      <x:c r="L4" s="348" t="str">
        <x:v>Valore originale</x:v>
      </x:c>
      <x:c r="M4" s="348" t="str">
        <x:v>Unità originale</x:v>
      </x:c>
      <x:c r="N4" s="348" t="str">
        <x:v>Valore normalizzato</x:v>
      </x:c>
      <x:c r="O4" s="348" t="str">
        <x:v>Unità normalizzata</x:v>
      </x:c>
      <x:c r="P4" s="348" t="str">
        <x:v>Anno monetario originale</x:v>
      </x:c>
      <x:c r="Q4" s="348" t="str">
        <x:v>Deflatore a EUR2025</x:v>
      </x:c>
      <x:c r="R4" s="348" t="str">
        <x:v>Valore EUR2025</x:v>
      </x:c>
      <x:c r="S4" s="348" t="str">
        <x:v>Classe evidenza</x:v>
      </x:c>
      <x:c r="T4" s="348" t="str">
        <x:v>Trasformazione</x:v>
      </x:c>
      <x:c r="U4" s="348" t="str">
        <x:v>Fonte</x:v>
      </x:c>
      <x:c r="V4" s="348" t="str">
        <x:v>Riferimento fonte</x:v>
      </x:c>
      <x:c r="W4" s="348" t="str">
        <x:v>URL fonte</x:v>
      </x:c>
      <x:c r="X4" s="348" t="str">
        <x:v>Affidabilità</x:v>
      </x:c>
      <x:c r="Y4" s="348" t="str">
        <x:v>Status adozione</x:v>
      </x:c>
      <x:c r="Z4" s="348" t="str">
        <x:v>Status esecuzione</x:v>
      </x:c>
      <x:c r="AA4" s="348" t="str">
        <x:v>Note</x:v>
      </x:c>
    </x:row>
    <x:row r="5">
      <x:c r="A5" s="83" t="str">
        <x:v>S4-00001</x:v>
      </x:c>
      <x:c r="B5" s="83" t="str">
        <x:v>IT2040_BASE_DEIT</x:v>
      </x:c>
      <x:c r="C5" s="83" t="n">
        <x:v>2040</x:v>
      </x:c>
      <x:c r="D5" s="83" t="str">
        <x:v>Demand</x:v>
      </x:c>
      <x:c r="E5" s="83" t="str">
        <x:v>Italy</x:v>
      </x:c>
      <x:c r="F5" s="83"/>
      <x:c r="G5" s="83" t="str">
        <x:v>Fabbisogno elettrico puro</x:v>
      </x:c>
      <x:c r="H5" s="83" t="str">
        <x:v>Rigid electricity load</x:v>
      </x:c>
      <x:c r="I5" s="83" t="str">
        <x:v>electricity</x:v>
      </x:c>
      <x:c r="J5" s="83" t="str">
        <x:v>Load</x:v>
      </x:c>
      <x:c r="K5" s="83" t="str">
        <x:v>p_set annual target</x:v>
      </x:c>
      <x:c r="L5" s="279" t="n">
        <x:v>412</x:v>
      </x:c>
      <x:c r="M5" s="279" t="str">
        <x:v>TWh</x:v>
      </x:c>
      <x:c r="N5" s="279" t="n">
        <x:f>IF(L5="","",IF(M5="GW",L5*1000,IF(M5="GWh",L5*1000,IF(M5="TWh",L5*1000000,L5))))</x:f>
        <x:v>412000000</x:v>
      </x:c>
      <x:c r="O5" s="83" t="str">
        <x:f>IF(L5="","",IF(M5="GW","MW",IF(OR(M5="GWh",M5="TWh"),"MWh",M5)))</x:f>
        <x:v>MWh</x:v>
      </x:c>
      <x:c r="P5" s="83" t="str"/>
      <x:c r="Q5" s="349"/>
      <x:c r="R5" s="349" t="str">
        <x:f>IF(L5="","",IF(Q5&lt;&gt;"",L5*Q5,IF(OR(ISNUMBER(SEARCH("EUR2025",M5&amp;"")),P5=2025,P5="2025"),L5,"")))</x:f>
      </x:c>
      <x:c r="S5" s="83" t="str">
        <x:v>A — Direct</x:v>
      </x:c>
      <x:c r="T5" s="83" t="str">
        <x:v>Hourly shape from PyPSA-Eur base-year load profiles; scale zonal annual shares to national target.</x:v>
      </x:c>
      <x:c r="U5" s="83" t="str">
        <x:v>S09</x:v>
      </x:c>
      <x:c r="V5" s="83" t="str">
        <x:v>DDS Table 6 / annual demand tables</x:v>
      </x:c>
      <x:c r="W5" s="120"/>
      <x:c r="X5" s="83" t="str">
        <x:v>A/B — direct total, profile external</x:v>
      </x:c>
      <x:c r="Y5" s="83" t="str">
        <x:v>Adopted annual volume</x:v>
      </x:c>
      <x:c r="Z5" s="83" t="str">
        <x:v>Conditional on hourly and zonal load profile</x:v>
      </x:c>
      <x:c r="AA5" s="83" t="str">
        <x:v>Includes network losses in the source perimeter; do not add a second loss load.</x:v>
      </x:c>
    </x:row>
    <x:row r="6">
      <x:c r="A6" s="83" t="str">
        <x:v>S4-00002</x:v>
      </x:c>
      <x:c r="B6" s="83" t="str">
        <x:v>IT2040_BASE_DEIT</x:v>
      </x:c>
      <x:c r="C6" s="83" t="n">
        <x:v>2040</x:v>
      </x:c>
      <x:c r="D6" s="83" t="str">
        <x:v>Flexible demand</x:v>
      </x:c>
      <x:c r="E6" s="83" t="str">
        <x:v>Italy</x:v>
      </x:c>
      <x:c r="F6" s="83"/>
      <x:c r="G6" s="83" t="str">
        <x:v>Produzione H2 (elettrolisi)</x:v>
      </x:c>
      <x:c r="H6" s="83" t="str">
        <x:v>Electrolyser flexible load</x:v>
      </x:c>
      <x:c r="I6" s="83" t="str">
        <x:v>hydrogen electrolysis</x:v>
      </x:c>
      <x:c r="J6" s="83" t="str">
        <x:v>Link or flexible Load</x:v>
      </x:c>
      <x:c r="K6" s="83" t="str">
        <x:v>p_nom / annual electricity constraint</x:v>
      </x:c>
      <x:c r="L6" s="279" t="n">
        <x:v>7.4</x:v>
      </x:c>
      <x:c r="M6" s="279" t="str">
        <x:v>GW</x:v>
      </x:c>
      <x:c r="N6" s="279" t="n">
        <x:f>IF(L6="","",IF(M6="GW",L6*1000,IF(M6="GWh",L6*1000,IF(M6="TWh",L6*1000000,L6))))</x:f>
        <x:v>7400</x:v>
      </x:c>
      <x:c r="O6" s="83" t="str">
        <x:f>IF(L6="","",IF(M6="GW","MW",IF(OR(M6="GWh",M6="TWh"),"MWh",M6)))</x:f>
        <x:v>MW</x:v>
      </x:c>
      <x:c r="P6" s="83" t="str"/>
      <x:c r="Q6" s="349"/>
      <x:c r="R6" s="349" t="str">
        <x:f>IF(L6="","",IF(Q6&lt;&gt;"",L6*Q6,IF(OR(ISNUMBER(SEARCH("EUR2025",M6&amp;"")),P6=2025,P6="2025"),L6,"")))</x:f>
      </x:c>
      <x:c r="S6" s="83" t="str">
        <x:v>A — Direct</x:v>
      </x:c>
      <x:c r="T6" s="83" t="str">
        <x:v>Use source power. Annual electricity consumption is a separate row; minimum 3,000 h and low-price activation.</x:v>
      </x:c>
      <x:c r="U6" s="83" t="str">
        <x:v>S09</x:v>
      </x:c>
      <x:c r="V6" s="83" t="str">
        <x:v>DDS Figures 29/37 and demand table</x:v>
      </x:c>
      <x:c r="W6" s="120"/>
      <x:c r="X6" s="83" t="str">
        <x:v>A — Direct</x:v>
      </x:c>
      <x:c r="Y6" s="83" t="str">
        <x:v>Adopted annual power</x:v>
      </x:c>
      <x:c r="Z6" s="83" t="str">
        <x:v>Conditional on hydrogen/flexible-load formulation</x:v>
      </x:c>
      <x:c r="AA6" s="83"/>
    </x:row>
    <x:row r="7">
      <x:c r="A7" s="83" t="str">
        <x:v>S4-00003</x:v>
      </x:c>
      <x:c r="B7" s="83" t="str">
        <x:v>IT2040_BASE_DEIT</x:v>
      </x:c>
      <x:c r="C7" s="83" t="n">
        <x:v>2040</x:v>
      </x:c>
      <x:c r="D7" s="83" t="str">
        <x:v>Flexible demand</x:v>
      </x:c>
      <x:c r="E7" s="83" t="str">
        <x:v>Italy</x:v>
      </x:c>
      <x:c r="F7" s="83"/>
      <x:c r="G7" s="83" t="str">
        <x:v>Produzione H2 (elettrolisi)</x:v>
      </x:c>
      <x:c r="H7" s="83" t="str">
        <x:v>Electrolyser electricity consumption</x:v>
      </x:c>
      <x:c r="I7" s="83" t="str">
        <x:v>electricity</x:v>
      </x:c>
      <x:c r="J7" s="83" t="str">
        <x:v>Link or flexible Load</x:v>
      </x:c>
      <x:c r="K7" s="83" t="str">
        <x:v>annual electricity target</x:v>
      </x:c>
      <x:c r="L7" s="279" t="n">
        <x:v>27.5</x:v>
      </x:c>
      <x:c r="M7" s="279" t="str">
        <x:v>TWh</x:v>
      </x:c>
      <x:c r="N7" s="279" t="n">
        <x:f>IF(L7="","",IF(M7="GW",L7*1000,IF(M7="GWh",L7*1000,IF(M7="TWh",L7*1000000,L7))))</x:f>
        <x:v>27500000</x:v>
      </x:c>
      <x:c r="O7" s="83" t="str">
        <x:f>IF(L7="","",IF(M7="GW","MW",IF(OR(M7="GWh",M7="TWh"),"MWh",M7)))</x:f>
        <x:v>MWh</x:v>
      </x:c>
      <x:c r="P7" s="83" t="str"/>
      <x:c r="Q7" s="349"/>
      <x:c r="R7" s="349" t="str">
        <x:f>IF(L7="","",IF(Q7&lt;&gt;"",L7*Q7,IF(OR(ISNUMBER(SEARCH("EUR2025",M7&amp;"")),P7=2025,P7="2025"),L7,"")))</x:f>
      </x:c>
      <x:c r="S7" s="83" t="str">
        <x:v>A — Direct</x:v>
      </x:c>
      <x:c r="T7" s="83" t="str">
        <x:v>Annual target enforced with energy balance or load-shifting constraint.</x:v>
      </x:c>
      <x:c r="U7" s="83" t="str">
        <x:v>S09</x:v>
      </x:c>
      <x:c r="V7" s="83" t="str">
        <x:v>DDS demand and electrolyser results</x:v>
      </x:c>
      <x:c r="W7" s="120"/>
      <x:c r="X7" s="83" t="str">
        <x:v>A — Direct</x:v>
      </x:c>
      <x:c r="Y7" s="83" t="str">
        <x:v>Adopted annual energy</x:v>
      </x:c>
      <x:c r="Z7" s="83" t="str">
        <x:v>Conditional on temporal formulation</x:v>
      </x:c>
      <x:c r="AA7" s="83"/>
    </x:row>
    <x:row r="8">
      <x:c r="A8" s="83" t="str">
        <x:v>S4-00004</x:v>
      </x:c>
      <x:c r="B8" s="83" t="str">
        <x:v>IT2040_BASE_DEIT</x:v>
      </x:c>
      <x:c r="C8" s="83" t="n">
        <x:v>2040</x:v>
      </x:c>
      <x:c r="D8" s="83" t="str">
        <x:v>QA target</x:v>
      </x:c>
      <x:c r="E8" s="83" t="str">
        <x:v>Italy</x:v>
      </x:c>
      <x:c r="F8" s="83"/>
      <x:c r="G8" s="83" t="str">
        <x:v>Fabbisogno elettrico totale</x:v>
      </x:c>
      <x:c r="H8" s="83" t="str">
        <x:v>Total annual electricity requirement</x:v>
      </x:c>
      <x:c r="I8" s="83" t="str">
        <x:v>electricity</x:v>
      </x:c>
      <x:c r="J8" s="83" t="str">
        <x:v>QA</x:v>
      </x:c>
      <x:c r="K8" s="83" t="str">
        <x:v>annual balance</x:v>
      </x:c>
      <x:c r="L8" s="279" t="n">
        <x:v>439</x:v>
      </x:c>
      <x:c r="M8" s="279" t="str">
        <x:v>TWh</x:v>
      </x:c>
      <x:c r="N8" s="279" t="n">
        <x:f>IF(L8="","",IF(M8="GW",L8*1000,IF(M8="GWh",L8*1000,IF(M8="TWh",L8*1000000,L8))))</x:f>
        <x:v>439000000</x:v>
      </x:c>
      <x:c r="O8" s="83" t="str">
        <x:f>IF(L8="","",IF(M8="GW","MW",IF(OR(M8="GWh",M8="TWh"),"MWh",M8)))</x:f>
        <x:v>MWh</x:v>
      </x:c>
      <x:c r="P8" s="83" t="str"/>
      <x:c r="Q8" s="349"/>
      <x:c r="R8" s="349" t="str">
        <x:f>IF(L8="","",IF(Q8&lt;&gt;"",L8*Q8,IF(OR(ISNUMBER(SEARCH("EUR2025",M8&amp;"")),P8=2025,P8="2025"),L8,"")))</x:f>
      </x:c>
      <x:c r="S8" s="83" t="str">
        <x:v>A — Direct</x:v>
      </x:c>
      <x:c r="T8" s="83" t="str">
        <x:v>Control only: rigid demand + electrolysis must reconcile to total within source rounding.</x:v>
      </x:c>
      <x:c r="U8" s="83" t="str">
        <x:v>S09</x:v>
      </x:c>
      <x:c r="V8" s="83" t="str">
        <x:v>DDS annual demand tables</x:v>
      </x:c>
      <x:c r="W8" s="120"/>
      <x:c r="X8" s="83" t="str">
        <x:v>A — Direct</x:v>
      </x:c>
      <x:c r="Y8" s="83" t="str">
        <x:v>QA only</x:v>
      </x:c>
      <x:c r="Z8" s="83" t="str">
        <x:v>Ready when profiles/base network are available</x:v>
      </x:c>
      <x:c r="AA8" s="83"/>
    </x:row>
    <x:row r="9">
      <x:c r="A9" s="83" t="str">
        <x:v>S4-00005</x:v>
      </x:c>
      <x:c r="B9" s="83" t="str">
        <x:v>IT2040_BASE_DEIT</x:v>
      </x:c>
      <x:c r="C9" s="83" t="n">
        <x:v>2040</x:v>
      </x:c>
      <x:c r="D9" s="83" t="str">
        <x:v>Generation capacity</x:v>
      </x:c>
      <x:c r="E9" s="83" t="str">
        <x:v>IT_NORD</x:v>
      </x:c>
      <x:c r="F9" s="83" t="str">
        <x:v>NORD</x:v>
      </x:c>
      <x:c r="G9" s="83" t="str">
        <x:v>Solare distribuito</x:v>
      </x:c>
      <x:c r="H9" s="83" t="str">
        <x:v>Solar rooftop/distributed</x:v>
      </x:c>
      <x:c r="I9" s="83" t="str">
        <x:v>solar-rooftop</x:v>
      </x:c>
      <x:c r="J9" s="83" t="str">
        <x:v>Generator</x:v>
      </x:c>
      <x:c r="K9" s="83" t="str">
        <x:v>p_nom</x:v>
      </x:c>
      <x:c r="L9" s="279" t="n">
        <x:v>25.1</x:v>
      </x:c>
      <x:c r="M9" s="279" t="str">
        <x:v>GW</x:v>
      </x:c>
      <x:c r="N9" s="279" t="n">
        <x:f>IF(L9="","",IF(M9="GW",L9*1000,IF(M9="GWh",L9*1000,IF(M9="TWh",L9*1000000,L9))))</x:f>
        <x:v>25100</x:v>
      </x:c>
      <x:c r="O9" s="83" t="str">
        <x:f>IF(L9="","",IF(M9="GW","MW",IF(OR(M9="GWh",M9="TWh"),"MWh",M9)))</x:f>
        <x:v>MW</x:v>
      </x:c>
      <x:c r="P9" s="83" t="str"/>
      <x:c r="Q9" s="349"/>
      <x:c r="R9" s="349" t="str">
        <x:f>IF(L9="","",IF(Q9&lt;&gt;"",L9*Q9,IF(OR(ISNUMBER(SEARCH("EUR2025",M9&amp;"")),P9=2025,P9="2025"),L9,"")))</x:f>
      </x:c>
      <x:c r="S9" s="83" t="str">
        <x:v>A — Direct</x:v>
      </x:c>
      <x:c r="T9" s="83" t="str">
        <x:v>Direct zonal capacity; convert GW to MW.</x:v>
      </x:c>
      <x:c r="U9" s="83" t="str">
        <x:v>S09</x:v>
      </x:c>
      <x:c r="V9" s="83" t="str">
        <x:v>DDS Tabella 14 p.60</x:v>
      </x:c>
      <x:c r="W9" s="120"/>
      <x:c r="X9" s="83" t="str">
        <x:v>A - Direct</x:v>
      </x:c>
      <x:c r="Y9" s="83" t="str">
        <x:v>Adopted</x:v>
      </x:c>
      <x:c r="Z9" s="83" t="str">
        <x:v>Ready when profiles/base network are available</x:v>
      </x:c>
      <x:c r="AA9" s="83"/>
    </x:row>
    <x:row r="10">
      <x:c r="A10" s="83" t="str">
        <x:v>S4-00006</x:v>
      </x:c>
      <x:c r="B10" s="83" t="str">
        <x:v>IT2040_BASE_DEIT</x:v>
      </x:c>
      <x:c r="C10" s="83" t="n">
        <x:v>2040</x:v>
      </x:c>
      <x:c r="D10" s="83" t="str">
        <x:v>Generation capacity</x:v>
      </x:c>
      <x:c r="E10" s="83" t="str">
        <x:v>IT_NORD</x:v>
      </x:c>
      <x:c r="F10" s="83" t="str">
        <x:v>NORD</x:v>
      </x:c>
      <x:c r="G10" s="83" t="str">
        <x:v>Solare utility</x:v>
      </x:c>
      <x:c r="H10" s="83" t="str">
        <x:v>Solar utility</x:v>
      </x:c>
      <x:c r="I10" s="83" t="str">
        <x:v>solar-utility</x:v>
      </x:c>
      <x:c r="J10" s="83" t="str">
        <x:v>Generator</x:v>
      </x:c>
      <x:c r="K10" s="83" t="str">
        <x:v>p_nom</x:v>
      </x:c>
      <x:c r="L10" s="279" t="n">
        <x:v>17.3</x:v>
      </x:c>
      <x:c r="M10" s="279" t="str">
        <x:v>GW</x:v>
      </x:c>
      <x:c r="N10" s="279" t="n">
        <x:f>IF(L10="","",IF(M10="GW",L10*1000,IF(M10="GWh",L10*1000,IF(M10="TWh",L10*1000000,L10))))</x:f>
        <x:v>17300</x:v>
      </x:c>
      <x:c r="O10" s="83" t="str">
        <x:f>IF(L10="","",IF(M10="GW","MW",IF(OR(M10="GWh",M10="TWh"),"MWh",M10)))</x:f>
        <x:v>MW</x:v>
      </x:c>
      <x:c r="P10" s="83" t="str"/>
      <x:c r="Q10" s="349"/>
      <x:c r="R10" s="349" t="str">
        <x:f>IF(L10="","",IF(Q10&lt;&gt;"",L10*Q10,IF(OR(ISNUMBER(SEARCH("EUR2025",M10&amp;"")),P10=2025,P10="2025"),L10,"")))</x:f>
      </x:c>
      <x:c r="S10" s="83" t="str">
        <x:v>A — Direct</x:v>
      </x:c>
      <x:c r="T10" s="83" t="str">
        <x:v>Direct zonal capacity; convert GW to MW.</x:v>
      </x:c>
      <x:c r="U10" s="83" t="str">
        <x:v>S09</x:v>
      </x:c>
      <x:c r="V10" s="83" t="str">
        <x:v>DDS Tabella 14 p.60</x:v>
      </x:c>
      <x:c r="W10" s="120"/>
      <x:c r="X10" s="83" t="str">
        <x:v>A - Direct</x:v>
      </x:c>
      <x:c r="Y10" s="83" t="str">
        <x:v>Adopted</x:v>
      </x:c>
      <x:c r="Z10" s="83" t="str">
        <x:v>Ready when profiles/base network are available</x:v>
      </x:c>
      <x:c r="AA10" s="83"/>
    </x:row>
    <x:row r="11">
      <x:c r="A11" s="83" t="str">
        <x:v>S4-00007</x:v>
      </x:c>
      <x:c r="B11" s="83" t="str">
        <x:v>IT2040_BASE_DEIT</x:v>
      </x:c>
      <x:c r="C11" s="83" t="n">
        <x:v>2040</x:v>
      </x:c>
      <x:c r="D11" s="83" t="str">
        <x:v>Generation capacity</x:v>
      </x:c>
      <x:c r="E11" s="83" t="str">
        <x:v>IT_CNOR</x:v>
      </x:c>
      <x:c r="F11" s="83" t="str">
        <x:v>CNOR</x:v>
      </x:c>
      <x:c r="G11" s="83" t="str">
        <x:v>Solare distribuito</x:v>
      </x:c>
      <x:c r="H11" s="83" t="str">
        <x:v>Solar rooftop/distributed</x:v>
      </x:c>
      <x:c r="I11" s="83" t="str">
        <x:v>solar-rooftop</x:v>
      </x:c>
      <x:c r="J11" s="83" t="str">
        <x:v>Generator</x:v>
      </x:c>
      <x:c r="K11" s="83" t="str">
        <x:v>p_nom</x:v>
      </x:c>
      <x:c r="L11" s="279" t="n">
        <x:v>3.3</x:v>
      </x:c>
      <x:c r="M11" s="279" t="str">
        <x:v>GW</x:v>
      </x:c>
      <x:c r="N11" s="279" t="n">
        <x:f>IF(L11="","",IF(M11="GW",L11*1000,IF(M11="GWh",L11*1000,IF(M11="TWh",L11*1000000,L11))))</x:f>
        <x:v>3300</x:v>
      </x:c>
      <x:c r="O11" s="83" t="str">
        <x:f>IF(L11="","",IF(M11="GW","MW",IF(OR(M11="GWh",M11="TWh"),"MWh",M11)))</x:f>
        <x:v>MW</x:v>
      </x:c>
      <x:c r="P11" s="83" t="str"/>
      <x:c r="Q11" s="349"/>
      <x:c r="R11" s="349" t="str">
        <x:f>IF(L11="","",IF(Q11&lt;&gt;"",L11*Q11,IF(OR(ISNUMBER(SEARCH("EUR2025",M11&amp;"")),P11=2025,P11="2025"),L11,"")))</x:f>
      </x:c>
      <x:c r="S11" s="83" t="str">
        <x:v>A — Direct</x:v>
      </x:c>
      <x:c r="T11" s="83" t="str">
        <x:v>Direct zonal capacity; convert GW to MW.</x:v>
      </x:c>
      <x:c r="U11" s="83" t="str">
        <x:v>S09</x:v>
      </x:c>
      <x:c r="V11" s="83" t="str">
        <x:v>DDS Tabella 14 p.60</x:v>
      </x:c>
      <x:c r="W11" s="120"/>
      <x:c r="X11" s="83" t="str">
        <x:v>A - Direct</x:v>
      </x:c>
      <x:c r="Y11" s="83" t="str">
        <x:v>Adopted</x:v>
      </x:c>
      <x:c r="Z11" s="83" t="str">
        <x:v>Ready when profiles/base network are available</x:v>
      </x:c>
      <x:c r="AA11" s="83"/>
    </x:row>
    <x:row r="12">
      <x:c r="A12" s="83" t="str">
        <x:v>S4-00008</x:v>
      </x:c>
      <x:c r="B12" s="83" t="str">
        <x:v>IT2040_BASE_DEIT</x:v>
      </x:c>
      <x:c r="C12" s="83" t="n">
        <x:v>2040</x:v>
      </x:c>
      <x:c r="D12" s="83" t="str">
        <x:v>Generation capacity</x:v>
      </x:c>
      <x:c r="E12" s="83" t="str">
        <x:v>IT_CNOR</x:v>
      </x:c>
      <x:c r="F12" s="83" t="str">
        <x:v>CNOR</x:v>
      </x:c>
      <x:c r="G12" s="83" t="str">
        <x:v>Solare utility</x:v>
      </x:c>
      <x:c r="H12" s="83" t="str">
        <x:v>Solar utility</x:v>
      </x:c>
      <x:c r="I12" s="83" t="str">
        <x:v>solar-utility</x:v>
      </x:c>
      <x:c r="J12" s="83" t="str">
        <x:v>Generator</x:v>
      </x:c>
      <x:c r="K12" s="83" t="str">
        <x:v>p_nom</x:v>
      </x:c>
      <x:c r="L12" s="279" t="n">
        <x:v>6.3</x:v>
      </x:c>
      <x:c r="M12" s="279" t="str">
        <x:v>GW</x:v>
      </x:c>
      <x:c r="N12" s="279" t="n">
        <x:f>IF(L12="","",IF(M12="GW",L12*1000,IF(M12="GWh",L12*1000,IF(M12="TWh",L12*1000000,L12))))</x:f>
        <x:v>6300</x:v>
      </x:c>
      <x:c r="O12" s="83" t="str">
        <x:f>IF(L12="","",IF(M12="GW","MW",IF(OR(M12="GWh",M12="TWh"),"MWh",M12)))</x:f>
        <x:v>MW</x:v>
      </x:c>
      <x:c r="P12" s="83" t="str"/>
      <x:c r="Q12" s="349"/>
      <x:c r="R12" s="349" t="str">
        <x:f>IF(L12="","",IF(Q12&lt;&gt;"",L12*Q12,IF(OR(ISNUMBER(SEARCH("EUR2025",M12&amp;"")),P12=2025,P12="2025"),L12,"")))</x:f>
      </x:c>
      <x:c r="S12" s="83" t="str">
        <x:v>A — Direct</x:v>
      </x:c>
      <x:c r="T12" s="83" t="str">
        <x:v>Direct zonal capacity; convert GW to MW.</x:v>
      </x:c>
      <x:c r="U12" s="83" t="str">
        <x:v>S09</x:v>
      </x:c>
      <x:c r="V12" s="83" t="str">
        <x:v>DDS Tabella 14 p.60</x:v>
      </x:c>
      <x:c r="W12" s="120"/>
      <x:c r="X12" s="83" t="str">
        <x:v>A - Direct</x:v>
      </x:c>
      <x:c r="Y12" s="83" t="str">
        <x:v>Adopted</x:v>
      </x:c>
      <x:c r="Z12" s="83" t="str">
        <x:v>Ready when profiles/base network are available</x:v>
      </x:c>
      <x:c r="AA12" s="83"/>
    </x:row>
    <x:row r="13">
      <x:c r="A13" s="83" t="str">
        <x:v>S4-00009</x:v>
      </x:c>
      <x:c r="B13" s="83" t="str">
        <x:v>IT2040_BASE_DEIT</x:v>
      </x:c>
      <x:c r="C13" s="83" t="n">
        <x:v>2040</x:v>
      </x:c>
      <x:c r="D13" s="83" t="str">
        <x:v>Generation capacity</x:v>
      </x:c>
      <x:c r="E13" s="83" t="str">
        <x:v>IT_CSUD</x:v>
      </x:c>
      <x:c r="F13" s="83" t="str">
        <x:v>CSUD</x:v>
      </x:c>
      <x:c r="G13" s="83" t="str">
        <x:v>Solare distribuito</x:v>
      </x:c>
      <x:c r="H13" s="83" t="str">
        <x:v>Solar rooftop/distributed</x:v>
      </x:c>
      <x:c r="I13" s="83" t="str">
        <x:v>solar-rooftop</x:v>
      </x:c>
      <x:c r="J13" s="83" t="str">
        <x:v>Generator</x:v>
      </x:c>
      <x:c r="K13" s="83" t="str">
        <x:v>p_nom</x:v>
      </x:c>
      <x:c r="L13" s="279" t="n">
        <x:v>5.5</x:v>
      </x:c>
      <x:c r="M13" s="279" t="str">
        <x:v>GW</x:v>
      </x:c>
      <x:c r="N13" s="279" t="n">
        <x:f>IF(L13="","",IF(M13="GW",L13*1000,IF(M13="GWh",L13*1000,IF(M13="TWh",L13*1000000,L13))))</x:f>
        <x:v>5500</x:v>
      </x:c>
      <x:c r="O13" s="83" t="str">
        <x:f>IF(L13="","",IF(M13="GW","MW",IF(OR(M13="GWh",M13="TWh"),"MWh",M13)))</x:f>
        <x:v>MW</x:v>
      </x:c>
      <x:c r="P13" s="83" t="str"/>
      <x:c r="Q13" s="349"/>
      <x:c r="R13" s="349" t="str">
        <x:f>IF(L13="","",IF(Q13&lt;&gt;"",L13*Q13,IF(OR(ISNUMBER(SEARCH("EUR2025",M13&amp;"")),P13=2025,P13="2025"),L13,"")))</x:f>
      </x:c>
      <x:c r="S13" s="83" t="str">
        <x:v>A — Direct</x:v>
      </x:c>
      <x:c r="T13" s="83" t="str">
        <x:v>Direct zonal capacity; convert GW to MW.</x:v>
      </x:c>
      <x:c r="U13" s="83" t="str">
        <x:v>S09</x:v>
      </x:c>
      <x:c r="V13" s="83" t="str">
        <x:v>DDS Tabella 14 p.60</x:v>
      </x:c>
      <x:c r="W13" s="120"/>
      <x:c r="X13" s="83" t="str">
        <x:v>A - Direct</x:v>
      </x:c>
      <x:c r="Y13" s="83" t="str">
        <x:v>Adopted</x:v>
      </x:c>
      <x:c r="Z13" s="83" t="str">
        <x:v>Ready when profiles/base network are available</x:v>
      </x:c>
      <x:c r="AA13" s="83"/>
    </x:row>
    <x:row r="14">
      <x:c r="A14" s="83" t="str">
        <x:v>S4-00010</x:v>
      </x:c>
      <x:c r="B14" s="83" t="str">
        <x:v>IT2040_BASE_DEIT</x:v>
      </x:c>
      <x:c r="C14" s="83" t="n">
        <x:v>2040</x:v>
      </x:c>
      <x:c r="D14" s="83" t="str">
        <x:v>Generation capacity</x:v>
      </x:c>
      <x:c r="E14" s="83" t="str">
        <x:v>IT_CSUD</x:v>
      </x:c>
      <x:c r="F14" s="83" t="str">
        <x:v>CSUD</x:v>
      </x:c>
      <x:c r="G14" s="83" t="str">
        <x:v>Solare utility</x:v>
      </x:c>
      <x:c r="H14" s="83" t="str">
        <x:v>Solar utility</x:v>
      </x:c>
      <x:c r="I14" s="83" t="str">
        <x:v>solar-utility</x:v>
      </x:c>
      <x:c r="J14" s="83" t="str">
        <x:v>Generator</x:v>
      </x:c>
      <x:c r="K14" s="83" t="str">
        <x:v>p_nom</x:v>
      </x:c>
      <x:c r="L14" s="279" t="n">
        <x:v>14.6</x:v>
      </x:c>
      <x:c r="M14" s="279" t="str">
        <x:v>GW</x:v>
      </x:c>
      <x:c r="N14" s="279" t="n">
        <x:f>IF(L14="","",IF(M14="GW",L14*1000,IF(M14="GWh",L14*1000,IF(M14="TWh",L14*1000000,L14))))</x:f>
        <x:v>14600</x:v>
      </x:c>
      <x:c r="O14" s="83" t="str">
        <x:f>IF(L14="","",IF(M14="GW","MW",IF(OR(M14="GWh",M14="TWh"),"MWh",M14)))</x:f>
        <x:v>MW</x:v>
      </x:c>
      <x:c r="P14" s="83" t="str"/>
      <x:c r="Q14" s="349"/>
      <x:c r="R14" s="349" t="str">
        <x:f>IF(L14="","",IF(Q14&lt;&gt;"",L14*Q14,IF(OR(ISNUMBER(SEARCH("EUR2025",M14&amp;"")),P14=2025,P14="2025"),L14,"")))</x:f>
      </x:c>
      <x:c r="S14" s="83" t="str">
        <x:v>A — Direct</x:v>
      </x:c>
      <x:c r="T14" s="83" t="str">
        <x:v>Direct zonal capacity; convert GW to MW.</x:v>
      </x:c>
      <x:c r="U14" s="83" t="str">
        <x:v>S09</x:v>
      </x:c>
      <x:c r="V14" s="83" t="str">
        <x:v>DDS Tabella 14 p.60</x:v>
      </x:c>
      <x:c r="W14" s="120"/>
      <x:c r="X14" s="83" t="str">
        <x:v>A - Direct</x:v>
      </x:c>
      <x:c r="Y14" s="83" t="str">
        <x:v>Adopted</x:v>
      </x:c>
      <x:c r="Z14" s="83" t="str">
        <x:v>Ready when profiles/base network are available</x:v>
      </x:c>
      <x:c r="AA14" s="83"/>
    </x:row>
    <x:row r="15">
      <x:c r="A15" s="83" t="str">
        <x:v>S4-00011</x:v>
      </x:c>
      <x:c r="B15" s="83" t="str">
        <x:v>IT2040_BASE_DEIT</x:v>
      </x:c>
      <x:c r="C15" s="83" t="n">
        <x:v>2040</x:v>
      </x:c>
      <x:c r="D15" s="83" t="str">
        <x:v>Generation capacity</x:v>
      </x:c>
      <x:c r="E15" s="83" t="str">
        <x:v>IT_SUD</x:v>
      </x:c>
      <x:c r="F15" s="83" t="str">
        <x:v>SUD</x:v>
      </x:c>
      <x:c r="G15" s="83" t="str">
        <x:v>Solare distribuito</x:v>
      </x:c>
      <x:c r="H15" s="83" t="str">
        <x:v>Solar rooftop/distributed</x:v>
      </x:c>
      <x:c r="I15" s="83" t="str">
        <x:v>solar-rooftop</x:v>
      </x:c>
      <x:c r="J15" s="83" t="str">
        <x:v>Generator</x:v>
      </x:c>
      <x:c r="K15" s="83" t="str">
        <x:v>p_nom</x:v>
      </x:c>
      <x:c r="L15" s="279" t="n">
        <x:v>1.7</x:v>
      </x:c>
      <x:c r="M15" s="279" t="str">
        <x:v>GW</x:v>
      </x:c>
      <x:c r="N15" s="279" t="n">
        <x:f>IF(L15="","",IF(M15="GW",L15*1000,IF(M15="GWh",L15*1000,IF(M15="TWh",L15*1000000,L15))))</x:f>
        <x:v>1700</x:v>
      </x:c>
      <x:c r="O15" s="83" t="str">
        <x:f>IF(L15="","",IF(M15="GW","MW",IF(OR(M15="GWh",M15="TWh"),"MWh",M15)))</x:f>
        <x:v>MW</x:v>
      </x:c>
      <x:c r="P15" s="83" t="str"/>
      <x:c r="Q15" s="349"/>
      <x:c r="R15" s="349" t="str">
        <x:f>IF(L15="","",IF(Q15&lt;&gt;"",L15*Q15,IF(OR(ISNUMBER(SEARCH("EUR2025",M15&amp;"")),P15=2025,P15="2025"),L15,"")))</x:f>
      </x:c>
      <x:c r="S15" s="83" t="str">
        <x:v>A — Direct</x:v>
      </x:c>
      <x:c r="T15" s="83" t="str">
        <x:v>Direct zonal capacity; convert GW to MW.</x:v>
      </x:c>
      <x:c r="U15" s="83" t="str">
        <x:v>S09</x:v>
      </x:c>
      <x:c r="V15" s="83" t="str">
        <x:v>DDS Tabella 14 p.60</x:v>
      </x:c>
      <x:c r="W15" s="120"/>
      <x:c r="X15" s="83" t="str">
        <x:v>A - Direct</x:v>
      </x:c>
      <x:c r="Y15" s="83" t="str">
        <x:v>Adopted</x:v>
      </x:c>
      <x:c r="Z15" s="83" t="str">
        <x:v>Ready when profiles/base network are available</x:v>
      </x:c>
      <x:c r="AA15" s="83"/>
    </x:row>
    <x:row r="16">
      <x:c r="A16" s="83" t="str">
        <x:v>S4-00012</x:v>
      </x:c>
      <x:c r="B16" s="83" t="str">
        <x:v>IT2040_BASE_DEIT</x:v>
      </x:c>
      <x:c r="C16" s="83" t="n">
        <x:v>2040</x:v>
      </x:c>
      <x:c r="D16" s="83" t="str">
        <x:v>Generation capacity</x:v>
      </x:c>
      <x:c r="E16" s="83" t="str">
        <x:v>IT_SUD</x:v>
      </x:c>
      <x:c r="F16" s="83" t="str">
        <x:v>SUD</x:v>
      </x:c>
      <x:c r="G16" s="83" t="str">
        <x:v>Solare utility</x:v>
      </x:c>
      <x:c r="H16" s="83" t="str">
        <x:v>Solar utility</x:v>
      </x:c>
      <x:c r="I16" s="83" t="str">
        <x:v>solar-utility</x:v>
      </x:c>
      <x:c r="J16" s="83" t="str">
        <x:v>Generator</x:v>
      </x:c>
      <x:c r="K16" s="83" t="str">
        <x:v>p_nom</x:v>
      </x:c>
      <x:c r="L16" s="279" t="n">
        <x:v>19.3</x:v>
      </x:c>
      <x:c r="M16" s="279" t="str">
        <x:v>GW</x:v>
      </x:c>
      <x:c r="N16" s="279" t="n">
        <x:f>IF(L16="","",IF(M16="GW",L16*1000,IF(M16="GWh",L16*1000,IF(M16="TWh",L16*1000000,L16))))</x:f>
        <x:v>19300</x:v>
      </x:c>
      <x:c r="O16" s="83" t="str">
        <x:f>IF(L16="","",IF(M16="GW","MW",IF(OR(M16="GWh",M16="TWh"),"MWh",M16)))</x:f>
        <x:v>MW</x:v>
      </x:c>
      <x:c r="P16" s="83" t="str"/>
      <x:c r="Q16" s="349"/>
      <x:c r="R16" s="349" t="str">
        <x:f>IF(L16="","",IF(Q16&lt;&gt;"",L16*Q16,IF(OR(ISNUMBER(SEARCH("EUR2025",M16&amp;"")),P16=2025,P16="2025"),L16,"")))</x:f>
      </x:c>
      <x:c r="S16" s="83" t="str">
        <x:v>A — Direct</x:v>
      </x:c>
      <x:c r="T16" s="83" t="str">
        <x:v>Direct zonal capacity; convert GW to MW.</x:v>
      </x:c>
      <x:c r="U16" s="83" t="str">
        <x:v>S09</x:v>
      </x:c>
      <x:c r="V16" s="83" t="str">
        <x:v>DDS Tabella 14 p.60</x:v>
      </x:c>
      <x:c r="W16" s="120"/>
      <x:c r="X16" s="83" t="str">
        <x:v>A - Direct</x:v>
      </x:c>
      <x:c r="Y16" s="83" t="str">
        <x:v>Adopted</x:v>
      </x:c>
      <x:c r="Z16" s="83" t="str">
        <x:v>Ready when profiles/base network are available</x:v>
      </x:c>
      <x:c r="AA16" s="83"/>
    </x:row>
    <x:row r="17">
      <x:c r="A17" s="83" t="str">
        <x:v>S4-00013</x:v>
      </x:c>
      <x:c r="B17" s="83" t="str">
        <x:v>IT2040_BASE_DEIT</x:v>
      </x:c>
      <x:c r="C17" s="83" t="n">
        <x:v>2040</x:v>
      </x:c>
      <x:c r="D17" s="83" t="str">
        <x:v>Generation capacity</x:v>
      </x:c>
      <x:c r="E17" s="83" t="str">
        <x:v>IT_CALA</x:v>
      </x:c>
      <x:c r="F17" s="83" t="str">
        <x:v>CALA</x:v>
      </x:c>
      <x:c r="G17" s="83" t="str">
        <x:v>Solare distribuito</x:v>
      </x:c>
      <x:c r="H17" s="83" t="str">
        <x:v>Solar rooftop/distributed</x:v>
      </x:c>
      <x:c r="I17" s="83" t="str">
        <x:v>solar-rooftop</x:v>
      </x:c>
      <x:c r="J17" s="83" t="str">
        <x:v>Generator</x:v>
      </x:c>
      <x:c r="K17" s="83" t="str">
        <x:v>p_nom</x:v>
      </x:c>
      <x:c r="L17" s="279" t="n">
        <x:v>1.1</x:v>
      </x:c>
      <x:c r="M17" s="279" t="str">
        <x:v>GW</x:v>
      </x:c>
      <x:c r="N17" s="279" t="n">
        <x:f>IF(L17="","",IF(M17="GW",L17*1000,IF(M17="GWh",L17*1000,IF(M17="TWh",L17*1000000,L17))))</x:f>
        <x:v>1100</x:v>
      </x:c>
      <x:c r="O17" s="83" t="str">
        <x:f>IF(L17="","",IF(M17="GW","MW",IF(OR(M17="GWh",M17="TWh"),"MWh",M17)))</x:f>
        <x:v>MW</x:v>
      </x:c>
      <x:c r="P17" s="83" t="str"/>
      <x:c r="Q17" s="349"/>
      <x:c r="R17" s="349" t="str">
        <x:f>IF(L17="","",IF(Q17&lt;&gt;"",L17*Q17,IF(OR(ISNUMBER(SEARCH("EUR2025",M17&amp;"")),P17=2025,P17="2025"),L17,"")))</x:f>
      </x:c>
      <x:c r="S17" s="83" t="str">
        <x:v>A — Direct</x:v>
      </x:c>
      <x:c r="T17" s="83" t="str">
        <x:v>Direct zonal capacity; convert GW to MW.</x:v>
      </x:c>
      <x:c r="U17" s="83" t="str">
        <x:v>S09</x:v>
      </x:c>
      <x:c r="V17" s="83" t="str">
        <x:v>DDS Tabella 14 p.60</x:v>
      </x:c>
      <x:c r="W17" s="120"/>
      <x:c r="X17" s="83" t="str">
        <x:v>A - Direct</x:v>
      </x:c>
      <x:c r="Y17" s="83" t="str">
        <x:v>Adopted</x:v>
      </x:c>
      <x:c r="Z17" s="83" t="str">
        <x:v>Ready when profiles/base network are available</x:v>
      </x:c>
      <x:c r="AA17" s="83"/>
    </x:row>
    <x:row r="18">
      <x:c r="A18" s="83" t="str">
        <x:v>S4-00014</x:v>
      </x:c>
      <x:c r="B18" s="83" t="str">
        <x:v>IT2040_BASE_DEIT</x:v>
      </x:c>
      <x:c r="C18" s="83" t="n">
        <x:v>2040</x:v>
      </x:c>
      <x:c r="D18" s="83" t="str">
        <x:v>Generation capacity</x:v>
      </x:c>
      <x:c r="E18" s="83" t="str">
        <x:v>IT_CALA</x:v>
      </x:c>
      <x:c r="F18" s="83" t="str">
        <x:v>CALA</x:v>
      </x:c>
      <x:c r="G18" s="83" t="str">
        <x:v>Solare utility</x:v>
      </x:c>
      <x:c r="H18" s="83" t="str">
        <x:v>Solar utility</x:v>
      </x:c>
      <x:c r="I18" s="83" t="str">
        <x:v>solar-utility</x:v>
      </x:c>
      <x:c r="J18" s="83" t="str">
        <x:v>Generator</x:v>
      </x:c>
      <x:c r="K18" s="83" t="str">
        <x:v>p_nom</x:v>
      </x:c>
      <x:c r="L18" s="279" t="n">
        <x:v>2.5</x:v>
      </x:c>
      <x:c r="M18" s="279" t="str">
        <x:v>GW</x:v>
      </x:c>
      <x:c r="N18" s="279" t="n">
        <x:f>IF(L18="","",IF(M18="GW",L18*1000,IF(M18="GWh",L18*1000,IF(M18="TWh",L18*1000000,L18))))</x:f>
        <x:v>2500</x:v>
      </x:c>
      <x:c r="O18" s="83" t="str">
        <x:f>IF(L18="","",IF(M18="GW","MW",IF(OR(M18="GWh",M18="TWh"),"MWh",M18)))</x:f>
        <x:v>MW</x:v>
      </x:c>
      <x:c r="P18" s="83" t="str"/>
      <x:c r="Q18" s="349"/>
      <x:c r="R18" s="349" t="str">
        <x:f>IF(L18="","",IF(Q18&lt;&gt;"",L18*Q18,IF(OR(ISNUMBER(SEARCH("EUR2025",M18&amp;"")),P18=2025,P18="2025"),L18,"")))</x:f>
      </x:c>
      <x:c r="S18" s="83" t="str">
        <x:v>A — Direct</x:v>
      </x:c>
      <x:c r="T18" s="83" t="str">
        <x:v>Direct zonal capacity; convert GW to MW.</x:v>
      </x:c>
      <x:c r="U18" s="83" t="str">
        <x:v>S09</x:v>
      </x:c>
      <x:c r="V18" s="83" t="str">
        <x:v>DDS Tabella 14 p.60</x:v>
      </x:c>
      <x:c r="W18" s="120"/>
      <x:c r="X18" s="83" t="str">
        <x:v>A - Direct</x:v>
      </x:c>
      <x:c r="Y18" s="83" t="str">
        <x:v>Adopted</x:v>
      </x:c>
      <x:c r="Z18" s="83" t="str">
        <x:v>Ready when profiles/base network are available</x:v>
      </x:c>
      <x:c r="AA18" s="83"/>
    </x:row>
    <x:row r="19">
      <x:c r="A19" s="83" t="str">
        <x:v>S4-00015</x:v>
      </x:c>
      <x:c r="B19" s="83" t="str">
        <x:v>IT2040_BASE_DEIT</x:v>
      </x:c>
      <x:c r="C19" s="83" t="n">
        <x:v>2040</x:v>
      </x:c>
      <x:c r="D19" s="83" t="str">
        <x:v>Generation capacity</x:v>
      </x:c>
      <x:c r="E19" s="83" t="str">
        <x:v>IT_SICI</x:v>
      </x:c>
      <x:c r="F19" s="83" t="str">
        <x:v>SICI</x:v>
      </x:c>
      <x:c r="G19" s="83" t="str">
        <x:v>Solare distribuito</x:v>
      </x:c>
      <x:c r="H19" s="83" t="str">
        <x:v>Solar rooftop/distributed</x:v>
      </x:c>
      <x:c r="I19" s="83" t="str">
        <x:v>solar-rooftop</x:v>
      </x:c>
      <x:c r="J19" s="83" t="str">
        <x:v>Generator</x:v>
      </x:c>
      <x:c r="K19" s="83" t="str">
        <x:v>p_nom</x:v>
      </x:c>
      <x:c r="L19" s="279" t="n">
        <x:v>3.3</x:v>
      </x:c>
      <x:c r="M19" s="279" t="str">
        <x:v>GW</x:v>
      </x:c>
      <x:c r="N19" s="279" t="n">
        <x:f>IF(L19="","",IF(M19="GW",L19*1000,IF(M19="GWh",L19*1000,IF(M19="TWh",L19*1000000,L19))))</x:f>
        <x:v>3300</x:v>
      </x:c>
      <x:c r="O19" s="83" t="str">
        <x:f>IF(L19="","",IF(M19="GW","MW",IF(OR(M19="GWh",M19="TWh"),"MWh",M19)))</x:f>
        <x:v>MW</x:v>
      </x:c>
      <x:c r="P19" s="83" t="str"/>
      <x:c r="Q19" s="349"/>
      <x:c r="R19" s="349" t="str">
        <x:f>IF(L19="","",IF(Q19&lt;&gt;"",L19*Q19,IF(OR(ISNUMBER(SEARCH("EUR2025",M19&amp;"")),P19=2025,P19="2025"),L19,"")))</x:f>
      </x:c>
      <x:c r="S19" s="83" t="str">
        <x:v>A — Direct</x:v>
      </x:c>
      <x:c r="T19" s="83" t="str">
        <x:v>Direct zonal capacity; convert GW to MW.</x:v>
      </x:c>
      <x:c r="U19" s="83" t="str">
        <x:v>S09</x:v>
      </x:c>
      <x:c r="V19" s="83" t="str">
        <x:v>DDS Tabella 14 p.60</x:v>
      </x:c>
      <x:c r="W19" s="120"/>
      <x:c r="X19" s="83" t="str">
        <x:v>A - Direct</x:v>
      </x:c>
      <x:c r="Y19" s="83" t="str">
        <x:v>Adopted</x:v>
      </x:c>
      <x:c r="Z19" s="83" t="str">
        <x:v>Ready when profiles/base network are available</x:v>
      </x:c>
      <x:c r="AA19" s="83"/>
    </x:row>
    <x:row r="20">
      <x:c r="A20" s="83" t="str">
        <x:v>S4-00016</x:v>
      </x:c>
      <x:c r="B20" s="83" t="str">
        <x:v>IT2040_BASE_DEIT</x:v>
      </x:c>
      <x:c r="C20" s="83" t="n">
        <x:v>2040</x:v>
      </x:c>
      <x:c r="D20" s="83" t="str">
        <x:v>Generation capacity</x:v>
      </x:c>
      <x:c r="E20" s="83" t="str">
        <x:v>IT_SICI</x:v>
      </x:c>
      <x:c r="F20" s="83" t="str">
        <x:v>SICI</x:v>
      </x:c>
      <x:c r="G20" s="83" t="str">
        <x:v>Solare utility</x:v>
      </x:c>
      <x:c r="H20" s="83" t="str">
        <x:v>Solar utility</x:v>
      </x:c>
      <x:c r="I20" s="83" t="str">
        <x:v>solar-utility</x:v>
      </x:c>
      <x:c r="J20" s="83" t="str">
        <x:v>Generator</x:v>
      </x:c>
      <x:c r="K20" s="83" t="str">
        <x:v>p_nom</x:v>
      </x:c>
      <x:c r="L20" s="279" t="n">
        <x:v>11.5</x:v>
      </x:c>
      <x:c r="M20" s="279" t="str">
        <x:v>GW</x:v>
      </x:c>
      <x:c r="N20" s="279" t="n">
        <x:f>IF(L20="","",IF(M20="GW",L20*1000,IF(M20="GWh",L20*1000,IF(M20="TWh",L20*1000000,L20))))</x:f>
        <x:v>11500</x:v>
      </x:c>
      <x:c r="O20" s="83" t="str">
        <x:f>IF(L20="","",IF(M20="GW","MW",IF(OR(M20="GWh",M20="TWh"),"MWh",M20)))</x:f>
        <x:v>MW</x:v>
      </x:c>
      <x:c r="P20" s="83" t="str"/>
      <x:c r="Q20" s="349"/>
      <x:c r="R20" s="349" t="str">
        <x:f>IF(L20="","",IF(Q20&lt;&gt;"",L20*Q20,IF(OR(ISNUMBER(SEARCH("EUR2025",M20&amp;"")),P20=2025,P20="2025"),L20,"")))</x:f>
      </x:c>
      <x:c r="S20" s="83" t="str">
        <x:v>A — Direct</x:v>
      </x:c>
      <x:c r="T20" s="83" t="str">
        <x:v>Direct zonal capacity; convert GW to MW.</x:v>
      </x:c>
      <x:c r="U20" s="83" t="str">
        <x:v>S09</x:v>
      </x:c>
      <x:c r="V20" s="83" t="str">
        <x:v>DDS Tabella 14 p.60</x:v>
      </x:c>
      <x:c r="W20" s="120"/>
      <x:c r="X20" s="83" t="str">
        <x:v>A - Direct</x:v>
      </x:c>
      <x:c r="Y20" s="83" t="str">
        <x:v>Adopted</x:v>
      </x:c>
      <x:c r="Z20" s="83" t="str">
        <x:v>Ready when profiles/base network are available</x:v>
      </x:c>
      <x:c r="AA20" s="83"/>
    </x:row>
    <x:row r="21">
      <x:c r="A21" s="83" t="str">
        <x:v>S4-00017</x:v>
      </x:c>
      <x:c r="B21" s="83" t="str">
        <x:v>IT2040_BASE_DEIT</x:v>
      </x:c>
      <x:c r="C21" s="83" t="n">
        <x:v>2040</x:v>
      </x:c>
      <x:c r="D21" s="83" t="str">
        <x:v>Generation capacity</x:v>
      </x:c>
      <x:c r="E21" s="83" t="str">
        <x:v>IT_SARD</x:v>
      </x:c>
      <x:c r="F21" s="83" t="str">
        <x:v>SARD</x:v>
      </x:c>
      <x:c r="G21" s="83" t="str">
        <x:v>Solare distribuito</x:v>
      </x:c>
      <x:c r="H21" s="83" t="str">
        <x:v>Solar rooftop/distributed</x:v>
      </x:c>
      <x:c r="I21" s="83" t="str">
        <x:v>solar-rooftop</x:v>
      </x:c>
      <x:c r="J21" s="83" t="str">
        <x:v>Generator</x:v>
      </x:c>
      <x:c r="K21" s="83" t="str">
        <x:v>p_nom</x:v>
      </x:c>
      <x:c r="L21" s="279" t="n">
        <x:v>1.7</x:v>
      </x:c>
      <x:c r="M21" s="279" t="str">
        <x:v>GW</x:v>
      </x:c>
      <x:c r="N21" s="279" t="n">
        <x:f>IF(L21="","",IF(M21="GW",L21*1000,IF(M21="GWh",L21*1000,IF(M21="TWh",L21*1000000,L21))))</x:f>
        <x:v>1700</x:v>
      </x:c>
      <x:c r="O21" s="83" t="str">
        <x:f>IF(L21="","",IF(M21="GW","MW",IF(OR(M21="GWh",M21="TWh"),"MWh",M21)))</x:f>
        <x:v>MW</x:v>
      </x:c>
      <x:c r="P21" s="83" t="str"/>
      <x:c r="Q21" s="349"/>
      <x:c r="R21" s="349" t="str">
        <x:f>IF(L21="","",IF(Q21&lt;&gt;"",L21*Q21,IF(OR(ISNUMBER(SEARCH("EUR2025",M21&amp;"")),P21=2025,P21="2025"),L21,"")))</x:f>
      </x:c>
      <x:c r="S21" s="83" t="str">
        <x:v>A — Direct</x:v>
      </x:c>
      <x:c r="T21" s="83" t="str">
        <x:v>Direct zonal capacity; convert GW to MW.</x:v>
      </x:c>
      <x:c r="U21" s="83" t="str">
        <x:v>S09</x:v>
      </x:c>
      <x:c r="V21" s="83" t="str">
        <x:v>DDS Tabella 14 p.60</x:v>
      </x:c>
      <x:c r="W21" s="120"/>
      <x:c r="X21" s="83" t="str">
        <x:v>A - Direct</x:v>
      </x:c>
      <x:c r="Y21" s="83" t="str">
        <x:v>Adopted</x:v>
      </x:c>
      <x:c r="Z21" s="83" t="str">
        <x:v>Ready when profiles/base network are available</x:v>
      </x:c>
      <x:c r="AA21" s="83"/>
    </x:row>
    <x:row r="22">
      <x:c r="A22" s="83" t="str">
        <x:v>S4-00018</x:v>
      </x:c>
      <x:c r="B22" s="83" t="str">
        <x:v>IT2040_BASE_DEIT</x:v>
      </x:c>
      <x:c r="C22" s="83" t="n">
        <x:v>2040</x:v>
      </x:c>
      <x:c r="D22" s="83" t="str">
        <x:v>Generation capacity</x:v>
      </x:c>
      <x:c r="E22" s="83" t="str">
        <x:v>IT_SARD</x:v>
      </x:c>
      <x:c r="F22" s="83" t="str">
        <x:v>SARD</x:v>
      </x:c>
      <x:c r="G22" s="83" t="str">
        <x:v>Solare utility</x:v>
      </x:c>
      <x:c r="H22" s="83" t="str">
        <x:v>Solar utility</x:v>
      </x:c>
      <x:c r="I22" s="83" t="str">
        <x:v>solar-utility</x:v>
      </x:c>
      <x:c r="J22" s="83" t="str">
        <x:v>Generator</x:v>
      </x:c>
      <x:c r="K22" s="83" t="str">
        <x:v>p_nom</x:v>
      </x:c>
      <x:c r="L22" s="279" t="n">
        <x:v>7.7</x:v>
      </x:c>
      <x:c r="M22" s="279" t="str">
        <x:v>GW</x:v>
      </x:c>
      <x:c r="N22" s="279" t="n">
        <x:f>IF(L22="","",IF(M22="GW",L22*1000,IF(M22="GWh",L22*1000,IF(M22="TWh",L22*1000000,L22))))</x:f>
        <x:v>7700</x:v>
      </x:c>
      <x:c r="O22" s="83" t="str">
        <x:f>IF(L22="","",IF(M22="GW","MW",IF(OR(M22="GWh",M22="TWh"),"MWh",M22)))</x:f>
        <x:v>MW</x:v>
      </x:c>
      <x:c r="P22" s="83" t="str"/>
      <x:c r="Q22" s="349"/>
      <x:c r="R22" s="349" t="str">
        <x:f>IF(L22="","",IF(Q22&lt;&gt;"",L22*Q22,IF(OR(ISNUMBER(SEARCH("EUR2025",M22&amp;"")),P22=2025,P22="2025"),L22,"")))</x:f>
      </x:c>
      <x:c r="S22" s="83" t="str">
        <x:v>A — Direct</x:v>
      </x:c>
      <x:c r="T22" s="83" t="str">
        <x:v>Direct zonal capacity; convert GW to MW.</x:v>
      </x:c>
      <x:c r="U22" s="83" t="str">
        <x:v>S09</x:v>
      </x:c>
      <x:c r="V22" s="83" t="str">
        <x:v>DDS Tabella 14 p.60</x:v>
      </x:c>
      <x:c r="W22" s="120"/>
      <x:c r="X22" s="83" t="str">
        <x:v>A - Direct</x:v>
      </x:c>
      <x:c r="Y22" s="83" t="str">
        <x:v>Adopted</x:v>
      </x:c>
      <x:c r="Z22" s="83" t="str">
        <x:v>Ready when profiles/base network are available</x:v>
      </x:c>
      <x:c r="AA22" s="83"/>
    </x:row>
    <x:row r="23">
      <x:c r="A23" s="83" t="str">
        <x:v>S4-00019</x:v>
      </x:c>
      <x:c r="B23" s="83" t="str">
        <x:v>IT2040_BASE_DEIT</x:v>
      </x:c>
      <x:c r="C23" s="83" t="n">
        <x:v>2040</x:v>
      </x:c>
      <x:c r="D23" s="83" t="str">
        <x:v>Generation capacity</x:v>
      </x:c>
      <x:c r="E23" s="83" t="str">
        <x:v>IT_NORD</x:v>
      </x:c>
      <x:c r="F23" s="83" t="str">
        <x:v>NORD</x:v>
      </x:c>
      <x:c r="G23" s="83" t="str">
        <x:v>Eolico onshore</x:v>
      </x:c>
      <x:c r="H23" s="83" t="str">
        <x:v>Wind onshore</x:v>
      </x:c>
      <x:c r="I23" s="83" t="str">
        <x:v>onwind</x:v>
      </x:c>
      <x:c r="J23" s="83" t="str">
        <x:v>Generator</x:v>
      </x:c>
      <x:c r="K23" s="83" t="str">
        <x:v>p_nom</x:v>
      </x:c>
      <x:c r="L23" s="279" t="n">
        <x:v>0.6</x:v>
      </x:c>
      <x:c r="M23" s="279" t="str">
        <x:v>GW</x:v>
      </x:c>
      <x:c r="N23" s="279" t="n">
        <x:f>IF(L23="","",IF(M23="GW",L23*1000,IF(M23="GWh",L23*1000,IF(M23="TWh",L23*1000000,L23))))</x:f>
        <x:v>600</x:v>
      </x:c>
      <x:c r="O23" s="83" t="str">
        <x:f>IF(L23="","",IF(M23="GW","MW",IF(OR(M23="GWh",M23="TWh"),"MWh",M23)))</x:f>
        <x:v>MW</x:v>
      </x:c>
      <x:c r="P23" s="83" t="str"/>
      <x:c r="Q23" s="349"/>
      <x:c r="R23" s="349" t="str">
        <x:f>IF(L23="","",IF(Q23&lt;&gt;"",L23*Q23,IF(OR(ISNUMBER(SEARCH("EUR2025",M23&amp;"")),P23=2025,P23="2025"),L23,"")))</x:f>
      </x:c>
      <x:c r="S23" s="83" t="str">
        <x:v>A — Direct</x:v>
      </x:c>
      <x:c r="T23" s="83" t="str">
        <x:v>Direct zonal capacity; convert GW to MW.</x:v>
      </x:c>
      <x:c r="U23" s="83" t="str">
        <x:v>S09</x:v>
      </x:c>
      <x:c r="V23" s="83" t="str">
        <x:v>DDS Tabella 15 p.61</x:v>
      </x:c>
      <x:c r="W23" s="120"/>
      <x:c r="X23" s="83" t="str">
        <x:v>A - Direct</x:v>
      </x:c>
      <x:c r="Y23" s="83" t="str">
        <x:v>Adopted</x:v>
      </x:c>
      <x:c r="Z23" s="83" t="str">
        <x:v>Ready when profiles/base network are available</x:v>
      </x:c>
      <x:c r="AA23" s="83"/>
    </x:row>
    <x:row r="24">
      <x:c r="A24" s="83" t="str">
        <x:v>S4-00020</x:v>
      </x:c>
      <x:c r="B24" s="83" t="str">
        <x:v>IT2040_BASE_DEIT</x:v>
      </x:c>
      <x:c r="C24" s="83" t="n">
        <x:v>2040</x:v>
      </x:c>
      <x:c r="D24" s="83" t="str">
        <x:v>Generation capacity</x:v>
      </x:c>
      <x:c r="E24" s="83" t="str">
        <x:v>IT_NORD</x:v>
      </x:c>
      <x:c r="F24" s="83" t="str">
        <x:v>NORD</x:v>
      </x:c>
      <x:c r="G24" s="83" t="str">
        <x:v>Eolico offshore</x:v>
      </x:c>
      <x:c r="H24" s="83" t="str">
        <x:v>Wind offshore unspecified</x:v>
      </x:c>
      <x:c r="I24" s="83" t="str">
        <x:v>offwind</x:v>
      </x:c>
      <x:c r="J24" s="83" t="str">
        <x:v>Generator</x:v>
      </x:c>
      <x:c r="K24" s="83" t="str">
        <x:v>p_nom</x:v>
      </x:c>
      <x:c r="L24" s="279" t="n">
        <x:v>1.5</x:v>
      </x:c>
      <x:c r="M24" s="279" t="str">
        <x:v>GW</x:v>
      </x:c>
      <x:c r="N24" s="279" t="n">
        <x:f>IF(L24="","",IF(M24="GW",L24*1000,IF(M24="GWh",L24*1000,IF(M24="TWh",L24*1000000,L24))))</x:f>
        <x:v>1500</x:v>
      </x:c>
      <x:c r="O24" s="83" t="str">
        <x:f>IF(L24="","",IF(M24="GW","MW",IF(OR(M24="GWh",M24="TWh"),"MWh",M24)))</x:f>
        <x:v>MW</x:v>
      </x:c>
      <x:c r="P24" s="83" t="str"/>
      <x:c r="Q24" s="349"/>
      <x:c r="R24" s="349" t="str">
        <x:f>IF(L24="","",IF(Q24&lt;&gt;"",L24*Q24,IF(OR(ISNUMBER(SEARCH("EUR2025",M24&amp;"")),P24=2025,P24="2025"),L24,"")))</x:f>
      </x:c>
      <x:c r="S24" s="83" t="str">
        <x:v>A — Direct</x:v>
      </x:c>
      <x:c r="T24" s="83" t="str">
        <x:v>Direct zonal capacity; convert GW to MW.</x:v>
      </x:c>
      <x:c r="U24" s="83" t="str">
        <x:v>S09</x:v>
      </x:c>
      <x:c r="V24" s="83" t="str">
        <x:v>DDS Tabella 15 p.61</x:v>
      </x:c>
      <x:c r="W24" s="120"/>
      <x:c r="X24" s="83" t="str">
        <x:v>A - Direct</x:v>
      </x:c>
      <x:c r="Y24" s="83" t="str">
        <x:v>Adopted</x:v>
      </x:c>
      <x:c r="Z24" s="83" t="str">
        <x:v>Ready when profiles/base network are available</x:v>
      </x:c>
      <x:c r="AA24" s="83"/>
    </x:row>
    <x:row r="25">
      <x:c r="A25" s="83" t="str">
        <x:v>S4-00021</x:v>
      </x:c>
      <x:c r="B25" s="83" t="str">
        <x:v>IT2040_BASE_DEIT</x:v>
      </x:c>
      <x:c r="C25" s="83" t="n">
        <x:v>2040</x:v>
      </x:c>
      <x:c r="D25" s="83" t="str">
        <x:v>Generation capacity</x:v>
      </x:c>
      <x:c r="E25" s="83" t="str">
        <x:v>IT_CNOR</x:v>
      </x:c>
      <x:c r="F25" s="83" t="str">
        <x:v>CNOR</x:v>
      </x:c>
      <x:c r="G25" s="83" t="str">
        <x:v>Eolico onshore</x:v>
      </x:c>
      <x:c r="H25" s="83" t="str">
        <x:v>Wind onshore</x:v>
      </x:c>
      <x:c r="I25" s="83" t="str">
        <x:v>onwind</x:v>
      </x:c>
      <x:c r="J25" s="83" t="str">
        <x:v>Generator</x:v>
      </x:c>
      <x:c r="K25" s="83" t="str">
        <x:v>p_nom</x:v>
      </x:c>
      <x:c r="L25" s="279" t="n">
        <x:v>0.4</x:v>
      </x:c>
      <x:c r="M25" s="279" t="str">
        <x:v>GW</x:v>
      </x:c>
      <x:c r="N25" s="279" t="n">
        <x:f>IF(L25="","",IF(M25="GW",L25*1000,IF(M25="GWh",L25*1000,IF(M25="TWh",L25*1000000,L25))))</x:f>
        <x:v>400</x:v>
      </x:c>
      <x:c r="O25" s="83" t="str">
        <x:f>IF(L25="","",IF(M25="GW","MW",IF(OR(M25="GWh",M25="TWh"),"MWh",M25)))</x:f>
        <x:v>MW</x:v>
      </x:c>
      <x:c r="P25" s="83" t="str"/>
      <x:c r="Q25" s="349"/>
      <x:c r="R25" s="349" t="str">
        <x:f>IF(L25="","",IF(Q25&lt;&gt;"",L25*Q25,IF(OR(ISNUMBER(SEARCH("EUR2025",M25&amp;"")),P25=2025,P25="2025"),L25,"")))</x:f>
      </x:c>
      <x:c r="S25" s="83" t="str">
        <x:v>A — Direct</x:v>
      </x:c>
      <x:c r="T25" s="83" t="str">
        <x:v>Direct zonal capacity; convert GW to MW.</x:v>
      </x:c>
      <x:c r="U25" s="83" t="str">
        <x:v>S09</x:v>
      </x:c>
      <x:c r="V25" s="83" t="str">
        <x:v>DDS Tabella 15 p.61</x:v>
      </x:c>
      <x:c r="W25" s="120"/>
      <x:c r="X25" s="83" t="str">
        <x:v>A - Direct</x:v>
      </x:c>
      <x:c r="Y25" s="83" t="str">
        <x:v>Adopted</x:v>
      </x:c>
      <x:c r="Z25" s="83" t="str">
        <x:v>Ready when profiles/base network are available</x:v>
      </x:c>
      <x:c r="AA25" s="83"/>
    </x:row>
    <x:row r="26">
      <x:c r="A26" s="83" t="str">
        <x:v>S4-00022</x:v>
      </x:c>
      <x:c r="B26" s="83" t="str">
        <x:v>IT2040_BASE_DEIT</x:v>
      </x:c>
      <x:c r="C26" s="83" t="n">
        <x:v>2040</x:v>
      </x:c>
      <x:c r="D26" s="83" t="str">
        <x:v>Generation capacity</x:v>
      </x:c>
      <x:c r="E26" s="83" t="str">
        <x:v>IT_CNOR</x:v>
      </x:c>
      <x:c r="F26" s="83" t="str">
        <x:v>CNOR</x:v>
      </x:c>
      <x:c r="G26" s="83" t="str">
        <x:v>Eolico offshore</x:v>
      </x:c>
      <x:c r="H26" s="83" t="str">
        <x:v>Wind offshore unspecified</x:v>
      </x:c>
      <x:c r="I26" s="83" t="str">
        <x:v>offwind</x:v>
      </x:c>
      <x:c r="J26" s="83" t="str">
        <x:v>Generator</x:v>
      </x:c>
      <x:c r="K26" s="83" t="str">
        <x:v>p_nom</x:v>
      </x:c>
      <x:c r="L26" s="279" t="n">
        <x:v>0.8</x:v>
      </x:c>
      <x:c r="M26" s="279" t="str">
        <x:v>GW</x:v>
      </x:c>
      <x:c r="N26" s="279" t="n">
        <x:f>IF(L26="","",IF(M26="GW",L26*1000,IF(M26="GWh",L26*1000,IF(M26="TWh",L26*1000000,L26))))</x:f>
        <x:v>800</x:v>
      </x:c>
      <x:c r="O26" s="83" t="str">
        <x:f>IF(L26="","",IF(M26="GW","MW",IF(OR(M26="GWh",M26="TWh"),"MWh",M26)))</x:f>
        <x:v>MW</x:v>
      </x:c>
      <x:c r="P26" s="83" t="str"/>
      <x:c r="Q26" s="349"/>
      <x:c r="R26" s="349" t="str">
        <x:f>IF(L26="","",IF(Q26&lt;&gt;"",L26*Q26,IF(OR(ISNUMBER(SEARCH("EUR2025",M26&amp;"")),P26=2025,P26="2025"),L26,"")))</x:f>
      </x:c>
      <x:c r="S26" s="83" t="str">
        <x:v>A — Direct</x:v>
      </x:c>
      <x:c r="T26" s="83" t="str">
        <x:v>Direct zonal capacity; convert GW to MW.</x:v>
      </x:c>
      <x:c r="U26" s="83" t="str">
        <x:v>S09</x:v>
      </x:c>
      <x:c r="V26" s="83" t="str">
        <x:v>DDS Tabella 15 p.61</x:v>
      </x:c>
      <x:c r="W26" s="120"/>
      <x:c r="X26" s="83" t="str">
        <x:v>A - Direct</x:v>
      </x:c>
      <x:c r="Y26" s="83" t="str">
        <x:v>Adopted</x:v>
      </x:c>
      <x:c r="Z26" s="83" t="str">
        <x:v>Ready when profiles/base network are available</x:v>
      </x:c>
      <x:c r="AA26" s="83"/>
    </x:row>
    <x:row r="27">
      <x:c r="A27" s="83" t="str">
        <x:v>S4-00023</x:v>
      </x:c>
      <x:c r="B27" s="83" t="str">
        <x:v>IT2040_BASE_DEIT</x:v>
      </x:c>
      <x:c r="C27" s="83" t="n">
        <x:v>2040</x:v>
      </x:c>
      <x:c r="D27" s="83" t="str">
        <x:v>Generation capacity</x:v>
      </x:c>
      <x:c r="E27" s="83" t="str">
        <x:v>IT_CSUD</x:v>
      </x:c>
      <x:c r="F27" s="83" t="str">
        <x:v>CSUD</x:v>
      </x:c>
      <x:c r="G27" s="83" t="str">
        <x:v>Eolico onshore</x:v>
      </x:c>
      <x:c r="H27" s="83" t="str">
        <x:v>Wind onshore</x:v>
      </x:c>
      <x:c r="I27" s="83" t="str">
        <x:v>onwind</x:v>
      </x:c>
      <x:c r="J27" s="83" t="str">
        <x:v>Generator</x:v>
      </x:c>
      <x:c r="K27" s="83" t="str">
        <x:v>p_nom</x:v>
      </x:c>
      <x:c r="L27" s="279" t="n">
        <x:v>6.8</x:v>
      </x:c>
      <x:c r="M27" s="279" t="str">
        <x:v>GW</x:v>
      </x:c>
      <x:c r="N27" s="279" t="n">
        <x:f>IF(L27="","",IF(M27="GW",L27*1000,IF(M27="GWh",L27*1000,IF(M27="TWh",L27*1000000,L27))))</x:f>
        <x:v>6800</x:v>
      </x:c>
      <x:c r="O27" s="83" t="str">
        <x:f>IF(L27="","",IF(M27="GW","MW",IF(OR(M27="GWh",M27="TWh"),"MWh",M27)))</x:f>
        <x:v>MW</x:v>
      </x:c>
      <x:c r="P27" s="83" t="str"/>
      <x:c r="Q27" s="349"/>
      <x:c r="R27" s="349" t="str">
        <x:f>IF(L27="","",IF(Q27&lt;&gt;"",L27*Q27,IF(OR(ISNUMBER(SEARCH("EUR2025",M27&amp;"")),P27=2025,P27="2025"),L27,"")))</x:f>
      </x:c>
      <x:c r="S27" s="83" t="str">
        <x:v>A — Direct</x:v>
      </x:c>
      <x:c r="T27" s="83" t="str">
        <x:v>Direct zonal capacity; convert GW to MW.</x:v>
      </x:c>
      <x:c r="U27" s="83" t="str">
        <x:v>S09</x:v>
      </x:c>
      <x:c r="V27" s="83" t="str">
        <x:v>DDS Tabella 15 p.61</x:v>
      </x:c>
      <x:c r="W27" s="120"/>
      <x:c r="X27" s="83" t="str">
        <x:v>A - Direct</x:v>
      </x:c>
      <x:c r="Y27" s="83" t="str">
        <x:v>Adopted</x:v>
      </x:c>
      <x:c r="Z27" s="83" t="str">
        <x:v>Ready when profiles/base network are available</x:v>
      </x:c>
      <x:c r="AA27" s="83"/>
    </x:row>
    <x:row r="28">
      <x:c r="A28" s="83" t="str">
        <x:v>S4-00024</x:v>
      </x:c>
      <x:c r="B28" s="83" t="str">
        <x:v>IT2040_BASE_DEIT</x:v>
      </x:c>
      <x:c r="C28" s="83" t="n">
        <x:v>2040</x:v>
      </x:c>
      <x:c r="D28" s="83" t="str">
        <x:v>Generation capacity</x:v>
      </x:c>
      <x:c r="E28" s="83" t="str">
        <x:v>IT_CSUD</x:v>
      </x:c>
      <x:c r="F28" s="83" t="str">
        <x:v>CSUD</x:v>
      </x:c>
      <x:c r="G28" s="83" t="str">
        <x:v>Eolico offshore</x:v>
      </x:c>
      <x:c r="H28" s="83" t="str">
        <x:v>Wind offshore unspecified</x:v>
      </x:c>
      <x:c r="I28" s="83" t="str">
        <x:v>offwind</x:v>
      </x:c>
      <x:c r="J28" s="83" t="str">
        <x:v>Generator</x:v>
      </x:c>
      <x:c r="K28" s="83" t="str">
        <x:v>p_nom</x:v>
      </x:c>
      <x:c r="L28" s="279" t="n">
        <x:v>1.6</x:v>
      </x:c>
      <x:c r="M28" s="279" t="str">
        <x:v>GW</x:v>
      </x:c>
      <x:c r="N28" s="279" t="n">
        <x:f>IF(L28="","",IF(M28="GW",L28*1000,IF(M28="GWh",L28*1000,IF(M28="TWh",L28*1000000,L28))))</x:f>
        <x:v>1600</x:v>
      </x:c>
      <x:c r="O28" s="83" t="str">
        <x:f>IF(L28="","",IF(M28="GW","MW",IF(OR(M28="GWh",M28="TWh"),"MWh",M28)))</x:f>
        <x:v>MW</x:v>
      </x:c>
      <x:c r="P28" s="83" t="str"/>
      <x:c r="Q28" s="349"/>
      <x:c r="R28" s="349" t="str">
        <x:f>IF(L28="","",IF(Q28&lt;&gt;"",L28*Q28,IF(OR(ISNUMBER(SEARCH("EUR2025",M28&amp;"")),P28=2025,P28="2025"),L28,"")))</x:f>
      </x:c>
      <x:c r="S28" s="83" t="str">
        <x:v>A — Direct</x:v>
      </x:c>
      <x:c r="T28" s="83" t="str">
        <x:v>Direct zonal capacity; convert GW to MW.</x:v>
      </x:c>
      <x:c r="U28" s="83" t="str">
        <x:v>S09</x:v>
      </x:c>
      <x:c r="V28" s="83" t="str">
        <x:v>DDS Tabella 15 p.61</x:v>
      </x:c>
      <x:c r="W28" s="120"/>
      <x:c r="X28" s="83" t="str">
        <x:v>A - Direct</x:v>
      </x:c>
      <x:c r="Y28" s="83" t="str">
        <x:v>Adopted</x:v>
      </x:c>
      <x:c r="Z28" s="83" t="str">
        <x:v>Ready when profiles/base network are available</x:v>
      </x:c>
      <x:c r="AA28" s="83"/>
    </x:row>
    <x:row r="29">
      <x:c r="A29" s="83" t="str">
        <x:v>S4-00025</x:v>
      </x:c>
      <x:c r="B29" s="83" t="str">
        <x:v>IT2040_BASE_DEIT</x:v>
      </x:c>
      <x:c r="C29" s="83" t="n">
        <x:v>2040</x:v>
      </x:c>
      <x:c r="D29" s="83" t="str">
        <x:v>Generation capacity</x:v>
      </x:c>
      <x:c r="E29" s="83" t="str">
        <x:v>IT_SUD</x:v>
      </x:c>
      <x:c r="F29" s="83" t="str">
        <x:v>SUD</x:v>
      </x:c>
      <x:c r="G29" s="83" t="str">
        <x:v>Eolico onshore</x:v>
      </x:c>
      <x:c r="H29" s="83" t="str">
        <x:v>Wind onshore</x:v>
      </x:c>
      <x:c r="I29" s="83" t="str">
        <x:v>onwind</x:v>
      </x:c>
      <x:c r="J29" s="83" t="str">
        <x:v>Generator</x:v>
      </x:c>
      <x:c r="K29" s="83" t="str">
        <x:v>p_nom</x:v>
      </x:c>
      <x:c r="L29" s="279" t="n">
        <x:v>13.2</x:v>
      </x:c>
      <x:c r="M29" s="279" t="str">
        <x:v>GW</x:v>
      </x:c>
      <x:c r="N29" s="279" t="n">
        <x:f>IF(L29="","",IF(M29="GW",L29*1000,IF(M29="GWh",L29*1000,IF(M29="TWh",L29*1000000,L29))))</x:f>
        <x:v>13200</x:v>
      </x:c>
      <x:c r="O29" s="83" t="str">
        <x:f>IF(L29="","",IF(M29="GW","MW",IF(OR(M29="GWh",M29="TWh"),"MWh",M29)))</x:f>
        <x:v>MW</x:v>
      </x:c>
      <x:c r="P29" s="83" t="str"/>
      <x:c r="Q29" s="349"/>
      <x:c r="R29" s="349" t="str">
        <x:f>IF(L29="","",IF(Q29&lt;&gt;"",L29*Q29,IF(OR(ISNUMBER(SEARCH("EUR2025",M29&amp;"")),P29=2025,P29="2025"),L29,"")))</x:f>
      </x:c>
      <x:c r="S29" s="83" t="str">
        <x:v>A — Direct</x:v>
      </x:c>
      <x:c r="T29" s="83" t="str">
        <x:v>Direct zonal capacity; convert GW to MW.</x:v>
      </x:c>
      <x:c r="U29" s="83" t="str">
        <x:v>S09</x:v>
      </x:c>
      <x:c r="V29" s="83" t="str">
        <x:v>DDS Tabella 15 p.61</x:v>
      </x:c>
      <x:c r="W29" s="120"/>
      <x:c r="X29" s="83" t="str">
        <x:v>A - Direct</x:v>
      </x:c>
      <x:c r="Y29" s="83" t="str">
        <x:v>Adopted</x:v>
      </x:c>
      <x:c r="Z29" s="83" t="str">
        <x:v>Ready when profiles/base network are available</x:v>
      </x:c>
      <x:c r="AA29" s="83"/>
    </x:row>
    <x:row r="30">
      <x:c r="A30" s="83" t="str">
        <x:v>S4-00026</x:v>
      </x:c>
      <x:c r="B30" s="83" t="str">
        <x:v>IT2040_BASE_DEIT</x:v>
      </x:c>
      <x:c r="C30" s="83" t="n">
        <x:v>2040</x:v>
      </x:c>
      <x:c r="D30" s="83" t="str">
        <x:v>Generation capacity</x:v>
      </x:c>
      <x:c r="E30" s="83" t="str">
        <x:v>IT_SUD</x:v>
      </x:c>
      <x:c r="F30" s="83" t="str">
        <x:v>SUD</x:v>
      </x:c>
      <x:c r="G30" s="83" t="str">
        <x:v>Eolico offshore</x:v>
      </x:c>
      <x:c r="H30" s="83" t="str">
        <x:v>Wind offshore unspecified</x:v>
      </x:c>
      <x:c r="I30" s="83" t="str">
        <x:v>offwind</x:v>
      </x:c>
      <x:c r="J30" s="83" t="str">
        <x:v>Generator</x:v>
      </x:c>
      <x:c r="K30" s="83" t="str">
        <x:v>p_nom</x:v>
      </x:c>
      <x:c r="L30" s="279" t="n">
        <x:v>4.7</x:v>
      </x:c>
      <x:c r="M30" s="279" t="str">
        <x:v>GW</x:v>
      </x:c>
      <x:c r="N30" s="279" t="n">
        <x:f>IF(L30="","",IF(M30="GW",L30*1000,IF(M30="GWh",L30*1000,IF(M30="TWh",L30*1000000,L30))))</x:f>
        <x:v>4700</x:v>
      </x:c>
      <x:c r="O30" s="83" t="str">
        <x:f>IF(L30="","",IF(M30="GW","MW",IF(OR(M30="GWh",M30="TWh"),"MWh",M30)))</x:f>
        <x:v>MW</x:v>
      </x:c>
      <x:c r="P30" s="83" t="str"/>
      <x:c r="Q30" s="349"/>
      <x:c r="R30" s="349" t="str">
        <x:f>IF(L30="","",IF(Q30&lt;&gt;"",L30*Q30,IF(OR(ISNUMBER(SEARCH("EUR2025",M30&amp;"")),P30=2025,P30="2025"),L30,"")))</x:f>
      </x:c>
      <x:c r="S30" s="83" t="str">
        <x:v>A — Direct</x:v>
      </x:c>
      <x:c r="T30" s="83" t="str">
        <x:v>Direct zonal capacity; convert GW to MW.</x:v>
      </x:c>
      <x:c r="U30" s="83" t="str">
        <x:v>S09</x:v>
      </x:c>
      <x:c r="V30" s="83" t="str">
        <x:v>DDS Tabella 15 p.61</x:v>
      </x:c>
      <x:c r="W30" s="120"/>
      <x:c r="X30" s="83" t="str">
        <x:v>A - Direct</x:v>
      </x:c>
      <x:c r="Y30" s="83" t="str">
        <x:v>Adopted</x:v>
      </x:c>
      <x:c r="Z30" s="83" t="str">
        <x:v>Ready when profiles/base network are available</x:v>
      </x:c>
      <x:c r="AA30" s="83"/>
    </x:row>
    <x:row r="31">
      <x:c r="A31" s="83" t="str">
        <x:v>S4-00027</x:v>
      </x:c>
      <x:c r="B31" s="83" t="str">
        <x:v>IT2040_BASE_DEIT</x:v>
      </x:c>
      <x:c r="C31" s="83" t="n">
        <x:v>2040</x:v>
      </x:c>
      <x:c r="D31" s="83" t="str">
        <x:v>Generation capacity</x:v>
      </x:c>
      <x:c r="E31" s="83" t="str">
        <x:v>IT_CALA</x:v>
      </x:c>
      <x:c r="F31" s="83" t="str">
        <x:v>CALA</x:v>
      </x:c>
      <x:c r="G31" s="83" t="str">
        <x:v>Eolico onshore</x:v>
      </x:c>
      <x:c r="H31" s="83" t="str">
        <x:v>Wind onshore</x:v>
      </x:c>
      <x:c r="I31" s="83" t="str">
        <x:v>onwind</x:v>
      </x:c>
      <x:c r="J31" s="83" t="str">
        <x:v>Generator</x:v>
      </x:c>
      <x:c r="K31" s="83" t="str">
        <x:v>p_nom</x:v>
      </x:c>
      <x:c r="L31" s="279" t="n">
        <x:v>3.3</x:v>
      </x:c>
      <x:c r="M31" s="279" t="str">
        <x:v>GW</x:v>
      </x:c>
      <x:c r="N31" s="279" t="n">
        <x:f>IF(L31="","",IF(M31="GW",L31*1000,IF(M31="GWh",L31*1000,IF(M31="TWh",L31*1000000,L31))))</x:f>
        <x:v>3300</x:v>
      </x:c>
      <x:c r="O31" s="83" t="str">
        <x:f>IF(L31="","",IF(M31="GW","MW",IF(OR(M31="GWh",M31="TWh"),"MWh",M31)))</x:f>
        <x:v>MW</x:v>
      </x:c>
      <x:c r="P31" s="83" t="str"/>
      <x:c r="Q31" s="349"/>
      <x:c r="R31" s="349" t="str">
        <x:f>IF(L31="","",IF(Q31&lt;&gt;"",L31*Q31,IF(OR(ISNUMBER(SEARCH("EUR2025",M31&amp;"")),P31=2025,P31="2025"),L31,"")))</x:f>
      </x:c>
      <x:c r="S31" s="83" t="str">
        <x:v>A — Direct</x:v>
      </x:c>
      <x:c r="T31" s="83" t="str">
        <x:v>Direct zonal capacity; convert GW to MW.</x:v>
      </x:c>
      <x:c r="U31" s="83" t="str">
        <x:v>S09</x:v>
      </x:c>
      <x:c r="V31" s="83" t="str">
        <x:v>DDS Tabella 15 p.61</x:v>
      </x:c>
      <x:c r="W31" s="120"/>
      <x:c r="X31" s="83" t="str">
        <x:v>A - Direct</x:v>
      </x:c>
      <x:c r="Y31" s="83" t="str">
        <x:v>Adopted</x:v>
      </x:c>
      <x:c r="Z31" s="83" t="str">
        <x:v>Ready when profiles/base network are available</x:v>
      </x:c>
      <x:c r="AA31" s="83"/>
    </x:row>
    <x:row r="32">
      <x:c r="A32" s="83" t="str">
        <x:v>S4-00028</x:v>
      </x:c>
      <x:c r="B32" s="83" t="str">
        <x:v>IT2040_BASE_DEIT</x:v>
      </x:c>
      <x:c r="C32" s="83" t="n">
        <x:v>2040</x:v>
      </x:c>
      <x:c r="D32" s="83" t="str">
        <x:v>Generation capacity</x:v>
      </x:c>
      <x:c r="E32" s="83" t="str">
        <x:v>IT_CALA</x:v>
      </x:c>
      <x:c r="F32" s="83" t="str">
        <x:v>CALA</x:v>
      </x:c>
      <x:c r="G32" s="83" t="str">
        <x:v>Eolico offshore</x:v>
      </x:c>
      <x:c r="H32" s="83" t="str">
        <x:v>Wind offshore unspecified</x:v>
      </x:c>
      <x:c r="I32" s="83" t="str">
        <x:v>offwind</x:v>
      </x:c>
      <x:c r="J32" s="83" t="str">
        <x:v>Generator</x:v>
      </x:c>
      <x:c r="K32" s="83" t="str">
        <x:v>p_nom</x:v>
      </x:c>
      <x:c r="L32" s="279" t="n">
        <x:v>0.6</x:v>
      </x:c>
      <x:c r="M32" s="279" t="str">
        <x:v>GW</x:v>
      </x:c>
      <x:c r="N32" s="279" t="n">
        <x:f>IF(L32="","",IF(M32="GW",L32*1000,IF(M32="GWh",L32*1000,IF(M32="TWh",L32*1000000,L32))))</x:f>
        <x:v>600</x:v>
      </x:c>
      <x:c r="O32" s="83" t="str">
        <x:f>IF(L32="","",IF(M32="GW","MW",IF(OR(M32="GWh",M32="TWh"),"MWh",M32)))</x:f>
        <x:v>MW</x:v>
      </x:c>
      <x:c r="P32" s="83" t="str"/>
      <x:c r="Q32" s="349"/>
      <x:c r="R32" s="349" t="str">
        <x:f>IF(L32="","",IF(Q32&lt;&gt;"",L32*Q32,IF(OR(ISNUMBER(SEARCH("EUR2025",M32&amp;"")),P32=2025,P32="2025"),L32,"")))</x:f>
      </x:c>
      <x:c r="S32" s="83" t="str">
        <x:v>A — Direct</x:v>
      </x:c>
      <x:c r="T32" s="83" t="str">
        <x:v>Direct zonal capacity; convert GW to MW.</x:v>
      </x:c>
      <x:c r="U32" s="83" t="str">
        <x:v>S09</x:v>
      </x:c>
      <x:c r="V32" s="83" t="str">
        <x:v>DDS Tabella 15 p.61</x:v>
      </x:c>
      <x:c r="W32" s="120"/>
      <x:c r="X32" s="83" t="str">
        <x:v>A - Direct</x:v>
      </x:c>
      <x:c r="Y32" s="83" t="str">
        <x:v>Adopted</x:v>
      </x:c>
      <x:c r="Z32" s="83" t="str">
        <x:v>Ready when profiles/base network are available</x:v>
      </x:c>
      <x:c r="AA32" s="83"/>
    </x:row>
    <x:row r="33">
      <x:c r="A33" s="83" t="str">
        <x:v>S4-00029</x:v>
      </x:c>
      <x:c r="B33" s="83" t="str">
        <x:v>IT2040_BASE_DEIT</x:v>
      </x:c>
      <x:c r="C33" s="83" t="n">
        <x:v>2040</x:v>
      </x:c>
      <x:c r="D33" s="83" t="str">
        <x:v>Generation capacity</x:v>
      </x:c>
      <x:c r="E33" s="83" t="str">
        <x:v>IT_SICI</x:v>
      </x:c>
      <x:c r="F33" s="83" t="str">
        <x:v>SICI</x:v>
      </x:c>
      <x:c r="G33" s="83" t="str">
        <x:v>Eolico onshore</x:v>
      </x:c>
      <x:c r="H33" s="83" t="str">
        <x:v>Wind onshore</x:v>
      </x:c>
      <x:c r="I33" s="83" t="str">
        <x:v>onwind</x:v>
      </x:c>
      <x:c r="J33" s="83" t="str">
        <x:v>Generator</x:v>
      </x:c>
      <x:c r="K33" s="83" t="str">
        <x:v>p_nom</x:v>
      </x:c>
      <x:c r="L33" s="279" t="n">
        <x:v>6.3</x:v>
      </x:c>
      <x:c r="M33" s="279" t="str">
        <x:v>GW</x:v>
      </x:c>
      <x:c r="N33" s="279" t="n">
        <x:f>IF(L33="","",IF(M33="GW",L33*1000,IF(M33="GWh",L33*1000,IF(M33="TWh",L33*1000000,L33))))</x:f>
        <x:v>6300</x:v>
      </x:c>
      <x:c r="O33" s="83" t="str">
        <x:f>IF(L33="","",IF(M33="GW","MW",IF(OR(M33="GWh",M33="TWh"),"MWh",M33)))</x:f>
        <x:v>MW</x:v>
      </x:c>
      <x:c r="P33" s="83" t="str"/>
      <x:c r="Q33" s="349"/>
      <x:c r="R33" s="349" t="str">
        <x:f>IF(L33="","",IF(Q33&lt;&gt;"",L33*Q33,IF(OR(ISNUMBER(SEARCH("EUR2025",M33&amp;"")),P33=2025,P33="2025"),L33,"")))</x:f>
      </x:c>
      <x:c r="S33" s="83" t="str">
        <x:v>A — Direct</x:v>
      </x:c>
      <x:c r="T33" s="83" t="str">
        <x:v>Direct zonal capacity; convert GW to MW.</x:v>
      </x:c>
      <x:c r="U33" s="83" t="str">
        <x:v>S09</x:v>
      </x:c>
      <x:c r="V33" s="83" t="str">
        <x:v>DDS Tabella 15 p.61</x:v>
      </x:c>
      <x:c r="W33" s="120"/>
      <x:c r="X33" s="83" t="str">
        <x:v>A - Direct</x:v>
      </x:c>
      <x:c r="Y33" s="83" t="str">
        <x:v>Adopted</x:v>
      </x:c>
      <x:c r="Z33" s="83" t="str">
        <x:v>Ready when profiles/base network are available</x:v>
      </x:c>
      <x:c r="AA33" s="83"/>
    </x:row>
    <x:row r="34">
      <x:c r="A34" s="83" t="str">
        <x:v>S4-00030</x:v>
      </x:c>
      <x:c r="B34" s="83" t="str">
        <x:v>IT2040_BASE_DEIT</x:v>
      </x:c>
      <x:c r="C34" s="83" t="n">
        <x:v>2040</x:v>
      </x:c>
      <x:c r="D34" s="83" t="str">
        <x:v>Generation capacity</x:v>
      </x:c>
      <x:c r="E34" s="83" t="str">
        <x:v>IT_SICI</x:v>
      </x:c>
      <x:c r="F34" s="83" t="str">
        <x:v>SICI</x:v>
      </x:c>
      <x:c r="G34" s="83" t="str">
        <x:v>Eolico offshore</x:v>
      </x:c>
      <x:c r="H34" s="83" t="str">
        <x:v>Wind offshore unspecified</x:v>
      </x:c>
      <x:c r="I34" s="83" t="str">
        <x:v>offwind</x:v>
      </x:c>
      <x:c r="J34" s="83" t="str">
        <x:v>Generator</x:v>
      </x:c>
      <x:c r="K34" s="83" t="str">
        <x:v>p_nom</x:v>
      </x:c>
      <x:c r="L34" s="279" t="n">
        <x:v>3</x:v>
      </x:c>
      <x:c r="M34" s="279" t="str">
        <x:v>GW</x:v>
      </x:c>
      <x:c r="N34" s="279" t="n">
        <x:f>IF(L34="","",IF(M34="GW",L34*1000,IF(M34="GWh",L34*1000,IF(M34="TWh",L34*1000000,L34))))</x:f>
        <x:v>3000</x:v>
      </x:c>
      <x:c r="O34" s="83" t="str">
        <x:f>IF(L34="","",IF(M34="GW","MW",IF(OR(M34="GWh",M34="TWh"),"MWh",M34)))</x:f>
        <x:v>MW</x:v>
      </x:c>
      <x:c r="P34" s="83" t="str"/>
      <x:c r="Q34" s="349"/>
      <x:c r="R34" s="349" t="str">
        <x:f>IF(L34="","",IF(Q34&lt;&gt;"",L34*Q34,IF(OR(ISNUMBER(SEARCH("EUR2025",M34&amp;"")),P34=2025,P34="2025"),L34,"")))</x:f>
      </x:c>
      <x:c r="S34" s="83" t="str">
        <x:v>A — Direct</x:v>
      </x:c>
      <x:c r="T34" s="83" t="str">
        <x:v>Direct zonal capacity; convert GW to MW.</x:v>
      </x:c>
      <x:c r="U34" s="83" t="str">
        <x:v>S09</x:v>
      </x:c>
      <x:c r="V34" s="83" t="str">
        <x:v>DDS Tabella 15 p.61</x:v>
      </x:c>
      <x:c r="W34" s="120"/>
      <x:c r="X34" s="83" t="str">
        <x:v>A - Direct</x:v>
      </x:c>
      <x:c r="Y34" s="83" t="str">
        <x:v>Adopted</x:v>
      </x:c>
      <x:c r="Z34" s="83" t="str">
        <x:v>Ready when profiles/base network are available</x:v>
      </x:c>
      <x:c r="AA34" s="83"/>
    </x:row>
    <x:row r="35">
      <x:c r="A35" s="83" t="str">
        <x:v>S4-00031</x:v>
      </x:c>
      <x:c r="B35" s="83" t="str">
        <x:v>IT2040_BASE_DEIT</x:v>
      </x:c>
      <x:c r="C35" s="83" t="n">
        <x:v>2040</x:v>
      </x:c>
      <x:c r="D35" s="83" t="str">
        <x:v>Generation capacity</x:v>
      </x:c>
      <x:c r="E35" s="83" t="str">
        <x:v>IT_SARD</x:v>
      </x:c>
      <x:c r="F35" s="83" t="str">
        <x:v>SARD</x:v>
      </x:c>
      <x:c r="G35" s="83" t="str">
        <x:v>Eolico onshore</x:v>
      </x:c>
      <x:c r="H35" s="83" t="str">
        <x:v>Wind onshore</x:v>
      </x:c>
      <x:c r="I35" s="83" t="str">
        <x:v>onwind</x:v>
      </x:c>
      <x:c r="J35" s="83" t="str">
        <x:v>Generator</x:v>
      </x:c>
      <x:c r="K35" s="83" t="str">
        <x:v>p_nom</x:v>
      </x:c>
      <x:c r="L35" s="279" t="n">
        <x:v>3.5</x:v>
      </x:c>
      <x:c r="M35" s="279" t="str">
        <x:v>GW</x:v>
      </x:c>
      <x:c r="N35" s="279" t="n">
        <x:f>IF(L35="","",IF(M35="GW",L35*1000,IF(M35="GWh",L35*1000,IF(M35="TWh",L35*1000000,L35))))</x:f>
        <x:v>3500</x:v>
      </x:c>
      <x:c r="O35" s="83" t="str">
        <x:f>IF(L35="","",IF(M35="GW","MW",IF(OR(M35="GWh",M35="TWh"),"MWh",M35)))</x:f>
        <x:v>MW</x:v>
      </x:c>
      <x:c r="P35" s="83" t="str"/>
      <x:c r="Q35" s="349"/>
      <x:c r="R35" s="349" t="str">
        <x:f>IF(L35="","",IF(Q35&lt;&gt;"",L35*Q35,IF(OR(ISNUMBER(SEARCH("EUR2025",M35&amp;"")),P35=2025,P35="2025"),L35,"")))</x:f>
      </x:c>
      <x:c r="S35" s="83" t="str">
        <x:v>A — Direct</x:v>
      </x:c>
      <x:c r="T35" s="83" t="str">
        <x:v>Direct zonal capacity; convert GW to MW.</x:v>
      </x:c>
      <x:c r="U35" s="83" t="str">
        <x:v>S09</x:v>
      </x:c>
      <x:c r="V35" s="83" t="str">
        <x:v>DDS Tabella 15 p.61</x:v>
      </x:c>
      <x:c r="W35" s="120"/>
      <x:c r="X35" s="83" t="str">
        <x:v>A - Direct</x:v>
      </x:c>
      <x:c r="Y35" s="83" t="str">
        <x:v>Adopted</x:v>
      </x:c>
      <x:c r="Z35" s="83" t="str">
        <x:v>Ready when profiles/base network are available</x:v>
      </x:c>
      <x:c r="AA35" s="83"/>
    </x:row>
    <x:row r="36">
      <x:c r="A36" s="83" t="str">
        <x:v>S4-00032</x:v>
      </x:c>
      <x:c r="B36" s="83" t="str">
        <x:v>IT2040_BASE_DEIT</x:v>
      </x:c>
      <x:c r="C36" s="83" t="n">
        <x:v>2040</x:v>
      </x:c>
      <x:c r="D36" s="83" t="str">
        <x:v>Generation capacity</x:v>
      </x:c>
      <x:c r="E36" s="83" t="str">
        <x:v>IT_SARD</x:v>
      </x:c>
      <x:c r="F36" s="83" t="str">
        <x:v>SARD</x:v>
      </x:c>
      <x:c r="G36" s="83" t="str">
        <x:v>Eolico offshore</x:v>
      </x:c>
      <x:c r="H36" s="83" t="str">
        <x:v>Wind offshore unspecified</x:v>
      </x:c>
      <x:c r="I36" s="83" t="str">
        <x:v>offwind</x:v>
      </x:c>
      <x:c r="J36" s="83" t="str">
        <x:v>Generator</x:v>
      </x:c>
      <x:c r="K36" s="83" t="str">
        <x:v>p_nom</x:v>
      </x:c>
      <x:c r="L36" s="279" t="n">
        <x:v>3</x:v>
      </x:c>
      <x:c r="M36" s="279" t="str">
        <x:v>GW</x:v>
      </x:c>
      <x:c r="N36" s="279" t="n">
        <x:f>IF(L36="","",IF(M36="GW",L36*1000,IF(M36="GWh",L36*1000,IF(M36="TWh",L36*1000000,L36))))</x:f>
        <x:v>3000</x:v>
      </x:c>
      <x:c r="O36" s="83" t="str">
        <x:f>IF(L36="","",IF(M36="GW","MW",IF(OR(M36="GWh",M36="TWh"),"MWh",M36)))</x:f>
        <x:v>MW</x:v>
      </x:c>
      <x:c r="P36" s="83" t="str"/>
      <x:c r="Q36" s="349"/>
      <x:c r="R36" s="349" t="str">
        <x:f>IF(L36="","",IF(Q36&lt;&gt;"",L36*Q36,IF(OR(ISNUMBER(SEARCH("EUR2025",M36&amp;"")),P36=2025,P36="2025"),L36,"")))</x:f>
      </x:c>
      <x:c r="S36" s="83" t="str">
        <x:v>A — Direct</x:v>
      </x:c>
      <x:c r="T36" s="83" t="str">
        <x:v>Direct zonal capacity; convert GW to MW.</x:v>
      </x:c>
      <x:c r="U36" s="83" t="str">
        <x:v>S09</x:v>
      </x:c>
      <x:c r="V36" s="83" t="str">
        <x:v>DDS Tabella 15 p.61</x:v>
      </x:c>
      <x:c r="W36" s="120"/>
      <x:c r="X36" s="83" t="str">
        <x:v>A - Direct</x:v>
      </x:c>
      <x:c r="Y36" s="83" t="str">
        <x:v>Adopted</x:v>
      </x:c>
      <x:c r="Z36" s="83" t="str">
        <x:v>Ready when profiles/base network are available</x:v>
      </x:c>
      <x:c r="AA36" s="83"/>
    </x:row>
    <x:row r="37">
      <x:c r="A37" s="83" t="str">
        <x:v>S4-00033</x:v>
      </x:c>
      <x:c r="B37" s="83" t="str">
        <x:v>IT2040_BASE_DEIT</x:v>
      </x:c>
      <x:c r="C37" s="83" t="n">
        <x:v>2040</x:v>
      </x:c>
      <x:c r="D37" s="83" t="str">
        <x:v>Generation capacity</x:v>
      </x:c>
      <x:c r="E37" s="83" t="str">
        <x:v>Italy</x:v>
      </x:c>
      <x:c r="F37" s="83"/>
      <x:c r="G37" s="83" t="str">
        <x:v>Parco termoelettrico aggregato</x:v>
      </x:c>
      <x:c r="H37" s="83" t="str">
        <x:v>Thermal fleet envelope</x:v>
      </x:c>
      <x:c r="I37" s="83" t="str">
        <x:v>thermal</x:v>
      </x:c>
      <x:c r="J37" s="83" t="str">
        <x:v>Generator portfolio</x:v>
      </x:c>
      <x:c r="K37" s="83" t="str">
        <x:v>sum p_nom</x:v>
      </x:c>
      <x:c r="L37" s="279" t="n">
        <x:v>55</x:v>
      </x:c>
      <x:c r="M37" s="279" t="str">
        <x:v>GW</x:v>
      </x:c>
      <x:c r="N37" s="279" t="n">
        <x:f>IF(L37="","",IF(M37="GW",L37*1000,IF(M37="GWh",L37*1000,IF(M37="TWh",L37*1000000,L37))))</x:f>
        <x:v>55000</x:v>
      </x:c>
      <x:c r="O37" s="83" t="str">
        <x:f>IF(L37="","",IF(M37="GW","MW",IF(OR(M37="GWh",M37="TWh"),"MWh",M37)))</x:f>
        <x:v>MW</x:v>
      </x:c>
      <x:c r="P37" s="83" t="str"/>
      <x:c r="Q37" s="349"/>
      <x:c r="R37" s="349" t="str">
        <x:f>IF(L37="","",IF(Q37&lt;&gt;"",L37*Q37,IF(OR(ISNUMBER(SEARCH("EUR2025",M37&amp;"")),P37=2025,P37="2025"),L37,"")))</x:f>
      </x:c>
      <x:c r="S37" s="83" t="str">
        <x:v>A — Direct approximate</x:v>
      </x:c>
      <x:c r="T37" s="83" t="str">
        <x:v>Use as national reconciliation ceiling; allocate to plant/cohort fleet from PyPSA-Eur/Gaudì. Do not create one generic generator.</x:v>
      </x:c>
      <x:c r="U37" s="83" t="str">
        <x:v>S09</x:v>
      </x:c>
      <x:c r="V37" s="83" t="str">
        <x:v>DDS national capacity figure</x:v>
      </x:c>
      <x:c r="W37" s="120"/>
      <x:c r="X37" s="83" t="str">
        <x:v>B — approximate</x:v>
      </x:c>
      <x:c r="Y37" s="83" t="str">
        <x:v>Control envelope</x:v>
      </x:c>
      <x:c r="Z37" s="83" t="str">
        <x:v>Blocked until plant/cohort mapping</x:v>
      </x:c>
      <x:c r="AA37" s="83" t="str">
        <x:v>Gas/other thermal composition is not supplied at model-ready granularity.</x:v>
      </x:c>
    </x:row>
    <x:row r="38">
      <x:c r="A38" s="83" t="str">
        <x:v>S4-00034</x:v>
      </x:c>
      <x:c r="B38" s="83" t="str">
        <x:v>IT2040_BASE_DEIT</x:v>
      </x:c>
      <x:c r="C38" s="83" t="n">
        <x:v>2040</x:v>
      </x:c>
      <x:c r="D38" s="83" t="str">
        <x:v>Hydro</x:v>
      </x:c>
      <x:c r="E38" s="83" t="str">
        <x:v>Italy</x:v>
      </x:c>
      <x:c r="F38" s="83"/>
      <x:c r="G38" s="83" t="str">
        <x:v>Produzione idroelettrica</x:v>
      </x:c>
      <x:c r="H38" s="83" t="str">
        <x:v>Hydro annual generation target</x:v>
      </x:c>
      <x:c r="I38" s="83" t="str">
        <x:v>hydro</x:v>
      </x:c>
      <x:c r="J38" s="83" t="str">
        <x:v>Generator/StorageUnit QA</x:v>
      </x:c>
      <x:c r="K38" s="83" t="str">
        <x:v>annual generation</x:v>
      </x:c>
      <x:c r="L38" s="279" t="n">
        <x:v>46</x:v>
      </x:c>
      <x:c r="M38" s="279" t="str">
        <x:v>TWh</x:v>
      </x:c>
      <x:c r="N38" s="279" t="n">
        <x:f>IF(L38="","",IF(M38="GW",L38*1000,IF(M38="GWh",L38*1000,IF(M38="TWh",L38*1000000,L38))))</x:f>
        <x:v>46000000</x:v>
      </x:c>
      <x:c r="O38" s="83" t="str">
        <x:f>IF(L38="","",IF(M38="GW","MW",IF(OR(M38="GWh",M38="TWh"),"MWh",M38)))</x:f>
        <x:v>MWh</x:v>
      </x:c>
      <x:c r="P38" s="83" t="str"/>
      <x:c r="Q38" s="349"/>
      <x:c r="R38" s="349" t="str">
        <x:f>IF(L38="","",IF(Q38&lt;&gt;"",L38*Q38,IF(OR(ISNUMBER(SEARCH("EUR2025",M38&amp;"")),P38=2025,P38="2025"),L38,"")))</x:f>
      </x:c>
      <x:c r="S38" s="83" t="str">
        <x:v>A — Direct</x:v>
      </x:c>
      <x:c r="T38" s="83" t="str">
        <x:v>Retain PyPSA-Eur hydro assets and inflow shapes; scale annual inflows/output to 46 TWh while preserving chronology.</x:v>
      </x:c>
      <x:c r="U38" s="83" t="str">
        <x:v>S09</x:v>
      </x:c>
      <x:c r="V38" s="83" t="str">
        <x:v>DDS Table 18</x:v>
      </x:c>
      <x:c r="W38" s="120"/>
      <x:c r="X38" s="83" t="str">
        <x:v>A — Direct</x:v>
      </x:c>
      <x:c r="Y38" s="83" t="str">
        <x:v>Adopted QA target</x:v>
      </x:c>
      <x:c r="Z38" s="83" t="str">
        <x:v>Conditional on external hydro time series</x:v>
      </x:c>
      <x:c r="AA38" s="83"/>
    </x:row>
    <x:row r="39">
      <x:c r="A39" s="83" t="str">
        <x:v>S4-00035</x:v>
      </x:c>
      <x:c r="B39" s="83" t="str">
        <x:v>IT2040_BASE_DEIT</x:v>
      </x:c>
      <x:c r="C39" s="83" t="n">
        <x:v>2040</x:v>
      </x:c>
      <x:c r="D39" s="83" t="str">
        <x:v>Storage</x:v>
      </x:c>
      <x:c r="E39" s="83" t="str">
        <x:v>IT_NORD</x:v>
      </x:c>
      <x:c r="F39" s="83" t="str">
        <x:v>NORD</x:v>
      </x:c>
      <x:c r="G39" s="83" t="str">
        <x:v>Small Scale</x:v>
      </x:c>
      <x:c r="H39" s="83" t="str">
        <x:v>Small-scale 2h</x:v>
      </x:c>
      <x:c r="I39" s="83" t="str">
        <x:v>battery</x:v>
      </x:c>
      <x:c r="J39" s="83" t="str">
        <x:v>Store + Links</x:v>
      </x:c>
      <x:c r="K39" s="83" t="str">
        <x:v>e_nom</x:v>
      </x:c>
      <x:c r="L39" s="279" t="n">
        <x:v>7.6</x:v>
      </x:c>
      <x:c r="M39" s="279" t="str">
        <x:v>GWh</x:v>
      </x:c>
      <x:c r="N39" s="279" t="n">
        <x:f>IF(L39="","",IF(M39="GW",L39*1000,IF(M39="GWh",L39*1000,IF(M39="TWh",L39*1000000,L39))))</x:f>
        <x:v>7600</x:v>
      </x:c>
      <x:c r="O39" s="83" t="str">
        <x:f>IF(L39="","",IF(M39="GW","MW",IF(OR(M39="GWh",M39="TWh"),"MWh",M39)))</x:f>
        <x:v>MWh</x:v>
      </x:c>
      <x:c r="P39" s="83" t="str"/>
      <x:c r="Q39" s="349"/>
      <x:c r="R39" s="349" t="str">
        <x:f>IF(L39="","",IF(Q39&lt;&gt;"",L39*Q39,IF(OR(ISNUMBER(SEARCH("EUR2025",M39&amp;"")),P39=2025,P39="2025"),L39,"")))</x:f>
      </x:c>
      <x:c r="S39" s="83" t="str">
        <x:v>C — Distributed assumption</x:v>
      </x:c>
      <x:c r="T39" s="83" t="str">
        <x:v>Split direct zonal energy 67%/33% between 2h/4h classes; p_nom=e_nom/2.</x:v>
      </x:c>
      <x:c r="U39" s="83" t="str">
        <x:v>S09 / S01</x:v>
      </x:c>
      <x:c r="V39" s="83" t="str">
        <x:v>DDS Table 16; 2025 observed portfolio duration</x:v>
      </x:c>
      <x:c r="W39" s="120"/>
      <x:c r="X39" s="83" t="str">
        <x:v>C — Assumed split</x:v>
      </x:c>
      <x:c r="Y39" s="83" t="str">
        <x:v>Proposed</x:v>
      </x:c>
      <x:c r="Z39" s="83" t="str">
        <x:v>Ready after user approval</x:v>
      </x:c>
      <x:c r="AA39" s="83" t="str">
        <x:v>Duration 2h; share derived from observed aggregate duration near 2.4h.</x:v>
      </x:c>
    </x:row>
    <x:row r="40">
      <x:c r="A40" s="83" t="str">
        <x:v>S4-00036</x:v>
      </x:c>
      <x:c r="B40" s="83" t="str">
        <x:v>IT2040_BASE_DEIT</x:v>
      </x:c>
      <x:c r="C40" s="83" t="n">
        <x:v>2040</x:v>
      </x:c>
      <x:c r="D40" s="83" t="str">
        <x:v>Storage power</x:v>
      </x:c>
      <x:c r="E40" s="83" t="str">
        <x:v>IT_NORD</x:v>
      </x:c>
      <x:c r="F40" s="83" t="str">
        <x:v>NORD</x:v>
      </x:c>
      <x:c r="G40" s="83" t="str">
        <x:v>Small Scale</x:v>
      </x:c>
      <x:c r="H40" s="83" t="str">
        <x:v>Small-scale 2h power</x:v>
      </x:c>
      <x:c r="I40" s="83" t="str">
        <x:v>battery</x:v>
      </x:c>
      <x:c r="J40" s="83" t="str">
        <x:v>Link</x:v>
      </x:c>
      <x:c r="K40" s="83" t="str">
        <x:v>p_nom</x:v>
      </x:c>
      <x:c r="L40" s="279" t="n">
        <x:v>3.8</x:v>
      </x:c>
      <x:c r="M40" s="279" t="str">
        <x:v>GW</x:v>
      </x:c>
      <x:c r="N40" s="279" t="n">
        <x:f>IF(L40="","",IF(M40="GW",L40*1000,IF(M40="GWh",L40*1000,IF(M40="TWh",L40*1000000,L40))))</x:f>
        <x:v>3800</x:v>
      </x:c>
      <x:c r="O40" s="83" t="str">
        <x:f>IF(L40="","",IF(M40="GW","MW",IF(OR(M40="GWh",M40="TWh"),"MWh",M40)))</x:f>
        <x:v>MW</x:v>
      </x:c>
      <x:c r="P40" s="83" t="str"/>
      <x:c r="Q40" s="349"/>
      <x:c r="R40" s="349" t="str">
        <x:f>IF(L40="","",IF(Q40&lt;&gt;"",L40*Q40,IF(OR(ISNUMBER(SEARCH("EUR2025",M40&amp;"")),P40=2025,P40="2025"),L40,"")))</x:f>
      </x:c>
      <x:c r="S40" s="83" t="str">
        <x:v>C — Derived</x:v>
      </x:c>
      <x:c r="T40" s="83" t="str">
        <x:v>Energy / 2 h.</x:v>
      </x:c>
      <x:c r="U40" s="83" t="str">
        <x:v>S09 / S01</x:v>
      </x:c>
      <x:c r="V40" s="83" t="str">
        <x:v>DDS Table 16 + harmonisation</x:v>
      </x:c>
      <x:c r="W40" s="120"/>
      <x:c r="X40" s="83" t="str">
        <x:v>C — Derived</x:v>
      </x:c>
      <x:c r="Y40" s="83" t="str">
        <x:v>Proposed</x:v>
      </x:c>
      <x:c r="Z40" s="83" t="str">
        <x:v>Ready after user approval</x:v>
      </x:c>
      <x:c r="AA40" s="83"/>
    </x:row>
    <x:row r="41">
      <x:c r="A41" s="83" t="str">
        <x:v>S4-00037</x:v>
      </x:c>
      <x:c r="B41" s="83" t="str">
        <x:v>IT2040_BASE_DEIT</x:v>
      </x:c>
      <x:c r="C41" s="83" t="n">
        <x:v>2040</x:v>
      </x:c>
      <x:c r="D41" s="83" t="str">
        <x:v>Storage</x:v>
      </x:c>
      <x:c r="E41" s="83" t="str">
        <x:v>IT_NORD</x:v>
      </x:c>
      <x:c r="F41" s="83" t="str">
        <x:v>NORD</x:v>
      </x:c>
      <x:c r="G41" s="83" t="str">
        <x:v>Small Scale</x:v>
      </x:c>
      <x:c r="H41" s="83" t="str">
        <x:v>Small-scale 4h</x:v>
      </x:c>
      <x:c r="I41" s="83" t="str">
        <x:v>battery</x:v>
      </x:c>
      <x:c r="J41" s="83" t="str">
        <x:v>Store + Links</x:v>
      </x:c>
      <x:c r="K41" s="83" t="str">
        <x:v>e_nom</x:v>
      </x:c>
      <x:c r="L41" s="279" t="n">
        <x:v>3.8</x:v>
      </x:c>
      <x:c r="M41" s="279" t="str">
        <x:v>GWh</x:v>
      </x:c>
      <x:c r="N41" s="279" t="n">
        <x:f>IF(L41="","",IF(M41="GW",L41*1000,IF(M41="GWh",L41*1000,IF(M41="TWh",L41*1000000,L41))))</x:f>
        <x:v>3800</x:v>
      </x:c>
      <x:c r="O41" s="83" t="str">
        <x:f>IF(L41="","",IF(M41="GW","MW",IF(OR(M41="GWh",M41="TWh"),"MWh",M41)))</x:f>
        <x:v>MWh</x:v>
      </x:c>
      <x:c r="P41" s="83" t="str"/>
      <x:c r="Q41" s="349"/>
      <x:c r="R41" s="349" t="str">
        <x:f>IF(L41="","",IF(Q41&lt;&gt;"",L41*Q41,IF(OR(ISNUMBER(SEARCH("EUR2025",M41&amp;"")),P41=2025,P41="2025"),L41,"")))</x:f>
      </x:c>
      <x:c r="S41" s="83" t="str">
        <x:v>C — Distributed assumption</x:v>
      </x:c>
      <x:c r="T41" s="83" t="str">
        <x:v>Split direct zonal energy 67%/33% between 2h/4h classes; p_nom=e_nom/4.</x:v>
      </x:c>
      <x:c r="U41" s="83" t="str">
        <x:v>S09 / S01</x:v>
      </x:c>
      <x:c r="V41" s="83" t="str">
        <x:v>DDS Table 16; 2025 observed portfolio duration</x:v>
      </x:c>
      <x:c r="W41" s="120"/>
      <x:c r="X41" s="83" t="str">
        <x:v>C — Assumed split</x:v>
      </x:c>
      <x:c r="Y41" s="83" t="str">
        <x:v>Proposed</x:v>
      </x:c>
      <x:c r="Z41" s="83" t="str">
        <x:v>Ready after user approval</x:v>
      </x:c>
      <x:c r="AA41" s="83" t="str">
        <x:v>Duration 4h; share derived from observed aggregate duration near 2.4h.</x:v>
      </x:c>
    </x:row>
    <x:row r="42">
      <x:c r="A42" s="83" t="str">
        <x:v>S4-00038</x:v>
      </x:c>
      <x:c r="B42" s="83" t="str">
        <x:v>IT2040_BASE_DEIT</x:v>
      </x:c>
      <x:c r="C42" s="83" t="n">
        <x:v>2040</x:v>
      </x:c>
      <x:c r="D42" s="83" t="str">
        <x:v>Storage power</x:v>
      </x:c>
      <x:c r="E42" s="83" t="str">
        <x:v>IT_NORD</x:v>
      </x:c>
      <x:c r="F42" s="83" t="str">
        <x:v>NORD</x:v>
      </x:c>
      <x:c r="G42" s="83" t="str">
        <x:v>Small Scale</x:v>
      </x:c>
      <x:c r="H42" s="83" t="str">
        <x:v>Small-scale 4h power</x:v>
      </x:c>
      <x:c r="I42" s="83" t="str">
        <x:v>battery</x:v>
      </x:c>
      <x:c r="J42" s="83" t="str">
        <x:v>Link</x:v>
      </x:c>
      <x:c r="K42" s="83" t="str">
        <x:v>p_nom</x:v>
      </x:c>
      <x:c r="L42" s="279" t="n">
        <x:v>0.95</x:v>
      </x:c>
      <x:c r="M42" s="279" t="str">
        <x:v>GW</x:v>
      </x:c>
      <x:c r="N42" s="279" t="n">
        <x:f>IF(L42="","",IF(M42="GW",L42*1000,IF(M42="GWh",L42*1000,IF(M42="TWh",L42*1000000,L42))))</x:f>
        <x:v>950</x:v>
      </x:c>
      <x:c r="O42" s="83" t="str">
        <x:f>IF(L42="","",IF(M42="GW","MW",IF(OR(M42="GWh",M42="TWh"),"MWh",M42)))</x:f>
        <x:v>MW</x:v>
      </x:c>
      <x:c r="P42" s="83" t="str"/>
      <x:c r="Q42" s="349"/>
      <x:c r="R42" s="349" t="str">
        <x:f>IF(L42="","",IF(Q42&lt;&gt;"",L42*Q42,IF(OR(ISNUMBER(SEARCH("EUR2025",M42&amp;"")),P42=2025,P42="2025"),L42,"")))</x:f>
      </x:c>
      <x:c r="S42" s="83" t="str">
        <x:v>C — Derived</x:v>
      </x:c>
      <x:c r="T42" s="83" t="str">
        <x:v>Energy / 4 h.</x:v>
      </x:c>
      <x:c r="U42" s="83" t="str">
        <x:v>S09 / S01</x:v>
      </x:c>
      <x:c r="V42" s="83" t="str">
        <x:v>DDS Table 16 + harmonisation</x:v>
      </x:c>
      <x:c r="W42" s="120"/>
      <x:c r="X42" s="83" t="str">
        <x:v>C — Derived</x:v>
      </x:c>
      <x:c r="Y42" s="83" t="str">
        <x:v>Proposed</x:v>
      </x:c>
      <x:c r="Z42" s="83" t="str">
        <x:v>Ready after user approval</x:v>
      </x:c>
      <x:c r="AA42" s="83"/>
    </x:row>
    <x:row r="43">
      <x:c r="A43" s="83" t="str">
        <x:v>S4-00039</x:v>
      </x:c>
      <x:c r="B43" s="83" t="str">
        <x:v>IT2040_BASE_DEIT</x:v>
      </x:c>
      <x:c r="C43" s="83" t="n">
        <x:v>2040</x:v>
      </x:c>
      <x:c r="D43" s="83" t="str">
        <x:v>Storage</x:v>
      </x:c>
      <x:c r="E43" s="83" t="str">
        <x:v>IT_NORD</x:v>
      </x:c>
      <x:c r="F43" s="83" t="str">
        <x:v>NORD</x:v>
      </x:c>
      <x:c r="G43" s="83" t="str">
        <x:v>Utility Scale incl. MACSE</x:v>
      </x:c>
      <x:c r="H43" s="83" t="str">
        <x:v>Battery utility 8h</x:v>
      </x:c>
      <x:c r="I43" s="83" t="str">
        <x:v>battery</x:v>
      </x:c>
      <x:c r="J43" s="83" t="str">
        <x:v>Store + Links</x:v>
      </x:c>
      <x:c r="K43" s="83" t="str">
        <x:v>e_nom</x:v>
      </x:c>
      <x:c r="L43" s="279" t="n">
        <x:v>0</x:v>
      </x:c>
      <x:c r="M43" s="279" t="str">
        <x:v>GWh</x:v>
      </x:c>
      <x:c r="N43" s="279" t="str">
        <x:f>IF(L43="","",IF(M43="GW",L43*1000,IF(M43="GWh",L43*1000,IF(M43="TWh",L43*1000000,L43))))</x:f>
      </x:c>
      <x:c r="O43" s="83" t="str">
        <x:f>IF(L43="","",IF(M43="GW","MW",IF(OR(M43="GWh",M43="TWh"),"MWh",M43)))</x:f>
      </x:c>
      <x:c r="P43" s="83" t="str"/>
      <x:c r="Q43" s="349"/>
      <x:c r="R43" s="349" t="str">
        <x:f>IF(L43="","",IF(Q43&lt;&gt;"",L43*Q43,IF(OR(ISNUMBER(SEARCH("EUR2025",M43&amp;"")),P43=2025,P43="2025"),L43,"")))</x:f>
      </x:c>
      <x:c r="S43" s="83" t="str">
        <x:v>A/C — Direct total; procurement subset identified</x:v>
      </x:c>
      <x:c r="T43" s="83" t="str">
        <x:v>DDS utility-scale total retained. A 42 GWh MACSE procurement portfolio is identified inside this total and is not added again.</x:v>
      </x:c>
      <x:c r="U43" s="83" t="str">
        <x:v>S09 + TERNA_MACSE_2028 + TERNA_MACSE_2029 + USER_DECISION</x:v>
      </x:c>
      <x:c r="V43" s="83" t="str">
        <x:v>DDS Table 16; 10 GWh MACSE 2028; 16 GWh 2029; 32 GWh available across the next two auctions</x:v>
      </x:c>
      <x:c r="W43" s="120" t="str">
        <x:v>https://www.terna.it/it/media/comunicati-stampa/dettaglio/conclusa-prima-asta-macse; https://download.terna.it/terna/Fabbisogno_di_nuova_capacita_di_stoccaggio_al_2029_8debcba830a85f3.pdf</x:v>
      </x:c>
      <x:c r="X43" s="83" t="str">
        <x:v>B/C — 26 GWh official; final 16 GWh planning tranche revisable</x:v>
      </x:c>
      <x:c r="Y43" s="83" t="str">
        <x:v>APPROVED total with MACSE subset</x:v>
      </x:c>
      <x:c r="Z43" s="83" t="str">
        <x:v>Ready when profiles/base network are available</x:v>
      </x:c>
      <x:c r="AA43" s="83" t="str">
        <x:v>MACSE path: 10 + 16 + 16 = 42 GWh. The final 16 GWh is an explicit scenario assumption based on Terna's 32 GWh quantity for the next two auctions.</x:v>
      </x:c>
    </x:row>
    <x:row r="44">
      <x:c r="A44" s="83" t="str">
        <x:v>S4-00040</x:v>
      </x:c>
      <x:c r="B44" s="83" t="str">
        <x:v>IT2040_BASE_DEIT</x:v>
      </x:c>
      <x:c r="C44" s="83" t="n">
        <x:v>2040</x:v>
      </x:c>
      <x:c r="D44" s="83" t="str">
        <x:v>Storage power</x:v>
      </x:c>
      <x:c r="E44" s="83" t="str">
        <x:v>IT_NORD</x:v>
      </x:c>
      <x:c r="F44" s="83" t="str">
        <x:v>NORD</x:v>
      </x:c>
      <x:c r="G44" s="83" t="str">
        <x:v>Utility Scale incl. MACSE</x:v>
      </x:c>
      <x:c r="H44" s="83" t="str">
        <x:v>Battery utility 8h power</x:v>
      </x:c>
      <x:c r="I44" s="83" t="str">
        <x:v>battery</x:v>
      </x:c>
      <x:c r="J44" s="83" t="str">
        <x:v>Link</x:v>
      </x:c>
      <x:c r="K44" s="83" t="str">
        <x:v>p_nom</x:v>
      </x:c>
      <x:c r="L44" s="279" t="n">
        <x:v>0</x:v>
      </x:c>
      <x:c r="M44" s="279" t="str">
        <x:v>GW</x:v>
      </x:c>
      <x:c r="N44" s="279" t="str">
        <x:f>IF(L44="","",IF(M44="GW",L44*1000,IF(M44="GWh",L44*1000,IF(M44="TWh",L44*1000000,L44))))</x:f>
      </x:c>
      <x:c r="O44" s="83" t="str">
        <x:f>IF(L44="","",IF(M44="GW","MW",IF(OR(M44="GWh",M44="TWh"),"MWh",M44)))</x:f>
      </x:c>
      <x:c r="P44" s="83" t="str"/>
      <x:c r="Q44" s="349"/>
      <x:c r="R44" s="349" t="str">
        <x:f>IF(L44="","",IF(Q44&lt;&gt;"",L44*Q44,IF(OR(ISNUMBER(SEARCH("EUR2025",M44&amp;"")),P44=2025,P44="2025"),L44,"")))</x:f>
      </x:c>
      <x:c r="S44" s="83" t="str">
        <x:v>B — Derived</x:v>
      </x:c>
      <x:c r="T44" s="83" t="str">
        <x:v>e_nom / 8h.</x:v>
      </x:c>
      <x:c r="U44" s="83" t="str">
        <x:v>S09 + TERNA_MACSE + USER_DECISION</x:v>
      </x:c>
      <x:c r="V44" s="83" t="str">
        <x:v>Utility-scale 8h duration; MACSE subset 42 GWh / 5.25 GW</x:v>
      </x:c>
      <x:c r="W44" s="120" t="str">
        <x:v>https://www.terna.it/it/media/comunicati-stampa/dettaglio/conclusa-prima-asta-macse; https://download.terna.it/terna/Fabbisogno_di_nuova_capacita_di_stoccaggio_al_2029_8debcba830a85f3.pdf</x:v>
      </x:c>
      <x:c r="X44" s="83" t="str">
        <x:v>B — Derived</x:v>
      </x:c>
      <x:c r="Y44" s="83" t="str">
        <x:v>APPROVED total with MACSE subset</x:v>
      </x:c>
      <x:c r="Z44" s="83" t="str">
        <x:v>Ready when profiles/base network are available</x:v>
      </x:c>
      <x:c r="AA44" s="83" t="str">
        <x:v>The 42 GWh MACSE subset corresponds to 5.25 GW at 8h and remains embedded within total utility-scale power.</x:v>
      </x:c>
    </x:row>
    <x:row r="45">
      <x:c r="A45" s="83" t="str">
        <x:v>S4-00041</x:v>
      </x:c>
      <x:c r="B45" s="83" t="str">
        <x:v>IT2040_BASE_DEIT</x:v>
      </x:c>
      <x:c r="C45" s="83" t="n">
        <x:v>2040</x:v>
      </x:c>
      <x:c r="D45" s="83" t="str">
        <x:v>Storage</x:v>
      </x:c>
      <x:c r="E45" s="83" t="str">
        <x:v>IT_NORD</x:v>
      </x:c>
      <x:c r="F45" s="83" t="str">
        <x:v>NORD</x:v>
      </x:c>
      <x:c r="G45" s="83" t="str">
        <x:v>CM</x:v>
      </x:c>
      <x:c r="H45" s="83" t="str">
        <x:v>Capacity Market battery</x:v>
      </x:c>
      <x:c r="I45" s="83" t="str">
        <x:v>battery</x:v>
      </x:c>
      <x:c r="J45" s="83" t="str">
        <x:v>Store + Links</x:v>
      </x:c>
      <x:c r="K45" s="83" t="str">
        <x:v>e_nom</x:v>
      </x:c>
      <x:c r="L45" s="279" t="n">
        <x:v>3.1</x:v>
      </x:c>
      <x:c r="M45" s="279" t="str">
        <x:v>GWh</x:v>
      </x:c>
      <x:c r="N45" s="279" t="n">
        <x:f>IF(L45="","",IF(M45="GW",L45*1000,IF(M45="GWh",L45*1000,IF(M45="TWh",L45*1000000,L45))))</x:f>
        <x:v>3100</x:v>
      </x:c>
      <x:c r="O45" s="83" t="str">
        <x:f>IF(L45="","",IF(M45="GW","MW",IF(OR(M45="GWh",M45="TWh"),"MWh",M45)))</x:f>
        <x:v>MWh</x:v>
      </x:c>
      <x:c r="P45" s="83" t="str"/>
      <x:c r="Q45" s="349"/>
      <x:c r="R45" s="349" t="str">
        <x:f>IF(L45="","",IF(Q45&lt;&gt;"",L45*Q45,IF(OR(ISNUMBER(SEARCH("EUR2025",M45&amp;"")),P45=2025,P45="2025"),L45,"")))</x:f>
      </x:c>
      <x:c r="S45" s="83" t="str">
        <x:v>A — Direct</x:v>
      </x:c>
      <x:c r="T45" s="83" t="str">
        <x:v>Direct zonal energy; duration harmonised separately.</x:v>
      </x:c>
      <x:c r="U45" s="83" t="str">
        <x:v>S09</x:v>
      </x:c>
      <x:c r="V45" s="83" t="str">
        <x:v>DDS Tabella 16</x:v>
      </x:c>
      <x:c r="W45" s="120"/>
      <x:c r="X45" s="83" t="str">
        <x:v>A — Direct</x:v>
      </x:c>
      <x:c r="Y45" s="83" t="str">
        <x:v>APPROVED direct energy; separate from MACSE</x:v>
      </x:c>
      <x:c r="Z45" s="83" t="str">
        <x:v>Ready when profiles/base network are available</x:v>
      </x:c>
      <x:c r="AA45" s="83" t="str">
        <x:v>Capacity Market energy retained from DDS. It is not the 42 GWh MACSE portfolio.</x:v>
      </x:c>
    </x:row>
    <x:row r="46">
      <x:c r="A46" s="83" t="str">
        <x:v>S4-00042</x:v>
      </x:c>
      <x:c r="B46" s="83" t="str">
        <x:v>IT2040_BASE_DEIT</x:v>
      </x:c>
      <x:c r="C46" s="83" t="n">
        <x:v>2040</x:v>
      </x:c>
      <x:c r="D46" s="83" t="str">
        <x:v>Storage power</x:v>
      </x:c>
      <x:c r="E46" s="83" t="str">
        <x:v>IT_NORD</x:v>
      </x:c>
      <x:c r="F46" s="83" t="str">
        <x:v>NORD</x:v>
      </x:c>
      <x:c r="G46" s="83" t="str">
        <x:v>CM</x:v>
      </x:c>
      <x:c r="H46" s="83" t="str">
        <x:v>Capacity Market battery power</x:v>
      </x:c>
      <x:c r="I46" s="83" t="str">
        <x:v>battery</x:v>
      </x:c>
      <x:c r="J46" s="83" t="str">
        <x:v>Link</x:v>
      </x:c>
      <x:c r="K46" s="83" t="str">
        <x:v>p_nom</x:v>
      </x:c>
      <x:c r="L46" s="279" t="n">
        <x:v>0.775</x:v>
      </x:c>
      <x:c r="M46" s="279" t="str">
        <x:v>GW</x:v>
      </x:c>
      <x:c r="N46" s="279" t="n">
        <x:f>IF(L46="","",IF(M46="GW",L46*1000,IF(M46="GWh",L46*1000,IF(M46="TWh",L46*1000000,L46))))</x:f>
        <x:v>775</x:v>
      </x:c>
      <x:c r="O46" s="83" t="str">
        <x:f>IF(L46="","",IF(M46="GW","MW",IF(OR(M46="GWh",M46="TWh"),"MWh",M46)))</x:f>
        <x:v>MW</x:v>
      </x:c>
      <x:c r="P46" s="83" t="str"/>
      <x:c r="Q46" s="349"/>
      <x:c r="R46" s="349" t="str">
        <x:f>IF(L46="","",IF(Q46&lt;&gt;"",L46*Q46,IF(OR(ISNUMBER(SEARCH("EUR2025",M46&amp;"")),P46=2025,P46="2025"),L46,"")))</x:f>
      </x:c>
      <x:c r="S46" s="83" t="str">
        <x:v>C — Assumed</x:v>
      </x:c>
      <x:c r="T46" s="83" t="str">
        <x:v>Capacity Market energy divided by the approved 4-hour duration.</x:v>
      </x:c>
      <x:c r="U46" s="83" t="str">
        <x:v>S09 + TERNA_RAI2025 + USER_DECISION</x:v>
      </x:c>
      <x:c r="V46" s="83" t="str">
        <x:v>DDS Table 16; Terna RAI 2025 §2.1.4</x:v>
      </x:c>
      <x:c r="W46" s="120" t="str">
        <x:v>https://download.terna.it/terna/Rapporto_Adeguatezza_Italia_2025_8de802607202dd6.pdf</x:v>
      </x:c>
      <x:c r="X46" s="83" t="str">
        <x:v>C — Assumed</x:v>
      </x:c>
      <x:c r="Y46" s="83" t="str">
        <x:v>APPROVED 4h derivation</x:v>
      </x:c>
      <x:c r="Z46" s="83" t="str">
        <x:v>Ready after user approval</x:v>
      </x:c>
      <x:c r="AA46" s="83" t="str">
        <x:v>Capacity Market remains a separate 4h class; no MACSE reclassification.</x:v>
      </x:c>
    </x:row>
    <x:row r="47">
      <x:c r="A47" s="83" t="str">
        <x:v>S4-00043</x:v>
      </x:c>
      <x:c r="B47" s="83" t="str">
        <x:v>IT2040_BASE_DEIT</x:v>
      </x:c>
      <x:c r="C47" s="83" t="n">
        <x:v>2040</x:v>
      </x:c>
      <x:c r="D47" s="83" t="str">
        <x:v>Storage</x:v>
      </x:c>
      <x:c r="E47" s="83" t="str">
        <x:v>IT_CNOR</x:v>
      </x:c>
      <x:c r="F47" s="83" t="str">
        <x:v>CNOR</x:v>
      </x:c>
      <x:c r="G47" s="83" t="str">
        <x:v>Small Scale</x:v>
      </x:c>
      <x:c r="H47" s="83" t="str">
        <x:v>Small-scale 2h</x:v>
      </x:c>
      <x:c r="I47" s="83" t="str">
        <x:v>battery</x:v>
      </x:c>
      <x:c r="J47" s="83" t="str">
        <x:v>Store + Links</x:v>
      </x:c>
      <x:c r="K47" s="83" t="str">
        <x:v>e_nom</x:v>
      </x:c>
      <x:c r="L47" s="279" t="n">
        <x:v>1.1333333333333333</x:v>
      </x:c>
      <x:c r="M47" s="279" t="str">
        <x:v>GWh</x:v>
      </x:c>
      <x:c r="N47" s="279" t="n">
        <x:f>IF(L47="","",IF(M47="GW",L47*1000,IF(M47="GWh",L47*1000,IF(M47="TWh",L47*1000000,L47))))</x:f>
        <x:v>1133.3333333333333</x:v>
      </x:c>
      <x:c r="O47" s="83" t="str">
        <x:f>IF(L47="","",IF(M47="GW","MW",IF(OR(M47="GWh",M47="TWh"),"MWh",M47)))</x:f>
        <x:v>MWh</x:v>
      </x:c>
      <x:c r="P47" s="83" t="str"/>
      <x:c r="Q47" s="349"/>
      <x:c r="R47" s="349" t="str">
        <x:f>IF(L47="","",IF(Q47&lt;&gt;"",L47*Q47,IF(OR(ISNUMBER(SEARCH("EUR2025",M47&amp;"")),P47=2025,P47="2025"),L47,"")))</x:f>
      </x:c>
      <x:c r="S47" s="83" t="str">
        <x:v>C — Distributed assumption</x:v>
      </x:c>
      <x:c r="T47" s="83" t="str">
        <x:v>Split direct zonal energy 67%/33% between 2h/4h classes; p_nom=e_nom/2.</x:v>
      </x:c>
      <x:c r="U47" s="83" t="str">
        <x:v>S09 / S01</x:v>
      </x:c>
      <x:c r="V47" s="83" t="str">
        <x:v>DDS Table 16; 2025 observed portfolio duration</x:v>
      </x:c>
      <x:c r="W47" s="120"/>
      <x:c r="X47" s="83" t="str">
        <x:v>C — Assumed split</x:v>
      </x:c>
      <x:c r="Y47" s="83" t="str">
        <x:v>Proposed</x:v>
      </x:c>
      <x:c r="Z47" s="83" t="str">
        <x:v>Ready after user approval</x:v>
      </x:c>
      <x:c r="AA47" s="83" t="str">
        <x:v>Duration 2h; share derived from observed aggregate duration near 2.4h.</x:v>
      </x:c>
    </x:row>
    <x:row r="48">
      <x:c r="A48" s="83" t="str">
        <x:v>S4-00044</x:v>
      </x:c>
      <x:c r="B48" s="83" t="str">
        <x:v>IT2040_BASE_DEIT</x:v>
      </x:c>
      <x:c r="C48" s="83" t="n">
        <x:v>2040</x:v>
      </x:c>
      <x:c r="D48" s="83" t="str">
        <x:v>Storage power</x:v>
      </x:c>
      <x:c r="E48" s="83" t="str">
        <x:v>IT_CNOR</x:v>
      </x:c>
      <x:c r="F48" s="83" t="str">
        <x:v>CNOR</x:v>
      </x:c>
      <x:c r="G48" s="83" t="str">
        <x:v>Small Scale</x:v>
      </x:c>
      <x:c r="H48" s="83" t="str">
        <x:v>Small-scale 2h power</x:v>
      </x:c>
      <x:c r="I48" s="83" t="str">
        <x:v>battery</x:v>
      </x:c>
      <x:c r="J48" s="83" t="str">
        <x:v>Link</x:v>
      </x:c>
      <x:c r="K48" s="83" t="str">
        <x:v>p_nom</x:v>
      </x:c>
      <x:c r="L48" s="279" t="n">
        <x:v>0.5666666666666667</x:v>
      </x:c>
      <x:c r="M48" s="279" t="str">
        <x:v>GW</x:v>
      </x:c>
      <x:c r="N48" s="279" t="n">
        <x:f>IF(L48="","",IF(M48="GW",L48*1000,IF(M48="GWh",L48*1000,IF(M48="TWh",L48*1000000,L48))))</x:f>
        <x:v>566.6666666666666</x:v>
      </x:c>
      <x:c r="O48" s="83" t="str">
        <x:f>IF(L48="","",IF(M48="GW","MW",IF(OR(M48="GWh",M48="TWh"),"MWh",M48)))</x:f>
        <x:v>MW</x:v>
      </x:c>
      <x:c r="P48" s="83" t="str"/>
      <x:c r="Q48" s="349"/>
      <x:c r="R48" s="349" t="str">
        <x:f>IF(L48="","",IF(Q48&lt;&gt;"",L48*Q48,IF(OR(ISNUMBER(SEARCH("EUR2025",M48&amp;"")),P48=2025,P48="2025"),L48,"")))</x:f>
      </x:c>
      <x:c r="S48" s="83" t="str">
        <x:v>C — Derived</x:v>
      </x:c>
      <x:c r="T48" s="83" t="str">
        <x:v>Energy / 2 h.</x:v>
      </x:c>
      <x:c r="U48" s="83" t="str">
        <x:v>S09 / S01</x:v>
      </x:c>
      <x:c r="V48" s="83" t="str">
        <x:v>DDS Table 16 + harmonisation</x:v>
      </x:c>
      <x:c r="W48" s="120"/>
      <x:c r="X48" s="83" t="str">
        <x:v>C — Derived</x:v>
      </x:c>
      <x:c r="Y48" s="83" t="str">
        <x:v>Proposed</x:v>
      </x:c>
      <x:c r="Z48" s="83" t="str">
        <x:v>Ready after user approval</x:v>
      </x:c>
      <x:c r="AA48" s="83"/>
    </x:row>
    <x:row r="49">
      <x:c r="A49" s="83" t="str">
        <x:v>S4-00045</x:v>
      </x:c>
      <x:c r="B49" s="83" t="str">
        <x:v>IT2040_BASE_DEIT</x:v>
      </x:c>
      <x:c r="C49" s="83" t="n">
        <x:v>2040</x:v>
      </x:c>
      <x:c r="D49" s="83" t="str">
        <x:v>Storage</x:v>
      </x:c>
      <x:c r="E49" s="83" t="str">
        <x:v>IT_CNOR</x:v>
      </x:c>
      <x:c r="F49" s="83" t="str">
        <x:v>CNOR</x:v>
      </x:c>
      <x:c r="G49" s="83" t="str">
        <x:v>Small Scale</x:v>
      </x:c>
      <x:c r="H49" s="83" t="str">
        <x:v>Small-scale 4h</x:v>
      </x:c>
      <x:c r="I49" s="83" t="str">
        <x:v>battery</x:v>
      </x:c>
      <x:c r="J49" s="83" t="str">
        <x:v>Store + Links</x:v>
      </x:c>
      <x:c r="K49" s="83" t="str">
        <x:v>e_nom</x:v>
      </x:c>
      <x:c r="L49" s="279" t="n">
        <x:v>0.5666666666666667</x:v>
      </x:c>
      <x:c r="M49" s="279" t="str">
        <x:v>GWh</x:v>
      </x:c>
      <x:c r="N49" s="279" t="n">
        <x:f>IF(L49="","",IF(M49="GW",L49*1000,IF(M49="GWh",L49*1000,IF(M49="TWh",L49*1000000,L49))))</x:f>
        <x:v>566.6666666666666</x:v>
      </x:c>
      <x:c r="O49" s="83" t="str">
        <x:f>IF(L49="","",IF(M49="GW","MW",IF(OR(M49="GWh",M49="TWh"),"MWh",M49)))</x:f>
        <x:v>MWh</x:v>
      </x:c>
      <x:c r="P49" s="83" t="str"/>
      <x:c r="Q49" s="349"/>
      <x:c r="R49" s="349" t="str">
        <x:f>IF(L49="","",IF(Q49&lt;&gt;"",L49*Q49,IF(OR(ISNUMBER(SEARCH("EUR2025",M49&amp;"")),P49=2025,P49="2025"),L49,"")))</x:f>
      </x:c>
      <x:c r="S49" s="83" t="str">
        <x:v>C — Distributed assumption</x:v>
      </x:c>
      <x:c r="T49" s="83" t="str">
        <x:v>Split direct zonal energy 67%/33% between 2h/4h classes; p_nom=e_nom/4.</x:v>
      </x:c>
      <x:c r="U49" s="83" t="str">
        <x:v>S09 / S01</x:v>
      </x:c>
      <x:c r="V49" s="83" t="str">
        <x:v>DDS Table 16; 2025 observed portfolio duration</x:v>
      </x:c>
      <x:c r="W49" s="120"/>
      <x:c r="X49" s="83" t="str">
        <x:v>C — Assumed split</x:v>
      </x:c>
      <x:c r="Y49" s="83" t="str">
        <x:v>Proposed</x:v>
      </x:c>
      <x:c r="Z49" s="83" t="str">
        <x:v>Ready after user approval</x:v>
      </x:c>
      <x:c r="AA49" s="83" t="str">
        <x:v>Duration 4h; share derived from observed aggregate duration near 2.4h.</x:v>
      </x:c>
    </x:row>
    <x:row r="50">
      <x:c r="A50" s="83" t="str">
        <x:v>S4-00046</x:v>
      </x:c>
      <x:c r="B50" s="83" t="str">
        <x:v>IT2040_BASE_DEIT</x:v>
      </x:c>
      <x:c r="C50" s="83" t="n">
        <x:v>2040</x:v>
      </x:c>
      <x:c r="D50" s="83" t="str">
        <x:v>Storage power</x:v>
      </x:c>
      <x:c r="E50" s="83" t="str">
        <x:v>IT_CNOR</x:v>
      </x:c>
      <x:c r="F50" s="83" t="str">
        <x:v>CNOR</x:v>
      </x:c>
      <x:c r="G50" s="83" t="str">
        <x:v>Small Scale</x:v>
      </x:c>
      <x:c r="H50" s="83" t="str">
        <x:v>Small-scale 4h power</x:v>
      </x:c>
      <x:c r="I50" s="83" t="str">
        <x:v>battery</x:v>
      </x:c>
      <x:c r="J50" s="83" t="str">
        <x:v>Link</x:v>
      </x:c>
      <x:c r="K50" s="83" t="str">
        <x:v>p_nom</x:v>
      </x:c>
      <x:c r="L50" s="279" t="n">
        <x:v>0.14166666666666666</x:v>
      </x:c>
      <x:c r="M50" s="279" t="str">
        <x:v>GW</x:v>
      </x:c>
      <x:c r="N50" s="279" t="n">
        <x:f>IF(L50="","",IF(M50="GW",L50*1000,IF(M50="GWh",L50*1000,IF(M50="TWh",L50*1000000,L50))))</x:f>
        <x:v>141.66666666666666</x:v>
      </x:c>
      <x:c r="O50" s="83" t="str">
        <x:f>IF(L50="","",IF(M50="GW","MW",IF(OR(M50="GWh",M50="TWh"),"MWh",M50)))</x:f>
        <x:v>MW</x:v>
      </x:c>
      <x:c r="P50" s="83" t="str"/>
      <x:c r="Q50" s="349"/>
      <x:c r="R50" s="349" t="str">
        <x:f>IF(L50="","",IF(Q50&lt;&gt;"",L50*Q50,IF(OR(ISNUMBER(SEARCH("EUR2025",M50&amp;"")),P50=2025,P50="2025"),L50,"")))</x:f>
      </x:c>
      <x:c r="S50" s="83" t="str">
        <x:v>C — Derived</x:v>
      </x:c>
      <x:c r="T50" s="83" t="str">
        <x:v>Energy / 4 h.</x:v>
      </x:c>
      <x:c r="U50" s="83" t="str">
        <x:v>S09 / S01</x:v>
      </x:c>
      <x:c r="V50" s="83" t="str">
        <x:v>DDS Table 16 + harmonisation</x:v>
      </x:c>
      <x:c r="W50" s="120"/>
      <x:c r="X50" s="83" t="str">
        <x:v>C — Derived</x:v>
      </x:c>
      <x:c r="Y50" s="83" t="str">
        <x:v>Proposed</x:v>
      </x:c>
      <x:c r="Z50" s="83" t="str">
        <x:v>Ready after user approval</x:v>
      </x:c>
      <x:c r="AA50" s="83"/>
    </x:row>
    <x:row r="51">
      <x:c r="A51" s="83" t="str">
        <x:v>S4-00047</x:v>
      </x:c>
      <x:c r="B51" s="83" t="str">
        <x:v>IT2040_BASE_DEIT</x:v>
      </x:c>
      <x:c r="C51" s="83" t="n">
        <x:v>2040</x:v>
      </x:c>
      <x:c r="D51" s="83" t="str">
        <x:v>Storage</x:v>
      </x:c>
      <x:c r="E51" s="83" t="str">
        <x:v>IT_CNOR</x:v>
      </x:c>
      <x:c r="F51" s="83" t="str">
        <x:v>CNOR</x:v>
      </x:c>
      <x:c r="G51" s="83" t="str">
        <x:v>Utility Scale incl. MACSE</x:v>
      </x:c>
      <x:c r="H51" s="83" t="str">
        <x:v>Battery utility 8h</x:v>
      </x:c>
      <x:c r="I51" s="83" t="str">
        <x:v>battery</x:v>
      </x:c>
      <x:c r="J51" s="83" t="str">
        <x:v>Store + Links</x:v>
      </x:c>
      <x:c r="K51" s="83" t="str">
        <x:v>e_nom</x:v>
      </x:c>
      <x:c r="L51" s="279" t="n">
        <x:v>3.2</x:v>
      </x:c>
      <x:c r="M51" s="279" t="str">
        <x:v>GWh</x:v>
      </x:c>
      <x:c r="N51" s="279" t="n">
        <x:f>IF(L51="","",IF(M51="GW",L51*1000,IF(M51="GWh",L51*1000,IF(M51="TWh",L51*1000000,L51))))</x:f>
        <x:v>3200</x:v>
      </x:c>
      <x:c r="O51" s="83" t="str">
        <x:f>IF(L51="","",IF(M51="GW","MW",IF(OR(M51="GWh",M51="TWh"),"MWh",M51)))</x:f>
        <x:v>MWh</x:v>
      </x:c>
      <x:c r="P51" s="83" t="str"/>
      <x:c r="Q51" s="349"/>
      <x:c r="R51" s="349" t="str">
        <x:f>IF(L51="","",IF(Q51&lt;&gt;"",L51*Q51,IF(OR(ISNUMBER(SEARCH("EUR2025",M51&amp;"")),P51=2025,P51="2025"),L51,"")))</x:f>
      </x:c>
      <x:c r="S51" s="83" t="str">
        <x:v>A/C — Direct total; procurement subset identified</x:v>
      </x:c>
      <x:c r="T51" s="83" t="str">
        <x:v>DDS utility-scale total retained. A 42 GWh MACSE procurement portfolio is identified inside this total and is not added again.</x:v>
      </x:c>
      <x:c r="U51" s="83" t="str">
        <x:v>S09 + TERNA_MACSE_2028 + TERNA_MACSE_2029 + USER_DECISION</x:v>
      </x:c>
      <x:c r="V51" s="83" t="str">
        <x:v>DDS Table 16; 10 GWh MACSE 2028; 16 GWh 2029; 32 GWh available across the next two auctions</x:v>
      </x:c>
      <x:c r="W51" s="120" t="str">
        <x:v>https://www.terna.it/it/media/comunicati-stampa/dettaglio/conclusa-prima-asta-macse; https://download.terna.it/terna/Fabbisogno_di_nuova_capacita_di_stoccaggio_al_2029_8debcba830a85f3.pdf</x:v>
      </x:c>
      <x:c r="X51" s="83" t="str">
        <x:v>B/C — 26 GWh official; final 16 GWh planning tranche revisable</x:v>
      </x:c>
      <x:c r="Y51" s="83" t="str">
        <x:v>APPROVED total with MACSE subset</x:v>
      </x:c>
      <x:c r="Z51" s="83" t="str">
        <x:v>Ready when profiles/base network are available</x:v>
      </x:c>
      <x:c r="AA51" s="83" t="str">
        <x:v>MACSE path: 10 + 16 + 16 = 42 GWh. The final 16 GWh is an explicit scenario assumption based on Terna's 32 GWh quantity for the next two auctions.</x:v>
      </x:c>
    </x:row>
    <x:row r="52">
      <x:c r="A52" s="83" t="str">
        <x:v>S4-00048</x:v>
      </x:c>
      <x:c r="B52" s="83" t="str">
        <x:v>IT2040_BASE_DEIT</x:v>
      </x:c>
      <x:c r="C52" s="83" t="n">
        <x:v>2040</x:v>
      </x:c>
      <x:c r="D52" s="83" t="str">
        <x:v>Storage power</x:v>
      </x:c>
      <x:c r="E52" s="83" t="str">
        <x:v>IT_CNOR</x:v>
      </x:c>
      <x:c r="F52" s="83" t="str">
        <x:v>CNOR</x:v>
      </x:c>
      <x:c r="G52" s="83" t="str">
        <x:v>Utility Scale incl. MACSE</x:v>
      </x:c>
      <x:c r="H52" s="83" t="str">
        <x:v>Battery utility 8h power</x:v>
      </x:c>
      <x:c r="I52" s="83" t="str">
        <x:v>battery</x:v>
      </x:c>
      <x:c r="J52" s="83" t="str">
        <x:v>Link</x:v>
      </x:c>
      <x:c r="K52" s="83" t="str">
        <x:v>p_nom</x:v>
      </x:c>
      <x:c r="L52" s="279" t="n">
        <x:v>0.4</x:v>
      </x:c>
      <x:c r="M52" s="279" t="str">
        <x:v>GW</x:v>
      </x:c>
      <x:c r="N52" s="279" t="n">
        <x:f>IF(L52="","",IF(M52="GW",L52*1000,IF(M52="GWh",L52*1000,IF(M52="TWh",L52*1000000,L52))))</x:f>
        <x:v>400</x:v>
      </x:c>
      <x:c r="O52" s="83" t="str">
        <x:f>IF(L52="","",IF(M52="GW","MW",IF(OR(M52="GWh",M52="TWh"),"MWh",M52)))</x:f>
        <x:v>MW</x:v>
      </x:c>
      <x:c r="P52" s="83" t="str"/>
      <x:c r="Q52" s="349"/>
      <x:c r="R52" s="349" t="str">
        <x:f>IF(L52="","",IF(Q52&lt;&gt;"",L52*Q52,IF(OR(ISNUMBER(SEARCH("EUR2025",M52&amp;"")),P52=2025,P52="2025"),L52,"")))</x:f>
      </x:c>
      <x:c r="S52" s="83" t="str">
        <x:v>B — Derived</x:v>
      </x:c>
      <x:c r="T52" s="83" t="str">
        <x:v>e_nom / 8h.</x:v>
      </x:c>
      <x:c r="U52" s="83" t="str">
        <x:v>S09 + TERNA_MACSE + USER_DECISION</x:v>
      </x:c>
      <x:c r="V52" s="83" t="str">
        <x:v>Utility-scale 8h duration; MACSE subset 42 GWh / 5.25 GW</x:v>
      </x:c>
      <x:c r="W52" s="120" t="str">
        <x:v>https://www.terna.it/it/media/comunicati-stampa/dettaglio/conclusa-prima-asta-macse; https://download.terna.it/terna/Fabbisogno_di_nuova_capacita_di_stoccaggio_al_2029_8debcba830a85f3.pdf</x:v>
      </x:c>
      <x:c r="X52" s="83" t="str">
        <x:v>B — Derived</x:v>
      </x:c>
      <x:c r="Y52" s="83" t="str">
        <x:v>APPROVED total with MACSE subset</x:v>
      </x:c>
      <x:c r="Z52" s="83" t="str">
        <x:v>Ready when profiles/base network are available</x:v>
      </x:c>
      <x:c r="AA52" s="83" t="str">
        <x:v>The 42 GWh MACSE subset corresponds to 5.25 GW at 8h and remains embedded within total utility-scale power.</x:v>
      </x:c>
    </x:row>
    <x:row r="53">
      <x:c r="A53" s="83" t="str">
        <x:v>S4-00049</x:v>
      </x:c>
      <x:c r="B53" s="83" t="str">
        <x:v>IT2040_BASE_DEIT</x:v>
      </x:c>
      <x:c r="C53" s="83" t="n">
        <x:v>2040</x:v>
      </x:c>
      <x:c r="D53" s="83" t="str">
        <x:v>Storage</x:v>
      </x:c>
      <x:c r="E53" s="83" t="str">
        <x:v>IT_CNOR</x:v>
      </x:c>
      <x:c r="F53" s="83" t="str">
        <x:v>CNOR</x:v>
      </x:c>
      <x:c r="G53" s="83" t="str">
        <x:v>CM</x:v>
      </x:c>
      <x:c r="H53" s="83" t="str">
        <x:v>Capacity Market battery</x:v>
      </x:c>
      <x:c r="I53" s="83" t="str">
        <x:v>battery</x:v>
      </x:c>
      <x:c r="J53" s="83" t="str">
        <x:v>Store + Links</x:v>
      </x:c>
      <x:c r="K53" s="83" t="str">
        <x:v>e_nom</x:v>
      </x:c>
      <x:c r="L53" s="279" t="n">
        <x:v>0.1</x:v>
      </x:c>
      <x:c r="M53" s="279" t="str">
        <x:v>GWh</x:v>
      </x:c>
      <x:c r="N53" s="279" t="n">
        <x:f>IF(L53="","",IF(M53="GW",L53*1000,IF(M53="GWh",L53*1000,IF(M53="TWh",L53*1000000,L53))))</x:f>
        <x:v>100</x:v>
      </x:c>
      <x:c r="O53" s="83" t="str">
        <x:f>IF(L53="","",IF(M53="GW","MW",IF(OR(M53="GWh",M53="TWh"),"MWh",M53)))</x:f>
        <x:v>MWh</x:v>
      </x:c>
      <x:c r="P53" s="83" t="str"/>
      <x:c r="Q53" s="349"/>
      <x:c r="R53" s="349" t="str">
        <x:f>IF(L53="","",IF(Q53&lt;&gt;"",L53*Q53,IF(OR(ISNUMBER(SEARCH("EUR2025",M53&amp;"")),P53=2025,P53="2025"),L53,"")))</x:f>
      </x:c>
      <x:c r="S53" s="83" t="str">
        <x:v>A — Direct</x:v>
      </x:c>
      <x:c r="T53" s="83" t="str">
        <x:v>Direct zonal energy; duration harmonised separately.</x:v>
      </x:c>
      <x:c r="U53" s="83" t="str">
        <x:v>S09</x:v>
      </x:c>
      <x:c r="V53" s="83" t="str">
        <x:v>DDS Tabella 16</x:v>
      </x:c>
      <x:c r="W53" s="120"/>
      <x:c r="X53" s="83" t="str">
        <x:v>A — Direct</x:v>
      </x:c>
      <x:c r="Y53" s="83" t="str">
        <x:v>APPROVED direct energy; separate from MACSE</x:v>
      </x:c>
      <x:c r="Z53" s="83" t="str">
        <x:v>Ready when profiles/base network are available</x:v>
      </x:c>
      <x:c r="AA53" s="83" t="str">
        <x:v>Capacity Market energy retained from DDS. It is not the 42 GWh MACSE portfolio.</x:v>
      </x:c>
    </x:row>
    <x:row r="54">
      <x:c r="A54" s="83" t="str">
        <x:v>S4-00050</x:v>
      </x:c>
      <x:c r="B54" s="83" t="str">
        <x:v>IT2040_BASE_DEIT</x:v>
      </x:c>
      <x:c r="C54" s="83" t="n">
        <x:v>2040</x:v>
      </x:c>
      <x:c r="D54" s="83" t="str">
        <x:v>Storage power</x:v>
      </x:c>
      <x:c r="E54" s="83" t="str">
        <x:v>IT_CNOR</x:v>
      </x:c>
      <x:c r="F54" s="83" t="str">
        <x:v>CNOR</x:v>
      </x:c>
      <x:c r="G54" s="83" t="str">
        <x:v>CM</x:v>
      </x:c>
      <x:c r="H54" s="83" t="str">
        <x:v>Capacity Market battery power</x:v>
      </x:c>
      <x:c r="I54" s="83" t="str">
        <x:v>battery</x:v>
      </x:c>
      <x:c r="J54" s="83" t="str">
        <x:v>Link</x:v>
      </x:c>
      <x:c r="K54" s="83" t="str">
        <x:v>p_nom</x:v>
      </x:c>
      <x:c r="L54" s="279" t="n">
        <x:v>0.025</x:v>
      </x:c>
      <x:c r="M54" s="279" t="str">
        <x:v>GW</x:v>
      </x:c>
      <x:c r="N54" s="279" t="n">
        <x:f>IF(L54="","",IF(M54="GW",L54*1000,IF(M54="GWh",L54*1000,IF(M54="TWh",L54*1000000,L54))))</x:f>
        <x:v>25</x:v>
      </x:c>
      <x:c r="O54" s="83" t="str">
        <x:f>IF(L54="","",IF(M54="GW","MW",IF(OR(M54="GWh",M54="TWh"),"MWh",M54)))</x:f>
        <x:v>MW</x:v>
      </x:c>
      <x:c r="P54" s="83" t="str"/>
      <x:c r="Q54" s="349"/>
      <x:c r="R54" s="349" t="str">
        <x:f>IF(L54="","",IF(Q54&lt;&gt;"",L54*Q54,IF(OR(ISNUMBER(SEARCH("EUR2025",M54&amp;"")),P54=2025,P54="2025"),L54,"")))</x:f>
      </x:c>
      <x:c r="S54" s="83" t="str">
        <x:v>C — Assumed</x:v>
      </x:c>
      <x:c r="T54" s="83" t="str">
        <x:v>Capacity Market energy divided by the approved 4-hour duration.</x:v>
      </x:c>
      <x:c r="U54" s="83" t="str">
        <x:v>S09 + TERNA_RAI2025 + USER_DECISION</x:v>
      </x:c>
      <x:c r="V54" s="83" t="str">
        <x:v>DDS Table 16; Terna RAI 2025 §2.1.4</x:v>
      </x:c>
      <x:c r="W54" s="120" t="str">
        <x:v>https://download.terna.it/terna/Rapporto_Adeguatezza_Italia_2025_8de802607202dd6.pdf</x:v>
      </x:c>
      <x:c r="X54" s="83" t="str">
        <x:v>C — Assumed</x:v>
      </x:c>
      <x:c r="Y54" s="83" t="str">
        <x:v>APPROVED 4h derivation</x:v>
      </x:c>
      <x:c r="Z54" s="83" t="str">
        <x:v>Ready after user approval</x:v>
      </x:c>
      <x:c r="AA54" s="83" t="str">
        <x:v>Capacity Market remains a separate 4h class; no MACSE reclassification.</x:v>
      </x:c>
    </x:row>
    <x:row r="55">
      <x:c r="A55" s="83" t="str">
        <x:v>S4-00051</x:v>
      </x:c>
      <x:c r="B55" s="83" t="str">
        <x:v>IT2040_BASE_DEIT</x:v>
      </x:c>
      <x:c r="C55" s="83" t="n">
        <x:v>2040</x:v>
      </x:c>
      <x:c r="D55" s="83" t="str">
        <x:v>Storage</x:v>
      </x:c>
      <x:c r="E55" s="83" t="str">
        <x:v>IT_CSUD</x:v>
      </x:c>
      <x:c r="F55" s="83" t="str">
        <x:v>CSUD</x:v>
      </x:c>
      <x:c r="G55" s="83" t="str">
        <x:v>Small Scale</x:v>
      </x:c>
      <x:c r="H55" s="83" t="str">
        <x:v>Small-scale 2h</x:v>
      </x:c>
      <x:c r="I55" s="83" t="str">
        <x:v>battery</x:v>
      </x:c>
      <x:c r="J55" s="83" t="str">
        <x:v>Store + Links</x:v>
      </x:c>
      <x:c r="K55" s="83" t="str">
        <x:v>e_nom</x:v>
      </x:c>
      <x:c r="L55" s="279" t="n">
        <x:v>1.9333333333333331</x:v>
      </x:c>
      <x:c r="M55" s="279" t="str">
        <x:v>GWh</x:v>
      </x:c>
      <x:c r="N55" s="279" t="n">
        <x:f>IF(L55="","",IF(M55="GW",L55*1000,IF(M55="GWh",L55*1000,IF(M55="TWh",L55*1000000,L55))))</x:f>
        <x:v>1933.333333333333</x:v>
      </x:c>
      <x:c r="O55" s="83" t="str">
        <x:f>IF(L55="","",IF(M55="GW","MW",IF(OR(M55="GWh",M55="TWh"),"MWh",M55)))</x:f>
        <x:v>MWh</x:v>
      </x:c>
      <x:c r="P55" s="83" t="str"/>
      <x:c r="Q55" s="349"/>
      <x:c r="R55" s="349" t="str">
        <x:f>IF(L55="","",IF(Q55&lt;&gt;"",L55*Q55,IF(OR(ISNUMBER(SEARCH("EUR2025",M55&amp;"")),P55=2025,P55="2025"),L55,"")))</x:f>
      </x:c>
      <x:c r="S55" s="83" t="str">
        <x:v>C — Distributed assumption</x:v>
      </x:c>
      <x:c r="T55" s="83" t="str">
        <x:v>Split direct zonal energy 67%/33% between 2h/4h classes; p_nom=e_nom/2.</x:v>
      </x:c>
      <x:c r="U55" s="83" t="str">
        <x:v>S09 / S01</x:v>
      </x:c>
      <x:c r="V55" s="83" t="str">
        <x:v>DDS Table 16; 2025 observed portfolio duration</x:v>
      </x:c>
      <x:c r="W55" s="120"/>
      <x:c r="X55" s="83" t="str">
        <x:v>C — Assumed split</x:v>
      </x:c>
      <x:c r="Y55" s="83" t="str">
        <x:v>Proposed</x:v>
      </x:c>
      <x:c r="Z55" s="83" t="str">
        <x:v>Ready after user approval</x:v>
      </x:c>
      <x:c r="AA55" s="83" t="str">
        <x:v>Duration 2h; share derived from observed aggregate duration near 2.4h.</x:v>
      </x:c>
    </x:row>
    <x:row r="56">
      <x:c r="A56" s="83" t="str">
        <x:v>S4-00052</x:v>
      </x:c>
      <x:c r="B56" s="83" t="str">
        <x:v>IT2040_BASE_DEIT</x:v>
      </x:c>
      <x:c r="C56" s="83" t="n">
        <x:v>2040</x:v>
      </x:c>
      <x:c r="D56" s="83" t="str">
        <x:v>Storage power</x:v>
      </x:c>
      <x:c r="E56" s="83" t="str">
        <x:v>IT_CSUD</x:v>
      </x:c>
      <x:c r="F56" s="83" t="str">
        <x:v>CSUD</x:v>
      </x:c>
      <x:c r="G56" s="83" t="str">
        <x:v>Small Scale</x:v>
      </x:c>
      <x:c r="H56" s="83" t="str">
        <x:v>Small-scale 2h power</x:v>
      </x:c>
      <x:c r="I56" s="83" t="str">
        <x:v>battery</x:v>
      </x:c>
      <x:c r="J56" s="83" t="str">
        <x:v>Link</x:v>
      </x:c>
      <x:c r="K56" s="83" t="str">
        <x:v>p_nom</x:v>
      </x:c>
      <x:c r="L56" s="279" t="n">
        <x:v>0.9666666666666666</x:v>
      </x:c>
      <x:c r="M56" s="279" t="str">
        <x:v>GW</x:v>
      </x:c>
      <x:c r="N56" s="279" t="n">
        <x:f>IF(L56="","",IF(M56="GW",L56*1000,IF(M56="GWh",L56*1000,IF(M56="TWh",L56*1000000,L56))))</x:f>
        <x:v>966.6666666666665</x:v>
      </x:c>
      <x:c r="O56" s="83" t="str">
        <x:f>IF(L56="","",IF(M56="GW","MW",IF(OR(M56="GWh",M56="TWh"),"MWh",M56)))</x:f>
        <x:v>MW</x:v>
      </x:c>
      <x:c r="P56" s="83" t="str"/>
      <x:c r="Q56" s="349"/>
      <x:c r="R56" s="349" t="str">
        <x:f>IF(L56="","",IF(Q56&lt;&gt;"",L56*Q56,IF(OR(ISNUMBER(SEARCH("EUR2025",M56&amp;"")),P56=2025,P56="2025"),L56,"")))</x:f>
      </x:c>
      <x:c r="S56" s="83" t="str">
        <x:v>C — Derived</x:v>
      </x:c>
      <x:c r="T56" s="83" t="str">
        <x:v>Energy / 2 h.</x:v>
      </x:c>
      <x:c r="U56" s="83" t="str">
        <x:v>S09 / S01</x:v>
      </x:c>
      <x:c r="V56" s="83" t="str">
        <x:v>DDS Table 16 + harmonisation</x:v>
      </x:c>
      <x:c r="W56" s="120"/>
      <x:c r="X56" s="83" t="str">
        <x:v>C — Derived</x:v>
      </x:c>
      <x:c r="Y56" s="83" t="str">
        <x:v>Proposed</x:v>
      </x:c>
      <x:c r="Z56" s="83" t="str">
        <x:v>Ready after user approval</x:v>
      </x:c>
      <x:c r="AA56" s="83"/>
    </x:row>
    <x:row r="57">
      <x:c r="A57" s="83" t="str">
        <x:v>S4-00053</x:v>
      </x:c>
      <x:c r="B57" s="83" t="str">
        <x:v>IT2040_BASE_DEIT</x:v>
      </x:c>
      <x:c r="C57" s="83" t="n">
        <x:v>2040</x:v>
      </x:c>
      <x:c r="D57" s="83" t="str">
        <x:v>Storage</x:v>
      </x:c>
      <x:c r="E57" s="83" t="str">
        <x:v>IT_CSUD</x:v>
      </x:c>
      <x:c r="F57" s="83" t="str">
        <x:v>CSUD</x:v>
      </x:c>
      <x:c r="G57" s="83" t="str">
        <x:v>Small Scale</x:v>
      </x:c>
      <x:c r="H57" s="83" t="str">
        <x:v>Small-scale 4h</x:v>
      </x:c>
      <x:c r="I57" s="83" t="str">
        <x:v>battery</x:v>
      </x:c>
      <x:c r="J57" s="83" t="str">
        <x:v>Store + Links</x:v>
      </x:c>
      <x:c r="K57" s="83" t="str">
        <x:v>e_nom</x:v>
      </x:c>
      <x:c r="L57" s="279" t="n">
        <x:v>0.9666666666666666</x:v>
      </x:c>
      <x:c r="M57" s="279" t="str">
        <x:v>GWh</x:v>
      </x:c>
      <x:c r="N57" s="279" t="n">
        <x:f>IF(L57="","",IF(M57="GW",L57*1000,IF(M57="GWh",L57*1000,IF(M57="TWh",L57*1000000,L57))))</x:f>
        <x:v>966.6666666666665</x:v>
      </x:c>
      <x:c r="O57" s="83" t="str">
        <x:f>IF(L57="","",IF(M57="GW","MW",IF(OR(M57="GWh",M57="TWh"),"MWh",M57)))</x:f>
        <x:v>MWh</x:v>
      </x:c>
      <x:c r="P57" s="83" t="str"/>
      <x:c r="Q57" s="349"/>
      <x:c r="R57" s="349" t="str">
        <x:f>IF(L57="","",IF(Q57&lt;&gt;"",L57*Q57,IF(OR(ISNUMBER(SEARCH("EUR2025",M57&amp;"")),P57=2025,P57="2025"),L57,"")))</x:f>
      </x:c>
      <x:c r="S57" s="83" t="str">
        <x:v>C — Distributed assumption</x:v>
      </x:c>
      <x:c r="T57" s="83" t="str">
        <x:v>Split direct zonal energy 67%/33% between 2h/4h classes; p_nom=e_nom/4.</x:v>
      </x:c>
      <x:c r="U57" s="83" t="str">
        <x:v>S09 / S01</x:v>
      </x:c>
      <x:c r="V57" s="83" t="str">
        <x:v>DDS Table 16; 2025 observed portfolio duration</x:v>
      </x:c>
      <x:c r="W57" s="120"/>
      <x:c r="X57" s="83" t="str">
        <x:v>C — Assumed split</x:v>
      </x:c>
      <x:c r="Y57" s="83" t="str">
        <x:v>Proposed</x:v>
      </x:c>
      <x:c r="Z57" s="83" t="str">
        <x:v>Ready after user approval</x:v>
      </x:c>
      <x:c r="AA57" s="83" t="str">
        <x:v>Duration 4h; share derived from observed aggregate duration near 2.4h.</x:v>
      </x:c>
    </x:row>
    <x:row r="58">
      <x:c r="A58" s="83" t="str">
        <x:v>S4-00054</x:v>
      </x:c>
      <x:c r="B58" s="83" t="str">
        <x:v>IT2040_BASE_DEIT</x:v>
      </x:c>
      <x:c r="C58" s="83" t="n">
        <x:v>2040</x:v>
      </x:c>
      <x:c r="D58" s="83" t="str">
        <x:v>Storage power</x:v>
      </x:c>
      <x:c r="E58" s="83" t="str">
        <x:v>IT_CSUD</x:v>
      </x:c>
      <x:c r="F58" s="83" t="str">
        <x:v>CSUD</x:v>
      </x:c>
      <x:c r="G58" s="83" t="str">
        <x:v>Small Scale</x:v>
      </x:c>
      <x:c r="H58" s="83" t="str">
        <x:v>Small-scale 4h power</x:v>
      </x:c>
      <x:c r="I58" s="83" t="str">
        <x:v>battery</x:v>
      </x:c>
      <x:c r="J58" s="83" t="str">
        <x:v>Link</x:v>
      </x:c>
      <x:c r="K58" s="83" t="str">
        <x:v>p_nom</x:v>
      </x:c>
      <x:c r="L58" s="279" t="n">
        <x:v>0.24166666666666664</x:v>
      </x:c>
      <x:c r="M58" s="279" t="str">
        <x:v>GW</x:v>
      </x:c>
      <x:c r="N58" s="279" t="n">
        <x:f>IF(L58="","",IF(M58="GW",L58*1000,IF(M58="GWh",L58*1000,IF(M58="TWh",L58*1000000,L58))))</x:f>
        <x:v>241.66666666666663</x:v>
      </x:c>
      <x:c r="O58" s="83" t="str">
        <x:f>IF(L58="","",IF(M58="GW","MW",IF(OR(M58="GWh",M58="TWh"),"MWh",M58)))</x:f>
        <x:v>MW</x:v>
      </x:c>
      <x:c r="P58" s="83" t="str"/>
      <x:c r="Q58" s="349"/>
      <x:c r="R58" s="349" t="str">
        <x:f>IF(L58="","",IF(Q58&lt;&gt;"",L58*Q58,IF(OR(ISNUMBER(SEARCH("EUR2025",M58&amp;"")),P58=2025,P58="2025"),L58,"")))</x:f>
      </x:c>
      <x:c r="S58" s="83" t="str">
        <x:v>C — Derived</x:v>
      </x:c>
      <x:c r="T58" s="83" t="str">
        <x:v>Energy / 4 h.</x:v>
      </x:c>
      <x:c r="U58" s="83" t="str">
        <x:v>S09 / S01</x:v>
      </x:c>
      <x:c r="V58" s="83" t="str">
        <x:v>DDS Table 16 + harmonisation</x:v>
      </x:c>
      <x:c r="W58" s="120"/>
      <x:c r="X58" s="83" t="str">
        <x:v>C — Derived</x:v>
      </x:c>
      <x:c r="Y58" s="83" t="str">
        <x:v>Proposed</x:v>
      </x:c>
      <x:c r="Z58" s="83" t="str">
        <x:v>Ready after user approval</x:v>
      </x:c>
      <x:c r="AA58" s="83"/>
    </x:row>
    <x:row r="59">
      <x:c r="A59" s="83" t="str">
        <x:v>S4-00055</x:v>
      </x:c>
      <x:c r="B59" s="83" t="str">
        <x:v>IT2040_BASE_DEIT</x:v>
      </x:c>
      <x:c r="C59" s="83" t="n">
        <x:v>2040</x:v>
      </x:c>
      <x:c r="D59" s="83" t="str">
        <x:v>Storage</x:v>
      </x:c>
      <x:c r="E59" s="83" t="str">
        <x:v>IT_CSUD</x:v>
      </x:c>
      <x:c r="F59" s="83" t="str">
        <x:v>CSUD</x:v>
      </x:c>
      <x:c r="G59" s="83" t="str">
        <x:v>Utility Scale incl. MACSE</x:v>
      </x:c>
      <x:c r="H59" s="83" t="str">
        <x:v>Battery utility 8h</x:v>
      </x:c>
      <x:c r="I59" s="83" t="str">
        <x:v>battery</x:v>
      </x:c>
      <x:c r="J59" s="83" t="str">
        <x:v>Store + Links</x:v>
      </x:c>
      <x:c r="K59" s="83" t="str">
        <x:v>e_nom</x:v>
      </x:c>
      <x:c r="L59" s="279" t="n">
        <x:v>22.3</x:v>
      </x:c>
      <x:c r="M59" s="279" t="str">
        <x:v>GWh</x:v>
      </x:c>
      <x:c r="N59" s="279" t="n">
        <x:f>IF(L59="","",IF(M59="GW",L59*1000,IF(M59="GWh",L59*1000,IF(M59="TWh",L59*1000000,L59))))</x:f>
        <x:v>22300</x:v>
      </x:c>
      <x:c r="O59" s="83" t="str">
        <x:f>IF(L59="","",IF(M59="GW","MW",IF(OR(M59="GWh",M59="TWh"),"MWh",M59)))</x:f>
        <x:v>MWh</x:v>
      </x:c>
      <x:c r="P59" s="83" t="str"/>
      <x:c r="Q59" s="349"/>
      <x:c r="R59" s="349" t="str">
        <x:f>IF(L59="","",IF(Q59&lt;&gt;"",L59*Q59,IF(OR(ISNUMBER(SEARCH("EUR2025",M59&amp;"")),P59=2025,P59="2025"),L59,"")))</x:f>
      </x:c>
      <x:c r="S59" s="83" t="str">
        <x:v>A/C — Direct total; procurement subset identified</x:v>
      </x:c>
      <x:c r="T59" s="83" t="str">
        <x:v>DDS utility-scale total retained. A 42 GWh MACSE procurement portfolio is identified inside this total and is not added again.</x:v>
      </x:c>
      <x:c r="U59" s="83" t="str">
        <x:v>S09 + TERNA_MACSE_2028 + TERNA_MACSE_2029 + USER_DECISION</x:v>
      </x:c>
      <x:c r="V59" s="83" t="str">
        <x:v>DDS Table 16; 10 GWh MACSE 2028; 16 GWh 2029; 32 GWh available across the next two auctions</x:v>
      </x:c>
      <x:c r="W59" s="120" t="str">
        <x:v>https://www.terna.it/it/media/comunicati-stampa/dettaglio/conclusa-prima-asta-macse; https://download.terna.it/terna/Fabbisogno_di_nuova_capacita_di_stoccaggio_al_2029_8debcba830a85f3.pdf</x:v>
      </x:c>
      <x:c r="X59" s="83" t="str">
        <x:v>B/C — 26 GWh official; final 16 GWh planning tranche revisable</x:v>
      </x:c>
      <x:c r="Y59" s="83" t="str">
        <x:v>APPROVED total with MACSE subset</x:v>
      </x:c>
      <x:c r="Z59" s="83" t="str">
        <x:v>Ready when profiles/base network are available</x:v>
      </x:c>
      <x:c r="AA59" s="83" t="str">
        <x:v>MACSE path: 10 + 16 + 16 = 42 GWh. The final 16 GWh is an explicit scenario assumption based on Terna's 32 GWh quantity for the next two auctions.</x:v>
      </x:c>
    </x:row>
    <x:row r="60">
      <x:c r="A60" s="83" t="str">
        <x:v>S4-00056</x:v>
      </x:c>
      <x:c r="B60" s="83" t="str">
        <x:v>IT2040_BASE_DEIT</x:v>
      </x:c>
      <x:c r="C60" s="83" t="n">
        <x:v>2040</x:v>
      </x:c>
      <x:c r="D60" s="83" t="str">
        <x:v>Storage power</x:v>
      </x:c>
      <x:c r="E60" s="83" t="str">
        <x:v>IT_CSUD</x:v>
      </x:c>
      <x:c r="F60" s="83" t="str">
        <x:v>CSUD</x:v>
      </x:c>
      <x:c r="G60" s="83" t="str">
        <x:v>Utility Scale incl. MACSE</x:v>
      </x:c>
      <x:c r="H60" s="83" t="str">
        <x:v>Battery utility 8h power</x:v>
      </x:c>
      <x:c r="I60" s="83" t="str">
        <x:v>battery</x:v>
      </x:c>
      <x:c r="J60" s="83" t="str">
        <x:v>Link</x:v>
      </x:c>
      <x:c r="K60" s="83" t="str">
        <x:v>p_nom</x:v>
      </x:c>
      <x:c r="L60" s="279" t="n">
        <x:v>2.7875</x:v>
      </x:c>
      <x:c r="M60" s="279" t="str">
        <x:v>GW</x:v>
      </x:c>
      <x:c r="N60" s="279" t="n">
        <x:f>IF(L60="","",IF(M60="GW",L60*1000,IF(M60="GWh",L60*1000,IF(M60="TWh",L60*1000000,L60))))</x:f>
        <x:v>2787.5</x:v>
      </x:c>
      <x:c r="O60" s="83" t="str">
        <x:f>IF(L60="","",IF(M60="GW","MW",IF(OR(M60="GWh",M60="TWh"),"MWh",M60)))</x:f>
        <x:v>MW</x:v>
      </x:c>
      <x:c r="P60" s="83" t="str"/>
      <x:c r="Q60" s="349"/>
      <x:c r="R60" s="349" t="str">
        <x:f>IF(L60="","",IF(Q60&lt;&gt;"",L60*Q60,IF(OR(ISNUMBER(SEARCH("EUR2025",M60&amp;"")),P60=2025,P60="2025"),L60,"")))</x:f>
      </x:c>
      <x:c r="S60" s="83" t="str">
        <x:v>B — Derived</x:v>
      </x:c>
      <x:c r="T60" s="83" t="str">
        <x:v>e_nom / 8h.</x:v>
      </x:c>
      <x:c r="U60" s="83" t="str">
        <x:v>S09 + TERNA_MACSE + USER_DECISION</x:v>
      </x:c>
      <x:c r="V60" s="83" t="str">
        <x:v>Utility-scale 8h duration; MACSE subset 42 GWh / 5.25 GW</x:v>
      </x:c>
      <x:c r="W60" s="120" t="str">
        <x:v>https://www.terna.it/it/media/comunicati-stampa/dettaglio/conclusa-prima-asta-macse; https://download.terna.it/terna/Fabbisogno_di_nuova_capacita_di_stoccaggio_al_2029_8debcba830a85f3.pdf</x:v>
      </x:c>
      <x:c r="X60" s="83" t="str">
        <x:v>B — Derived</x:v>
      </x:c>
      <x:c r="Y60" s="83" t="str">
        <x:v>APPROVED total with MACSE subset</x:v>
      </x:c>
      <x:c r="Z60" s="83" t="str">
        <x:v>Ready when profiles/base network are available</x:v>
      </x:c>
      <x:c r="AA60" s="83" t="str">
        <x:v>The 42 GWh MACSE subset corresponds to 5.25 GW at 8h and remains embedded within total utility-scale power.</x:v>
      </x:c>
    </x:row>
    <x:row r="61">
      <x:c r="A61" s="83" t="str">
        <x:v>S4-00057</x:v>
      </x:c>
      <x:c r="B61" s="83" t="str">
        <x:v>IT2040_BASE_DEIT</x:v>
      </x:c>
      <x:c r="C61" s="83" t="n">
        <x:v>2040</x:v>
      </x:c>
      <x:c r="D61" s="83" t="str">
        <x:v>Storage</x:v>
      </x:c>
      <x:c r="E61" s="83" t="str">
        <x:v>IT_CSUD</x:v>
      </x:c>
      <x:c r="F61" s="83" t="str">
        <x:v>CSUD</x:v>
      </x:c>
      <x:c r="G61" s="83" t="str">
        <x:v>CM</x:v>
      </x:c>
      <x:c r="H61" s="83" t="str">
        <x:v>Capacity Market battery</x:v>
      </x:c>
      <x:c r="I61" s="83" t="str">
        <x:v>battery</x:v>
      </x:c>
      <x:c r="J61" s="83" t="str">
        <x:v>Store + Links</x:v>
      </x:c>
      <x:c r="K61" s="83" t="str">
        <x:v>e_nom</x:v>
      </x:c>
      <x:c r="L61" s="279" t="n">
        <x:v>0.9</x:v>
      </x:c>
      <x:c r="M61" s="279" t="str">
        <x:v>GWh</x:v>
      </x:c>
      <x:c r="N61" s="279" t="n">
        <x:f>IF(L61="","",IF(M61="GW",L61*1000,IF(M61="GWh",L61*1000,IF(M61="TWh",L61*1000000,L61))))</x:f>
        <x:v>900</x:v>
      </x:c>
      <x:c r="O61" s="83" t="str">
        <x:f>IF(L61="","",IF(M61="GW","MW",IF(OR(M61="GWh",M61="TWh"),"MWh",M61)))</x:f>
        <x:v>MWh</x:v>
      </x:c>
      <x:c r="P61" s="83" t="str"/>
      <x:c r="Q61" s="349"/>
      <x:c r="R61" s="349" t="str">
        <x:f>IF(L61="","",IF(Q61&lt;&gt;"",L61*Q61,IF(OR(ISNUMBER(SEARCH("EUR2025",M61&amp;"")),P61=2025,P61="2025"),L61,"")))</x:f>
      </x:c>
      <x:c r="S61" s="83" t="str">
        <x:v>A — Direct</x:v>
      </x:c>
      <x:c r="T61" s="83" t="str">
        <x:v>Direct zonal energy; duration harmonised separately.</x:v>
      </x:c>
      <x:c r="U61" s="83" t="str">
        <x:v>S09</x:v>
      </x:c>
      <x:c r="V61" s="83" t="str">
        <x:v>DDS Tabella 16</x:v>
      </x:c>
      <x:c r="W61" s="120"/>
      <x:c r="X61" s="83" t="str">
        <x:v>A — Direct</x:v>
      </x:c>
      <x:c r="Y61" s="83" t="str">
        <x:v>APPROVED direct energy; separate from MACSE</x:v>
      </x:c>
      <x:c r="Z61" s="83" t="str">
        <x:v>Ready when profiles/base network are available</x:v>
      </x:c>
      <x:c r="AA61" s="83" t="str">
        <x:v>Capacity Market energy retained from DDS. It is not the 42 GWh MACSE portfolio.</x:v>
      </x:c>
    </x:row>
    <x:row r="62">
      <x:c r="A62" s="83" t="str">
        <x:v>S4-00058</x:v>
      </x:c>
      <x:c r="B62" s="83" t="str">
        <x:v>IT2040_BASE_DEIT</x:v>
      </x:c>
      <x:c r="C62" s="83" t="n">
        <x:v>2040</x:v>
      </x:c>
      <x:c r="D62" s="83" t="str">
        <x:v>Storage power</x:v>
      </x:c>
      <x:c r="E62" s="83" t="str">
        <x:v>IT_CSUD</x:v>
      </x:c>
      <x:c r="F62" s="83" t="str">
        <x:v>CSUD</x:v>
      </x:c>
      <x:c r="G62" s="83" t="str">
        <x:v>CM</x:v>
      </x:c>
      <x:c r="H62" s="83" t="str">
        <x:v>Capacity Market battery power</x:v>
      </x:c>
      <x:c r="I62" s="83" t="str">
        <x:v>battery</x:v>
      </x:c>
      <x:c r="J62" s="83" t="str">
        <x:v>Link</x:v>
      </x:c>
      <x:c r="K62" s="83" t="str">
        <x:v>p_nom</x:v>
      </x:c>
      <x:c r="L62" s="279" t="n">
        <x:v>0.225</x:v>
      </x:c>
      <x:c r="M62" s="279" t="str">
        <x:v>GW</x:v>
      </x:c>
      <x:c r="N62" s="279" t="n">
        <x:f>IF(L62="","",IF(M62="GW",L62*1000,IF(M62="GWh",L62*1000,IF(M62="TWh",L62*1000000,L62))))</x:f>
        <x:v>225</x:v>
      </x:c>
      <x:c r="O62" s="83" t="str">
        <x:f>IF(L62="","",IF(M62="GW","MW",IF(OR(M62="GWh",M62="TWh"),"MWh",M62)))</x:f>
        <x:v>MW</x:v>
      </x:c>
      <x:c r="P62" s="83" t="str"/>
      <x:c r="Q62" s="349"/>
      <x:c r="R62" s="349" t="str">
        <x:f>IF(L62="","",IF(Q62&lt;&gt;"",L62*Q62,IF(OR(ISNUMBER(SEARCH("EUR2025",M62&amp;"")),P62=2025,P62="2025"),L62,"")))</x:f>
      </x:c>
      <x:c r="S62" s="83" t="str">
        <x:v>C — Assumed</x:v>
      </x:c>
      <x:c r="T62" s="83" t="str">
        <x:v>Capacity Market energy divided by the approved 4-hour duration.</x:v>
      </x:c>
      <x:c r="U62" s="83" t="str">
        <x:v>S09 + TERNA_RAI2025 + USER_DECISION</x:v>
      </x:c>
      <x:c r="V62" s="83" t="str">
        <x:v>DDS Table 16; Terna RAI 2025 §2.1.4</x:v>
      </x:c>
      <x:c r="W62" s="120" t="str">
        <x:v>https://download.terna.it/terna/Rapporto_Adeguatezza_Italia_2025_8de802607202dd6.pdf</x:v>
      </x:c>
      <x:c r="X62" s="83" t="str">
        <x:v>C — Assumed</x:v>
      </x:c>
      <x:c r="Y62" s="83" t="str">
        <x:v>APPROVED 4h derivation</x:v>
      </x:c>
      <x:c r="Z62" s="83" t="str">
        <x:v>Ready after user approval</x:v>
      </x:c>
      <x:c r="AA62" s="83" t="str">
        <x:v>Capacity Market remains a separate 4h class; no MACSE reclassification.</x:v>
      </x:c>
    </x:row>
    <x:row r="63">
      <x:c r="A63" s="83" t="str">
        <x:v>S4-00059</x:v>
      </x:c>
      <x:c r="B63" s="83" t="str">
        <x:v>IT2040_BASE_DEIT</x:v>
      </x:c>
      <x:c r="C63" s="83" t="n">
        <x:v>2040</x:v>
      </x:c>
      <x:c r="D63" s="83" t="str">
        <x:v>Storage</x:v>
      </x:c>
      <x:c r="E63" s="83" t="str">
        <x:v>IT_SUD</x:v>
      </x:c>
      <x:c r="F63" s="83" t="str">
        <x:v>SUD</x:v>
      </x:c>
      <x:c r="G63" s="83" t="str">
        <x:v>Small Scale</x:v>
      </x:c>
      <x:c r="H63" s="83" t="str">
        <x:v>Small-scale 2h</x:v>
      </x:c>
      <x:c r="I63" s="83" t="str">
        <x:v>battery</x:v>
      </x:c>
      <x:c r="J63" s="83" t="str">
        <x:v>Store + Links</x:v>
      </x:c>
      <x:c r="K63" s="83" t="str">
        <x:v>e_nom</x:v>
      </x:c>
      <x:c r="L63" s="279" t="n">
        <x:v>0.6</x:v>
      </x:c>
      <x:c r="M63" s="279" t="str">
        <x:v>GWh</x:v>
      </x:c>
      <x:c r="N63" s="279" t="n">
        <x:f>IF(L63="","",IF(M63="GW",L63*1000,IF(M63="GWh",L63*1000,IF(M63="TWh",L63*1000000,L63))))</x:f>
        <x:v>600</x:v>
      </x:c>
      <x:c r="O63" s="83" t="str">
        <x:f>IF(L63="","",IF(M63="GW","MW",IF(OR(M63="GWh",M63="TWh"),"MWh",M63)))</x:f>
        <x:v>MWh</x:v>
      </x:c>
      <x:c r="P63" s="83" t="str"/>
      <x:c r="Q63" s="349"/>
      <x:c r="R63" s="349" t="str">
        <x:f>IF(L63="","",IF(Q63&lt;&gt;"",L63*Q63,IF(OR(ISNUMBER(SEARCH("EUR2025",M63&amp;"")),P63=2025,P63="2025"),L63,"")))</x:f>
      </x:c>
      <x:c r="S63" s="83" t="str">
        <x:v>C — Distributed assumption</x:v>
      </x:c>
      <x:c r="T63" s="83" t="str">
        <x:v>Split direct zonal energy 67%/33% between 2h/4h classes; p_nom=e_nom/2.</x:v>
      </x:c>
      <x:c r="U63" s="83" t="str">
        <x:v>S09 / S01</x:v>
      </x:c>
      <x:c r="V63" s="83" t="str">
        <x:v>DDS Table 16; 2025 observed portfolio duration</x:v>
      </x:c>
      <x:c r="W63" s="120"/>
      <x:c r="X63" s="83" t="str">
        <x:v>C — Assumed split</x:v>
      </x:c>
      <x:c r="Y63" s="83" t="str">
        <x:v>Proposed</x:v>
      </x:c>
      <x:c r="Z63" s="83" t="str">
        <x:v>Ready after user approval</x:v>
      </x:c>
      <x:c r="AA63" s="83" t="str">
        <x:v>Duration 2h; share derived from observed aggregate duration near 2.4h.</x:v>
      </x:c>
    </x:row>
    <x:row r="64">
      <x:c r="A64" s="83" t="str">
        <x:v>S4-00060</x:v>
      </x:c>
      <x:c r="B64" s="83" t="str">
        <x:v>IT2040_BASE_DEIT</x:v>
      </x:c>
      <x:c r="C64" s="83" t="n">
        <x:v>2040</x:v>
      </x:c>
      <x:c r="D64" s="83" t="str">
        <x:v>Storage power</x:v>
      </x:c>
      <x:c r="E64" s="83" t="str">
        <x:v>IT_SUD</x:v>
      </x:c>
      <x:c r="F64" s="83" t="str">
        <x:v>SUD</x:v>
      </x:c>
      <x:c r="G64" s="83" t="str">
        <x:v>Small Scale</x:v>
      </x:c>
      <x:c r="H64" s="83" t="str">
        <x:v>Small-scale 2h power</x:v>
      </x:c>
      <x:c r="I64" s="83" t="str">
        <x:v>battery</x:v>
      </x:c>
      <x:c r="J64" s="83" t="str">
        <x:v>Link</x:v>
      </x:c>
      <x:c r="K64" s="83" t="str">
        <x:v>p_nom</x:v>
      </x:c>
      <x:c r="L64" s="279" t="n">
        <x:v>0.3</x:v>
      </x:c>
      <x:c r="M64" s="279" t="str">
        <x:v>GW</x:v>
      </x:c>
      <x:c r="N64" s="279" t="n">
        <x:f>IF(L64="","",IF(M64="GW",L64*1000,IF(M64="GWh",L64*1000,IF(M64="TWh",L64*1000000,L64))))</x:f>
        <x:v>300</x:v>
      </x:c>
      <x:c r="O64" s="83" t="str">
        <x:f>IF(L64="","",IF(M64="GW","MW",IF(OR(M64="GWh",M64="TWh"),"MWh",M64)))</x:f>
        <x:v>MW</x:v>
      </x:c>
      <x:c r="P64" s="83" t="str"/>
      <x:c r="Q64" s="349"/>
      <x:c r="R64" s="349" t="str">
        <x:f>IF(L64="","",IF(Q64&lt;&gt;"",L64*Q64,IF(OR(ISNUMBER(SEARCH("EUR2025",M64&amp;"")),P64=2025,P64="2025"),L64,"")))</x:f>
      </x:c>
      <x:c r="S64" s="83" t="str">
        <x:v>C — Derived</x:v>
      </x:c>
      <x:c r="T64" s="83" t="str">
        <x:v>Energy / 2 h.</x:v>
      </x:c>
      <x:c r="U64" s="83" t="str">
        <x:v>S09 / S01</x:v>
      </x:c>
      <x:c r="V64" s="83" t="str">
        <x:v>DDS Table 16 + harmonisation</x:v>
      </x:c>
      <x:c r="W64" s="120"/>
      <x:c r="X64" s="83" t="str">
        <x:v>C — Derived</x:v>
      </x:c>
      <x:c r="Y64" s="83" t="str">
        <x:v>Proposed</x:v>
      </x:c>
      <x:c r="Z64" s="83" t="str">
        <x:v>Ready after user approval</x:v>
      </x:c>
      <x:c r="AA64" s="83"/>
    </x:row>
    <x:row r="65">
      <x:c r="A65" s="83" t="str">
        <x:v>S4-00061</x:v>
      </x:c>
      <x:c r="B65" s="83" t="str">
        <x:v>IT2040_BASE_DEIT</x:v>
      </x:c>
      <x:c r="C65" s="83" t="n">
        <x:v>2040</x:v>
      </x:c>
      <x:c r="D65" s="83" t="str">
        <x:v>Storage</x:v>
      </x:c>
      <x:c r="E65" s="83" t="str">
        <x:v>IT_SUD</x:v>
      </x:c>
      <x:c r="F65" s="83" t="str">
        <x:v>SUD</x:v>
      </x:c>
      <x:c r="G65" s="83" t="str">
        <x:v>Small Scale</x:v>
      </x:c>
      <x:c r="H65" s="83" t="str">
        <x:v>Small-scale 4h</x:v>
      </x:c>
      <x:c r="I65" s="83" t="str">
        <x:v>battery</x:v>
      </x:c>
      <x:c r="J65" s="83" t="str">
        <x:v>Store + Links</x:v>
      </x:c>
      <x:c r="K65" s="83" t="str">
        <x:v>e_nom</x:v>
      </x:c>
      <x:c r="L65" s="279" t="n">
        <x:v>0.3</x:v>
      </x:c>
      <x:c r="M65" s="279" t="str">
        <x:v>GWh</x:v>
      </x:c>
      <x:c r="N65" s="279" t="n">
        <x:f>IF(L65="","",IF(M65="GW",L65*1000,IF(M65="GWh",L65*1000,IF(M65="TWh",L65*1000000,L65))))</x:f>
        <x:v>300</x:v>
      </x:c>
      <x:c r="O65" s="83" t="str">
        <x:f>IF(L65="","",IF(M65="GW","MW",IF(OR(M65="GWh",M65="TWh"),"MWh",M65)))</x:f>
        <x:v>MWh</x:v>
      </x:c>
      <x:c r="P65" s="83" t="str"/>
      <x:c r="Q65" s="349"/>
      <x:c r="R65" s="349" t="str">
        <x:f>IF(L65="","",IF(Q65&lt;&gt;"",L65*Q65,IF(OR(ISNUMBER(SEARCH("EUR2025",M65&amp;"")),P65=2025,P65="2025"),L65,"")))</x:f>
      </x:c>
      <x:c r="S65" s="83" t="str">
        <x:v>C — Distributed assumption</x:v>
      </x:c>
      <x:c r="T65" s="83" t="str">
        <x:v>Split direct zonal energy 67%/33% between 2h/4h classes; p_nom=e_nom/4.</x:v>
      </x:c>
      <x:c r="U65" s="83" t="str">
        <x:v>S09 / S01</x:v>
      </x:c>
      <x:c r="V65" s="83" t="str">
        <x:v>DDS Table 16; 2025 observed portfolio duration</x:v>
      </x:c>
      <x:c r="W65" s="120"/>
      <x:c r="X65" s="83" t="str">
        <x:v>C — Assumed split</x:v>
      </x:c>
      <x:c r="Y65" s="83" t="str">
        <x:v>Proposed</x:v>
      </x:c>
      <x:c r="Z65" s="83" t="str">
        <x:v>Ready after user approval</x:v>
      </x:c>
      <x:c r="AA65" s="83" t="str">
        <x:v>Duration 4h; share derived from observed aggregate duration near 2.4h.</x:v>
      </x:c>
    </x:row>
    <x:row r="66">
      <x:c r="A66" s="83" t="str">
        <x:v>S4-00062</x:v>
      </x:c>
      <x:c r="B66" s="83" t="str">
        <x:v>IT2040_BASE_DEIT</x:v>
      </x:c>
      <x:c r="C66" s="83" t="n">
        <x:v>2040</x:v>
      </x:c>
      <x:c r="D66" s="83" t="str">
        <x:v>Storage power</x:v>
      </x:c>
      <x:c r="E66" s="83" t="str">
        <x:v>IT_SUD</x:v>
      </x:c>
      <x:c r="F66" s="83" t="str">
        <x:v>SUD</x:v>
      </x:c>
      <x:c r="G66" s="83" t="str">
        <x:v>Small Scale</x:v>
      </x:c>
      <x:c r="H66" s="83" t="str">
        <x:v>Small-scale 4h power</x:v>
      </x:c>
      <x:c r="I66" s="83" t="str">
        <x:v>battery</x:v>
      </x:c>
      <x:c r="J66" s="83" t="str">
        <x:v>Link</x:v>
      </x:c>
      <x:c r="K66" s="83" t="str">
        <x:v>p_nom</x:v>
      </x:c>
      <x:c r="L66" s="279" t="n">
        <x:v>0.075</x:v>
      </x:c>
      <x:c r="M66" s="279" t="str">
        <x:v>GW</x:v>
      </x:c>
      <x:c r="N66" s="279" t="n">
        <x:f>IF(L66="","",IF(M66="GW",L66*1000,IF(M66="GWh",L66*1000,IF(M66="TWh",L66*1000000,L66))))</x:f>
        <x:v>75</x:v>
      </x:c>
      <x:c r="O66" s="83" t="str">
        <x:f>IF(L66="","",IF(M66="GW","MW",IF(OR(M66="GWh",M66="TWh"),"MWh",M66)))</x:f>
        <x:v>MW</x:v>
      </x:c>
      <x:c r="P66" s="83" t="str"/>
      <x:c r="Q66" s="349"/>
      <x:c r="R66" s="349" t="str">
        <x:f>IF(L66="","",IF(Q66&lt;&gt;"",L66*Q66,IF(OR(ISNUMBER(SEARCH("EUR2025",M66&amp;"")),P66=2025,P66="2025"),L66,"")))</x:f>
      </x:c>
      <x:c r="S66" s="83" t="str">
        <x:v>C — Derived</x:v>
      </x:c>
      <x:c r="T66" s="83" t="str">
        <x:v>Energy / 4 h.</x:v>
      </x:c>
      <x:c r="U66" s="83" t="str">
        <x:v>S09 / S01</x:v>
      </x:c>
      <x:c r="V66" s="83" t="str">
        <x:v>DDS Table 16 + harmonisation</x:v>
      </x:c>
      <x:c r="W66" s="120"/>
      <x:c r="X66" s="83" t="str">
        <x:v>C — Derived</x:v>
      </x:c>
      <x:c r="Y66" s="83" t="str">
        <x:v>Proposed</x:v>
      </x:c>
      <x:c r="Z66" s="83" t="str">
        <x:v>Ready after user approval</x:v>
      </x:c>
      <x:c r="AA66" s="83"/>
    </x:row>
    <x:row r="67">
      <x:c r="A67" s="83" t="str">
        <x:v>S4-00063</x:v>
      </x:c>
      <x:c r="B67" s="83" t="str">
        <x:v>IT2040_BASE_DEIT</x:v>
      </x:c>
      <x:c r="C67" s="83" t="n">
        <x:v>2040</x:v>
      </x:c>
      <x:c r="D67" s="83" t="str">
        <x:v>Storage</x:v>
      </x:c>
      <x:c r="E67" s="83" t="str">
        <x:v>IT_SUD</x:v>
      </x:c>
      <x:c r="F67" s="83" t="str">
        <x:v>SUD</x:v>
      </x:c>
      <x:c r="G67" s="83" t="str">
        <x:v>Utility Scale incl. MACSE</x:v>
      </x:c>
      <x:c r="H67" s="83" t="str">
        <x:v>Battery utility 8h</x:v>
      </x:c>
      <x:c r="I67" s="83" t="str">
        <x:v>battery</x:v>
      </x:c>
      <x:c r="J67" s="83" t="str">
        <x:v>Store + Links</x:v>
      </x:c>
      <x:c r="K67" s="83" t="str">
        <x:v>e_nom</x:v>
      </x:c>
      <x:c r="L67" s="279" t="n">
        <x:v>47.7</x:v>
      </x:c>
      <x:c r="M67" s="279" t="str">
        <x:v>GWh</x:v>
      </x:c>
      <x:c r="N67" s="279" t="n">
        <x:f>IF(L67="","",IF(M67="GW",L67*1000,IF(M67="GWh",L67*1000,IF(M67="TWh",L67*1000000,L67))))</x:f>
        <x:v>47700</x:v>
      </x:c>
      <x:c r="O67" s="83" t="str">
        <x:f>IF(L67="","",IF(M67="GW","MW",IF(OR(M67="GWh",M67="TWh"),"MWh",M67)))</x:f>
        <x:v>MWh</x:v>
      </x:c>
      <x:c r="P67" s="83" t="str"/>
      <x:c r="Q67" s="349"/>
      <x:c r="R67" s="349" t="str">
        <x:f>IF(L67="","",IF(Q67&lt;&gt;"",L67*Q67,IF(OR(ISNUMBER(SEARCH("EUR2025",M67&amp;"")),P67=2025,P67="2025"),L67,"")))</x:f>
      </x:c>
      <x:c r="S67" s="83" t="str">
        <x:v>A/C — Direct total; procurement subset identified</x:v>
      </x:c>
      <x:c r="T67" s="83" t="str">
        <x:v>DDS utility-scale total retained. A 42 GWh MACSE procurement portfolio is identified inside this total and is not added again.</x:v>
      </x:c>
      <x:c r="U67" s="83" t="str">
        <x:v>S09 + TERNA_MACSE_2028 + TERNA_MACSE_2029 + USER_DECISION</x:v>
      </x:c>
      <x:c r="V67" s="83" t="str">
        <x:v>DDS Table 16; 10 GWh MACSE 2028; 16 GWh 2029; 32 GWh available across the next two auctions</x:v>
      </x:c>
      <x:c r="W67" s="120" t="str">
        <x:v>https://www.terna.it/it/media/comunicati-stampa/dettaglio/conclusa-prima-asta-macse; https://download.terna.it/terna/Fabbisogno_di_nuova_capacita_di_stoccaggio_al_2029_8debcba830a85f3.pdf</x:v>
      </x:c>
      <x:c r="X67" s="83" t="str">
        <x:v>B/C — 26 GWh official; final 16 GWh planning tranche revisable</x:v>
      </x:c>
      <x:c r="Y67" s="83" t="str">
        <x:v>APPROVED total with MACSE subset</x:v>
      </x:c>
      <x:c r="Z67" s="83" t="str">
        <x:v>Ready when profiles/base network are available</x:v>
      </x:c>
      <x:c r="AA67" s="83" t="str">
        <x:v>MACSE path: 10 + 16 + 16 = 42 GWh. The final 16 GWh is an explicit scenario assumption based on Terna's 32 GWh quantity for the next two auctions.</x:v>
      </x:c>
    </x:row>
    <x:row r="68">
      <x:c r="A68" s="83" t="str">
        <x:v>S4-00064</x:v>
      </x:c>
      <x:c r="B68" s="83" t="str">
        <x:v>IT2040_BASE_DEIT</x:v>
      </x:c>
      <x:c r="C68" s="83" t="n">
        <x:v>2040</x:v>
      </x:c>
      <x:c r="D68" s="83" t="str">
        <x:v>Storage power</x:v>
      </x:c>
      <x:c r="E68" s="83" t="str">
        <x:v>IT_SUD</x:v>
      </x:c>
      <x:c r="F68" s="83" t="str">
        <x:v>SUD</x:v>
      </x:c>
      <x:c r="G68" s="83" t="str">
        <x:v>Utility Scale incl. MACSE</x:v>
      </x:c>
      <x:c r="H68" s="83" t="str">
        <x:v>Battery utility 8h power</x:v>
      </x:c>
      <x:c r="I68" s="83" t="str">
        <x:v>battery</x:v>
      </x:c>
      <x:c r="J68" s="83" t="str">
        <x:v>Link</x:v>
      </x:c>
      <x:c r="K68" s="83" t="str">
        <x:v>p_nom</x:v>
      </x:c>
      <x:c r="L68" s="279" t="n">
        <x:v>5.9625</x:v>
      </x:c>
      <x:c r="M68" s="279" t="str">
        <x:v>GW</x:v>
      </x:c>
      <x:c r="N68" s="279" t="n">
        <x:f>IF(L68="","",IF(M68="GW",L68*1000,IF(M68="GWh",L68*1000,IF(M68="TWh",L68*1000000,L68))))</x:f>
        <x:v>5962.5</x:v>
      </x:c>
      <x:c r="O68" s="83" t="str">
        <x:f>IF(L68="","",IF(M68="GW","MW",IF(OR(M68="GWh",M68="TWh"),"MWh",M68)))</x:f>
        <x:v>MW</x:v>
      </x:c>
      <x:c r="P68" s="83" t="str"/>
      <x:c r="Q68" s="349"/>
      <x:c r="R68" s="349" t="str">
        <x:f>IF(L68="","",IF(Q68&lt;&gt;"",L68*Q68,IF(OR(ISNUMBER(SEARCH("EUR2025",M68&amp;"")),P68=2025,P68="2025"),L68,"")))</x:f>
      </x:c>
      <x:c r="S68" s="83" t="str">
        <x:v>B — Derived</x:v>
      </x:c>
      <x:c r="T68" s="83" t="str">
        <x:v>e_nom / 8h.</x:v>
      </x:c>
      <x:c r="U68" s="83" t="str">
        <x:v>S09 + TERNA_MACSE + USER_DECISION</x:v>
      </x:c>
      <x:c r="V68" s="83" t="str">
        <x:v>Utility-scale 8h duration; MACSE subset 42 GWh / 5.25 GW</x:v>
      </x:c>
      <x:c r="W68" s="120" t="str">
        <x:v>https://www.terna.it/it/media/comunicati-stampa/dettaglio/conclusa-prima-asta-macse; https://download.terna.it/terna/Fabbisogno_di_nuova_capacita_di_stoccaggio_al_2029_8debcba830a85f3.pdf</x:v>
      </x:c>
      <x:c r="X68" s="83" t="str">
        <x:v>B — Derived</x:v>
      </x:c>
      <x:c r="Y68" s="83" t="str">
        <x:v>APPROVED total with MACSE subset</x:v>
      </x:c>
      <x:c r="Z68" s="83" t="str">
        <x:v>Ready when profiles/base network are available</x:v>
      </x:c>
      <x:c r="AA68" s="83" t="str">
        <x:v>The 42 GWh MACSE subset corresponds to 5.25 GW at 8h and remains embedded within total utility-scale power.</x:v>
      </x:c>
    </x:row>
    <x:row r="69">
      <x:c r="A69" s="83" t="str">
        <x:v>S4-00065</x:v>
      </x:c>
      <x:c r="B69" s="83" t="str">
        <x:v>IT2040_BASE_DEIT</x:v>
      </x:c>
      <x:c r="C69" s="83" t="n">
        <x:v>2040</x:v>
      </x:c>
      <x:c r="D69" s="83" t="str">
        <x:v>Storage</x:v>
      </x:c>
      <x:c r="E69" s="83" t="str">
        <x:v>IT_SUD</x:v>
      </x:c>
      <x:c r="F69" s="83" t="str">
        <x:v>SUD</x:v>
      </x:c>
      <x:c r="G69" s="83" t="str">
        <x:v>CM</x:v>
      </x:c>
      <x:c r="H69" s="83" t="str">
        <x:v>Capacity Market battery</x:v>
      </x:c>
      <x:c r="I69" s="83" t="str">
        <x:v>battery</x:v>
      </x:c>
      <x:c r="J69" s="83" t="str">
        <x:v>Store + Links</x:v>
      </x:c>
      <x:c r="K69" s="83" t="str">
        <x:v>e_nom</x:v>
      </x:c>
      <x:c r="L69" s="279" t="n">
        <x:v>0.1</x:v>
      </x:c>
      <x:c r="M69" s="279" t="str">
        <x:v>GWh</x:v>
      </x:c>
      <x:c r="N69" s="279" t="n">
        <x:f>IF(L69="","",IF(M69="GW",L69*1000,IF(M69="GWh",L69*1000,IF(M69="TWh",L69*1000000,L69))))</x:f>
        <x:v>100</x:v>
      </x:c>
      <x:c r="O69" s="83" t="str">
        <x:f>IF(L69="","",IF(M69="GW","MW",IF(OR(M69="GWh",M69="TWh"),"MWh",M69)))</x:f>
        <x:v>MWh</x:v>
      </x:c>
      <x:c r="P69" s="83" t="str"/>
      <x:c r="Q69" s="349"/>
      <x:c r="R69" s="349" t="str">
        <x:f>IF(L69="","",IF(Q69&lt;&gt;"",L69*Q69,IF(OR(ISNUMBER(SEARCH("EUR2025",M69&amp;"")),P69=2025,P69="2025"),L69,"")))</x:f>
      </x:c>
      <x:c r="S69" s="83" t="str">
        <x:v>A — Direct</x:v>
      </x:c>
      <x:c r="T69" s="83" t="str">
        <x:v>Direct zonal energy; duration harmonised separately.</x:v>
      </x:c>
      <x:c r="U69" s="83" t="str">
        <x:v>S09</x:v>
      </x:c>
      <x:c r="V69" s="83" t="str">
        <x:v>DDS Tabella 16</x:v>
      </x:c>
      <x:c r="W69" s="120"/>
      <x:c r="X69" s="83" t="str">
        <x:v>A — Direct</x:v>
      </x:c>
      <x:c r="Y69" s="83" t="str">
        <x:v>APPROVED direct energy; separate from MACSE</x:v>
      </x:c>
      <x:c r="Z69" s="83" t="str">
        <x:v>Ready when profiles/base network are available</x:v>
      </x:c>
      <x:c r="AA69" s="83" t="str">
        <x:v>Capacity Market energy retained from DDS. It is not the 42 GWh MACSE portfolio.</x:v>
      </x:c>
    </x:row>
    <x:row r="70">
      <x:c r="A70" s="83" t="str">
        <x:v>S4-00066</x:v>
      </x:c>
      <x:c r="B70" s="83" t="str">
        <x:v>IT2040_BASE_DEIT</x:v>
      </x:c>
      <x:c r="C70" s="83" t="n">
        <x:v>2040</x:v>
      </x:c>
      <x:c r="D70" s="83" t="str">
        <x:v>Storage power</x:v>
      </x:c>
      <x:c r="E70" s="83" t="str">
        <x:v>IT_SUD</x:v>
      </x:c>
      <x:c r="F70" s="83" t="str">
        <x:v>SUD</x:v>
      </x:c>
      <x:c r="G70" s="83" t="str">
        <x:v>CM</x:v>
      </x:c>
      <x:c r="H70" s="83" t="str">
        <x:v>Capacity Market battery power</x:v>
      </x:c>
      <x:c r="I70" s="83" t="str">
        <x:v>battery</x:v>
      </x:c>
      <x:c r="J70" s="83" t="str">
        <x:v>Link</x:v>
      </x:c>
      <x:c r="K70" s="83" t="str">
        <x:v>p_nom</x:v>
      </x:c>
      <x:c r="L70" s="279" t="n">
        <x:v>0.025</x:v>
      </x:c>
      <x:c r="M70" s="279" t="str">
        <x:v>GW</x:v>
      </x:c>
      <x:c r="N70" s="279" t="n">
        <x:f>IF(L70="","",IF(M70="GW",L70*1000,IF(M70="GWh",L70*1000,IF(M70="TWh",L70*1000000,L70))))</x:f>
        <x:v>25</x:v>
      </x:c>
      <x:c r="O70" s="83" t="str">
        <x:f>IF(L70="","",IF(M70="GW","MW",IF(OR(M70="GWh",M70="TWh"),"MWh",M70)))</x:f>
        <x:v>MW</x:v>
      </x:c>
      <x:c r="P70" s="83" t="str"/>
      <x:c r="Q70" s="349"/>
      <x:c r="R70" s="349" t="str">
        <x:f>IF(L70="","",IF(Q70&lt;&gt;"",L70*Q70,IF(OR(ISNUMBER(SEARCH("EUR2025",M70&amp;"")),P70=2025,P70="2025"),L70,"")))</x:f>
      </x:c>
      <x:c r="S70" s="83" t="str">
        <x:v>C — Assumed</x:v>
      </x:c>
      <x:c r="T70" s="83" t="str">
        <x:v>Capacity Market energy divided by the approved 4-hour duration.</x:v>
      </x:c>
      <x:c r="U70" s="83" t="str">
        <x:v>S09 + TERNA_RAI2025 + USER_DECISION</x:v>
      </x:c>
      <x:c r="V70" s="83" t="str">
        <x:v>DDS Table 16; Terna RAI 2025 §2.1.4</x:v>
      </x:c>
      <x:c r="W70" s="120" t="str">
        <x:v>https://download.terna.it/terna/Rapporto_Adeguatezza_Italia_2025_8de802607202dd6.pdf</x:v>
      </x:c>
      <x:c r="X70" s="83" t="str">
        <x:v>C — Assumed</x:v>
      </x:c>
      <x:c r="Y70" s="83" t="str">
        <x:v>APPROVED 4h derivation</x:v>
      </x:c>
      <x:c r="Z70" s="83" t="str">
        <x:v>Ready after user approval</x:v>
      </x:c>
      <x:c r="AA70" s="83" t="str">
        <x:v>Capacity Market remains a separate 4h class; no MACSE reclassification.</x:v>
      </x:c>
    </x:row>
    <x:row r="71">
      <x:c r="A71" s="83" t="str">
        <x:v>S4-00067</x:v>
      </x:c>
      <x:c r="B71" s="83" t="str">
        <x:v>IT2040_BASE_DEIT</x:v>
      </x:c>
      <x:c r="C71" s="83" t="n">
        <x:v>2040</x:v>
      </x:c>
      <x:c r="D71" s="83" t="str">
        <x:v>Storage</x:v>
      </x:c>
      <x:c r="E71" s="83" t="str">
        <x:v>IT_CALA</x:v>
      </x:c>
      <x:c r="F71" s="83" t="str">
        <x:v>CALA</x:v>
      </x:c>
      <x:c r="G71" s="83" t="str">
        <x:v>Small Scale</x:v>
      </x:c>
      <x:c r="H71" s="83" t="str">
        <x:v>Small-scale 2h</x:v>
      </x:c>
      <x:c r="I71" s="83" t="str">
        <x:v>battery</x:v>
      </x:c>
      <x:c r="J71" s="83" t="str">
        <x:v>Store + Links</x:v>
      </x:c>
      <x:c r="K71" s="83" t="str">
        <x:v>e_nom</x:v>
      </x:c>
      <x:c r="L71" s="279" t="n">
        <x:v>0.26666666666666666</x:v>
      </x:c>
      <x:c r="M71" s="279" t="str">
        <x:v>GWh</x:v>
      </x:c>
      <x:c r="N71" s="279" t="n">
        <x:f>IF(L71="","",IF(M71="GW",L71*1000,IF(M71="GWh",L71*1000,IF(M71="TWh",L71*1000000,L71))))</x:f>
        <x:v>266.6666666666667</x:v>
      </x:c>
      <x:c r="O71" s="83" t="str">
        <x:f>IF(L71="","",IF(M71="GW","MW",IF(OR(M71="GWh",M71="TWh"),"MWh",M71)))</x:f>
        <x:v>MWh</x:v>
      </x:c>
      <x:c r="P71" s="83" t="str"/>
      <x:c r="Q71" s="349"/>
      <x:c r="R71" s="349" t="str">
        <x:f>IF(L71="","",IF(Q71&lt;&gt;"",L71*Q71,IF(OR(ISNUMBER(SEARCH("EUR2025",M71&amp;"")),P71=2025,P71="2025"),L71,"")))</x:f>
      </x:c>
      <x:c r="S71" s="83" t="str">
        <x:v>C — Distributed assumption</x:v>
      </x:c>
      <x:c r="T71" s="83" t="str">
        <x:v>Split direct zonal energy 67%/33% between 2h/4h classes; p_nom=e_nom/2.</x:v>
      </x:c>
      <x:c r="U71" s="83" t="str">
        <x:v>S09 / S01</x:v>
      </x:c>
      <x:c r="V71" s="83" t="str">
        <x:v>DDS Table 16; 2025 observed portfolio duration</x:v>
      </x:c>
      <x:c r="W71" s="120"/>
      <x:c r="X71" s="83" t="str">
        <x:v>C — Assumed split</x:v>
      </x:c>
      <x:c r="Y71" s="83" t="str">
        <x:v>Proposed</x:v>
      </x:c>
      <x:c r="Z71" s="83" t="str">
        <x:v>Ready after user approval</x:v>
      </x:c>
      <x:c r="AA71" s="83" t="str">
        <x:v>Duration 2h; share derived from observed aggregate duration near 2.4h.</x:v>
      </x:c>
    </x:row>
    <x:row r="72">
      <x:c r="A72" s="83" t="str">
        <x:v>S4-00068</x:v>
      </x:c>
      <x:c r="B72" s="83" t="str">
        <x:v>IT2040_BASE_DEIT</x:v>
      </x:c>
      <x:c r="C72" s="83" t="n">
        <x:v>2040</x:v>
      </x:c>
      <x:c r="D72" s="83" t="str">
        <x:v>Storage power</x:v>
      </x:c>
      <x:c r="E72" s="83" t="str">
        <x:v>IT_CALA</x:v>
      </x:c>
      <x:c r="F72" s="83" t="str">
        <x:v>CALA</x:v>
      </x:c>
      <x:c r="G72" s="83" t="str">
        <x:v>Small Scale</x:v>
      </x:c>
      <x:c r="H72" s="83" t="str">
        <x:v>Small-scale 2h power</x:v>
      </x:c>
      <x:c r="I72" s="83" t="str">
        <x:v>battery</x:v>
      </x:c>
      <x:c r="J72" s="83" t="str">
        <x:v>Link</x:v>
      </x:c>
      <x:c r="K72" s="83" t="str">
        <x:v>p_nom</x:v>
      </x:c>
      <x:c r="L72" s="279" t="n">
        <x:v>0.13333333333333333</x:v>
      </x:c>
      <x:c r="M72" s="279" t="str">
        <x:v>GW</x:v>
      </x:c>
      <x:c r="N72" s="279" t="n">
        <x:f>IF(L72="","",IF(M72="GW",L72*1000,IF(M72="GWh",L72*1000,IF(M72="TWh",L72*1000000,L72))))</x:f>
        <x:v>133.33333333333334</x:v>
      </x:c>
      <x:c r="O72" s="83" t="str">
        <x:f>IF(L72="","",IF(M72="GW","MW",IF(OR(M72="GWh",M72="TWh"),"MWh",M72)))</x:f>
        <x:v>MW</x:v>
      </x:c>
      <x:c r="P72" s="83" t="str"/>
      <x:c r="Q72" s="349"/>
      <x:c r="R72" s="349" t="str">
        <x:f>IF(L72="","",IF(Q72&lt;&gt;"",L72*Q72,IF(OR(ISNUMBER(SEARCH("EUR2025",M72&amp;"")),P72=2025,P72="2025"),L72,"")))</x:f>
      </x:c>
      <x:c r="S72" s="83" t="str">
        <x:v>C — Derived</x:v>
      </x:c>
      <x:c r="T72" s="83" t="str">
        <x:v>Energy / 2 h.</x:v>
      </x:c>
      <x:c r="U72" s="83" t="str">
        <x:v>S09 / S01</x:v>
      </x:c>
      <x:c r="V72" s="83" t="str">
        <x:v>DDS Table 16 + harmonisation</x:v>
      </x:c>
      <x:c r="W72" s="120"/>
      <x:c r="X72" s="83" t="str">
        <x:v>C — Derived</x:v>
      </x:c>
      <x:c r="Y72" s="83" t="str">
        <x:v>Proposed</x:v>
      </x:c>
      <x:c r="Z72" s="83" t="str">
        <x:v>Ready after user approval</x:v>
      </x:c>
      <x:c r="AA72" s="83"/>
    </x:row>
    <x:row r="73">
      <x:c r="A73" s="83" t="str">
        <x:v>S4-00069</x:v>
      </x:c>
      <x:c r="B73" s="83" t="str">
        <x:v>IT2040_BASE_DEIT</x:v>
      </x:c>
      <x:c r="C73" s="83" t="n">
        <x:v>2040</x:v>
      </x:c>
      <x:c r="D73" s="83" t="str">
        <x:v>Storage</x:v>
      </x:c>
      <x:c r="E73" s="83" t="str">
        <x:v>IT_CALA</x:v>
      </x:c>
      <x:c r="F73" s="83" t="str">
        <x:v>CALA</x:v>
      </x:c>
      <x:c r="G73" s="83" t="str">
        <x:v>Small Scale</x:v>
      </x:c>
      <x:c r="H73" s="83" t="str">
        <x:v>Small-scale 4h</x:v>
      </x:c>
      <x:c r="I73" s="83" t="str">
        <x:v>battery</x:v>
      </x:c>
      <x:c r="J73" s="83" t="str">
        <x:v>Store + Links</x:v>
      </x:c>
      <x:c r="K73" s="83" t="str">
        <x:v>e_nom</x:v>
      </x:c>
      <x:c r="L73" s="279" t="n">
        <x:v>0.13333333333333333</x:v>
      </x:c>
      <x:c r="M73" s="279" t="str">
        <x:v>GWh</x:v>
      </x:c>
      <x:c r="N73" s="279" t="n">
        <x:f>IF(L73="","",IF(M73="GW",L73*1000,IF(M73="GWh",L73*1000,IF(M73="TWh",L73*1000000,L73))))</x:f>
        <x:v>133.33333333333334</x:v>
      </x:c>
      <x:c r="O73" s="83" t="str">
        <x:f>IF(L73="","",IF(M73="GW","MW",IF(OR(M73="GWh",M73="TWh"),"MWh",M73)))</x:f>
        <x:v>MWh</x:v>
      </x:c>
      <x:c r="P73" s="83" t="str"/>
      <x:c r="Q73" s="349"/>
      <x:c r="R73" s="349" t="str">
        <x:f>IF(L73="","",IF(Q73&lt;&gt;"",L73*Q73,IF(OR(ISNUMBER(SEARCH("EUR2025",M73&amp;"")),P73=2025,P73="2025"),L73,"")))</x:f>
      </x:c>
      <x:c r="S73" s="83" t="str">
        <x:v>C — Distributed assumption</x:v>
      </x:c>
      <x:c r="T73" s="83" t="str">
        <x:v>Split direct zonal energy 67%/33% between 2h/4h classes; p_nom=e_nom/4.</x:v>
      </x:c>
      <x:c r="U73" s="83" t="str">
        <x:v>S09 / S01</x:v>
      </x:c>
      <x:c r="V73" s="83" t="str">
        <x:v>DDS Table 16; 2025 observed portfolio duration</x:v>
      </x:c>
      <x:c r="W73" s="120"/>
      <x:c r="X73" s="83" t="str">
        <x:v>C — Assumed split</x:v>
      </x:c>
      <x:c r="Y73" s="83" t="str">
        <x:v>Proposed</x:v>
      </x:c>
      <x:c r="Z73" s="83" t="str">
        <x:v>Ready after user approval</x:v>
      </x:c>
      <x:c r="AA73" s="83" t="str">
        <x:v>Duration 4h; share derived from observed aggregate duration near 2.4h.</x:v>
      </x:c>
    </x:row>
    <x:row r="74">
      <x:c r="A74" s="83" t="str">
        <x:v>S4-00070</x:v>
      </x:c>
      <x:c r="B74" s="83" t="str">
        <x:v>IT2040_BASE_DEIT</x:v>
      </x:c>
      <x:c r="C74" s="83" t="n">
        <x:v>2040</x:v>
      </x:c>
      <x:c r="D74" s="83" t="str">
        <x:v>Storage power</x:v>
      </x:c>
      <x:c r="E74" s="83" t="str">
        <x:v>IT_CALA</x:v>
      </x:c>
      <x:c r="F74" s="83" t="str">
        <x:v>CALA</x:v>
      </x:c>
      <x:c r="G74" s="83" t="str">
        <x:v>Small Scale</x:v>
      </x:c>
      <x:c r="H74" s="83" t="str">
        <x:v>Small-scale 4h power</x:v>
      </x:c>
      <x:c r="I74" s="83" t="str">
        <x:v>battery</x:v>
      </x:c>
      <x:c r="J74" s="83" t="str">
        <x:v>Link</x:v>
      </x:c>
      <x:c r="K74" s="83" t="str">
        <x:v>p_nom</x:v>
      </x:c>
      <x:c r="L74" s="279" t="n">
        <x:v>0.03333333333333333</x:v>
      </x:c>
      <x:c r="M74" s="279" t="str">
        <x:v>GW</x:v>
      </x:c>
      <x:c r="N74" s="279" t="n">
        <x:f>IF(L74="","",IF(M74="GW",L74*1000,IF(M74="GWh",L74*1000,IF(M74="TWh",L74*1000000,L74))))</x:f>
        <x:v>33.333333333333336</x:v>
      </x:c>
      <x:c r="O74" s="83" t="str">
        <x:f>IF(L74="","",IF(M74="GW","MW",IF(OR(M74="GWh",M74="TWh"),"MWh",M74)))</x:f>
        <x:v>MW</x:v>
      </x:c>
      <x:c r="P74" s="83" t="str"/>
      <x:c r="Q74" s="349"/>
      <x:c r="R74" s="349" t="str">
        <x:f>IF(L74="","",IF(Q74&lt;&gt;"",L74*Q74,IF(OR(ISNUMBER(SEARCH("EUR2025",M74&amp;"")),P74=2025,P74="2025"),L74,"")))</x:f>
      </x:c>
      <x:c r="S74" s="83" t="str">
        <x:v>C — Derived</x:v>
      </x:c>
      <x:c r="T74" s="83" t="str">
        <x:v>Energy / 4 h.</x:v>
      </x:c>
      <x:c r="U74" s="83" t="str">
        <x:v>S09 / S01</x:v>
      </x:c>
      <x:c r="V74" s="83" t="str">
        <x:v>DDS Table 16 + harmonisation</x:v>
      </x:c>
      <x:c r="W74" s="120"/>
      <x:c r="X74" s="83" t="str">
        <x:v>C — Derived</x:v>
      </x:c>
      <x:c r="Y74" s="83" t="str">
        <x:v>Proposed</x:v>
      </x:c>
      <x:c r="Z74" s="83" t="str">
        <x:v>Ready after user approval</x:v>
      </x:c>
      <x:c r="AA74" s="83"/>
    </x:row>
    <x:row r="75">
      <x:c r="A75" s="83" t="str">
        <x:v>S4-00071</x:v>
      </x:c>
      <x:c r="B75" s="83" t="str">
        <x:v>IT2040_BASE_DEIT</x:v>
      </x:c>
      <x:c r="C75" s="83" t="n">
        <x:v>2040</x:v>
      </x:c>
      <x:c r="D75" s="83" t="str">
        <x:v>Storage</x:v>
      </x:c>
      <x:c r="E75" s="83" t="str">
        <x:v>IT_CALA</x:v>
      </x:c>
      <x:c r="F75" s="83" t="str">
        <x:v>CALA</x:v>
      </x:c>
      <x:c r="G75" s="83" t="str">
        <x:v>Utility Scale incl. MACSE</x:v>
      </x:c>
      <x:c r="H75" s="83" t="str">
        <x:v>Battery utility 8h</x:v>
      </x:c>
      <x:c r="I75" s="83" t="str">
        <x:v>battery</x:v>
      </x:c>
      <x:c r="J75" s="83" t="str">
        <x:v>Store + Links</x:v>
      </x:c>
      <x:c r="K75" s="83" t="str">
        <x:v>e_nom</x:v>
      </x:c>
      <x:c r="L75" s="279" t="n">
        <x:v>10.4</x:v>
      </x:c>
      <x:c r="M75" s="279" t="str">
        <x:v>GWh</x:v>
      </x:c>
      <x:c r="N75" s="279" t="n">
        <x:f>IF(L75="","",IF(M75="GW",L75*1000,IF(M75="GWh",L75*1000,IF(M75="TWh",L75*1000000,L75))))</x:f>
        <x:v>10400</x:v>
      </x:c>
      <x:c r="O75" s="83" t="str">
        <x:f>IF(L75="","",IF(M75="GW","MW",IF(OR(M75="GWh",M75="TWh"),"MWh",M75)))</x:f>
        <x:v>MWh</x:v>
      </x:c>
      <x:c r="P75" s="83" t="str"/>
      <x:c r="Q75" s="349"/>
      <x:c r="R75" s="349" t="str">
        <x:f>IF(L75="","",IF(Q75&lt;&gt;"",L75*Q75,IF(OR(ISNUMBER(SEARCH("EUR2025",M75&amp;"")),P75=2025,P75="2025"),L75,"")))</x:f>
      </x:c>
      <x:c r="S75" s="83" t="str">
        <x:v>A/C — Direct total; procurement subset identified</x:v>
      </x:c>
      <x:c r="T75" s="83" t="str">
        <x:v>DDS utility-scale total retained. A 42 GWh MACSE procurement portfolio is identified inside this total and is not added again.</x:v>
      </x:c>
      <x:c r="U75" s="83" t="str">
        <x:v>S09 + TERNA_MACSE_2028 + TERNA_MACSE_2029 + USER_DECISION</x:v>
      </x:c>
      <x:c r="V75" s="83" t="str">
        <x:v>DDS Table 16; 10 GWh MACSE 2028; 16 GWh 2029; 32 GWh available across the next two auctions</x:v>
      </x:c>
      <x:c r="W75" s="120" t="str">
        <x:v>https://www.terna.it/it/media/comunicati-stampa/dettaglio/conclusa-prima-asta-macse; https://download.terna.it/terna/Fabbisogno_di_nuova_capacita_di_stoccaggio_al_2029_8debcba830a85f3.pdf</x:v>
      </x:c>
      <x:c r="X75" s="83" t="str">
        <x:v>B/C — 26 GWh official; final 16 GWh planning tranche revisable</x:v>
      </x:c>
      <x:c r="Y75" s="83" t="str">
        <x:v>APPROVED total with MACSE subset</x:v>
      </x:c>
      <x:c r="Z75" s="83" t="str">
        <x:v>Ready when profiles/base network are available</x:v>
      </x:c>
      <x:c r="AA75" s="83" t="str">
        <x:v>MACSE path: 10 + 16 + 16 = 42 GWh. The final 16 GWh is an explicit scenario assumption based on Terna's 32 GWh quantity for the next two auctions.</x:v>
      </x:c>
    </x:row>
    <x:row r="76">
      <x:c r="A76" s="83" t="str">
        <x:v>S4-00072</x:v>
      </x:c>
      <x:c r="B76" s="83" t="str">
        <x:v>IT2040_BASE_DEIT</x:v>
      </x:c>
      <x:c r="C76" s="83" t="n">
        <x:v>2040</x:v>
      </x:c>
      <x:c r="D76" s="83" t="str">
        <x:v>Storage power</x:v>
      </x:c>
      <x:c r="E76" s="83" t="str">
        <x:v>IT_CALA</x:v>
      </x:c>
      <x:c r="F76" s="83" t="str">
        <x:v>CALA</x:v>
      </x:c>
      <x:c r="G76" s="83" t="str">
        <x:v>Utility Scale incl. MACSE</x:v>
      </x:c>
      <x:c r="H76" s="83" t="str">
        <x:v>Battery utility 8h power</x:v>
      </x:c>
      <x:c r="I76" s="83" t="str">
        <x:v>battery</x:v>
      </x:c>
      <x:c r="J76" s="83" t="str">
        <x:v>Link</x:v>
      </x:c>
      <x:c r="K76" s="83" t="str">
        <x:v>p_nom</x:v>
      </x:c>
      <x:c r="L76" s="279" t="n">
        <x:v>1.3</x:v>
      </x:c>
      <x:c r="M76" s="279" t="str">
        <x:v>GW</x:v>
      </x:c>
      <x:c r="N76" s="279" t="n">
        <x:f>IF(L76="","",IF(M76="GW",L76*1000,IF(M76="GWh",L76*1000,IF(M76="TWh",L76*1000000,L76))))</x:f>
        <x:v>1300</x:v>
      </x:c>
      <x:c r="O76" s="83" t="str">
        <x:f>IF(L76="","",IF(M76="GW","MW",IF(OR(M76="GWh",M76="TWh"),"MWh",M76)))</x:f>
        <x:v>MW</x:v>
      </x:c>
      <x:c r="P76" s="83" t="str"/>
      <x:c r="Q76" s="349"/>
      <x:c r="R76" s="349" t="str">
        <x:f>IF(L76="","",IF(Q76&lt;&gt;"",L76*Q76,IF(OR(ISNUMBER(SEARCH("EUR2025",M76&amp;"")),P76=2025,P76="2025"),L76,"")))</x:f>
      </x:c>
      <x:c r="S76" s="83" t="str">
        <x:v>B — Derived</x:v>
      </x:c>
      <x:c r="T76" s="83" t="str">
        <x:v>e_nom / 8h.</x:v>
      </x:c>
      <x:c r="U76" s="83" t="str">
        <x:v>S09 + TERNA_MACSE + USER_DECISION</x:v>
      </x:c>
      <x:c r="V76" s="83" t="str">
        <x:v>Utility-scale 8h duration; MACSE subset 42 GWh / 5.25 GW</x:v>
      </x:c>
      <x:c r="W76" s="120" t="str">
        <x:v>https://www.terna.it/it/media/comunicati-stampa/dettaglio/conclusa-prima-asta-macse; https://download.terna.it/terna/Fabbisogno_di_nuova_capacita_di_stoccaggio_al_2029_8debcba830a85f3.pdf</x:v>
      </x:c>
      <x:c r="X76" s="83" t="str">
        <x:v>B — Derived</x:v>
      </x:c>
      <x:c r="Y76" s="83" t="str">
        <x:v>APPROVED total with MACSE subset</x:v>
      </x:c>
      <x:c r="Z76" s="83" t="str">
        <x:v>Ready when profiles/base network are available</x:v>
      </x:c>
      <x:c r="AA76" s="83" t="str">
        <x:v>The 42 GWh MACSE subset corresponds to 5.25 GW at 8h and remains embedded within total utility-scale power.</x:v>
      </x:c>
    </x:row>
    <x:row r="77">
      <x:c r="A77" s="83" t="str">
        <x:v>S4-00073</x:v>
      </x:c>
      <x:c r="B77" s="83" t="str">
        <x:v>IT2040_BASE_DEIT</x:v>
      </x:c>
      <x:c r="C77" s="83" t="n">
        <x:v>2040</x:v>
      </x:c>
      <x:c r="D77" s="83" t="str">
        <x:v>Storage</x:v>
      </x:c>
      <x:c r="E77" s="83" t="str">
        <x:v>IT_CALA</x:v>
      </x:c>
      <x:c r="F77" s="83" t="str">
        <x:v>CALA</x:v>
      </x:c>
      <x:c r="G77" s="83" t="str">
        <x:v>CM</x:v>
      </x:c>
      <x:c r="H77" s="83" t="str">
        <x:v>Capacity Market battery</x:v>
      </x:c>
      <x:c r="I77" s="83" t="str">
        <x:v>battery</x:v>
      </x:c>
      <x:c r="J77" s="83" t="str">
        <x:v>Store + Links</x:v>
      </x:c>
      <x:c r="K77" s="83" t="str">
        <x:v>e_nom</x:v>
      </x:c>
      <x:c r="L77" s="279" t="n">
        <x:v>0</x:v>
      </x:c>
      <x:c r="M77" s="279" t="str">
        <x:v>GWh</x:v>
      </x:c>
      <x:c r="N77" s="279" t="str">
        <x:f>IF(L77="","",IF(M77="GW",L77*1000,IF(M77="GWh",L77*1000,IF(M77="TWh",L77*1000000,L77))))</x:f>
      </x:c>
      <x:c r="O77" s="83" t="str">
        <x:f>IF(L77="","",IF(M77="GW","MW",IF(OR(M77="GWh",M77="TWh"),"MWh",M77)))</x:f>
      </x:c>
      <x:c r="P77" s="83" t="str"/>
      <x:c r="Q77" s="349"/>
      <x:c r="R77" s="349" t="str">
        <x:f>IF(L77="","",IF(Q77&lt;&gt;"",L77*Q77,IF(OR(ISNUMBER(SEARCH("EUR2025",M77&amp;"")),P77=2025,P77="2025"),L77,"")))</x:f>
      </x:c>
      <x:c r="S77" s="83" t="str">
        <x:v>A — Direct</x:v>
      </x:c>
      <x:c r="T77" s="83" t="str">
        <x:v>Direct zonal energy; duration harmonised separately.</x:v>
      </x:c>
      <x:c r="U77" s="83" t="str">
        <x:v>S09</x:v>
      </x:c>
      <x:c r="V77" s="83" t="str">
        <x:v>DDS Tabella 16</x:v>
      </x:c>
      <x:c r="W77" s="120"/>
      <x:c r="X77" s="83" t="str">
        <x:v>A — Direct</x:v>
      </x:c>
      <x:c r="Y77" s="83" t="str">
        <x:v>APPROVED direct energy; separate from MACSE</x:v>
      </x:c>
      <x:c r="Z77" s="83" t="str">
        <x:v>Ready when profiles/base network are available</x:v>
      </x:c>
      <x:c r="AA77" s="83" t="str">
        <x:v>Capacity Market energy retained from DDS. It is not the 42 GWh MACSE portfolio.</x:v>
      </x:c>
    </x:row>
    <x:row r="78">
      <x:c r="A78" s="83" t="str">
        <x:v>S4-00074</x:v>
      </x:c>
      <x:c r="B78" s="83" t="str">
        <x:v>IT2040_BASE_DEIT</x:v>
      </x:c>
      <x:c r="C78" s="83" t="n">
        <x:v>2040</x:v>
      </x:c>
      <x:c r="D78" s="83" t="str">
        <x:v>Storage power</x:v>
      </x:c>
      <x:c r="E78" s="83" t="str">
        <x:v>IT_CALA</x:v>
      </x:c>
      <x:c r="F78" s="83" t="str">
        <x:v>CALA</x:v>
      </x:c>
      <x:c r="G78" s="83" t="str">
        <x:v>CM</x:v>
      </x:c>
      <x:c r="H78" s="83" t="str">
        <x:v>Capacity Market battery power</x:v>
      </x:c>
      <x:c r="I78" s="83" t="str">
        <x:v>battery</x:v>
      </x:c>
      <x:c r="J78" s="83" t="str">
        <x:v>Link</x:v>
      </x:c>
      <x:c r="K78" s="83" t="str">
        <x:v>p_nom</x:v>
      </x:c>
      <x:c r="L78" s="279" t="n">
        <x:v>0</x:v>
      </x:c>
      <x:c r="M78" s="279" t="str">
        <x:v>GW</x:v>
      </x:c>
      <x:c r="N78" s="279" t="str">
        <x:f>IF(L78="","",IF(M78="GW",L78*1000,IF(M78="GWh",L78*1000,IF(M78="TWh",L78*1000000,L78))))</x:f>
      </x:c>
      <x:c r="O78" s="83" t="str">
        <x:f>IF(L78="","",IF(M78="GW","MW",IF(OR(M78="GWh",M78="TWh"),"MWh",M78)))</x:f>
      </x:c>
      <x:c r="P78" s="83" t="str"/>
      <x:c r="Q78" s="349"/>
      <x:c r="R78" s="349" t="str">
        <x:f>IF(L78="","",IF(Q78&lt;&gt;"",L78*Q78,IF(OR(ISNUMBER(SEARCH("EUR2025",M78&amp;"")),P78=2025,P78="2025"),L78,"")))</x:f>
      </x:c>
      <x:c r="S78" s="83" t="str">
        <x:v>C — Assumed</x:v>
      </x:c>
      <x:c r="T78" s="83" t="str">
        <x:v>Capacity Market energy divided by the approved 4-hour duration.</x:v>
      </x:c>
      <x:c r="U78" s="83" t="str">
        <x:v>S09 + TERNA_RAI2025 + USER_DECISION</x:v>
      </x:c>
      <x:c r="V78" s="83" t="str">
        <x:v>DDS Table 16; Terna RAI 2025 §2.1.4</x:v>
      </x:c>
      <x:c r="W78" s="120" t="str">
        <x:v>https://download.terna.it/terna/Rapporto_Adeguatezza_Italia_2025_8de802607202dd6.pdf</x:v>
      </x:c>
      <x:c r="X78" s="83" t="str">
        <x:v>C — Assumed</x:v>
      </x:c>
      <x:c r="Y78" s="83" t="str">
        <x:v>APPROVED 4h derivation</x:v>
      </x:c>
      <x:c r="Z78" s="83" t="str">
        <x:v>Ready after user approval</x:v>
      </x:c>
      <x:c r="AA78" s="83" t="str">
        <x:v>Capacity Market remains a separate 4h class; no MACSE reclassification.</x:v>
      </x:c>
    </x:row>
    <x:row r="79">
      <x:c r="A79" s="83" t="str">
        <x:v>S4-00075</x:v>
      </x:c>
      <x:c r="B79" s="83" t="str">
        <x:v>IT2040_BASE_DEIT</x:v>
      </x:c>
      <x:c r="C79" s="83" t="n">
        <x:v>2040</x:v>
      </x:c>
      <x:c r="D79" s="83" t="str">
        <x:v>Storage</x:v>
      </x:c>
      <x:c r="E79" s="83" t="str">
        <x:v>IT_SICI</x:v>
      </x:c>
      <x:c r="F79" s="83" t="str">
        <x:v>SICI</x:v>
      </x:c>
      <x:c r="G79" s="83" t="str">
        <x:v>Small Scale</x:v>
      </x:c>
      <x:c r="H79" s="83" t="str">
        <x:v>Small-scale 2h</x:v>
      </x:c>
      <x:c r="I79" s="83" t="str">
        <x:v>battery</x:v>
      </x:c>
      <x:c r="J79" s="83" t="str">
        <x:v>Store + Links</x:v>
      </x:c>
      <x:c r="K79" s="83" t="str">
        <x:v>e_nom</x:v>
      </x:c>
      <x:c r="L79" s="279" t="n">
        <x:v>0.7333333333333334</x:v>
      </x:c>
      <x:c r="M79" s="279" t="str">
        <x:v>GWh</x:v>
      </x:c>
      <x:c r="N79" s="279" t="n">
        <x:f>IF(L79="","",IF(M79="GW",L79*1000,IF(M79="GWh",L79*1000,IF(M79="TWh",L79*1000000,L79))))</x:f>
        <x:v>733.3333333333334</x:v>
      </x:c>
      <x:c r="O79" s="83" t="str">
        <x:f>IF(L79="","",IF(M79="GW","MW",IF(OR(M79="GWh",M79="TWh"),"MWh",M79)))</x:f>
        <x:v>MWh</x:v>
      </x:c>
      <x:c r="P79" s="83" t="str"/>
      <x:c r="Q79" s="349"/>
      <x:c r="R79" s="349" t="str">
        <x:f>IF(L79="","",IF(Q79&lt;&gt;"",L79*Q79,IF(OR(ISNUMBER(SEARCH("EUR2025",M79&amp;"")),P79=2025,P79="2025"),L79,"")))</x:f>
      </x:c>
      <x:c r="S79" s="83" t="str">
        <x:v>C — Distributed assumption</x:v>
      </x:c>
      <x:c r="T79" s="83" t="str">
        <x:v>Split direct zonal energy 67%/33% between 2h/4h classes; p_nom=e_nom/2.</x:v>
      </x:c>
      <x:c r="U79" s="83" t="str">
        <x:v>S09 / S01</x:v>
      </x:c>
      <x:c r="V79" s="83" t="str">
        <x:v>DDS Table 16; 2025 observed portfolio duration</x:v>
      </x:c>
      <x:c r="W79" s="120"/>
      <x:c r="X79" s="83" t="str">
        <x:v>C — Assumed split</x:v>
      </x:c>
      <x:c r="Y79" s="83" t="str">
        <x:v>Proposed</x:v>
      </x:c>
      <x:c r="Z79" s="83" t="str">
        <x:v>Ready after user approval</x:v>
      </x:c>
      <x:c r="AA79" s="83" t="str">
        <x:v>Duration 2h; share derived from observed aggregate duration near 2.4h.</x:v>
      </x:c>
    </x:row>
    <x:row r="80">
      <x:c r="A80" s="83" t="str">
        <x:v>S4-00076</x:v>
      </x:c>
      <x:c r="B80" s="83" t="str">
        <x:v>IT2040_BASE_DEIT</x:v>
      </x:c>
      <x:c r="C80" s="83" t="n">
        <x:v>2040</x:v>
      </x:c>
      <x:c r="D80" s="83" t="str">
        <x:v>Storage power</x:v>
      </x:c>
      <x:c r="E80" s="83" t="str">
        <x:v>IT_SICI</x:v>
      </x:c>
      <x:c r="F80" s="83" t="str">
        <x:v>SICI</x:v>
      </x:c>
      <x:c r="G80" s="83" t="str">
        <x:v>Small Scale</x:v>
      </x:c>
      <x:c r="H80" s="83" t="str">
        <x:v>Small-scale 2h power</x:v>
      </x:c>
      <x:c r="I80" s="83" t="str">
        <x:v>battery</x:v>
      </x:c>
      <x:c r="J80" s="83" t="str">
        <x:v>Link</x:v>
      </x:c>
      <x:c r="K80" s="83" t="str">
        <x:v>p_nom</x:v>
      </x:c>
      <x:c r="L80" s="279" t="n">
        <x:v>0.3666666666666667</x:v>
      </x:c>
      <x:c r="M80" s="279" t="str">
        <x:v>GW</x:v>
      </x:c>
      <x:c r="N80" s="279" t="n">
        <x:f>IF(L80="","",IF(M80="GW",L80*1000,IF(M80="GWh",L80*1000,IF(M80="TWh",L80*1000000,L80))))</x:f>
        <x:v>366.6666666666667</x:v>
      </x:c>
      <x:c r="O80" s="83" t="str">
        <x:f>IF(L80="","",IF(M80="GW","MW",IF(OR(M80="GWh",M80="TWh"),"MWh",M80)))</x:f>
        <x:v>MW</x:v>
      </x:c>
      <x:c r="P80" s="83" t="str"/>
      <x:c r="Q80" s="349"/>
      <x:c r="R80" s="349" t="str">
        <x:f>IF(L80="","",IF(Q80&lt;&gt;"",L80*Q80,IF(OR(ISNUMBER(SEARCH("EUR2025",M80&amp;"")),P80=2025,P80="2025"),L80,"")))</x:f>
      </x:c>
      <x:c r="S80" s="83" t="str">
        <x:v>C — Derived</x:v>
      </x:c>
      <x:c r="T80" s="83" t="str">
        <x:v>Energy / 2 h.</x:v>
      </x:c>
      <x:c r="U80" s="83" t="str">
        <x:v>S09 / S01</x:v>
      </x:c>
      <x:c r="V80" s="83" t="str">
        <x:v>DDS Table 16 + harmonisation</x:v>
      </x:c>
      <x:c r="W80" s="120"/>
      <x:c r="X80" s="83" t="str">
        <x:v>C — Derived</x:v>
      </x:c>
      <x:c r="Y80" s="83" t="str">
        <x:v>Proposed</x:v>
      </x:c>
      <x:c r="Z80" s="83" t="str">
        <x:v>Ready after user approval</x:v>
      </x:c>
      <x:c r="AA80" s="83"/>
    </x:row>
    <x:row r="81">
      <x:c r="A81" s="83" t="str">
        <x:v>S4-00077</x:v>
      </x:c>
      <x:c r="B81" s="83" t="str">
        <x:v>IT2040_BASE_DEIT</x:v>
      </x:c>
      <x:c r="C81" s="83" t="n">
        <x:v>2040</x:v>
      </x:c>
      <x:c r="D81" s="83" t="str">
        <x:v>Storage</x:v>
      </x:c>
      <x:c r="E81" s="83" t="str">
        <x:v>IT_SICI</x:v>
      </x:c>
      <x:c r="F81" s="83" t="str">
        <x:v>SICI</x:v>
      </x:c>
      <x:c r="G81" s="83" t="str">
        <x:v>Small Scale</x:v>
      </x:c>
      <x:c r="H81" s="83" t="str">
        <x:v>Small-scale 4h</x:v>
      </x:c>
      <x:c r="I81" s="83" t="str">
        <x:v>battery</x:v>
      </x:c>
      <x:c r="J81" s="83" t="str">
        <x:v>Store + Links</x:v>
      </x:c>
      <x:c r="K81" s="83" t="str">
        <x:v>e_nom</x:v>
      </x:c>
      <x:c r="L81" s="279" t="n">
        <x:v>0.3666666666666667</x:v>
      </x:c>
      <x:c r="M81" s="279" t="str">
        <x:v>GWh</x:v>
      </x:c>
      <x:c r="N81" s="279" t="n">
        <x:f>IF(L81="","",IF(M81="GW",L81*1000,IF(M81="GWh",L81*1000,IF(M81="TWh",L81*1000000,L81))))</x:f>
        <x:v>366.6666666666667</x:v>
      </x:c>
      <x:c r="O81" s="83" t="str">
        <x:f>IF(L81="","",IF(M81="GW","MW",IF(OR(M81="GWh",M81="TWh"),"MWh",M81)))</x:f>
        <x:v>MWh</x:v>
      </x:c>
      <x:c r="P81" s="83" t="str"/>
      <x:c r="Q81" s="349"/>
      <x:c r="R81" s="349" t="str">
        <x:f>IF(L81="","",IF(Q81&lt;&gt;"",L81*Q81,IF(OR(ISNUMBER(SEARCH("EUR2025",M81&amp;"")),P81=2025,P81="2025"),L81,"")))</x:f>
      </x:c>
      <x:c r="S81" s="83" t="str">
        <x:v>C — Distributed assumption</x:v>
      </x:c>
      <x:c r="T81" s="83" t="str">
        <x:v>Split direct zonal energy 67%/33% between 2h/4h classes; p_nom=e_nom/4.</x:v>
      </x:c>
      <x:c r="U81" s="83" t="str">
        <x:v>S09 / S01</x:v>
      </x:c>
      <x:c r="V81" s="83" t="str">
        <x:v>DDS Table 16; 2025 observed portfolio duration</x:v>
      </x:c>
      <x:c r="W81" s="120"/>
      <x:c r="X81" s="83" t="str">
        <x:v>C — Assumed split</x:v>
      </x:c>
      <x:c r="Y81" s="83" t="str">
        <x:v>Proposed</x:v>
      </x:c>
      <x:c r="Z81" s="83" t="str">
        <x:v>Ready after user approval</x:v>
      </x:c>
      <x:c r="AA81" s="83" t="str">
        <x:v>Duration 4h; share derived from observed aggregate duration near 2.4h.</x:v>
      </x:c>
    </x:row>
    <x:row r="82">
      <x:c r="A82" s="83" t="str">
        <x:v>S4-00078</x:v>
      </x:c>
      <x:c r="B82" s="83" t="str">
        <x:v>IT2040_BASE_DEIT</x:v>
      </x:c>
      <x:c r="C82" s="83" t="n">
        <x:v>2040</x:v>
      </x:c>
      <x:c r="D82" s="83" t="str">
        <x:v>Storage power</x:v>
      </x:c>
      <x:c r="E82" s="83" t="str">
        <x:v>IT_SICI</x:v>
      </x:c>
      <x:c r="F82" s="83" t="str">
        <x:v>SICI</x:v>
      </x:c>
      <x:c r="G82" s="83" t="str">
        <x:v>Small Scale</x:v>
      </x:c>
      <x:c r="H82" s="83" t="str">
        <x:v>Small-scale 4h power</x:v>
      </x:c>
      <x:c r="I82" s="83" t="str">
        <x:v>battery</x:v>
      </x:c>
      <x:c r="J82" s="83" t="str">
        <x:v>Link</x:v>
      </x:c>
      <x:c r="K82" s="83" t="str">
        <x:v>p_nom</x:v>
      </x:c>
      <x:c r="L82" s="279" t="n">
        <x:v>0.09166666666666667</x:v>
      </x:c>
      <x:c r="M82" s="279" t="str">
        <x:v>GW</x:v>
      </x:c>
      <x:c r="N82" s="279" t="n">
        <x:f>IF(L82="","",IF(M82="GW",L82*1000,IF(M82="GWh",L82*1000,IF(M82="TWh",L82*1000000,L82))))</x:f>
        <x:v>91.66666666666667</x:v>
      </x:c>
      <x:c r="O82" s="83" t="str">
        <x:f>IF(L82="","",IF(M82="GW","MW",IF(OR(M82="GWh",M82="TWh"),"MWh",M82)))</x:f>
        <x:v>MW</x:v>
      </x:c>
      <x:c r="P82" s="83" t="str"/>
      <x:c r="Q82" s="349"/>
      <x:c r="R82" s="349" t="str">
        <x:f>IF(L82="","",IF(Q82&lt;&gt;"",L82*Q82,IF(OR(ISNUMBER(SEARCH("EUR2025",M82&amp;"")),P82=2025,P82="2025"),L82,"")))</x:f>
      </x:c>
      <x:c r="S82" s="83" t="str">
        <x:v>C — Derived</x:v>
      </x:c>
      <x:c r="T82" s="83" t="str">
        <x:v>Energy / 4 h.</x:v>
      </x:c>
      <x:c r="U82" s="83" t="str">
        <x:v>S09 / S01</x:v>
      </x:c>
      <x:c r="V82" s="83" t="str">
        <x:v>DDS Table 16 + harmonisation</x:v>
      </x:c>
      <x:c r="W82" s="120"/>
      <x:c r="X82" s="83" t="str">
        <x:v>C — Derived</x:v>
      </x:c>
      <x:c r="Y82" s="83" t="str">
        <x:v>Proposed</x:v>
      </x:c>
      <x:c r="Z82" s="83" t="str">
        <x:v>Ready after user approval</x:v>
      </x:c>
      <x:c r="AA82" s="83"/>
    </x:row>
    <x:row r="83">
      <x:c r="A83" s="83" t="str">
        <x:v>S4-00079</x:v>
      </x:c>
      <x:c r="B83" s="83" t="str">
        <x:v>IT2040_BASE_DEIT</x:v>
      </x:c>
      <x:c r="C83" s="83" t="n">
        <x:v>2040</x:v>
      </x:c>
      <x:c r="D83" s="83" t="str">
        <x:v>Storage</x:v>
      </x:c>
      <x:c r="E83" s="83" t="str">
        <x:v>IT_SICI</x:v>
      </x:c>
      <x:c r="F83" s="83" t="str">
        <x:v>SICI</x:v>
      </x:c>
      <x:c r="G83" s="83" t="str">
        <x:v>Utility Scale incl. MACSE</x:v>
      </x:c>
      <x:c r="H83" s="83" t="str">
        <x:v>Battery utility 8h</x:v>
      </x:c>
      <x:c r="I83" s="83" t="str">
        <x:v>battery</x:v>
      </x:c>
      <x:c r="J83" s="83" t="str">
        <x:v>Store + Links</x:v>
      </x:c>
      <x:c r="K83" s="83" t="str">
        <x:v>e_nom</x:v>
      </x:c>
      <x:c r="L83" s="279" t="n">
        <x:v>36.1</x:v>
      </x:c>
      <x:c r="M83" s="279" t="str">
        <x:v>GWh</x:v>
      </x:c>
      <x:c r="N83" s="279" t="n">
        <x:f>IF(L83="","",IF(M83="GW",L83*1000,IF(M83="GWh",L83*1000,IF(M83="TWh",L83*1000000,L83))))</x:f>
        <x:v>36100</x:v>
      </x:c>
      <x:c r="O83" s="83" t="str">
        <x:f>IF(L83="","",IF(M83="GW","MW",IF(OR(M83="GWh",M83="TWh"),"MWh",M83)))</x:f>
        <x:v>MWh</x:v>
      </x:c>
      <x:c r="P83" s="83" t="str"/>
      <x:c r="Q83" s="349"/>
      <x:c r="R83" s="349" t="str">
        <x:f>IF(L83="","",IF(Q83&lt;&gt;"",L83*Q83,IF(OR(ISNUMBER(SEARCH("EUR2025",M83&amp;"")),P83=2025,P83="2025"),L83,"")))</x:f>
      </x:c>
      <x:c r="S83" s="83" t="str">
        <x:v>A/C — Direct total; procurement subset identified</x:v>
      </x:c>
      <x:c r="T83" s="83" t="str">
        <x:v>DDS utility-scale total retained. A 42 GWh MACSE procurement portfolio is identified inside this total and is not added again.</x:v>
      </x:c>
      <x:c r="U83" s="83" t="str">
        <x:v>S09 + TERNA_MACSE_2028 + TERNA_MACSE_2029 + USER_DECISION</x:v>
      </x:c>
      <x:c r="V83" s="83" t="str">
        <x:v>DDS Table 16; 10 GWh MACSE 2028; 16 GWh 2029; 32 GWh available across the next two auctions</x:v>
      </x:c>
      <x:c r="W83" s="120" t="str">
        <x:v>https://www.terna.it/it/media/comunicati-stampa/dettaglio/conclusa-prima-asta-macse; https://download.terna.it/terna/Fabbisogno_di_nuova_capacita_di_stoccaggio_al_2029_8debcba830a85f3.pdf</x:v>
      </x:c>
      <x:c r="X83" s="83" t="str">
        <x:v>B/C — 26 GWh official; final 16 GWh planning tranche revisable</x:v>
      </x:c>
      <x:c r="Y83" s="83" t="str">
        <x:v>APPROVED total with MACSE subset</x:v>
      </x:c>
      <x:c r="Z83" s="83" t="str">
        <x:v>Ready when profiles/base network are available</x:v>
      </x:c>
      <x:c r="AA83" s="83" t="str">
        <x:v>MACSE path: 10 + 16 + 16 = 42 GWh. The final 16 GWh is an explicit scenario assumption based on Terna's 32 GWh quantity for the next two auctions.</x:v>
      </x:c>
    </x:row>
    <x:row r="84">
      <x:c r="A84" s="83" t="str">
        <x:v>S4-00080</x:v>
      </x:c>
      <x:c r="B84" s="83" t="str">
        <x:v>IT2040_BASE_DEIT</x:v>
      </x:c>
      <x:c r="C84" s="83" t="n">
        <x:v>2040</x:v>
      </x:c>
      <x:c r="D84" s="83" t="str">
        <x:v>Storage power</x:v>
      </x:c>
      <x:c r="E84" s="83" t="str">
        <x:v>IT_SICI</x:v>
      </x:c>
      <x:c r="F84" s="83" t="str">
        <x:v>SICI</x:v>
      </x:c>
      <x:c r="G84" s="83" t="str">
        <x:v>Utility Scale incl. MACSE</x:v>
      </x:c>
      <x:c r="H84" s="83" t="str">
        <x:v>Battery utility 8h power</x:v>
      </x:c>
      <x:c r="I84" s="83" t="str">
        <x:v>battery</x:v>
      </x:c>
      <x:c r="J84" s="83" t="str">
        <x:v>Link</x:v>
      </x:c>
      <x:c r="K84" s="83" t="str">
        <x:v>p_nom</x:v>
      </x:c>
      <x:c r="L84" s="279" t="n">
        <x:v>4.5125</x:v>
      </x:c>
      <x:c r="M84" s="279" t="str">
        <x:v>GW</x:v>
      </x:c>
      <x:c r="N84" s="279" t="n">
        <x:f>IF(L84="","",IF(M84="GW",L84*1000,IF(M84="GWh",L84*1000,IF(M84="TWh",L84*1000000,L84))))</x:f>
        <x:v>4512.5</x:v>
      </x:c>
      <x:c r="O84" s="83" t="str">
        <x:f>IF(L84="","",IF(M84="GW","MW",IF(OR(M84="GWh",M84="TWh"),"MWh",M84)))</x:f>
        <x:v>MW</x:v>
      </x:c>
      <x:c r="P84" s="83" t="str"/>
      <x:c r="Q84" s="349"/>
      <x:c r="R84" s="349" t="str">
        <x:f>IF(L84="","",IF(Q84&lt;&gt;"",L84*Q84,IF(OR(ISNUMBER(SEARCH("EUR2025",M84&amp;"")),P84=2025,P84="2025"),L84,"")))</x:f>
      </x:c>
      <x:c r="S84" s="83" t="str">
        <x:v>B — Derived</x:v>
      </x:c>
      <x:c r="T84" s="83" t="str">
        <x:v>e_nom / 8h.</x:v>
      </x:c>
      <x:c r="U84" s="83" t="str">
        <x:v>S09 + TERNA_MACSE + USER_DECISION</x:v>
      </x:c>
      <x:c r="V84" s="83" t="str">
        <x:v>Utility-scale 8h duration; MACSE subset 42 GWh / 5.25 GW</x:v>
      </x:c>
      <x:c r="W84" s="120" t="str">
        <x:v>https://www.terna.it/it/media/comunicati-stampa/dettaglio/conclusa-prima-asta-macse; https://download.terna.it/terna/Fabbisogno_di_nuova_capacita_di_stoccaggio_al_2029_8debcba830a85f3.pdf</x:v>
      </x:c>
      <x:c r="X84" s="83" t="str">
        <x:v>B — Derived</x:v>
      </x:c>
      <x:c r="Y84" s="83" t="str">
        <x:v>APPROVED total with MACSE subset</x:v>
      </x:c>
      <x:c r="Z84" s="83" t="str">
        <x:v>Ready when profiles/base network are available</x:v>
      </x:c>
      <x:c r="AA84" s="83" t="str">
        <x:v>The 42 GWh MACSE subset corresponds to 5.25 GW at 8h and remains embedded within total utility-scale power.</x:v>
      </x:c>
    </x:row>
    <x:row r="85">
      <x:c r="A85" s="83" t="str">
        <x:v>S4-00081</x:v>
      </x:c>
      <x:c r="B85" s="83" t="str">
        <x:v>IT2040_BASE_DEIT</x:v>
      </x:c>
      <x:c r="C85" s="83" t="n">
        <x:v>2040</x:v>
      </x:c>
      <x:c r="D85" s="83" t="str">
        <x:v>Storage</x:v>
      </x:c>
      <x:c r="E85" s="83" t="str">
        <x:v>IT_SICI</x:v>
      </x:c>
      <x:c r="F85" s="83" t="str">
        <x:v>SICI</x:v>
      </x:c>
      <x:c r="G85" s="83" t="str">
        <x:v>CM</x:v>
      </x:c>
      <x:c r="H85" s="83" t="str">
        <x:v>Capacity Market battery</x:v>
      </x:c>
      <x:c r="I85" s="83" t="str">
        <x:v>battery</x:v>
      </x:c>
      <x:c r="J85" s="83" t="str">
        <x:v>Store + Links</x:v>
      </x:c>
      <x:c r="K85" s="83" t="str">
        <x:v>e_nom</x:v>
      </x:c>
      <x:c r="L85" s="279" t="n">
        <x:v>0</x:v>
      </x:c>
      <x:c r="M85" s="279" t="str">
        <x:v>GWh</x:v>
      </x:c>
      <x:c r="N85" s="279" t="str">
        <x:f>IF(L85="","",IF(M85="GW",L85*1000,IF(M85="GWh",L85*1000,IF(M85="TWh",L85*1000000,L85))))</x:f>
      </x:c>
      <x:c r="O85" s="83" t="str">
        <x:f>IF(L85="","",IF(M85="GW","MW",IF(OR(M85="GWh",M85="TWh"),"MWh",M85)))</x:f>
      </x:c>
      <x:c r="P85" s="83" t="str"/>
      <x:c r="Q85" s="349"/>
      <x:c r="R85" s="349" t="str">
        <x:f>IF(L85="","",IF(Q85&lt;&gt;"",L85*Q85,IF(OR(ISNUMBER(SEARCH("EUR2025",M85&amp;"")),P85=2025,P85="2025"),L85,"")))</x:f>
      </x:c>
      <x:c r="S85" s="83" t="str">
        <x:v>A — Direct</x:v>
      </x:c>
      <x:c r="T85" s="83" t="str">
        <x:v>Direct zonal energy; duration harmonised separately.</x:v>
      </x:c>
      <x:c r="U85" s="83" t="str">
        <x:v>S09</x:v>
      </x:c>
      <x:c r="V85" s="83" t="str">
        <x:v>DDS Tabella 16</x:v>
      </x:c>
      <x:c r="W85" s="120"/>
      <x:c r="X85" s="83" t="str">
        <x:v>A — Direct</x:v>
      </x:c>
      <x:c r="Y85" s="83" t="str">
        <x:v>APPROVED direct energy; separate from MACSE</x:v>
      </x:c>
      <x:c r="Z85" s="83" t="str">
        <x:v>Ready when profiles/base network are available</x:v>
      </x:c>
      <x:c r="AA85" s="83" t="str">
        <x:v>Capacity Market energy retained from DDS. It is not the 42 GWh MACSE portfolio.</x:v>
      </x:c>
    </x:row>
    <x:row r="86">
      <x:c r="A86" s="83" t="str">
        <x:v>S4-00082</x:v>
      </x:c>
      <x:c r="B86" s="83" t="str">
        <x:v>IT2040_BASE_DEIT</x:v>
      </x:c>
      <x:c r="C86" s="83" t="n">
        <x:v>2040</x:v>
      </x:c>
      <x:c r="D86" s="83" t="str">
        <x:v>Storage power</x:v>
      </x:c>
      <x:c r="E86" s="83" t="str">
        <x:v>IT_SICI</x:v>
      </x:c>
      <x:c r="F86" s="83" t="str">
        <x:v>SICI</x:v>
      </x:c>
      <x:c r="G86" s="83" t="str">
        <x:v>CM</x:v>
      </x:c>
      <x:c r="H86" s="83" t="str">
        <x:v>Capacity Market battery power</x:v>
      </x:c>
      <x:c r="I86" s="83" t="str">
        <x:v>battery</x:v>
      </x:c>
      <x:c r="J86" s="83" t="str">
        <x:v>Link</x:v>
      </x:c>
      <x:c r="K86" s="83" t="str">
        <x:v>p_nom</x:v>
      </x:c>
      <x:c r="L86" s="279" t="n">
        <x:v>0</x:v>
      </x:c>
      <x:c r="M86" s="279" t="str">
        <x:v>GW</x:v>
      </x:c>
      <x:c r="N86" s="279" t="str">
        <x:f>IF(L86="","",IF(M86="GW",L86*1000,IF(M86="GWh",L86*1000,IF(M86="TWh",L86*1000000,L86))))</x:f>
      </x:c>
      <x:c r="O86" s="83" t="str">
        <x:f>IF(L86="","",IF(M86="GW","MW",IF(OR(M86="GWh",M86="TWh"),"MWh",M86)))</x:f>
      </x:c>
      <x:c r="P86" s="83" t="str"/>
      <x:c r="Q86" s="349"/>
      <x:c r="R86" s="349" t="str">
        <x:f>IF(L86="","",IF(Q86&lt;&gt;"",L86*Q86,IF(OR(ISNUMBER(SEARCH("EUR2025",M86&amp;"")),P86=2025,P86="2025"),L86,"")))</x:f>
      </x:c>
      <x:c r="S86" s="83" t="str">
        <x:v>C — Assumed</x:v>
      </x:c>
      <x:c r="T86" s="83" t="str">
        <x:v>Capacity Market energy divided by the approved 4-hour duration.</x:v>
      </x:c>
      <x:c r="U86" s="83" t="str">
        <x:v>S09 + TERNA_RAI2025 + USER_DECISION</x:v>
      </x:c>
      <x:c r="V86" s="83" t="str">
        <x:v>DDS Table 16; Terna RAI 2025 §2.1.4</x:v>
      </x:c>
      <x:c r="W86" s="120" t="str">
        <x:v>https://download.terna.it/terna/Rapporto_Adeguatezza_Italia_2025_8de802607202dd6.pdf</x:v>
      </x:c>
      <x:c r="X86" s="83" t="str">
        <x:v>C — Assumed</x:v>
      </x:c>
      <x:c r="Y86" s="83" t="str">
        <x:v>APPROVED 4h derivation</x:v>
      </x:c>
      <x:c r="Z86" s="83" t="str">
        <x:v>Ready after user approval</x:v>
      </x:c>
      <x:c r="AA86" s="83" t="str">
        <x:v>Capacity Market remains a separate 4h class; no MACSE reclassification.</x:v>
      </x:c>
    </x:row>
    <x:row r="87">
      <x:c r="A87" s="83" t="str">
        <x:v>S4-00083</x:v>
      </x:c>
      <x:c r="B87" s="83" t="str">
        <x:v>IT2040_BASE_DEIT</x:v>
      </x:c>
      <x:c r="C87" s="83" t="n">
        <x:v>2040</x:v>
      </x:c>
      <x:c r="D87" s="83" t="str">
        <x:v>Storage</x:v>
      </x:c>
      <x:c r="E87" s="83" t="str">
        <x:v>IT_SARD</x:v>
      </x:c>
      <x:c r="F87" s="83" t="str">
        <x:v>SARD</x:v>
      </x:c>
      <x:c r="G87" s="83" t="str">
        <x:v>Small Scale</x:v>
      </x:c>
      <x:c r="H87" s="83" t="str">
        <x:v>Small-scale 2h</x:v>
      </x:c>
      <x:c r="I87" s="83" t="str">
        <x:v>battery</x:v>
      </x:c>
      <x:c r="J87" s="83" t="str">
        <x:v>Store + Links</x:v>
      </x:c>
      <x:c r="K87" s="83" t="str">
        <x:v>e_nom</x:v>
      </x:c>
      <x:c r="L87" s="279" t="n">
        <x:v>0.39999999999999997</x:v>
      </x:c>
      <x:c r="M87" s="279" t="str">
        <x:v>GWh</x:v>
      </x:c>
      <x:c r="N87" s="279" t="n">
        <x:f>IF(L87="","",IF(M87="GW",L87*1000,IF(M87="GWh",L87*1000,IF(M87="TWh",L87*1000000,L87))))</x:f>
        <x:v>399.99999999999994</x:v>
      </x:c>
      <x:c r="O87" s="83" t="str">
        <x:f>IF(L87="","",IF(M87="GW","MW",IF(OR(M87="GWh",M87="TWh"),"MWh",M87)))</x:f>
        <x:v>MWh</x:v>
      </x:c>
      <x:c r="P87" s="83" t="str"/>
      <x:c r="Q87" s="349"/>
      <x:c r="R87" s="349" t="str">
        <x:f>IF(L87="","",IF(Q87&lt;&gt;"",L87*Q87,IF(OR(ISNUMBER(SEARCH("EUR2025",M87&amp;"")),P87=2025,P87="2025"),L87,"")))</x:f>
      </x:c>
      <x:c r="S87" s="83" t="str">
        <x:v>C — Distributed assumption</x:v>
      </x:c>
      <x:c r="T87" s="83" t="str">
        <x:v>Split direct zonal energy 67%/33% between 2h/4h classes; p_nom=e_nom/2.</x:v>
      </x:c>
      <x:c r="U87" s="83" t="str">
        <x:v>S09 / S01</x:v>
      </x:c>
      <x:c r="V87" s="83" t="str">
        <x:v>DDS Table 16; 2025 observed portfolio duration</x:v>
      </x:c>
      <x:c r="W87" s="120"/>
      <x:c r="X87" s="83" t="str">
        <x:v>C — Assumed split</x:v>
      </x:c>
      <x:c r="Y87" s="83" t="str">
        <x:v>Proposed</x:v>
      </x:c>
      <x:c r="Z87" s="83" t="str">
        <x:v>Ready after user approval</x:v>
      </x:c>
      <x:c r="AA87" s="83" t="str">
        <x:v>Duration 2h; share derived from observed aggregate duration near 2.4h.</x:v>
      </x:c>
    </x:row>
    <x:row r="88">
      <x:c r="A88" s="83" t="str">
        <x:v>S4-00084</x:v>
      </x:c>
      <x:c r="B88" s="83" t="str">
        <x:v>IT2040_BASE_DEIT</x:v>
      </x:c>
      <x:c r="C88" s="83" t="n">
        <x:v>2040</x:v>
      </x:c>
      <x:c r="D88" s="83" t="str">
        <x:v>Storage power</x:v>
      </x:c>
      <x:c r="E88" s="83" t="str">
        <x:v>IT_SARD</x:v>
      </x:c>
      <x:c r="F88" s="83" t="str">
        <x:v>SARD</x:v>
      </x:c>
      <x:c r="G88" s="83" t="str">
        <x:v>Small Scale</x:v>
      </x:c>
      <x:c r="H88" s="83" t="str">
        <x:v>Small-scale 2h power</x:v>
      </x:c>
      <x:c r="I88" s="83" t="str">
        <x:v>battery</x:v>
      </x:c>
      <x:c r="J88" s="83" t="str">
        <x:v>Link</x:v>
      </x:c>
      <x:c r="K88" s="83" t="str">
        <x:v>p_nom</x:v>
      </x:c>
      <x:c r="L88" s="279" t="n">
        <x:v>0.19999999999999998</x:v>
      </x:c>
      <x:c r="M88" s="279" t="str">
        <x:v>GW</x:v>
      </x:c>
      <x:c r="N88" s="279" t="n">
        <x:f>IF(L88="","",IF(M88="GW",L88*1000,IF(M88="GWh",L88*1000,IF(M88="TWh",L88*1000000,L88))))</x:f>
        <x:v>199.99999999999997</x:v>
      </x:c>
      <x:c r="O88" s="83" t="str">
        <x:f>IF(L88="","",IF(M88="GW","MW",IF(OR(M88="GWh",M88="TWh"),"MWh",M88)))</x:f>
        <x:v>MW</x:v>
      </x:c>
      <x:c r="P88" s="83" t="str"/>
      <x:c r="Q88" s="349"/>
      <x:c r="R88" s="349" t="str">
        <x:f>IF(L88="","",IF(Q88&lt;&gt;"",L88*Q88,IF(OR(ISNUMBER(SEARCH("EUR2025",M88&amp;"")),P88=2025,P88="2025"),L88,"")))</x:f>
      </x:c>
      <x:c r="S88" s="83" t="str">
        <x:v>C — Derived</x:v>
      </x:c>
      <x:c r="T88" s="83" t="str">
        <x:v>Energy / 2 h.</x:v>
      </x:c>
      <x:c r="U88" s="83" t="str">
        <x:v>S09 / S01</x:v>
      </x:c>
      <x:c r="V88" s="83" t="str">
        <x:v>DDS Table 16 + harmonisation</x:v>
      </x:c>
      <x:c r="W88" s="120"/>
      <x:c r="X88" s="83" t="str">
        <x:v>C — Derived</x:v>
      </x:c>
      <x:c r="Y88" s="83" t="str">
        <x:v>Proposed</x:v>
      </x:c>
      <x:c r="Z88" s="83" t="str">
        <x:v>Ready after user approval</x:v>
      </x:c>
      <x:c r="AA88" s="83"/>
    </x:row>
    <x:row r="89">
      <x:c r="A89" s="83" t="str">
        <x:v>S4-00085</x:v>
      </x:c>
      <x:c r="B89" s="83" t="str">
        <x:v>IT2040_BASE_DEIT</x:v>
      </x:c>
      <x:c r="C89" s="83" t="n">
        <x:v>2040</x:v>
      </x:c>
      <x:c r="D89" s="83" t="str">
        <x:v>Storage</x:v>
      </x:c>
      <x:c r="E89" s="83" t="str">
        <x:v>IT_SARD</x:v>
      </x:c>
      <x:c r="F89" s="83" t="str">
        <x:v>SARD</x:v>
      </x:c>
      <x:c r="G89" s="83" t="str">
        <x:v>Small Scale</x:v>
      </x:c>
      <x:c r="H89" s="83" t="str">
        <x:v>Small-scale 4h</x:v>
      </x:c>
      <x:c r="I89" s="83" t="str">
        <x:v>battery</x:v>
      </x:c>
      <x:c r="J89" s="83" t="str">
        <x:v>Store + Links</x:v>
      </x:c>
      <x:c r="K89" s="83" t="str">
        <x:v>e_nom</x:v>
      </x:c>
      <x:c r="L89" s="279" t="n">
        <x:v>0.19999999999999998</x:v>
      </x:c>
      <x:c r="M89" s="279" t="str">
        <x:v>GWh</x:v>
      </x:c>
      <x:c r="N89" s="279" t="n">
        <x:f>IF(L89="","",IF(M89="GW",L89*1000,IF(M89="GWh",L89*1000,IF(M89="TWh",L89*1000000,L89))))</x:f>
        <x:v>199.99999999999997</x:v>
      </x:c>
      <x:c r="O89" s="83" t="str">
        <x:f>IF(L89="","",IF(M89="GW","MW",IF(OR(M89="GWh",M89="TWh"),"MWh",M89)))</x:f>
        <x:v>MWh</x:v>
      </x:c>
      <x:c r="P89" s="83" t="str"/>
      <x:c r="Q89" s="349"/>
      <x:c r="R89" s="349" t="str">
        <x:f>IF(L89="","",IF(Q89&lt;&gt;"",L89*Q89,IF(OR(ISNUMBER(SEARCH("EUR2025",M89&amp;"")),P89=2025,P89="2025"),L89,"")))</x:f>
      </x:c>
      <x:c r="S89" s="83" t="str">
        <x:v>C — Distributed assumption</x:v>
      </x:c>
      <x:c r="T89" s="83" t="str">
        <x:v>Split direct zonal energy 67%/33% between 2h/4h classes; p_nom=e_nom/4.</x:v>
      </x:c>
      <x:c r="U89" s="83" t="str">
        <x:v>S09 / S01</x:v>
      </x:c>
      <x:c r="V89" s="83" t="str">
        <x:v>DDS Table 16; 2025 observed portfolio duration</x:v>
      </x:c>
      <x:c r="W89" s="120"/>
      <x:c r="X89" s="83" t="str">
        <x:v>C — Assumed split</x:v>
      </x:c>
      <x:c r="Y89" s="83" t="str">
        <x:v>Proposed</x:v>
      </x:c>
      <x:c r="Z89" s="83" t="str">
        <x:v>Ready after user approval</x:v>
      </x:c>
      <x:c r="AA89" s="83" t="str">
        <x:v>Duration 4h; share derived from observed aggregate duration near 2.4h.</x:v>
      </x:c>
    </x:row>
    <x:row r="90">
      <x:c r="A90" s="83" t="str">
        <x:v>S4-00086</x:v>
      </x:c>
      <x:c r="B90" s="83" t="str">
        <x:v>IT2040_BASE_DEIT</x:v>
      </x:c>
      <x:c r="C90" s="83" t="n">
        <x:v>2040</x:v>
      </x:c>
      <x:c r="D90" s="83" t="str">
        <x:v>Storage power</x:v>
      </x:c>
      <x:c r="E90" s="83" t="str">
        <x:v>IT_SARD</x:v>
      </x:c>
      <x:c r="F90" s="83" t="str">
        <x:v>SARD</x:v>
      </x:c>
      <x:c r="G90" s="83" t="str">
        <x:v>Small Scale</x:v>
      </x:c>
      <x:c r="H90" s="83" t="str">
        <x:v>Small-scale 4h power</x:v>
      </x:c>
      <x:c r="I90" s="83" t="str">
        <x:v>battery</x:v>
      </x:c>
      <x:c r="J90" s="83" t="str">
        <x:v>Link</x:v>
      </x:c>
      <x:c r="K90" s="83" t="str">
        <x:v>p_nom</x:v>
      </x:c>
      <x:c r="L90" s="279" t="n">
        <x:v>0.049999999999999996</x:v>
      </x:c>
      <x:c r="M90" s="279" t="str">
        <x:v>GW</x:v>
      </x:c>
      <x:c r="N90" s="279" t="n">
        <x:f>IF(L90="","",IF(M90="GW",L90*1000,IF(M90="GWh",L90*1000,IF(M90="TWh",L90*1000000,L90))))</x:f>
        <x:v>49.99999999999999</x:v>
      </x:c>
      <x:c r="O90" s="83" t="str">
        <x:f>IF(L90="","",IF(M90="GW","MW",IF(OR(M90="GWh",M90="TWh"),"MWh",M90)))</x:f>
        <x:v>MW</x:v>
      </x:c>
      <x:c r="P90" s="83" t="str"/>
      <x:c r="Q90" s="349"/>
      <x:c r="R90" s="349" t="str">
        <x:f>IF(L90="","",IF(Q90&lt;&gt;"",L90*Q90,IF(OR(ISNUMBER(SEARCH("EUR2025",M90&amp;"")),P90=2025,P90="2025"),L90,"")))</x:f>
      </x:c>
      <x:c r="S90" s="83" t="str">
        <x:v>C — Derived</x:v>
      </x:c>
      <x:c r="T90" s="83" t="str">
        <x:v>Energy / 4 h.</x:v>
      </x:c>
      <x:c r="U90" s="83" t="str">
        <x:v>S09 / S01</x:v>
      </x:c>
      <x:c r="V90" s="83" t="str">
        <x:v>DDS Table 16 + harmonisation</x:v>
      </x:c>
      <x:c r="W90" s="120"/>
      <x:c r="X90" s="83" t="str">
        <x:v>C — Derived</x:v>
      </x:c>
      <x:c r="Y90" s="83" t="str">
        <x:v>Proposed</x:v>
      </x:c>
      <x:c r="Z90" s="83" t="str">
        <x:v>Ready after user approval</x:v>
      </x:c>
      <x:c r="AA90" s="83"/>
    </x:row>
    <x:row r="91">
      <x:c r="A91" s="83" t="str">
        <x:v>S4-00087</x:v>
      </x:c>
      <x:c r="B91" s="83" t="str">
        <x:v>IT2040_BASE_DEIT</x:v>
      </x:c>
      <x:c r="C91" s="83" t="n">
        <x:v>2040</x:v>
      </x:c>
      <x:c r="D91" s="83" t="str">
        <x:v>Storage</x:v>
      </x:c>
      <x:c r="E91" s="83" t="str">
        <x:v>IT_SARD</x:v>
      </x:c>
      <x:c r="F91" s="83" t="str">
        <x:v>SARD</x:v>
      </x:c>
      <x:c r="G91" s="83" t="str">
        <x:v>Utility Scale incl. MACSE</x:v>
      </x:c>
      <x:c r="H91" s="83" t="str">
        <x:v>Battery utility 8h</x:v>
      </x:c>
      <x:c r="I91" s="83" t="str">
        <x:v>battery</x:v>
      </x:c>
      <x:c r="J91" s="83" t="str">
        <x:v>Store + Links</x:v>
      </x:c>
      <x:c r="K91" s="83" t="str">
        <x:v>e_nom</x:v>
      </x:c>
      <x:c r="L91" s="279" t="n">
        <x:v>20.3</x:v>
      </x:c>
      <x:c r="M91" s="279" t="str">
        <x:v>GWh</x:v>
      </x:c>
      <x:c r="N91" s="279" t="n">
        <x:f>IF(L91="","",IF(M91="GW",L91*1000,IF(M91="GWh",L91*1000,IF(M91="TWh",L91*1000000,L91))))</x:f>
        <x:v>20300</x:v>
      </x:c>
      <x:c r="O91" s="83" t="str">
        <x:f>IF(L91="","",IF(M91="GW","MW",IF(OR(M91="GWh",M91="TWh"),"MWh",M91)))</x:f>
        <x:v>MWh</x:v>
      </x:c>
      <x:c r="P91" s="83" t="str"/>
      <x:c r="Q91" s="349"/>
      <x:c r="R91" s="349" t="str">
        <x:f>IF(L91="","",IF(Q91&lt;&gt;"",L91*Q91,IF(OR(ISNUMBER(SEARCH("EUR2025",M91&amp;"")),P91=2025,P91="2025"),L91,"")))</x:f>
      </x:c>
      <x:c r="S91" s="83" t="str">
        <x:v>A/C — Direct total; procurement subset identified</x:v>
      </x:c>
      <x:c r="T91" s="83" t="str">
        <x:v>DDS utility-scale total retained. A 42 GWh MACSE procurement portfolio is identified inside this total and is not added again.</x:v>
      </x:c>
      <x:c r="U91" s="83" t="str">
        <x:v>S09 + TERNA_MACSE_2028 + TERNA_MACSE_2029 + USER_DECISION</x:v>
      </x:c>
      <x:c r="V91" s="83" t="str">
        <x:v>DDS Table 16; 10 GWh MACSE 2028; 16 GWh 2029; 32 GWh available across the next two auctions</x:v>
      </x:c>
      <x:c r="W91" s="120" t="str">
        <x:v>https://www.terna.it/it/media/comunicati-stampa/dettaglio/conclusa-prima-asta-macse; https://download.terna.it/terna/Fabbisogno_di_nuova_capacita_di_stoccaggio_al_2029_8debcba830a85f3.pdf</x:v>
      </x:c>
      <x:c r="X91" s="83" t="str">
        <x:v>B/C — 26 GWh official; final 16 GWh planning tranche revisable</x:v>
      </x:c>
      <x:c r="Y91" s="83" t="str">
        <x:v>APPROVED total with MACSE subset</x:v>
      </x:c>
      <x:c r="Z91" s="83" t="str">
        <x:v>Ready when profiles/base network are available</x:v>
      </x:c>
      <x:c r="AA91" s="83" t="str">
        <x:v>MACSE path: 10 + 16 + 16 = 42 GWh. The final 16 GWh is an explicit scenario assumption based on Terna's 32 GWh quantity for the next two auctions.</x:v>
      </x:c>
    </x:row>
    <x:row r="92">
      <x:c r="A92" s="83" t="str">
        <x:v>S4-00088</x:v>
      </x:c>
      <x:c r="B92" s="83" t="str">
        <x:v>IT2040_BASE_DEIT</x:v>
      </x:c>
      <x:c r="C92" s="83" t="n">
        <x:v>2040</x:v>
      </x:c>
      <x:c r="D92" s="83" t="str">
        <x:v>Storage power</x:v>
      </x:c>
      <x:c r="E92" s="83" t="str">
        <x:v>IT_SARD</x:v>
      </x:c>
      <x:c r="F92" s="83" t="str">
        <x:v>SARD</x:v>
      </x:c>
      <x:c r="G92" s="83" t="str">
        <x:v>Utility Scale incl. MACSE</x:v>
      </x:c>
      <x:c r="H92" s="83" t="str">
        <x:v>Battery utility 8h power</x:v>
      </x:c>
      <x:c r="I92" s="83" t="str">
        <x:v>battery</x:v>
      </x:c>
      <x:c r="J92" s="83" t="str">
        <x:v>Link</x:v>
      </x:c>
      <x:c r="K92" s="83" t="str">
        <x:v>p_nom</x:v>
      </x:c>
      <x:c r="L92" s="279" t="n">
        <x:v>2.5375</x:v>
      </x:c>
      <x:c r="M92" s="279" t="str">
        <x:v>GW</x:v>
      </x:c>
      <x:c r="N92" s="279" t="n">
        <x:f>IF(L92="","",IF(M92="GW",L92*1000,IF(M92="GWh",L92*1000,IF(M92="TWh",L92*1000000,L92))))</x:f>
        <x:v>2537.5</x:v>
      </x:c>
      <x:c r="O92" s="83" t="str">
        <x:f>IF(L92="","",IF(M92="GW","MW",IF(OR(M92="GWh",M92="TWh"),"MWh",M92)))</x:f>
        <x:v>MW</x:v>
      </x:c>
      <x:c r="P92" s="83" t="str"/>
      <x:c r="Q92" s="349"/>
      <x:c r="R92" s="349" t="str">
        <x:f>IF(L92="","",IF(Q92&lt;&gt;"",L92*Q92,IF(OR(ISNUMBER(SEARCH("EUR2025",M92&amp;"")),P92=2025,P92="2025"),L92,"")))</x:f>
      </x:c>
      <x:c r="S92" s="83" t="str">
        <x:v>B — Derived</x:v>
      </x:c>
      <x:c r="T92" s="83" t="str">
        <x:v>e_nom / 8h.</x:v>
      </x:c>
      <x:c r="U92" s="83" t="str">
        <x:v>S09 + TERNA_MACSE + USER_DECISION</x:v>
      </x:c>
      <x:c r="V92" s="83" t="str">
        <x:v>Utility-scale 8h duration; MACSE subset 42 GWh / 5.25 GW</x:v>
      </x:c>
      <x:c r="W92" s="120" t="str">
        <x:v>https://www.terna.it/it/media/comunicati-stampa/dettaglio/conclusa-prima-asta-macse; https://download.terna.it/terna/Fabbisogno_di_nuova_capacita_di_stoccaggio_al_2029_8debcba830a85f3.pdf</x:v>
      </x:c>
      <x:c r="X92" s="83" t="str">
        <x:v>B — Derived</x:v>
      </x:c>
      <x:c r="Y92" s="83" t="str">
        <x:v>APPROVED total with MACSE subset</x:v>
      </x:c>
      <x:c r="Z92" s="83" t="str">
        <x:v>Ready when profiles/base network are available</x:v>
      </x:c>
      <x:c r="AA92" s="83" t="str">
        <x:v>The 42 GWh MACSE subset corresponds to 5.25 GW at 8h and remains embedded within total utility-scale power.</x:v>
      </x:c>
    </x:row>
    <x:row r="93">
      <x:c r="A93" s="83" t="str">
        <x:v>S4-00089</x:v>
      </x:c>
      <x:c r="B93" s="83" t="str">
        <x:v>IT2040_BASE_DEIT</x:v>
      </x:c>
      <x:c r="C93" s="83" t="n">
        <x:v>2040</x:v>
      </x:c>
      <x:c r="D93" s="83" t="str">
        <x:v>Storage</x:v>
      </x:c>
      <x:c r="E93" s="83" t="str">
        <x:v>IT_SARD</x:v>
      </x:c>
      <x:c r="F93" s="83" t="str">
        <x:v>SARD</x:v>
      </x:c>
      <x:c r="G93" s="83" t="str">
        <x:v>CM</x:v>
      </x:c>
      <x:c r="H93" s="83" t="str">
        <x:v>Capacity Market battery</x:v>
      </x:c>
      <x:c r="I93" s="83" t="str">
        <x:v>battery</x:v>
      </x:c>
      <x:c r="J93" s="83" t="str">
        <x:v>Store + Links</x:v>
      </x:c>
      <x:c r="K93" s="83" t="str">
        <x:v>e_nom</x:v>
      </x:c>
      <x:c r="L93" s="279" t="n">
        <x:v>3.2</x:v>
      </x:c>
      <x:c r="M93" s="279" t="str">
        <x:v>GWh</x:v>
      </x:c>
      <x:c r="N93" s="279" t="n">
        <x:f>IF(L93="","",IF(M93="GW",L93*1000,IF(M93="GWh",L93*1000,IF(M93="TWh",L93*1000000,L93))))</x:f>
        <x:v>3200</x:v>
      </x:c>
      <x:c r="O93" s="83" t="str">
        <x:f>IF(L93="","",IF(M93="GW","MW",IF(OR(M93="GWh",M93="TWh"),"MWh",M93)))</x:f>
        <x:v>MWh</x:v>
      </x:c>
      <x:c r="P93" s="83" t="str"/>
      <x:c r="Q93" s="349"/>
      <x:c r="R93" s="349" t="str">
        <x:f>IF(L93="","",IF(Q93&lt;&gt;"",L93*Q93,IF(OR(ISNUMBER(SEARCH("EUR2025",M93&amp;"")),P93=2025,P93="2025"),L93,"")))</x:f>
      </x:c>
      <x:c r="S93" s="83" t="str">
        <x:v>A — Direct</x:v>
      </x:c>
      <x:c r="T93" s="83" t="str">
        <x:v>Direct zonal energy; duration harmonised separately.</x:v>
      </x:c>
      <x:c r="U93" s="83" t="str">
        <x:v>S09</x:v>
      </x:c>
      <x:c r="V93" s="83" t="str">
        <x:v>DDS Tabella 16</x:v>
      </x:c>
      <x:c r="W93" s="120"/>
      <x:c r="X93" s="83" t="str">
        <x:v>A — Direct</x:v>
      </x:c>
      <x:c r="Y93" s="83" t="str">
        <x:v>APPROVED direct energy; separate from MACSE</x:v>
      </x:c>
      <x:c r="Z93" s="83" t="str">
        <x:v>Ready when profiles/base network are available</x:v>
      </x:c>
      <x:c r="AA93" s="83" t="str">
        <x:v>Capacity Market energy retained from DDS. It is not the 42 GWh MACSE portfolio.</x:v>
      </x:c>
    </x:row>
    <x:row r="94">
      <x:c r="A94" s="83" t="str">
        <x:v>S4-00090</x:v>
      </x:c>
      <x:c r="B94" s="83" t="str">
        <x:v>IT2040_BASE_DEIT</x:v>
      </x:c>
      <x:c r="C94" s="83" t="n">
        <x:v>2040</x:v>
      </x:c>
      <x:c r="D94" s="83" t="str">
        <x:v>Storage power</x:v>
      </x:c>
      <x:c r="E94" s="83" t="str">
        <x:v>IT_SARD</x:v>
      </x:c>
      <x:c r="F94" s="83" t="str">
        <x:v>SARD</x:v>
      </x:c>
      <x:c r="G94" s="83" t="str">
        <x:v>CM</x:v>
      </x:c>
      <x:c r="H94" s="83" t="str">
        <x:v>Capacity Market battery power</x:v>
      </x:c>
      <x:c r="I94" s="83" t="str">
        <x:v>battery</x:v>
      </x:c>
      <x:c r="J94" s="83" t="str">
        <x:v>Link</x:v>
      </x:c>
      <x:c r="K94" s="83" t="str">
        <x:v>p_nom</x:v>
      </x:c>
      <x:c r="L94" s="279" t="n">
        <x:v>0.8</x:v>
      </x:c>
      <x:c r="M94" s="279" t="str">
        <x:v>GW</x:v>
      </x:c>
      <x:c r="N94" s="279" t="n">
        <x:f>IF(L94="","",IF(M94="GW",L94*1000,IF(M94="GWh",L94*1000,IF(M94="TWh",L94*1000000,L94))))</x:f>
        <x:v>800</x:v>
      </x:c>
      <x:c r="O94" s="83" t="str">
        <x:f>IF(L94="","",IF(M94="GW","MW",IF(OR(M94="GWh",M94="TWh"),"MWh",M94)))</x:f>
        <x:v>MW</x:v>
      </x:c>
      <x:c r="P94" s="83" t="str"/>
      <x:c r="Q94" s="349"/>
      <x:c r="R94" s="349" t="str">
        <x:f>IF(L94="","",IF(Q94&lt;&gt;"",L94*Q94,IF(OR(ISNUMBER(SEARCH("EUR2025",M94&amp;"")),P94=2025,P94="2025"),L94,"")))</x:f>
      </x:c>
      <x:c r="S94" s="83" t="str">
        <x:v>C — Assumed</x:v>
      </x:c>
      <x:c r="T94" s="83" t="str">
        <x:v>Capacity Market energy divided by the approved 4-hour duration.</x:v>
      </x:c>
      <x:c r="U94" s="83" t="str">
        <x:v>S09 + TERNA_RAI2025 + USER_DECISION</x:v>
      </x:c>
      <x:c r="V94" s="83" t="str">
        <x:v>DDS Table 16; Terna RAI 2025 §2.1.4</x:v>
      </x:c>
      <x:c r="W94" s="120" t="str">
        <x:v>https://download.terna.it/terna/Rapporto_Adeguatezza_Italia_2025_8de802607202dd6.pdf</x:v>
      </x:c>
      <x:c r="X94" s="83" t="str">
        <x:v>C — Assumed</x:v>
      </x:c>
      <x:c r="Y94" s="83" t="str">
        <x:v>APPROVED 4h derivation</x:v>
      </x:c>
      <x:c r="Z94" s="83" t="str">
        <x:v>Ready after user approval</x:v>
      </x:c>
      <x:c r="AA94" s="83" t="str">
        <x:v>Capacity Market remains a separate 4h class; no MACSE reclassification.</x:v>
      </x:c>
    </x:row>
    <x:row r="95">
      <x:c r="A95" s="83" t="str">
        <x:v>S4-00091</x:v>
      </x:c>
      <x:c r="B95" s="83" t="str">
        <x:v>IT2040_BASE_DEIT</x:v>
      </x:c>
      <x:c r="C95" s="83" t="n">
        <x:v>2040</x:v>
      </x:c>
      <x:c r="D95" s="83" t="str">
        <x:v>Storage</x:v>
      </x:c>
      <x:c r="E95" s="83" t="str">
        <x:v>PyPSA-Eur existing sites</x:v>
      </x:c>
      <x:c r="F95" s="83"/>
      <x:c r="G95" s="83" t="str">
        <x:v>Pompaggi esistenti</x:v>
      </x:c>
      <x:c r="H95" s="83" t="str">
        <x:v>Pumped hydro energy</x:v>
      </x:c>
      <x:c r="I95" s="83" t="str">
        <x:v>PHS</x:v>
      </x:c>
      <x:c r="J95" s="83" t="str">
        <x:v>Store + Links</x:v>
      </x:c>
      <x:c r="K95" s="83" t="str">
        <x:v>e_nom</x:v>
      </x:c>
      <x:c r="L95" s="279" t="n">
        <x:v>53</x:v>
      </x:c>
      <x:c r="M95" s="279" t="str">
        <x:v>GWh</x:v>
      </x:c>
      <x:c r="N95" s="279" t="n">
        <x:f>IF(L95="","",IF(M95="GW",L95*1000,IF(M95="GWh",L95*1000,IF(M95="TWh",L95*1000000,L95))))</x:f>
        <x:v>53000</x:v>
      </x:c>
      <x:c r="O95" s="83" t="str">
        <x:f>IF(L95="","",IF(M95="GW","MW",IF(OR(M95="GWh",M95="TWh"),"MWh",M95)))</x:f>
        <x:v>MWh</x:v>
      </x:c>
      <x:c r="P95" s="83" t="str"/>
      <x:c r="Q95" s="349"/>
      <x:c r="R95" s="349" t="str">
        <x:f>IF(L95="","",IF(Q95&lt;&gt;"",L95*Q95,IF(OR(ISNUMBER(SEARCH("EUR2025",M95&amp;"")),P95=2025,P95="2025"),L95,"")))</x:f>
      </x:c>
      <x:c r="S95" s="83" t="str">
        <x:v>A — Direct</x:v>
      </x:c>
      <x:c r="T95" s="83" t="str">
        <x:v>Retain existing plant geography; 53 GWh physical stock.</x:v>
      </x:c>
      <x:c r="U95" s="83" t="str">
        <x:v>S01</x:v>
      </x:c>
      <x:c r="V95" s="83" t="str">
        <x:v>Pumped-hydro stock</x:v>
      </x:c>
      <x:c r="W95" s="120"/>
      <x:c r="X95" s="83" t="str">
        <x:v>A — Direct</x:v>
      </x:c>
      <x:c r="Y95" s="83" t="str">
        <x:v>Adopted physical stock</x:v>
      </x:c>
      <x:c r="Z95" s="83" t="str">
        <x:v>Conditional on plant mapping</x:v>
      </x:c>
      <x:c r="AA95" s="83"/>
    </x:row>
    <x:row r="96">
      <x:c r="A96" s="83" t="str">
        <x:v>S4-00092</x:v>
      </x:c>
      <x:c r="B96" s="83" t="str">
        <x:v>IT2040_BASE_DEIT</x:v>
      </x:c>
      <x:c r="C96" s="83" t="n">
        <x:v>2040</x:v>
      </x:c>
      <x:c r="D96" s="83" t="str">
        <x:v>Storage power</x:v>
      </x:c>
      <x:c r="E96" s="83" t="str">
        <x:v>PyPSA-Eur existing sites</x:v>
      </x:c>
      <x:c r="F96" s="83"/>
      <x:c r="G96" s="83" t="str">
        <x:v>Pompaggi esistenti</x:v>
      </x:c>
      <x:c r="H96" s="83" t="str">
        <x:v>Pumped hydro charge power</x:v>
      </x:c>
      <x:c r="I96" s="83" t="str">
        <x:v>PHS</x:v>
      </x:c>
      <x:c r="J96" s="83" t="str">
        <x:v>Link</x:v>
      </x:c>
      <x:c r="K96" s="83" t="str">
        <x:v>p_nom</x:v>
      </x:c>
      <x:c r="L96" s="279" t="n">
        <x:v>6.4</x:v>
      </x:c>
      <x:c r="M96" s="279" t="str">
        <x:v>GW</x:v>
      </x:c>
      <x:c r="N96" s="279" t="n">
        <x:f>IF(L96="","",IF(M96="GW",L96*1000,IF(M96="GWh",L96*1000,IF(M96="TWh",L96*1000000,L96))))</x:f>
        <x:v>6400</x:v>
      </x:c>
      <x:c r="O96" s="83" t="str">
        <x:f>IF(L96="","",IF(M96="GW","MW",IF(OR(M96="GWh",M96="TWh"),"MWh",M96)))</x:f>
        <x:v>MW</x:v>
      </x:c>
      <x:c r="P96" s="83" t="str"/>
      <x:c r="Q96" s="349"/>
      <x:c r="R96" s="349" t="str">
        <x:f>IF(L96="","",IF(Q96&lt;&gt;"",L96*Q96,IF(OR(ISNUMBER(SEARCH("EUR2025",M96&amp;"")),P96=2025,P96="2025"),L96,"")))</x:f>
      </x:c>
      <x:c r="S96" s="83" t="str">
        <x:v>A — Direct</x:v>
      </x:c>
      <x:c r="T96" s="83" t="str">
        <x:v>Retain existing plant geography.</x:v>
      </x:c>
      <x:c r="U96" s="83" t="str">
        <x:v>S01</x:v>
      </x:c>
      <x:c r="V96" s="83" t="str">
        <x:v>Pumped-hydro stock</x:v>
      </x:c>
      <x:c r="W96" s="120"/>
      <x:c r="X96" s="83" t="str">
        <x:v>A — Direct</x:v>
      </x:c>
      <x:c r="Y96" s="83" t="str">
        <x:v>Adopted</x:v>
      </x:c>
      <x:c r="Z96" s="83" t="str">
        <x:v>Ready when profiles/base network are available</x:v>
      </x:c>
      <x:c r="AA96" s="83"/>
    </x:row>
    <x:row r="97">
      <x:c r="A97" s="83" t="str">
        <x:v>S4-00093</x:v>
      </x:c>
      <x:c r="B97" s="83" t="str">
        <x:v>IT2040_BASE_DEIT</x:v>
      </x:c>
      <x:c r="C97" s="83" t="n">
        <x:v>2040</x:v>
      </x:c>
      <x:c r="D97" s="83" t="str">
        <x:v>Storage power</x:v>
      </x:c>
      <x:c r="E97" s="83" t="str">
        <x:v>PyPSA-Eur existing sites</x:v>
      </x:c>
      <x:c r="F97" s="83"/>
      <x:c r="G97" s="83" t="str">
        <x:v>Pompaggi esistenti</x:v>
      </x:c>
      <x:c r="H97" s="83" t="str">
        <x:v>Pumped hydro discharge power</x:v>
      </x:c>
      <x:c r="I97" s="83" t="str">
        <x:v>PHS</x:v>
      </x:c>
      <x:c r="J97" s="83" t="str">
        <x:v>Link</x:v>
      </x:c>
      <x:c r="K97" s="83" t="str">
        <x:v>p_nom</x:v>
      </x:c>
      <x:c r="L97" s="279" t="n">
        <x:v>7.3</x:v>
      </x:c>
      <x:c r="M97" s="279" t="str">
        <x:v>GW</x:v>
      </x:c>
      <x:c r="N97" s="279" t="n">
        <x:f>IF(L97="","",IF(M97="GW",L97*1000,IF(M97="GWh",L97*1000,IF(M97="TWh",L97*1000000,L97))))</x:f>
        <x:v>7300</x:v>
      </x:c>
      <x:c r="O97" s="83" t="str">
        <x:f>IF(L97="","",IF(M97="GW","MW",IF(OR(M97="GWh",M97="TWh"),"MWh",M97)))</x:f>
        <x:v>MW</x:v>
      </x:c>
      <x:c r="P97" s="83" t="str"/>
      <x:c r="Q97" s="349"/>
      <x:c r="R97" s="349" t="str">
        <x:f>IF(L97="","",IF(Q97&lt;&gt;"",L97*Q97,IF(OR(ISNUMBER(SEARCH("EUR2025",M97&amp;"")),P97=2025,P97="2025"),L97,"")))</x:f>
      </x:c>
      <x:c r="S97" s="83" t="str">
        <x:v>A — Direct</x:v>
      </x:c>
      <x:c r="T97" s="83" t="str">
        <x:v>Retain existing plant geography.</x:v>
      </x:c>
      <x:c r="U97" s="83" t="str">
        <x:v>S01</x:v>
      </x:c>
      <x:c r="V97" s="83" t="str">
        <x:v>Pumped-hydro stock</x:v>
      </x:c>
      <x:c r="W97" s="120"/>
      <x:c r="X97" s="83" t="str">
        <x:v>A — Direct</x:v>
      </x:c>
      <x:c r="Y97" s="83" t="str">
        <x:v>Adopted</x:v>
      </x:c>
      <x:c r="Z97" s="83" t="str">
        <x:v>Ready when profiles/base network are available</x:v>
      </x:c>
      <x:c r="AA97" s="83"/>
    </x:row>
    <x:row r="98">
      <x:c r="A98" s="83" t="str">
        <x:v>S4-00094</x:v>
      </x:c>
      <x:c r="B98" s="83" t="str">
        <x:v>IT2040_BASE_DEIT</x:v>
      </x:c>
      <x:c r="C98" s="83" t="n">
        <x:v>2040</x:v>
      </x:c>
      <x:c r="D98" s="83" t="str">
        <x:v>Transmission</x:v>
      </x:c>
      <x:c r="E98" s="83" t="str">
        <x:v>NORD-&gt;CNOR</x:v>
      </x:c>
      <x:c r="F98" s="83" t="str">
        <x:v>NORD</x:v>
      </x:c>
      <x:c r="G98" s="83" t="str">
        <x:v>Capacità di scambio</x:v>
      </x:c>
      <x:c r="H98" s="83" t="str">
        <x:v>Directional interzonal link</x:v>
      </x:c>
      <x:c r="I98" s="83" t="str">
        <x:v>electricity</x:v>
      </x:c>
      <x:c r="J98" s="83" t="str">
        <x:v>Link</x:v>
      </x:c>
      <x:c r="K98" s="83" t="str">
        <x:v>p_nom</x:v>
      </x:c>
      <x:c r="L98" s="279" t="n">
        <x:v>6100</x:v>
      </x:c>
      <x:c r="M98" s="279" t="str">
        <x:v>MW</x:v>
      </x:c>
      <x:c r="N98" s="279" t="n">
        <x:f>IF(L98="","",IF(M98="GW",L98*1000,IF(M98="GWh",L98*1000,IF(M98="TWh",L98*1000000,L98))))</x:f>
        <x:v>6100</x:v>
      </x:c>
      <x:c r="O98" s="83" t="str">
        <x:f>IF(L98="","",IF(M98="GW","MW",IF(OR(M98="GWh",M98="TWh"),"MWh",M98)))</x:f>
        <x:v>MW</x:v>
      </x:c>
      <x:c r="P98" s="83" t="str"/>
      <x:c r="Q98" s="349"/>
      <x:c r="R98" s="349" t="str">
        <x:f>IF(L98="","",IF(Q98&lt;&gt;"",L98*Q98,IF(OR(ISNUMBER(SEARCH("EUR2025",M98&amp;"")),P98=2025,P98="2025"),L98,"")))</x:f>
      </x:c>
      <x:c r="S98" s="83" t="str">
        <x:v>A — Direct</x:v>
      </x:c>
      <x:c r="T98" s="83" t="str">
        <x:v>Direct directional market-transfer capacity.</x:v>
      </x:c>
      <x:c r="U98" s="83" t="str">
        <x:v>S03</x:v>
      </x:c>
      <x:c r="V98" s="83" t="str">
        <x:v>S03 Figure 3 horizon 2040</x:v>
      </x:c>
      <x:c r="W98" s="120"/>
      <x:c r="X98" s="83" t="str">
        <x:v>A — Direct</x:v>
      </x:c>
      <x:c r="Y98" s="83" t="str">
        <x:v>Adopted</x:v>
      </x:c>
      <x:c r="Z98" s="83" t="str">
        <x:v>Ready when profiles/base network are available</x:v>
      </x:c>
      <x:c r="AA98" s="83" t="str">
        <x:v>Use endogenous PyPSA-Eur borders where available; otherwise DDS 2030 totals plus separately approved project overlays</x:v>
      </x:c>
    </x:row>
    <x:row r="99">
      <x:c r="A99" s="83" t="str">
        <x:v>S4-00095</x:v>
      </x:c>
      <x:c r="B99" s="83" t="str">
        <x:v>IT2040_BASE_DEIT</x:v>
      </x:c>
      <x:c r="C99" s="83" t="n">
        <x:v>2040</x:v>
      </x:c>
      <x:c r="D99" s="83" t="str">
        <x:v>Transmission</x:v>
      </x:c>
      <x:c r="E99" s="83" t="str">
        <x:v>CNOR-&gt;NORD</x:v>
      </x:c>
      <x:c r="F99" s="83" t="str">
        <x:v>CNOR</x:v>
      </x:c>
      <x:c r="G99" s="83" t="str">
        <x:v>Capacità di scambio</x:v>
      </x:c>
      <x:c r="H99" s="83" t="str">
        <x:v>Directional interzonal link</x:v>
      </x:c>
      <x:c r="I99" s="83" t="str">
        <x:v>electricity</x:v>
      </x:c>
      <x:c r="J99" s="83" t="str">
        <x:v>Link</x:v>
      </x:c>
      <x:c r="K99" s="83" t="str">
        <x:v>p_nom</x:v>
      </x:c>
      <x:c r="L99" s="279" t="n">
        <x:v>5300</x:v>
      </x:c>
      <x:c r="M99" s="279" t="str">
        <x:v>MW</x:v>
      </x:c>
      <x:c r="N99" s="279" t="n">
        <x:f>IF(L99="","",IF(M99="GW",L99*1000,IF(M99="GWh",L99*1000,IF(M99="TWh",L99*1000000,L99))))</x:f>
        <x:v>5300</x:v>
      </x:c>
      <x:c r="O99" s="83" t="str">
        <x:f>IF(L99="","",IF(M99="GW","MW",IF(OR(M99="GWh",M99="TWh"),"MWh",M99)))</x:f>
        <x:v>MW</x:v>
      </x:c>
      <x:c r="P99" s="83" t="str"/>
      <x:c r="Q99" s="349"/>
      <x:c r="R99" s="349" t="str">
        <x:f>IF(L99="","",IF(Q99&lt;&gt;"",L99*Q99,IF(OR(ISNUMBER(SEARCH("EUR2025",M99&amp;"")),P99=2025,P99="2025"),L99,"")))</x:f>
      </x:c>
      <x:c r="S99" s="83" t="str">
        <x:v>A — Direct</x:v>
      </x:c>
      <x:c r="T99" s="83" t="str">
        <x:v>Direct directional market-transfer capacity.</x:v>
      </x:c>
      <x:c r="U99" s="83" t="str">
        <x:v>S03</x:v>
      </x:c>
      <x:c r="V99" s="83" t="str">
        <x:v>S03 Figure 3 horizon 2040</x:v>
      </x:c>
      <x:c r="W99" s="120"/>
      <x:c r="X99" s="83" t="str">
        <x:v>A — Direct</x:v>
      </x:c>
      <x:c r="Y99" s="83" t="str">
        <x:v>Adopted</x:v>
      </x:c>
      <x:c r="Z99" s="83" t="str">
        <x:v>Ready when profiles/base network are available</x:v>
      </x:c>
      <x:c r="AA99" s="83" t="str">
        <x:v>Use endogenous PyPSA-Eur borders where available; otherwise DDS 2030 totals plus separately approved project overlays</x:v>
      </x:c>
    </x:row>
    <x:row r="100">
      <x:c r="A100" s="83" t="str">
        <x:v>S4-00096</x:v>
      </x:c>
      <x:c r="B100" s="83" t="str">
        <x:v>IT2040_BASE_DEIT</x:v>
      </x:c>
      <x:c r="C100" s="83" t="n">
        <x:v>2040</x:v>
      </x:c>
      <x:c r="D100" s="83" t="str">
        <x:v>Transmission</x:v>
      </x:c>
      <x:c r="E100" s="83" t="str">
        <x:v>CNOR-&gt;CSUD</x:v>
      </x:c>
      <x:c r="F100" s="83" t="str">
        <x:v>CNOR</x:v>
      </x:c>
      <x:c r="G100" s="83" t="str">
        <x:v>Capacità di scambio</x:v>
      </x:c>
      <x:c r="H100" s="83" t="str">
        <x:v>Directional interzonal link</x:v>
      </x:c>
      <x:c r="I100" s="83" t="str">
        <x:v>electricity</x:v>
      </x:c>
      <x:c r="J100" s="83" t="str">
        <x:v>Link</x:v>
      </x:c>
      <x:c r="K100" s="83" t="str">
        <x:v>p_nom</x:v>
      </x:c>
      <x:c r="L100" s="279" t="n">
        <x:v>5400</x:v>
      </x:c>
      <x:c r="M100" s="279" t="str">
        <x:v>MW</x:v>
      </x:c>
      <x:c r="N100" s="279" t="n">
        <x:f>IF(L100="","",IF(M100="GW",L100*1000,IF(M100="GWh",L100*1000,IF(M100="TWh",L100*1000000,L100))))</x:f>
        <x:v>5400</x:v>
      </x:c>
      <x:c r="O100" s="83" t="str">
        <x:f>IF(L100="","",IF(M100="GW","MW",IF(OR(M100="GWh",M100="TWh"),"MWh",M100)))</x:f>
        <x:v>MW</x:v>
      </x:c>
      <x:c r="P100" s="83" t="str"/>
      <x:c r="Q100" s="349"/>
      <x:c r="R100" s="349" t="str">
        <x:f>IF(L100="","",IF(Q100&lt;&gt;"",L100*Q100,IF(OR(ISNUMBER(SEARCH("EUR2025",M100&amp;"")),P100=2025,P100="2025"),L100,"")))</x:f>
      </x:c>
      <x:c r="S100" s="83" t="str">
        <x:v>A — Direct</x:v>
      </x:c>
      <x:c r="T100" s="83" t="str">
        <x:v>Direct directional market-transfer capacity.</x:v>
      </x:c>
      <x:c r="U100" s="83" t="str">
        <x:v>S03</x:v>
      </x:c>
      <x:c r="V100" s="83" t="str">
        <x:v>S03 Figure 3 horizon 2040</x:v>
      </x:c>
      <x:c r="W100" s="120"/>
      <x:c r="X100" s="83" t="str">
        <x:v>A — Direct</x:v>
      </x:c>
      <x:c r="Y100" s="83" t="str">
        <x:v>Adopted</x:v>
      </x:c>
      <x:c r="Z100" s="83" t="str">
        <x:v>Ready when profiles/base network are available</x:v>
      </x:c>
      <x:c r="AA100" s="83" t="str">
        <x:v>Use endogenous PyPSA-Eur borders where available; otherwise DDS 2030 totals plus separately approved project overlays</x:v>
      </x:c>
    </x:row>
    <x:row r="101">
      <x:c r="A101" s="83" t="str">
        <x:v>S4-00097</x:v>
      </x:c>
      <x:c r="B101" s="83" t="str">
        <x:v>IT2040_BASE_DEIT</x:v>
      </x:c>
      <x:c r="C101" s="83" t="n">
        <x:v>2040</x:v>
      </x:c>
      <x:c r="D101" s="83" t="str">
        <x:v>Transmission</x:v>
      </x:c>
      <x:c r="E101" s="83" t="str">
        <x:v>CSUD-&gt;CNOR</x:v>
      </x:c>
      <x:c r="F101" s="83" t="str">
        <x:v>CSUD</x:v>
      </x:c>
      <x:c r="G101" s="83" t="str">
        <x:v>Capacità di scambio</x:v>
      </x:c>
      <x:c r="H101" s="83" t="str">
        <x:v>Directional interzonal link</x:v>
      </x:c>
      <x:c r="I101" s="83" t="str">
        <x:v>electricity</x:v>
      </x:c>
      <x:c r="J101" s="83" t="str">
        <x:v>Link</x:v>
      </x:c>
      <x:c r="K101" s="83" t="str">
        <x:v>p_nom</x:v>
      </x:c>
      <x:c r="L101" s="279" t="n">
        <x:v>6100</x:v>
      </x:c>
      <x:c r="M101" s="279" t="str">
        <x:v>MW</x:v>
      </x:c>
      <x:c r="N101" s="279" t="n">
        <x:f>IF(L101="","",IF(M101="GW",L101*1000,IF(M101="GWh",L101*1000,IF(M101="TWh",L101*1000000,L101))))</x:f>
        <x:v>6100</x:v>
      </x:c>
      <x:c r="O101" s="83" t="str">
        <x:f>IF(L101="","",IF(M101="GW","MW",IF(OR(M101="GWh",M101="TWh"),"MWh",M101)))</x:f>
        <x:v>MW</x:v>
      </x:c>
      <x:c r="P101" s="83" t="str"/>
      <x:c r="Q101" s="349"/>
      <x:c r="R101" s="349" t="str">
        <x:f>IF(L101="","",IF(Q101&lt;&gt;"",L101*Q101,IF(OR(ISNUMBER(SEARCH("EUR2025",M101&amp;"")),P101=2025,P101="2025"),L101,"")))</x:f>
      </x:c>
      <x:c r="S101" s="83" t="str">
        <x:v>A — Direct</x:v>
      </x:c>
      <x:c r="T101" s="83" t="str">
        <x:v>Direct directional market-transfer capacity.</x:v>
      </x:c>
      <x:c r="U101" s="83" t="str">
        <x:v>S03</x:v>
      </x:c>
      <x:c r="V101" s="83" t="str">
        <x:v>S03 Figure 3 horizon 2040</x:v>
      </x:c>
      <x:c r="W101" s="120"/>
      <x:c r="X101" s="83" t="str">
        <x:v>A — Direct</x:v>
      </x:c>
      <x:c r="Y101" s="83" t="str">
        <x:v>Adopted</x:v>
      </x:c>
      <x:c r="Z101" s="83" t="str">
        <x:v>Ready when profiles/base network are available</x:v>
      </x:c>
      <x:c r="AA101" s="83" t="str">
        <x:v>Use endogenous PyPSA-Eur borders where available; otherwise DDS 2030 totals plus separately approved project overlays</x:v>
      </x:c>
    </x:row>
    <x:row r="102">
      <x:c r="A102" s="83" t="str">
        <x:v>S4-00098</x:v>
      </x:c>
      <x:c r="B102" s="83" t="str">
        <x:v>IT2040_BASE_DEIT</x:v>
      </x:c>
      <x:c r="C102" s="83" t="n">
        <x:v>2040</x:v>
      </x:c>
      <x:c r="D102" s="83" t="str">
        <x:v>Transmission</x:v>
      </x:c>
      <x:c r="E102" s="83" t="str">
        <x:v>CSUD-&gt;SUD</x:v>
      </x:c>
      <x:c r="F102" s="83" t="str">
        <x:v>CSUD</x:v>
      </x:c>
      <x:c r="G102" s="83" t="str">
        <x:v>Capacità di scambio</x:v>
      </x:c>
      <x:c r="H102" s="83" t="str">
        <x:v>Directional interzonal link</x:v>
      </x:c>
      <x:c r="I102" s="83" t="str">
        <x:v>electricity</x:v>
      </x:c>
      <x:c r="J102" s="83" t="str">
        <x:v>Link</x:v>
      </x:c>
      <x:c r="K102" s="83" t="str">
        <x:v>p_nom</x:v>
      </x:c>
      <x:c r="L102" s="279" t="n">
        <x:v>6300</x:v>
      </x:c>
      <x:c r="M102" s="279" t="str">
        <x:v>MW</x:v>
      </x:c>
      <x:c r="N102" s="279" t="n">
        <x:f>IF(L102="","",IF(M102="GW",L102*1000,IF(M102="GWh",L102*1000,IF(M102="TWh",L102*1000000,L102))))</x:f>
        <x:v>6300</x:v>
      </x:c>
      <x:c r="O102" s="83" t="str">
        <x:f>IF(L102="","",IF(M102="GW","MW",IF(OR(M102="GWh",M102="TWh"),"MWh",M102)))</x:f>
        <x:v>MW</x:v>
      </x:c>
      <x:c r="P102" s="83" t="str"/>
      <x:c r="Q102" s="349"/>
      <x:c r="R102" s="349" t="str">
        <x:f>IF(L102="","",IF(Q102&lt;&gt;"",L102*Q102,IF(OR(ISNUMBER(SEARCH("EUR2025",M102&amp;"")),P102=2025,P102="2025"),L102,"")))</x:f>
      </x:c>
      <x:c r="S102" s="83" t="str">
        <x:v>A — Direct</x:v>
      </x:c>
      <x:c r="T102" s="83" t="str">
        <x:v>Direct directional market-transfer capacity.</x:v>
      </x:c>
      <x:c r="U102" s="83" t="str">
        <x:v>S03</x:v>
      </x:c>
      <x:c r="V102" s="83" t="str">
        <x:v>S03 Figure 3 horizon 2040</x:v>
      </x:c>
      <x:c r="W102" s="120"/>
      <x:c r="X102" s="83" t="str">
        <x:v>A — Direct</x:v>
      </x:c>
      <x:c r="Y102" s="83" t="str">
        <x:v>Adopted</x:v>
      </x:c>
      <x:c r="Z102" s="83" t="str">
        <x:v>Ready when profiles/base network are available</x:v>
      </x:c>
      <x:c r="AA102" s="83" t="str">
        <x:v>Use endogenous PyPSA-Eur borders where available; otherwise DDS 2030 totals plus separately approved project overlays</x:v>
      </x:c>
    </x:row>
    <x:row r="103">
      <x:c r="A103" s="83" t="str">
        <x:v>S4-00099</x:v>
      </x:c>
      <x:c r="B103" s="83" t="str">
        <x:v>IT2040_BASE_DEIT</x:v>
      </x:c>
      <x:c r="C103" s="83" t="n">
        <x:v>2040</x:v>
      </x:c>
      <x:c r="D103" s="83" t="str">
        <x:v>Transmission</x:v>
      </x:c>
      <x:c r="E103" s="83" t="str">
        <x:v>SUD-&gt;CSUD</x:v>
      </x:c>
      <x:c r="F103" s="83" t="str">
        <x:v>SUD</x:v>
      </x:c>
      <x:c r="G103" s="83" t="str">
        <x:v>Capacità di scambio</x:v>
      </x:c>
      <x:c r="H103" s="83" t="str">
        <x:v>Directional interzonal link</x:v>
      </x:c>
      <x:c r="I103" s="83" t="str">
        <x:v>electricity</x:v>
      </x:c>
      <x:c r="J103" s="83" t="str">
        <x:v>Link</x:v>
      </x:c>
      <x:c r="K103" s="83" t="str">
        <x:v>p_nom</x:v>
      </x:c>
      <x:c r="L103" s="279" t="n">
        <x:v>9100</x:v>
      </x:c>
      <x:c r="M103" s="279" t="str">
        <x:v>MW</x:v>
      </x:c>
      <x:c r="N103" s="279" t="n">
        <x:f>IF(L103="","",IF(M103="GW",L103*1000,IF(M103="GWh",L103*1000,IF(M103="TWh",L103*1000000,L103))))</x:f>
        <x:v>9100</x:v>
      </x:c>
      <x:c r="O103" s="83" t="str">
        <x:f>IF(L103="","",IF(M103="GW","MW",IF(OR(M103="GWh",M103="TWh"),"MWh",M103)))</x:f>
        <x:v>MW</x:v>
      </x:c>
      <x:c r="P103" s="83" t="str"/>
      <x:c r="Q103" s="349"/>
      <x:c r="R103" s="349" t="str">
        <x:f>IF(L103="","",IF(Q103&lt;&gt;"",L103*Q103,IF(OR(ISNUMBER(SEARCH("EUR2025",M103&amp;"")),P103=2025,P103="2025"),L103,"")))</x:f>
      </x:c>
      <x:c r="S103" s="83" t="str">
        <x:v>A — Direct</x:v>
      </x:c>
      <x:c r="T103" s="83" t="str">
        <x:v>Direct directional market-transfer capacity.</x:v>
      </x:c>
      <x:c r="U103" s="83" t="str">
        <x:v>S03</x:v>
      </x:c>
      <x:c r="V103" s="83" t="str">
        <x:v>S03 Figure 3 horizon 2040</x:v>
      </x:c>
      <x:c r="W103" s="120"/>
      <x:c r="X103" s="83" t="str">
        <x:v>A — Direct</x:v>
      </x:c>
      <x:c r="Y103" s="83" t="str">
        <x:v>Adopted</x:v>
      </x:c>
      <x:c r="Z103" s="83" t="str">
        <x:v>Ready when profiles/base network are available</x:v>
      </x:c>
      <x:c r="AA103" s="83" t="str">
        <x:v>Use endogenous PyPSA-Eur borders where available; otherwise DDS 2030 totals plus separately approved project overlays</x:v>
      </x:c>
    </x:row>
    <x:row r="104">
      <x:c r="A104" s="83" t="str">
        <x:v>S4-00100</x:v>
      </x:c>
      <x:c r="B104" s="83" t="str">
        <x:v>IT2040_BASE_DEIT</x:v>
      </x:c>
      <x:c r="C104" s="83" t="n">
        <x:v>2040</x:v>
      </x:c>
      <x:c r="D104" s="83" t="str">
        <x:v>Transmission</x:v>
      </x:c>
      <x:c r="E104" s="83" t="str">
        <x:v>SUD-&gt;CALA</x:v>
      </x:c>
      <x:c r="F104" s="83" t="str">
        <x:v>SUD</x:v>
      </x:c>
      <x:c r="G104" s="83" t="str">
        <x:v>Capacità di scambio</x:v>
      </x:c>
      <x:c r="H104" s="83" t="str">
        <x:v>Directional interzonal link</x:v>
      </x:c>
      <x:c r="I104" s="83" t="str">
        <x:v>electricity</x:v>
      </x:c>
      <x:c r="J104" s="83" t="str">
        <x:v>Link</x:v>
      </x:c>
      <x:c r="K104" s="83" t="str">
        <x:v>p_nom</x:v>
      </x:c>
      <x:c r="L104" s="279" t="n">
        <x:v>4100</x:v>
      </x:c>
      <x:c r="M104" s="279" t="str">
        <x:v>MW</x:v>
      </x:c>
      <x:c r="N104" s="279" t="n">
        <x:f>IF(L104="","",IF(M104="GW",L104*1000,IF(M104="GWh",L104*1000,IF(M104="TWh",L104*1000000,L104))))</x:f>
        <x:v>4100</x:v>
      </x:c>
      <x:c r="O104" s="83" t="str">
        <x:f>IF(L104="","",IF(M104="GW","MW",IF(OR(M104="GWh",M104="TWh"),"MWh",M104)))</x:f>
        <x:v>MW</x:v>
      </x:c>
      <x:c r="P104" s="83" t="str"/>
      <x:c r="Q104" s="349"/>
      <x:c r="R104" s="349" t="str">
        <x:f>IF(L104="","",IF(Q104&lt;&gt;"",L104*Q104,IF(OR(ISNUMBER(SEARCH("EUR2025",M104&amp;"")),P104=2025,P104="2025"),L104,"")))</x:f>
      </x:c>
      <x:c r="S104" s="83" t="str">
        <x:v>A — Direct</x:v>
      </x:c>
      <x:c r="T104" s="83" t="str">
        <x:v>Direct directional market-transfer capacity.</x:v>
      </x:c>
      <x:c r="U104" s="83" t="str">
        <x:v>S03</x:v>
      </x:c>
      <x:c r="V104" s="83" t="str">
        <x:v>S03 Figure 3 horizon 2040</x:v>
      </x:c>
      <x:c r="W104" s="120"/>
      <x:c r="X104" s="83" t="str">
        <x:v>A — Direct</x:v>
      </x:c>
      <x:c r="Y104" s="83" t="str">
        <x:v>Adopted</x:v>
      </x:c>
      <x:c r="Z104" s="83" t="str">
        <x:v>Ready when profiles/base network are available</x:v>
      </x:c>
      <x:c r="AA104" s="83" t="str">
        <x:v>Use endogenous PyPSA-Eur borders where available; otherwise DDS 2030 totals plus separately approved project overlays</x:v>
      </x:c>
    </x:row>
    <x:row r="105">
      <x:c r="A105" s="83" t="str">
        <x:v>S4-00101</x:v>
      </x:c>
      <x:c r="B105" s="83" t="str">
        <x:v>IT2040_BASE_DEIT</x:v>
      </x:c>
      <x:c r="C105" s="83" t="n">
        <x:v>2040</x:v>
      </x:c>
      <x:c r="D105" s="83" t="str">
        <x:v>Transmission</x:v>
      </x:c>
      <x:c r="E105" s="83" t="str">
        <x:v>CALA-&gt;SUD</x:v>
      </x:c>
      <x:c r="F105" s="83" t="str">
        <x:v>CALA</x:v>
      </x:c>
      <x:c r="G105" s="83" t="str">
        <x:v>Capacità di scambio</x:v>
      </x:c>
      <x:c r="H105" s="83" t="str">
        <x:v>Directional interzonal link</x:v>
      </x:c>
      <x:c r="I105" s="83" t="str">
        <x:v>electricity</x:v>
      </x:c>
      <x:c r="J105" s="83" t="str">
        <x:v>Link</x:v>
      </x:c>
      <x:c r="K105" s="83" t="str">
        <x:v>p_nom</x:v>
      </x:c>
      <x:c r="L105" s="279" t="n">
        <x:v>5350</x:v>
      </x:c>
      <x:c r="M105" s="279" t="str">
        <x:v>MW</x:v>
      </x:c>
      <x:c r="N105" s="279" t="n">
        <x:f>IF(L105="","",IF(M105="GW",L105*1000,IF(M105="GWh",L105*1000,IF(M105="TWh",L105*1000000,L105))))</x:f>
        <x:v>5350</x:v>
      </x:c>
      <x:c r="O105" s="83" t="str">
        <x:f>IF(L105="","",IF(M105="GW","MW",IF(OR(M105="GWh",M105="TWh"),"MWh",M105)))</x:f>
        <x:v>MW</x:v>
      </x:c>
      <x:c r="P105" s="83" t="str"/>
      <x:c r="Q105" s="349"/>
      <x:c r="R105" s="349" t="str">
        <x:f>IF(L105="","",IF(Q105&lt;&gt;"",L105*Q105,IF(OR(ISNUMBER(SEARCH("EUR2025",M105&amp;"")),P105=2025,P105="2025"),L105,"")))</x:f>
      </x:c>
      <x:c r="S105" s="83" t="str">
        <x:v>A — Direct</x:v>
      </x:c>
      <x:c r="T105" s="83" t="str">
        <x:v>Direct directional market-transfer capacity.</x:v>
      </x:c>
      <x:c r="U105" s="83" t="str">
        <x:v>S03</x:v>
      </x:c>
      <x:c r="V105" s="83" t="str">
        <x:v>S03 Figure 3 horizon 2040</x:v>
      </x:c>
      <x:c r="W105" s="120"/>
      <x:c r="X105" s="83" t="str">
        <x:v>A — Direct</x:v>
      </x:c>
      <x:c r="Y105" s="83" t="str">
        <x:v>Adopted</x:v>
      </x:c>
      <x:c r="Z105" s="83" t="str">
        <x:v>Ready when profiles/base network are available</x:v>
      </x:c>
      <x:c r="AA105" s="83" t="str">
        <x:v>Use endogenous PyPSA-Eur borders where available; otherwise DDS 2030 totals plus separately approved project overlays</x:v>
      </x:c>
    </x:row>
    <x:row r="106">
      <x:c r="A106" s="83" t="str">
        <x:v>S4-00102</x:v>
      </x:c>
      <x:c r="B106" s="83" t="str">
        <x:v>IT2040_BASE_DEIT</x:v>
      </x:c>
      <x:c r="C106" s="83" t="n">
        <x:v>2040</x:v>
      </x:c>
      <x:c r="D106" s="83" t="str">
        <x:v>Transmission</x:v>
      </x:c>
      <x:c r="E106" s="83" t="str">
        <x:v>CALA-&gt;SICI</x:v>
      </x:c>
      <x:c r="F106" s="83" t="str">
        <x:v>CALA</x:v>
      </x:c>
      <x:c r="G106" s="83" t="str">
        <x:v>Capacità di scambio</x:v>
      </x:c>
      <x:c r="H106" s="83" t="str">
        <x:v>Directional interzonal link</x:v>
      </x:c>
      <x:c r="I106" s="83" t="str">
        <x:v>electricity</x:v>
      </x:c>
      <x:c r="J106" s="83" t="str">
        <x:v>Link</x:v>
      </x:c>
      <x:c r="K106" s="83" t="str">
        <x:v>p_nom</x:v>
      </x:c>
      <x:c r="L106" s="279" t="n">
        <x:v>4150</x:v>
      </x:c>
      <x:c r="M106" s="279" t="str">
        <x:v>MW</x:v>
      </x:c>
      <x:c r="N106" s="279" t="n">
        <x:f>IF(L106="","",IF(M106="GW",L106*1000,IF(M106="GWh",L106*1000,IF(M106="TWh",L106*1000000,L106))))</x:f>
        <x:v>4150</x:v>
      </x:c>
      <x:c r="O106" s="83" t="str">
        <x:f>IF(L106="","",IF(M106="GW","MW",IF(OR(M106="GWh",M106="TWh"),"MWh",M106)))</x:f>
        <x:v>MW</x:v>
      </x:c>
      <x:c r="P106" s="83" t="str"/>
      <x:c r="Q106" s="349"/>
      <x:c r="R106" s="349" t="str">
        <x:f>IF(L106="","",IF(Q106&lt;&gt;"",L106*Q106,IF(OR(ISNUMBER(SEARCH("EUR2025",M106&amp;"")),P106=2025,P106="2025"),L106,"")))</x:f>
      </x:c>
      <x:c r="S106" s="83" t="str">
        <x:v>A — Direct</x:v>
      </x:c>
      <x:c r="T106" s="83" t="str">
        <x:v>Direct directional market-transfer capacity.</x:v>
      </x:c>
      <x:c r="U106" s="83" t="str">
        <x:v>S03</x:v>
      </x:c>
      <x:c r="V106" s="83" t="str">
        <x:v>S03 Figure 3 horizon 2040</x:v>
      </x:c>
      <x:c r="W106" s="120"/>
      <x:c r="X106" s="83" t="str">
        <x:v>A — Direct</x:v>
      </x:c>
      <x:c r="Y106" s="83" t="str">
        <x:v>Adopted</x:v>
      </x:c>
      <x:c r="Z106" s="83" t="str">
        <x:v>Ready when profiles/base network are available</x:v>
      </x:c>
      <x:c r="AA106" s="83" t="str">
        <x:v>Use endogenous PyPSA-Eur borders where available; otherwise DDS 2030 totals plus separately approved project overlays</x:v>
      </x:c>
    </x:row>
    <x:row r="107">
      <x:c r="A107" s="83" t="str">
        <x:v>S4-00103</x:v>
      </x:c>
      <x:c r="B107" s="83" t="str">
        <x:v>IT2040_BASE_DEIT</x:v>
      </x:c>
      <x:c r="C107" s="83" t="n">
        <x:v>2040</x:v>
      </x:c>
      <x:c r="D107" s="83" t="str">
        <x:v>Transmission</x:v>
      </x:c>
      <x:c r="E107" s="83" t="str">
        <x:v>SICI-&gt;CALA</x:v>
      </x:c>
      <x:c r="F107" s="83" t="str">
        <x:v>SICI</x:v>
      </x:c>
      <x:c r="G107" s="83" t="str">
        <x:v>Capacità di scambio</x:v>
      </x:c>
      <x:c r="H107" s="83" t="str">
        <x:v>Directional interzonal link</x:v>
      </x:c>
      <x:c r="I107" s="83" t="str">
        <x:v>electricity</x:v>
      </x:c>
      <x:c r="J107" s="83" t="str">
        <x:v>Link</x:v>
      </x:c>
      <x:c r="K107" s="83" t="str">
        <x:v>p_nom</x:v>
      </x:c>
      <x:c r="L107" s="279" t="n">
        <x:v>4100</x:v>
      </x:c>
      <x:c r="M107" s="279" t="str">
        <x:v>MW</x:v>
      </x:c>
      <x:c r="N107" s="279" t="n">
        <x:f>IF(L107="","",IF(M107="GW",L107*1000,IF(M107="GWh",L107*1000,IF(M107="TWh",L107*1000000,L107))))</x:f>
        <x:v>4100</x:v>
      </x:c>
      <x:c r="O107" s="83" t="str">
        <x:f>IF(L107="","",IF(M107="GW","MW",IF(OR(M107="GWh",M107="TWh"),"MWh",M107)))</x:f>
        <x:v>MW</x:v>
      </x:c>
      <x:c r="P107" s="83" t="str"/>
      <x:c r="Q107" s="349"/>
      <x:c r="R107" s="349" t="str">
        <x:f>IF(L107="","",IF(Q107&lt;&gt;"",L107*Q107,IF(OR(ISNUMBER(SEARCH("EUR2025",M107&amp;"")),P107=2025,P107="2025"),L107,"")))</x:f>
      </x:c>
      <x:c r="S107" s="83" t="str">
        <x:v>A — Direct</x:v>
      </x:c>
      <x:c r="T107" s="83" t="str">
        <x:v>Direct directional market-transfer capacity.</x:v>
      </x:c>
      <x:c r="U107" s="83" t="str">
        <x:v>S03</x:v>
      </x:c>
      <x:c r="V107" s="83" t="str">
        <x:v>S03 Figure 3 horizon 2040</x:v>
      </x:c>
      <x:c r="W107" s="120"/>
      <x:c r="X107" s="83" t="str">
        <x:v>A — Direct</x:v>
      </x:c>
      <x:c r="Y107" s="83" t="str">
        <x:v>Adopted</x:v>
      </x:c>
      <x:c r="Z107" s="83" t="str">
        <x:v>Ready when profiles/base network are available</x:v>
      </x:c>
      <x:c r="AA107" s="83" t="str">
        <x:v>Use endogenous PyPSA-Eur borders where available; otherwise DDS 2030 totals plus separately approved project overlays</x:v>
      </x:c>
    </x:row>
    <x:row r="108">
      <x:c r="A108" s="83" t="str">
        <x:v>S4-00104</x:v>
      </x:c>
      <x:c r="B108" s="83" t="str">
        <x:v>IT2040_BASE_DEIT</x:v>
      </x:c>
      <x:c r="C108" s="83" t="n">
        <x:v>2040</x:v>
      </x:c>
      <x:c r="D108" s="83" t="str">
        <x:v>Transmission</x:v>
      </x:c>
      <x:c r="E108" s="83" t="str">
        <x:v>CSUD-&gt;SARD</x:v>
      </x:c>
      <x:c r="F108" s="83" t="str">
        <x:v>CSUD</x:v>
      </x:c>
      <x:c r="G108" s="83" t="str">
        <x:v>Capacità di scambio</x:v>
      </x:c>
      <x:c r="H108" s="83" t="str">
        <x:v>Directional interzonal link</x:v>
      </x:c>
      <x:c r="I108" s="83" t="str">
        <x:v>electricity</x:v>
      </x:c>
      <x:c r="J108" s="83" t="str">
        <x:v>Link</x:v>
      </x:c>
      <x:c r="K108" s="83" t="str">
        <x:v>p_nom</x:v>
      </x:c>
      <x:c r="L108" s="279" t="n">
        <x:v>1720</x:v>
      </x:c>
      <x:c r="M108" s="279" t="str">
        <x:v>MW</x:v>
      </x:c>
      <x:c r="N108" s="279" t="n">
        <x:f>IF(L108="","",IF(M108="GW",L108*1000,IF(M108="GWh",L108*1000,IF(M108="TWh",L108*1000000,L108))))</x:f>
        <x:v>1720</x:v>
      </x:c>
      <x:c r="O108" s="83" t="str">
        <x:f>IF(L108="","",IF(M108="GW","MW",IF(OR(M108="GWh",M108="TWh"),"MWh",M108)))</x:f>
        <x:v>MW</x:v>
      </x:c>
      <x:c r="P108" s="83" t="str"/>
      <x:c r="Q108" s="349"/>
      <x:c r="R108" s="349" t="str">
        <x:f>IF(L108="","",IF(Q108&lt;&gt;"",L108*Q108,IF(OR(ISNUMBER(SEARCH("EUR2025",M108&amp;"")),P108=2025,P108="2025"),L108,"")))</x:f>
      </x:c>
      <x:c r="S108" s="83" t="str">
        <x:v>A — Direct</x:v>
      </x:c>
      <x:c r="T108" s="83" t="str">
        <x:v>Direct directional market-transfer capacity.</x:v>
      </x:c>
      <x:c r="U108" s="83" t="str">
        <x:v>S03</x:v>
      </x:c>
      <x:c r="V108" s="83" t="str">
        <x:v>S03 Figure 3 horizon 2040</x:v>
      </x:c>
      <x:c r="W108" s="120"/>
      <x:c r="X108" s="83" t="str">
        <x:v>A — Direct</x:v>
      </x:c>
      <x:c r="Y108" s="83" t="str">
        <x:v>Adopted</x:v>
      </x:c>
      <x:c r="Z108" s="83" t="str">
        <x:v>Ready when profiles/base network are available</x:v>
      </x:c>
      <x:c r="AA108" s="83" t="str">
        <x:v>Use endogenous PyPSA-Eur borders where available; otherwise DDS 2030 totals plus separately approved project overlays</x:v>
      </x:c>
    </x:row>
    <x:row r="109">
      <x:c r="A109" s="83" t="str">
        <x:v>S4-00105</x:v>
      </x:c>
      <x:c r="B109" s="83" t="str">
        <x:v>IT2040_BASE_DEIT</x:v>
      </x:c>
      <x:c r="C109" s="83" t="n">
        <x:v>2040</x:v>
      </x:c>
      <x:c r="D109" s="83" t="str">
        <x:v>Transmission</x:v>
      </x:c>
      <x:c r="E109" s="83" t="str">
        <x:v>SARD-&gt;CSUD</x:v>
      </x:c>
      <x:c r="F109" s="83" t="str">
        <x:v>SARD</x:v>
      </x:c>
      <x:c r="G109" s="83" t="str">
        <x:v>Capacità di scambio</x:v>
      </x:c>
      <x:c r="H109" s="83" t="str">
        <x:v>Directional interzonal link</x:v>
      </x:c>
      <x:c r="I109" s="83" t="str">
        <x:v>electricity</x:v>
      </x:c>
      <x:c r="J109" s="83" t="str">
        <x:v>Link</x:v>
      </x:c>
      <x:c r="K109" s="83" t="str">
        <x:v>p_nom</x:v>
      </x:c>
      <x:c r="L109" s="279" t="n">
        <x:v>1900</x:v>
      </x:c>
      <x:c r="M109" s="279" t="str">
        <x:v>MW</x:v>
      </x:c>
      <x:c r="N109" s="279" t="n">
        <x:f>IF(L109="","",IF(M109="GW",L109*1000,IF(M109="GWh",L109*1000,IF(M109="TWh",L109*1000000,L109))))</x:f>
        <x:v>1900</x:v>
      </x:c>
      <x:c r="O109" s="83" t="str">
        <x:f>IF(L109="","",IF(M109="GW","MW",IF(OR(M109="GWh",M109="TWh"),"MWh",M109)))</x:f>
        <x:v>MW</x:v>
      </x:c>
      <x:c r="P109" s="83" t="str"/>
      <x:c r="Q109" s="349"/>
      <x:c r="R109" s="349" t="str">
        <x:f>IF(L109="","",IF(Q109&lt;&gt;"",L109*Q109,IF(OR(ISNUMBER(SEARCH("EUR2025",M109&amp;"")),P109=2025,P109="2025"),L109,"")))</x:f>
      </x:c>
      <x:c r="S109" s="83" t="str">
        <x:v>A — Direct</x:v>
      </x:c>
      <x:c r="T109" s="83" t="str">
        <x:v>Direct directional market-transfer capacity.</x:v>
      </x:c>
      <x:c r="U109" s="83" t="str">
        <x:v>S03</x:v>
      </x:c>
      <x:c r="V109" s="83" t="str">
        <x:v>S03 Figure 3 horizon 2040</x:v>
      </x:c>
      <x:c r="W109" s="120"/>
      <x:c r="X109" s="83" t="str">
        <x:v>A — Direct</x:v>
      </x:c>
      <x:c r="Y109" s="83" t="str">
        <x:v>Adopted</x:v>
      </x:c>
      <x:c r="Z109" s="83" t="str">
        <x:v>Ready when profiles/base network are available</x:v>
      </x:c>
      <x:c r="AA109" s="83" t="str">
        <x:v>Use endogenous PyPSA-Eur borders where available; otherwise DDS 2030 totals plus separately approved project overlays</x:v>
      </x:c>
    </x:row>
    <x:row r="110">
      <x:c r="A110" s="83" t="str">
        <x:v>S4-00106</x:v>
      </x:c>
      <x:c r="B110" s="83" t="str">
        <x:v>IT2040_BASE_DEIT</x:v>
      </x:c>
      <x:c r="C110" s="83" t="n">
        <x:v>2040</x:v>
      </x:c>
      <x:c r="D110" s="83" t="str">
        <x:v>Transmission</x:v>
      </x:c>
      <x:c r="E110" s="83" t="str">
        <x:v>CNOR-&gt;CORS</x:v>
      </x:c>
      <x:c r="F110" s="83" t="str">
        <x:v>CNOR</x:v>
      </x:c>
      <x:c r="G110" s="83" t="str">
        <x:v>Capacità di scambio</x:v>
      </x:c>
      <x:c r="H110" s="83" t="str">
        <x:v>Directional interzonal link</x:v>
      </x:c>
      <x:c r="I110" s="83" t="str">
        <x:v>electricity</x:v>
      </x:c>
      <x:c r="J110" s="83" t="str">
        <x:v>Link</x:v>
      </x:c>
      <x:c r="K110" s="83" t="str">
        <x:v>p_nom</x:v>
      </x:c>
      <x:c r="L110" s="279" t="n">
        <x:v>400</x:v>
      </x:c>
      <x:c r="M110" s="279" t="str">
        <x:v>MW</x:v>
      </x:c>
      <x:c r="N110" s="279" t="n">
        <x:f>IF(L110="","",IF(M110="GW",L110*1000,IF(M110="GWh",L110*1000,IF(M110="TWh",L110*1000000,L110))))</x:f>
        <x:v>400</x:v>
      </x:c>
      <x:c r="O110" s="83" t="str">
        <x:f>IF(L110="","",IF(M110="GW","MW",IF(OR(M110="GWh",M110="TWh"),"MWh",M110)))</x:f>
        <x:v>MW</x:v>
      </x:c>
      <x:c r="P110" s="83" t="str"/>
      <x:c r="Q110" s="349"/>
      <x:c r="R110" s="349" t="str">
        <x:f>IF(L110="","",IF(Q110&lt;&gt;"",L110*Q110,IF(OR(ISNUMBER(SEARCH("EUR2025",M110&amp;"")),P110=2025,P110="2025"),L110,"")))</x:f>
      </x:c>
      <x:c r="S110" s="83" t="str">
        <x:v>A — Direct</x:v>
      </x:c>
      <x:c r="T110" s="83" t="str">
        <x:v>Direct directional market-transfer capacity.</x:v>
      </x:c>
      <x:c r="U110" s="83" t="str">
        <x:v>S03</x:v>
      </x:c>
      <x:c r="V110" s="83" t="str">
        <x:v>S03 Figure 3 horizon 2040</x:v>
      </x:c>
      <x:c r="W110" s="120"/>
      <x:c r="X110" s="83" t="str">
        <x:v>A — Direct</x:v>
      </x:c>
      <x:c r="Y110" s="83" t="str">
        <x:v>Adopted</x:v>
      </x:c>
      <x:c r="Z110" s="83" t="str">
        <x:v>Ready when profiles/base network are available</x:v>
      </x:c>
      <x:c r="AA110" s="83" t="str">
        <x:v>Use endogenous PyPSA-Eur borders where available; otherwise DDS 2030 totals plus separately approved project overlays</x:v>
      </x:c>
    </x:row>
    <x:row r="111">
      <x:c r="A111" s="83" t="str">
        <x:v>S4-00107</x:v>
      </x:c>
      <x:c r="B111" s="83" t="str">
        <x:v>IT2040_BASE_DEIT</x:v>
      </x:c>
      <x:c r="C111" s="83" t="n">
        <x:v>2040</x:v>
      </x:c>
      <x:c r="D111" s="83" t="str">
        <x:v>Transmission</x:v>
      </x:c>
      <x:c r="E111" s="83" t="str">
        <x:v>CORS-&gt;CNOR</x:v>
      </x:c>
      <x:c r="F111" s="83" t="str">
        <x:v>CORS</x:v>
      </x:c>
      <x:c r="G111" s="83" t="str">
        <x:v>Capacità di scambio</x:v>
      </x:c>
      <x:c r="H111" s="83" t="str">
        <x:v>Directional interzonal link</x:v>
      </x:c>
      <x:c r="I111" s="83" t="str">
        <x:v>electricity</x:v>
      </x:c>
      <x:c r="J111" s="83" t="str">
        <x:v>Link</x:v>
      </x:c>
      <x:c r="K111" s="83" t="str">
        <x:v>p_nom</x:v>
      </x:c>
      <x:c r="L111" s="279" t="n">
        <x:v>400</x:v>
      </x:c>
      <x:c r="M111" s="279" t="str">
        <x:v>MW</x:v>
      </x:c>
      <x:c r="N111" s="279" t="n">
        <x:f>IF(L111="","",IF(M111="GW",L111*1000,IF(M111="GWh",L111*1000,IF(M111="TWh",L111*1000000,L111))))</x:f>
        <x:v>400</x:v>
      </x:c>
      <x:c r="O111" s="83" t="str">
        <x:f>IF(L111="","",IF(M111="GW","MW",IF(OR(M111="GWh",M111="TWh"),"MWh",M111)))</x:f>
        <x:v>MW</x:v>
      </x:c>
      <x:c r="P111" s="83" t="str"/>
      <x:c r="Q111" s="349"/>
      <x:c r="R111" s="349" t="str">
        <x:f>IF(L111="","",IF(Q111&lt;&gt;"",L111*Q111,IF(OR(ISNUMBER(SEARCH("EUR2025",M111&amp;"")),P111=2025,P111="2025"),L111,"")))</x:f>
      </x:c>
      <x:c r="S111" s="83" t="str">
        <x:v>A — Direct</x:v>
      </x:c>
      <x:c r="T111" s="83" t="str">
        <x:v>Direct directional market-transfer capacity.</x:v>
      </x:c>
      <x:c r="U111" s="83" t="str">
        <x:v>S03</x:v>
      </x:c>
      <x:c r="V111" s="83" t="str">
        <x:v>S03 Figure 3 horizon 2040</x:v>
      </x:c>
      <x:c r="W111" s="120"/>
      <x:c r="X111" s="83" t="str">
        <x:v>A — Direct</x:v>
      </x:c>
      <x:c r="Y111" s="83" t="str">
        <x:v>Adopted</x:v>
      </x:c>
      <x:c r="Z111" s="83" t="str">
        <x:v>Ready when profiles/base network are available</x:v>
      </x:c>
      <x:c r="AA111" s="83" t="str">
        <x:v>Use endogenous PyPSA-Eur borders where available; otherwise DDS 2030 totals plus separately approved project overlays</x:v>
      </x:c>
    </x:row>
    <x:row r="112">
      <x:c r="A112" s="83" t="str">
        <x:v>S4-00108</x:v>
      </x:c>
      <x:c r="B112" s="83" t="str">
        <x:v>IT2040_BASE_DEIT</x:v>
      </x:c>
      <x:c r="C112" s="83" t="n">
        <x:v>2040</x:v>
      </x:c>
      <x:c r="D112" s="83" t="str">
        <x:v>Transmission</x:v>
      </x:c>
      <x:c r="E112" s="83" t="str">
        <x:v>CORS-&gt;SARD</x:v>
      </x:c>
      <x:c r="F112" s="83" t="str">
        <x:v>CORS</x:v>
      </x:c>
      <x:c r="G112" s="83" t="str">
        <x:v>Capacità di scambio</x:v>
      </x:c>
      <x:c r="H112" s="83" t="str">
        <x:v>Directional interzonal link</x:v>
      </x:c>
      <x:c r="I112" s="83" t="str">
        <x:v>electricity</x:v>
      </x:c>
      <x:c r="J112" s="83" t="str">
        <x:v>Link</x:v>
      </x:c>
      <x:c r="K112" s="83" t="str">
        <x:v>p_nom</x:v>
      </x:c>
      <x:c r="L112" s="279" t="n">
        <x:v>400</x:v>
      </x:c>
      <x:c r="M112" s="279" t="str">
        <x:v>MW</x:v>
      </x:c>
      <x:c r="N112" s="279" t="n">
        <x:f>IF(L112="","",IF(M112="GW",L112*1000,IF(M112="GWh",L112*1000,IF(M112="TWh",L112*1000000,L112))))</x:f>
        <x:v>400</x:v>
      </x:c>
      <x:c r="O112" s="83" t="str">
        <x:f>IF(L112="","",IF(M112="GW","MW",IF(OR(M112="GWh",M112="TWh"),"MWh",M112)))</x:f>
        <x:v>MW</x:v>
      </x:c>
      <x:c r="P112" s="83" t="str"/>
      <x:c r="Q112" s="349"/>
      <x:c r="R112" s="349" t="str">
        <x:f>IF(L112="","",IF(Q112&lt;&gt;"",L112*Q112,IF(OR(ISNUMBER(SEARCH("EUR2025",M112&amp;"")),P112=2025,P112="2025"),L112,"")))</x:f>
      </x:c>
      <x:c r="S112" s="83" t="str">
        <x:v>A — Direct</x:v>
      </x:c>
      <x:c r="T112" s="83" t="str">
        <x:v>Direct directional market-transfer capacity.</x:v>
      </x:c>
      <x:c r="U112" s="83" t="str">
        <x:v>S03</x:v>
      </x:c>
      <x:c r="V112" s="83" t="str">
        <x:v>S03 Figure 3 horizon 2040</x:v>
      </x:c>
      <x:c r="W112" s="120"/>
      <x:c r="X112" s="83" t="str">
        <x:v>A — Direct</x:v>
      </x:c>
      <x:c r="Y112" s="83" t="str">
        <x:v>Adopted</x:v>
      </x:c>
      <x:c r="Z112" s="83" t="str">
        <x:v>Ready when profiles/base network are available</x:v>
      </x:c>
      <x:c r="AA112" s="83" t="str">
        <x:v>Use endogenous PyPSA-Eur borders where available; otherwise DDS 2030 totals plus separately approved project overlays</x:v>
      </x:c>
    </x:row>
    <x:row r="113">
      <x:c r="A113" s="83" t="str">
        <x:v>S4-00109</x:v>
      </x:c>
      <x:c r="B113" s="83" t="str">
        <x:v>IT2040_BASE_DEIT</x:v>
      </x:c>
      <x:c r="C113" s="83" t="n">
        <x:v>2040</x:v>
      </x:c>
      <x:c r="D113" s="83" t="str">
        <x:v>Transmission</x:v>
      </x:c>
      <x:c r="E113" s="83" t="str">
        <x:v>SARD-&gt;CORS</x:v>
      </x:c>
      <x:c r="F113" s="83" t="str">
        <x:v>SARD</x:v>
      </x:c>
      <x:c r="G113" s="83" t="str">
        <x:v>Capacità di scambio</x:v>
      </x:c>
      <x:c r="H113" s="83" t="str">
        <x:v>Directional interzonal link</x:v>
      </x:c>
      <x:c r="I113" s="83" t="str">
        <x:v>electricity</x:v>
      </x:c>
      <x:c r="J113" s="83" t="str">
        <x:v>Link</x:v>
      </x:c>
      <x:c r="K113" s="83" t="str">
        <x:v>p_nom</x:v>
      </x:c>
      <x:c r="L113" s="279" t="n">
        <x:v>400</x:v>
      </x:c>
      <x:c r="M113" s="279" t="str">
        <x:v>MW</x:v>
      </x:c>
      <x:c r="N113" s="279" t="n">
        <x:f>IF(L113="","",IF(M113="GW",L113*1000,IF(M113="GWh",L113*1000,IF(M113="TWh",L113*1000000,L113))))</x:f>
        <x:v>400</x:v>
      </x:c>
      <x:c r="O113" s="83" t="str">
        <x:f>IF(L113="","",IF(M113="GW","MW",IF(OR(M113="GWh",M113="TWh"),"MWh",M113)))</x:f>
        <x:v>MW</x:v>
      </x:c>
      <x:c r="P113" s="83" t="str"/>
      <x:c r="Q113" s="349"/>
      <x:c r="R113" s="349" t="str">
        <x:f>IF(L113="","",IF(Q113&lt;&gt;"",L113*Q113,IF(OR(ISNUMBER(SEARCH("EUR2025",M113&amp;"")),P113=2025,P113="2025"),L113,"")))</x:f>
      </x:c>
      <x:c r="S113" s="83" t="str">
        <x:v>A — Direct</x:v>
      </x:c>
      <x:c r="T113" s="83" t="str">
        <x:v>Direct directional market-transfer capacity.</x:v>
      </x:c>
      <x:c r="U113" s="83" t="str">
        <x:v>S03</x:v>
      </x:c>
      <x:c r="V113" s="83" t="str">
        <x:v>S03 Figure 3 horizon 2040</x:v>
      </x:c>
      <x:c r="W113" s="120"/>
      <x:c r="X113" s="83" t="str">
        <x:v>A — Direct</x:v>
      </x:c>
      <x:c r="Y113" s="83" t="str">
        <x:v>Adopted</x:v>
      </x:c>
      <x:c r="Z113" s="83" t="str">
        <x:v>Ready when profiles/base network are available</x:v>
      </x:c>
      <x:c r="AA113" s="83" t="str">
        <x:v>Use endogenous PyPSA-Eur borders where available; otherwise DDS 2030 totals plus separately approved project overlays</x:v>
      </x:c>
    </x:row>
    <x:row r="114">
      <x:c r="A114" s="83" t="str">
        <x:v>S4-00110</x:v>
      </x:c>
      <x:c r="B114" s="83" t="str">
        <x:v>IT2040_BASE_DEIT</x:v>
      </x:c>
      <x:c r="C114" s="83" t="n">
        <x:v>2040</x:v>
      </x:c>
      <x:c r="D114" s="83" t="str">
        <x:v>Transmission</x:v>
      </x:c>
      <x:c r="E114" s="83" t="str">
        <x:v>NORD-&gt;SUD</x:v>
      </x:c>
      <x:c r="F114" s="83" t="str">
        <x:v>NORD</x:v>
      </x:c>
      <x:c r="G114" s="83" t="str">
        <x:v>Capacità di scambio</x:v>
      </x:c>
      <x:c r="H114" s="83" t="str">
        <x:v>Directional interzonal link</x:v>
      </x:c>
      <x:c r="I114" s="83" t="str">
        <x:v>electricity</x:v>
      </x:c>
      <x:c r="J114" s="83" t="str">
        <x:v>Link</x:v>
      </x:c>
      <x:c r="K114" s="83" t="str">
        <x:v>p_nom</x:v>
      </x:c>
      <x:c r="L114" s="279" t="n">
        <x:v>2100</x:v>
      </x:c>
      <x:c r="M114" s="279" t="str">
        <x:v>MW</x:v>
      </x:c>
      <x:c r="N114" s="279" t="n">
        <x:f>IF(L114="","",IF(M114="GW",L114*1000,IF(M114="GWh",L114*1000,IF(M114="TWh",L114*1000000,L114))))</x:f>
        <x:v>2100</x:v>
      </x:c>
      <x:c r="O114" s="83" t="str">
        <x:f>IF(L114="","",IF(M114="GW","MW",IF(OR(M114="GWh",M114="TWh"),"MWh",M114)))</x:f>
        <x:v>MW</x:v>
      </x:c>
      <x:c r="P114" s="83" t="str"/>
      <x:c r="Q114" s="349"/>
      <x:c r="R114" s="349" t="str">
        <x:f>IF(L114="","",IF(Q114&lt;&gt;"",L114*Q114,IF(OR(ISNUMBER(SEARCH("EUR2025",M114&amp;"")),P114=2025,P114="2025"),L114,"")))</x:f>
      </x:c>
      <x:c r="S114" s="83" t="str">
        <x:v>A — Direct</x:v>
      </x:c>
      <x:c r="T114" s="83" t="str">
        <x:v>Direct directional market-transfer capacity.</x:v>
      </x:c>
      <x:c r="U114" s="83" t="str">
        <x:v>S03</x:v>
      </x:c>
      <x:c r="V114" s="83" t="str">
        <x:v>S03 Figure 3 horizon 2040</x:v>
      </x:c>
      <x:c r="W114" s="120"/>
      <x:c r="X114" s="83" t="str">
        <x:v>A — Direct</x:v>
      </x:c>
      <x:c r="Y114" s="83" t="str">
        <x:v>Adopted</x:v>
      </x:c>
      <x:c r="Z114" s="83" t="str">
        <x:v>Ready when profiles/base network are available</x:v>
      </x:c>
      <x:c r="AA114" s="83" t="str">
        <x:v>Use endogenous PyPSA-Eur borders where available; otherwise DDS 2030 totals plus separately approved project overlays</x:v>
      </x:c>
    </x:row>
    <x:row r="115">
      <x:c r="A115" s="83" t="str">
        <x:v>S4-00111</x:v>
      </x:c>
      <x:c r="B115" s="83" t="str">
        <x:v>IT2040_BASE_DEIT</x:v>
      </x:c>
      <x:c r="C115" s="83" t="n">
        <x:v>2040</x:v>
      </x:c>
      <x:c r="D115" s="83" t="str">
        <x:v>Transmission</x:v>
      </x:c>
      <x:c r="E115" s="83" t="str">
        <x:v>SUD-&gt;NORD</x:v>
      </x:c>
      <x:c r="F115" s="83" t="str">
        <x:v>SUD</x:v>
      </x:c>
      <x:c r="G115" s="83" t="str">
        <x:v>Capacità di scambio</x:v>
      </x:c>
      <x:c r="H115" s="83" t="str">
        <x:v>Directional interzonal link</x:v>
      </x:c>
      <x:c r="I115" s="83" t="str">
        <x:v>electricity</x:v>
      </x:c>
      <x:c r="J115" s="83" t="str">
        <x:v>Link</x:v>
      </x:c>
      <x:c r="K115" s="83" t="str">
        <x:v>p_nom</x:v>
      </x:c>
      <x:c r="L115" s="279" t="n">
        <x:v>2100</x:v>
      </x:c>
      <x:c r="M115" s="279" t="str">
        <x:v>MW</x:v>
      </x:c>
      <x:c r="N115" s="279" t="n">
        <x:f>IF(L115="","",IF(M115="GW",L115*1000,IF(M115="GWh",L115*1000,IF(M115="TWh",L115*1000000,L115))))</x:f>
        <x:v>2100</x:v>
      </x:c>
      <x:c r="O115" s="83" t="str">
        <x:f>IF(L115="","",IF(M115="GW","MW",IF(OR(M115="GWh",M115="TWh"),"MWh",M115)))</x:f>
        <x:v>MW</x:v>
      </x:c>
      <x:c r="P115" s="83" t="str"/>
      <x:c r="Q115" s="349"/>
      <x:c r="R115" s="349" t="str">
        <x:f>IF(L115="","",IF(Q115&lt;&gt;"",L115*Q115,IF(OR(ISNUMBER(SEARCH("EUR2025",M115&amp;"")),P115=2025,P115="2025"),L115,"")))</x:f>
      </x:c>
      <x:c r="S115" s="83" t="str">
        <x:v>A — Direct</x:v>
      </x:c>
      <x:c r="T115" s="83" t="str">
        <x:v>Direct directional market-transfer capacity.</x:v>
      </x:c>
      <x:c r="U115" s="83" t="str">
        <x:v>S03</x:v>
      </x:c>
      <x:c r="V115" s="83" t="str">
        <x:v>S03 Figure 3 horizon 2040</x:v>
      </x:c>
      <x:c r="W115" s="120"/>
      <x:c r="X115" s="83" t="str">
        <x:v>A — Direct</x:v>
      </x:c>
      <x:c r="Y115" s="83" t="str">
        <x:v>Adopted</x:v>
      </x:c>
      <x:c r="Z115" s="83" t="str">
        <x:v>Ready when profiles/base network are available</x:v>
      </x:c>
      <x:c r="AA115" s="83" t="str">
        <x:v>Use endogenous PyPSA-Eur borders where available; otherwise DDS 2030 totals plus separately approved project overlays</x:v>
      </x:c>
    </x:row>
    <x:row r="116">
      <x:c r="A116" s="83" t="str">
        <x:v>S4-00112</x:v>
      </x:c>
      <x:c r="B116" s="83" t="str">
        <x:v>IT2040_BASE_DEIT</x:v>
      </x:c>
      <x:c r="C116" s="83" t="n">
        <x:v>2040</x:v>
      </x:c>
      <x:c r="D116" s="83" t="str">
        <x:v>Transmission</x:v>
      </x:c>
      <x:c r="E116" s="83" t="str">
        <x:v>NORD-&gt;CSUD</x:v>
      </x:c>
      <x:c r="F116" s="83" t="str">
        <x:v>NORD</x:v>
      </x:c>
      <x:c r="G116" s="83" t="str">
        <x:v>Capacità di scambio</x:v>
      </x:c>
      <x:c r="H116" s="83" t="str">
        <x:v>Directional interzonal link</x:v>
      </x:c>
      <x:c r="I116" s="83" t="str">
        <x:v>electricity</x:v>
      </x:c>
      <x:c r="J116" s="83" t="str">
        <x:v>Link</x:v>
      </x:c>
      <x:c r="K116" s="83" t="str">
        <x:v>p_nom</x:v>
      </x:c>
      <x:c r="L116" s="279" t="n">
        <x:v>2100</x:v>
      </x:c>
      <x:c r="M116" s="279" t="str">
        <x:v>MW</x:v>
      </x:c>
      <x:c r="N116" s="279" t="n">
        <x:f>IF(L116="","",IF(M116="GW",L116*1000,IF(M116="GWh",L116*1000,IF(M116="TWh",L116*1000000,L116))))</x:f>
        <x:v>2100</x:v>
      </x:c>
      <x:c r="O116" s="83" t="str">
        <x:f>IF(L116="","",IF(M116="GW","MW",IF(OR(M116="GWh",M116="TWh"),"MWh",M116)))</x:f>
        <x:v>MW</x:v>
      </x:c>
      <x:c r="P116" s="83" t="str"/>
      <x:c r="Q116" s="349"/>
      <x:c r="R116" s="349" t="str">
        <x:f>IF(L116="","",IF(Q116&lt;&gt;"",L116*Q116,IF(OR(ISNUMBER(SEARCH("EUR2025",M116&amp;"")),P116=2025,P116="2025"),L116,"")))</x:f>
      </x:c>
      <x:c r="S116" s="83" t="str">
        <x:v>A — Direct</x:v>
      </x:c>
      <x:c r="T116" s="83" t="str">
        <x:v>Direct directional market-transfer capacity.</x:v>
      </x:c>
      <x:c r="U116" s="83" t="str">
        <x:v>S03</x:v>
      </x:c>
      <x:c r="V116" s="83" t="str">
        <x:v>S03 Figure 3 horizon 2040</x:v>
      </x:c>
      <x:c r="W116" s="120"/>
      <x:c r="X116" s="83" t="str">
        <x:v>A — Direct</x:v>
      </x:c>
      <x:c r="Y116" s="83" t="str">
        <x:v>Adopted</x:v>
      </x:c>
      <x:c r="Z116" s="83" t="str">
        <x:v>Ready when profiles/base network are available</x:v>
      </x:c>
      <x:c r="AA116" s="83" t="str">
        <x:v>Use endogenous PyPSA-Eur borders where available; otherwise DDS 2030 totals plus separately approved project overlays</x:v>
      </x:c>
    </x:row>
    <x:row r="117">
      <x:c r="A117" s="83" t="str">
        <x:v>S4-00113</x:v>
      </x:c>
      <x:c r="B117" s="83" t="str">
        <x:v>IT2040_BASE_DEIT</x:v>
      </x:c>
      <x:c r="C117" s="83" t="n">
        <x:v>2040</x:v>
      </x:c>
      <x:c r="D117" s="83" t="str">
        <x:v>Transmission</x:v>
      </x:c>
      <x:c r="E117" s="83" t="str">
        <x:v>CSUD-&gt;NORD</x:v>
      </x:c>
      <x:c r="F117" s="83" t="str">
        <x:v>CSUD</x:v>
      </x:c>
      <x:c r="G117" s="83" t="str">
        <x:v>Capacità di scambio</x:v>
      </x:c>
      <x:c r="H117" s="83" t="str">
        <x:v>Directional interzonal link</x:v>
      </x:c>
      <x:c r="I117" s="83" t="str">
        <x:v>electricity</x:v>
      </x:c>
      <x:c r="J117" s="83" t="str">
        <x:v>Link</x:v>
      </x:c>
      <x:c r="K117" s="83" t="str">
        <x:v>p_nom</x:v>
      </x:c>
      <x:c r="L117" s="279" t="n">
        <x:v>2100</x:v>
      </x:c>
      <x:c r="M117" s="279" t="str">
        <x:v>MW</x:v>
      </x:c>
      <x:c r="N117" s="279" t="n">
        <x:f>IF(L117="","",IF(M117="GW",L117*1000,IF(M117="GWh",L117*1000,IF(M117="TWh",L117*1000000,L117))))</x:f>
        <x:v>2100</x:v>
      </x:c>
      <x:c r="O117" s="83" t="str">
        <x:f>IF(L117="","",IF(M117="GW","MW",IF(OR(M117="GWh",M117="TWh"),"MWh",M117)))</x:f>
        <x:v>MW</x:v>
      </x:c>
      <x:c r="P117" s="83" t="str"/>
      <x:c r="Q117" s="349"/>
      <x:c r="R117" s="349" t="str">
        <x:f>IF(L117="","",IF(Q117&lt;&gt;"",L117*Q117,IF(OR(ISNUMBER(SEARCH("EUR2025",M117&amp;"")),P117=2025,P117="2025"),L117,"")))</x:f>
      </x:c>
      <x:c r="S117" s="83" t="str">
        <x:v>A — Direct</x:v>
      </x:c>
      <x:c r="T117" s="83" t="str">
        <x:v>Direct directional market-transfer capacity.</x:v>
      </x:c>
      <x:c r="U117" s="83" t="str">
        <x:v>S03</x:v>
      </x:c>
      <x:c r="V117" s="83" t="str">
        <x:v>S03 Figure 3 horizon 2040</x:v>
      </x:c>
      <x:c r="W117" s="120"/>
      <x:c r="X117" s="83" t="str">
        <x:v>A — Direct</x:v>
      </x:c>
      <x:c r="Y117" s="83" t="str">
        <x:v>Adopted</x:v>
      </x:c>
      <x:c r="Z117" s="83" t="str">
        <x:v>Ready when profiles/base network are available</x:v>
      </x:c>
      <x:c r="AA117" s="83" t="str">
        <x:v>Use endogenous PyPSA-Eur borders where available; otherwise DDS 2030 totals plus separately approved project overlays</x:v>
      </x:c>
    </x:row>
    <x:row r="118">
      <x:c r="A118" s="83" t="str">
        <x:v>S4-00114</x:v>
      </x:c>
      <x:c r="B118" s="83" t="str">
        <x:v>IT2040_BASE_DEIT</x:v>
      </x:c>
      <x:c r="C118" s="83" t="n">
        <x:v>2040</x:v>
      </x:c>
      <x:c r="D118" s="83" t="str">
        <x:v>Transmission</x:v>
      </x:c>
      <x:c r="E118" s="83" t="str">
        <x:v>CSUD-&gt;SICI</x:v>
      </x:c>
      <x:c r="F118" s="83" t="str">
        <x:v>CSUD</x:v>
      </x:c>
      <x:c r="G118" s="83" t="str">
        <x:v>Capacità di scambio</x:v>
      </x:c>
      <x:c r="H118" s="83" t="str">
        <x:v>Directional interzonal link</x:v>
      </x:c>
      <x:c r="I118" s="83" t="str">
        <x:v>electricity</x:v>
      </x:c>
      <x:c r="J118" s="83" t="str">
        <x:v>Link</x:v>
      </x:c>
      <x:c r="K118" s="83" t="str">
        <x:v>p_nom</x:v>
      </x:c>
      <x:c r="L118" s="279" t="n">
        <x:v>1000</x:v>
      </x:c>
      <x:c r="M118" s="279" t="str">
        <x:v>MW</x:v>
      </x:c>
      <x:c r="N118" s="279" t="n">
        <x:f>IF(L118="","",IF(M118="GW",L118*1000,IF(M118="GWh",L118*1000,IF(M118="TWh",L118*1000000,L118))))</x:f>
        <x:v>1000</x:v>
      </x:c>
      <x:c r="O118" s="83" t="str">
        <x:f>IF(L118="","",IF(M118="GW","MW",IF(OR(M118="GWh",M118="TWh"),"MWh",M118)))</x:f>
        <x:v>MW</x:v>
      </x:c>
      <x:c r="P118" s="83" t="str"/>
      <x:c r="Q118" s="349"/>
      <x:c r="R118" s="349" t="str">
        <x:f>IF(L118="","",IF(Q118&lt;&gt;"",L118*Q118,IF(OR(ISNUMBER(SEARCH("EUR2025",M118&amp;"")),P118=2025,P118="2025"),L118,"")))</x:f>
      </x:c>
      <x:c r="S118" s="83" t="str">
        <x:v>A — Direct</x:v>
      </x:c>
      <x:c r="T118" s="83" t="str">
        <x:v>Direct directional market-transfer capacity.</x:v>
      </x:c>
      <x:c r="U118" s="83" t="str">
        <x:v>S03</x:v>
      </x:c>
      <x:c r="V118" s="83" t="str">
        <x:v>S03 Figure 3 horizon 2040</x:v>
      </x:c>
      <x:c r="W118" s="120"/>
      <x:c r="X118" s="83" t="str">
        <x:v>A — Direct</x:v>
      </x:c>
      <x:c r="Y118" s="83" t="str">
        <x:v>Adopted</x:v>
      </x:c>
      <x:c r="Z118" s="83" t="str">
        <x:v>Ready when profiles/base network are available</x:v>
      </x:c>
      <x:c r="AA118" s="83" t="str">
        <x:v>Use endogenous PyPSA-Eur borders where available; otherwise DDS 2030 totals plus separately approved project overlays</x:v>
      </x:c>
    </x:row>
    <x:row r="119">
      <x:c r="A119" s="83" t="str">
        <x:v>S4-00115</x:v>
      </x:c>
      <x:c r="B119" s="83" t="str">
        <x:v>IT2040_BASE_DEIT</x:v>
      </x:c>
      <x:c r="C119" s="83" t="n">
        <x:v>2040</x:v>
      </x:c>
      <x:c r="D119" s="83" t="str">
        <x:v>Transmission</x:v>
      </x:c>
      <x:c r="E119" s="83" t="str">
        <x:v>SICI-&gt;CSUD</x:v>
      </x:c>
      <x:c r="F119" s="83" t="str">
        <x:v>SICI</x:v>
      </x:c>
      <x:c r="G119" s="83" t="str">
        <x:v>Capacità di scambio</x:v>
      </x:c>
      <x:c r="H119" s="83" t="str">
        <x:v>Directional interzonal link</x:v>
      </x:c>
      <x:c r="I119" s="83" t="str">
        <x:v>electricity</x:v>
      </x:c>
      <x:c r="J119" s="83" t="str">
        <x:v>Link</x:v>
      </x:c>
      <x:c r="K119" s="83" t="str">
        <x:v>p_nom</x:v>
      </x:c>
      <x:c r="L119" s="279" t="n">
        <x:v>1000</x:v>
      </x:c>
      <x:c r="M119" s="279" t="str">
        <x:v>MW</x:v>
      </x:c>
      <x:c r="N119" s="279" t="n">
        <x:f>IF(L119="","",IF(M119="GW",L119*1000,IF(M119="GWh",L119*1000,IF(M119="TWh",L119*1000000,L119))))</x:f>
        <x:v>1000</x:v>
      </x:c>
      <x:c r="O119" s="83" t="str">
        <x:f>IF(L119="","",IF(M119="GW","MW",IF(OR(M119="GWh",M119="TWh"),"MWh",M119)))</x:f>
        <x:v>MW</x:v>
      </x:c>
      <x:c r="P119" s="83" t="str"/>
      <x:c r="Q119" s="349"/>
      <x:c r="R119" s="349" t="str">
        <x:f>IF(L119="","",IF(Q119&lt;&gt;"",L119*Q119,IF(OR(ISNUMBER(SEARCH("EUR2025",M119&amp;"")),P119=2025,P119="2025"),L119,"")))</x:f>
      </x:c>
      <x:c r="S119" s="83" t="str">
        <x:v>A — Direct</x:v>
      </x:c>
      <x:c r="T119" s="83" t="str">
        <x:v>Direct directional market-transfer capacity.</x:v>
      </x:c>
      <x:c r="U119" s="83" t="str">
        <x:v>S03</x:v>
      </x:c>
      <x:c r="V119" s="83" t="str">
        <x:v>S03 Figure 3 horizon 2040</x:v>
      </x:c>
      <x:c r="W119" s="120"/>
      <x:c r="X119" s="83" t="str">
        <x:v>A — Direct</x:v>
      </x:c>
      <x:c r="Y119" s="83" t="str">
        <x:v>Adopted</x:v>
      </x:c>
      <x:c r="Z119" s="83" t="str">
        <x:v>Ready when profiles/base network are available</x:v>
      </x:c>
      <x:c r="AA119" s="83" t="str">
        <x:v>Use endogenous PyPSA-Eur borders where available; otherwise DDS 2030 totals plus separately approved project overlays</x:v>
      </x:c>
    </x:row>
    <x:row r="120">
      <x:c r="A120" s="83" t="str">
        <x:v>S4-00116</x:v>
      </x:c>
      <x:c r="B120" s="83" t="str">
        <x:v>IT2040_BASE_DEIT</x:v>
      </x:c>
      <x:c r="C120" s="83" t="n">
        <x:v>2040</x:v>
      </x:c>
      <x:c r="D120" s="83" t="str">
        <x:v>Transmission</x:v>
      </x:c>
      <x:c r="E120" s="83" t="str">
        <x:v>SARD-&gt;SICI</x:v>
      </x:c>
      <x:c r="F120" s="83" t="str">
        <x:v>SARD</x:v>
      </x:c>
      <x:c r="G120" s="83" t="str">
        <x:v>Capacità di scambio</x:v>
      </x:c>
      <x:c r="H120" s="83" t="str">
        <x:v>Directional interzonal link</x:v>
      </x:c>
      <x:c r="I120" s="83" t="str">
        <x:v>electricity</x:v>
      </x:c>
      <x:c r="J120" s="83" t="str">
        <x:v>Link</x:v>
      </x:c>
      <x:c r="K120" s="83" t="str">
        <x:v>p_nom</x:v>
      </x:c>
      <x:c r="L120" s="279" t="n">
        <x:v>1000</x:v>
      </x:c>
      <x:c r="M120" s="279" t="str">
        <x:v>MW</x:v>
      </x:c>
      <x:c r="N120" s="279" t="n">
        <x:f>IF(L120="","",IF(M120="GW",L120*1000,IF(M120="GWh",L120*1000,IF(M120="TWh",L120*1000000,L120))))</x:f>
        <x:v>1000</x:v>
      </x:c>
      <x:c r="O120" s="83" t="str">
        <x:f>IF(L120="","",IF(M120="GW","MW",IF(OR(M120="GWh",M120="TWh"),"MWh",M120)))</x:f>
        <x:v>MW</x:v>
      </x:c>
      <x:c r="P120" s="83" t="str"/>
      <x:c r="Q120" s="349"/>
      <x:c r="R120" s="349" t="str">
        <x:f>IF(L120="","",IF(Q120&lt;&gt;"",L120*Q120,IF(OR(ISNUMBER(SEARCH("EUR2025",M120&amp;"")),P120=2025,P120="2025"),L120,"")))</x:f>
      </x:c>
      <x:c r="S120" s="83" t="str">
        <x:v>A — Direct</x:v>
      </x:c>
      <x:c r="T120" s="83" t="str">
        <x:v>Direct directional market-transfer capacity.</x:v>
      </x:c>
      <x:c r="U120" s="83" t="str">
        <x:v>S03</x:v>
      </x:c>
      <x:c r="V120" s="83" t="str">
        <x:v>S03 Figure 3 horizon 2040</x:v>
      </x:c>
      <x:c r="W120" s="120"/>
      <x:c r="X120" s="83" t="str">
        <x:v>A — Direct</x:v>
      </x:c>
      <x:c r="Y120" s="83" t="str">
        <x:v>Adopted</x:v>
      </x:c>
      <x:c r="Z120" s="83" t="str">
        <x:v>Ready when profiles/base network are available</x:v>
      </x:c>
      <x:c r="AA120" s="83" t="str">
        <x:v>Use endogenous PyPSA-Eur borders where available; otherwise DDS 2030 totals plus separately approved project overlays</x:v>
      </x:c>
    </x:row>
    <x:row r="121">
      <x:c r="A121" s="83" t="str">
        <x:v>S4-00117</x:v>
      </x:c>
      <x:c r="B121" s="83" t="str">
        <x:v>IT2040_BASE_DEIT</x:v>
      </x:c>
      <x:c r="C121" s="83" t="n">
        <x:v>2040</x:v>
      </x:c>
      <x:c r="D121" s="83" t="str">
        <x:v>Transmission</x:v>
      </x:c>
      <x:c r="E121" s="83" t="str">
        <x:v>SICI-&gt;SARD</x:v>
      </x:c>
      <x:c r="F121" s="83" t="str">
        <x:v>SICI</x:v>
      </x:c>
      <x:c r="G121" s="83" t="str">
        <x:v>Capacità di scambio</x:v>
      </x:c>
      <x:c r="H121" s="83" t="str">
        <x:v>Directional interzonal link</x:v>
      </x:c>
      <x:c r="I121" s="83" t="str">
        <x:v>electricity</x:v>
      </x:c>
      <x:c r="J121" s="83" t="str">
        <x:v>Link</x:v>
      </x:c>
      <x:c r="K121" s="83" t="str">
        <x:v>p_nom</x:v>
      </x:c>
      <x:c r="L121" s="279" t="n">
        <x:v>1000</x:v>
      </x:c>
      <x:c r="M121" s="279" t="str">
        <x:v>MW</x:v>
      </x:c>
      <x:c r="N121" s="279" t="n">
        <x:f>IF(L121="","",IF(M121="GW",L121*1000,IF(M121="GWh",L121*1000,IF(M121="TWh",L121*1000000,L121))))</x:f>
        <x:v>1000</x:v>
      </x:c>
      <x:c r="O121" s="83" t="str">
        <x:f>IF(L121="","",IF(M121="GW","MW",IF(OR(M121="GWh",M121="TWh"),"MWh",M121)))</x:f>
        <x:v>MW</x:v>
      </x:c>
      <x:c r="P121" s="83" t="str"/>
      <x:c r="Q121" s="349"/>
      <x:c r="R121" s="349" t="str">
        <x:f>IF(L121="","",IF(Q121&lt;&gt;"",L121*Q121,IF(OR(ISNUMBER(SEARCH("EUR2025",M121&amp;"")),P121=2025,P121="2025"),L121,"")))</x:f>
      </x:c>
      <x:c r="S121" s="83" t="str">
        <x:v>A — Direct</x:v>
      </x:c>
      <x:c r="T121" s="83" t="str">
        <x:v>Direct directional market-transfer capacity.</x:v>
      </x:c>
      <x:c r="U121" s="83" t="str">
        <x:v>S03</x:v>
      </x:c>
      <x:c r="V121" s="83" t="str">
        <x:v>S03 Figure 3 horizon 2040</x:v>
      </x:c>
      <x:c r="W121" s="120"/>
      <x:c r="X121" s="83" t="str">
        <x:v>A — Direct</x:v>
      </x:c>
      <x:c r="Y121" s="83" t="str">
        <x:v>Adopted</x:v>
      </x:c>
      <x:c r="Z121" s="83" t="str">
        <x:v>Ready when profiles/base network are available</x:v>
      </x:c>
      <x:c r="AA121" s="83" t="str">
        <x:v>Use endogenous PyPSA-Eur borders where available; otherwise DDS 2030 totals plus separately approved project overlays</x:v>
      </x:c>
    </x:row>
    <x:row r="122">
      <x:c r="A122" s="83" t="str">
        <x:v>S4-00118</x:v>
      </x:c>
      <x:c r="B122" s="83" t="str">
        <x:v>IT2040_BASE_DEIT</x:v>
      </x:c>
      <x:c r="C122" s="83" t="n">
        <x:v>2040</x:v>
      </x:c>
      <x:c r="D122" s="83" t="str">
        <x:v>Fuel and CO2</x:v>
      </x:c>
      <x:c r="E122" s="83" t="str">
        <x:v>Italy</x:v>
      </x:c>
      <x:c r="F122" s="83"/>
      <x:c r="G122" s="83" t="str">
        <x:v>Gas naturale</x:v>
      </x:c>
      <x:c r="H122" s="83" t="str">
        <x:v>Natural gas fuel price</x:v>
      </x:c>
      <x:c r="I122" s="83" t="str">
        <x:v>gas</x:v>
      </x:c>
      <x:c r="J122" s="83" t="str">
        <x:v>Carrier/Generator</x:v>
      </x:c>
      <x:c r="K122" s="83" t="str">
        <x:v>fuel_cost</x:v>
      </x:c>
      <x:c r="L122" s="279" t="n">
        <x:v>36.4</x:v>
      </x:c>
      <x:c r="M122" s="279" t="str">
        <x:v>EUR2023/MWh_th</x:v>
      </x:c>
      <x:c r="N122" s="279" t="n">
        <x:f>IF(L122="","",IF(M122="GW",L122*1000,IF(M122="GWh",L122*1000,IF(M122="TWh",L122*1000000,L122))))</x:f>
        <x:v>36.4</x:v>
      </x:c>
      <x:c r="O122" s="83" t="str">
        <x:f>IF(L122="","",IF(M122="GW","MW",IF(OR(M122="GWh",M122="TWh"),"MWh",M122)))</x:f>
        <x:v>EUR2023/MWh_th</x:v>
      </x:c>
      <x:c r="P122" s="83" t="n">
        <x:v>2023</x:v>
      </x:c>
      <x:c r="Q122" s="349" t="n">
        <x:v>1.045504</x:v>
      </x:c>
      <x:c r="R122" s="349" t="n">
        <x:f>IF(L122="","",IF(Q122&lt;&gt;"",L122*Q122,IF(OR(ISNUMBER(SEARCH("EUR2025",M122&amp;"")),P122=2025,P122="2025"),L122,"")))</x:f>
        <x:v>38.0563456</x:v>
      </x:c>
      <x:c r="S122" s="83" t="str">
        <x:v>A — Direct</x:v>
      </x:c>
      <x:c r="T122" s="83" t="str">
        <x:v>Inflate to EUR2025 using euro-area annual HICP rates 2024 and 2025.</x:v>
      </x:c>
      <x:c r="U122" s="83" t="str">
        <x:v>S01 / S09</x:v>
      </x:c>
      <x:c r="V122" s="83" t="str">
        <x:v>Commodity tables</x:v>
      </x:c>
      <x:c r="W122" s="120" t="str">
        <x:v>https://www.ecb.europa.eu/stats/ecb_surveys/survey_of_professional_forecasters/html/ecb.spf2025q4.en.html</x:v>
      </x:c>
      <x:c r="X122" s="83" t="str">
        <x:v>A — Direct</x:v>
      </x:c>
      <x:c r="Y122" s="83" t="str">
        <x:v>Adopted scenario override</x:v>
      </x:c>
      <x:c r="Z122" s="83" t="str">
        <x:v>Ready when profiles/base network are available</x:v>
      </x:c>
      <x:c r="AA122" s="83"/>
    </x:row>
    <x:row r="123">
      <x:c r="A123" s="83" t="str">
        <x:v>S4-00119</x:v>
      </x:c>
      <x:c r="B123" s="83" t="str">
        <x:v>IT2040_BASE_DEIT</x:v>
      </x:c>
      <x:c r="C123" s="83" t="n">
        <x:v>2040</x:v>
      </x:c>
      <x:c r="D123" s="83" t="str">
        <x:v>Fuel and CO2</x:v>
      </x:c>
      <x:c r="E123" s="83" t="str">
        <x:v>Italy</x:v>
      </x:c>
      <x:c r="F123" s="83"/>
      <x:c r="G123" s="83" t="str">
        <x:v>CO2 ETS</x:v>
      </x:c>
      <x:c r="H123" s="83" t="str">
        <x:v>CO2 allowance price</x:v>
      </x:c>
      <x:c r="I123" s="83" t="str">
        <x:v>co2</x:v>
      </x:c>
      <x:c r="J123" s="83" t="str">
        <x:v>Carrier/Generator</x:v>
      </x:c>
      <x:c r="K123" s="83" t="str">
        <x:v>marginal_cost build</x:v>
      </x:c>
      <x:c r="L123" s="279" t="n">
        <x:v>100</x:v>
      </x:c>
      <x:c r="M123" s="279" t="str">
        <x:v>EUR2023/tCO2</x:v>
      </x:c>
      <x:c r="N123" s="279" t="n">
        <x:f>IF(L123="","",IF(M123="GW",L123*1000,IF(M123="GWh",L123*1000,IF(M123="TWh",L123*1000000,L123))))</x:f>
        <x:v>100</x:v>
      </x:c>
      <x:c r="O123" s="83" t="str">
        <x:f>IF(L123="","",IF(M123="GW","MW",IF(OR(M123="GWh",M123="TWh"),"MWh",M123)))</x:f>
        <x:v>EUR2023/tCO2</x:v>
      </x:c>
      <x:c r="P123" s="83" t="n">
        <x:v>2023</x:v>
      </x:c>
      <x:c r="Q123" s="349" t="n">
        <x:v>1.045504</x:v>
      </x:c>
      <x:c r="R123" s="349" t="n">
        <x:f>IF(L123="","",IF(Q123&lt;&gt;"",L123*Q123,IF(OR(ISNUMBER(SEARCH("EUR2025",M123&amp;"")),P123=2025,P123="2025"),L123,"")))</x:f>
        <x:v>104.5504</x:v>
      </x:c>
      <x:c r="S123" s="83" t="str">
        <x:v>A — Direct</x:v>
      </x:c>
      <x:c r="T123" s="83" t="str">
        <x:v>Inflate to EUR2025 using euro-area annual HICP rates 2024 and 2025.</x:v>
      </x:c>
      <x:c r="U123" s="83" t="str">
        <x:v>S01 / S09</x:v>
      </x:c>
      <x:c r="V123" s="83" t="str">
        <x:v>Commodity tables</x:v>
      </x:c>
      <x:c r="W123" s="120" t="str">
        <x:v>https://www.ecb.europa.eu/stats/ecb_surveys/survey_of_professional_forecasters/html/ecb.spf2025q4.en.html</x:v>
      </x:c>
      <x:c r="X123" s="83" t="str">
        <x:v>A — Direct</x:v>
      </x:c>
      <x:c r="Y123" s="83" t="str">
        <x:v>Adopted scenario override</x:v>
      </x:c>
      <x:c r="Z123" s="83" t="str">
        <x:v>Ready when profiles/base network are available</x:v>
      </x:c>
      <x:c r="AA123" s="83"/>
    </x:row>
    <x:row r="124">
      <x:c r="A124" s="83" t="str">
        <x:v>S4-00120</x:v>
      </x:c>
      <x:c r="B124" s="83" t="str">
        <x:v>IT2040_BASE_DEIT</x:v>
      </x:c>
      <x:c r="C124" s="83" t="n">
        <x:v>2040</x:v>
      </x:c>
      <x:c r="D124" s="83" t="str">
        <x:v>Technical parameters</x:v>
      </x:c>
      <x:c r="E124" s="83" t="str">
        <x:v>National technology class</x:v>
      </x:c>
      <x:c r="F124" s="83"/>
      <x:c r="G124" s="83" t="str">
        <x:v>CCGT</x:v>
      </x:c>
      <x:c r="H124" s="83" t="str">
        <x:v>CCGT efficiency</x:v>
      </x:c>
      <x:c r="I124" s="83" t="str">
        <x:v>ccgt</x:v>
      </x:c>
      <x:c r="J124" s="83" t="str">
        <x:v>Generator/Carrier</x:v>
      </x:c>
      <x:c r="K124" s="83" t="str">
        <x:v>efficiency</x:v>
      </x:c>
      <x:c r="L124" s="279" t="n">
        <x:v>0.59</x:v>
      </x:c>
      <x:c r="M124" s="279" t="str">
        <x:v>per unit</x:v>
      </x:c>
      <x:c r="N124" s="279" t="n">
        <x:f>IF(L124="","",IF(M124="GW",L124*1000,IF(M124="GWh",L124*1000,IF(M124="TWh",L124*1000000,L124))))</x:f>
        <x:v>0.59</x:v>
      </x:c>
      <x:c r="O124" s="83" t="str">
        <x:f>IF(L124="","",IF(M124="GW","MW",IF(OR(M124="GWh",M124="TWh"),"MWh",M124)))</x:f>
        <x:v>per unit</x:v>
      </x:c>
      <x:c r="P124" s="83" t="str">
        <x:v>2015.0</x:v>
      </x:c>
      <x:c r="Q124" s="349"/>
      <x:c r="R124" s="349" t="str">
        <x:f>IF(L124="","",IF(Q124&lt;&gt;"",L124*Q124,IF(OR(ISNUMBER(SEARCH("EUR2025",M124&amp;"")),P124=2025,P124="2025"),L124,"")))</x:f>
      </x:c>
      <x:c r="S124" s="83" t="str">
        <x:v>C — External candidate</x:v>
      </x:c>
      <x:c r="T124" s="83" t="str">
        <x:v>Use v0.15.0 provisionally; actual CLI release/commit overrides.</x:v>
      </x:c>
      <x:c r="U124" s="83" t="str">
        <x:v>EXT-TD</x:v>
      </x:c>
      <x:c r="V124" s="83" t="str">
        <x:v>PyPSA technology-data v0.15.0 2040</x:v>
      </x:c>
      <x:c r="W124" s="120" t="str">
        <x:v>https://github.com/PyPSA/technology-data/releases/tag/v0.15.0</x:v>
      </x:c>
      <x:c r="X124" s="83" t="str">
        <x:v>C — Provisional</x:v>
      </x:c>
      <x:c r="Y124" s="83" t="str">
        <x:v>Provisional</x:v>
      </x:c>
      <x:c r="Z124" s="83" t="str">
        <x:v>Blocked until CLI pin/cohort mapping</x:v>
      </x:c>
      <x:c r="AA124" s="83"/>
    </x:row>
    <x:row r="125">
      <x:c r="A125" s="83" t="str">
        <x:v>S4-00121</x:v>
      </x:c>
      <x:c r="B125" s="83" t="str">
        <x:v>IT2040_BASE_DEIT</x:v>
      </x:c>
      <x:c r="C125" s="83" t="n">
        <x:v>2040</x:v>
      </x:c>
      <x:c r="D125" s="83" t="str">
        <x:v>Technical parameters</x:v>
      </x:c>
      <x:c r="E125" s="83" t="str">
        <x:v>National technology class</x:v>
      </x:c>
      <x:c r="F125" s="83"/>
      <x:c r="G125" s="83" t="str">
        <x:v>CCGT</x:v>
      </x:c>
      <x:c r="H125" s="83" t="str">
        <x:v>CCGT VOM</x:v>
      </x:c>
      <x:c r="I125" s="83" t="str">
        <x:v>ccgt</x:v>
      </x:c>
      <x:c r="J125" s="83" t="str">
        <x:v>Generator/Carrier</x:v>
      </x:c>
      <x:c r="K125" s="83" t="str">
        <x:v>marginal_cost/VOM</x:v>
      </x:c>
      <x:c r="L125" s="279" t="n">
        <x:v>5.4768</x:v>
      </x:c>
      <x:c r="M125" s="279" t="str">
        <x:v>EUR/MWh</x:v>
      </x:c>
      <x:c r="N125" s="279" t="n">
        <x:f>IF(L125="","",IF(M125="GW",L125*1000,IF(M125="GWh",L125*1000,IF(M125="TWh",L125*1000000,L125))))</x:f>
        <x:v>5.4768</x:v>
      </x:c>
      <x:c r="O125" s="83" t="str">
        <x:f>IF(L125="","",IF(M125="GW","MW",IF(OR(M125="GWh",M125="TWh"),"MWh",M125)))</x:f>
        <x:v>EUR/MWh</x:v>
      </x:c>
      <x:c r="P125" s="83" t="str">
        <x:v>2025.0</x:v>
      </x:c>
      <x:c r="Q125" s="349"/>
      <x:c r="R125" s="349" t="n">
        <x:f>IF(L125="","",IF(Q125&lt;&gt;"",L125*Q125,IF(OR(ISNUMBER(SEARCH("EUR2025",M125&amp;"")),P125=2025,P125="2025"),L125,"")))</x:f>
        <x:v>5.4768</x:v>
      </x:c>
      <x:c r="S125" s="83" t="str">
        <x:v>C — External candidate</x:v>
      </x:c>
      <x:c r="T125" s="83" t="str">
        <x:v>Use v0.15.0 provisionally; actual CLI release/commit overrides.</x:v>
      </x:c>
      <x:c r="U125" s="83" t="str">
        <x:v>EXT-TD</x:v>
      </x:c>
      <x:c r="V125" s="83" t="str">
        <x:v>PyPSA technology-data v0.15.0 2040</x:v>
      </x:c>
      <x:c r="W125" s="120" t="str">
        <x:v>https://github.com/PyPSA/technology-data/releases/tag/v0.15.0</x:v>
      </x:c>
      <x:c r="X125" s="83" t="str">
        <x:v>C — Provisional</x:v>
      </x:c>
      <x:c r="Y125" s="83" t="str">
        <x:v>Provisional</x:v>
      </x:c>
      <x:c r="Z125" s="83" t="str">
        <x:v>Blocked until CLI pin/cohort mapping</x:v>
      </x:c>
      <x:c r="AA125" s="83"/>
    </x:row>
    <x:row r="126">
      <x:c r="A126" s="83" t="str">
        <x:v>S4-00122</x:v>
      </x:c>
      <x:c r="B126" s="83" t="str">
        <x:v>IT2040_BASE_DEIT</x:v>
      </x:c>
      <x:c r="C126" s="83" t="n">
        <x:v>2040</x:v>
      </x:c>
      <x:c r="D126" s="83" t="str">
        <x:v>Technical parameters</x:v>
      </x:c>
      <x:c r="E126" s="83" t="str">
        <x:v>National technology class</x:v>
      </x:c>
      <x:c r="F126" s="83"/>
      <x:c r="G126" s="83" t="str">
        <x:v>OCGT</x:v>
      </x:c>
      <x:c r="H126" s="83" t="str">
        <x:v>OCGT efficiency</x:v>
      </x:c>
      <x:c r="I126" s="83" t="str">
        <x:v>ocgt</x:v>
      </x:c>
      <x:c r="J126" s="83" t="str">
        <x:v>Generator/Carrier</x:v>
      </x:c>
      <x:c r="K126" s="83" t="str">
        <x:v>efficiency</x:v>
      </x:c>
      <x:c r="L126" s="279" t="n">
        <x:v>0.42</x:v>
      </x:c>
      <x:c r="M126" s="279" t="str">
        <x:v>per unit</x:v>
      </x:c>
      <x:c r="N126" s="279" t="n">
        <x:f>IF(L126="","",IF(M126="GW",L126*1000,IF(M126="GWh",L126*1000,IF(M126="TWh",L126*1000000,L126))))</x:f>
        <x:v>0.42</x:v>
      </x:c>
      <x:c r="O126" s="83" t="str">
        <x:f>IF(L126="","",IF(M126="GW","MW",IF(OR(M126="GWh",M126="TWh"),"MWh",M126)))</x:f>
        <x:v>per unit</x:v>
      </x:c>
      <x:c r="P126" s="83" t="str">
        <x:v>2015.0</x:v>
      </x:c>
      <x:c r="Q126" s="349"/>
      <x:c r="R126" s="349" t="str">
        <x:f>IF(L126="","",IF(Q126&lt;&gt;"",L126*Q126,IF(OR(ISNUMBER(SEARCH("EUR2025",M126&amp;"")),P126=2025,P126="2025"),L126,"")))</x:f>
      </x:c>
      <x:c r="S126" s="83" t="str">
        <x:v>C — External candidate</x:v>
      </x:c>
      <x:c r="T126" s="83" t="str">
        <x:v>Use v0.15.0 provisionally; actual CLI release/commit overrides.</x:v>
      </x:c>
      <x:c r="U126" s="83" t="str">
        <x:v>EXT-TD</x:v>
      </x:c>
      <x:c r="V126" s="83" t="str">
        <x:v>PyPSA technology-data v0.15.0 2040</x:v>
      </x:c>
      <x:c r="W126" s="120" t="str">
        <x:v>https://github.com/PyPSA/technology-data/releases/tag/v0.15.0</x:v>
      </x:c>
      <x:c r="X126" s="83" t="str">
        <x:v>C — Provisional</x:v>
      </x:c>
      <x:c r="Y126" s="83" t="str">
        <x:v>Provisional</x:v>
      </x:c>
      <x:c r="Z126" s="83" t="str">
        <x:v>Blocked until CLI pin/cohort mapping</x:v>
      </x:c>
      <x:c r="AA126" s="83"/>
    </x:row>
    <x:row r="127">
      <x:c r="A127" s="83" t="str">
        <x:v>S4-00123</x:v>
      </x:c>
      <x:c r="B127" s="83" t="str">
        <x:v>IT2040_BASE_DEIT</x:v>
      </x:c>
      <x:c r="C127" s="83" t="n">
        <x:v>2040</x:v>
      </x:c>
      <x:c r="D127" s="83" t="str">
        <x:v>Technical parameters</x:v>
      </x:c>
      <x:c r="E127" s="83" t="str">
        <x:v>National technology class</x:v>
      </x:c>
      <x:c r="F127" s="83"/>
      <x:c r="G127" s="83" t="str">
        <x:v>OCGT</x:v>
      </x:c>
      <x:c r="H127" s="83" t="str">
        <x:v>OCGT VOM</x:v>
      </x:c>
      <x:c r="I127" s="83" t="str">
        <x:v>ocgt</x:v>
      </x:c>
      <x:c r="J127" s="83" t="str">
        <x:v>Generator/Carrier</x:v>
      </x:c>
      <x:c r="K127" s="83" t="str">
        <x:v>marginal_cost/VOM</x:v>
      </x:c>
      <x:c r="L127" s="279" t="n">
        <x:v>6.0111</x:v>
      </x:c>
      <x:c r="M127" s="279" t="str">
        <x:v>EUR/MWh</x:v>
      </x:c>
      <x:c r="N127" s="279" t="n">
        <x:f>IF(L127="","",IF(M127="GW",L127*1000,IF(M127="GWh",L127*1000,IF(M127="TWh",L127*1000000,L127))))</x:f>
        <x:v>6.0111</x:v>
      </x:c>
      <x:c r="O127" s="83" t="str">
        <x:f>IF(L127="","",IF(M127="GW","MW",IF(OR(M127="GWh",M127="TWh"),"MWh",M127)))</x:f>
        <x:v>EUR/MWh</x:v>
      </x:c>
      <x:c r="P127" s="83" t="str">
        <x:v>2025.0</x:v>
      </x:c>
      <x:c r="Q127" s="349"/>
      <x:c r="R127" s="349" t="n">
        <x:f>IF(L127="","",IF(Q127&lt;&gt;"",L127*Q127,IF(OR(ISNUMBER(SEARCH("EUR2025",M127&amp;"")),P127=2025,P127="2025"),L127,"")))</x:f>
        <x:v>6.0111</x:v>
      </x:c>
      <x:c r="S127" s="83" t="str">
        <x:v>C — External candidate</x:v>
      </x:c>
      <x:c r="T127" s="83" t="str">
        <x:v>Use v0.15.0 provisionally; actual CLI release/commit overrides.</x:v>
      </x:c>
      <x:c r="U127" s="83" t="str">
        <x:v>EXT-TD</x:v>
      </x:c>
      <x:c r="V127" s="83" t="str">
        <x:v>PyPSA technology-data v0.15.0 2040</x:v>
      </x:c>
      <x:c r="W127" s="120" t="str">
        <x:v>https://github.com/PyPSA/technology-data/releases/tag/v0.15.0</x:v>
      </x:c>
      <x:c r="X127" s="83" t="str">
        <x:v>C — Provisional</x:v>
      </x:c>
      <x:c r="Y127" s="83" t="str">
        <x:v>Provisional</x:v>
      </x:c>
      <x:c r="Z127" s="83" t="str">
        <x:v>Blocked until CLI pin/cohort mapping</x:v>
      </x:c>
      <x:c r="AA127" s="83"/>
    </x:row>
    <x:row r="128">
      <x:c r="A128" s="83" t="str">
        <x:v>S4-00124</x:v>
      </x:c>
      <x:c r="B128" s="83" t="str">
        <x:v>IT2040_BASE_DEIT</x:v>
      </x:c>
      <x:c r="C128" s="83" t="n">
        <x:v>2040</x:v>
      </x:c>
      <x:c r="D128" s="83" t="str">
        <x:v>Technical parameters</x:v>
      </x:c>
      <x:c r="E128" s="83" t="str">
        <x:v>National technology class</x:v>
      </x:c>
      <x:c r="F128" s="83"/>
      <x:c r="G128" s="83" t="str">
        <x:v>gas</x:v>
      </x:c>
      <x:c r="H128" s="83" t="str">
        <x:v>gas CO2 intensity</x:v>
      </x:c>
      <x:c r="I128" s="83" t="str">
        <x:v>gas</x:v>
      </x:c>
      <x:c r="J128" s="83" t="str">
        <x:v>Generator/Carrier</x:v>
      </x:c>
      <x:c r="K128" s="83" t="str">
        <x:v>co2_emissions</x:v>
      </x:c>
      <x:c r="L128" s="279" t="n">
        <x:v>0.198</x:v>
      </x:c>
      <x:c r="M128" s="279" t="str">
        <x:v>tCO2/MWh_th</x:v>
      </x:c>
      <x:c r="N128" s="279" t="n">
        <x:f>IF(L128="","",IF(M128="GW",L128*1000,IF(M128="GWh",L128*1000,IF(M128="TWh",L128*1000000,L128))))</x:f>
        <x:v>0.198</x:v>
      </x:c>
      <x:c r="O128" s="83" t="str">
        <x:f>IF(L128="","",IF(M128="GW","MW",IF(OR(M128="GWh",M128="TWh"),"MWh",M128)))</x:f>
        <x:v>tCO2/MWh_th</x:v>
      </x:c>
      <x:c r="P128" s="83" t="str"/>
      <x:c r="Q128" s="349"/>
      <x:c r="R128" s="349" t="str">
        <x:f>IF(L128="","",IF(Q128&lt;&gt;"",L128*Q128,IF(OR(ISNUMBER(SEARCH("EUR2025",M128&amp;"")),P128=2025,P128="2025"),L128,"")))</x:f>
      </x:c>
      <x:c r="S128" s="83" t="str">
        <x:v>C — External candidate</x:v>
      </x:c>
      <x:c r="T128" s="83" t="str">
        <x:v>Use v0.15.0 provisionally; actual CLI release/commit overrides.</x:v>
      </x:c>
      <x:c r="U128" s="83" t="str">
        <x:v>EXT-TD</x:v>
      </x:c>
      <x:c r="V128" s="83" t="str">
        <x:v>PyPSA technology-data v0.15.0 2040</x:v>
      </x:c>
      <x:c r="W128" s="120" t="str">
        <x:v>https://github.com/PyPSA/technology-data/releases/tag/v0.15.0</x:v>
      </x:c>
      <x:c r="X128" s="83" t="str">
        <x:v>C — Provisional</x:v>
      </x:c>
      <x:c r="Y128" s="83" t="str">
        <x:v>Provisional</x:v>
      </x:c>
      <x:c r="Z128" s="83" t="str">
        <x:v>Blocked until CLI pin/cohort mapping</x:v>
      </x:c>
      <x:c r="AA128" s="83"/>
    </x:row>
    <x:row r="129">
      <x:c r="A129" s="83" t="str">
        <x:v>S4-00125</x:v>
      </x:c>
      <x:c r="B129" s="83" t="str">
        <x:v>IT2040_BASE_DEIT</x:v>
      </x:c>
      <x:c r="C129" s="83" t="n">
        <x:v>2040</x:v>
      </x:c>
      <x:c r="D129" s="83" t="str">
        <x:v>Technical parameters</x:v>
      </x:c>
      <x:c r="E129" s="83" t="str">
        <x:v>All zones</x:v>
      </x:c>
      <x:c r="F129" s="83"/>
      <x:c r="G129" s="83" t="str">
        <x:v>solar-rooftop</x:v>
      </x:c>
      <x:c r="H129" s="83" t="str">
        <x:v>solar-rooftop marginal cost</x:v>
      </x:c>
      <x:c r="I129" s="83" t="str">
        <x:v>solar-rooftop</x:v>
      </x:c>
      <x:c r="J129" s="83" t="str">
        <x:v>Generator</x:v>
      </x:c>
      <x:c r="K129" s="83" t="str">
        <x:v>marginal_cost</x:v>
      </x:c>
      <x:c r="L129" s="279" t="n">
        <x:v>0</x:v>
      </x:c>
      <x:c r="M129" s="279" t="str">
        <x:v>EUR2025/MWh</x:v>
      </x:c>
      <x:c r="N129" s="279" t="str">
        <x:f>IF(L129="","",IF(M129="GW",L129*1000,IF(M129="GWh",L129*1000,IF(M129="TWh",L129*1000000,L129))))</x:f>
      </x:c>
      <x:c r="O129" s="83" t="str">
        <x:f>IF(L129="","",IF(M129="GW","MW",IF(OR(M129="GWh",M129="TWh"),"MWh",M129)))</x:f>
      </x:c>
      <x:c r="P129" s="83" t="str"/>
      <x:c r="Q129" s="349"/>
      <x:c r="R129" s="349" t="str">
        <x:f>IF(L129="","",IF(Q129&lt;&gt;"",L129*Q129,IF(OR(ISNUMBER(SEARCH("EUR2025",M129&amp;"")),P129=2025,P129="2025"),L129,"")))</x:f>
      </x:c>
      <x:c r="S129" s="83" t="str">
        <x:v>C — Harmonisation rule</x:v>
      </x:c>
      <x:c r="T129" s="83" t="str">
        <x:v>Zero marginal cost in base; negative-bid sensitivity separate.</x:v>
      </x:c>
      <x:c r="U129" s="83" t="str">
        <x:v>ASSUMPTION</x:v>
      </x:c>
      <x:c r="V129" s="83" t="str">
        <x:v>Phase 4 dispatch boundary</x:v>
      </x:c>
      <x:c r="W129" s="120"/>
      <x:c r="X129" s="83" t="str">
        <x:v>A — Direct</x:v>
      </x:c>
      <x:c r="Y129" s="83" t="str">
        <x:v>Proposed</x:v>
      </x:c>
      <x:c r="Z129" s="83" t="str">
        <x:v>Ready when profiles/base network are available</x:v>
      </x:c>
      <x:c r="AA129" s="83"/>
    </x:row>
    <x:row r="130">
      <x:c r="A130" s="83" t="str">
        <x:v>S4-00126</x:v>
      </x:c>
      <x:c r="B130" s="83" t="str">
        <x:v>IT2040_BASE_DEIT</x:v>
      </x:c>
      <x:c r="C130" s="83" t="n">
        <x:v>2040</x:v>
      </x:c>
      <x:c r="D130" s="83" t="str">
        <x:v>Technical parameters</x:v>
      </x:c>
      <x:c r="E130" s="83" t="str">
        <x:v>All zones</x:v>
      </x:c>
      <x:c r="F130" s="83"/>
      <x:c r="G130" s="83" t="str">
        <x:v>solar-utility</x:v>
      </x:c>
      <x:c r="H130" s="83" t="str">
        <x:v>solar-utility marginal cost</x:v>
      </x:c>
      <x:c r="I130" s="83" t="str">
        <x:v>solar-utility</x:v>
      </x:c>
      <x:c r="J130" s="83" t="str">
        <x:v>Generator</x:v>
      </x:c>
      <x:c r="K130" s="83" t="str">
        <x:v>marginal_cost</x:v>
      </x:c>
      <x:c r="L130" s="279" t="n">
        <x:v>0</x:v>
      </x:c>
      <x:c r="M130" s="279" t="str">
        <x:v>EUR2025/MWh</x:v>
      </x:c>
      <x:c r="N130" s="279" t="str">
        <x:f>IF(L130="","",IF(M130="GW",L130*1000,IF(M130="GWh",L130*1000,IF(M130="TWh",L130*1000000,L130))))</x:f>
      </x:c>
      <x:c r="O130" s="83" t="str">
        <x:f>IF(L130="","",IF(M130="GW","MW",IF(OR(M130="GWh",M130="TWh"),"MWh",M130)))</x:f>
      </x:c>
      <x:c r="P130" s="83" t="str"/>
      <x:c r="Q130" s="349"/>
      <x:c r="R130" s="349" t="str">
        <x:f>IF(L130="","",IF(Q130&lt;&gt;"",L130*Q130,IF(OR(ISNUMBER(SEARCH("EUR2025",M130&amp;"")),P130=2025,P130="2025"),L130,"")))</x:f>
      </x:c>
      <x:c r="S130" s="83" t="str">
        <x:v>C — Harmonisation rule</x:v>
      </x:c>
      <x:c r="T130" s="83" t="str">
        <x:v>Zero marginal cost in base; negative-bid sensitivity separate.</x:v>
      </x:c>
      <x:c r="U130" s="83" t="str">
        <x:v>ASSUMPTION</x:v>
      </x:c>
      <x:c r="V130" s="83" t="str">
        <x:v>Phase 4 dispatch boundary</x:v>
      </x:c>
      <x:c r="W130" s="120"/>
      <x:c r="X130" s="83" t="str">
        <x:v>A — Direct</x:v>
      </x:c>
      <x:c r="Y130" s="83" t="str">
        <x:v>Proposed</x:v>
      </x:c>
      <x:c r="Z130" s="83" t="str">
        <x:v>Ready when profiles/base network are available</x:v>
      </x:c>
      <x:c r="AA130" s="83"/>
    </x:row>
    <x:row r="131">
      <x:c r="A131" s="83" t="str">
        <x:v>S4-00127</x:v>
      </x:c>
      <x:c r="B131" s="83" t="str">
        <x:v>IT2040_BASE_DEIT</x:v>
      </x:c>
      <x:c r="C131" s="83" t="n">
        <x:v>2040</x:v>
      </x:c>
      <x:c r="D131" s="83" t="str">
        <x:v>Technical parameters</x:v>
      </x:c>
      <x:c r="E131" s="83" t="str">
        <x:v>All zones</x:v>
      </x:c>
      <x:c r="F131" s="83"/>
      <x:c r="G131" s="83" t="str">
        <x:v>onwind</x:v>
      </x:c>
      <x:c r="H131" s="83" t="str">
        <x:v>onwind marginal cost</x:v>
      </x:c>
      <x:c r="I131" s="83" t="str">
        <x:v>onwind</x:v>
      </x:c>
      <x:c r="J131" s="83" t="str">
        <x:v>Generator</x:v>
      </x:c>
      <x:c r="K131" s="83" t="str">
        <x:v>marginal_cost</x:v>
      </x:c>
      <x:c r="L131" s="279" t="n">
        <x:v>0</x:v>
      </x:c>
      <x:c r="M131" s="279" t="str">
        <x:v>EUR2025/MWh</x:v>
      </x:c>
      <x:c r="N131" s="279" t="str">
        <x:f>IF(L131="","",IF(M131="GW",L131*1000,IF(M131="GWh",L131*1000,IF(M131="TWh",L131*1000000,L131))))</x:f>
      </x:c>
      <x:c r="O131" s="83" t="str">
        <x:f>IF(L131="","",IF(M131="GW","MW",IF(OR(M131="GWh",M131="TWh"),"MWh",M131)))</x:f>
      </x:c>
      <x:c r="P131" s="83" t="str"/>
      <x:c r="Q131" s="349"/>
      <x:c r="R131" s="349" t="str">
        <x:f>IF(L131="","",IF(Q131&lt;&gt;"",L131*Q131,IF(OR(ISNUMBER(SEARCH("EUR2025",M131&amp;"")),P131=2025,P131="2025"),L131,"")))</x:f>
      </x:c>
      <x:c r="S131" s="83" t="str">
        <x:v>C — Harmonisation rule</x:v>
      </x:c>
      <x:c r="T131" s="83" t="str">
        <x:v>Zero marginal cost in base; negative-bid sensitivity separate.</x:v>
      </x:c>
      <x:c r="U131" s="83" t="str">
        <x:v>ASSUMPTION</x:v>
      </x:c>
      <x:c r="V131" s="83" t="str">
        <x:v>Phase 4 dispatch boundary</x:v>
      </x:c>
      <x:c r="W131" s="120"/>
      <x:c r="X131" s="83" t="str">
        <x:v>A — Direct</x:v>
      </x:c>
      <x:c r="Y131" s="83" t="str">
        <x:v>Proposed</x:v>
      </x:c>
      <x:c r="Z131" s="83" t="str">
        <x:v>Ready when profiles/base network are available</x:v>
      </x:c>
      <x:c r="AA131" s="83"/>
    </x:row>
    <x:row r="132">
      <x:c r="A132" s="83" t="str">
        <x:v>S4-00128</x:v>
      </x:c>
      <x:c r="B132" s="83" t="str">
        <x:v>IT2040_BASE_DEIT</x:v>
      </x:c>
      <x:c r="C132" s="83" t="n">
        <x:v>2040</x:v>
      </x:c>
      <x:c r="D132" s="83" t="str">
        <x:v>Technical parameters</x:v>
      </x:c>
      <x:c r="E132" s="83" t="str">
        <x:v>All zones</x:v>
      </x:c>
      <x:c r="F132" s="83"/>
      <x:c r="G132" s="83" t="str">
        <x:v>offwind</x:v>
      </x:c>
      <x:c r="H132" s="83" t="str">
        <x:v>offwind marginal cost</x:v>
      </x:c>
      <x:c r="I132" s="83" t="str">
        <x:v>offwind</x:v>
      </x:c>
      <x:c r="J132" s="83" t="str">
        <x:v>Generator</x:v>
      </x:c>
      <x:c r="K132" s="83" t="str">
        <x:v>marginal_cost</x:v>
      </x:c>
      <x:c r="L132" s="279" t="n">
        <x:v>0</x:v>
      </x:c>
      <x:c r="M132" s="279" t="str">
        <x:v>EUR2025/MWh</x:v>
      </x:c>
      <x:c r="N132" s="279" t="str">
        <x:f>IF(L132="","",IF(M132="GW",L132*1000,IF(M132="GWh",L132*1000,IF(M132="TWh",L132*1000000,L132))))</x:f>
      </x:c>
      <x:c r="O132" s="83" t="str">
        <x:f>IF(L132="","",IF(M132="GW","MW",IF(OR(M132="GWh",M132="TWh"),"MWh",M132)))</x:f>
      </x:c>
      <x:c r="P132" s="83" t="str"/>
      <x:c r="Q132" s="349"/>
      <x:c r="R132" s="349" t="str">
        <x:f>IF(L132="","",IF(Q132&lt;&gt;"",L132*Q132,IF(OR(ISNUMBER(SEARCH("EUR2025",M132&amp;"")),P132=2025,P132="2025"),L132,"")))</x:f>
      </x:c>
      <x:c r="S132" s="83" t="str">
        <x:v>C — Harmonisation rule</x:v>
      </x:c>
      <x:c r="T132" s="83" t="str">
        <x:v>Zero marginal cost in base; negative-bid sensitivity separate.</x:v>
      </x:c>
      <x:c r="U132" s="83" t="str">
        <x:v>ASSUMPTION</x:v>
      </x:c>
      <x:c r="V132" s="83" t="str">
        <x:v>Phase 4 dispatch boundary</x:v>
      </x:c>
      <x:c r="W132" s="120"/>
      <x:c r="X132" s="83" t="str">
        <x:v>A — Direct</x:v>
      </x:c>
      <x:c r="Y132" s="83" t="str">
        <x:v>Proposed</x:v>
      </x:c>
      <x:c r="Z132" s="83" t="str">
        <x:v>Ready when profiles/base network are available</x:v>
      </x:c>
      <x:c r="AA132" s="83"/>
    </x:row>
    <x:row r="133">
      <x:c r="A133" s="83" t="str">
        <x:v>S4-00129</x:v>
      </x:c>
      <x:c r="B133" s="83" t="str">
        <x:v>IT2040_BASE_DEIT</x:v>
      </x:c>
      <x:c r="C133" s="83" t="n">
        <x:v>2040</x:v>
      </x:c>
      <x:c r="D133" s="83" t="str">
        <x:v>Technical parameters</x:v>
      </x:c>
      <x:c r="E133" s="83" t="str">
        <x:v>All zones</x:v>
      </x:c>
      <x:c r="F133" s="83"/>
      <x:c r="G133" s="83" t="str">
        <x:v>Li-ion battery</x:v>
      </x:c>
      <x:c r="H133" s="83" t="str">
        <x:v>Battery one-way efficiency</x:v>
      </x:c>
      <x:c r="I133" s="83" t="str">
        <x:v>battery</x:v>
      </x:c>
      <x:c r="J133" s="83" t="str">
        <x:v>Link</x:v>
      </x:c>
      <x:c r="K133" s="83" t="str">
        <x:v>efficiency</x:v>
      </x:c>
      <x:c r="L133" s="279" t="n">
        <x:v>0.9486832980505138</x:v>
      </x:c>
      <x:c r="M133" s="279" t="str">
        <x:v>p.u.</x:v>
      </x:c>
      <x:c r="N133" s="279" t="n">
        <x:f>IF(L133="","",IF(M133="GW",L133*1000,IF(M133="GWh",L133*1000,IF(M133="TWh",L133*1000000,L133))))</x:f>
        <x:v>0.9486832980505138</x:v>
      </x:c>
      <x:c r="O133" s="83" t="str">
        <x:f>IF(L133="","",IF(M133="GW","MW",IF(OR(M133="GWh",M133="TWh"),"MWh",M133)))</x:f>
        <x:v>p.u.</x:v>
      </x:c>
      <x:c r="P133" s="83" t="str"/>
      <x:c r="Q133" s="349"/>
      <x:c r="R133" s="349" t="str">
        <x:f>IF(L133="","",IF(Q133&lt;&gt;"",L133*Q133,IF(OR(ISNUMBER(SEARCH("EUR2025",M133&amp;"")),P133=2025,P133="2025"),L133,"")))</x:f>
      </x:c>
      <x:c r="S133" s="83" t="str">
        <x:v>B — Derived</x:v>
      </x:c>
      <x:c r="T133" s="83" t="str">
        <x:v>sqrt(0.90 round-trip), symmetric charge/discharge.</x:v>
      </x:c>
      <x:c r="U133" s="83" t="str">
        <x:v>S07 / EXT-TD</x:v>
      </x:c>
      <x:c r="V133" s="83" t="str">
        <x:v>Terna 90% RTE; technology-data inverter 96%</x:v>
      </x:c>
      <x:c r="W133" s="120"/>
      <x:c r="X133" s="83" t="str">
        <x:v>B — Derived</x:v>
      </x:c>
      <x:c r="Y133" s="83" t="str">
        <x:v>Proposed</x:v>
      </x:c>
      <x:c r="Z133" s="83" t="str">
        <x:v>Ready when profiles/base network are available</x:v>
      </x:c>
      <x:c r="AA133" s="83"/>
    </x:row>
    <x:row r="134">
      <x:c r="A134" s="83" t="str">
        <x:v>S4-00130</x:v>
      </x:c>
      <x:c r="B134" s="83" t="str">
        <x:v>IT2040_BASE_DEIT</x:v>
      </x:c>
      <x:c r="C134" s="83" t="n">
        <x:v>2040</x:v>
      </x:c>
      <x:c r="D134" s="83" t="str">
        <x:v>Technical parameters</x:v>
      </x:c>
      <x:c r="E134" s="83" t="str">
        <x:v>Existing PHS sites</x:v>
      </x:c>
      <x:c r="F134" s="83"/>
      <x:c r="G134" s="83" t="str">
        <x:v>PHS</x:v>
      </x:c>
      <x:c r="H134" s="83" t="str">
        <x:v>PHS one-way efficiency</x:v>
      </x:c>
      <x:c r="I134" s="83" t="str">
        <x:v>PHS</x:v>
      </x:c>
      <x:c r="J134" s="83" t="str">
        <x:v>Link</x:v>
      </x:c>
      <x:c r="K134" s="83" t="str">
        <x:v>efficiency</x:v>
      </x:c>
      <x:c r="L134" s="279" t="n">
        <x:v>0.8660254037844386</x:v>
      </x:c>
      <x:c r="M134" s="279" t="str">
        <x:v>p.u.</x:v>
      </x:c>
      <x:c r="N134" s="279" t="n">
        <x:f>IF(L134="","",IF(M134="GW",L134*1000,IF(M134="GWh",L134*1000,IF(M134="TWh",L134*1000000,L134))))</x:f>
        <x:v>0.8660254037844386</x:v>
      </x:c>
      <x:c r="O134" s="83" t="str">
        <x:f>IF(L134="","",IF(M134="GW","MW",IF(OR(M134="GWh",M134="TWh"),"MWh",M134)))</x:f>
        <x:v>p.u.</x:v>
      </x:c>
      <x:c r="P134" s="83" t="str"/>
      <x:c r="Q134" s="349"/>
      <x:c r="R134" s="349" t="str">
        <x:f>IF(L134="","",IF(Q134&lt;&gt;"",L134*Q134,IF(OR(ISNUMBER(SEARCH("EUR2025",M134&amp;"")),P134=2025,P134="2025"),L134,"")))</x:f>
      </x:c>
      <x:c r="S134" s="83" t="str">
        <x:v>C — External candidate</x:v>
      </x:c>
      <x:c r="T134" s="83" t="str">
        <x:v>sqrt(0.75 round-trip), symmetric split.</x:v>
      </x:c>
      <x:c r="U134" s="83" t="str">
        <x:v>EXT-TD</x:v>
      </x:c>
      <x:c r="V134" s="83" t="str">
        <x:v>technology-data v0.15.0</x:v>
      </x:c>
      <x:c r="W134" s="120" t="str">
        <x:v>https://github.com/PyPSA/technology-data/releases/tag/v0.15.0</x:v>
      </x:c>
      <x:c r="X134" s="83" t="str">
        <x:v>C — Provisional</x:v>
      </x:c>
      <x:c r="Y134" s="83" t="str">
        <x:v>Proposed</x:v>
      </x:c>
      <x:c r="Z134" s="83" t="str">
        <x:v>Ready when profiles/base network are available</x:v>
      </x:c>
      <x:c r="AA134" s="83"/>
    </x:row>
    <x:row r="135">
      <x:c r="A135" s="83" t="str">
        <x:v>S4-00131</x:v>
      </x:c>
      <x:c r="B135" s="83" t="str">
        <x:v>IT2040_BASE_DEIT</x:v>
      </x:c>
      <x:c r="C135" s="83" t="n">
        <x:v>2040</x:v>
      </x:c>
      <x:c r="D135" s="83" t="str">
        <x:v>Model setting</x:v>
      </x:c>
      <x:c r="E135" s="83" t="str">
        <x:v>System</x:v>
      </x:c>
      <x:c r="F135" s="83"/>
      <x:c r="G135" s="83" t="str">
        <x:v>Capacity expansion</x:v>
      </x:c>
      <x:c r="H135" s="83" t="str">
        <x:v>Fixed capacities</x:v>
      </x:c>
      <x:c r="I135" s="83" t="str">
        <x:v>model</x:v>
      </x:c>
      <x:c r="J135" s="83" t="str">
        <x:v>Network</x:v>
      </x:c>
      <x:c r="K135" s="83" t="str">
        <x:v>p_nom_extendable</x:v>
      </x:c>
      <x:c r="L135" s="279" t="n">
        <x:v>0</x:v>
      </x:c>
      <x:c r="M135" s="279" t="str">
        <x:v>boolean</x:v>
      </x:c>
      <x:c r="N135" s="279" t="str">
        <x:f>IF(L135="","",IF(M135="GW",L135*1000,IF(M135="GWh",L135*1000,IF(M135="TWh",L135*1000000,L135))))</x:f>
      </x:c>
      <x:c r="O135" s="83" t="str">
        <x:f>IF(L135="","",IF(M135="GW","MW",IF(OR(M135="GWh",M135="TWh"),"MWh",M135)))</x:f>
      </x:c>
      <x:c r="P135" s="83" t="str"/>
      <x:c r="Q135" s="349"/>
      <x:c r="R135" s="349" t="str">
        <x:f>IF(L135="","",IF(Q135&lt;&gt;"",L135*Q135,IF(OR(ISNUMBER(SEARCH("EUR2025",M135&amp;"")),P135=2025,P135="2025"),L135,"")))</x:f>
      </x:c>
      <x:c r="S135" s="83" t="str">
        <x:v>Project decision</x:v>
      </x:c>
      <x:c r="T135" s="83" t="str">
        <x:v>All capacities fixed; dispatch-only.</x:v>
      </x:c>
      <x:c r="U135" s="83" t="str">
        <x:v>PLAN</x:v>
      </x:c>
      <x:c r="V135" s="83" t="str">
        <x:v>Phase 2 decision</x:v>
      </x:c>
      <x:c r="W135" s="120"/>
      <x:c r="X135" s="83" t="str">
        <x:v>A — Direct</x:v>
      </x:c>
      <x:c r="Y135" s="83" t="str">
        <x:v>Adopted</x:v>
      </x:c>
      <x:c r="Z135" s="83" t="str">
        <x:v>Ready when profiles/base network are available</x:v>
      </x:c>
      <x:c r="AA135" s="83"/>
    </x:row>
    <x:row r="136">
      <x:c r="A136" s="83" t="str">
        <x:v>S4-00132</x:v>
      </x:c>
      <x:c r="B136" s="83" t="str">
        <x:v>IT2040_BASE_DEIT</x:v>
      </x:c>
      <x:c r="C136" s="83" t="n">
        <x:v>2040</x:v>
      </x:c>
      <x:c r="D136" s="83" t="str">
        <x:v>Model setting</x:v>
      </x:c>
      <x:c r="E136" s="83" t="str">
        <x:v>System</x:v>
      </x:c>
      <x:c r="F136" s="83"/>
      <x:c r="G136" s="83" t="str">
        <x:v>Unit commitment</x:v>
      </x:c>
      <x:c r="H136" s="83" t="str">
        <x:v>Linear dispatch base</x:v>
      </x:c>
      <x:c r="I136" s="83" t="str">
        <x:v>model</x:v>
      </x:c>
      <x:c r="J136" s="83" t="str">
        <x:v>Generator</x:v>
      </x:c>
      <x:c r="K136" s="83" t="str">
        <x:v>committable</x:v>
      </x:c>
      <x:c r="L136" s="279" t="n">
        <x:v>0</x:v>
      </x:c>
      <x:c r="M136" s="279" t="str">
        <x:v>boolean</x:v>
      </x:c>
      <x:c r="N136" s="279" t="str">
        <x:f>IF(L136="","",IF(M136="GW",L136*1000,IF(M136="GWh",L136*1000,IF(M136="TWh",L136*1000000,L136))))</x:f>
      </x:c>
      <x:c r="O136" s="83" t="str">
        <x:f>IF(L136="","",IF(M136="GW","MW",IF(OR(M136="GWh",M136="TWh"),"MWh",M136)))</x:f>
      </x:c>
      <x:c r="P136" s="83" t="str"/>
      <x:c r="Q136" s="349"/>
      <x:c r="R136" s="349" t="str">
        <x:f>IF(L136="","",IF(Q136&lt;&gt;"",L136*Q136,IF(OR(ISNUMBER(SEARCH("EUR2025",M136&amp;"")),P136=2025,P136="2025"),L136,"")))</x:f>
      </x:c>
      <x:c r="S136" s="83" t="str">
        <x:v>Project decision</x:v>
      </x:c>
      <x:c r="T136" s="83" t="str">
        <x:v>Unit commitment only as sensitivity.</x:v>
      </x:c>
      <x:c r="U136" s="83" t="str">
        <x:v>PLAN</x:v>
      </x:c>
      <x:c r="V136" s="83" t="str">
        <x:v>Phase 2/3D decision</x:v>
      </x:c>
      <x:c r="W136" s="120"/>
      <x:c r="X136" s="83" t="str">
        <x:v>A — Direct</x:v>
      </x:c>
      <x:c r="Y136" s="83" t="str">
        <x:v>Adopted</x:v>
      </x:c>
      <x:c r="Z136" s="83" t="str">
        <x:v>Ready when profiles/base network are available</x:v>
      </x:c>
      <x:c r="AA136" s="83"/>
    </x:row>
    <x:row r="137">
      <x:c r="A137" s="83" t="str">
        <x:v>S4-00133</x:v>
      </x:c>
      <x:c r="B137" s="83" t="str">
        <x:v>IT2040_ALT_GAIT</x:v>
      </x:c>
      <x:c r="C137" s="83" t="n">
        <x:v>2040</x:v>
      </x:c>
      <x:c r="D137" s="83" t="str">
        <x:v>Demand</x:v>
      </x:c>
      <x:c r="E137" s="83" t="str">
        <x:v>Italy</x:v>
      </x:c>
      <x:c r="F137" s="83"/>
      <x:c r="G137" s="83" t="str">
        <x:v>Fabbisogno elettrico puro</x:v>
      </x:c>
      <x:c r="H137" s="83" t="str">
        <x:v>Rigid electricity load</x:v>
      </x:c>
      <x:c r="I137" s="83" t="str">
        <x:v>electricity</x:v>
      </x:c>
      <x:c r="J137" s="83" t="str">
        <x:v>Load</x:v>
      </x:c>
      <x:c r="K137" s="83" t="str">
        <x:v>p_set annual target</x:v>
      </x:c>
      <x:c r="L137" s="279" t="n">
        <x:v>388</x:v>
      </x:c>
      <x:c r="M137" s="279" t="str">
        <x:v>TWh</x:v>
      </x:c>
      <x:c r="N137" s="279" t="n">
        <x:f>IF(L137="","",IF(M137="GW",L137*1000,IF(M137="GWh",L137*1000,IF(M137="TWh",L137*1000000,L137))))</x:f>
        <x:v>388000000</x:v>
      </x:c>
      <x:c r="O137" s="83" t="str">
        <x:f>IF(L137="","",IF(M137="GW","MW",IF(OR(M137="GWh",M137="TWh"),"MWh",M137)))</x:f>
        <x:v>MWh</x:v>
      </x:c>
      <x:c r="P137" s="83" t="str"/>
      <x:c r="Q137" s="349"/>
      <x:c r="R137" s="349" t="str">
        <x:f>IF(L137="","",IF(Q137&lt;&gt;"",L137*Q137,IF(OR(ISNUMBER(SEARCH("EUR2025",M137&amp;"")),P137=2025,P137="2025"),L137,"")))</x:f>
      </x:c>
      <x:c r="S137" s="83" t="str">
        <x:v>A — Direct</x:v>
      </x:c>
      <x:c r="T137" s="83" t="str">
        <x:v>Hourly shape from PyPSA-Eur base-year load profiles; scale zonal annual shares to national target.</x:v>
      </x:c>
      <x:c r="U137" s="83" t="str">
        <x:v>S09</x:v>
      </x:c>
      <x:c r="V137" s="83" t="str">
        <x:v>DDS Table 6 / annual demand tables</x:v>
      </x:c>
      <x:c r="W137" s="120"/>
      <x:c r="X137" s="83" t="str">
        <x:v>A/B — direct total, profile external</x:v>
      </x:c>
      <x:c r="Y137" s="83" t="str">
        <x:v>Adopted annual volume</x:v>
      </x:c>
      <x:c r="Z137" s="83" t="str">
        <x:v>Conditional on hourly and zonal load profile</x:v>
      </x:c>
      <x:c r="AA137" s="83" t="str">
        <x:v>Includes network losses in the source perimeter; do not add a second loss load.</x:v>
      </x:c>
    </x:row>
    <x:row r="138">
      <x:c r="A138" s="83" t="str">
        <x:v>S4-00134</x:v>
      </x:c>
      <x:c r="B138" s="83" t="str">
        <x:v>IT2040_ALT_GAIT</x:v>
      </x:c>
      <x:c r="C138" s="83" t="n">
        <x:v>2040</x:v>
      </x:c>
      <x:c r="D138" s="83" t="str">
        <x:v>Flexible demand</x:v>
      </x:c>
      <x:c r="E138" s="83" t="str">
        <x:v>Italy</x:v>
      </x:c>
      <x:c r="F138" s="83"/>
      <x:c r="G138" s="83" t="str">
        <x:v>Produzione H2 (elettrolisi)</x:v>
      </x:c>
      <x:c r="H138" s="83" t="str">
        <x:v>Electrolyser flexible load</x:v>
      </x:c>
      <x:c r="I138" s="83" t="str">
        <x:v>hydrogen electrolysis</x:v>
      </x:c>
      <x:c r="J138" s="83" t="str">
        <x:v>Link or flexible Load</x:v>
      </x:c>
      <x:c r="K138" s="83" t="str">
        <x:v>p_nom / annual electricity constraint</x:v>
      </x:c>
      <x:c r="L138" s="279" t="n">
        <x:v>7.4</x:v>
      </x:c>
      <x:c r="M138" s="279" t="str">
        <x:v>GW</x:v>
      </x:c>
      <x:c r="N138" s="279" t="n">
        <x:f>IF(L138="","",IF(M138="GW",L138*1000,IF(M138="GWh",L138*1000,IF(M138="TWh",L138*1000000,L138))))</x:f>
        <x:v>7400</x:v>
      </x:c>
      <x:c r="O138" s="83" t="str">
        <x:f>IF(L138="","",IF(M138="GW","MW",IF(OR(M138="GWh",M138="TWh"),"MWh",M138)))</x:f>
        <x:v>MW</x:v>
      </x:c>
      <x:c r="P138" s="83" t="str"/>
      <x:c r="Q138" s="349"/>
      <x:c r="R138" s="349" t="str">
        <x:f>IF(L138="","",IF(Q138&lt;&gt;"",L138*Q138,IF(OR(ISNUMBER(SEARCH("EUR2025",M138&amp;"")),P138=2025,P138="2025"),L138,"")))</x:f>
      </x:c>
      <x:c r="S138" s="83" t="str">
        <x:v>A — Direct</x:v>
      </x:c>
      <x:c r="T138" s="83" t="str">
        <x:v>Use source power. Annual electricity consumption is a separate row; minimum 3,000 h and low-price activation.</x:v>
      </x:c>
      <x:c r="U138" s="83" t="str">
        <x:v>S09</x:v>
      </x:c>
      <x:c r="V138" s="83" t="str">
        <x:v>DDS Figures 29/37 and demand table</x:v>
      </x:c>
      <x:c r="W138" s="120"/>
      <x:c r="X138" s="83" t="str">
        <x:v>A — Direct</x:v>
      </x:c>
      <x:c r="Y138" s="83" t="str">
        <x:v>Adopted annual power</x:v>
      </x:c>
      <x:c r="Z138" s="83" t="str">
        <x:v>Conditional on hydrogen/flexible-load formulation</x:v>
      </x:c>
      <x:c r="AA138" s="83"/>
    </x:row>
    <x:row r="139">
      <x:c r="A139" s="83" t="str">
        <x:v>S4-00135</x:v>
      </x:c>
      <x:c r="B139" s="83" t="str">
        <x:v>IT2040_ALT_GAIT</x:v>
      </x:c>
      <x:c r="C139" s="83" t="n">
        <x:v>2040</x:v>
      </x:c>
      <x:c r="D139" s="83" t="str">
        <x:v>Flexible demand</x:v>
      </x:c>
      <x:c r="E139" s="83" t="str">
        <x:v>Italy</x:v>
      </x:c>
      <x:c r="F139" s="83"/>
      <x:c r="G139" s="83" t="str">
        <x:v>Produzione H2 (elettrolisi)</x:v>
      </x:c>
      <x:c r="H139" s="83" t="str">
        <x:v>Electrolyser electricity consumption</x:v>
      </x:c>
      <x:c r="I139" s="83" t="str">
        <x:v>electricity</x:v>
      </x:c>
      <x:c r="J139" s="83" t="str">
        <x:v>Link or flexible Load</x:v>
      </x:c>
      <x:c r="K139" s="83" t="str">
        <x:v>annual electricity target</x:v>
      </x:c>
      <x:c r="L139" s="279" t="n">
        <x:v>27.5</x:v>
      </x:c>
      <x:c r="M139" s="279" t="str">
        <x:v>TWh</x:v>
      </x:c>
      <x:c r="N139" s="279" t="n">
        <x:f>IF(L139="","",IF(M139="GW",L139*1000,IF(M139="GWh",L139*1000,IF(M139="TWh",L139*1000000,L139))))</x:f>
        <x:v>27500000</x:v>
      </x:c>
      <x:c r="O139" s="83" t="str">
        <x:f>IF(L139="","",IF(M139="GW","MW",IF(OR(M139="GWh",M139="TWh"),"MWh",M139)))</x:f>
        <x:v>MWh</x:v>
      </x:c>
      <x:c r="P139" s="83" t="str"/>
      <x:c r="Q139" s="349"/>
      <x:c r="R139" s="349" t="str">
        <x:f>IF(L139="","",IF(Q139&lt;&gt;"",L139*Q139,IF(OR(ISNUMBER(SEARCH("EUR2025",M139&amp;"")),P139=2025,P139="2025"),L139,"")))</x:f>
      </x:c>
      <x:c r="S139" s="83" t="str">
        <x:v>A — Direct</x:v>
      </x:c>
      <x:c r="T139" s="83" t="str">
        <x:v>Annual target enforced with energy balance or load-shifting constraint.</x:v>
      </x:c>
      <x:c r="U139" s="83" t="str">
        <x:v>S09</x:v>
      </x:c>
      <x:c r="V139" s="83" t="str">
        <x:v>DDS demand and electrolyser results</x:v>
      </x:c>
      <x:c r="W139" s="120"/>
      <x:c r="X139" s="83" t="str">
        <x:v>A — Direct</x:v>
      </x:c>
      <x:c r="Y139" s="83" t="str">
        <x:v>Adopted annual energy</x:v>
      </x:c>
      <x:c r="Z139" s="83" t="str">
        <x:v>Conditional on temporal formulation</x:v>
      </x:c>
      <x:c r="AA139" s="83"/>
    </x:row>
    <x:row r="140">
      <x:c r="A140" s="83" t="str">
        <x:v>S4-00136</x:v>
      </x:c>
      <x:c r="B140" s="83" t="str">
        <x:v>IT2040_ALT_GAIT</x:v>
      </x:c>
      <x:c r="C140" s="83" t="n">
        <x:v>2040</x:v>
      </x:c>
      <x:c r="D140" s="83" t="str">
        <x:v>QA target</x:v>
      </x:c>
      <x:c r="E140" s="83" t="str">
        <x:v>Italy</x:v>
      </x:c>
      <x:c r="F140" s="83"/>
      <x:c r="G140" s="83" t="str">
        <x:v>Fabbisogno elettrico totale</x:v>
      </x:c>
      <x:c r="H140" s="83" t="str">
        <x:v>Total annual electricity requirement</x:v>
      </x:c>
      <x:c r="I140" s="83" t="str">
        <x:v>electricity</x:v>
      </x:c>
      <x:c r="J140" s="83" t="str">
        <x:v>QA</x:v>
      </x:c>
      <x:c r="K140" s="83" t="str">
        <x:v>annual balance</x:v>
      </x:c>
      <x:c r="L140" s="279" t="n">
        <x:v>415.2</x:v>
      </x:c>
      <x:c r="M140" s="279" t="str">
        <x:v>TWh</x:v>
      </x:c>
      <x:c r="N140" s="279" t="n">
        <x:f>IF(L140="","",IF(M140="GW",L140*1000,IF(M140="GWh",L140*1000,IF(M140="TWh",L140*1000000,L140))))</x:f>
        <x:v>415200000</x:v>
      </x:c>
      <x:c r="O140" s="83" t="str">
        <x:f>IF(L140="","",IF(M140="GW","MW",IF(OR(M140="GWh",M140="TWh"),"MWh",M140)))</x:f>
        <x:v>MWh</x:v>
      </x:c>
      <x:c r="P140" s="83" t="str"/>
      <x:c r="Q140" s="349"/>
      <x:c r="R140" s="349" t="str">
        <x:f>IF(L140="","",IF(Q140&lt;&gt;"",L140*Q140,IF(OR(ISNUMBER(SEARCH("EUR2025",M140&amp;"")),P140=2025,P140="2025"),L140,"")))</x:f>
      </x:c>
      <x:c r="S140" s="83" t="str">
        <x:v>A — Direct</x:v>
      </x:c>
      <x:c r="T140" s="83" t="str">
        <x:v>Control only: rigid demand + electrolysis must reconcile to total within source rounding.</x:v>
      </x:c>
      <x:c r="U140" s="83" t="str">
        <x:v>S09</x:v>
      </x:c>
      <x:c r="V140" s="83" t="str">
        <x:v>DDS annual demand tables</x:v>
      </x:c>
      <x:c r="W140" s="120"/>
      <x:c r="X140" s="83" t="str">
        <x:v>A — Direct</x:v>
      </x:c>
      <x:c r="Y140" s="83" t="str">
        <x:v>QA only</x:v>
      </x:c>
      <x:c r="Z140" s="83" t="str">
        <x:v>Ready when profiles/base network are available</x:v>
      </x:c>
      <x:c r="AA140" s="83"/>
    </x:row>
    <x:row r="141">
      <x:c r="A141" s="83" t="str">
        <x:v>S4-00137</x:v>
      </x:c>
      <x:c r="B141" s="83" t="str">
        <x:v>IT2040_ALT_GAIT</x:v>
      </x:c>
      <x:c r="C141" s="83" t="n">
        <x:v>2040</x:v>
      </x:c>
      <x:c r="D141" s="83" t="str">
        <x:v>Generation capacity</x:v>
      </x:c>
      <x:c r="E141" s="83" t="str">
        <x:v>IT_NORD</x:v>
      </x:c>
      <x:c r="F141" s="83" t="str">
        <x:v>NORD</x:v>
      </x:c>
      <x:c r="G141" s="83" t="str">
        <x:v>Solare distribuito</x:v>
      </x:c>
      <x:c r="H141" s="83" t="str">
        <x:v>Solar rooftop/distributed</x:v>
      </x:c>
      <x:c r="I141" s="83" t="str">
        <x:v>solar-rooftop</x:v>
      </x:c>
      <x:c r="J141" s="83" t="str">
        <x:v>Generator</x:v>
      </x:c>
      <x:c r="K141" s="83" t="str">
        <x:v>p_nom</x:v>
      </x:c>
      <x:c r="L141" s="279" t="n">
        <x:v>26.1</x:v>
      </x:c>
      <x:c r="M141" s="279" t="str">
        <x:v>GW</x:v>
      </x:c>
      <x:c r="N141" s="279" t="n">
        <x:f>IF(L141="","",IF(M141="GW",L141*1000,IF(M141="GWh",L141*1000,IF(M141="TWh",L141*1000000,L141))))</x:f>
        <x:v>26100</x:v>
      </x:c>
      <x:c r="O141" s="83" t="str">
        <x:f>IF(L141="","",IF(M141="GW","MW",IF(OR(M141="GWh",M141="TWh"),"MWh",M141)))</x:f>
        <x:v>MW</x:v>
      </x:c>
      <x:c r="P141" s="83" t="str"/>
      <x:c r="Q141" s="349"/>
      <x:c r="R141" s="349" t="str">
        <x:f>IF(L141="","",IF(Q141&lt;&gt;"",L141*Q141,IF(OR(ISNUMBER(SEARCH("EUR2025",M141&amp;"")),P141=2025,P141="2025"),L141,"")))</x:f>
      </x:c>
      <x:c r="S141" s="83" t="str">
        <x:v>A — Direct</x:v>
      </x:c>
      <x:c r="T141" s="83" t="str">
        <x:v>Direct zonal capacity; convert GW to MW.</x:v>
      </x:c>
      <x:c r="U141" s="83" t="str">
        <x:v>S09</x:v>
      </x:c>
      <x:c r="V141" s="83" t="str">
        <x:v>DDS Tabella 14 p.60</x:v>
      </x:c>
      <x:c r="W141" s="120"/>
      <x:c r="X141" s="83" t="str">
        <x:v>A - Direct</x:v>
      </x:c>
      <x:c r="Y141" s="83" t="str">
        <x:v>Adopted</x:v>
      </x:c>
      <x:c r="Z141" s="83" t="str">
        <x:v>Ready when profiles/base network are available</x:v>
      </x:c>
      <x:c r="AA141" s="83"/>
    </x:row>
    <x:row r="142">
      <x:c r="A142" s="83" t="str">
        <x:v>S4-00138</x:v>
      </x:c>
      <x:c r="B142" s="83" t="str">
        <x:v>IT2040_ALT_GAIT</x:v>
      </x:c>
      <x:c r="C142" s="83" t="n">
        <x:v>2040</x:v>
      </x:c>
      <x:c r="D142" s="83" t="str">
        <x:v>Generation capacity</x:v>
      </x:c>
      <x:c r="E142" s="83" t="str">
        <x:v>IT_NORD</x:v>
      </x:c>
      <x:c r="F142" s="83" t="str">
        <x:v>NORD</x:v>
      </x:c>
      <x:c r="G142" s="83" t="str">
        <x:v>Solare utility</x:v>
      </x:c>
      <x:c r="H142" s="83" t="str">
        <x:v>Solar utility</x:v>
      </x:c>
      <x:c r="I142" s="83" t="str">
        <x:v>solar-utility</x:v>
      </x:c>
      <x:c r="J142" s="83" t="str">
        <x:v>Generator</x:v>
      </x:c>
      <x:c r="K142" s="83" t="str">
        <x:v>p_nom</x:v>
      </x:c>
      <x:c r="L142" s="279" t="n">
        <x:v>14.4</x:v>
      </x:c>
      <x:c r="M142" s="279" t="str">
        <x:v>GW</x:v>
      </x:c>
      <x:c r="N142" s="279" t="n">
        <x:f>IF(L142="","",IF(M142="GW",L142*1000,IF(M142="GWh",L142*1000,IF(M142="TWh",L142*1000000,L142))))</x:f>
        <x:v>14400</x:v>
      </x:c>
      <x:c r="O142" s="83" t="str">
        <x:f>IF(L142="","",IF(M142="GW","MW",IF(OR(M142="GWh",M142="TWh"),"MWh",M142)))</x:f>
        <x:v>MW</x:v>
      </x:c>
      <x:c r="P142" s="83" t="str"/>
      <x:c r="Q142" s="349"/>
      <x:c r="R142" s="349" t="str">
        <x:f>IF(L142="","",IF(Q142&lt;&gt;"",L142*Q142,IF(OR(ISNUMBER(SEARCH("EUR2025",M142&amp;"")),P142=2025,P142="2025"),L142,"")))</x:f>
      </x:c>
      <x:c r="S142" s="83" t="str">
        <x:v>A — Direct</x:v>
      </x:c>
      <x:c r="T142" s="83" t="str">
        <x:v>Direct zonal capacity; convert GW to MW.</x:v>
      </x:c>
      <x:c r="U142" s="83" t="str">
        <x:v>S09</x:v>
      </x:c>
      <x:c r="V142" s="83" t="str">
        <x:v>DDS Tabella 14 p.60</x:v>
      </x:c>
      <x:c r="W142" s="120"/>
      <x:c r="X142" s="83" t="str">
        <x:v>A - Direct</x:v>
      </x:c>
      <x:c r="Y142" s="83" t="str">
        <x:v>Adopted</x:v>
      </x:c>
      <x:c r="Z142" s="83" t="str">
        <x:v>Ready when profiles/base network are available</x:v>
      </x:c>
      <x:c r="AA142" s="83"/>
    </x:row>
    <x:row r="143">
      <x:c r="A143" s="83" t="str">
        <x:v>S4-00139</x:v>
      </x:c>
      <x:c r="B143" s="83" t="str">
        <x:v>IT2040_ALT_GAIT</x:v>
      </x:c>
      <x:c r="C143" s="83" t="n">
        <x:v>2040</x:v>
      </x:c>
      <x:c r="D143" s="83" t="str">
        <x:v>Generation capacity</x:v>
      </x:c>
      <x:c r="E143" s="83" t="str">
        <x:v>IT_CNOR</x:v>
      </x:c>
      <x:c r="F143" s="83" t="str">
        <x:v>CNOR</x:v>
      </x:c>
      <x:c r="G143" s="83" t="str">
        <x:v>Solare distribuito</x:v>
      </x:c>
      <x:c r="H143" s="83" t="str">
        <x:v>Solar rooftop/distributed</x:v>
      </x:c>
      <x:c r="I143" s="83" t="str">
        <x:v>solar-rooftop</x:v>
      </x:c>
      <x:c r="J143" s="83" t="str">
        <x:v>Generator</x:v>
      </x:c>
      <x:c r="K143" s="83" t="str">
        <x:v>p_nom</x:v>
      </x:c>
      <x:c r="L143" s="279" t="n">
        <x:v>3.1</x:v>
      </x:c>
      <x:c r="M143" s="279" t="str">
        <x:v>GW</x:v>
      </x:c>
      <x:c r="N143" s="279" t="n">
        <x:f>IF(L143="","",IF(M143="GW",L143*1000,IF(M143="GWh",L143*1000,IF(M143="TWh",L143*1000000,L143))))</x:f>
        <x:v>3100</x:v>
      </x:c>
      <x:c r="O143" s="83" t="str">
        <x:f>IF(L143="","",IF(M143="GW","MW",IF(OR(M143="GWh",M143="TWh"),"MWh",M143)))</x:f>
        <x:v>MW</x:v>
      </x:c>
      <x:c r="P143" s="83" t="str"/>
      <x:c r="Q143" s="349"/>
      <x:c r="R143" s="349" t="str">
        <x:f>IF(L143="","",IF(Q143&lt;&gt;"",L143*Q143,IF(OR(ISNUMBER(SEARCH("EUR2025",M143&amp;"")),P143=2025,P143="2025"),L143,"")))</x:f>
      </x:c>
      <x:c r="S143" s="83" t="str">
        <x:v>A — Direct</x:v>
      </x:c>
      <x:c r="T143" s="83" t="str">
        <x:v>Direct zonal capacity; convert GW to MW.</x:v>
      </x:c>
      <x:c r="U143" s="83" t="str">
        <x:v>S09</x:v>
      </x:c>
      <x:c r="V143" s="83" t="str">
        <x:v>DDS Tabella 14 p.60</x:v>
      </x:c>
      <x:c r="W143" s="120"/>
      <x:c r="X143" s="83" t="str">
        <x:v>A - Direct</x:v>
      </x:c>
      <x:c r="Y143" s="83" t="str">
        <x:v>Adopted</x:v>
      </x:c>
      <x:c r="Z143" s="83" t="str">
        <x:v>Ready when profiles/base network are available</x:v>
      </x:c>
      <x:c r="AA143" s="83"/>
    </x:row>
    <x:row r="144">
      <x:c r="A144" s="83" t="str">
        <x:v>S4-00140</x:v>
      </x:c>
      <x:c r="B144" s="83" t="str">
        <x:v>IT2040_ALT_GAIT</x:v>
      </x:c>
      <x:c r="C144" s="83" t="n">
        <x:v>2040</x:v>
      </x:c>
      <x:c r="D144" s="83" t="str">
        <x:v>Generation capacity</x:v>
      </x:c>
      <x:c r="E144" s="83" t="str">
        <x:v>IT_CNOR</x:v>
      </x:c>
      <x:c r="F144" s="83" t="str">
        <x:v>CNOR</x:v>
      </x:c>
      <x:c r="G144" s="83" t="str">
        <x:v>Solare utility</x:v>
      </x:c>
      <x:c r="H144" s="83" t="str">
        <x:v>Solar utility</x:v>
      </x:c>
      <x:c r="I144" s="83" t="str">
        <x:v>solar-utility</x:v>
      </x:c>
      <x:c r="J144" s="83" t="str">
        <x:v>Generator</x:v>
      </x:c>
      <x:c r="K144" s="83" t="str">
        <x:v>p_nom</x:v>
      </x:c>
      <x:c r="L144" s="279" t="n">
        <x:v>6.2</x:v>
      </x:c>
      <x:c r="M144" s="279" t="str">
        <x:v>GW</x:v>
      </x:c>
      <x:c r="N144" s="279" t="n">
        <x:f>IF(L144="","",IF(M144="GW",L144*1000,IF(M144="GWh",L144*1000,IF(M144="TWh",L144*1000000,L144))))</x:f>
        <x:v>6200</x:v>
      </x:c>
      <x:c r="O144" s="83" t="str">
        <x:f>IF(L144="","",IF(M144="GW","MW",IF(OR(M144="GWh",M144="TWh"),"MWh",M144)))</x:f>
        <x:v>MW</x:v>
      </x:c>
      <x:c r="P144" s="83" t="str"/>
      <x:c r="Q144" s="349"/>
      <x:c r="R144" s="349" t="str">
        <x:f>IF(L144="","",IF(Q144&lt;&gt;"",L144*Q144,IF(OR(ISNUMBER(SEARCH("EUR2025",M144&amp;"")),P144=2025,P144="2025"),L144,"")))</x:f>
      </x:c>
      <x:c r="S144" s="83" t="str">
        <x:v>A — Direct</x:v>
      </x:c>
      <x:c r="T144" s="83" t="str">
        <x:v>Direct zonal capacity; convert GW to MW.</x:v>
      </x:c>
      <x:c r="U144" s="83" t="str">
        <x:v>S09</x:v>
      </x:c>
      <x:c r="V144" s="83" t="str">
        <x:v>DDS Tabella 14 p.60</x:v>
      </x:c>
      <x:c r="W144" s="120"/>
      <x:c r="X144" s="83" t="str">
        <x:v>A - Direct</x:v>
      </x:c>
      <x:c r="Y144" s="83" t="str">
        <x:v>Adopted</x:v>
      </x:c>
      <x:c r="Z144" s="83" t="str">
        <x:v>Ready when profiles/base network are available</x:v>
      </x:c>
      <x:c r="AA144" s="83"/>
    </x:row>
    <x:row r="145">
      <x:c r="A145" s="83" t="str">
        <x:v>S4-00141</x:v>
      </x:c>
      <x:c r="B145" s="83" t="str">
        <x:v>IT2040_ALT_GAIT</x:v>
      </x:c>
      <x:c r="C145" s="83" t="n">
        <x:v>2040</x:v>
      </x:c>
      <x:c r="D145" s="83" t="str">
        <x:v>Generation capacity</x:v>
      </x:c>
      <x:c r="E145" s="83" t="str">
        <x:v>IT_CSUD</x:v>
      </x:c>
      <x:c r="F145" s="83" t="str">
        <x:v>CSUD</x:v>
      </x:c>
      <x:c r="G145" s="83" t="str">
        <x:v>Solare distribuito</x:v>
      </x:c>
      <x:c r="H145" s="83" t="str">
        <x:v>Solar rooftop/distributed</x:v>
      </x:c>
      <x:c r="I145" s="83" t="str">
        <x:v>solar-rooftop</x:v>
      </x:c>
      <x:c r="J145" s="83" t="str">
        <x:v>Generator</x:v>
      </x:c>
      <x:c r="K145" s="83" t="str">
        <x:v>p_nom</x:v>
      </x:c>
      <x:c r="L145" s="279" t="n">
        <x:v>5.2</x:v>
      </x:c>
      <x:c r="M145" s="279" t="str">
        <x:v>GW</x:v>
      </x:c>
      <x:c r="N145" s="279" t="n">
        <x:f>IF(L145="","",IF(M145="GW",L145*1000,IF(M145="GWh",L145*1000,IF(M145="TWh",L145*1000000,L145))))</x:f>
        <x:v>5200</x:v>
      </x:c>
      <x:c r="O145" s="83" t="str">
        <x:f>IF(L145="","",IF(M145="GW","MW",IF(OR(M145="GWh",M145="TWh"),"MWh",M145)))</x:f>
        <x:v>MW</x:v>
      </x:c>
      <x:c r="P145" s="83" t="str"/>
      <x:c r="Q145" s="349"/>
      <x:c r="R145" s="349" t="str">
        <x:f>IF(L145="","",IF(Q145&lt;&gt;"",L145*Q145,IF(OR(ISNUMBER(SEARCH("EUR2025",M145&amp;"")),P145=2025,P145="2025"),L145,"")))</x:f>
      </x:c>
      <x:c r="S145" s="83" t="str">
        <x:v>A — Direct</x:v>
      </x:c>
      <x:c r="T145" s="83" t="str">
        <x:v>Direct zonal capacity; convert GW to MW.</x:v>
      </x:c>
      <x:c r="U145" s="83" t="str">
        <x:v>S09</x:v>
      </x:c>
      <x:c r="V145" s="83" t="str">
        <x:v>DDS Tabella 14 p.60</x:v>
      </x:c>
      <x:c r="W145" s="120"/>
      <x:c r="X145" s="83" t="str">
        <x:v>A - Direct</x:v>
      </x:c>
      <x:c r="Y145" s="83" t="str">
        <x:v>Adopted</x:v>
      </x:c>
      <x:c r="Z145" s="83" t="str">
        <x:v>Ready when profiles/base network are available</x:v>
      </x:c>
      <x:c r="AA145" s="83"/>
    </x:row>
    <x:row r="146">
      <x:c r="A146" s="83" t="str">
        <x:v>S4-00142</x:v>
      </x:c>
      <x:c r="B146" s="83" t="str">
        <x:v>IT2040_ALT_GAIT</x:v>
      </x:c>
      <x:c r="C146" s="83" t="n">
        <x:v>2040</x:v>
      </x:c>
      <x:c r="D146" s="83" t="str">
        <x:v>Generation capacity</x:v>
      </x:c>
      <x:c r="E146" s="83" t="str">
        <x:v>IT_CSUD</x:v>
      </x:c>
      <x:c r="F146" s="83" t="str">
        <x:v>CSUD</x:v>
      </x:c>
      <x:c r="G146" s="83" t="str">
        <x:v>Solare utility</x:v>
      </x:c>
      <x:c r="H146" s="83" t="str">
        <x:v>Solar utility</x:v>
      </x:c>
      <x:c r="I146" s="83" t="str">
        <x:v>solar-utility</x:v>
      </x:c>
      <x:c r="J146" s="83" t="str">
        <x:v>Generator</x:v>
      </x:c>
      <x:c r="K146" s="83" t="str">
        <x:v>p_nom</x:v>
      </x:c>
      <x:c r="L146" s="279" t="n">
        <x:v>13.2</x:v>
      </x:c>
      <x:c r="M146" s="279" t="str">
        <x:v>GW</x:v>
      </x:c>
      <x:c r="N146" s="279" t="n">
        <x:f>IF(L146="","",IF(M146="GW",L146*1000,IF(M146="GWh",L146*1000,IF(M146="TWh",L146*1000000,L146))))</x:f>
        <x:v>13200</x:v>
      </x:c>
      <x:c r="O146" s="83" t="str">
        <x:f>IF(L146="","",IF(M146="GW","MW",IF(OR(M146="GWh",M146="TWh"),"MWh",M146)))</x:f>
        <x:v>MW</x:v>
      </x:c>
      <x:c r="P146" s="83" t="str"/>
      <x:c r="Q146" s="349"/>
      <x:c r="R146" s="349" t="str">
        <x:f>IF(L146="","",IF(Q146&lt;&gt;"",L146*Q146,IF(OR(ISNUMBER(SEARCH("EUR2025",M146&amp;"")),P146=2025,P146="2025"),L146,"")))</x:f>
      </x:c>
      <x:c r="S146" s="83" t="str">
        <x:v>A — Direct</x:v>
      </x:c>
      <x:c r="T146" s="83" t="str">
        <x:v>Direct zonal capacity; convert GW to MW.</x:v>
      </x:c>
      <x:c r="U146" s="83" t="str">
        <x:v>S09</x:v>
      </x:c>
      <x:c r="V146" s="83" t="str">
        <x:v>DDS Tabella 14 p.60</x:v>
      </x:c>
      <x:c r="W146" s="120"/>
      <x:c r="X146" s="83" t="str">
        <x:v>A - Direct</x:v>
      </x:c>
      <x:c r="Y146" s="83" t="str">
        <x:v>Adopted</x:v>
      </x:c>
      <x:c r="Z146" s="83" t="str">
        <x:v>Ready when profiles/base network are available</x:v>
      </x:c>
      <x:c r="AA146" s="83"/>
    </x:row>
    <x:row r="147">
      <x:c r="A147" s="83" t="str">
        <x:v>S4-00143</x:v>
      </x:c>
      <x:c r="B147" s="83" t="str">
        <x:v>IT2040_ALT_GAIT</x:v>
      </x:c>
      <x:c r="C147" s="83" t="n">
        <x:v>2040</x:v>
      </x:c>
      <x:c r="D147" s="83" t="str">
        <x:v>Generation capacity</x:v>
      </x:c>
      <x:c r="E147" s="83" t="str">
        <x:v>IT_SUD</x:v>
      </x:c>
      <x:c r="F147" s="83" t="str">
        <x:v>SUD</x:v>
      </x:c>
      <x:c r="G147" s="83" t="str">
        <x:v>Solare distribuito</x:v>
      </x:c>
      <x:c r="H147" s="83" t="str">
        <x:v>Solar rooftop/distributed</x:v>
      </x:c>
      <x:c r="I147" s="83" t="str">
        <x:v>solar-rooftop</x:v>
      </x:c>
      <x:c r="J147" s="83" t="str">
        <x:v>Generator</x:v>
      </x:c>
      <x:c r="K147" s="83" t="str">
        <x:v>p_nom</x:v>
      </x:c>
      <x:c r="L147" s="279" t="n">
        <x:v>1.7</x:v>
      </x:c>
      <x:c r="M147" s="279" t="str">
        <x:v>GW</x:v>
      </x:c>
      <x:c r="N147" s="279" t="n">
        <x:f>IF(L147="","",IF(M147="GW",L147*1000,IF(M147="GWh",L147*1000,IF(M147="TWh",L147*1000000,L147))))</x:f>
        <x:v>1700</x:v>
      </x:c>
      <x:c r="O147" s="83" t="str">
        <x:f>IF(L147="","",IF(M147="GW","MW",IF(OR(M147="GWh",M147="TWh"),"MWh",M147)))</x:f>
        <x:v>MW</x:v>
      </x:c>
      <x:c r="P147" s="83" t="str"/>
      <x:c r="Q147" s="349"/>
      <x:c r="R147" s="349" t="str">
        <x:f>IF(L147="","",IF(Q147&lt;&gt;"",L147*Q147,IF(OR(ISNUMBER(SEARCH("EUR2025",M147&amp;"")),P147=2025,P147="2025"),L147,"")))</x:f>
      </x:c>
      <x:c r="S147" s="83" t="str">
        <x:v>A — Direct</x:v>
      </x:c>
      <x:c r="T147" s="83" t="str">
        <x:v>Direct zonal capacity; convert GW to MW.</x:v>
      </x:c>
      <x:c r="U147" s="83" t="str">
        <x:v>S09</x:v>
      </x:c>
      <x:c r="V147" s="83" t="str">
        <x:v>DDS Tabella 14 p.60</x:v>
      </x:c>
      <x:c r="W147" s="120"/>
      <x:c r="X147" s="83" t="str">
        <x:v>A - Direct</x:v>
      </x:c>
      <x:c r="Y147" s="83" t="str">
        <x:v>Adopted</x:v>
      </x:c>
      <x:c r="Z147" s="83" t="str">
        <x:v>Ready when profiles/base network are available</x:v>
      </x:c>
      <x:c r="AA147" s="83"/>
    </x:row>
    <x:row r="148">
      <x:c r="A148" s="83" t="str">
        <x:v>S4-00144</x:v>
      </x:c>
      <x:c r="B148" s="83" t="str">
        <x:v>IT2040_ALT_GAIT</x:v>
      </x:c>
      <x:c r="C148" s="83" t="n">
        <x:v>2040</x:v>
      </x:c>
      <x:c r="D148" s="83" t="str">
        <x:v>Generation capacity</x:v>
      </x:c>
      <x:c r="E148" s="83" t="str">
        <x:v>IT_SUD</x:v>
      </x:c>
      <x:c r="F148" s="83" t="str">
        <x:v>SUD</x:v>
      </x:c>
      <x:c r="G148" s="83" t="str">
        <x:v>Solare utility</x:v>
      </x:c>
      <x:c r="H148" s="83" t="str">
        <x:v>Solar utility</x:v>
      </x:c>
      <x:c r="I148" s="83" t="str">
        <x:v>solar-utility</x:v>
      </x:c>
      <x:c r="J148" s="83" t="str">
        <x:v>Generator</x:v>
      </x:c>
      <x:c r="K148" s="83" t="str">
        <x:v>p_nom</x:v>
      </x:c>
      <x:c r="L148" s="279" t="n">
        <x:v>16</x:v>
      </x:c>
      <x:c r="M148" s="279" t="str">
        <x:v>GW</x:v>
      </x:c>
      <x:c r="N148" s="279" t="n">
        <x:f>IF(L148="","",IF(M148="GW",L148*1000,IF(M148="GWh",L148*1000,IF(M148="TWh",L148*1000000,L148))))</x:f>
        <x:v>16000</x:v>
      </x:c>
      <x:c r="O148" s="83" t="str">
        <x:f>IF(L148="","",IF(M148="GW","MW",IF(OR(M148="GWh",M148="TWh"),"MWh",M148)))</x:f>
        <x:v>MW</x:v>
      </x:c>
      <x:c r="P148" s="83" t="str"/>
      <x:c r="Q148" s="349"/>
      <x:c r="R148" s="349" t="str">
        <x:f>IF(L148="","",IF(Q148&lt;&gt;"",L148*Q148,IF(OR(ISNUMBER(SEARCH("EUR2025",M148&amp;"")),P148=2025,P148="2025"),L148,"")))</x:f>
      </x:c>
      <x:c r="S148" s="83" t="str">
        <x:v>A — Direct</x:v>
      </x:c>
      <x:c r="T148" s="83" t="str">
        <x:v>Direct zonal capacity; convert GW to MW.</x:v>
      </x:c>
      <x:c r="U148" s="83" t="str">
        <x:v>S09</x:v>
      </x:c>
      <x:c r="V148" s="83" t="str">
        <x:v>DDS Tabella 14 p.60</x:v>
      </x:c>
      <x:c r="W148" s="120"/>
      <x:c r="X148" s="83" t="str">
        <x:v>A - Direct</x:v>
      </x:c>
      <x:c r="Y148" s="83" t="str">
        <x:v>Adopted</x:v>
      </x:c>
      <x:c r="Z148" s="83" t="str">
        <x:v>Ready when profiles/base network are available</x:v>
      </x:c>
      <x:c r="AA148" s="83"/>
    </x:row>
    <x:row r="149">
      <x:c r="A149" s="83" t="str">
        <x:v>S4-00145</x:v>
      </x:c>
      <x:c r="B149" s="83" t="str">
        <x:v>IT2040_ALT_GAIT</x:v>
      </x:c>
      <x:c r="C149" s="83" t="n">
        <x:v>2040</x:v>
      </x:c>
      <x:c r="D149" s="83" t="str">
        <x:v>Generation capacity</x:v>
      </x:c>
      <x:c r="E149" s="83" t="str">
        <x:v>IT_CALA</x:v>
      </x:c>
      <x:c r="F149" s="83" t="str">
        <x:v>CALA</x:v>
      </x:c>
      <x:c r="G149" s="83" t="str">
        <x:v>Solare distribuito</x:v>
      </x:c>
      <x:c r="H149" s="83" t="str">
        <x:v>Solar rooftop/distributed</x:v>
      </x:c>
      <x:c r="I149" s="83" t="str">
        <x:v>solar-rooftop</x:v>
      </x:c>
      <x:c r="J149" s="83" t="str">
        <x:v>Generator</x:v>
      </x:c>
      <x:c r="K149" s="83" t="str">
        <x:v>p_nom</x:v>
      </x:c>
      <x:c r="L149" s="279" t="n">
        <x:v>1.2</x:v>
      </x:c>
      <x:c r="M149" s="279" t="str">
        <x:v>GW</x:v>
      </x:c>
      <x:c r="N149" s="279" t="n">
        <x:f>IF(L149="","",IF(M149="GW",L149*1000,IF(M149="GWh",L149*1000,IF(M149="TWh",L149*1000000,L149))))</x:f>
        <x:v>1200</x:v>
      </x:c>
      <x:c r="O149" s="83" t="str">
        <x:f>IF(L149="","",IF(M149="GW","MW",IF(OR(M149="GWh",M149="TWh"),"MWh",M149)))</x:f>
        <x:v>MW</x:v>
      </x:c>
      <x:c r="P149" s="83" t="str"/>
      <x:c r="Q149" s="349"/>
      <x:c r="R149" s="349" t="str">
        <x:f>IF(L149="","",IF(Q149&lt;&gt;"",L149*Q149,IF(OR(ISNUMBER(SEARCH("EUR2025",M149&amp;"")),P149=2025,P149="2025"),L149,"")))</x:f>
      </x:c>
      <x:c r="S149" s="83" t="str">
        <x:v>A — Direct</x:v>
      </x:c>
      <x:c r="T149" s="83" t="str">
        <x:v>Direct zonal capacity; convert GW to MW.</x:v>
      </x:c>
      <x:c r="U149" s="83" t="str">
        <x:v>S09</x:v>
      </x:c>
      <x:c r="V149" s="83" t="str">
        <x:v>DDS Tabella 14 p.60</x:v>
      </x:c>
      <x:c r="W149" s="120"/>
      <x:c r="X149" s="83" t="str">
        <x:v>A - Direct</x:v>
      </x:c>
      <x:c r="Y149" s="83" t="str">
        <x:v>Adopted</x:v>
      </x:c>
      <x:c r="Z149" s="83" t="str">
        <x:v>Ready when profiles/base network are available</x:v>
      </x:c>
      <x:c r="AA149" s="83"/>
    </x:row>
    <x:row r="150">
      <x:c r="A150" s="83" t="str">
        <x:v>S4-00146</x:v>
      </x:c>
      <x:c r="B150" s="83" t="str">
        <x:v>IT2040_ALT_GAIT</x:v>
      </x:c>
      <x:c r="C150" s="83" t="n">
        <x:v>2040</x:v>
      </x:c>
      <x:c r="D150" s="83" t="str">
        <x:v>Generation capacity</x:v>
      </x:c>
      <x:c r="E150" s="83" t="str">
        <x:v>IT_CALA</x:v>
      </x:c>
      <x:c r="F150" s="83" t="str">
        <x:v>CALA</x:v>
      </x:c>
      <x:c r="G150" s="83" t="str">
        <x:v>Solare utility</x:v>
      </x:c>
      <x:c r="H150" s="83" t="str">
        <x:v>Solar utility</x:v>
      </x:c>
      <x:c r="I150" s="83" t="str">
        <x:v>solar-utility</x:v>
      </x:c>
      <x:c r="J150" s="83" t="str">
        <x:v>Generator</x:v>
      </x:c>
      <x:c r="K150" s="83" t="str">
        <x:v>p_nom</x:v>
      </x:c>
      <x:c r="L150" s="279" t="n">
        <x:v>2.2</x:v>
      </x:c>
      <x:c r="M150" s="279" t="str">
        <x:v>GW</x:v>
      </x:c>
      <x:c r="N150" s="279" t="n">
        <x:f>IF(L150="","",IF(M150="GW",L150*1000,IF(M150="GWh",L150*1000,IF(M150="TWh",L150*1000000,L150))))</x:f>
        <x:v>2200</x:v>
      </x:c>
      <x:c r="O150" s="83" t="str">
        <x:f>IF(L150="","",IF(M150="GW","MW",IF(OR(M150="GWh",M150="TWh"),"MWh",M150)))</x:f>
        <x:v>MW</x:v>
      </x:c>
      <x:c r="P150" s="83" t="str"/>
      <x:c r="Q150" s="349"/>
      <x:c r="R150" s="349" t="str">
        <x:f>IF(L150="","",IF(Q150&lt;&gt;"",L150*Q150,IF(OR(ISNUMBER(SEARCH("EUR2025",M150&amp;"")),P150=2025,P150="2025"),L150,"")))</x:f>
      </x:c>
      <x:c r="S150" s="83" t="str">
        <x:v>A — Direct</x:v>
      </x:c>
      <x:c r="T150" s="83" t="str">
        <x:v>Direct zonal capacity; convert GW to MW.</x:v>
      </x:c>
      <x:c r="U150" s="83" t="str">
        <x:v>S09</x:v>
      </x:c>
      <x:c r="V150" s="83" t="str">
        <x:v>DDS Tabella 14 p.60</x:v>
      </x:c>
      <x:c r="W150" s="120"/>
      <x:c r="X150" s="83" t="str">
        <x:v>A - Direct</x:v>
      </x:c>
      <x:c r="Y150" s="83" t="str">
        <x:v>Adopted</x:v>
      </x:c>
      <x:c r="Z150" s="83" t="str">
        <x:v>Ready when profiles/base network are available</x:v>
      </x:c>
      <x:c r="AA150" s="83"/>
    </x:row>
    <x:row r="151">
      <x:c r="A151" s="83" t="str">
        <x:v>S4-00147</x:v>
      </x:c>
      <x:c r="B151" s="83" t="str">
        <x:v>IT2040_ALT_GAIT</x:v>
      </x:c>
      <x:c r="C151" s="83" t="n">
        <x:v>2040</x:v>
      </x:c>
      <x:c r="D151" s="83" t="str">
        <x:v>Generation capacity</x:v>
      </x:c>
      <x:c r="E151" s="83" t="str">
        <x:v>IT_SICI</x:v>
      </x:c>
      <x:c r="F151" s="83" t="str">
        <x:v>SICI</x:v>
      </x:c>
      <x:c r="G151" s="83" t="str">
        <x:v>Solare distribuito</x:v>
      </x:c>
      <x:c r="H151" s="83" t="str">
        <x:v>Solar rooftop/distributed</x:v>
      </x:c>
      <x:c r="I151" s="83" t="str">
        <x:v>solar-rooftop</x:v>
      </x:c>
      <x:c r="J151" s="83" t="str">
        <x:v>Generator</x:v>
      </x:c>
      <x:c r="K151" s="83" t="str">
        <x:v>p_nom</x:v>
      </x:c>
      <x:c r="L151" s="279" t="n">
        <x:v>3.3</x:v>
      </x:c>
      <x:c r="M151" s="279" t="str">
        <x:v>GW</x:v>
      </x:c>
      <x:c r="N151" s="279" t="n">
        <x:f>IF(L151="","",IF(M151="GW",L151*1000,IF(M151="GWh",L151*1000,IF(M151="TWh",L151*1000000,L151))))</x:f>
        <x:v>3300</x:v>
      </x:c>
      <x:c r="O151" s="83" t="str">
        <x:f>IF(L151="","",IF(M151="GW","MW",IF(OR(M151="GWh",M151="TWh"),"MWh",M151)))</x:f>
        <x:v>MW</x:v>
      </x:c>
      <x:c r="P151" s="83" t="str"/>
      <x:c r="Q151" s="349"/>
      <x:c r="R151" s="349" t="str">
        <x:f>IF(L151="","",IF(Q151&lt;&gt;"",L151*Q151,IF(OR(ISNUMBER(SEARCH("EUR2025",M151&amp;"")),P151=2025,P151="2025"),L151,"")))</x:f>
      </x:c>
      <x:c r="S151" s="83" t="str">
        <x:v>A — Direct</x:v>
      </x:c>
      <x:c r="T151" s="83" t="str">
        <x:v>Direct zonal capacity; convert GW to MW.</x:v>
      </x:c>
      <x:c r="U151" s="83" t="str">
        <x:v>S09</x:v>
      </x:c>
      <x:c r="V151" s="83" t="str">
        <x:v>DDS Tabella 14 p.60</x:v>
      </x:c>
      <x:c r="W151" s="120"/>
      <x:c r="X151" s="83" t="str">
        <x:v>A - Direct</x:v>
      </x:c>
      <x:c r="Y151" s="83" t="str">
        <x:v>Adopted</x:v>
      </x:c>
      <x:c r="Z151" s="83" t="str">
        <x:v>Ready when profiles/base network are available</x:v>
      </x:c>
      <x:c r="AA151" s="83"/>
    </x:row>
    <x:row r="152">
      <x:c r="A152" s="83" t="str">
        <x:v>S4-00148</x:v>
      </x:c>
      <x:c r="B152" s="83" t="str">
        <x:v>IT2040_ALT_GAIT</x:v>
      </x:c>
      <x:c r="C152" s="83" t="n">
        <x:v>2040</x:v>
      </x:c>
      <x:c r="D152" s="83" t="str">
        <x:v>Generation capacity</x:v>
      </x:c>
      <x:c r="E152" s="83" t="str">
        <x:v>IT_SICI</x:v>
      </x:c>
      <x:c r="F152" s="83" t="str">
        <x:v>SICI</x:v>
      </x:c>
      <x:c r="G152" s="83" t="str">
        <x:v>Solare utility</x:v>
      </x:c>
      <x:c r="H152" s="83" t="str">
        <x:v>Solar utility</x:v>
      </x:c>
      <x:c r="I152" s="83" t="str">
        <x:v>solar-utility</x:v>
      </x:c>
      <x:c r="J152" s="83" t="str">
        <x:v>Generator</x:v>
      </x:c>
      <x:c r="K152" s="83" t="str">
        <x:v>p_nom</x:v>
      </x:c>
      <x:c r="L152" s="279" t="n">
        <x:v>10.1</x:v>
      </x:c>
      <x:c r="M152" s="279" t="str">
        <x:v>GW</x:v>
      </x:c>
      <x:c r="N152" s="279" t="n">
        <x:f>IF(L152="","",IF(M152="GW",L152*1000,IF(M152="GWh",L152*1000,IF(M152="TWh",L152*1000000,L152))))</x:f>
        <x:v>10100</x:v>
      </x:c>
      <x:c r="O152" s="83" t="str">
        <x:f>IF(L152="","",IF(M152="GW","MW",IF(OR(M152="GWh",M152="TWh"),"MWh",M152)))</x:f>
        <x:v>MW</x:v>
      </x:c>
      <x:c r="P152" s="83" t="str"/>
      <x:c r="Q152" s="349"/>
      <x:c r="R152" s="349" t="str">
        <x:f>IF(L152="","",IF(Q152&lt;&gt;"",L152*Q152,IF(OR(ISNUMBER(SEARCH("EUR2025",M152&amp;"")),P152=2025,P152="2025"),L152,"")))</x:f>
      </x:c>
      <x:c r="S152" s="83" t="str">
        <x:v>A — Direct</x:v>
      </x:c>
      <x:c r="T152" s="83" t="str">
        <x:v>Direct zonal capacity; convert GW to MW.</x:v>
      </x:c>
      <x:c r="U152" s="83" t="str">
        <x:v>S09</x:v>
      </x:c>
      <x:c r="V152" s="83" t="str">
        <x:v>DDS Tabella 14 p.60</x:v>
      </x:c>
      <x:c r="W152" s="120"/>
      <x:c r="X152" s="83" t="str">
        <x:v>A - Direct</x:v>
      </x:c>
      <x:c r="Y152" s="83" t="str">
        <x:v>Adopted</x:v>
      </x:c>
      <x:c r="Z152" s="83" t="str">
        <x:v>Ready when profiles/base network are available</x:v>
      </x:c>
      <x:c r="AA152" s="83"/>
    </x:row>
    <x:row r="153">
      <x:c r="A153" s="83" t="str">
        <x:v>S4-00149</x:v>
      </x:c>
      <x:c r="B153" s="83" t="str">
        <x:v>IT2040_ALT_GAIT</x:v>
      </x:c>
      <x:c r="C153" s="83" t="n">
        <x:v>2040</x:v>
      </x:c>
      <x:c r="D153" s="83" t="str">
        <x:v>Generation capacity</x:v>
      </x:c>
      <x:c r="E153" s="83" t="str">
        <x:v>IT_SARD</x:v>
      </x:c>
      <x:c r="F153" s="83" t="str">
        <x:v>SARD</x:v>
      </x:c>
      <x:c r="G153" s="83" t="str">
        <x:v>Solare distribuito</x:v>
      </x:c>
      <x:c r="H153" s="83" t="str">
        <x:v>Solar rooftop/distributed</x:v>
      </x:c>
      <x:c r="I153" s="83" t="str">
        <x:v>solar-rooftop</x:v>
      </x:c>
      <x:c r="J153" s="83" t="str">
        <x:v>Generator</x:v>
      </x:c>
      <x:c r="K153" s="83" t="str">
        <x:v>p_nom</x:v>
      </x:c>
      <x:c r="L153" s="279" t="n">
        <x:v>1.8</x:v>
      </x:c>
      <x:c r="M153" s="279" t="str">
        <x:v>GW</x:v>
      </x:c>
      <x:c r="N153" s="279" t="n">
        <x:f>IF(L153="","",IF(M153="GW",L153*1000,IF(M153="GWh",L153*1000,IF(M153="TWh",L153*1000000,L153))))</x:f>
        <x:v>1800</x:v>
      </x:c>
      <x:c r="O153" s="83" t="str">
        <x:f>IF(L153="","",IF(M153="GW","MW",IF(OR(M153="GWh",M153="TWh"),"MWh",M153)))</x:f>
        <x:v>MW</x:v>
      </x:c>
      <x:c r="P153" s="83" t="str"/>
      <x:c r="Q153" s="349"/>
      <x:c r="R153" s="349" t="str">
        <x:f>IF(L153="","",IF(Q153&lt;&gt;"",L153*Q153,IF(OR(ISNUMBER(SEARCH("EUR2025",M153&amp;"")),P153=2025,P153="2025"),L153,"")))</x:f>
      </x:c>
      <x:c r="S153" s="83" t="str">
        <x:v>A — Direct</x:v>
      </x:c>
      <x:c r="T153" s="83" t="str">
        <x:v>Direct zonal capacity; convert GW to MW.</x:v>
      </x:c>
      <x:c r="U153" s="83" t="str">
        <x:v>S09</x:v>
      </x:c>
      <x:c r="V153" s="83" t="str">
        <x:v>DDS Tabella 14 p.60</x:v>
      </x:c>
      <x:c r="W153" s="120"/>
      <x:c r="X153" s="83" t="str">
        <x:v>A - Direct</x:v>
      </x:c>
      <x:c r="Y153" s="83" t="str">
        <x:v>Adopted</x:v>
      </x:c>
      <x:c r="Z153" s="83" t="str">
        <x:v>Ready when profiles/base network are available</x:v>
      </x:c>
      <x:c r="AA153" s="83"/>
    </x:row>
    <x:row r="154">
      <x:c r="A154" s="83" t="str">
        <x:v>S4-00150</x:v>
      </x:c>
      <x:c r="B154" s="83" t="str">
        <x:v>IT2040_ALT_GAIT</x:v>
      </x:c>
      <x:c r="C154" s="83" t="n">
        <x:v>2040</x:v>
      </x:c>
      <x:c r="D154" s="83" t="str">
        <x:v>Generation capacity</x:v>
      </x:c>
      <x:c r="E154" s="83" t="str">
        <x:v>IT_SARD</x:v>
      </x:c>
      <x:c r="F154" s="83" t="str">
        <x:v>SARD</x:v>
      </x:c>
      <x:c r="G154" s="83" t="str">
        <x:v>Solare utility</x:v>
      </x:c>
      <x:c r="H154" s="83" t="str">
        <x:v>Solar utility</x:v>
      </x:c>
      <x:c r="I154" s="83" t="str">
        <x:v>solar-utility</x:v>
      </x:c>
      <x:c r="J154" s="83" t="str">
        <x:v>Generator</x:v>
      </x:c>
      <x:c r="K154" s="83" t="str">
        <x:v>p_nom</x:v>
      </x:c>
      <x:c r="L154" s="279" t="n">
        <x:v>6.6</x:v>
      </x:c>
      <x:c r="M154" s="279" t="str">
        <x:v>GW</x:v>
      </x:c>
      <x:c r="N154" s="279" t="n">
        <x:f>IF(L154="","",IF(M154="GW",L154*1000,IF(M154="GWh",L154*1000,IF(M154="TWh",L154*1000000,L154))))</x:f>
        <x:v>6600</x:v>
      </x:c>
      <x:c r="O154" s="83" t="str">
        <x:f>IF(L154="","",IF(M154="GW","MW",IF(OR(M154="GWh",M154="TWh"),"MWh",M154)))</x:f>
        <x:v>MW</x:v>
      </x:c>
      <x:c r="P154" s="83" t="str"/>
      <x:c r="Q154" s="349"/>
      <x:c r="R154" s="349" t="str">
        <x:f>IF(L154="","",IF(Q154&lt;&gt;"",L154*Q154,IF(OR(ISNUMBER(SEARCH("EUR2025",M154&amp;"")),P154=2025,P154="2025"),L154,"")))</x:f>
      </x:c>
      <x:c r="S154" s="83" t="str">
        <x:v>A — Direct</x:v>
      </x:c>
      <x:c r="T154" s="83" t="str">
        <x:v>Direct zonal capacity; convert GW to MW.</x:v>
      </x:c>
      <x:c r="U154" s="83" t="str">
        <x:v>S09</x:v>
      </x:c>
      <x:c r="V154" s="83" t="str">
        <x:v>DDS Tabella 14 p.60</x:v>
      </x:c>
      <x:c r="W154" s="120"/>
      <x:c r="X154" s="83" t="str">
        <x:v>A - Direct</x:v>
      </x:c>
      <x:c r="Y154" s="83" t="str">
        <x:v>Adopted</x:v>
      </x:c>
      <x:c r="Z154" s="83" t="str">
        <x:v>Ready when profiles/base network are available</x:v>
      </x:c>
      <x:c r="AA154" s="83"/>
    </x:row>
    <x:row r="155">
      <x:c r="A155" s="83" t="str">
        <x:v>S4-00151</x:v>
      </x:c>
      <x:c r="B155" s="83" t="str">
        <x:v>IT2040_ALT_GAIT</x:v>
      </x:c>
      <x:c r="C155" s="83" t="n">
        <x:v>2040</x:v>
      </x:c>
      <x:c r="D155" s="83" t="str">
        <x:v>Generation capacity</x:v>
      </x:c>
      <x:c r="E155" s="83" t="str">
        <x:v>IT_NORD</x:v>
      </x:c>
      <x:c r="F155" s="83" t="str">
        <x:v>NORD</x:v>
      </x:c>
      <x:c r="G155" s="83" t="str">
        <x:v>Eolico onshore</x:v>
      </x:c>
      <x:c r="H155" s="83" t="str">
        <x:v>Wind onshore</x:v>
      </x:c>
      <x:c r="I155" s="83" t="str">
        <x:v>onwind</x:v>
      </x:c>
      <x:c r="J155" s="83" t="str">
        <x:v>Generator</x:v>
      </x:c>
      <x:c r="K155" s="83" t="str">
        <x:v>p_nom</x:v>
      </x:c>
      <x:c r="L155" s="279" t="n">
        <x:v>0.5</x:v>
      </x:c>
      <x:c r="M155" s="279" t="str">
        <x:v>GW</x:v>
      </x:c>
      <x:c r="N155" s="279" t="n">
        <x:f>IF(L155="","",IF(M155="GW",L155*1000,IF(M155="GWh",L155*1000,IF(M155="TWh",L155*1000000,L155))))</x:f>
        <x:v>500</x:v>
      </x:c>
      <x:c r="O155" s="83" t="str">
        <x:f>IF(L155="","",IF(M155="GW","MW",IF(OR(M155="GWh",M155="TWh"),"MWh",M155)))</x:f>
        <x:v>MW</x:v>
      </x:c>
      <x:c r="P155" s="83" t="str"/>
      <x:c r="Q155" s="349"/>
      <x:c r="R155" s="349" t="str">
        <x:f>IF(L155="","",IF(Q155&lt;&gt;"",L155*Q155,IF(OR(ISNUMBER(SEARCH("EUR2025",M155&amp;"")),P155=2025,P155="2025"),L155,"")))</x:f>
      </x:c>
      <x:c r="S155" s="83" t="str">
        <x:v>A — Direct</x:v>
      </x:c>
      <x:c r="T155" s="83" t="str">
        <x:v>Direct zonal capacity; convert GW to MW.</x:v>
      </x:c>
      <x:c r="U155" s="83" t="str">
        <x:v>S09</x:v>
      </x:c>
      <x:c r="V155" s="83" t="str">
        <x:v>DDS Tabella 15 p.61</x:v>
      </x:c>
      <x:c r="W155" s="120"/>
      <x:c r="X155" s="83" t="str">
        <x:v>A - Direct</x:v>
      </x:c>
      <x:c r="Y155" s="83" t="str">
        <x:v>Adopted</x:v>
      </x:c>
      <x:c r="Z155" s="83" t="str">
        <x:v>Ready when profiles/base network are available</x:v>
      </x:c>
      <x:c r="AA155" s="83"/>
    </x:row>
    <x:row r="156">
      <x:c r="A156" s="83" t="str">
        <x:v>S4-00152</x:v>
      </x:c>
      <x:c r="B156" s="83" t="str">
        <x:v>IT2040_ALT_GAIT</x:v>
      </x:c>
      <x:c r="C156" s="83" t="n">
        <x:v>2040</x:v>
      </x:c>
      <x:c r="D156" s="83" t="str">
        <x:v>Generation capacity</x:v>
      </x:c>
      <x:c r="E156" s="83" t="str">
        <x:v>IT_NORD</x:v>
      </x:c>
      <x:c r="F156" s="83" t="str">
        <x:v>NORD</x:v>
      </x:c>
      <x:c r="G156" s="83" t="str">
        <x:v>Eolico offshore</x:v>
      </x:c>
      <x:c r="H156" s="83" t="str">
        <x:v>Wind offshore unspecified</x:v>
      </x:c>
      <x:c r="I156" s="83" t="str">
        <x:v>offwind</x:v>
      </x:c>
      <x:c r="J156" s="83" t="str">
        <x:v>Generator</x:v>
      </x:c>
      <x:c r="K156" s="83" t="str">
        <x:v>p_nom</x:v>
      </x:c>
      <x:c r="L156" s="279" t="n">
        <x:v>1.2</x:v>
      </x:c>
      <x:c r="M156" s="279" t="str">
        <x:v>GW</x:v>
      </x:c>
      <x:c r="N156" s="279" t="n">
        <x:f>IF(L156="","",IF(M156="GW",L156*1000,IF(M156="GWh",L156*1000,IF(M156="TWh",L156*1000000,L156))))</x:f>
        <x:v>1200</x:v>
      </x:c>
      <x:c r="O156" s="83" t="str">
        <x:f>IF(L156="","",IF(M156="GW","MW",IF(OR(M156="GWh",M156="TWh"),"MWh",M156)))</x:f>
        <x:v>MW</x:v>
      </x:c>
      <x:c r="P156" s="83" t="str"/>
      <x:c r="Q156" s="349"/>
      <x:c r="R156" s="349" t="str">
        <x:f>IF(L156="","",IF(Q156&lt;&gt;"",L156*Q156,IF(OR(ISNUMBER(SEARCH("EUR2025",M156&amp;"")),P156=2025,P156="2025"),L156,"")))</x:f>
      </x:c>
      <x:c r="S156" s="83" t="str">
        <x:v>A — Direct</x:v>
      </x:c>
      <x:c r="T156" s="83" t="str">
        <x:v>Direct zonal capacity; convert GW to MW.</x:v>
      </x:c>
      <x:c r="U156" s="83" t="str">
        <x:v>S09</x:v>
      </x:c>
      <x:c r="V156" s="83" t="str">
        <x:v>DDS Tabella 15 p.61</x:v>
      </x:c>
      <x:c r="W156" s="120"/>
      <x:c r="X156" s="83" t="str">
        <x:v>A - Direct</x:v>
      </x:c>
      <x:c r="Y156" s="83" t="str">
        <x:v>Adopted</x:v>
      </x:c>
      <x:c r="Z156" s="83" t="str">
        <x:v>Ready when profiles/base network are available</x:v>
      </x:c>
      <x:c r="AA156" s="83"/>
    </x:row>
    <x:row r="157">
      <x:c r="A157" s="83" t="str">
        <x:v>S4-00153</x:v>
      </x:c>
      <x:c r="B157" s="83" t="str">
        <x:v>IT2040_ALT_GAIT</x:v>
      </x:c>
      <x:c r="C157" s="83" t="n">
        <x:v>2040</x:v>
      </x:c>
      <x:c r="D157" s="83" t="str">
        <x:v>Generation capacity</x:v>
      </x:c>
      <x:c r="E157" s="83" t="str">
        <x:v>IT_CNOR</x:v>
      </x:c>
      <x:c r="F157" s="83" t="str">
        <x:v>CNOR</x:v>
      </x:c>
      <x:c r="G157" s="83" t="str">
        <x:v>Eolico onshore</x:v>
      </x:c>
      <x:c r="H157" s="83" t="str">
        <x:v>Wind onshore</x:v>
      </x:c>
      <x:c r="I157" s="83" t="str">
        <x:v>onwind</x:v>
      </x:c>
      <x:c r="J157" s="83" t="str">
        <x:v>Generator</x:v>
      </x:c>
      <x:c r="K157" s="83" t="str">
        <x:v>p_nom</x:v>
      </x:c>
      <x:c r="L157" s="279" t="n">
        <x:v>0.3</x:v>
      </x:c>
      <x:c r="M157" s="279" t="str">
        <x:v>GW</x:v>
      </x:c>
      <x:c r="N157" s="279" t="n">
        <x:f>IF(L157="","",IF(M157="GW",L157*1000,IF(M157="GWh",L157*1000,IF(M157="TWh",L157*1000000,L157))))</x:f>
        <x:v>300</x:v>
      </x:c>
      <x:c r="O157" s="83" t="str">
        <x:f>IF(L157="","",IF(M157="GW","MW",IF(OR(M157="GWh",M157="TWh"),"MWh",M157)))</x:f>
        <x:v>MW</x:v>
      </x:c>
      <x:c r="P157" s="83" t="str"/>
      <x:c r="Q157" s="349"/>
      <x:c r="R157" s="349" t="str">
        <x:f>IF(L157="","",IF(Q157&lt;&gt;"",L157*Q157,IF(OR(ISNUMBER(SEARCH("EUR2025",M157&amp;"")),P157=2025,P157="2025"),L157,"")))</x:f>
      </x:c>
      <x:c r="S157" s="83" t="str">
        <x:v>A — Direct</x:v>
      </x:c>
      <x:c r="T157" s="83" t="str">
        <x:v>Direct zonal capacity; convert GW to MW.</x:v>
      </x:c>
      <x:c r="U157" s="83" t="str">
        <x:v>S09</x:v>
      </x:c>
      <x:c r="V157" s="83" t="str">
        <x:v>DDS Tabella 15 p.61</x:v>
      </x:c>
      <x:c r="W157" s="120"/>
      <x:c r="X157" s="83" t="str">
        <x:v>A - Direct</x:v>
      </x:c>
      <x:c r="Y157" s="83" t="str">
        <x:v>Adopted</x:v>
      </x:c>
      <x:c r="Z157" s="83" t="str">
        <x:v>Ready when profiles/base network are available</x:v>
      </x:c>
      <x:c r="AA157" s="83"/>
    </x:row>
    <x:row r="158">
      <x:c r="A158" s="83" t="str">
        <x:v>S4-00154</x:v>
      </x:c>
      <x:c r="B158" s="83" t="str">
        <x:v>IT2040_ALT_GAIT</x:v>
      </x:c>
      <x:c r="C158" s="83" t="n">
        <x:v>2040</x:v>
      </x:c>
      <x:c r="D158" s="83" t="str">
        <x:v>Generation capacity</x:v>
      </x:c>
      <x:c r="E158" s="83" t="str">
        <x:v>IT_CNOR</x:v>
      </x:c>
      <x:c r="F158" s="83" t="str">
        <x:v>CNOR</x:v>
      </x:c>
      <x:c r="G158" s="83" t="str">
        <x:v>Eolico offshore</x:v>
      </x:c>
      <x:c r="H158" s="83" t="str">
        <x:v>Wind offshore unspecified</x:v>
      </x:c>
      <x:c r="I158" s="83" t="str">
        <x:v>offwind</x:v>
      </x:c>
      <x:c r="J158" s="83" t="str">
        <x:v>Generator</x:v>
      </x:c>
      <x:c r="K158" s="83" t="str">
        <x:v>p_nom</x:v>
      </x:c>
      <x:c r="L158" s="279" t="n">
        <x:v>0.6</x:v>
      </x:c>
      <x:c r="M158" s="279" t="str">
        <x:v>GW</x:v>
      </x:c>
      <x:c r="N158" s="279" t="n">
        <x:f>IF(L158="","",IF(M158="GW",L158*1000,IF(M158="GWh",L158*1000,IF(M158="TWh",L158*1000000,L158))))</x:f>
        <x:v>600</x:v>
      </x:c>
      <x:c r="O158" s="83" t="str">
        <x:f>IF(L158="","",IF(M158="GW","MW",IF(OR(M158="GWh",M158="TWh"),"MWh",M158)))</x:f>
        <x:v>MW</x:v>
      </x:c>
      <x:c r="P158" s="83" t="str"/>
      <x:c r="Q158" s="349"/>
      <x:c r="R158" s="349" t="str">
        <x:f>IF(L158="","",IF(Q158&lt;&gt;"",L158*Q158,IF(OR(ISNUMBER(SEARCH("EUR2025",M158&amp;"")),P158=2025,P158="2025"),L158,"")))</x:f>
      </x:c>
      <x:c r="S158" s="83" t="str">
        <x:v>A — Direct</x:v>
      </x:c>
      <x:c r="T158" s="83" t="str">
        <x:v>Direct zonal capacity; convert GW to MW.</x:v>
      </x:c>
      <x:c r="U158" s="83" t="str">
        <x:v>S09</x:v>
      </x:c>
      <x:c r="V158" s="83" t="str">
        <x:v>DDS Tabella 15 p.61</x:v>
      </x:c>
      <x:c r="W158" s="120"/>
      <x:c r="X158" s="83" t="str">
        <x:v>A - Direct</x:v>
      </x:c>
      <x:c r="Y158" s="83" t="str">
        <x:v>Adopted</x:v>
      </x:c>
      <x:c r="Z158" s="83" t="str">
        <x:v>Ready when profiles/base network are available</x:v>
      </x:c>
      <x:c r="AA158" s="83"/>
    </x:row>
    <x:row r="159">
      <x:c r="A159" s="83" t="str">
        <x:v>S4-00155</x:v>
      </x:c>
      <x:c r="B159" s="83" t="str">
        <x:v>IT2040_ALT_GAIT</x:v>
      </x:c>
      <x:c r="C159" s="83" t="n">
        <x:v>2040</x:v>
      </x:c>
      <x:c r="D159" s="83" t="str">
        <x:v>Generation capacity</x:v>
      </x:c>
      <x:c r="E159" s="83" t="str">
        <x:v>IT_CSUD</x:v>
      </x:c>
      <x:c r="F159" s="83" t="str">
        <x:v>CSUD</x:v>
      </x:c>
      <x:c r="G159" s="83" t="str">
        <x:v>Eolico onshore</x:v>
      </x:c>
      <x:c r="H159" s="83" t="str">
        <x:v>Wind onshore</x:v>
      </x:c>
      <x:c r="I159" s="83" t="str">
        <x:v>onwind</x:v>
      </x:c>
      <x:c r="J159" s="83" t="str">
        <x:v>Generator</x:v>
      </x:c>
      <x:c r="K159" s="83" t="str">
        <x:v>p_nom</x:v>
      </x:c>
      <x:c r="L159" s="279" t="n">
        <x:v>6.2</x:v>
      </x:c>
      <x:c r="M159" s="279" t="str">
        <x:v>GW</x:v>
      </x:c>
      <x:c r="N159" s="279" t="n">
        <x:f>IF(L159="","",IF(M159="GW",L159*1000,IF(M159="GWh",L159*1000,IF(M159="TWh",L159*1000000,L159))))</x:f>
        <x:v>6200</x:v>
      </x:c>
      <x:c r="O159" s="83" t="str">
        <x:f>IF(L159="","",IF(M159="GW","MW",IF(OR(M159="GWh",M159="TWh"),"MWh",M159)))</x:f>
        <x:v>MW</x:v>
      </x:c>
      <x:c r="P159" s="83" t="str"/>
      <x:c r="Q159" s="349"/>
      <x:c r="R159" s="349" t="str">
        <x:f>IF(L159="","",IF(Q159&lt;&gt;"",L159*Q159,IF(OR(ISNUMBER(SEARCH("EUR2025",M159&amp;"")),P159=2025,P159="2025"),L159,"")))</x:f>
      </x:c>
      <x:c r="S159" s="83" t="str">
        <x:v>A — Direct</x:v>
      </x:c>
      <x:c r="T159" s="83" t="str">
        <x:v>Direct zonal capacity; convert GW to MW.</x:v>
      </x:c>
      <x:c r="U159" s="83" t="str">
        <x:v>S09</x:v>
      </x:c>
      <x:c r="V159" s="83" t="str">
        <x:v>DDS Tabella 15 p.61</x:v>
      </x:c>
      <x:c r="W159" s="120"/>
      <x:c r="X159" s="83" t="str">
        <x:v>A - Direct</x:v>
      </x:c>
      <x:c r="Y159" s="83" t="str">
        <x:v>Adopted</x:v>
      </x:c>
      <x:c r="Z159" s="83" t="str">
        <x:v>Ready when profiles/base network are available</x:v>
      </x:c>
      <x:c r="AA159" s="83"/>
    </x:row>
    <x:row r="160">
      <x:c r="A160" s="83" t="str">
        <x:v>S4-00156</x:v>
      </x:c>
      <x:c r="B160" s="83" t="str">
        <x:v>IT2040_ALT_GAIT</x:v>
      </x:c>
      <x:c r="C160" s="83" t="n">
        <x:v>2040</x:v>
      </x:c>
      <x:c r="D160" s="83" t="str">
        <x:v>Generation capacity</x:v>
      </x:c>
      <x:c r="E160" s="83" t="str">
        <x:v>IT_CSUD</x:v>
      </x:c>
      <x:c r="F160" s="83" t="str">
        <x:v>CSUD</x:v>
      </x:c>
      <x:c r="G160" s="83" t="str">
        <x:v>Eolico offshore</x:v>
      </x:c>
      <x:c r="H160" s="83" t="str">
        <x:v>Wind offshore unspecified</x:v>
      </x:c>
      <x:c r="I160" s="83" t="str">
        <x:v>offwind</x:v>
      </x:c>
      <x:c r="J160" s="83" t="str">
        <x:v>Generator</x:v>
      </x:c>
      <x:c r="K160" s="83" t="str">
        <x:v>p_nom</x:v>
      </x:c>
      <x:c r="L160" s="279" t="n">
        <x:v>1.2</x:v>
      </x:c>
      <x:c r="M160" s="279" t="str">
        <x:v>GW</x:v>
      </x:c>
      <x:c r="N160" s="279" t="n">
        <x:f>IF(L160="","",IF(M160="GW",L160*1000,IF(M160="GWh",L160*1000,IF(M160="TWh",L160*1000000,L160))))</x:f>
        <x:v>1200</x:v>
      </x:c>
      <x:c r="O160" s="83" t="str">
        <x:f>IF(L160="","",IF(M160="GW","MW",IF(OR(M160="GWh",M160="TWh"),"MWh",M160)))</x:f>
        <x:v>MW</x:v>
      </x:c>
      <x:c r="P160" s="83" t="str"/>
      <x:c r="Q160" s="349"/>
      <x:c r="R160" s="349" t="str">
        <x:f>IF(L160="","",IF(Q160&lt;&gt;"",L160*Q160,IF(OR(ISNUMBER(SEARCH("EUR2025",M160&amp;"")),P160=2025,P160="2025"),L160,"")))</x:f>
      </x:c>
      <x:c r="S160" s="83" t="str">
        <x:v>A — Direct</x:v>
      </x:c>
      <x:c r="T160" s="83" t="str">
        <x:v>Direct zonal capacity; convert GW to MW.</x:v>
      </x:c>
      <x:c r="U160" s="83" t="str">
        <x:v>S09</x:v>
      </x:c>
      <x:c r="V160" s="83" t="str">
        <x:v>DDS Tabella 15 p.61</x:v>
      </x:c>
      <x:c r="W160" s="120"/>
      <x:c r="X160" s="83" t="str">
        <x:v>A - Direct</x:v>
      </x:c>
      <x:c r="Y160" s="83" t="str">
        <x:v>Adopted</x:v>
      </x:c>
      <x:c r="Z160" s="83" t="str">
        <x:v>Ready when profiles/base network are available</x:v>
      </x:c>
      <x:c r="AA160" s="83"/>
    </x:row>
    <x:row r="161">
      <x:c r="A161" s="83" t="str">
        <x:v>S4-00157</x:v>
      </x:c>
      <x:c r="B161" s="83" t="str">
        <x:v>IT2040_ALT_GAIT</x:v>
      </x:c>
      <x:c r="C161" s="83" t="n">
        <x:v>2040</x:v>
      </x:c>
      <x:c r="D161" s="83" t="str">
        <x:v>Generation capacity</x:v>
      </x:c>
      <x:c r="E161" s="83" t="str">
        <x:v>IT_SUD</x:v>
      </x:c>
      <x:c r="F161" s="83" t="str">
        <x:v>SUD</x:v>
      </x:c>
      <x:c r="G161" s="83" t="str">
        <x:v>Eolico onshore</x:v>
      </x:c>
      <x:c r="H161" s="83" t="str">
        <x:v>Wind onshore</x:v>
      </x:c>
      <x:c r="I161" s="83" t="str">
        <x:v>onwind</x:v>
      </x:c>
      <x:c r="J161" s="83" t="str">
        <x:v>Generator</x:v>
      </x:c>
      <x:c r="K161" s="83" t="str">
        <x:v>p_nom</x:v>
      </x:c>
      <x:c r="L161" s="279" t="n">
        <x:v>12.1</x:v>
      </x:c>
      <x:c r="M161" s="279" t="str">
        <x:v>GW</x:v>
      </x:c>
      <x:c r="N161" s="279" t="n">
        <x:f>IF(L161="","",IF(M161="GW",L161*1000,IF(M161="GWh",L161*1000,IF(M161="TWh",L161*1000000,L161))))</x:f>
        <x:v>12100</x:v>
      </x:c>
      <x:c r="O161" s="83" t="str">
        <x:f>IF(L161="","",IF(M161="GW","MW",IF(OR(M161="GWh",M161="TWh"),"MWh",M161)))</x:f>
        <x:v>MW</x:v>
      </x:c>
      <x:c r="P161" s="83" t="str"/>
      <x:c r="Q161" s="349"/>
      <x:c r="R161" s="349" t="str">
        <x:f>IF(L161="","",IF(Q161&lt;&gt;"",L161*Q161,IF(OR(ISNUMBER(SEARCH("EUR2025",M161&amp;"")),P161=2025,P161="2025"),L161,"")))</x:f>
      </x:c>
      <x:c r="S161" s="83" t="str">
        <x:v>A — Direct</x:v>
      </x:c>
      <x:c r="T161" s="83" t="str">
        <x:v>Direct zonal capacity; convert GW to MW.</x:v>
      </x:c>
      <x:c r="U161" s="83" t="str">
        <x:v>S09</x:v>
      </x:c>
      <x:c r="V161" s="83" t="str">
        <x:v>DDS Tabella 15 p.61</x:v>
      </x:c>
      <x:c r="W161" s="120"/>
      <x:c r="X161" s="83" t="str">
        <x:v>A - Direct</x:v>
      </x:c>
      <x:c r="Y161" s="83" t="str">
        <x:v>Adopted</x:v>
      </x:c>
      <x:c r="Z161" s="83" t="str">
        <x:v>Ready when profiles/base network are available</x:v>
      </x:c>
      <x:c r="AA161" s="83"/>
    </x:row>
    <x:row r="162">
      <x:c r="A162" s="83" t="str">
        <x:v>S4-00158</x:v>
      </x:c>
      <x:c r="B162" s="83" t="str">
        <x:v>IT2040_ALT_GAIT</x:v>
      </x:c>
      <x:c r="C162" s="83" t="n">
        <x:v>2040</x:v>
      </x:c>
      <x:c r="D162" s="83" t="str">
        <x:v>Generation capacity</x:v>
      </x:c>
      <x:c r="E162" s="83" t="str">
        <x:v>IT_SUD</x:v>
      </x:c>
      <x:c r="F162" s="83" t="str">
        <x:v>SUD</x:v>
      </x:c>
      <x:c r="G162" s="83" t="str">
        <x:v>Eolico offshore</x:v>
      </x:c>
      <x:c r="H162" s="83" t="str">
        <x:v>Wind offshore unspecified</x:v>
      </x:c>
      <x:c r="I162" s="83" t="str">
        <x:v>offwind</x:v>
      </x:c>
      <x:c r="J162" s="83" t="str">
        <x:v>Generator</x:v>
      </x:c>
      <x:c r="K162" s="83" t="str">
        <x:v>p_nom</x:v>
      </x:c>
      <x:c r="L162" s="279" t="n">
        <x:v>3.7</x:v>
      </x:c>
      <x:c r="M162" s="279" t="str">
        <x:v>GW</x:v>
      </x:c>
      <x:c r="N162" s="279" t="n">
        <x:f>IF(L162="","",IF(M162="GW",L162*1000,IF(M162="GWh",L162*1000,IF(M162="TWh",L162*1000000,L162))))</x:f>
        <x:v>3700</x:v>
      </x:c>
      <x:c r="O162" s="83" t="str">
        <x:f>IF(L162="","",IF(M162="GW","MW",IF(OR(M162="GWh",M162="TWh"),"MWh",M162)))</x:f>
        <x:v>MW</x:v>
      </x:c>
      <x:c r="P162" s="83" t="str"/>
      <x:c r="Q162" s="349"/>
      <x:c r="R162" s="349" t="str">
        <x:f>IF(L162="","",IF(Q162&lt;&gt;"",L162*Q162,IF(OR(ISNUMBER(SEARCH("EUR2025",M162&amp;"")),P162=2025,P162="2025"),L162,"")))</x:f>
      </x:c>
      <x:c r="S162" s="83" t="str">
        <x:v>A — Direct</x:v>
      </x:c>
      <x:c r="T162" s="83" t="str">
        <x:v>Direct zonal capacity; convert GW to MW.</x:v>
      </x:c>
      <x:c r="U162" s="83" t="str">
        <x:v>S09</x:v>
      </x:c>
      <x:c r="V162" s="83" t="str">
        <x:v>DDS Tabella 15 p.61</x:v>
      </x:c>
      <x:c r="W162" s="120"/>
      <x:c r="X162" s="83" t="str">
        <x:v>A - Direct</x:v>
      </x:c>
      <x:c r="Y162" s="83" t="str">
        <x:v>Adopted</x:v>
      </x:c>
      <x:c r="Z162" s="83" t="str">
        <x:v>Ready when profiles/base network are available</x:v>
      </x:c>
      <x:c r="AA162" s="83"/>
    </x:row>
    <x:row r="163">
      <x:c r="A163" s="83" t="str">
        <x:v>S4-00159</x:v>
      </x:c>
      <x:c r="B163" s="83" t="str">
        <x:v>IT2040_ALT_GAIT</x:v>
      </x:c>
      <x:c r="C163" s="83" t="n">
        <x:v>2040</x:v>
      </x:c>
      <x:c r="D163" s="83" t="str">
        <x:v>Generation capacity</x:v>
      </x:c>
      <x:c r="E163" s="83" t="str">
        <x:v>IT_CALA</x:v>
      </x:c>
      <x:c r="F163" s="83" t="str">
        <x:v>CALA</x:v>
      </x:c>
      <x:c r="G163" s="83" t="str">
        <x:v>Eolico onshore</x:v>
      </x:c>
      <x:c r="H163" s="83" t="str">
        <x:v>Wind onshore</x:v>
      </x:c>
      <x:c r="I163" s="83" t="str">
        <x:v>onwind</x:v>
      </x:c>
      <x:c r="J163" s="83" t="str">
        <x:v>Generator</x:v>
      </x:c>
      <x:c r="K163" s="83" t="str">
        <x:v>p_nom</x:v>
      </x:c>
      <x:c r="L163" s="279" t="n">
        <x:v>3</x:v>
      </x:c>
      <x:c r="M163" s="279" t="str">
        <x:v>GW</x:v>
      </x:c>
      <x:c r="N163" s="279" t="n">
        <x:f>IF(L163="","",IF(M163="GW",L163*1000,IF(M163="GWh",L163*1000,IF(M163="TWh",L163*1000000,L163))))</x:f>
        <x:v>3000</x:v>
      </x:c>
      <x:c r="O163" s="83" t="str">
        <x:f>IF(L163="","",IF(M163="GW","MW",IF(OR(M163="GWh",M163="TWh"),"MWh",M163)))</x:f>
        <x:v>MW</x:v>
      </x:c>
      <x:c r="P163" s="83" t="str"/>
      <x:c r="Q163" s="349"/>
      <x:c r="R163" s="349" t="str">
        <x:f>IF(L163="","",IF(Q163&lt;&gt;"",L163*Q163,IF(OR(ISNUMBER(SEARCH("EUR2025",M163&amp;"")),P163=2025,P163="2025"),L163,"")))</x:f>
      </x:c>
      <x:c r="S163" s="83" t="str">
        <x:v>A — Direct</x:v>
      </x:c>
      <x:c r="T163" s="83" t="str">
        <x:v>Direct zonal capacity; convert GW to MW.</x:v>
      </x:c>
      <x:c r="U163" s="83" t="str">
        <x:v>S09</x:v>
      </x:c>
      <x:c r="V163" s="83" t="str">
        <x:v>DDS Tabella 15 p.61</x:v>
      </x:c>
      <x:c r="W163" s="120"/>
      <x:c r="X163" s="83" t="str">
        <x:v>A - Direct</x:v>
      </x:c>
      <x:c r="Y163" s="83" t="str">
        <x:v>Adopted</x:v>
      </x:c>
      <x:c r="Z163" s="83" t="str">
        <x:v>Ready when profiles/base network are available</x:v>
      </x:c>
      <x:c r="AA163" s="83"/>
    </x:row>
    <x:row r="164">
      <x:c r="A164" s="83" t="str">
        <x:v>S4-00160</x:v>
      </x:c>
      <x:c r="B164" s="83" t="str">
        <x:v>IT2040_ALT_GAIT</x:v>
      </x:c>
      <x:c r="C164" s="83" t="n">
        <x:v>2040</x:v>
      </x:c>
      <x:c r="D164" s="83" t="str">
        <x:v>Generation capacity</x:v>
      </x:c>
      <x:c r="E164" s="83" t="str">
        <x:v>IT_CALA</x:v>
      </x:c>
      <x:c r="F164" s="83" t="str">
        <x:v>CALA</x:v>
      </x:c>
      <x:c r="G164" s="83" t="str">
        <x:v>Eolico offshore</x:v>
      </x:c>
      <x:c r="H164" s="83" t="str">
        <x:v>Wind offshore unspecified</x:v>
      </x:c>
      <x:c r="I164" s="83" t="str">
        <x:v>offwind</x:v>
      </x:c>
      <x:c r="J164" s="83" t="str">
        <x:v>Generator</x:v>
      </x:c>
      <x:c r="K164" s="83" t="str">
        <x:v>p_nom</x:v>
      </x:c>
      <x:c r="L164" s="279" t="n">
        <x:v>0.4</x:v>
      </x:c>
      <x:c r="M164" s="279" t="str">
        <x:v>GW</x:v>
      </x:c>
      <x:c r="N164" s="279" t="n">
        <x:f>IF(L164="","",IF(M164="GW",L164*1000,IF(M164="GWh",L164*1000,IF(M164="TWh",L164*1000000,L164))))</x:f>
        <x:v>400</x:v>
      </x:c>
      <x:c r="O164" s="83" t="str">
        <x:f>IF(L164="","",IF(M164="GW","MW",IF(OR(M164="GWh",M164="TWh"),"MWh",M164)))</x:f>
        <x:v>MW</x:v>
      </x:c>
      <x:c r="P164" s="83" t="str"/>
      <x:c r="Q164" s="349"/>
      <x:c r="R164" s="349" t="str">
        <x:f>IF(L164="","",IF(Q164&lt;&gt;"",L164*Q164,IF(OR(ISNUMBER(SEARCH("EUR2025",M164&amp;"")),P164=2025,P164="2025"),L164,"")))</x:f>
      </x:c>
      <x:c r="S164" s="83" t="str">
        <x:v>A — Direct</x:v>
      </x:c>
      <x:c r="T164" s="83" t="str">
        <x:v>Direct zonal capacity; convert GW to MW.</x:v>
      </x:c>
      <x:c r="U164" s="83" t="str">
        <x:v>S09</x:v>
      </x:c>
      <x:c r="V164" s="83" t="str">
        <x:v>DDS Tabella 15 p.61</x:v>
      </x:c>
      <x:c r="W164" s="120"/>
      <x:c r="X164" s="83" t="str">
        <x:v>A - Direct</x:v>
      </x:c>
      <x:c r="Y164" s="83" t="str">
        <x:v>Adopted</x:v>
      </x:c>
      <x:c r="Z164" s="83" t="str">
        <x:v>Ready when profiles/base network are available</x:v>
      </x:c>
      <x:c r="AA164" s="83"/>
    </x:row>
    <x:row r="165">
      <x:c r="A165" s="83" t="str">
        <x:v>S4-00161</x:v>
      </x:c>
      <x:c r="B165" s="83" t="str">
        <x:v>IT2040_ALT_GAIT</x:v>
      </x:c>
      <x:c r="C165" s="83" t="n">
        <x:v>2040</x:v>
      </x:c>
      <x:c r="D165" s="83" t="str">
        <x:v>Generation capacity</x:v>
      </x:c>
      <x:c r="E165" s="83" t="str">
        <x:v>IT_SICI</x:v>
      </x:c>
      <x:c r="F165" s="83" t="str">
        <x:v>SICI</x:v>
      </x:c>
      <x:c r="G165" s="83" t="str">
        <x:v>Eolico onshore</x:v>
      </x:c>
      <x:c r="H165" s="83" t="str">
        <x:v>Wind onshore</x:v>
      </x:c>
      <x:c r="I165" s="83" t="str">
        <x:v>onwind</x:v>
      </x:c>
      <x:c r="J165" s="83" t="str">
        <x:v>Generator</x:v>
      </x:c>
      <x:c r="K165" s="83" t="str">
        <x:v>p_nom</x:v>
      </x:c>
      <x:c r="L165" s="279" t="n">
        <x:v>5.7</x:v>
      </x:c>
      <x:c r="M165" s="279" t="str">
        <x:v>GW</x:v>
      </x:c>
      <x:c r="N165" s="279" t="n">
        <x:f>IF(L165="","",IF(M165="GW",L165*1000,IF(M165="GWh",L165*1000,IF(M165="TWh",L165*1000000,L165))))</x:f>
        <x:v>5700</x:v>
      </x:c>
      <x:c r="O165" s="83" t="str">
        <x:f>IF(L165="","",IF(M165="GW","MW",IF(OR(M165="GWh",M165="TWh"),"MWh",M165)))</x:f>
        <x:v>MW</x:v>
      </x:c>
      <x:c r="P165" s="83" t="str"/>
      <x:c r="Q165" s="349"/>
      <x:c r="R165" s="349" t="str">
        <x:f>IF(L165="","",IF(Q165&lt;&gt;"",L165*Q165,IF(OR(ISNUMBER(SEARCH("EUR2025",M165&amp;"")),P165=2025,P165="2025"),L165,"")))</x:f>
      </x:c>
      <x:c r="S165" s="83" t="str">
        <x:v>A — Direct</x:v>
      </x:c>
      <x:c r="T165" s="83" t="str">
        <x:v>Direct zonal capacity; convert GW to MW.</x:v>
      </x:c>
      <x:c r="U165" s="83" t="str">
        <x:v>S09</x:v>
      </x:c>
      <x:c r="V165" s="83" t="str">
        <x:v>DDS Tabella 15 p.61</x:v>
      </x:c>
      <x:c r="W165" s="120"/>
      <x:c r="X165" s="83" t="str">
        <x:v>A - Direct</x:v>
      </x:c>
      <x:c r="Y165" s="83" t="str">
        <x:v>Adopted</x:v>
      </x:c>
      <x:c r="Z165" s="83" t="str">
        <x:v>Ready when profiles/base network are available</x:v>
      </x:c>
      <x:c r="AA165" s="83"/>
    </x:row>
    <x:row r="166">
      <x:c r="A166" s="83" t="str">
        <x:v>S4-00162</x:v>
      </x:c>
      <x:c r="B166" s="83" t="str">
        <x:v>IT2040_ALT_GAIT</x:v>
      </x:c>
      <x:c r="C166" s="83" t="n">
        <x:v>2040</x:v>
      </x:c>
      <x:c r="D166" s="83" t="str">
        <x:v>Generation capacity</x:v>
      </x:c>
      <x:c r="E166" s="83" t="str">
        <x:v>IT_SICI</x:v>
      </x:c>
      <x:c r="F166" s="83" t="str">
        <x:v>SICI</x:v>
      </x:c>
      <x:c r="G166" s="83" t="str">
        <x:v>Eolico offshore</x:v>
      </x:c>
      <x:c r="H166" s="83" t="str">
        <x:v>Wind offshore unspecified</x:v>
      </x:c>
      <x:c r="I166" s="83" t="str">
        <x:v>offwind</x:v>
      </x:c>
      <x:c r="J166" s="83" t="str">
        <x:v>Generator</x:v>
      </x:c>
      <x:c r="K166" s="83" t="str">
        <x:v>p_nom</x:v>
      </x:c>
      <x:c r="L166" s="279" t="n">
        <x:v>2.5</x:v>
      </x:c>
      <x:c r="M166" s="279" t="str">
        <x:v>GW</x:v>
      </x:c>
      <x:c r="N166" s="279" t="n">
        <x:f>IF(L166="","",IF(M166="GW",L166*1000,IF(M166="GWh",L166*1000,IF(M166="TWh",L166*1000000,L166))))</x:f>
        <x:v>2500</x:v>
      </x:c>
      <x:c r="O166" s="83" t="str">
        <x:f>IF(L166="","",IF(M166="GW","MW",IF(OR(M166="GWh",M166="TWh"),"MWh",M166)))</x:f>
        <x:v>MW</x:v>
      </x:c>
      <x:c r="P166" s="83" t="str"/>
      <x:c r="Q166" s="349"/>
      <x:c r="R166" s="349" t="str">
        <x:f>IF(L166="","",IF(Q166&lt;&gt;"",L166*Q166,IF(OR(ISNUMBER(SEARCH("EUR2025",M166&amp;"")),P166=2025,P166="2025"),L166,"")))</x:f>
      </x:c>
      <x:c r="S166" s="83" t="str">
        <x:v>A — Direct</x:v>
      </x:c>
      <x:c r="T166" s="83" t="str">
        <x:v>Direct zonal capacity; convert GW to MW.</x:v>
      </x:c>
      <x:c r="U166" s="83" t="str">
        <x:v>S09</x:v>
      </x:c>
      <x:c r="V166" s="83" t="str">
        <x:v>DDS Tabella 15 p.61</x:v>
      </x:c>
      <x:c r="W166" s="120"/>
      <x:c r="X166" s="83" t="str">
        <x:v>A - Direct</x:v>
      </x:c>
      <x:c r="Y166" s="83" t="str">
        <x:v>Adopted</x:v>
      </x:c>
      <x:c r="Z166" s="83" t="str">
        <x:v>Ready when profiles/base network are available</x:v>
      </x:c>
      <x:c r="AA166" s="83"/>
    </x:row>
    <x:row r="167">
      <x:c r="A167" s="83" t="str">
        <x:v>S4-00163</x:v>
      </x:c>
      <x:c r="B167" s="83" t="str">
        <x:v>IT2040_ALT_GAIT</x:v>
      </x:c>
      <x:c r="C167" s="83" t="n">
        <x:v>2040</x:v>
      </x:c>
      <x:c r="D167" s="83" t="str">
        <x:v>Generation capacity</x:v>
      </x:c>
      <x:c r="E167" s="83" t="str">
        <x:v>IT_SARD</x:v>
      </x:c>
      <x:c r="F167" s="83" t="str">
        <x:v>SARD</x:v>
      </x:c>
      <x:c r="G167" s="83" t="str">
        <x:v>Eolico onshore</x:v>
      </x:c>
      <x:c r="H167" s="83" t="str">
        <x:v>Wind onshore</x:v>
      </x:c>
      <x:c r="I167" s="83" t="str">
        <x:v>onwind</x:v>
      </x:c>
      <x:c r="J167" s="83" t="str">
        <x:v>Generator</x:v>
      </x:c>
      <x:c r="K167" s="83" t="str">
        <x:v>p_nom</x:v>
      </x:c>
      <x:c r="L167" s="279" t="n">
        <x:v>3.1</x:v>
      </x:c>
      <x:c r="M167" s="279" t="str">
        <x:v>GW</x:v>
      </x:c>
      <x:c r="N167" s="279" t="n">
        <x:f>IF(L167="","",IF(M167="GW",L167*1000,IF(M167="GWh",L167*1000,IF(M167="TWh",L167*1000000,L167))))</x:f>
        <x:v>3100</x:v>
      </x:c>
      <x:c r="O167" s="83" t="str">
        <x:f>IF(L167="","",IF(M167="GW","MW",IF(OR(M167="GWh",M167="TWh"),"MWh",M167)))</x:f>
        <x:v>MW</x:v>
      </x:c>
      <x:c r="P167" s="83" t="str"/>
      <x:c r="Q167" s="349"/>
      <x:c r="R167" s="349" t="str">
        <x:f>IF(L167="","",IF(Q167&lt;&gt;"",L167*Q167,IF(OR(ISNUMBER(SEARCH("EUR2025",M167&amp;"")),P167=2025,P167="2025"),L167,"")))</x:f>
      </x:c>
      <x:c r="S167" s="83" t="str">
        <x:v>A — Direct</x:v>
      </x:c>
      <x:c r="T167" s="83" t="str">
        <x:v>Direct zonal capacity; convert GW to MW.</x:v>
      </x:c>
      <x:c r="U167" s="83" t="str">
        <x:v>S09</x:v>
      </x:c>
      <x:c r="V167" s="83" t="str">
        <x:v>DDS Tabella 15 p.61</x:v>
      </x:c>
      <x:c r="W167" s="120"/>
      <x:c r="X167" s="83" t="str">
        <x:v>A - Direct</x:v>
      </x:c>
      <x:c r="Y167" s="83" t="str">
        <x:v>Adopted</x:v>
      </x:c>
      <x:c r="Z167" s="83" t="str">
        <x:v>Ready when profiles/base network are available</x:v>
      </x:c>
      <x:c r="AA167" s="83"/>
    </x:row>
    <x:row r="168">
      <x:c r="A168" s="83" t="str">
        <x:v>S4-00164</x:v>
      </x:c>
      <x:c r="B168" s="83" t="str">
        <x:v>IT2040_ALT_GAIT</x:v>
      </x:c>
      <x:c r="C168" s="83" t="n">
        <x:v>2040</x:v>
      </x:c>
      <x:c r="D168" s="83" t="str">
        <x:v>Generation capacity</x:v>
      </x:c>
      <x:c r="E168" s="83" t="str">
        <x:v>IT_SARD</x:v>
      </x:c>
      <x:c r="F168" s="83" t="str">
        <x:v>SARD</x:v>
      </x:c>
      <x:c r="G168" s="83" t="str">
        <x:v>Eolico offshore</x:v>
      </x:c>
      <x:c r="H168" s="83" t="str">
        <x:v>Wind offshore unspecified</x:v>
      </x:c>
      <x:c r="I168" s="83" t="str">
        <x:v>offwind</x:v>
      </x:c>
      <x:c r="J168" s="83" t="str">
        <x:v>Generator</x:v>
      </x:c>
      <x:c r="K168" s="83" t="str">
        <x:v>p_nom</x:v>
      </x:c>
      <x:c r="L168" s="279" t="n">
        <x:v>2.5</x:v>
      </x:c>
      <x:c r="M168" s="279" t="str">
        <x:v>GW</x:v>
      </x:c>
      <x:c r="N168" s="279" t="n">
        <x:f>IF(L168="","",IF(M168="GW",L168*1000,IF(M168="GWh",L168*1000,IF(M168="TWh",L168*1000000,L168))))</x:f>
        <x:v>2500</x:v>
      </x:c>
      <x:c r="O168" s="83" t="str">
        <x:f>IF(L168="","",IF(M168="GW","MW",IF(OR(M168="GWh",M168="TWh"),"MWh",M168)))</x:f>
        <x:v>MW</x:v>
      </x:c>
      <x:c r="P168" s="83" t="str"/>
      <x:c r="Q168" s="349"/>
      <x:c r="R168" s="349" t="str">
        <x:f>IF(L168="","",IF(Q168&lt;&gt;"",L168*Q168,IF(OR(ISNUMBER(SEARCH("EUR2025",M168&amp;"")),P168=2025,P168="2025"),L168,"")))</x:f>
      </x:c>
      <x:c r="S168" s="83" t="str">
        <x:v>A — Direct</x:v>
      </x:c>
      <x:c r="T168" s="83" t="str">
        <x:v>Direct zonal capacity; convert GW to MW.</x:v>
      </x:c>
      <x:c r="U168" s="83" t="str">
        <x:v>S09</x:v>
      </x:c>
      <x:c r="V168" s="83" t="str">
        <x:v>DDS Tabella 15 p.61</x:v>
      </x:c>
      <x:c r="W168" s="120"/>
      <x:c r="X168" s="83" t="str">
        <x:v>A - Direct</x:v>
      </x:c>
      <x:c r="Y168" s="83" t="str">
        <x:v>Adopted</x:v>
      </x:c>
      <x:c r="Z168" s="83" t="str">
        <x:v>Ready when profiles/base network are available</x:v>
      </x:c>
      <x:c r="AA168" s="83"/>
    </x:row>
    <x:row r="169">
      <x:c r="A169" s="83" t="str">
        <x:v>S4-00165</x:v>
      </x:c>
      <x:c r="B169" s="83" t="str">
        <x:v>IT2040_ALT_GAIT</x:v>
      </x:c>
      <x:c r="C169" s="83" t="n">
        <x:v>2040</x:v>
      </x:c>
      <x:c r="D169" s="83" t="str">
        <x:v>Generation capacity</x:v>
      </x:c>
      <x:c r="E169" s="83" t="str">
        <x:v>Italy</x:v>
      </x:c>
      <x:c r="F169" s="83"/>
      <x:c r="G169" s="83" t="str">
        <x:v>Parco termoelettrico aggregato</x:v>
      </x:c>
      <x:c r="H169" s="83" t="str">
        <x:v>Thermal fleet envelope</x:v>
      </x:c>
      <x:c r="I169" s="83" t="str">
        <x:v>thermal</x:v>
      </x:c>
      <x:c r="J169" s="83" t="str">
        <x:v>Generator portfolio</x:v>
      </x:c>
      <x:c r="K169" s="83" t="str">
        <x:v>sum p_nom</x:v>
      </x:c>
      <x:c r="L169" s="279" t="n">
        <x:v>55</x:v>
      </x:c>
      <x:c r="M169" s="279" t="str">
        <x:v>GW</x:v>
      </x:c>
      <x:c r="N169" s="279" t="n">
        <x:f>IF(L169="","",IF(M169="GW",L169*1000,IF(M169="GWh",L169*1000,IF(M169="TWh",L169*1000000,L169))))</x:f>
        <x:v>55000</x:v>
      </x:c>
      <x:c r="O169" s="83" t="str">
        <x:f>IF(L169="","",IF(M169="GW","MW",IF(OR(M169="GWh",M169="TWh"),"MWh",M169)))</x:f>
        <x:v>MW</x:v>
      </x:c>
      <x:c r="P169" s="83" t="str"/>
      <x:c r="Q169" s="349"/>
      <x:c r="R169" s="349" t="str">
        <x:f>IF(L169="","",IF(Q169&lt;&gt;"",L169*Q169,IF(OR(ISNUMBER(SEARCH("EUR2025",M169&amp;"")),P169=2025,P169="2025"),L169,"")))</x:f>
      </x:c>
      <x:c r="S169" s="83" t="str">
        <x:v>A — Direct approximate</x:v>
      </x:c>
      <x:c r="T169" s="83" t="str">
        <x:v>Use as national reconciliation ceiling; allocate to plant/cohort fleet from PyPSA-Eur/Gaudì. Do not create one generic generator.</x:v>
      </x:c>
      <x:c r="U169" s="83" t="str">
        <x:v>S09</x:v>
      </x:c>
      <x:c r="V169" s="83" t="str">
        <x:v>DDS national capacity figure</x:v>
      </x:c>
      <x:c r="W169" s="120"/>
      <x:c r="X169" s="83" t="str">
        <x:v>B — approximate</x:v>
      </x:c>
      <x:c r="Y169" s="83" t="str">
        <x:v>Control envelope</x:v>
      </x:c>
      <x:c r="Z169" s="83" t="str">
        <x:v>Blocked until plant/cohort mapping</x:v>
      </x:c>
      <x:c r="AA169" s="83" t="str">
        <x:v>Gas/other thermal composition is not supplied at model-ready granularity.</x:v>
      </x:c>
    </x:row>
    <x:row r="170">
      <x:c r="A170" s="83" t="str">
        <x:v>S4-00166</x:v>
      </x:c>
      <x:c r="B170" s="83" t="str">
        <x:v>IT2040_ALT_GAIT</x:v>
      </x:c>
      <x:c r="C170" s="83" t="n">
        <x:v>2040</x:v>
      </x:c>
      <x:c r="D170" s="83" t="str">
        <x:v>Hydro</x:v>
      </x:c>
      <x:c r="E170" s="83" t="str">
        <x:v>Italy</x:v>
      </x:c>
      <x:c r="F170" s="83"/>
      <x:c r="G170" s="83" t="str">
        <x:v>Produzione idroelettrica</x:v>
      </x:c>
      <x:c r="H170" s="83" t="str">
        <x:v>Hydro annual generation target</x:v>
      </x:c>
      <x:c r="I170" s="83" t="str">
        <x:v>hydro</x:v>
      </x:c>
      <x:c r="J170" s="83" t="str">
        <x:v>Generator/StorageUnit QA</x:v>
      </x:c>
      <x:c r="K170" s="83" t="str">
        <x:v>annual generation</x:v>
      </x:c>
      <x:c r="L170" s="279" t="n">
        <x:v>46</x:v>
      </x:c>
      <x:c r="M170" s="279" t="str">
        <x:v>TWh</x:v>
      </x:c>
      <x:c r="N170" s="279" t="n">
        <x:f>IF(L170="","",IF(M170="GW",L170*1000,IF(M170="GWh",L170*1000,IF(M170="TWh",L170*1000000,L170))))</x:f>
        <x:v>46000000</x:v>
      </x:c>
      <x:c r="O170" s="83" t="str">
        <x:f>IF(L170="","",IF(M170="GW","MW",IF(OR(M170="GWh",M170="TWh"),"MWh",M170)))</x:f>
        <x:v>MWh</x:v>
      </x:c>
      <x:c r="P170" s="83" t="str"/>
      <x:c r="Q170" s="349"/>
      <x:c r="R170" s="349" t="str">
        <x:f>IF(L170="","",IF(Q170&lt;&gt;"",L170*Q170,IF(OR(ISNUMBER(SEARCH("EUR2025",M170&amp;"")),P170=2025,P170="2025"),L170,"")))</x:f>
      </x:c>
      <x:c r="S170" s="83" t="str">
        <x:v>A — Direct</x:v>
      </x:c>
      <x:c r="T170" s="83" t="str">
        <x:v>Retain PyPSA-Eur hydro assets and inflow shapes; scale annual inflows/output to 46 TWh while preserving chronology.</x:v>
      </x:c>
      <x:c r="U170" s="83" t="str">
        <x:v>S09</x:v>
      </x:c>
      <x:c r="V170" s="83" t="str">
        <x:v>DDS Table 18</x:v>
      </x:c>
      <x:c r="W170" s="120"/>
      <x:c r="X170" s="83" t="str">
        <x:v>A — Direct</x:v>
      </x:c>
      <x:c r="Y170" s="83" t="str">
        <x:v>Adopted QA target</x:v>
      </x:c>
      <x:c r="Z170" s="83" t="str">
        <x:v>Conditional on external hydro time series</x:v>
      </x:c>
      <x:c r="AA170" s="83"/>
    </x:row>
    <x:row r="171">
      <x:c r="A171" s="83" t="str">
        <x:v>S4-00167</x:v>
      </x:c>
      <x:c r="B171" s="83" t="str">
        <x:v>IT2040_ALT_GAIT</x:v>
      </x:c>
      <x:c r="C171" s="83" t="n">
        <x:v>2040</x:v>
      </x:c>
      <x:c r="D171" s="83" t="str">
        <x:v>Storage</x:v>
      </x:c>
      <x:c r="E171" s="83" t="str">
        <x:v>IT_NORD</x:v>
      </x:c>
      <x:c r="F171" s="83" t="str">
        <x:v>NORD</x:v>
      </x:c>
      <x:c r="G171" s="83" t="str">
        <x:v>Small Scale</x:v>
      </x:c>
      <x:c r="H171" s="83" t="str">
        <x:v>Small-scale 2h</x:v>
      </x:c>
      <x:c r="I171" s="83" t="str">
        <x:v>battery</x:v>
      </x:c>
      <x:c r="J171" s="83" t="str">
        <x:v>Store + Links</x:v>
      </x:c>
      <x:c r="K171" s="83" t="str">
        <x:v>e_nom</x:v>
      </x:c>
      <x:c r="L171" s="279" t="n">
        <x:v>7.066666666666666</x:v>
      </x:c>
      <x:c r="M171" s="279" t="str">
        <x:v>GWh</x:v>
      </x:c>
      <x:c r="N171" s="279" t="n">
        <x:f>IF(L171="","",IF(M171="GW",L171*1000,IF(M171="GWh",L171*1000,IF(M171="TWh",L171*1000000,L171))))</x:f>
        <x:v>7066.666666666666</x:v>
      </x:c>
      <x:c r="O171" s="83" t="str">
        <x:f>IF(L171="","",IF(M171="GW","MW",IF(OR(M171="GWh",M171="TWh"),"MWh",M171)))</x:f>
        <x:v>MWh</x:v>
      </x:c>
      <x:c r="P171" s="83" t="str"/>
      <x:c r="Q171" s="349"/>
      <x:c r="R171" s="349" t="str">
        <x:f>IF(L171="","",IF(Q171&lt;&gt;"",L171*Q171,IF(OR(ISNUMBER(SEARCH("EUR2025",M171&amp;"")),P171=2025,P171="2025"),L171,"")))</x:f>
      </x:c>
      <x:c r="S171" s="83" t="str">
        <x:v>C — Distributed assumption</x:v>
      </x:c>
      <x:c r="T171" s="83" t="str">
        <x:v>Split direct zonal energy 67%/33% between 2h/4h classes; p_nom=e_nom/2.</x:v>
      </x:c>
      <x:c r="U171" s="83" t="str">
        <x:v>S09 / S01</x:v>
      </x:c>
      <x:c r="V171" s="83" t="str">
        <x:v>DDS Table 16; 2025 observed portfolio duration</x:v>
      </x:c>
      <x:c r="W171" s="120"/>
      <x:c r="X171" s="83" t="str">
        <x:v>C — Assumed split</x:v>
      </x:c>
      <x:c r="Y171" s="83" t="str">
        <x:v>Proposed</x:v>
      </x:c>
      <x:c r="Z171" s="83" t="str">
        <x:v>Ready after user approval</x:v>
      </x:c>
      <x:c r="AA171" s="83" t="str">
        <x:v>Duration 2h; share derived from observed aggregate duration near 2.4h.</x:v>
      </x:c>
    </x:row>
    <x:row r="172">
      <x:c r="A172" s="83" t="str">
        <x:v>S4-00168</x:v>
      </x:c>
      <x:c r="B172" s="83" t="str">
        <x:v>IT2040_ALT_GAIT</x:v>
      </x:c>
      <x:c r="C172" s="83" t="n">
        <x:v>2040</x:v>
      </x:c>
      <x:c r="D172" s="83" t="str">
        <x:v>Storage power</x:v>
      </x:c>
      <x:c r="E172" s="83" t="str">
        <x:v>IT_NORD</x:v>
      </x:c>
      <x:c r="F172" s="83" t="str">
        <x:v>NORD</x:v>
      </x:c>
      <x:c r="G172" s="83" t="str">
        <x:v>Small Scale</x:v>
      </x:c>
      <x:c r="H172" s="83" t="str">
        <x:v>Small-scale 2h power</x:v>
      </x:c>
      <x:c r="I172" s="83" t="str">
        <x:v>battery</x:v>
      </x:c>
      <x:c r="J172" s="83" t="str">
        <x:v>Link</x:v>
      </x:c>
      <x:c r="K172" s="83" t="str">
        <x:v>p_nom</x:v>
      </x:c>
      <x:c r="L172" s="279" t="n">
        <x:v>3.533333333333333</x:v>
      </x:c>
      <x:c r="M172" s="279" t="str">
        <x:v>GW</x:v>
      </x:c>
      <x:c r="N172" s="279" t="n">
        <x:f>IF(L172="","",IF(M172="GW",L172*1000,IF(M172="GWh",L172*1000,IF(M172="TWh",L172*1000000,L172))))</x:f>
        <x:v>3533.333333333333</x:v>
      </x:c>
      <x:c r="O172" s="83" t="str">
        <x:f>IF(L172="","",IF(M172="GW","MW",IF(OR(M172="GWh",M172="TWh"),"MWh",M172)))</x:f>
        <x:v>MW</x:v>
      </x:c>
      <x:c r="P172" s="83" t="str"/>
      <x:c r="Q172" s="349"/>
      <x:c r="R172" s="349" t="str">
        <x:f>IF(L172="","",IF(Q172&lt;&gt;"",L172*Q172,IF(OR(ISNUMBER(SEARCH("EUR2025",M172&amp;"")),P172=2025,P172="2025"),L172,"")))</x:f>
      </x:c>
      <x:c r="S172" s="83" t="str">
        <x:v>C — Derived</x:v>
      </x:c>
      <x:c r="T172" s="83" t="str">
        <x:v>Energy / 2 h.</x:v>
      </x:c>
      <x:c r="U172" s="83" t="str">
        <x:v>S09 / S01</x:v>
      </x:c>
      <x:c r="V172" s="83" t="str">
        <x:v>DDS Table 16 + harmonisation</x:v>
      </x:c>
      <x:c r="W172" s="120"/>
      <x:c r="X172" s="83" t="str">
        <x:v>C — Derived</x:v>
      </x:c>
      <x:c r="Y172" s="83" t="str">
        <x:v>Proposed</x:v>
      </x:c>
      <x:c r="Z172" s="83" t="str">
        <x:v>Ready after user approval</x:v>
      </x:c>
      <x:c r="AA172" s="83"/>
    </x:row>
    <x:row r="173">
      <x:c r="A173" s="83" t="str">
        <x:v>S4-00169</x:v>
      </x:c>
      <x:c r="B173" s="83" t="str">
        <x:v>IT2040_ALT_GAIT</x:v>
      </x:c>
      <x:c r="C173" s="83" t="n">
        <x:v>2040</x:v>
      </x:c>
      <x:c r="D173" s="83" t="str">
        <x:v>Storage</x:v>
      </x:c>
      <x:c r="E173" s="83" t="str">
        <x:v>IT_NORD</x:v>
      </x:c>
      <x:c r="F173" s="83" t="str">
        <x:v>NORD</x:v>
      </x:c>
      <x:c r="G173" s="83" t="str">
        <x:v>Small Scale</x:v>
      </x:c>
      <x:c r="H173" s="83" t="str">
        <x:v>Small-scale 4h</x:v>
      </x:c>
      <x:c r="I173" s="83" t="str">
        <x:v>battery</x:v>
      </x:c>
      <x:c r="J173" s="83" t="str">
        <x:v>Store + Links</x:v>
      </x:c>
      <x:c r="K173" s="83" t="str">
        <x:v>e_nom</x:v>
      </x:c>
      <x:c r="L173" s="279" t="n">
        <x:v>3.533333333333333</x:v>
      </x:c>
      <x:c r="M173" s="279" t="str">
        <x:v>GWh</x:v>
      </x:c>
      <x:c r="N173" s="279" t="n">
        <x:f>IF(L173="","",IF(M173="GW",L173*1000,IF(M173="GWh",L173*1000,IF(M173="TWh",L173*1000000,L173))))</x:f>
        <x:v>3533.333333333333</x:v>
      </x:c>
      <x:c r="O173" s="83" t="str">
        <x:f>IF(L173="","",IF(M173="GW","MW",IF(OR(M173="GWh",M173="TWh"),"MWh",M173)))</x:f>
        <x:v>MWh</x:v>
      </x:c>
      <x:c r="P173" s="83" t="str"/>
      <x:c r="Q173" s="349"/>
      <x:c r="R173" s="349" t="str">
        <x:f>IF(L173="","",IF(Q173&lt;&gt;"",L173*Q173,IF(OR(ISNUMBER(SEARCH("EUR2025",M173&amp;"")),P173=2025,P173="2025"),L173,"")))</x:f>
      </x:c>
      <x:c r="S173" s="83" t="str">
        <x:v>C — Distributed assumption</x:v>
      </x:c>
      <x:c r="T173" s="83" t="str">
        <x:v>Split direct zonal energy 67%/33% between 2h/4h classes; p_nom=e_nom/4.</x:v>
      </x:c>
      <x:c r="U173" s="83" t="str">
        <x:v>S09 / S01</x:v>
      </x:c>
      <x:c r="V173" s="83" t="str">
        <x:v>DDS Table 16; 2025 observed portfolio duration</x:v>
      </x:c>
      <x:c r="W173" s="120"/>
      <x:c r="X173" s="83" t="str">
        <x:v>C — Assumed split</x:v>
      </x:c>
      <x:c r="Y173" s="83" t="str">
        <x:v>Proposed</x:v>
      </x:c>
      <x:c r="Z173" s="83" t="str">
        <x:v>Ready after user approval</x:v>
      </x:c>
      <x:c r="AA173" s="83" t="str">
        <x:v>Duration 4h; share derived from observed aggregate duration near 2.4h.</x:v>
      </x:c>
    </x:row>
    <x:row r="174">
      <x:c r="A174" s="83" t="str">
        <x:v>S4-00170</x:v>
      </x:c>
      <x:c r="B174" s="83" t="str">
        <x:v>IT2040_ALT_GAIT</x:v>
      </x:c>
      <x:c r="C174" s="83" t="n">
        <x:v>2040</x:v>
      </x:c>
      <x:c r="D174" s="83" t="str">
        <x:v>Storage power</x:v>
      </x:c>
      <x:c r="E174" s="83" t="str">
        <x:v>IT_NORD</x:v>
      </x:c>
      <x:c r="F174" s="83" t="str">
        <x:v>NORD</x:v>
      </x:c>
      <x:c r="G174" s="83" t="str">
        <x:v>Small Scale</x:v>
      </x:c>
      <x:c r="H174" s="83" t="str">
        <x:v>Small-scale 4h power</x:v>
      </x:c>
      <x:c r="I174" s="83" t="str">
        <x:v>battery</x:v>
      </x:c>
      <x:c r="J174" s="83" t="str">
        <x:v>Link</x:v>
      </x:c>
      <x:c r="K174" s="83" t="str">
        <x:v>p_nom</x:v>
      </x:c>
      <x:c r="L174" s="279" t="n">
        <x:v>0.8833333333333333</x:v>
      </x:c>
      <x:c r="M174" s="279" t="str">
        <x:v>GW</x:v>
      </x:c>
      <x:c r="N174" s="279" t="n">
        <x:f>IF(L174="","",IF(M174="GW",L174*1000,IF(M174="GWh",L174*1000,IF(M174="TWh",L174*1000000,L174))))</x:f>
        <x:v>883.3333333333333</x:v>
      </x:c>
      <x:c r="O174" s="83" t="str">
        <x:f>IF(L174="","",IF(M174="GW","MW",IF(OR(M174="GWh",M174="TWh"),"MWh",M174)))</x:f>
        <x:v>MW</x:v>
      </x:c>
      <x:c r="P174" s="83" t="str"/>
      <x:c r="Q174" s="349"/>
      <x:c r="R174" s="349" t="str">
        <x:f>IF(L174="","",IF(Q174&lt;&gt;"",L174*Q174,IF(OR(ISNUMBER(SEARCH("EUR2025",M174&amp;"")),P174=2025,P174="2025"),L174,"")))</x:f>
      </x:c>
      <x:c r="S174" s="83" t="str">
        <x:v>C — Derived</x:v>
      </x:c>
      <x:c r="T174" s="83" t="str">
        <x:v>Energy / 4 h.</x:v>
      </x:c>
      <x:c r="U174" s="83" t="str">
        <x:v>S09 / S01</x:v>
      </x:c>
      <x:c r="V174" s="83" t="str">
        <x:v>DDS Table 16 + harmonisation</x:v>
      </x:c>
      <x:c r="W174" s="120"/>
      <x:c r="X174" s="83" t="str">
        <x:v>C — Derived</x:v>
      </x:c>
      <x:c r="Y174" s="83" t="str">
        <x:v>Proposed</x:v>
      </x:c>
      <x:c r="Z174" s="83" t="str">
        <x:v>Ready after user approval</x:v>
      </x:c>
      <x:c r="AA174" s="83"/>
    </x:row>
    <x:row r="175">
      <x:c r="A175" s="83" t="str">
        <x:v>S4-00171</x:v>
      </x:c>
      <x:c r="B175" s="83" t="str">
        <x:v>IT2040_ALT_GAIT</x:v>
      </x:c>
      <x:c r="C175" s="83" t="n">
        <x:v>2040</x:v>
      </x:c>
      <x:c r="D175" s="83" t="str">
        <x:v>Storage</x:v>
      </x:c>
      <x:c r="E175" s="83" t="str">
        <x:v>IT_NORD</x:v>
      </x:c>
      <x:c r="F175" s="83" t="str">
        <x:v>NORD</x:v>
      </x:c>
      <x:c r="G175" s="83" t="str">
        <x:v>Utility Scale incl. MACSE</x:v>
      </x:c>
      <x:c r="H175" s="83" t="str">
        <x:v>Battery utility 8h</x:v>
      </x:c>
      <x:c r="I175" s="83" t="str">
        <x:v>battery</x:v>
      </x:c>
      <x:c r="J175" s="83" t="str">
        <x:v>Store + Links</x:v>
      </x:c>
      <x:c r="K175" s="83" t="str">
        <x:v>e_nom</x:v>
      </x:c>
      <x:c r="L175" s="279" t="n">
        <x:v>0</x:v>
      </x:c>
      <x:c r="M175" s="279" t="str">
        <x:v>GWh</x:v>
      </x:c>
      <x:c r="N175" s="279" t="str">
        <x:f>IF(L175="","",IF(M175="GW",L175*1000,IF(M175="GWh",L175*1000,IF(M175="TWh",L175*1000000,L175))))</x:f>
      </x:c>
      <x:c r="O175" s="83" t="str">
        <x:f>IF(L175="","",IF(M175="GW","MW",IF(OR(M175="GWh",M175="TWh"),"MWh",M175)))</x:f>
      </x:c>
      <x:c r="P175" s="83" t="str"/>
      <x:c r="Q175" s="349"/>
      <x:c r="R175" s="349" t="str">
        <x:f>IF(L175="","",IF(Q175&lt;&gt;"",L175*Q175,IF(OR(ISNUMBER(SEARCH("EUR2025",M175&amp;"")),P175=2025,P175="2025"),L175,"")))</x:f>
      </x:c>
      <x:c r="S175" s="83" t="str">
        <x:v>A/C — Direct total; procurement subset identified</x:v>
      </x:c>
      <x:c r="T175" s="83" t="str">
        <x:v>DDS utility-scale total retained. A 42 GWh MACSE procurement portfolio is identified inside this total and is not added again.</x:v>
      </x:c>
      <x:c r="U175" s="83" t="str">
        <x:v>S09 + TERNA_MACSE_2028 + TERNA_MACSE_2029 + USER_DECISION</x:v>
      </x:c>
      <x:c r="V175" s="83" t="str">
        <x:v>DDS Table 16; 10 GWh MACSE 2028; 16 GWh 2029; 32 GWh available across the next two auctions</x:v>
      </x:c>
      <x:c r="W175" s="120" t="str">
        <x:v>https://www.terna.it/it/media/comunicati-stampa/dettaglio/conclusa-prima-asta-macse; https://download.terna.it/terna/Fabbisogno_di_nuova_capacita_di_stoccaggio_al_2029_8debcba830a85f3.pdf</x:v>
      </x:c>
      <x:c r="X175" s="83" t="str">
        <x:v>B/C — 26 GWh official; final 16 GWh planning tranche revisable</x:v>
      </x:c>
      <x:c r="Y175" s="83" t="str">
        <x:v>APPROVED total with MACSE subset</x:v>
      </x:c>
      <x:c r="Z175" s="83" t="str">
        <x:v>Ready when profiles/base network are available</x:v>
      </x:c>
      <x:c r="AA175" s="83" t="str">
        <x:v>MACSE path: 10 + 16 + 16 = 42 GWh. The final 16 GWh is an explicit scenario assumption based on Terna's 32 GWh quantity for the next two auctions.</x:v>
      </x:c>
    </x:row>
    <x:row r="176">
      <x:c r="A176" s="83" t="str">
        <x:v>S4-00172</x:v>
      </x:c>
      <x:c r="B176" s="83" t="str">
        <x:v>IT2040_ALT_GAIT</x:v>
      </x:c>
      <x:c r="C176" s="83" t="n">
        <x:v>2040</x:v>
      </x:c>
      <x:c r="D176" s="83" t="str">
        <x:v>Storage power</x:v>
      </x:c>
      <x:c r="E176" s="83" t="str">
        <x:v>IT_NORD</x:v>
      </x:c>
      <x:c r="F176" s="83" t="str">
        <x:v>NORD</x:v>
      </x:c>
      <x:c r="G176" s="83" t="str">
        <x:v>Utility Scale incl. MACSE</x:v>
      </x:c>
      <x:c r="H176" s="83" t="str">
        <x:v>Battery utility 8h power</x:v>
      </x:c>
      <x:c r="I176" s="83" t="str">
        <x:v>battery</x:v>
      </x:c>
      <x:c r="J176" s="83" t="str">
        <x:v>Link</x:v>
      </x:c>
      <x:c r="K176" s="83" t="str">
        <x:v>p_nom</x:v>
      </x:c>
      <x:c r="L176" s="279" t="n">
        <x:v>0</x:v>
      </x:c>
      <x:c r="M176" s="279" t="str">
        <x:v>GW</x:v>
      </x:c>
      <x:c r="N176" s="279" t="str">
        <x:f>IF(L176="","",IF(M176="GW",L176*1000,IF(M176="GWh",L176*1000,IF(M176="TWh",L176*1000000,L176))))</x:f>
      </x:c>
      <x:c r="O176" s="83" t="str">
        <x:f>IF(L176="","",IF(M176="GW","MW",IF(OR(M176="GWh",M176="TWh"),"MWh",M176)))</x:f>
      </x:c>
      <x:c r="P176" s="83" t="str"/>
      <x:c r="Q176" s="349"/>
      <x:c r="R176" s="349" t="str">
        <x:f>IF(L176="","",IF(Q176&lt;&gt;"",L176*Q176,IF(OR(ISNUMBER(SEARCH("EUR2025",M176&amp;"")),P176=2025,P176="2025"),L176,"")))</x:f>
      </x:c>
      <x:c r="S176" s="83" t="str">
        <x:v>B — Derived</x:v>
      </x:c>
      <x:c r="T176" s="83" t="str">
        <x:v>e_nom / 8h.</x:v>
      </x:c>
      <x:c r="U176" s="83" t="str">
        <x:v>S09 + TERNA_MACSE + USER_DECISION</x:v>
      </x:c>
      <x:c r="V176" s="83" t="str">
        <x:v>Utility-scale 8h duration; MACSE subset 42 GWh / 5.25 GW</x:v>
      </x:c>
      <x:c r="W176" s="120" t="str">
        <x:v>https://www.terna.it/it/media/comunicati-stampa/dettaglio/conclusa-prima-asta-macse; https://download.terna.it/terna/Fabbisogno_di_nuova_capacita_di_stoccaggio_al_2029_8debcba830a85f3.pdf</x:v>
      </x:c>
      <x:c r="X176" s="83" t="str">
        <x:v>B — Derived</x:v>
      </x:c>
      <x:c r="Y176" s="83" t="str">
        <x:v>APPROVED total with MACSE subset</x:v>
      </x:c>
      <x:c r="Z176" s="83" t="str">
        <x:v>Ready when profiles/base network are available</x:v>
      </x:c>
      <x:c r="AA176" s="83" t="str">
        <x:v>The 42 GWh MACSE subset corresponds to 5.25 GW at 8h and remains embedded within total utility-scale power.</x:v>
      </x:c>
    </x:row>
    <x:row r="177">
      <x:c r="A177" s="83" t="str">
        <x:v>S4-00173</x:v>
      </x:c>
      <x:c r="B177" s="83" t="str">
        <x:v>IT2040_ALT_GAIT</x:v>
      </x:c>
      <x:c r="C177" s="83" t="n">
        <x:v>2040</x:v>
      </x:c>
      <x:c r="D177" s="83" t="str">
        <x:v>Storage</x:v>
      </x:c>
      <x:c r="E177" s="83" t="str">
        <x:v>IT_NORD</x:v>
      </x:c>
      <x:c r="F177" s="83" t="str">
        <x:v>NORD</x:v>
      </x:c>
      <x:c r="G177" s="83" t="str">
        <x:v>CM</x:v>
      </x:c>
      <x:c r="H177" s="83" t="str">
        <x:v>Capacity Market battery</x:v>
      </x:c>
      <x:c r="I177" s="83" t="str">
        <x:v>battery</x:v>
      </x:c>
      <x:c r="J177" s="83" t="str">
        <x:v>Store + Links</x:v>
      </x:c>
      <x:c r="K177" s="83" t="str">
        <x:v>e_nom</x:v>
      </x:c>
      <x:c r="L177" s="279" t="n">
        <x:v>3.1</x:v>
      </x:c>
      <x:c r="M177" s="279" t="str">
        <x:v>GWh</x:v>
      </x:c>
      <x:c r="N177" s="279" t="n">
        <x:f>IF(L177="","",IF(M177="GW",L177*1000,IF(M177="GWh",L177*1000,IF(M177="TWh",L177*1000000,L177))))</x:f>
        <x:v>3100</x:v>
      </x:c>
      <x:c r="O177" s="83" t="str">
        <x:f>IF(L177="","",IF(M177="GW","MW",IF(OR(M177="GWh",M177="TWh"),"MWh",M177)))</x:f>
        <x:v>MWh</x:v>
      </x:c>
      <x:c r="P177" s="83" t="str"/>
      <x:c r="Q177" s="349"/>
      <x:c r="R177" s="349" t="str">
        <x:f>IF(L177="","",IF(Q177&lt;&gt;"",L177*Q177,IF(OR(ISNUMBER(SEARCH("EUR2025",M177&amp;"")),P177=2025,P177="2025"),L177,"")))</x:f>
      </x:c>
      <x:c r="S177" s="83" t="str">
        <x:v>A — Direct</x:v>
      </x:c>
      <x:c r="T177" s="83" t="str">
        <x:v>Direct zonal energy; duration harmonised separately.</x:v>
      </x:c>
      <x:c r="U177" s="83" t="str">
        <x:v>S09</x:v>
      </x:c>
      <x:c r="V177" s="83" t="str">
        <x:v>DDS Tabella 16</x:v>
      </x:c>
      <x:c r="W177" s="120"/>
      <x:c r="X177" s="83" t="str">
        <x:v>A — Direct</x:v>
      </x:c>
      <x:c r="Y177" s="83" t="str">
        <x:v>APPROVED direct energy; separate from MACSE</x:v>
      </x:c>
      <x:c r="Z177" s="83" t="str">
        <x:v>Ready when profiles/base network are available</x:v>
      </x:c>
      <x:c r="AA177" s="83" t="str">
        <x:v>Capacity Market energy retained from DDS. It is not the 42 GWh MACSE portfolio.</x:v>
      </x:c>
    </x:row>
    <x:row r="178">
      <x:c r="A178" s="83" t="str">
        <x:v>S4-00174</x:v>
      </x:c>
      <x:c r="B178" s="83" t="str">
        <x:v>IT2040_ALT_GAIT</x:v>
      </x:c>
      <x:c r="C178" s="83" t="n">
        <x:v>2040</x:v>
      </x:c>
      <x:c r="D178" s="83" t="str">
        <x:v>Storage power</x:v>
      </x:c>
      <x:c r="E178" s="83" t="str">
        <x:v>IT_NORD</x:v>
      </x:c>
      <x:c r="F178" s="83" t="str">
        <x:v>NORD</x:v>
      </x:c>
      <x:c r="G178" s="83" t="str">
        <x:v>CM</x:v>
      </x:c>
      <x:c r="H178" s="83" t="str">
        <x:v>Capacity Market battery power</x:v>
      </x:c>
      <x:c r="I178" s="83" t="str">
        <x:v>battery</x:v>
      </x:c>
      <x:c r="J178" s="83" t="str">
        <x:v>Link</x:v>
      </x:c>
      <x:c r="K178" s="83" t="str">
        <x:v>p_nom</x:v>
      </x:c>
      <x:c r="L178" s="279" t="n">
        <x:v>0.775</x:v>
      </x:c>
      <x:c r="M178" s="279" t="str">
        <x:v>GW</x:v>
      </x:c>
      <x:c r="N178" s="279" t="n">
        <x:f>IF(L178="","",IF(M178="GW",L178*1000,IF(M178="GWh",L178*1000,IF(M178="TWh",L178*1000000,L178))))</x:f>
        <x:v>775</x:v>
      </x:c>
      <x:c r="O178" s="83" t="str">
        <x:f>IF(L178="","",IF(M178="GW","MW",IF(OR(M178="GWh",M178="TWh"),"MWh",M178)))</x:f>
        <x:v>MW</x:v>
      </x:c>
      <x:c r="P178" s="83" t="str"/>
      <x:c r="Q178" s="349"/>
      <x:c r="R178" s="349" t="str">
        <x:f>IF(L178="","",IF(Q178&lt;&gt;"",L178*Q178,IF(OR(ISNUMBER(SEARCH("EUR2025",M178&amp;"")),P178=2025,P178="2025"),L178,"")))</x:f>
      </x:c>
      <x:c r="S178" s="83" t="str">
        <x:v>C — Assumed</x:v>
      </x:c>
      <x:c r="T178" s="83" t="str">
        <x:v>Capacity Market energy divided by the approved 4-hour duration.</x:v>
      </x:c>
      <x:c r="U178" s="83" t="str">
        <x:v>S09 + TERNA_RAI2025 + USER_DECISION</x:v>
      </x:c>
      <x:c r="V178" s="83" t="str">
        <x:v>DDS Table 16; Terna RAI 2025 §2.1.4</x:v>
      </x:c>
      <x:c r="W178" s="120" t="str">
        <x:v>https://download.terna.it/terna/Rapporto_Adeguatezza_Italia_2025_8de802607202dd6.pdf</x:v>
      </x:c>
      <x:c r="X178" s="83" t="str">
        <x:v>C — Assumed</x:v>
      </x:c>
      <x:c r="Y178" s="83" t="str">
        <x:v>APPROVED 4h derivation</x:v>
      </x:c>
      <x:c r="Z178" s="83" t="str">
        <x:v>Ready after user approval</x:v>
      </x:c>
      <x:c r="AA178" s="83" t="str">
        <x:v>Capacity Market remains a separate 4h class; no MACSE reclassification.</x:v>
      </x:c>
    </x:row>
    <x:row r="179">
      <x:c r="A179" s="83" t="str">
        <x:v>S4-00175</x:v>
      </x:c>
      <x:c r="B179" s="83" t="str">
        <x:v>IT2040_ALT_GAIT</x:v>
      </x:c>
      <x:c r="C179" s="83" t="n">
        <x:v>2040</x:v>
      </x:c>
      <x:c r="D179" s="83" t="str">
        <x:v>Storage</x:v>
      </x:c>
      <x:c r="E179" s="83" t="str">
        <x:v>IT_CNOR</x:v>
      </x:c>
      <x:c r="F179" s="83" t="str">
        <x:v>CNOR</x:v>
      </x:c>
      <x:c r="G179" s="83" t="str">
        <x:v>Small Scale</x:v>
      </x:c>
      <x:c r="H179" s="83" t="str">
        <x:v>Small-scale 2h</x:v>
      </x:c>
      <x:c r="I179" s="83" t="str">
        <x:v>battery</x:v>
      </x:c>
      <x:c r="J179" s="83" t="str">
        <x:v>Store + Links</x:v>
      </x:c>
      <x:c r="K179" s="83" t="str">
        <x:v>e_nom</x:v>
      </x:c>
      <x:c r="L179" s="279" t="n">
        <x:v>1.2</x:v>
      </x:c>
      <x:c r="M179" s="279" t="str">
        <x:v>GWh</x:v>
      </x:c>
      <x:c r="N179" s="279" t="n">
        <x:f>IF(L179="","",IF(M179="GW",L179*1000,IF(M179="GWh",L179*1000,IF(M179="TWh",L179*1000000,L179))))</x:f>
        <x:v>1200</x:v>
      </x:c>
      <x:c r="O179" s="83" t="str">
        <x:f>IF(L179="","",IF(M179="GW","MW",IF(OR(M179="GWh",M179="TWh"),"MWh",M179)))</x:f>
        <x:v>MWh</x:v>
      </x:c>
      <x:c r="P179" s="83" t="str"/>
      <x:c r="Q179" s="349"/>
      <x:c r="R179" s="349" t="str">
        <x:f>IF(L179="","",IF(Q179&lt;&gt;"",L179*Q179,IF(OR(ISNUMBER(SEARCH("EUR2025",M179&amp;"")),P179=2025,P179="2025"),L179,"")))</x:f>
      </x:c>
      <x:c r="S179" s="83" t="str">
        <x:v>C — Distributed assumption</x:v>
      </x:c>
      <x:c r="T179" s="83" t="str">
        <x:v>Split direct zonal energy 67%/33% between 2h/4h classes; p_nom=e_nom/2.</x:v>
      </x:c>
      <x:c r="U179" s="83" t="str">
        <x:v>S09 / S01</x:v>
      </x:c>
      <x:c r="V179" s="83" t="str">
        <x:v>DDS Table 16; 2025 observed portfolio duration</x:v>
      </x:c>
      <x:c r="W179" s="120"/>
      <x:c r="X179" s="83" t="str">
        <x:v>C — Assumed split</x:v>
      </x:c>
      <x:c r="Y179" s="83" t="str">
        <x:v>Proposed</x:v>
      </x:c>
      <x:c r="Z179" s="83" t="str">
        <x:v>Ready after user approval</x:v>
      </x:c>
      <x:c r="AA179" s="83" t="str">
        <x:v>Duration 2h; share derived from observed aggregate duration near 2.4h.</x:v>
      </x:c>
    </x:row>
    <x:row r="180">
      <x:c r="A180" s="83" t="str">
        <x:v>S4-00176</x:v>
      </x:c>
      <x:c r="B180" s="83" t="str">
        <x:v>IT2040_ALT_GAIT</x:v>
      </x:c>
      <x:c r="C180" s="83" t="n">
        <x:v>2040</x:v>
      </x:c>
      <x:c r="D180" s="83" t="str">
        <x:v>Storage power</x:v>
      </x:c>
      <x:c r="E180" s="83" t="str">
        <x:v>IT_CNOR</x:v>
      </x:c>
      <x:c r="F180" s="83" t="str">
        <x:v>CNOR</x:v>
      </x:c>
      <x:c r="G180" s="83" t="str">
        <x:v>Small Scale</x:v>
      </x:c>
      <x:c r="H180" s="83" t="str">
        <x:v>Small-scale 2h power</x:v>
      </x:c>
      <x:c r="I180" s="83" t="str">
        <x:v>battery</x:v>
      </x:c>
      <x:c r="J180" s="83" t="str">
        <x:v>Link</x:v>
      </x:c>
      <x:c r="K180" s="83" t="str">
        <x:v>p_nom</x:v>
      </x:c>
      <x:c r="L180" s="279" t="n">
        <x:v>0.6</x:v>
      </x:c>
      <x:c r="M180" s="279" t="str">
        <x:v>GW</x:v>
      </x:c>
      <x:c r="N180" s="279" t="n">
        <x:f>IF(L180="","",IF(M180="GW",L180*1000,IF(M180="GWh",L180*1000,IF(M180="TWh",L180*1000000,L180))))</x:f>
        <x:v>600</x:v>
      </x:c>
      <x:c r="O180" s="83" t="str">
        <x:f>IF(L180="","",IF(M180="GW","MW",IF(OR(M180="GWh",M180="TWh"),"MWh",M180)))</x:f>
        <x:v>MW</x:v>
      </x:c>
      <x:c r="P180" s="83" t="str"/>
      <x:c r="Q180" s="349"/>
      <x:c r="R180" s="349" t="str">
        <x:f>IF(L180="","",IF(Q180&lt;&gt;"",L180*Q180,IF(OR(ISNUMBER(SEARCH("EUR2025",M180&amp;"")),P180=2025,P180="2025"),L180,"")))</x:f>
      </x:c>
      <x:c r="S180" s="83" t="str">
        <x:v>C — Derived</x:v>
      </x:c>
      <x:c r="T180" s="83" t="str">
        <x:v>Energy / 2 h.</x:v>
      </x:c>
      <x:c r="U180" s="83" t="str">
        <x:v>S09 / S01</x:v>
      </x:c>
      <x:c r="V180" s="83" t="str">
        <x:v>DDS Table 16 + harmonisation</x:v>
      </x:c>
      <x:c r="W180" s="120"/>
      <x:c r="X180" s="83" t="str">
        <x:v>C — Derived</x:v>
      </x:c>
      <x:c r="Y180" s="83" t="str">
        <x:v>Proposed</x:v>
      </x:c>
      <x:c r="Z180" s="83" t="str">
        <x:v>Ready after user approval</x:v>
      </x:c>
      <x:c r="AA180" s="83"/>
    </x:row>
    <x:row r="181">
      <x:c r="A181" s="83" t="str">
        <x:v>S4-00177</x:v>
      </x:c>
      <x:c r="B181" s="83" t="str">
        <x:v>IT2040_ALT_GAIT</x:v>
      </x:c>
      <x:c r="C181" s="83" t="n">
        <x:v>2040</x:v>
      </x:c>
      <x:c r="D181" s="83" t="str">
        <x:v>Storage</x:v>
      </x:c>
      <x:c r="E181" s="83" t="str">
        <x:v>IT_CNOR</x:v>
      </x:c>
      <x:c r="F181" s="83" t="str">
        <x:v>CNOR</x:v>
      </x:c>
      <x:c r="G181" s="83" t="str">
        <x:v>Small Scale</x:v>
      </x:c>
      <x:c r="H181" s="83" t="str">
        <x:v>Small-scale 4h</x:v>
      </x:c>
      <x:c r="I181" s="83" t="str">
        <x:v>battery</x:v>
      </x:c>
      <x:c r="J181" s="83" t="str">
        <x:v>Store + Links</x:v>
      </x:c>
      <x:c r="K181" s="83" t="str">
        <x:v>e_nom</x:v>
      </x:c>
      <x:c r="L181" s="279" t="n">
        <x:v>0.6</x:v>
      </x:c>
      <x:c r="M181" s="279" t="str">
        <x:v>GWh</x:v>
      </x:c>
      <x:c r="N181" s="279" t="n">
        <x:f>IF(L181="","",IF(M181="GW",L181*1000,IF(M181="GWh",L181*1000,IF(M181="TWh",L181*1000000,L181))))</x:f>
        <x:v>600</x:v>
      </x:c>
      <x:c r="O181" s="83" t="str">
        <x:f>IF(L181="","",IF(M181="GW","MW",IF(OR(M181="GWh",M181="TWh"),"MWh",M181)))</x:f>
        <x:v>MWh</x:v>
      </x:c>
      <x:c r="P181" s="83" t="str"/>
      <x:c r="Q181" s="349"/>
      <x:c r="R181" s="349" t="str">
        <x:f>IF(L181="","",IF(Q181&lt;&gt;"",L181*Q181,IF(OR(ISNUMBER(SEARCH("EUR2025",M181&amp;"")),P181=2025,P181="2025"),L181,"")))</x:f>
      </x:c>
      <x:c r="S181" s="83" t="str">
        <x:v>C — Distributed assumption</x:v>
      </x:c>
      <x:c r="T181" s="83" t="str">
        <x:v>Split direct zonal energy 67%/33% between 2h/4h classes; p_nom=e_nom/4.</x:v>
      </x:c>
      <x:c r="U181" s="83" t="str">
        <x:v>S09 / S01</x:v>
      </x:c>
      <x:c r="V181" s="83" t="str">
        <x:v>DDS Table 16; 2025 observed portfolio duration</x:v>
      </x:c>
      <x:c r="W181" s="120"/>
      <x:c r="X181" s="83" t="str">
        <x:v>C — Assumed split</x:v>
      </x:c>
      <x:c r="Y181" s="83" t="str">
        <x:v>Proposed</x:v>
      </x:c>
      <x:c r="Z181" s="83" t="str">
        <x:v>Ready after user approval</x:v>
      </x:c>
      <x:c r="AA181" s="83" t="str">
        <x:v>Duration 4h; share derived from observed aggregate duration near 2.4h.</x:v>
      </x:c>
    </x:row>
    <x:row r="182">
      <x:c r="A182" s="83" t="str">
        <x:v>S4-00178</x:v>
      </x:c>
      <x:c r="B182" s="83" t="str">
        <x:v>IT2040_ALT_GAIT</x:v>
      </x:c>
      <x:c r="C182" s="83" t="n">
        <x:v>2040</x:v>
      </x:c>
      <x:c r="D182" s="83" t="str">
        <x:v>Storage power</x:v>
      </x:c>
      <x:c r="E182" s="83" t="str">
        <x:v>IT_CNOR</x:v>
      </x:c>
      <x:c r="F182" s="83" t="str">
        <x:v>CNOR</x:v>
      </x:c>
      <x:c r="G182" s="83" t="str">
        <x:v>Small Scale</x:v>
      </x:c>
      <x:c r="H182" s="83" t="str">
        <x:v>Small-scale 4h power</x:v>
      </x:c>
      <x:c r="I182" s="83" t="str">
        <x:v>battery</x:v>
      </x:c>
      <x:c r="J182" s="83" t="str">
        <x:v>Link</x:v>
      </x:c>
      <x:c r="K182" s="83" t="str">
        <x:v>p_nom</x:v>
      </x:c>
      <x:c r="L182" s="279" t="n">
        <x:v>0.15</x:v>
      </x:c>
      <x:c r="M182" s="279" t="str">
        <x:v>GW</x:v>
      </x:c>
      <x:c r="N182" s="279" t="n">
        <x:f>IF(L182="","",IF(M182="GW",L182*1000,IF(M182="GWh",L182*1000,IF(M182="TWh",L182*1000000,L182))))</x:f>
        <x:v>150</x:v>
      </x:c>
      <x:c r="O182" s="83" t="str">
        <x:f>IF(L182="","",IF(M182="GW","MW",IF(OR(M182="GWh",M182="TWh"),"MWh",M182)))</x:f>
        <x:v>MW</x:v>
      </x:c>
      <x:c r="P182" s="83" t="str"/>
      <x:c r="Q182" s="349"/>
      <x:c r="R182" s="349" t="str">
        <x:f>IF(L182="","",IF(Q182&lt;&gt;"",L182*Q182,IF(OR(ISNUMBER(SEARCH("EUR2025",M182&amp;"")),P182=2025,P182="2025"),L182,"")))</x:f>
      </x:c>
      <x:c r="S182" s="83" t="str">
        <x:v>C — Derived</x:v>
      </x:c>
      <x:c r="T182" s="83" t="str">
        <x:v>Energy / 4 h.</x:v>
      </x:c>
      <x:c r="U182" s="83" t="str">
        <x:v>S09 / S01</x:v>
      </x:c>
      <x:c r="V182" s="83" t="str">
        <x:v>DDS Table 16 + harmonisation</x:v>
      </x:c>
      <x:c r="W182" s="120"/>
      <x:c r="X182" s="83" t="str">
        <x:v>C — Derived</x:v>
      </x:c>
      <x:c r="Y182" s="83" t="str">
        <x:v>Proposed</x:v>
      </x:c>
      <x:c r="Z182" s="83" t="str">
        <x:v>Ready after user approval</x:v>
      </x:c>
      <x:c r="AA182" s="83"/>
    </x:row>
    <x:row r="183">
      <x:c r="A183" s="83" t="str">
        <x:v>S4-00179</x:v>
      </x:c>
      <x:c r="B183" s="83" t="str">
        <x:v>IT2040_ALT_GAIT</x:v>
      </x:c>
      <x:c r="C183" s="83" t="n">
        <x:v>2040</x:v>
      </x:c>
      <x:c r="D183" s="83" t="str">
        <x:v>Storage</x:v>
      </x:c>
      <x:c r="E183" s="83" t="str">
        <x:v>IT_CNOR</x:v>
      </x:c>
      <x:c r="F183" s="83" t="str">
        <x:v>CNOR</x:v>
      </x:c>
      <x:c r="G183" s="83" t="str">
        <x:v>Utility Scale incl. MACSE</x:v>
      </x:c>
      <x:c r="H183" s="83" t="str">
        <x:v>Battery utility 8h</x:v>
      </x:c>
      <x:c r="I183" s="83" t="str">
        <x:v>battery</x:v>
      </x:c>
      <x:c r="J183" s="83" t="str">
        <x:v>Store + Links</x:v>
      </x:c>
      <x:c r="K183" s="83" t="str">
        <x:v>e_nom</x:v>
      </x:c>
      <x:c r="L183" s="279" t="n">
        <x:v>3.5</x:v>
      </x:c>
      <x:c r="M183" s="279" t="str">
        <x:v>GWh</x:v>
      </x:c>
      <x:c r="N183" s="279" t="n">
        <x:f>IF(L183="","",IF(M183="GW",L183*1000,IF(M183="GWh",L183*1000,IF(M183="TWh",L183*1000000,L183))))</x:f>
        <x:v>3500</x:v>
      </x:c>
      <x:c r="O183" s="83" t="str">
        <x:f>IF(L183="","",IF(M183="GW","MW",IF(OR(M183="GWh",M183="TWh"),"MWh",M183)))</x:f>
        <x:v>MWh</x:v>
      </x:c>
      <x:c r="P183" s="83" t="str"/>
      <x:c r="Q183" s="349"/>
      <x:c r="R183" s="349" t="str">
        <x:f>IF(L183="","",IF(Q183&lt;&gt;"",L183*Q183,IF(OR(ISNUMBER(SEARCH("EUR2025",M183&amp;"")),P183=2025,P183="2025"),L183,"")))</x:f>
      </x:c>
      <x:c r="S183" s="83" t="str">
        <x:v>A/C — Direct total; procurement subset identified</x:v>
      </x:c>
      <x:c r="T183" s="83" t="str">
        <x:v>DDS utility-scale total retained. A 42 GWh MACSE procurement portfolio is identified inside this total and is not added again.</x:v>
      </x:c>
      <x:c r="U183" s="83" t="str">
        <x:v>S09 + TERNA_MACSE_2028 + TERNA_MACSE_2029 + USER_DECISION</x:v>
      </x:c>
      <x:c r="V183" s="83" t="str">
        <x:v>DDS Table 16; 10 GWh MACSE 2028; 16 GWh 2029; 32 GWh available across the next two auctions</x:v>
      </x:c>
      <x:c r="W183" s="120" t="str">
        <x:v>https://www.terna.it/it/media/comunicati-stampa/dettaglio/conclusa-prima-asta-macse; https://download.terna.it/terna/Fabbisogno_di_nuova_capacita_di_stoccaggio_al_2029_8debcba830a85f3.pdf</x:v>
      </x:c>
      <x:c r="X183" s="83" t="str">
        <x:v>B/C — 26 GWh official; final 16 GWh planning tranche revisable</x:v>
      </x:c>
      <x:c r="Y183" s="83" t="str">
        <x:v>APPROVED total with MACSE subset</x:v>
      </x:c>
      <x:c r="Z183" s="83" t="str">
        <x:v>Ready when profiles/base network are available</x:v>
      </x:c>
      <x:c r="AA183" s="83" t="str">
        <x:v>MACSE path: 10 + 16 + 16 = 42 GWh. The final 16 GWh is an explicit scenario assumption based on Terna's 32 GWh quantity for the next two auctions.</x:v>
      </x:c>
    </x:row>
    <x:row r="184">
      <x:c r="A184" s="83" t="str">
        <x:v>S4-00180</x:v>
      </x:c>
      <x:c r="B184" s="83" t="str">
        <x:v>IT2040_ALT_GAIT</x:v>
      </x:c>
      <x:c r="C184" s="83" t="n">
        <x:v>2040</x:v>
      </x:c>
      <x:c r="D184" s="83" t="str">
        <x:v>Storage power</x:v>
      </x:c>
      <x:c r="E184" s="83" t="str">
        <x:v>IT_CNOR</x:v>
      </x:c>
      <x:c r="F184" s="83" t="str">
        <x:v>CNOR</x:v>
      </x:c>
      <x:c r="G184" s="83" t="str">
        <x:v>Utility Scale incl. MACSE</x:v>
      </x:c>
      <x:c r="H184" s="83" t="str">
        <x:v>Battery utility 8h power</x:v>
      </x:c>
      <x:c r="I184" s="83" t="str">
        <x:v>battery</x:v>
      </x:c>
      <x:c r="J184" s="83" t="str">
        <x:v>Link</x:v>
      </x:c>
      <x:c r="K184" s="83" t="str">
        <x:v>p_nom</x:v>
      </x:c>
      <x:c r="L184" s="279" t="n">
        <x:v>0.4375</x:v>
      </x:c>
      <x:c r="M184" s="279" t="str">
        <x:v>GW</x:v>
      </x:c>
      <x:c r="N184" s="279" t="n">
        <x:f>IF(L184="","",IF(M184="GW",L184*1000,IF(M184="GWh",L184*1000,IF(M184="TWh",L184*1000000,L184))))</x:f>
        <x:v>437.5</x:v>
      </x:c>
      <x:c r="O184" s="83" t="str">
        <x:f>IF(L184="","",IF(M184="GW","MW",IF(OR(M184="GWh",M184="TWh"),"MWh",M184)))</x:f>
        <x:v>MW</x:v>
      </x:c>
      <x:c r="P184" s="83" t="str"/>
      <x:c r="Q184" s="349"/>
      <x:c r="R184" s="349" t="str">
        <x:f>IF(L184="","",IF(Q184&lt;&gt;"",L184*Q184,IF(OR(ISNUMBER(SEARCH("EUR2025",M184&amp;"")),P184=2025,P184="2025"),L184,"")))</x:f>
      </x:c>
      <x:c r="S184" s="83" t="str">
        <x:v>B — Derived</x:v>
      </x:c>
      <x:c r="T184" s="83" t="str">
        <x:v>e_nom / 8h.</x:v>
      </x:c>
      <x:c r="U184" s="83" t="str">
        <x:v>S09 + TERNA_MACSE + USER_DECISION</x:v>
      </x:c>
      <x:c r="V184" s="83" t="str">
        <x:v>Utility-scale 8h duration; MACSE subset 42 GWh / 5.25 GW</x:v>
      </x:c>
      <x:c r="W184" s="120" t="str">
        <x:v>https://www.terna.it/it/media/comunicati-stampa/dettaglio/conclusa-prima-asta-macse; https://download.terna.it/terna/Fabbisogno_di_nuova_capacita_di_stoccaggio_al_2029_8debcba830a85f3.pdf</x:v>
      </x:c>
      <x:c r="X184" s="83" t="str">
        <x:v>B — Derived</x:v>
      </x:c>
      <x:c r="Y184" s="83" t="str">
        <x:v>APPROVED total with MACSE subset</x:v>
      </x:c>
      <x:c r="Z184" s="83" t="str">
        <x:v>Ready when profiles/base network are available</x:v>
      </x:c>
      <x:c r="AA184" s="83" t="str">
        <x:v>The 42 GWh MACSE subset corresponds to 5.25 GW at 8h and remains embedded within total utility-scale power.</x:v>
      </x:c>
    </x:row>
    <x:row r="185">
      <x:c r="A185" s="83" t="str">
        <x:v>S4-00181</x:v>
      </x:c>
      <x:c r="B185" s="83" t="str">
        <x:v>IT2040_ALT_GAIT</x:v>
      </x:c>
      <x:c r="C185" s="83" t="n">
        <x:v>2040</x:v>
      </x:c>
      <x:c r="D185" s="83" t="str">
        <x:v>Storage</x:v>
      </x:c>
      <x:c r="E185" s="83" t="str">
        <x:v>IT_CNOR</x:v>
      </x:c>
      <x:c r="F185" s="83" t="str">
        <x:v>CNOR</x:v>
      </x:c>
      <x:c r="G185" s="83" t="str">
        <x:v>CM</x:v>
      </x:c>
      <x:c r="H185" s="83" t="str">
        <x:v>Capacity Market battery</x:v>
      </x:c>
      <x:c r="I185" s="83" t="str">
        <x:v>battery</x:v>
      </x:c>
      <x:c r="J185" s="83" t="str">
        <x:v>Store + Links</x:v>
      </x:c>
      <x:c r="K185" s="83" t="str">
        <x:v>e_nom</x:v>
      </x:c>
      <x:c r="L185" s="279" t="n">
        <x:v>0.1</x:v>
      </x:c>
      <x:c r="M185" s="279" t="str">
        <x:v>GWh</x:v>
      </x:c>
      <x:c r="N185" s="279" t="n">
        <x:f>IF(L185="","",IF(M185="GW",L185*1000,IF(M185="GWh",L185*1000,IF(M185="TWh",L185*1000000,L185))))</x:f>
        <x:v>100</x:v>
      </x:c>
      <x:c r="O185" s="83" t="str">
        <x:f>IF(L185="","",IF(M185="GW","MW",IF(OR(M185="GWh",M185="TWh"),"MWh",M185)))</x:f>
        <x:v>MWh</x:v>
      </x:c>
      <x:c r="P185" s="83" t="str"/>
      <x:c r="Q185" s="349"/>
      <x:c r="R185" s="349" t="str">
        <x:f>IF(L185="","",IF(Q185&lt;&gt;"",L185*Q185,IF(OR(ISNUMBER(SEARCH("EUR2025",M185&amp;"")),P185=2025,P185="2025"),L185,"")))</x:f>
      </x:c>
      <x:c r="S185" s="83" t="str">
        <x:v>A — Direct</x:v>
      </x:c>
      <x:c r="T185" s="83" t="str">
        <x:v>Direct zonal energy; duration harmonised separately.</x:v>
      </x:c>
      <x:c r="U185" s="83" t="str">
        <x:v>S09</x:v>
      </x:c>
      <x:c r="V185" s="83" t="str">
        <x:v>DDS Tabella 16</x:v>
      </x:c>
      <x:c r="W185" s="120"/>
      <x:c r="X185" s="83" t="str">
        <x:v>A — Direct</x:v>
      </x:c>
      <x:c r="Y185" s="83" t="str">
        <x:v>APPROVED direct energy; separate from MACSE</x:v>
      </x:c>
      <x:c r="Z185" s="83" t="str">
        <x:v>Ready when profiles/base network are available</x:v>
      </x:c>
      <x:c r="AA185" s="83" t="str">
        <x:v>Capacity Market energy retained from DDS. It is not the 42 GWh MACSE portfolio.</x:v>
      </x:c>
    </x:row>
    <x:row r="186">
      <x:c r="A186" s="83" t="str">
        <x:v>S4-00182</x:v>
      </x:c>
      <x:c r="B186" s="83" t="str">
        <x:v>IT2040_ALT_GAIT</x:v>
      </x:c>
      <x:c r="C186" s="83" t="n">
        <x:v>2040</x:v>
      </x:c>
      <x:c r="D186" s="83" t="str">
        <x:v>Storage power</x:v>
      </x:c>
      <x:c r="E186" s="83" t="str">
        <x:v>IT_CNOR</x:v>
      </x:c>
      <x:c r="F186" s="83" t="str">
        <x:v>CNOR</x:v>
      </x:c>
      <x:c r="G186" s="83" t="str">
        <x:v>CM</x:v>
      </x:c>
      <x:c r="H186" s="83" t="str">
        <x:v>Capacity Market battery power</x:v>
      </x:c>
      <x:c r="I186" s="83" t="str">
        <x:v>battery</x:v>
      </x:c>
      <x:c r="J186" s="83" t="str">
        <x:v>Link</x:v>
      </x:c>
      <x:c r="K186" s="83" t="str">
        <x:v>p_nom</x:v>
      </x:c>
      <x:c r="L186" s="279" t="n">
        <x:v>0.025</x:v>
      </x:c>
      <x:c r="M186" s="279" t="str">
        <x:v>GW</x:v>
      </x:c>
      <x:c r="N186" s="279" t="n">
        <x:f>IF(L186="","",IF(M186="GW",L186*1000,IF(M186="GWh",L186*1000,IF(M186="TWh",L186*1000000,L186))))</x:f>
        <x:v>25</x:v>
      </x:c>
      <x:c r="O186" s="83" t="str">
        <x:f>IF(L186="","",IF(M186="GW","MW",IF(OR(M186="GWh",M186="TWh"),"MWh",M186)))</x:f>
        <x:v>MW</x:v>
      </x:c>
      <x:c r="P186" s="83" t="str"/>
      <x:c r="Q186" s="349"/>
      <x:c r="R186" s="349" t="str">
        <x:f>IF(L186="","",IF(Q186&lt;&gt;"",L186*Q186,IF(OR(ISNUMBER(SEARCH("EUR2025",M186&amp;"")),P186=2025,P186="2025"),L186,"")))</x:f>
      </x:c>
      <x:c r="S186" s="83" t="str">
        <x:v>C — Assumed</x:v>
      </x:c>
      <x:c r="T186" s="83" t="str">
        <x:v>Capacity Market energy divided by the approved 4-hour duration.</x:v>
      </x:c>
      <x:c r="U186" s="83" t="str">
        <x:v>S09 + TERNA_RAI2025 + USER_DECISION</x:v>
      </x:c>
      <x:c r="V186" s="83" t="str">
        <x:v>DDS Table 16; Terna RAI 2025 §2.1.4</x:v>
      </x:c>
      <x:c r="W186" s="120" t="str">
        <x:v>https://download.terna.it/terna/Rapporto_Adeguatezza_Italia_2025_8de802607202dd6.pdf</x:v>
      </x:c>
      <x:c r="X186" s="83" t="str">
        <x:v>C — Assumed</x:v>
      </x:c>
      <x:c r="Y186" s="83" t="str">
        <x:v>APPROVED 4h derivation</x:v>
      </x:c>
      <x:c r="Z186" s="83" t="str">
        <x:v>Ready after user approval</x:v>
      </x:c>
      <x:c r="AA186" s="83" t="str">
        <x:v>Capacity Market remains a separate 4h class; no MACSE reclassification.</x:v>
      </x:c>
    </x:row>
    <x:row r="187">
      <x:c r="A187" s="83" t="str">
        <x:v>S4-00183</x:v>
      </x:c>
      <x:c r="B187" s="83" t="str">
        <x:v>IT2040_ALT_GAIT</x:v>
      </x:c>
      <x:c r="C187" s="83" t="n">
        <x:v>2040</x:v>
      </x:c>
      <x:c r="D187" s="83" t="str">
        <x:v>Storage</x:v>
      </x:c>
      <x:c r="E187" s="83" t="str">
        <x:v>IT_CSUD</x:v>
      </x:c>
      <x:c r="F187" s="83" t="str">
        <x:v>CSUD</x:v>
      </x:c>
      <x:c r="G187" s="83" t="str">
        <x:v>Small Scale</x:v>
      </x:c>
      <x:c r="H187" s="83" t="str">
        <x:v>Small-scale 2h</x:v>
      </x:c>
      <x:c r="I187" s="83" t="str">
        <x:v>battery</x:v>
      </x:c>
      <x:c r="J187" s="83" t="str">
        <x:v>Store + Links</x:v>
      </x:c>
      <x:c r="K187" s="83" t="str">
        <x:v>e_nom</x:v>
      </x:c>
      <x:c r="L187" s="279" t="n">
        <x:v>1.9333333333333331</x:v>
      </x:c>
      <x:c r="M187" s="279" t="str">
        <x:v>GWh</x:v>
      </x:c>
      <x:c r="N187" s="279" t="n">
        <x:f>IF(L187="","",IF(M187="GW",L187*1000,IF(M187="GWh",L187*1000,IF(M187="TWh",L187*1000000,L187))))</x:f>
        <x:v>1933.333333333333</x:v>
      </x:c>
      <x:c r="O187" s="83" t="str">
        <x:f>IF(L187="","",IF(M187="GW","MW",IF(OR(M187="GWh",M187="TWh"),"MWh",M187)))</x:f>
        <x:v>MWh</x:v>
      </x:c>
      <x:c r="P187" s="83" t="str"/>
      <x:c r="Q187" s="349"/>
      <x:c r="R187" s="349" t="str">
        <x:f>IF(L187="","",IF(Q187&lt;&gt;"",L187*Q187,IF(OR(ISNUMBER(SEARCH("EUR2025",M187&amp;"")),P187=2025,P187="2025"),L187,"")))</x:f>
      </x:c>
      <x:c r="S187" s="83" t="str">
        <x:v>C — Distributed assumption</x:v>
      </x:c>
      <x:c r="T187" s="83" t="str">
        <x:v>Split direct zonal energy 67%/33% between 2h/4h classes; p_nom=e_nom/2.</x:v>
      </x:c>
      <x:c r="U187" s="83" t="str">
        <x:v>S09 / S01</x:v>
      </x:c>
      <x:c r="V187" s="83" t="str">
        <x:v>DDS Table 16; 2025 observed portfolio duration</x:v>
      </x:c>
      <x:c r="W187" s="120"/>
      <x:c r="X187" s="83" t="str">
        <x:v>C — Assumed split</x:v>
      </x:c>
      <x:c r="Y187" s="83" t="str">
        <x:v>Proposed</x:v>
      </x:c>
      <x:c r="Z187" s="83" t="str">
        <x:v>Ready after user approval</x:v>
      </x:c>
      <x:c r="AA187" s="83" t="str">
        <x:v>Duration 2h; share derived from observed aggregate duration near 2.4h.</x:v>
      </x:c>
    </x:row>
    <x:row r="188">
      <x:c r="A188" s="83" t="str">
        <x:v>S4-00184</x:v>
      </x:c>
      <x:c r="B188" s="83" t="str">
        <x:v>IT2040_ALT_GAIT</x:v>
      </x:c>
      <x:c r="C188" s="83" t="n">
        <x:v>2040</x:v>
      </x:c>
      <x:c r="D188" s="83" t="str">
        <x:v>Storage power</x:v>
      </x:c>
      <x:c r="E188" s="83" t="str">
        <x:v>IT_CSUD</x:v>
      </x:c>
      <x:c r="F188" s="83" t="str">
        <x:v>CSUD</x:v>
      </x:c>
      <x:c r="G188" s="83" t="str">
        <x:v>Small Scale</x:v>
      </x:c>
      <x:c r="H188" s="83" t="str">
        <x:v>Small-scale 2h power</x:v>
      </x:c>
      <x:c r="I188" s="83" t="str">
        <x:v>battery</x:v>
      </x:c>
      <x:c r="J188" s="83" t="str">
        <x:v>Link</x:v>
      </x:c>
      <x:c r="K188" s="83" t="str">
        <x:v>p_nom</x:v>
      </x:c>
      <x:c r="L188" s="279" t="n">
        <x:v>0.9666666666666666</x:v>
      </x:c>
      <x:c r="M188" s="279" t="str">
        <x:v>GW</x:v>
      </x:c>
      <x:c r="N188" s="279" t="n">
        <x:f>IF(L188="","",IF(M188="GW",L188*1000,IF(M188="GWh",L188*1000,IF(M188="TWh",L188*1000000,L188))))</x:f>
        <x:v>966.6666666666665</x:v>
      </x:c>
      <x:c r="O188" s="83" t="str">
        <x:f>IF(L188="","",IF(M188="GW","MW",IF(OR(M188="GWh",M188="TWh"),"MWh",M188)))</x:f>
        <x:v>MW</x:v>
      </x:c>
      <x:c r="P188" s="83" t="str"/>
      <x:c r="Q188" s="349"/>
      <x:c r="R188" s="349" t="str">
        <x:f>IF(L188="","",IF(Q188&lt;&gt;"",L188*Q188,IF(OR(ISNUMBER(SEARCH("EUR2025",M188&amp;"")),P188=2025,P188="2025"),L188,"")))</x:f>
      </x:c>
      <x:c r="S188" s="83" t="str">
        <x:v>C — Derived</x:v>
      </x:c>
      <x:c r="T188" s="83" t="str">
        <x:v>Energy / 2 h.</x:v>
      </x:c>
      <x:c r="U188" s="83" t="str">
        <x:v>S09 / S01</x:v>
      </x:c>
      <x:c r="V188" s="83" t="str">
        <x:v>DDS Table 16 + harmonisation</x:v>
      </x:c>
      <x:c r="W188" s="120"/>
      <x:c r="X188" s="83" t="str">
        <x:v>C — Derived</x:v>
      </x:c>
      <x:c r="Y188" s="83" t="str">
        <x:v>Proposed</x:v>
      </x:c>
      <x:c r="Z188" s="83" t="str">
        <x:v>Ready after user approval</x:v>
      </x:c>
      <x:c r="AA188" s="83"/>
    </x:row>
    <x:row r="189">
      <x:c r="A189" s="83" t="str">
        <x:v>S4-00185</x:v>
      </x:c>
      <x:c r="B189" s="83" t="str">
        <x:v>IT2040_ALT_GAIT</x:v>
      </x:c>
      <x:c r="C189" s="83" t="n">
        <x:v>2040</x:v>
      </x:c>
      <x:c r="D189" s="83" t="str">
        <x:v>Storage</x:v>
      </x:c>
      <x:c r="E189" s="83" t="str">
        <x:v>IT_CSUD</x:v>
      </x:c>
      <x:c r="F189" s="83" t="str">
        <x:v>CSUD</x:v>
      </x:c>
      <x:c r="G189" s="83" t="str">
        <x:v>Small Scale</x:v>
      </x:c>
      <x:c r="H189" s="83" t="str">
        <x:v>Small-scale 4h</x:v>
      </x:c>
      <x:c r="I189" s="83" t="str">
        <x:v>battery</x:v>
      </x:c>
      <x:c r="J189" s="83" t="str">
        <x:v>Store + Links</x:v>
      </x:c>
      <x:c r="K189" s="83" t="str">
        <x:v>e_nom</x:v>
      </x:c>
      <x:c r="L189" s="279" t="n">
        <x:v>0.9666666666666666</x:v>
      </x:c>
      <x:c r="M189" s="279" t="str">
        <x:v>GWh</x:v>
      </x:c>
      <x:c r="N189" s="279" t="n">
        <x:f>IF(L189="","",IF(M189="GW",L189*1000,IF(M189="GWh",L189*1000,IF(M189="TWh",L189*1000000,L189))))</x:f>
        <x:v>966.6666666666665</x:v>
      </x:c>
      <x:c r="O189" s="83" t="str">
        <x:f>IF(L189="","",IF(M189="GW","MW",IF(OR(M189="GWh",M189="TWh"),"MWh",M189)))</x:f>
        <x:v>MWh</x:v>
      </x:c>
      <x:c r="P189" s="83" t="str"/>
      <x:c r="Q189" s="349"/>
      <x:c r="R189" s="349" t="str">
        <x:f>IF(L189="","",IF(Q189&lt;&gt;"",L189*Q189,IF(OR(ISNUMBER(SEARCH("EUR2025",M189&amp;"")),P189=2025,P189="2025"),L189,"")))</x:f>
      </x:c>
      <x:c r="S189" s="83" t="str">
        <x:v>C — Distributed assumption</x:v>
      </x:c>
      <x:c r="T189" s="83" t="str">
        <x:v>Split direct zonal energy 67%/33% between 2h/4h classes; p_nom=e_nom/4.</x:v>
      </x:c>
      <x:c r="U189" s="83" t="str">
        <x:v>S09 / S01</x:v>
      </x:c>
      <x:c r="V189" s="83" t="str">
        <x:v>DDS Table 16; 2025 observed portfolio duration</x:v>
      </x:c>
      <x:c r="W189" s="120"/>
      <x:c r="X189" s="83" t="str">
        <x:v>C — Assumed split</x:v>
      </x:c>
      <x:c r="Y189" s="83" t="str">
        <x:v>Proposed</x:v>
      </x:c>
      <x:c r="Z189" s="83" t="str">
        <x:v>Ready after user approval</x:v>
      </x:c>
      <x:c r="AA189" s="83" t="str">
        <x:v>Duration 4h; share derived from observed aggregate duration near 2.4h.</x:v>
      </x:c>
    </x:row>
    <x:row r="190">
      <x:c r="A190" s="83" t="str">
        <x:v>S4-00186</x:v>
      </x:c>
      <x:c r="B190" s="83" t="str">
        <x:v>IT2040_ALT_GAIT</x:v>
      </x:c>
      <x:c r="C190" s="83" t="n">
        <x:v>2040</x:v>
      </x:c>
      <x:c r="D190" s="83" t="str">
        <x:v>Storage power</x:v>
      </x:c>
      <x:c r="E190" s="83" t="str">
        <x:v>IT_CSUD</x:v>
      </x:c>
      <x:c r="F190" s="83" t="str">
        <x:v>CSUD</x:v>
      </x:c>
      <x:c r="G190" s="83" t="str">
        <x:v>Small Scale</x:v>
      </x:c>
      <x:c r="H190" s="83" t="str">
        <x:v>Small-scale 4h power</x:v>
      </x:c>
      <x:c r="I190" s="83" t="str">
        <x:v>battery</x:v>
      </x:c>
      <x:c r="J190" s="83" t="str">
        <x:v>Link</x:v>
      </x:c>
      <x:c r="K190" s="83" t="str">
        <x:v>p_nom</x:v>
      </x:c>
      <x:c r="L190" s="279" t="n">
        <x:v>0.24166666666666664</x:v>
      </x:c>
      <x:c r="M190" s="279" t="str">
        <x:v>GW</x:v>
      </x:c>
      <x:c r="N190" s="279" t="n">
        <x:f>IF(L190="","",IF(M190="GW",L190*1000,IF(M190="GWh",L190*1000,IF(M190="TWh",L190*1000000,L190))))</x:f>
        <x:v>241.66666666666663</x:v>
      </x:c>
      <x:c r="O190" s="83" t="str">
        <x:f>IF(L190="","",IF(M190="GW","MW",IF(OR(M190="GWh",M190="TWh"),"MWh",M190)))</x:f>
        <x:v>MW</x:v>
      </x:c>
      <x:c r="P190" s="83" t="str"/>
      <x:c r="Q190" s="349"/>
      <x:c r="R190" s="349" t="str">
        <x:f>IF(L190="","",IF(Q190&lt;&gt;"",L190*Q190,IF(OR(ISNUMBER(SEARCH("EUR2025",M190&amp;"")),P190=2025,P190="2025"),L190,"")))</x:f>
      </x:c>
      <x:c r="S190" s="83" t="str">
        <x:v>C — Derived</x:v>
      </x:c>
      <x:c r="T190" s="83" t="str">
        <x:v>Energy / 4 h.</x:v>
      </x:c>
      <x:c r="U190" s="83" t="str">
        <x:v>S09 / S01</x:v>
      </x:c>
      <x:c r="V190" s="83" t="str">
        <x:v>DDS Table 16 + harmonisation</x:v>
      </x:c>
      <x:c r="W190" s="120"/>
      <x:c r="X190" s="83" t="str">
        <x:v>C — Derived</x:v>
      </x:c>
      <x:c r="Y190" s="83" t="str">
        <x:v>Proposed</x:v>
      </x:c>
      <x:c r="Z190" s="83" t="str">
        <x:v>Ready after user approval</x:v>
      </x:c>
      <x:c r="AA190" s="83"/>
    </x:row>
    <x:row r="191">
      <x:c r="A191" s="83" t="str">
        <x:v>S4-00187</x:v>
      </x:c>
      <x:c r="B191" s="83" t="str">
        <x:v>IT2040_ALT_GAIT</x:v>
      </x:c>
      <x:c r="C191" s="83" t="n">
        <x:v>2040</x:v>
      </x:c>
      <x:c r="D191" s="83" t="str">
        <x:v>Storage</x:v>
      </x:c>
      <x:c r="E191" s="83" t="str">
        <x:v>IT_CSUD</x:v>
      </x:c>
      <x:c r="F191" s="83" t="str">
        <x:v>CSUD</x:v>
      </x:c>
      <x:c r="G191" s="83" t="str">
        <x:v>Utility Scale incl. MACSE</x:v>
      </x:c>
      <x:c r="H191" s="83" t="str">
        <x:v>Battery utility 8h</x:v>
      </x:c>
      <x:c r="I191" s="83" t="str">
        <x:v>battery</x:v>
      </x:c>
      <x:c r="J191" s="83" t="str">
        <x:v>Store + Links</x:v>
      </x:c>
      <x:c r="K191" s="83" t="str">
        <x:v>e_nom</x:v>
      </x:c>
      <x:c r="L191" s="279" t="n">
        <x:v>19.3</x:v>
      </x:c>
      <x:c r="M191" s="279" t="str">
        <x:v>GWh</x:v>
      </x:c>
      <x:c r="N191" s="279" t="n">
        <x:f>IF(L191="","",IF(M191="GW",L191*1000,IF(M191="GWh",L191*1000,IF(M191="TWh",L191*1000000,L191))))</x:f>
        <x:v>19300</x:v>
      </x:c>
      <x:c r="O191" s="83" t="str">
        <x:f>IF(L191="","",IF(M191="GW","MW",IF(OR(M191="GWh",M191="TWh"),"MWh",M191)))</x:f>
        <x:v>MWh</x:v>
      </x:c>
      <x:c r="P191" s="83" t="str"/>
      <x:c r="Q191" s="349"/>
      <x:c r="R191" s="349" t="str">
        <x:f>IF(L191="","",IF(Q191&lt;&gt;"",L191*Q191,IF(OR(ISNUMBER(SEARCH("EUR2025",M191&amp;"")),P191=2025,P191="2025"),L191,"")))</x:f>
      </x:c>
      <x:c r="S191" s="83" t="str">
        <x:v>A/C — Direct total; procurement subset identified</x:v>
      </x:c>
      <x:c r="T191" s="83" t="str">
        <x:v>DDS utility-scale total retained. A 42 GWh MACSE procurement portfolio is identified inside this total and is not added again.</x:v>
      </x:c>
      <x:c r="U191" s="83" t="str">
        <x:v>S09 + TERNA_MACSE_2028 + TERNA_MACSE_2029 + USER_DECISION</x:v>
      </x:c>
      <x:c r="V191" s="83" t="str">
        <x:v>DDS Table 16; 10 GWh MACSE 2028; 16 GWh 2029; 32 GWh available across the next two auctions</x:v>
      </x:c>
      <x:c r="W191" s="120" t="str">
        <x:v>https://www.terna.it/it/media/comunicati-stampa/dettaglio/conclusa-prima-asta-macse; https://download.terna.it/terna/Fabbisogno_di_nuova_capacita_di_stoccaggio_al_2029_8debcba830a85f3.pdf</x:v>
      </x:c>
      <x:c r="X191" s="83" t="str">
        <x:v>B/C — 26 GWh official; final 16 GWh planning tranche revisable</x:v>
      </x:c>
      <x:c r="Y191" s="83" t="str">
        <x:v>APPROVED total with MACSE subset</x:v>
      </x:c>
      <x:c r="Z191" s="83" t="str">
        <x:v>Ready when profiles/base network are available</x:v>
      </x:c>
      <x:c r="AA191" s="83" t="str">
        <x:v>MACSE path: 10 + 16 + 16 = 42 GWh. The final 16 GWh is an explicit scenario assumption based on Terna's 32 GWh quantity for the next two auctions.</x:v>
      </x:c>
    </x:row>
    <x:row r="192">
      <x:c r="A192" s="83" t="str">
        <x:v>S4-00188</x:v>
      </x:c>
      <x:c r="B192" s="83" t="str">
        <x:v>IT2040_ALT_GAIT</x:v>
      </x:c>
      <x:c r="C192" s="83" t="n">
        <x:v>2040</x:v>
      </x:c>
      <x:c r="D192" s="83" t="str">
        <x:v>Storage power</x:v>
      </x:c>
      <x:c r="E192" s="83" t="str">
        <x:v>IT_CSUD</x:v>
      </x:c>
      <x:c r="F192" s="83" t="str">
        <x:v>CSUD</x:v>
      </x:c>
      <x:c r="G192" s="83" t="str">
        <x:v>Utility Scale incl. MACSE</x:v>
      </x:c>
      <x:c r="H192" s="83" t="str">
        <x:v>Battery utility 8h power</x:v>
      </x:c>
      <x:c r="I192" s="83" t="str">
        <x:v>battery</x:v>
      </x:c>
      <x:c r="J192" s="83" t="str">
        <x:v>Link</x:v>
      </x:c>
      <x:c r="K192" s="83" t="str">
        <x:v>p_nom</x:v>
      </x:c>
      <x:c r="L192" s="279" t="n">
        <x:v>2.4125</x:v>
      </x:c>
      <x:c r="M192" s="279" t="str">
        <x:v>GW</x:v>
      </x:c>
      <x:c r="N192" s="279" t="n">
        <x:f>IF(L192="","",IF(M192="GW",L192*1000,IF(M192="GWh",L192*1000,IF(M192="TWh",L192*1000000,L192))))</x:f>
        <x:v>2412.5</x:v>
      </x:c>
      <x:c r="O192" s="83" t="str">
        <x:f>IF(L192="","",IF(M192="GW","MW",IF(OR(M192="GWh",M192="TWh"),"MWh",M192)))</x:f>
        <x:v>MW</x:v>
      </x:c>
      <x:c r="P192" s="83" t="str"/>
      <x:c r="Q192" s="349"/>
      <x:c r="R192" s="349" t="str">
        <x:f>IF(L192="","",IF(Q192&lt;&gt;"",L192*Q192,IF(OR(ISNUMBER(SEARCH("EUR2025",M192&amp;"")),P192=2025,P192="2025"),L192,"")))</x:f>
      </x:c>
      <x:c r="S192" s="83" t="str">
        <x:v>B — Derived</x:v>
      </x:c>
      <x:c r="T192" s="83" t="str">
        <x:v>e_nom / 8h.</x:v>
      </x:c>
      <x:c r="U192" s="83" t="str">
        <x:v>S09 + TERNA_MACSE + USER_DECISION</x:v>
      </x:c>
      <x:c r="V192" s="83" t="str">
        <x:v>Utility-scale 8h duration; MACSE subset 42 GWh / 5.25 GW</x:v>
      </x:c>
      <x:c r="W192" s="120" t="str">
        <x:v>https://www.terna.it/it/media/comunicati-stampa/dettaglio/conclusa-prima-asta-macse; https://download.terna.it/terna/Fabbisogno_di_nuova_capacita_di_stoccaggio_al_2029_8debcba830a85f3.pdf</x:v>
      </x:c>
      <x:c r="X192" s="83" t="str">
        <x:v>B — Derived</x:v>
      </x:c>
      <x:c r="Y192" s="83" t="str">
        <x:v>APPROVED total with MACSE subset</x:v>
      </x:c>
      <x:c r="Z192" s="83" t="str">
        <x:v>Ready when profiles/base network are available</x:v>
      </x:c>
      <x:c r="AA192" s="83" t="str">
        <x:v>The 42 GWh MACSE subset corresponds to 5.25 GW at 8h and remains embedded within total utility-scale power.</x:v>
      </x:c>
    </x:row>
    <x:row r="193">
      <x:c r="A193" s="83" t="str">
        <x:v>S4-00189</x:v>
      </x:c>
      <x:c r="B193" s="83" t="str">
        <x:v>IT2040_ALT_GAIT</x:v>
      </x:c>
      <x:c r="C193" s="83" t="n">
        <x:v>2040</x:v>
      </x:c>
      <x:c r="D193" s="83" t="str">
        <x:v>Storage</x:v>
      </x:c>
      <x:c r="E193" s="83" t="str">
        <x:v>IT_CSUD</x:v>
      </x:c>
      <x:c r="F193" s="83" t="str">
        <x:v>CSUD</x:v>
      </x:c>
      <x:c r="G193" s="83" t="str">
        <x:v>CM</x:v>
      </x:c>
      <x:c r="H193" s="83" t="str">
        <x:v>Capacity Market battery</x:v>
      </x:c>
      <x:c r="I193" s="83" t="str">
        <x:v>battery</x:v>
      </x:c>
      <x:c r="J193" s="83" t="str">
        <x:v>Store + Links</x:v>
      </x:c>
      <x:c r="K193" s="83" t="str">
        <x:v>e_nom</x:v>
      </x:c>
      <x:c r="L193" s="279" t="n">
        <x:v>0.9</x:v>
      </x:c>
      <x:c r="M193" s="279" t="str">
        <x:v>GWh</x:v>
      </x:c>
      <x:c r="N193" s="279" t="n">
        <x:f>IF(L193="","",IF(M193="GW",L193*1000,IF(M193="GWh",L193*1000,IF(M193="TWh",L193*1000000,L193))))</x:f>
        <x:v>900</x:v>
      </x:c>
      <x:c r="O193" s="83" t="str">
        <x:f>IF(L193="","",IF(M193="GW","MW",IF(OR(M193="GWh",M193="TWh"),"MWh",M193)))</x:f>
        <x:v>MWh</x:v>
      </x:c>
      <x:c r="P193" s="83" t="str"/>
      <x:c r="Q193" s="349"/>
      <x:c r="R193" s="349" t="str">
        <x:f>IF(L193="","",IF(Q193&lt;&gt;"",L193*Q193,IF(OR(ISNUMBER(SEARCH("EUR2025",M193&amp;"")),P193=2025,P193="2025"),L193,"")))</x:f>
      </x:c>
      <x:c r="S193" s="83" t="str">
        <x:v>A — Direct</x:v>
      </x:c>
      <x:c r="T193" s="83" t="str">
        <x:v>Direct zonal energy; duration harmonised separately.</x:v>
      </x:c>
      <x:c r="U193" s="83" t="str">
        <x:v>S09</x:v>
      </x:c>
      <x:c r="V193" s="83" t="str">
        <x:v>DDS Tabella 16</x:v>
      </x:c>
      <x:c r="W193" s="120"/>
      <x:c r="X193" s="83" t="str">
        <x:v>A — Direct</x:v>
      </x:c>
      <x:c r="Y193" s="83" t="str">
        <x:v>APPROVED direct energy; separate from MACSE</x:v>
      </x:c>
      <x:c r="Z193" s="83" t="str">
        <x:v>Ready when profiles/base network are available</x:v>
      </x:c>
      <x:c r="AA193" s="83" t="str">
        <x:v>Capacity Market energy retained from DDS. It is not the 42 GWh MACSE portfolio.</x:v>
      </x:c>
    </x:row>
    <x:row r="194">
      <x:c r="A194" s="83" t="str">
        <x:v>S4-00190</x:v>
      </x:c>
      <x:c r="B194" s="83" t="str">
        <x:v>IT2040_ALT_GAIT</x:v>
      </x:c>
      <x:c r="C194" s="83" t="n">
        <x:v>2040</x:v>
      </x:c>
      <x:c r="D194" s="83" t="str">
        <x:v>Storage power</x:v>
      </x:c>
      <x:c r="E194" s="83" t="str">
        <x:v>IT_CSUD</x:v>
      </x:c>
      <x:c r="F194" s="83" t="str">
        <x:v>CSUD</x:v>
      </x:c>
      <x:c r="G194" s="83" t="str">
        <x:v>CM</x:v>
      </x:c>
      <x:c r="H194" s="83" t="str">
        <x:v>Capacity Market battery power</x:v>
      </x:c>
      <x:c r="I194" s="83" t="str">
        <x:v>battery</x:v>
      </x:c>
      <x:c r="J194" s="83" t="str">
        <x:v>Link</x:v>
      </x:c>
      <x:c r="K194" s="83" t="str">
        <x:v>p_nom</x:v>
      </x:c>
      <x:c r="L194" s="279" t="n">
        <x:v>0.225</x:v>
      </x:c>
      <x:c r="M194" s="279" t="str">
        <x:v>GW</x:v>
      </x:c>
      <x:c r="N194" s="279" t="n">
        <x:f>IF(L194="","",IF(M194="GW",L194*1000,IF(M194="GWh",L194*1000,IF(M194="TWh",L194*1000000,L194))))</x:f>
        <x:v>225</x:v>
      </x:c>
      <x:c r="O194" s="83" t="str">
        <x:f>IF(L194="","",IF(M194="GW","MW",IF(OR(M194="GWh",M194="TWh"),"MWh",M194)))</x:f>
        <x:v>MW</x:v>
      </x:c>
      <x:c r="P194" s="83" t="str"/>
      <x:c r="Q194" s="349"/>
      <x:c r="R194" s="349" t="str">
        <x:f>IF(L194="","",IF(Q194&lt;&gt;"",L194*Q194,IF(OR(ISNUMBER(SEARCH("EUR2025",M194&amp;"")),P194=2025,P194="2025"),L194,"")))</x:f>
      </x:c>
      <x:c r="S194" s="83" t="str">
        <x:v>C — Assumed</x:v>
      </x:c>
      <x:c r="T194" s="83" t="str">
        <x:v>Capacity Market energy divided by the approved 4-hour duration.</x:v>
      </x:c>
      <x:c r="U194" s="83" t="str">
        <x:v>S09 + TERNA_RAI2025 + USER_DECISION</x:v>
      </x:c>
      <x:c r="V194" s="83" t="str">
        <x:v>DDS Table 16; Terna RAI 2025 §2.1.4</x:v>
      </x:c>
      <x:c r="W194" s="120" t="str">
        <x:v>https://download.terna.it/terna/Rapporto_Adeguatezza_Italia_2025_8de802607202dd6.pdf</x:v>
      </x:c>
      <x:c r="X194" s="83" t="str">
        <x:v>C — Assumed</x:v>
      </x:c>
      <x:c r="Y194" s="83" t="str">
        <x:v>APPROVED 4h derivation</x:v>
      </x:c>
      <x:c r="Z194" s="83" t="str">
        <x:v>Ready after user approval</x:v>
      </x:c>
      <x:c r="AA194" s="83" t="str">
        <x:v>Capacity Market remains a separate 4h class; no MACSE reclassification.</x:v>
      </x:c>
    </x:row>
    <x:row r="195">
      <x:c r="A195" s="83" t="str">
        <x:v>S4-00191</x:v>
      </x:c>
      <x:c r="B195" s="83" t="str">
        <x:v>IT2040_ALT_GAIT</x:v>
      </x:c>
      <x:c r="C195" s="83" t="n">
        <x:v>2040</x:v>
      </x:c>
      <x:c r="D195" s="83" t="str">
        <x:v>Storage</x:v>
      </x:c>
      <x:c r="E195" s="83" t="str">
        <x:v>IT_SUD</x:v>
      </x:c>
      <x:c r="F195" s="83" t="str">
        <x:v>SUD</x:v>
      </x:c>
      <x:c r="G195" s="83" t="str">
        <x:v>Small Scale</x:v>
      </x:c>
      <x:c r="H195" s="83" t="str">
        <x:v>Small-scale 2h</x:v>
      </x:c>
      <x:c r="I195" s="83" t="str">
        <x:v>battery</x:v>
      </x:c>
      <x:c r="J195" s="83" t="str">
        <x:v>Store + Links</x:v>
      </x:c>
      <x:c r="K195" s="83" t="str">
        <x:v>e_nom</x:v>
      </x:c>
      <x:c r="L195" s="279" t="n">
        <x:v>0.6</x:v>
      </x:c>
      <x:c r="M195" s="279" t="str">
        <x:v>GWh</x:v>
      </x:c>
      <x:c r="N195" s="279" t="n">
        <x:f>IF(L195="","",IF(M195="GW",L195*1000,IF(M195="GWh",L195*1000,IF(M195="TWh",L195*1000000,L195))))</x:f>
        <x:v>600</x:v>
      </x:c>
      <x:c r="O195" s="83" t="str">
        <x:f>IF(L195="","",IF(M195="GW","MW",IF(OR(M195="GWh",M195="TWh"),"MWh",M195)))</x:f>
        <x:v>MWh</x:v>
      </x:c>
      <x:c r="P195" s="83" t="str"/>
      <x:c r="Q195" s="349"/>
      <x:c r="R195" s="349" t="str">
        <x:f>IF(L195="","",IF(Q195&lt;&gt;"",L195*Q195,IF(OR(ISNUMBER(SEARCH("EUR2025",M195&amp;"")),P195=2025,P195="2025"),L195,"")))</x:f>
      </x:c>
      <x:c r="S195" s="83" t="str">
        <x:v>C — Distributed assumption</x:v>
      </x:c>
      <x:c r="T195" s="83" t="str">
        <x:v>Split direct zonal energy 67%/33% between 2h/4h classes; p_nom=e_nom/2.</x:v>
      </x:c>
      <x:c r="U195" s="83" t="str">
        <x:v>S09 / S01</x:v>
      </x:c>
      <x:c r="V195" s="83" t="str">
        <x:v>DDS Table 16; 2025 observed portfolio duration</x:v>
      </x:c>
      <x:c r="W195" s="120"/>
      <x:c r="X195" s="83" t="str">
        <x:v>C — Assumed split</x:v>
      </x:c>
      <x:c r="Y195" s="83" t="str">
        <x:v>Proposed</x:v>
      </x:c>
      <x:c r="Z195" s="83" t="str">
        <x:v>Ready after user approval</x:v>
      </x:c>
      <x:c r="AA195" s="83" t="str">
        <x:v>Duration 2h; share derived from observed aggregate duration near 2.4h.</x:v>
      </x:c>
    </x:row>
    <x:row r="196">
      <x:c r="A196" s="83" t="str">
        <x:v>S4-00192</x:v>
      </x:c>
      <x:c r="B196" s="83" t="str">
        <x:v>IT2040_ALT_GAIT</x:v>
      </x:c>
      <x:c r="C196" s="83" t="n">
        <x:v>2040</x:v>
      </x:c>
      <x:c r="D196" s="83" t="str">
        <x:v>Storage power</x:v>
      </x:c>
      <x:c r="E196" s="83" t="str">
        <x:v>IT_SUD</x:v>
      </x:c>
      <x:c r="F196" s="83" t="str">
        <x:v>SUD</x:v>
      </x:c>
      <x:c r="G196" s="83" t="str">
        <x:v>Small Scale</x:v>
      </x:c>
      <x:c r="H196" s="83" t="str">
        <x:v>Small-scale 2h power</x:v>
      </x:c>
      <x:c r="I196" s="83" t="str">
        <x:v>battery</x:v>
      </x:c>
      <x:c r="J196" s="83" t="str">
        <x:v>Link</x:v>
      </x:c>
      <x:c r="K196" s="83" t="str">
        <x:v>p_nom</x:v>
      </x:c>
      <x:c r="L196" s="279" t="n">
        <x:v>0.3</x:v>
      </x:c>
      <x:c r="M196" s="279" t="str">
        <x:v>GW</x:v>
      </x:c>
      <x:c r="N196" s="279" t="n">
        <x:f>IF(L196="","",IF(M196="GW",L196*1000,IF(M196="GWh",L196*1000,IF(M196="TWh",L196*1000000,L196))))</x:f>
        <x:v>300</x:v>
      </x:c>
      <x:c r="O196" s="83" t="str">
        <x:f>IF(L196="","",IF(M196="GW","MW",IF(OR(M196="GWh",M196="TWh"),"MWh",M196)))</x:f>
        <x:v>MW</x:v>
      </x:c>
      <x:c r="P196" s="83" t="str"/>
      <x:c r="Q196" s="349"/>
      <x:c r="R196" s="349" t="str">
        <x:f>IF(L196="","",IF(Q196&lt;&gt;"",L196*Q196,IF(OR(ISNUMBER(SEARCH("EUR2025",M196&amp;"")),P196=2025,P196="2025"),L196,"")))</x:f>
      </x:c>
      <x:c r="S196" s="83" t="str">
        <x:v>C — Derived</x:v>
      </x:c>
      <x:c r="T196" s="83" t="str">
        <x:v>Energy / 2 h.</x:v>
      </x:c>
      <x:c r="U196" s="83" t="str">
        <x:v>S09 / S01</x:v>
      </x:c>
      <x:c r="V196" s="83" t="str">
        <x:v>DDS Table 16 + harmonisation</x:v>
      </x:c>
      <x:c r="W196" s="120"/>
      <x:c r="X196" s="83" t="str">
        <x:v>C — Derived</x:v>
      </x:c>
      <x:c r="Y196" s="83" t="str">
        <x:v>Proposed</x:v>
      </x:c>
      <x:c r="Z196" s="83" t="str">
        <x:v>Ready after user approval</x:v>
      </x:c>
      <x:c r="AA196" s="83"/>
    </x:row>
    <x:row r="197">
      <x:c r="A197" s="83" t="str">
        <x:v>S4-00193</x:v>
      </x:c>
      <x:c r="B197" s="83" t="str">
        <x:v>IT2040_ALT_GAIT</x:v>
      </x:c>
      <x:c r="C197" s="83" t="n">
        <x:v>2040</x:v>
      </x:c>
      <x:c r="D197" s="83" t="str">
        <x:v>Storage</x:v>
      </x:c>
      <x:c r="E197" s="83" t="str">
        <x:v>IT_SUD</x:v>
      </x:c>
      <x:c r="F197" s="83" t="str">
        <x:v>SUD</x:v>
      </x:c>
      <x:c r="G197" s="83" t="str">
        <x:v>Small Scale</x:v>
      </x:c>
      <x:c r="H197" s="83" t="str">
        <x:v>Small-scale 4h</x:v>
      </x:c>
      <x:c r="I197" s="83" t="str">
        <x:v>battery</x:v>
      </x:c>
      <x:c r="J197" s="83" t="str">
        <x:v>Store + Links</x:v>
      </x:c>
      <x:c r="K197" s="83" t="str">
        <x:v>e_nom</x:v>
      </x:c>
      <x:c r="L197" s="279" t="n">
        <x:v>0.3</x:v>
      </x:c>
      <x:c r="M197" s="279" t="str">
        <x:v>GWh</x:v>
      </x:c>
      <x:c r="N197" s="279" t="n">
        <x:f>IF(L197="","",IF(M197="GW",L197*1000,IF(M197="GWh",L197*1000,IF(M197="TWh",L197*1000000,L197))))</x:f>
        <x:v>300</x:v>
      </x:c>
      <x:c r="O197" s="83" t="str">
        <x:f>IF(L197="","",IF(M197="GW","MW",IF(OR(M197="GWh",M197="TWh"),"MWh",M197)))</x:f>
        <x:v>MWh</x:v>
      </x:c>
      <x:c r="P197" s="83" t="str"/>
      <x:c r="Q197" s="349"/>
      <x:c r="R197" s="349" t="str">
        <x:f>IF(L197="","",IF(Q197&lt;&gt;"",L197*Q197,IF(OR(ISNUMBER(SEARCH("EUR2025",M197&amp;"")),P197=2025,P197="2025"),L197,"")))</x:f>
      </x:c>
      <x:c r="S197" s="83" t="str">
        <x:v>C — Distributed assumption</x:v>
      </x:c>
      <x:c r="T197" s="83" t="str">
        <x:v>Split direct zonal energy 67%/33% between 2h/4h classes; p_nom=e_nom/4.</x:v>
      </x:c>
      <x:c r="U197" s="83" t="str">
        <x:v>S09 / S01</x:v>
      </x:c>
      <x:c r="V197" s="83" t="str">
        <x:v>DDS Table 16; 2025 observed portfolio duration</x:v>
      </x:c>
      <x:c r="W197" s="120"/>
      <x:c r="X197" s="83" t="str">
        <x:v>C — Assumed split</x:v>
      </x:c>
      <x:c r="Y197" s="83" t="str">
        <x:v>Proposed</x:v>
      </x:c>
      <x:c r="Z197" s="83" t="str">
        <x:v>Ready after user approval</x:v>
      </x:c>
      <x:c r="AA197" s="83" t="str">
        <x:v>Duration 4h; share derived from observed aggregate duration near 2.4h.</x:v>
      </x:c>
    </x:row>
    <x:row r="198">
      <x:c r="A198" s="83" t="str">
        <x:v>S4-00194</x:v>
      </x:c>
      <x:c r="B198" s="83" t="str">
        <x:v>IT2040_ALT_GAIT</x:v>
      </x:c>
      <x:c r="C198" s="83" t="n">
        <x:v>2040</x:v>
      </x:c>
      <x:c r="D198" s="83" t="str">
        <x:v>Storage power</x:v>
      </x:c>
      <x:c r="E198" s="83" t="str">
        <x:v>IT_SUD</x:v>
      </x:c>
      <x:c r="F198" s="83" t="str">
        <x:v>SUD</x:v>
      </x:c>
      <x:c r="G198" s="83" t="str">
        <x:v>Small Scale</x:v>
      </x:c>
      <x:c r="H198" s="83" t="str">
        <x:v>Small-scale 4h power</x:v>
      </x:c>
      <x:c r="I198" s="83" t="str">
        <x:v>battery</x:v>
      </x:c>
      <x:c r="J198" s="83" t="str">
        <x:v>Link</x:v>
      </x:c>
      <x:c r="K198" s="83" t="str">
        <x:v>p_nom</x:v>
      </x:c>
      <x:c r="L198" s="279" t="n">
        <x:v>0.075</x:v>
      </x:c>
      <x:c r="M198" s="279" t="str">
        <x:v>GW</x:v>
      </x:c>
      <x:c r="N198" s="279" t="n">
        <x:f>IF(L198="","",IF(M198="GW",L198*1000,IF(M198="GWh",L198*1000,IF(M198="TWh",L198*1000000,L198))))</x:f>
        <x:v>75</x:v>
      </x:c>
      <x:c r="O198" s="83" t="str">
        <x:f>IF(L198="","",IF(M198="GW","MW",IF(OR(M198="GWh",M198="TWh"),"MWh",M198)))</x:f>
        <x:v>MW</x:v>
      </x:c>
      <x:c r="P198" s="83" t="str"/>
      <x:c r="Q198" s="349"/>
      <x:c r="R198" s="349" t="str">
        <x:f>IF(L198="","",IF(Q198&lt;&gt;"",L198*Q198,IF(OR(ISNUMBER(SEARCH("EUR2025",M198&amp;"")),P198=2025,P198="2025"),L198,"")))</x:f>
      </x:c>
      <x:c r="S198" s="83" t="str">
        <x:v>C — Derived</x:v>
      </x:c>
      <x:c r="T198" s="83" t="str">
        <x:v>Energy / 4 h.</x:v>
      </x:c>
      <x:c r="U198" s="83" t="str">
        <x:v>S09 / S01</x:v>
      </x:c>
      <x:c r="V198" s="83" t="str">
        <x:v>DDS Table 16 + harmonisation</x:v>
      </x:c>
      <x:c r="W198" s="120"/>
      <x:c r="X198" s="83" t="str">
        <x:v>C — Derived</x:v>
      </x:c>
      <x:c r="Y198" s="83" t="str">
        <x:v>Proposed</x:v>
      </x:c>
      <x:c r="Z198" s="83" t="str">
        <x:v>Ready after user approval</x:v>
      </x:c>
      <x:c r="AA198" s="83"/>
    </x:row>
    <x:row r="199">
      <x:c r="A199" s="83" t="str">
        <x:v>S4-00195</x:v>
      </x:c>
      <x:c r="B199" s="83" t="str">
        <x:v>IT2040_ALT_GAIT</x:v>
      </x:c>
      <x:c r="C199" s="83" t="n">
        <x:v>2040</x:v>
      </x:c>
      <x:c r="D199" s="83" t="str">
        <x:v>Storage</x:v>
      </x:c>
      <x:c r="E199" s="83" t="str">
        <x:v>IT_SUD</x:v>
      </x:c>
      <x:c r="F199" s="83" t="str">
        <x:v>SUD</x:v>
      </x:c>
      <x:c r="G199" s="83" t="str">
        <x:v>Utility Scale incl. MACSE</x:v>
      </x:c>
      <x:c r="H199" s="83" t="str">
        <x:v>Battery utility 8h</x:v>
      </x:c>
      <x:c r="I199" s="83" t="str">
        <x:v>battery</x:v>
      </x:c>
      <x:c r="J199" s="83" t="str">
        <x:v>Store + Links</x:v>
      </x:c>
      <x:c r="K199" s="83" t="str">
        <x:v>e_nom</x:v>
      </x:c>
      <x:c r="L199" s="279" t="n">
        <x:v>36.8</x:v>
      </x:c>
      <x:c r="M199" s="279" t="str">
        <x:v>GWh</x:v>
      </x:c>
      <x:c r="N199" s="279" t="n">
        <x:f>IF(L199="","",IF(M199="GW",L199*1000,IF(M199="GWh",L199*1000,IF(M199="TWh",L199*1000000,L199))))</x:f>
        <x:v>36800</x:v>
      </x:c>
      <x:c r="O199" s="83" t="str">
        <x:f>IF(L199="","",IF(M199="GW","MW",IF(OR(M199="GWh",M199="TWh"),"MWh",M199)))</x:f>
        <x:v>MWh</x:v>
      </x:c>
      <x:c r="P199" s="83" t="str"/>
      <x:c r="Q199" s="349"/>
      <x:c r="R199" s="349" t="str">
        <x:f>IF(L199="","",IF(Q199&lt;&gt;"",L199*Q199,IF(OR(ISNUMBER(SEARCH("EUR2025",M199&amp;"")),P199=2025,P199="2025"),L199,"")))</x:f>
      </x:c>
      <x:c r="S199" s="83" t="str">
        <x:v>A/C — Direct total; procurement subset identified</x:v>
      </x:c>
      <x:c r="T199" s="83" t="str">
        <x:v>DDS utility-scale total retained. A 42 GWh MACSE procurement portfolio is identified inside this total and is not added again.</x:v>
      </x:c>
      <x:c r="U199" s="83" t="str">
        <x:v>S09 + TERNA_MACSE_2028 + TERNA_MACSE_2029 + USER_DECISION</x:v>
      </x:c>
      <x:c r="V199" s="83" t="str">
        <x:v>DDS Table 16; 10 GWh MACSE 2028; 16 GWh 2029; 32 GWh available across the next two auctions</x:v>
      </x:c>
      <x:c r="W199" s="120" t="str">
        <x:v>https://www.terna.it/it/media/comunicati-stampa/dettaglio/conclusa-prima-asta-macse; https://download.terna.it/terna/Fabbisogno_di_nuova_capacita_di_stoccaggio_al_2029_8debcba830a85f3.pdf</x:v>
      </x:c>
      <x:c r="X199" s="83" t="str">
        <x:v>B/C — 26 GWh official; final 16 GWh planning tranche revisable</x:v>
      </x:c>
      <x:c r="Y199" s="83" t="str">
        <x:v>APPROVED total with MACSE subset</x:v>
      </x:c>
      <x:c r="Z199" s="83" t="str">
        <x:v>Ready when profiles/base network are available</x:v>
      </x:c>
      <x:c r="AA199" s="83" t="str">
        <x:v>MACSE path: 10 + 16 + 16 = 42 GWh. The final 16 GWh is an explicit scenario assumption based on Terna's 32 GWh quantity for the next two auctions.</x:v>
      </x:c>
    </x:row>
    <x:row r="200">
      <x:c r="A200" s="83" t="str">
        <x:v>S4-00196</x:v>
      </x:c>
      <x:c r="B200" s="83" t="str">
        <x:v>IT2040_ALT_GAIT</x:v>
      </x:c>
      <x:c r="C200" s="83" t="n">
        <x:v>2040</x:v>
      </x:c>
      <x:c r="D200" s="83" t="str">
        <x:v>Storage power</x:v>
      </x:c>
      <x:c r="E200" s="83" t="str">
        <x:v>IT_SUD</x:v>
      </x:c>
      <x:c r="F200" s="83" t="str">
        <x:v>SUD</x:v>
      </x:c>
      <x:c r="G200" s="83" t="str">
        <x:v>Utility Scale incl. MACSE</x:v>
      </x:c>
      <x:c r="H200" s="83" t="str">
        <x:v>Battery utility 8h power</x:v>
      </x:c>
      <x:c r="I200" s="83" t="str">
        <x:v>battery</x:v>
      </x:c>
      <x:c r="J200" s="83" t="str">
        <x:v>Link</x:v>
      </x:c>
      <x:c r="K200" s="83" t="str">
        <x:v>p_nom</x:v>
      </x:c>
      <x:c r="L200" s="279" t="n">
        <x:v>4.6</x:v>
      </x:c>
      <x:c r="M200" s="279" t="str">
        <x:v>GW</x:v>
      </x:c>
      <x:c r="N200" s="279" t="n">
        <x:f>IF(L200="","",IF(M200="GW",L200*1000,IF(M200="GWh",L200*1000,IF(M200="TWh",L200*1000000,L200))))</x:f>
        <x:v>4600</x:v>
      </x:c>
      <x:c r="O200" s="83" t="str">
        <x:f>IF(L200="","",IF(M200="GW","MW",IF(OR(M200="GWh",M200="TWh"),"MWh",M200)))</x:f>
        <x:v>MW</x:v>
      </x:c>
      <x:c r="P200" s="83" t="str"/>
      <x:c r="Q200" s="349"/>
      <x:c r="R200" s="349" t="str">
        <x:f>IF(L200="","",IF(Q200&lt;&gt;"",L200*Q200,IF(OR(ISNUMBER(SEARCH("EUR2025",M200&amp;"")),P200=2025,P200="2025"),L200,"")))</x:f>
      </x:c>
      <x:c r="S200" s="83" t="str">
        <x:v>B — Derived</x:v>
      </x:c>
      <x:c r="T200" s="83" t="str">
        <x:v>e_nom / 8h.</x:v>
      </x:c>
      <x:c r="U200" s="83" t="str">
        <x:v>S09 + TERNA_MACSE + USER_DECISION</x:v>
      </x:c>
      <x:c r="V200" s="83" t="str">
        <x:v>Utility-scale 8h duration; MACSE subset 42 GWh / 5.25 GW</x:v>
      </x:c>
      <x:c r="W200" s="120" t="str">
        <x:v>https://www.terna.it/it/media/comunicati-stampa/dettaglio/conclusa-prima-asta-macse; https://download.terna.it/terna/Fabbisogno_di_nuova_capacita_di_stoccaggio_al_2029_8debcba830a85f3.pdf</x:v>
      </x:c>
      <x:c r="X200" s="83" t="str">
        <x:v>B — Derived</x:v>
      </x:c>
      <x:c r="Y200" s="83" t="str">
        <x:v>APPROVED total with MACSE subset</x:v>
      </x:c>
      <x:c r="Z200" s="83" t="str">
        <x:v>Ready when profiles/base network are available</x:v>
      </x:c>
      <x:c r="AA200" s="83" t="str">
        <x:v>The 42 GWh MACSE subset corresponds to 5.25 GW at 8h and remains embedded within total utility-scale power.</x:v>
      </x:c>
    </x:row>
    <x:row r="201">
      <x:c r="A201" s="83" t="str">
        <x:v>S4-00197</x:v>
      </x:c>
      <x:c r="B201" s="83" t="str">
        <x:v>IT2040_ALT_GAIT</x:v>
      </x:c>
      <x:c r="C201" s="83" t="n">
        <x:v>2040</x:v>
      </x:c>
      <x:c r="D201" s="83" t="str">
        <x:v>Storage</x:v>
      </x:c>
      <x:c r="E201" s="83" t="str">
        <x:v>IT_SUD</x:v>
      </x:c>
      <x:c r="F201" s="83" t="str">
        <x:v>SUD</x:v>
      </x:c>
      <x:c r="G201" s="83" t="str">
        <x:v>CM</x:v>
      </x:c>
      <x:c r="H201" s="83" t="str">
        <x:v>Capacity Market battery</x:v>
      </x:c>
      <x:c r="I201" s="83" t="str">
        <x:v>battery</x:v>
      </x:c>
      <x:c r="J201" s="83" t="str">
        <x:v>Store + Links</x:v>
      </x:c>
      <x:c r="K201" s="83" t="str">
        <x:v>e_nom</x:v>
      </x:c>
      <x:c r="L201" s="279" t="n">
        <x:v>0.1</x:v>
      </x:c>
      <x:c r="M201" s="279" t="str">
        <x:v>GWh</x:v>
      </x:c>
      <x:c r="N201" s="279" t="n">
        <x:f>IF(L201="","",IF(M201="GW",L201*1000,IF(M201="GWh",L201*1000,IF(M201="TWh",L201*1000000,L201))))</x:f>
        <x:v>100</x:v>
      </x:c>
      <x:c r="O201" s="83" t="str">
        <x:f>IF(L201="","",IF(M201="GW","MW",IF(OR(M201="GWh",M201="TWh"),"MWh",M201)))</x:f>
        <x:v>MWh</x:v>
      </x:c>
      <x:c r="P201" s="83" t="str"/>
      <x:c r="Q201" s="349"/>
      <x:c r="R201" s="349" t="str">
        <x:f>IF(L201="","",IF(Q201&lt;&gt;"",L201*Q201,IF(OR(ISNUMBER(SEARCH("EUR2025",M201&amp;"")),P201=2025,P201="2025"),L201,"")))</x:f>
      </x:c>
      <x:c r="S201" s="83" t="str">
        <x:v>A — Direct</x:v>
      </x:c>
      <x:c r="T201" s="83" t="str">
        <x:v>Direct zonal energy; duration harmonised separately.</x:v>
      </x:c>
      <x:c r="U201" s="83" t="str">
        <x:v>S09</x:v>
      </x:c>
      <x:c r="V201" s="83" t="str">
        <x:v>DDS Tabella 16</x:v>
      </x:c>
      <x:c r="W201" s="120"/>
      <x:c r="X201" s="83" t="str">
        <x:v>A — Direct</x:v>
      </x:c>
      <x:c r="Y201" s="83" t="str">
        <x:v>APPROVED direct energy; separate from MACSE</x:v>
      </x:c>
      <x:c r="Z201" s="83" t="str">
        <x:v>Ready when profiles/base network are available</x:v>
      </x:c>
      <x:c r="AA201" s="83" t="str">
        <x:v>Capacity Market energy retained from DDS. It is not the 42 GWh MACSE portfolio.</x:v>
      </x:c>
    </x:row>
    <x:row r="202">
      <x:c r="A202" s="83" t="str">
        <x:v>S4-00198</x:v>
      </x:c>
      <x:c r="B202" s="83" t="str">
        <x:v>IT2040_ALT_GAIT</x:v>
      </x:c>
      <x:c r="C202" s="83" t="n">
        <x:v>2040</x:v>
      </x:c>
      <x:c r="D202" s="83" t="str">
        <x:v>Storage power</x:v>
      </x:c>
      <x:c r="E202" s="83" t="str">
        <x:v>IT_SUD</x:v>
      </x:c>
      <x:c r="F202" s="83" t="str">
        <x:v>SUD</x:v>
      </x:c>
      <x:c r="G202" s="83" t="str">
        <x:v>CM</x:v>
      </x:c>
      <x:c r="H202" s="83" t="str">
        <x:v>Capacity Market battery power</x:v>
      </x:c>
      <x:c r="I202" s="83" t="str">
        <x:v>battery</x:v>
      </x:c>
      <x:c r="J202" s="83" t="str">
        <x:v>Link</x:v>
      </x:c>
      <x:c r="K202" s="83" t="str">
        <x:v>p_nom</x:v>
      </x:c>
      <x:c r="L202" s="279" t="n">
        <x:v>0.025</x:v>
      </x:c>
      <x:c r="M202" s="279" t="str">
        <x:v>GW</x:v>
      </x:c>
      <x:c r="N202" s="279" t="n">
        <x:f>IF(L202="","",IF(M202="GW",L202*1000,IF(M202="GWh",L202*1000,IF(M202="TWh",L202*1000000,L202))))</x:f>
        <x:v>25</x:v>
      </x:c>
      <x:c r="O202" s="83" t="str">
        <x:f>IF(L202="","",IF(M202="GW","MW",IF(OR(M202="GWh",M202="TWh"),"MWh",M202)))</x:f>
        <x:v>MW</x:v>
      </x:c>
      <x:c r="P202" s="83" t="str"/>
      <x:c r="Q202" s="349"/>
      <x:c r="R202" s="349" t="str">
        <x:f>IF(L202="","",IF(Q202&lt;&gt;"",L202*Q202,IF(OR(ISNUMBER(SEARCH("EUR2025",M202&amp;"")),P202=2025,P202="2025"),L202,"")))</x:f>
      </x:c>
      <x:c r="S202" s="83" t="str">
        <x:v>C — Assumed</x:v>
      </x:c>
      <x:c r="T202" s="83" t="str">
        <x:v>Capacity Market energy divided by the approved 4-hour duration.</x:v>
      </x:c>
      <x:c r="U202" s="83" t="str">
        <x:v>S09 + TERNA_RAI2025 + USER_DECISION</x:v>
      </x:c>
      <x:c r="V202" s="83" t="str">
        <x:v>DDS Table 16; Terna RAI 2025 §2.1.4</x:v>
      </x:c>
      <x:c r="W202" s="120" t="str">
        <x:v>https://download.terna.it/terna/Rapporto_Adeguatezza_Italia_2025_8de802607202dd6.pdf</x:v>
      </x:c>
      <x:c r="X202" s="83" t="str">
        <x:v>C — Assumed</x:v>
      </x:c>
      <x:c r="Y202" s="83" t="str">
        <x:v>APPROVED 4h derivation</x:v>
      </x:c>
      <x:c r="Z202" s="83" t="str">
        <x:v>Ready after user approval</x:v>
      </x:c>
      <x:c r="AA202" s="83" t="str">
        <x:v>Capacity Market remains a separate 4h class; no MACSE reclassification.</x:v>
      </x:c>
    </x:row>
    <x:row r="203">
      <x:c r="A203" s="83" t="str">
        <x:v>S4-00199</x:v>
      </x:c>
      <x:c r="B203" s="83" t="str">
        <x:v>IT2040_ALT_GAIT</x:v>
      </x:c>
      <x:c r="C203" s="83" t="n">
        <x:v>2040</x:v>
      </x:c>
      <x:c r="D203" s="83" t="str">
        <x:v>Storage</x:v>
      </x:c>
      <x:c r="E203" s="83" t="str">
        <x:v>IT_CALA</x:v>
      </x:c>
      <x:c r="F203" s="83" t="str">
        <x:v>CALA</x:v>
      </x:c>
      <x:c r="G203" s="83" t="str">
        <x:v>Small Scale</x:v>
      </x:c>
      <x:c r="H203" s="83" t="str">
        <x:v>Small-scale 2h</x:v>
      </x:c>
      <x:c r="I203" s="83" t="str">
        <x:v>battery</x:v>
      </x:c>
      <x:c r="J203" s="83" t="str">
        <x:v>Store + Links</x:v>
      </x:c>
      <x:c r="K203" s="83" t="str">
        <x:v>e_nom</x:v>
      </x:c>
      <x:c r="L203" s="279" t="n">
        <x:v>0.3333333333333333</x:v>
      </x:c>
      <x:c r="M203" s="279" t="str">
        <x:v>GWh</x:v>
      </x:c>
      <x:c r="N203" s="279" t="n">
        <x:f>IF(L203="","",IF(M203="GW",L203*1000,IF(M203="GWh",L203*1000,IF(M203="TWh",L203*1000000,L203))))</x:f>
        <x:v>333.3333333333333</x:v>
      </x:c>
      <x:c r="O203" s="83" t="str">
        <x:f>IF(L203="","",IF(M203="GW","MW",IF(OR(M203="GWh",M203="TWh"),"MWh",M203)))</x:f>
        <x:v>MWh</x:v>
      </x:c>
      <x:c r="P203" s="83" t="str"/>
      <x:c r="Q203" s="349"/>
      <x:c r="R203" s="349" t="str">
        <x:f>IF(L203="","",IF(Q203&lt;&gt;"",L203*Q203,IF(OR(ISNUMBER(SEARCH("EUR2025",M203&amp;"")),P203=2025,P203="2025"),L203,"")))</x:f>
      </x:c>
      <x:c r="S203" s="83" t="str">
        <x:v>C — Distributed assumption</x:v>
      </x:c>
      <x:c r="T203" s="83" t="str">
        <x:v>Split direct zonal energy 67%/33% between 2h/4h classes; p_nom=e_nom/2.</x:v>
      </x:c>
      <x:c r="U203" s="83" t="str">
        <x:v>S09 / S01</x:v>
      </x:c>
      <x:c r="V203" s="83" t="str">
        <x:v>DDS Table 16; 2025 observed portfolio duration</x:v>
      </x:c>
      <x:c r="W203" s="120"/>
      <x:c r="X203" s="83" t="str">
        <x:v>C — Assumed split</x:v>
      </x:c>
      <x:c r="Y203" s="83" t="str">
        <x:v>Proposed</x:v>
      </x:c>
      <x:c r="Z203" s="83" t="str">
        <x:v>Ready after user approval</x:v>
      </x:c>
      <x:c r="AA203" s="83" t="str">
        <x:v>Duration 2h; share derived from observed aggregate duration near 2.4h.</x:v>
      </x:c>
    </x:row>
    <x:row r="204">
      <x:c r="A204" s="83" t="str">
        <x:v>S4-00200</x:v>
      </x:c>
      <x:c r="B204" s="83" t="str">
        <x:v>IT2040_ALT_GAIT</x:v>
      </x:c>
      <x:c r="C204" s="83" t="n">
        <x:v>2040</x:v>
      </x:c>
      <x:c r="D204" s="83" t="str">
        <x:v>Storage power</x:v>
      </x:c>
      <x:c r="E204" s="83" t="str">
        <x:v>IT_CALA</x:v>
      </x:c>
      <x:c r="F204" s="83" t="str">
        <x:v>CALA</x:v>
      </x:c>
      <x:c r="G204" s="83" t="str">
        <x:v>Small Scale</x:v>
      </x:c>
      <x:c r="H204" s="83" t="str">
        <x:v>Small-scale 2h power</x:v>
      </x:c>
      <x:c r="I204" s="83" t="str">
        <x:v>battery</x:v>
      </x:c>
      <x:c r="J204" s="83" t="str">
        <x:v>Link</x:v>
      </x:c>
      <x:c r="K204" s="83" t="str">
        <x:v>p_nom</x:v>
      </x:c>
      <x:c r="L204" s="279" t="n">
        <x:v>0.16666666666666666</x:v>
      </x:c>
      <x:c r="M204" s="279" t="str">
        <x:v>GW</x:v>
      </x:c>
      <x:c r="N204" s="279" t="n">
        <x:f>IF(L204="","",IF(M204="GW",L204*1000,IF(M204="GWh",L204*1000,IF(M204="TWh",L204*1000000,L204))))</x:f>
        <x:v>166.66666666666666</x:v>
      </x:c>
      <x:c r="O204" s="83" t="str">
        <x:f>IF(L204="","",IF(M204="GW","MW",IF(OR(M204="GWh",M204="TWh"),"MWh",M204)))</x:f>
        <x:v>MW</x:v>
      </x:c>
      <x:c r="P204" s="83" t="str"/>
      <x:c r="Q204" s="349"/>
      <x:c r="R204" s="349" t="str">
        <x:f>IF(L204="","",IF(Q204&lt;&gt;"",L204*Q204,IF(OR(ISNUMBER(SEARCH("EUR2025",M204&amp;"")),P204=2025,P204="2025"),L204,"")))</x:f>
      </x:c>
      <x:c r="S204" s="83" t="str">
        <x:v>C — Derived</x:v>
      </x:c>
      <x:c r="T204" s="83" t="str">
        <x:v>Energy / 2 h.</x:v>
      </x:c>
      <x:c r="U204" s="83" t="str">
        <x:v>S09 / S01</x:v>
      </x:c>
      <x:c r="V204" s="83" t="str">
        <x:v>DDS Table 16 + harmonisation</x:v>
      </x:c>
      <x:c r="W204" s="120"/>
      <x:c r="X204" s="83" t="str">
        <x:v>C — Derived</x:v>
      </x:c>
      <x:c r="Y204" s="83" t="str">
        <x:v>Proposed</x:v>
      </x:c>
      <x:c r="Z204" s="83" t="str">
        <x:v>Ready after user approval</x:v>
      </x:c>
      <x:c r="AA204" s="83"/>
    </x:row>
    <x:row r="205">
      <x:c r="A205" s="83" t="str">
        <x:v>S4-00201</x:v>
      </x:c>
      <x:c r="B205" s="83" t="str">
        <x:v>IT2040_ALT_GAIT</x:v>
      </x:c>
      <x:c r="C205" s="83" t="n">
        <x:v>2040</x:v>
      </x:c>
      <x:c r="D205" s="83" t="str">
        <x:v>Storage</x:v>
      </x:c>
      <x:c r="E205" s="83" t="str">
        <x:v>IT_CALA</x:v>
      </x:c>
      <x:c r="F205" s="83" t="str">
        <x:v>CALA</x:v>
      </x:c>
      <x:c r="G205" s="83" t="str">
        <x:v>Small Scale</x:v>
      </x:c>
      <x:c r="H205" s="83" t="str">
        <x:v>Small-scale 4h</x:v>
      </x:c>
      <x:c r="I205" s="83" t="str">
        <x:v>battery</x:v>
      </x:c>
      <x:c r="J205" s="83" t="str">
        <x:v>Store + Links</x:v>
      </x:c>
      <x:c r="K205" s="83" t="str">
        <x:v>e_nom</x:v>
      </x:c>
      <x:c r="L205" s="279" t="n">
        <x:v>0.16666666666666666</x:v>
      </x:c>
      <x:c r="M205" s="279" t="str">
        <x:v>GWh</x:v>
      </x:c>
      <x:c r="N205" s="279" t="n">
        <x:f>IF(L205="","",IF(M205="GW",L205*1000,IF(M205="GWh",L205*1000,IF(M205="TWh",L205*1000000,L205))))</x:f>
        <x:v>166.66666666666666</x:v>
      </x:c>
      <x:c r="O205" s="83" t="str">
        <x:f>IF(L205="","",IF(M205="GW","MW",IF(OR(M205="GWh",M205="TWh"),"MWh",M205)))</x:f>
        <x:v>MWh</x:v>
      </x:c>
      <x:c r="P205" s="83" t="str"/>
      <x:c r="Q205" s="349"/>
      <x:c r="R205" s="349" t="str">
        <x:f>IF(L205="","",IF(Q205&lt;&gt;"",L205*Q205,IF(OR(ISNUMBER(SEARCH("EUR2025",M205&amp;"")),P205=2025,P205="2025"),L205,"")))</x:f>
      </x:c>
      <x:c r="S205" s="83" t="str">
        <x:v>C — Distributed assumption</x:v>
      </x:c>
      <x:c r="T205" s="83" t="str">
        <x:v>Split direct zonal energy 67%/33% between 2h/4h classes; p_nom=e_nom/4.</x:v>
      </x:c>
      <x:c r="U205" s="83" t="str">
        <x:v>S09 / S01</x:v>
      </x:c>
      <x:c r="V205" s="83" t="str">
        <x:v>DDS Table 16; 2025 observed portfolio duration</x:v>
      </x:c>
      <x:c r="W205" s="120"/>
      <x:c r="X205" s="83" t="str">
        <x:v>C — Assumed split</x:v>
      </x:c>
      <x:c r="Y205" s="83" t="str">
        <x:v>Proposed</x:v>
      </x:c>
      <x:c r="Z205" s="83" t="str">
        <x:v>Ready after user approval</x:v>
      </x:c>
      <x:c r="AA205" s="83" t="str">
        <x:v>Duration 4h; share derived from observed aggregate duration near 2.4h.</x:v>
      </x:c>
    </x:row>
    <x:row r="206">
      <x:c r="A206" s="83" t="str">
        <x:v>S4-00202</x:v>
      </x:c>
      <x:c r="B206" s="83" t="str">
        <x:v>IT2040_ALT_GAIT</x:v>
      </x:c>
      <x:c r="C206" s="83" t="n">
        <x:v>2040</x:v>
      </x:c>
      <x:c r="D206" s="83" t="str">
        <x:v>Storage power</x:v>
      </x:c>
      <x:c r="E206" s="83" t="str">
        <x:v>IT_CALA</x:v>
      </x:c>
      <x:c r="F206" s="83" t="str">
        <x:v>CALA</x:v>
      </x:c>
      <x:c r="G206" s="83" t="str">
        <x:v>Small Scale</x:v>
      </x:c>
      <x:c r="H206" s="83" t="str">
        <x:v>Small-scale 4h power</x:v>
      </x:c>
      <x:c r="I206" s="83" t="str">
        <x:v>battery</x:v>
      </x:c>
      <x:c r="J206" s="83" t="str">
        <x:v>Link</x:v>
      </x:c>
      <x:c r="K206" s="83" t="str">
        <x:v>p_nom</x:v>
      </x:c>
      <x:c r="L206" s="279" t="n">
        <x:v>0.041666666666666664</x:v>
      </x:c>
      <x:c r="M206" s="279" t="str">
        <x:v>GW</x:v>
      </x:c>
      <x:c r="N206" s="279" t="n">
        <x:f>IF(L206="","",IF(M206="GW",L206*1000,IF(M206="GWh",L206*1000,IF(M206="TWh",L206*1000000,L206))))</x:f>
        <x:v>41.666666666666664</x:v>
      </x:c>
      <x:c r="O206" s="83" t="str">
        <x:f>IF(L206="","",IF(M206="GW","MW",IF(OR(M206="GWh",M206="TWh"),"MWh",M206)))</x:f>
        <x:v>MW</x:v>
      </x:c>
      <x:c r="P206" s="83" t="str"/>
      <x:c r="Q206" s="349"/>
      <x:c r="R206" s="349" t="str">
        <x:f>IF(L206="","",IF(Q206&lt;&gt;"",L206*Q206,IF(OR(ISNUMBER(SEARCH("EUR2025",M206&amp;"")),P206=2025,P206="2025"),L206,"")))</x:f>
      </x:c>
      <x:c r="S206" s="83" t="str">
        <x:v>C — Derived</x:v>
      </x:c>
      <x:c r="T206" s="83" t="str">
        <x:v>Energy / 4 h.</x:v>
      </x:c>
      <x:c r="U206" s="83" t="str">
        <x:v>S09 / S01</x:v>
      </x:c>
      <x:c r="V206" s="83" t="str">
        <x:v>DDS Table 16 + harmonisation</x:v>
      </x:c>
      <x:c r="W206" s="120"/>
      <x:c r="X206" s="83" t="str">
        <x:v>C — Derived</x:v>
      </x:c>
      <x:c r="Y206" s="83" t="str">
        <x:v>Proposed</x:v>
      </x:c>
      <x:c r="Z206" s="83" t="str">
        <x:v>Ready after user approval</x:v>
      </x:c>
      <x:c r="AA206" s="83"/>
    </x:row>
    <x:row r="207">
      <x:c r="A207" s="83" t="str">
        <x:v>S4-00203</x:v>
      </x:c>
      <x:c r="B207" s="83" t="str">
        <x:v>IT2040_ALT_GAIT</x:v>
      </x:c>
      <x:c r="C207" s="83" t="n">
        <x:v>2040</x:v>
      </x:c>
      <x:c r="D207" s="83" t="str">
        <x:v>Storage</x:v>
      </x:c>
      <x:c r="E207" s="83" t="str">
        <x:v>IT_CALA</x:v>
      </x:c>
      <x:c r="F207" s="83" t="str">
        <x:v>CALA</x:v>
      </x:c>
      <x:c r="G207" s="83" t="str">
        <x:v>Utility Scale incl. MACSE</x:v>
      </x:c>
      <x:c r="H207" s="83" t="str">
        <x:v>Battery utility 8h</x:v>
      </x:c>
      <x:c r="I207" s="83" t="str">
        <x:v>battery</x:v>
      </x:c>
      <x:c r="J207" s="83" t="str">
        <x:v>Store + Links</x:v>
      </x:c>
      <x:c r="K207" s="83" t="str">
        <x:v>e_nom</x:v>
      </x:c>
      <x:c r="L207" s="279" t="n">
        <x:v>8.5</x:v>
      </x:c>
      <x:c r="M207" s="279" t="str">
        <x:v>GWh</x:v>
      </x:c>
      <x:c r="N207" s="279" t="n">
        <x:f>IF(L207="","",IF(M207="GW",L207*1000,IF(M207="GWh",L207*1000,IF(M207="TWh",L207*1000000,L207))))</x:f>
        <x:v>8500</x:v>
      </x:c>
      <x:c r="O207" s="83" t="str">
        <x:f>IF(L207="","",IF(M207="GW","MW",IF(OR(M207="GWh",M207="TWh"),"MWh",M207)))</x:f>
        <x:v>MWh</x:v>
      </x:c>
      <x:c r="P207" s="83" t="str"/>
      <x:c r="Q207" s="349"/>
      <x:c r="R207" s="349" t="str">
        <x:f>IF(L207="","",IF(Q207&lt;&gt;"",L207*Q207,IF(OR(ISNUMBER(SEARCH("EUR2025",M207&amp;"")),P207=2025,P207="2025"),L207,"")))</x:f>
      </x:c>
      <x:c r="S207" s="83" t="str">
        <x:v>A/C — Direct total; procurement subset identified</x:v>
      </x:c>
      <x:c r="T207" s="83" t="str">
        <x:v>DDS utility-scale total retained. A 42 GWh MACSE procurement portfolio is identified inside this total and is not added again.</x:v>
      </x:c>
      <x:c r="U207" s="83" t="str">
        <x:v>S09 + TERNA_MACSE_2028 + TERNA_MACSE_2029 + USER_DECISION</x:v>
      </x:c>
      <x:c r="V207" s="83" t="str">
        <x:v>DDS Table 16; 10 GWh MACSE 2028; 16 GWh 2029; 32 GWh available across the next two auctions</x:v>
      </x:c>
      <x:c r="W207" s="120" t="str">
        <x:v>https://www.terna.it/it/media/comunicati-stampa/dettaglio/conclusa-prima-asta-macse; https://download.terna.it/terna/Fabbisogno_di_nuova_capacita_di_stoccaggio_al_2029_8debcba830a85f3.pdf</x:v>
      </x:c>
      <x:c r="X207" s="83" t="str">
        <x:v>B/C — 26 GWh official; final 16 GWh planning tranche revisable</x:v>
      </x:c>
      <x:c r="Y207" s="83" t="str">
        <x:v>APPROVED total with MACSE subset</x:v>
      </x:c>
      <x:c r="Z207" s="83" t="str">
        <x:v>Ready when profiles/base network are available</x:v>
      </x:c>
      <x:c r="AA207" s="83" t="str">
        <x:v>MACSE path: 10 + 16 + 16 = 42 GWh. The final 16 GWh is an explicit scenario assumption based on Terna's 32 GWh quantity for the next two auctions.</x:v>
      </x:c>
    </x:row>
    <x:row r="208">
      <x:c r="A208" s="83" t="str">
        <x:v>S4-00204</x:v>
      </x:c>
      <x:c r="B208" s="83" t="str">
        <x:v>IT2040_ALT_GAIT</x:v>
      </x:c>
      <x:c r="C208" s="83" t="n">
        <x:v>2040</x:v>
      </x:c>
      <x:c r="D208" s="83" t="str">
        <x:v>Storage power</x:v>
      </x:c>
      <x:c r="E208" s="83" t="str">
        <x:v>IT_CALA</x:v>
      </x:c>
      <x:c r="F208" s="83" t="str">
        <x:v>CALA</x:v>
      </x:c>
      <x:c r="G208" s="83" t="str">
        <x:v>Utility Scale incl. MACSE</x:v>
      </x:c>
      <x:c r="H208" s="83" t="str">
        <x:v>Battery utility 8h power</x:v>
      </x:c>
      <x:c r="I208" s="83" t="str">
        <x:v>battery</x:v>
      </x:c>
      <x:c r="J208" s="83" t="str">
        <x:v>Link</x:v>
      </x:c>
      <x:c r="K208" s="83" t="str">
        <x:v>p_nom</x:v>
      </x:c>
      <x:c r="L208" s="279" t="n">
        <x:v>1.0625</x:v>
      </x:c>
      <x:c r="M208" s="279" t="str">
        <x:v>GW</x:v>
      </x:c>
      <x:c r="N208" s="279" t="n">
        <x:f>IF(L208="","",IF(M208="GW",L208*1000,IF(M208="GWh",L208*1000,IF(M208="TWh",L208*1000000,L208))))</x:f>
        <x:v>1062.5</x:v>
      </x:c>
      <x:c r="O208" s="83" t="str">
        <x:f>IF(L208="","",IF(M208="GW","MW",IF(OR(M208="GWh",M208="TWh"),"MWh",M208)))</x:f>
        <x:v>MW</x:v>
      </x:c>
      <x:c r="P208" s="83" t="str"/>
      <x:c r="Q208" s="349"/>
      <x:c r="R208" s="349" t="str">
        <x:f>IF(L208="","",IF(Q208&lt;&gt;"",L208*Q208,IF(OR(ISNUMBER(SEARCH("EUR2025",M208&amp;"")),P208=2025,P208="2025"),L208,"")))</x:f>
      </x:c>
      <x:c r="S208" s="83" t="str">
        <x:v>B — Derived</x:v>
      </x:c>
      <x:c r="T208" s="83" t="str">
        <x:v>e_nom / 8h.</x:v>
      </x:c>
      <x:c r="U208" s="83" t="str">
        <x:v>S09 + TERNA_MACSE + USER_DECISION</x:v>
      </x:c>
      <x:c r="V208" s="83" t="str">
        <x:v>Utility-scale 8h duration; MACSE subset 42 GWh / 5.25 GW</x:v>
      </x:c>
      <x:c r="W208" s="120" t="str">
        <x:v>https://www.terna.it/it/media/comunicati-stampa/dettaglio/conclusa-prima-asta-macse; https://download.terna.it/terna/Fabbisogno_di_nuova_capacita_di_stoccaggio_al_2029_8debcba830a85f3.pdf</x:v>
      </x:c>
      <x:c r="X208" s="83" t="str">
        <x:v>B — Derived</x:v>
      </x:c>
      <x:c r="Y208" s="83" t="str">
        <x:v>APPROVED total with MACSE subset</x:v>
      </x:c>
      <x:c r="Z208" s="83" t="str">
        <x:v>Ready when profiles/base network are available</x:v>
      </x:c>
      <x:c r="AA208" s="83" t="str">
        <x:v>The 42 GWh MACSE subset corresponds to 5.25 GW at 8h and remains embedded within total utility-scale power.</x:v>
      </x:c>
    </x:row>
    <x:row r="209">
      <x:c r="A209" s="83" t="str">
        <x:v>S4-00205</x:v>
      </x:c>
      <x:c r="B209" s="83" t="str">
        <x:v>IT2040_ALT_GAIT</x:v>
      </x:c>
      <x:c r="C209" s="83" t="n">
        <x:v>2040</x:v>
      </x:c>
      <x:c r="D209" s="83" t="str">
        <x:v>Storage</x:v>
      </x:c>
      <x:c r="E209" s="83" t="str">
        <x:v>IT_CALA</x:v>
      </x:c>
      <x:c r="F209" s="83" t="str">
        <x:v>CALA</x:v>
      </x:c>
      <x:c r="G209" s="83" t="str">
        <x:v>CM</x:v>
      </x:c>
      <x:c r="H209" s="83" t="str">
        <x:v>Capacity Market battery</x:v>
      </x:c>
      <x:c r="I209" s="83" t="str">
        <x:v>battery</x:v>
      </x:c>
      <x:c r="J209" s="83" t="str">
        <x:v>Store + Links</x:v>
      </x:c>
      <x:c r="K209" s="83" t="str">
        <x:v>e_nom</x:v>
      </x:c>
      <x:c r="L209" s="279" t="n">
        <x:v>0</x:v>
      </x:c>
      <x:c r="M209" s="279" t="str">
        <x:v>GWh</x:v>
      </x:c>
      <x:c r="N209" s="279" t="str">
        <x:f>IF(L209="","",IF(M209="GW",L209*1000,IF(M209="GWh",L209*1000,IF(M209="TWh",L209*1000000,L209))))</x:f>
      </x:c>
      <x:c r="O209" s="83" t="str">
        <x:f>IF(L209="","",IF(M209="GW","MW",IF(OR(M209="GWh",M209="TWh"),"MWh",M209)))</x:f>
      </x:c>
      <x:c r="P209" s="83" t="str"/>
      <x:c r="Q209" s="349"/>
      <x:c r="R209" s="349" t="str">
        <x:f>IF(L209="","",IF(Q209&lt;&gt;"",L209*Q209,IF(OR(ISNUMBER(SEARCH("EUR2025",M209&amp;"")),P209=2025,P209="2025"),L209,"")))</x:f>
      </x:c>
      <x:c r="S209" s="83" t="str">
        <x:v>A — Direct</x:v>
      </x:c>
      <x:c r="T209" s="83" t="str">
        <x:v>Direct zonal energy; duration harmonised separately.</x:v>
      </x:c>
      <x:c r="U209" s="83" t="str">
        <x:v>S09</x:v>
      </x:c>
      <x:c r="V209" s="83" t="str">
        <x:v>DDS Tabella 16</x:v>
      </x:c>
      <x:c r="W209" s="120"/>
      <x:c r="X209" s="83" t="str">
        <x:v>A — Direct</x:v>
      </x:c>
      <x:c r="Y209" s="83" t="str">
        <x:v>APPROVED direct energy; separate from MACSE</x:v>
      </x:c>
      <x:c r="Z209" s="83" t="str">
        <x:v>Ready when profiles/base network are available</x:v>
      </x:c>
      <x:c r="AA209" s="83" t="str">
        <x:v>Capacity Market energy retained from DDS. It is not the 42 GWh MACSE portfolio.</x:v>
      </x:c>
    </x:row>
    <x:row r="210">
      <x:c r="A210" s="83" t="str">
        <x:v>S4-00206</x:v>
      </x:c>
      <x:c r="B210" s="83" t="str">
        <x:v>IT2040_ALT_GAIT</x:v>
      </x:c>
      <x:c r="C210" s="83" t="n">
        <x:v>2040</x:v>
      </x:c>
      <x:c r="D210" s="83" t="str">
        <x:v>Storage power</x:v>
      </x:c>
      <x:c r="E210" s="83" t="str">
        <x:v>IT_CALA</x:v>
      </x:c>
      <x:c r="F210" s="83" t="str">
        <x:v>CALA</x:v>
      </x:c>
      <x:c r="G210" s="83" t="str">
        <x:v>CM</x:v>
      </x:c>
      <x:c r="H210" s="83" t="str">
        <x:v>Capacity Market battery power</x:v>
      </x:c>
      <x:c r="I210" s="83" t="str">
        <x:v>battery</x:v>
      </x:c>
      <x:c r="J210" s="83" t="str">
        <x:v>Link</x:v>
      </x:c>
      <x:c r="K210" s="83" t="str">
        <x:v>p_nom</x:v>
      </x:c>
      <x:c r="L210" s="279" t="n">
        <x:v>0</x:v>
      </x:c>
      <x:c r="M210" s="279" t="str">
        <x:v>GW</x:v>
      </x:c>
      <x:c r="N210" s="279" t="str">
        <x:f>IF(L210="","",IF(M210="GW",L210*1000,IF(M210="GWh",L210*1000,IF(M210="TWh",L210*1000000,L210))))</x:f>
      </x:c>
      <x:c r="O210" s="83" t="str">
        <x:f>IF(L210="","",IF(M210="GW","MW",IF(OR(M210="GWh",M210="TWh"),"MWh",M210)))</x:f>
      </x:c>
      <x:c r="P210" s="83" t="str"/>
      <x:c r="Q210" s="349"/>
      <x:c r="R210" s="349" t="str">
        <x:f>IF(L210="","",IF(Q210&lt;&gt;"",L210*Q210,IF(OR(ISNUMBER(SEARCH("EUR2025",M210&amp;"")),P210=2025,P210="2025"),L210,"")))</x:f>
      </x:c>
      <x:c r="S210" s="83" t="str">
        <x:v>C — Assumed</x:v>
      </x:c>
      <x:c r="T210" s="83" t="str">
        <x:v>Capacity Market energy divided by the approved 4-hour duration.</x:v>
      </x:c>
      <x:c r="U210" s="83" t="str">
        <x:v>S09 + TERNA_RAI2025 + USER_DECISION</x:v>
      </x:c>
      <x:c r="V210" s="83" t="str">
        <x:v>DDS Table 16; Terna RAI 2025 §2.1.4</x:v>
      </x:c>
      <x:c r="W210" s="120" t="str">
        <x:v>https://download.terna.it/terna/Rapporto_Adeguatezza_Italia_2025_8de802607202dd6.pdf</x:v>
      </x:c>
      <x:c r="X210" s="83" t="str">
        <x:v>C — Assumed</x:v>
      </x:c>
      <x:c r="Y210" s="83" t="str">
        <x:v>APPROVED 4h derivation</x:v>
      </x:c>
      <x:c r="Z210" s="83" t="str">
        <x:v>Ready after user approval</x:v>
      </x:c>
      <x:c r="AA210" s="83" t="str">
        <x:v>Capacity Market remains a separate 4h class; no MACSE reclassification.</x:v>
      </x:c>
    </x:row>
    <x:row r="211">
      <x:c r="A211" s="83" t="str">
        <x:v>S4-00207</x:v>
      </x:c>
      <x:c r="B211" s="83" t="str">
        <x:v>IT2040_ALT_GAIT</x:v>
      </x:c>
      <x:c r="C211" s="83" t="n">
        <x:v>2040</x:v>
      </x:c>
      <x:c r="D211" s="83" t="str">
        <x:v>Storage</x:v>
      </x:c>
      <x:c r="E211" s="83" t="str">
        <x:v>IT_SICI</x:v>
      </x:c>
      <x:c r="F211" s="83" t="str">
        <x:v>SICI</x:v>
      </x:c>
      <x:c r="G211" s="83" t="str">
        <x:v>Small Scale</x:v>
      </x:c>
      <x:c r="H211" s="83" t="str">
        <x:v>Small-scale 2h</x:v>
      </x:c>
      <x:c r="I211" s="83" t="str">
        <x:v>battery</x:v>
      </x:c>
      <x:c r="J211" s="83" t="str">
        <x:v>Store + Links</x:v>
      </x:c>
      <x:c r="K211" s="83" t="str">
        <x:v>e_nom</x:v>
      </x:c>
      <x:c r="L211" s="279" t="n">
        <x:v>0.7333333333333334</x:v>
      </x:c>
      <x:c r="M211" s="279" t="str">
        <x:v>GWh</x:v>
      </x:c>
      <x:c r="N211" s="279" t="n">
        <x:f>IF(L211="","",IF(M211="GW",L211*1000,IF(M211="GWh",L211*1000,IF(M211="TWh",L211*1000000,L211))))</x:f>
        <x:v>733.3333333333334</x:v>
      </x:c>
      <x:c r="O211" s="83" t="str">
        <x:f>IF(L211="","",IF(M211="GW","MW",IF(OR(M211="GWh",M211="TWh"),"MWh",M211)))</x:f>
        <x:v>MWh</x:v>
      </x:c>
      <x:c r="P211" s="83" t="str"/>
      <x:c r="Q211" s="349"/>
      <x:c r="R211" s="349" t="str">
        <x:f>IF(L211="","",IF(Q211&lt;&gt;"",L211*Q211,IF(OR(ISNUMBER(SEARCH("EUR2025",M211&amp;"")),P211=2025,P211="2025"),L211,"")))</x:f>
      </x:c>
      <x:c r="S211" s="83" t="str">
        <x:v>C — Distributed assumption</x:v>
      </x:c>
      <x:c r="T211" s="83" t="str">
        <x:v>Split direct zonal energy 67%/33% between 2h/4h classes; p_nom=e_nom/2.</x:v>
      </x:c>
      <x:c r="U211" s="83" t="str">
        <x:v>S09 / S01</x:v>
      </x:c>
      <x:c r="V211" s="83" t="str">
        <x:v>DDS Table 16; 2025 observed portfolio duration</x:v>
      </x:c>
      <x:c r="W211" s="120"/>
      <x:c r="X211" s="83" t="str">
        <x:v>C — Assumed split</x:v>
      </x:c>
      <x:c r="Y211" s="83" t="str">
        <x:v>Proposed</x:v>
      </x:c>
      <x:c r="Z211" s="83" t="str">
        <x:v>Ready after user approval</x:v>
      </x:c>
      <x:c r="AA211" s="83" t="str">
        <x:v>Duration 2h; share derived from observed aggregate duration near 2.4h.</x:v>
      </x:c>
    </x:row>
    <x:row r="212">
      <x:c r="A212" s="83" t="str">
        <x:v>S4-00208</x:v>
      </x:c>
      <x:c r="B212" s="83" t="str">
        <x:v>IT2040_ALT_GAIT</x:v>
      </x:c>
      <x:c r="C212" s="83" t="n">
        <x:v>2040</x:v>
      </x:c>
      <x:c r="D212" s="83" t="str">
        <x:v>Storage power</x:v>
      </x:c>
      <x:c r="E212" s="83" t="str">
        <x:v>IT_SICI</x:v>
      </x:c>
      <x:c r="F212" s="83" t="str">
        <x:v>SICI</x:v>
      </x:c>
      <x:c r="G212" s="83" t="str">
        <x:v>Small Scale</x:v>
      </x:c>
      <x:c r="H212" s="83" t="str">
        <x:v>Small-scale 2h power</x:v>
      </x:c>
      <x:c r="I212" s="83" t="str">
        <x:v>battery</x:v>
      </x:c>
      <x:c r="J212" s="83" t="str">
        <x:v>Link</x:v>
      </x:c>
      <x:c r="K212" s="83" t="str">
        <x:v>p_nom</x:v>
      </x:c>
      <x:c r="L212" s="279" t="n">
        <x:v>0.3666666666666667</x:v>
      </x:c>
      <x:c r="M212" s="279" t="str">
        <x:v>GW</x:v>
      </x:c>
      <x:c r="N212" s="279" t="n">
        <x:f>IF(L212="","",IF(M212="GW",L212*1000,IF(M212="GWh",L212*1000,IF(M212="TWh",L212*1000000,L212))))</x:f>
        <x:v>366.6666666666667</x:v>
      </x:c>
      <x:c r="O212" s="83" t="str">
        <x:f>IF(L212="","",IF(M212="GW","MW",IF(OR(M212="GWh",M212="TWh"),"MWh",M212)))</x:f>
        <x:v>MW</x:v>
      </x:c>
      <x:c r="P212" s="83" t="str"/>
      <x:c r="Q212" s="349"/>
      <x:c r="R212" s="349" t="str">
        <x:f>IF(L212="","",IF(Q212&lt;&gt;"",L212*Q212,IF(OR(ISNUMBER(SEARCH("EUR2025",M212&amp;"")),P212=2025,P212="2025"),L212,"")))</x:f>
      </x:c>
      <x:c r="S212" s="83" t="str">
        <x:v>C — Derived</x:v>
      </x:c>
      <x:c r="T212" s="83" t="str">
        <x:v>Energy / 2 h.</x:v>
      </x:c>
      <x:c r="U212" s="83" t="str">
        <x:v>S09 / S01</x:v>
      </x:c>
      <x:c r="V212" s="83" t="str">
        <x:v>DDS Table 16 + harmonisation</x:v>
      </x:c>
      <x:c r="W212" s="120"/>
      <x:c r="X212" s="83" t="str">
        <x:v>C — Derived</x:v>
      </x:c>
      <x:c r="Y212" s="83" t="str">
        <x:v>Proposed</x:v>
      </x:c>
      <x:c r="Z212" s="83" t="str">
        <x:v>Ready after user approval</x:v>
      </x:c>
      <x:c r="AA212" s="83"/>
    </x:row>
    <x:row r="213">
      <x:c r="A213" s="83" t="str">
        <x:v>S4-00209</x:v>
      </x:c>
      <x:c r="B213" s="83" t="str">
        <x:v>IT2040_ALT_GAIT</x:v>
      </x:c>
      <x:c r="C213" s="83" t="n">
        <x:v>2040</x:v>
      </x:c>
      <x:c r="D213" s="83" t="str">
        <x:v>Storage</x:v>
      </x:c>
      <x:c r="E213" s="83" t="str">
        <x:v>IT_SICI</x:v>
      </x:c>
      <x:c r="F213" s="83" t="str">
        <x:v>SICI</x:v>
      </x:c>
      <x:c r="G213" s="83" t="str">
        <x:v>Small Scale</x:v>
      </x:c>
      <x:c r="H213" s="83" t="str">
        <x:v>Small-scale 4h</x:v>
      </x:c>
      <x:c r="I213" s="83" t="str">
        <x:v>battery</x:v>
      </x:c>
      <x:c r="J213" s="83" t="str">
        <x:v>Store + Links</x:v>
      </x:c>
      <x:c r="K213" s="83" t="str">
        <x:v>e_nom</x:v>
      </x:c>
      <x:c r="L213" s="279" t="n">
        <x:v>0.3666666666666667</x:v>
      </x:c>
      <x:c r="M213" s="279" t="str">
        <x:v>GWh</x:v>
      </x:c>
      <x:c r="N213" s="279" t="n">
        <x:f>IF(L213="","",IF(M213="GW",L213*1000,IF(M213="GWh",L213*1000,IF(M213="TWh",L213*1000000,L213))))</x:f>
        <x:v>366.6666666666667</x:v>
      </x:c>
      <x:c r="O213" s="83" t="str">
        <x:f>IF(L213="","",IF(M213="GW","MW",IF(OR(M213="GWh",M213="TWh"),"MWh",M213)))</x:f>
        <x:v>MWh</x:v>
      </x:c>
      <x:c r="P213" s="83" t="str"/>
      <x:c r="Q213" s="349"/>
      <x:c r="R213" s="349" t="str">
        <x:f>IF(L213="","",IF(Q213&lt;&gt;"",L213*Q213,IF(OR(ISNUMBER(SEARCH("EUR2025",M213&amp;"")),P213=2025,P213="2025"),L213,"")))</x:f>
      </x:c>
      <x:c r="S213" s="83" t="str">
        <x:v>C — Distributed assumption</x:v>
      </x:c>
      <x:c r="T213" s="83" t="str">
        <x:v>Split direct zonal energy 67%/33% between 2h/4h classes; p_nom=e_nom/4.</x:v>
      </x:c>
      <x:c r="U213" s="83" t="str">
        <x:v>S09 / S01</x:v>
      </x:c>
      <x:c r="V213" s="83" t="str">
        <x:v>DDS Table 16; 2025 observed portfolio duration</x:v>
      </x:c>
      <x:c r="W213" s="120"/>
      <x:c r="X213" s="83" t="str">
        <x:v>C — Assumed split</x:v>
      </x:c>
      <x:c r="Y213" s="83" t="str">
        <x:v>Proposed</x:v>
      </x:c>
      <x:c r="Z213" s="83" t="str">
        <x:v>Ready after user approval</x:v>
      </x:c>
      <x:c r="AA213" s="83" t="str">
        <x:v>Duration 4h; share derived from observed aggregate duration near 2.4h.</x:v>
      </x:c>
    </x:row>
    <x:row r="214">
      <x:c r="A214" s="83" t="str">
        <x:v>S4-00210</x:v>
      </x:c>
      <x:c r="B214" s="83" t="str">
        <x:v>IT2040_ALT_GAIT</x:v>
      </x:c>
      <x:c r="C214" s="83" t="n">
        <x:v>2040</x:v>
      </x:c>
      <x:c r="D214" s="83" t="str">
        <x:v>Storage power</x:v>
      </x:c>
      <x:c r="E214" s="83" t="str">
        <x:v>IT_SICI</x:v>
      </x:c>
      <x:c r="F214" s="83" t="str">
        <x:v>SICI</x:v>
      </x:c>
      <x:c r="G214" s="83" t="str">
        <x:v>Small Scale</x:v>
      </x:c>
      <x:c r="H214" s="83" t="str">
        <x:v>Small-scale 4h power</x:v>
      </x:c>
      <x:c r="I214" s="83" t="str">
        <x:v>battery</x:v>
      </x:c>
      <x:c r="J214" s="83" t="str">
        <x:v>Link</x:v>
      </x:c>
      <x:c r="K214" s="83" t="str">
        <x:v>p_nom</x:v>
      </x:c>
      <x:c r="L214" s="279" t="n">
        <x:v>0.09166666666666667</x:v>
      </x:c>
      <x:c r="M214" s="279" t="str">
        <x:v>GW</x:v>
      </x:c>
      <x:c r="N214" s="279" t="n">
        <x:f>IF(L214="","",IF(M214="GW",L214*1000,IF(M214="GWh",L214*1000,IF(M214="TWh",L214*1000000,L214))))</x:f>
        <x:v>91.66666666666667</x:v>
      </x:c>
      <x:c r="O214" s="83" t="str">
        <x:f>IF(L214="","",IF(M214="GW","MW",IF(OR(M214="GWh",M214="TWh"),"MWh",M214)))</x:f>
        <x:v>MW</x:v>
      </x:c>
      <x:c r="P214" s="83" t="str"/>
      <x:c r="Q214" s="349"/>
      <x:c r="R214" s="349" t="str">
        <x:f>IF(L214="","",IF(Q214&lt;&gt;"",L214*Q214,IF(OR(ISNUMBER(SEARCH("EUR2025",M214&amp;"")),P214=2025,P214="2025"),L214,"")))</x:f>
      </x:c>
      <x:c r="S214" s="83" t="str">
        <x:v>C — Derived</x:v>
      </x:c>
      <x:c r="T214" s="83" t="str">
        <x:v>Energy / 4 h.</x:v>
      </x:c>
      <x:c r="U214" s="83" t="str">
        <x:v>S09 / S01</x:v>
      </x:c>
      <x:c r="V214" s="83" t="str">
        <x:v>DDS Table 16 + harmonisation</x:v>
      </x:c>
      <x:c r="W214" s="120"/>
      <x:c r="X214" s="83" t="str">
        <x:v>C — Derived</x:v>
      </x:c>
      <x:c r="Y214" s="83" t="str">
        <x:v>Proposed</x:v>
      </x:c>
      <x:c r="Z214" s="83" t="str">
        <x:v>Ready after user approval</x:v>
      </x:c>
      <x:c r="AA214" s="83"/>
    </x:row>
    <x:row r="215">
      <x:c r="A215" s="83" t="str">
        <x:v>S4-00211</x:v>
      </x:c>
      <x:c r="B215" s="83" t="str">
        <x:v>IT2040_ALT_GAIT</x:v>
      </x:c>
      <x:c r="C215" s="83" t="n">
        <x:v>2040</x:v>
      </x:c>
      <x:c r="D215" s="83" t="str">
        <x:v>Storage</x:v>
      </x:c>
      <x:c r="E215" s="83" t="str">
        <x:v>IT_SICI</x:v>
      </x:c>
      <x:c r="F215" s="83" t="str">
        <x:v>SICI</x:v>
      </x:c>
      <x:c r="G215" s="83" t="str">
        <x:v>Utility Scale incl. MACSE</x:v>
      </x:c>
      <x:c r="H215" s="83" t="str">
        <x:v>Battery utility 8h</x:v>
      </x:c>
      <x:c r="I215" s="83" t="str">
        <x:v>battery</x:v>
      </x:c>
      <x:c r="J215" s="83" t="str">
        <x:v>Store + Links</x:v>
      </x:c>
      <x:c r="K215" s="83" t="str">
        <x:v>e_nom</x:v>
      </x:c>
      <x:c r="L215" s="279" t="n">
        <x:v>26.4</x:v>
      </x:c>
      <x:c r="M215" s="279" t="str">
        <x:v>GWh</x:v>
      </x:c>
      <x:c r="N215" s="279" t="n">
        <x:f>IF(L215="","",IF(M215="GW",L215*1000,IF(M215="GWh",L215*1000,IF(M215="TWh",L215*1000000,L215))))</x:f>
        <x:v>26400</x:v>
      </x:c>
      <x:c r="O215" s="83" t="str">
        <x:f>IF(L215="","",IF(M215="GW","MW",IF(OR(M215="GWh",M215="TWh"),"MWh",M215)))</x:f>
        <x:v>MWh</x:v>
      </x:c>
      <x:c r="P215" s="83" t="str"/>
      <x:c r="Q215" s="349"/>
      <x:c r="R215" s="349" t="str">
        <x:f>IF(L215="","",IF(Q215&lt;&gt;"",L215*Q215,IF(OR(ISNUMBER(SEARCH("EUR2025",M215&amp;"")),P215=2025,P215="2025"),L215,"")))</x:f>
      </x:c>
      <x:c r="S215" s="83" t="str">
        <x:v>A/C — Direct total; procurement subset identified</x:v>
      </x:c>
      <x:c r="T215" s="83" t="str">
        <x:v>DDS utility-scale total retained. A 42 GWh MACSE procurement portfolio is identified inside this total and is not added again.</x:v>
      </x:c>
      <x:c r="U215" s="83" t="str">
        <x:v>S09 + TERNA_MACSE_2028 + TERNA_MACSE_2029 + USER_DECISION</x:v>
      </x:c>
      <x:c r="V215" s="83" t="str">
        <x:v>DDS Table 16; 10 GWh MACSE 2028; 16 GWh 2029; 32 GWh available across the next two auctions</x:v>
      </x:c>
      <x:c r="W215" s="120" t="str">
        <x:v>https://www.terna.it/it/media/comunicati-stampa/dettaglio/conclusa-prima-asta-macse; https://download.terna.it/terna/Fabbisogno_di_nuova_capacita_di_stoccaggio_al_2029_8debcba830a85f3.pdf</x:v>
      </x:c>
      <x:c r="X215" s="83" t="str">
        <x:v>B/C — 26 GWh official; final 16 GWh planning tranche revisable</x:v>
      </x:c>
      <x:c r="Y215" s="83" t="str">
        <x:v>APPROVED total with MACSE subset</x:v>
      </x:c>
      <x:c r="Z215" s="83" t="str">
        <x:v>Ready when profiles/base network are available</x:v>
      </x:c>
      <x:c r="AA215" s="83" t="str">
        <x:v>MACSE path: 10 + 16 + 16 = 42 GWh. The final 16 GWh is an explicit scenario assumption based on Terna's 32 GWh quantity for the next two auctions.</x:v>
      </x:c>
    </x:row>
    <x:row r="216">
      <x:c r="A216" s="83" t="str">
        <x:v>S4-00212</x:v>
      </x:c>
      <x:c r="B216" s="83" t="str">
        <x:v>IT2040_ALT_GAIT</x:v>
      </x:c>
      <x:c r="C216" s="83" t="n">
        <x:v>2040</x:v>
      </x:c>
      <x:c r="D216" s="83" t="str">
        <x:v>Storage power</x:v>
      </x:c>
      <x:c r="E216" s="83" t="str">
        <x:v>IT_SICI</x:v>
      </x:c>
      <x:c r="F216" s="83" t="str">
        <x:v>SICI</x:v>
      </x:c>
      <x:c r="G216" s="83" t="str">
        <x:v>Utility Scale incl. MACSE</x:v>
      </x:c>
      <x:c r="H216" s="83" t="str">
        <x:v>Battery utility 8h power</x:v>
      </x:c>
      <x:c r="I216" s="83" t="str">
        <x:v>battery</x:v>
      </x:c>
      <x:c r="J216" s="83" t="str">
        <x:v>Link</x:v>
      </x:c>
      <x:c r="K216" s="83" t="str">
        <x:v>p_nom</x:v>
      </x:c>
      <x:c r="L216" s="279" t="n">
        <x:v>3.3</x:v>
      </x:c>
      <x:c r="M216" s="279" t="str">
        <x:v>GW</x:v>
      </x:c>
      <x:c r="N216" s="279" t="n">
        <x:f>IF(L216="","",IF(M216="GW",L216*1000,IF(M216="GWh",L216*1000,IF(M216="TWh",L216*1000000,L216))))</x:f>
        <x:v>3300</x:v>
      </x:c>
      <x:c r="O216" s="83" t="str">
        <x:f>IF(L216="","",IF(M216="GW","MW",IF(OR(M216="GWh",M216="TWh"),"MWh",M216)))</x:f>
        <x:v>MW</x:v>
      </x:c>
      <x:c r="P216" s="83" t="str"/>
      <x:c r="Q216" s="349"/>
      <x:c r="R216" s="349" t="str">
        <x:f>IF(L216="","",IF(Q216&lt;&gt;"",L216*Q216,IF(OR(ISNUMBER(SEARCH("EUR2025",M216&amp;"")),P216=2025,P216="2025"),L216,"")))</x:f>
      </x:c>
      <x:c r="S216" s="83" t="str">
        <x:v>B — Derived</x:v>
      </x:c>
      <x:c r="T216" s="83" t="str">
        <x:v>e_nom / 8h.</x:v>
      </x:c>
      <x:c r="U216" s="83" t="str">
        <x:v>S09 + TERNA_MACSE + USER_DECISION</x:v>
      </x:c>
      <x:c r="V216" s="83" t="str">
        <x:v>Utility-scale 8h duration; MACSE subset 42 GWh / 5.25 GW</x:v>
      </x:c>
      <x:c r="W216" s="120" t="str">
        <x:v>https://www.terna.it/it/media/comunicati-stampa/dettaglio/conclusa-prima-asta-macse; https://download.terna.it/terna/Fabbisogno_di_nuova_capacita_di_stoccaggio_al_2029_8debcba830a85f3.pdf</x:v>
      </x:c>
      <x:c r="X216" s="83" t="str">
        <x:v>B — Derived</x:v>
      </x:c>
      <x:c r="Y216" s="83" t="str">
        <x:v>APPROVED total with MACSE subset</x:v>
      </x:c>
      <x:c r="Z216" s="83" t="str">
        <x:v>Ready when profiles/base network are available</x:v>
      </x:c>
      <x:c r="AA216" s="83" t="str">
        <x:v>The 42 GWh MACSE subset corresponds to 5.25 GW at 8h and remains embedded within total utility-scale power.</x:v>
      </x:c>
    </x:row>
    <x:row r="217">
      <x:c r="A217" s="83" t="str">
        <x:v>S4-00213</x:v>
      </x:c>
      <x:c r="B217" s="83" t="str">
        <x:v>IT2040_ALT_GAIT</x:v>
      </x:c>
      <x:c r="C217" s="83" t="n">
        <x:v>2040</x:v>
      </x:c>
      <x:c r="D217" s="83" t="str">
        <x:v>Storage</x:v>
      </x:c>
      <x:c r="E217" s="83" t="str">
        <x:v>IT_SICI</x:v>
      </x:c>
      <x:c r="F217" s="83" t="str">
        <x:v>SICI</x:v>
      </x:c>
      <x:c r="G217" s="83" t="str">
        <x:v>CM</x:v>
      </x:c>
      <x:c r="H217" s="83" t="str">
        <x:v>Capacity Market battery</x:v>
      </x:c>
      <x:c r="I217" s="83" t="str">
        <x:v>battery</x:v>
      </x:c>
      <x:c r="J217" s="83" t="str">
        <x:v>Store + Links</x:v>
      </x:c>
      <x:c r="K217" s="83" t="str">
        <x:v>e_nom</x:v>
      </x:c>
      <x:c r="L217" s="279" t="n">
        <x:v>0</x:v>
      </x:c>
      <x:c r="M217" s="279" t="str">
        <x:v>GWh</x:v>
      </x:c>
      <x:c r="N217" s="279" t="str">
        <x:f>IF(L217="","",IF(M217="GW",L217*1000,IF(M217="GWh",L217*1000,IF(M217="TWh",L217*1000000,L217))))</x:f>
      </x:c>
      <x:c r="O217" s="83" t="str">
        <x:f>IF(L217="","",IF(M217="GW","MW",IF(OR(M217="GWh",M217="TWh"),"MWh",M217)))</x:f>
      </x:c>
      <x:c r="P217" s="83" t="str"/>
      <x:c r="Q217" s="349"/>
      <x:c r="R217" s="349" t="str">
        <x:f>IF(L217="","",IF(Q217&lt;&gt;"",L217*Q217,IF(OR(ISNUMBER(SEARCH("EUR2025",M217&amp;"")),P217=2025,P217="2025"),L217,"")))</x:f>
      </x:c>
      <x:c r="S217" s="83" t="str">
        <x:v>A — Direct</x:v>
      </x:c>
      <x:c r="T217" s="83" t="str">
        <x:v>Direct zonal energy; duration harmonised separately.</x:v>
      </x:c>
      <x:c r="U217" s="83" t="str">
        <x:v>S09</x:v>
      </x:c>
      <x:c r="V217" s="83" t="str">
        <x:v>DDS Tabella 16</x:v>
      </x:c>
      <x:c r="W217" s="120"/>
      <x:c r="X217" s="83" t="str">
        <x:v>A — Direct</x:v>
      </x:c>
      <x:c r="Y217" s="83" t="str">
        <x:v>APPROVED direct energy; separate from MACSE</x:v>
      </x:c>
      <x:c r="Z217" s="83" t="str">
        <x:v>Ready when profiles/base network are available</x:v>
      </x:c>
      <x:c r="AA217" s="83" t="str">
        <x:v>Capacity Market energy retained from DDS. It is not the 42 GWh MACSE portfolio.</x:v>
      </x:c>
    </x:row>
    <x:row r="218">
      <x:c r="A218" s="83" t="str">
        <x:v>S4-00214</x:v>
      </x:c>
      <x:c r="B218" s="83" t="str">
        <x:v>IT2040_ALT_GAIT</x:v>
      </x:c>
      <x:c r="C218" s="83" t="n">
        <x:v>2040</x:v>
      </x:c>
      <x:c r="D218" s="83" t="str">
        <x:v>Storage power</x:v>
      </x:c>
      <x:c r="E218" s="83" t="str">
        <x:v>IT_SICI</x:v>
      </x:c>
      <x:c r="F218" s="83" t="str">
        <x:v>SICI</x:v>
      </x:c>
      <x:c r="G218" s="83" t="str">
        <x:v>CM</x:v>
      </x:c>
      <x:c r="H218" s="83" t="str">
        <x:v>Capacity Market battery power</x:v>
      </x:c>
      <x:c r="I218" s="83" t="str">
        <x:v>battery</x:v>
      </x:c>
      <x:c r="J218" s="83" t="str">
        <x:v>Link</x:v>
      </x:c>
      <x:c r="K218" s="83" t="str">
        <x:v>p_nom</x:v>
      </x:c>
      <x:c r="L218" s="279" t="n">
        <x:v>0</x:v>
      </x:c>
      <x:c r="M218" s="279" t="str">
        <x:v>GW</x:v>
      </x:c>
      <x:c r="N218" s="279" t="str">
        <x:f>IF(L218="","",IF(M218="GW",L218*1000,IF(M218="GWh",L218*1000,IF(M218="TWh",L218*1000000,L218))))</x:f>
      </x:c>
      <x:c r="O218" s="83" t="str">
        <x:f>IF(L218="","",IF(M218="GW","MW",IF(OR(M218="GWh",M218="TWh"),"MWh",M218)))</x:f>
      </x:c>
      <x:c r="P218" s="83" t="str"/>
      <x:c r="Q218" s="349"/>
      <x:c r="R218" s="349" t="str">
        <x:f>IF(L218="","",IF(Q218&lt;&gt;"",L218*Q218,IF(OR(ISNUMBER(SEARCH("EUR2025",M218&amp;"")),P218=2025,P218="2025"),L218,"")))</x:f>
      </x:c>
      <x:c r="S218" s="83" t="str">
        <x:v>C — Assumed</x:v>
      </x:c>
      <x:c r="T218" s="83" t="str">
        <x:v>Capacity Market energy divided by the approved 4-hour duration.</x:v>
      </x:c>
      <x:c r="U218" s="83" t="str">
        <x:v>S09 + TERNA_RAI2025 + USER_DECISION</x:v>
      </x:c>
      <x:c r="V218" s="83" t="str">
        <x:v>DDS Table 16; Terna RAI 2025 §2.1.4</x:v>
      </x:c>
      <x:c r="W218" s="120" t="str">
        <x:v>https://download.terna.it/terna/Rapporto_Adeguatezza_Italia_2025_8de802607202dd6.pdf</x:v>
      </x:c>
      <x:c r="X218" s="83" t="str">
        <x:v>C — Assumed</x:v>
      </x:c>
      <x:c r="Y218" s="83" t="str">
        <x:v>APPROVED 4h derivation</x:v>
      </x:c>
      <x:c r="Z218" s="83" t="str">
        <x:v>Ready after user approval</x:v>
      </x:c>
      <x:c r="AA218" s="83" t="str">
        <x:v>Capacity Market remains a separate 4h class; no MACSE reclassification.</x:v>
      </x:c>
    </x:row>
    <x:row r="219">
      <x:c r="A219" s="83" t="str">
        <x:v>S4-00215</x:v>
      </x:c>
      <x:c r="B219" s="83" t="str">
        <x:v>IT2040_ALT_GAIT</x:v>
      </x:c>
      <x:c r="C219" s="83" t="n">
        <x:v>2040</x:v>
      </x:c>
      <x:c r="D219" s="83" t="str">
        <x:v>Storage</x:v>
      </x:c>
      <x:c r="E219" s="83" t="str">
        <x:v>IT_SARD</x:v>
      </x:c>
      <x:c r="F219" s="83" t="str">
        <x:v>SARD</x:v>
      </x:c>
      <x:c r="G219" s="83" t="str">
        <x:v>Small Scale</x:v>
      </x:c>
      <x:c r="H219" s="83" t="str">
        <x:v>Small-scale 2h</x:v>
      </x:c>
      <x:c r="I219" s="83" t="str">
        <x:v>battery</x:v>
      </x:c>
      <x:c r="J219" s="83" t="str">
        <x:v>Store + Links</x:v>
      </x:c>
      <x:c r="K219" s="83" t="str">
        <x:v>e_nom</x:v>
      </x:c>
      <x:c r="L219" s="279" t="n">
        <x:v>0.39999999999999997</x:v>
      </x:c>
      <x:c r="M219" s="279" t="str">
        <x:v>GWh</x:v>
      </x:c>
      <x:c r="N219" s="279" t="n">
        <x:f>IF(L219="","",IF(M219="GW",L219*1000,IF(M219="GWh",L219*1000,IF(M219="TWh",L219*1000000,L219))))</x:f>
        <x:v>399.99999999999994</x:v>
      </x:c>
      <x:c r="O219" s="83" t="str">
        <x:f>IF(L219="","",IF(M219="GW","MW",IF(OR(M219="GWh",M219="TWh"),"MWh",M219)))</x:f>
        <x:v>MWh</x:v>
      </x:c>
      <x:c r="P219" s="83" t="str"/>
      <x:c r="Q219" s="349"/>
      <x:c r="R219" s="349" t="str">
        <x:f>IF(L219="","",IF(Q219&lt;&gt;"",L219*Q219,IF(OR(ISNUMBER(SEARCH("EUR2025",M219&amp;"")),P219=2025,P219="2025"),L219,"")))</x:f>
      </x:c>
      <x:c r="S219" s="83" t="str">
        <x:v>C — Distributed assumption</x:v>
      </x:c>
      <x:c r="T219" s="83" t="str">
        <x:v>Split direct zonal energy 67%/33% between 2h/4h classes; p_nom=e_nom/2.</x:v>
      </x:c>
      <x:c r="U219" s="83" t="str">
        <x:v>S09 / S01</x:v>
      </x:c>
      <x:c r="V219" s="83" t="str">
        <x:v>DDS Table 16; 2025 observed portfolio duration</x:v>
      </x:c>
      <x:c r="W219" s="120"/>
      <x:c r="X219" s="83" t="str">
        <x:v>C — Assumed split</x:v>
      </x:c>
      <x:c r="Y219" s="83" t="str">
        <x:v>Proposed</x:v>
      </x:c>
      <x:c r="Z219" s="83" t="str">
        <x:v>Ready after user approval</x:v>
      </x:c>
      <x:c r="AA219" s="83" t="str">
        <x:v>Duration 2h; share derived from observed aggregate duration near 2.4h.</x:v>
      </x:c>
    </x:row>
    <x:row r="220">
      <x:c r="A220" s="83" t="str">
        <x:v>S4-00216</x:v>
      </x:c>
      <x:c r="B220" s="83" t="str">
        <x:v>IT2040_ALT_GAIT</x:v>
      </x:c>
      <x:c r="C220" s="83" t="n">
        <x:v>2040</x:v>
      </x:c>
      <x:c r="D220" s="83" t="str">
        <x:v>Storage power</x:v>
      </x:c>
      <x:c r="E220" s="83" t="str">
        <x:v>IT_SARD</x:v>
      </x:c>
      <x:c r="F220" s="83" t="str">
        <x:v>SARD</x:v>
      </x:c>
      <x:c r="G220" s="83" t="str">
        <x:v>Small Scale</x:v>
      </x:c>
      <x:c r="H220" s="83" t="str">
        <x:v>Small-scale 2h power</x:v>
      </x:c>
      <x:c r="I220" s="83" t="str">
        <x:v>battery</x:v>
      </x:c>
      <x:c r="J220" s="83" t="str">
        <x:v>Link</x:v>
      </x:c>
      <x:c r="K220" s="83" t="str">
        <x:v>p_nom</x:v>
      </x:c>
      <x:c r="L220" s="279" t="n">
        <x:v>0.19999999999999998</x:v>
      </x:c>
      <x:c r="M220" s="279" t="str">
        <x:v>GW</x:v>
      </x:c>
      <x:c r="N220" s="279" t="n">
        <x:f>IF(L220="","",IF(M220="GW",L220*1000,IF(M220="GWh",L220*1000,IF(M220="TWh",L220*1000000,L220))))</x:f>
        <x:v>199.99999999999997</x:v>
      </x:c>
      <x:c r="O220" s="83" t="str">
        <x:f>IF(L220="","",IF(M220="GW","MW",IF(OR(M220="GWh",M220="TWh"),"MWh",M220)))</x:f>
        <x:v>MW</x:v>
      </x:c>
      <x:c r="P220" s="83" t="str"/>
      <x:c r="Q220" s="349"/>
      <x:c r="R220" s="349" t="str">
        <x:f>IF(L220="","",IF(Q220&lt;&gt;"",L220*Q220,IF(OR(ISNUMBER(SEARCH("EUR2025",M220&amp;"")),P220=2025,P220="2025"),L220,"")))</x:f>
      </x:c>
      <x:c r="S220" s="83" t="str">
        <x:v>C — Derived</x:v>
      </x:c>
      <x:c r="T220" s="83" t="str">
        <x:v>Energy / 2 h.</x:v>
      </x:c>
      <x:c r="U220" s="83" t="str">
        <x:v>S09 / S01</x:v>
      </x:c>
      <x:c r="V220" s="83" t="str">
        <x:v>DDS Table 16 + harmonisation</x:v>
      </x:c>
      <x:c r="W220" s="120"/>
      <x:c r="X220" s="83" t="str">
        <x:v>C — Derived</x:v>
      </x:c>
      <x:c r="Y220" s="83" t="str">
        <x:v>Proposed</x:v>
      </x:c>
      <x:c r="Z220" s="83" t="str">
        <x:v>Ready after user approval</x:v>
      </x:c>
      <x:c r="AA220" s="83"/>
    </x:row>
    <x:row r="221">
      <x:c r="A221" s="83" t="str">
        <x:v>S4-00217</x:v>
      </x:c>
      <x:c r="B221" s="83" t="str">
        <x:v>IT2040_ALT_GAIT</x:v>
      </x:c>
      <x:c r="C221" s="83" t="n">
        <x:v>2040</x:v>
      </x:c>
      <x:c r="D221" s="83" t="str">
        <x:v>Storage</x:v>
      </x:c>
      <x:c r="E221" s="83" t="str">
        <x:v>IT_SARD</x:v>
      </x:c>
      <x:c r="F221" s="83" t="str">
        <x:v>SARD</x:v>
      </x:c>
      <x:c r="G221" s="83" t="str">
        <x:v>Small Scale</x:v>
      </x:c>
      <x:c r="H221" s="83" t="str">
        <x:v>Small-scale 4h</x:v>
      </x:c>
      <x:c r="I221" s="83" t="str">
        <x:v>battery</x:v>
      </x:c>
      <x:c r="J221" s="83" t="str">
        <x:v>Store + Links</x:v>
      </x:c>
      <x:c r="K221" s="83" t="str">
        <x:v>e_nom</x:v>
      </x:c>
      <x:c r="L221" s="279" t="n">
        <x:v>0.19999999999999998</x:v>
      </x:c>
      <x:c r="M221" s="279" t="str">
        <x:v>GWh</x:v>
      </x:c>
      <x:c r="N221" s="279" t="n">
        <x:f>IF(L221="","",IF(M221="GW",L221*1000,IF(M221="GWh",L221*1000,IF(M221="TWh",L221*1000000,L221))))</x:f>
        <x:v>199.99999999999997</x:v>
      </x:c>
      <x:c r="O221" s="83" t="str">
        <x:f>IF(L221="","",IF(M221="GW","MW",IF(OR(M221="GWh",M221="TWh"),"MWh",M221)))</x:f>
        <x:v>MWh</x:v>
      </x:c>
      <x:c r="P221" s="83" t="str"/>
      <x:c r="Q221" s="349"/>
      <x:c r="R221" s="349" t="str">
        <x:f>IF(L221="","",IF(Q221&lt;&gt;"",L221*Q221,IF(OR(ISNUMBER(SEARCH("EUR2025",M221&amp;"")),P221=2025,P221="2025"),L221,"")))</x:f>
      </x:c>
      <x:c r="S221" s="83" t="str">
        <x:v>C — Distributed assumption</x:v>
      </x:c>
      <x:c r="T221" s="83" t="str">
        <x:v>Split direct zonal energy 67%/33% between 2h/4h classes; p_nom=e_nom/4.</x:v>
      </x:c>
      <x:c r="U221" s="83" t="str">
        <x:v>S09 / S01</x:v>
      </x:c>
      <x:c r="V221" s="83" t="str">
        <x:v>DDS Table 16; 2025 observed portfolio duration</x:v>
      </x:c>
      <x:c r="W221" s="120"/>
      <x:c r="X221" s="83" t="str">
        <x:v>C — Assumed split</x:v>
      </x:c>
      <x:c r="Y221" s="83" t="str">
        <x:v>Proposed</x:v>
      </x:c>
      <x:c r="Z221" s="83" t="str">
        <x:v>Ready after user approval</x:v>
      </x:c>
      <x:c r="AA221" s="83" t="str">
        <x:v>Duration 4h; share derived from observed aggregate duration near 2.4h.</x:v>
      </x:c>
    </x:row>
    <x:row r="222">
      <x:c r="A222" s="83" t="str">
        <x:v>S4-00218</x:v>
      </x:c>
      <x:c r="B222" s="83" t="str">
        <x:v>IT2040_ALT_GAIT</x:v>
      </x:c>
      <x:c r="C222" s="83" t="n">
        <x:v>2040</x:v>
      </x:c>
      <x:c r="D222" s="83" t="str">
        <x:v>Storage power</x:v>
      </x:c>
      <x:c r="E222" s="83" t="str">
        <x:v>IT_SARD</x:v>
      </x:c>
      <x:c r="F222" s="83" t="str">
        <x:v>SARD</x:v>
      </x:c>
      <x:c r="G222" s="83" t="str">
        <x:v>Small Scale</x:v>
      </x:c>
      <x:c r="H222" s="83" t="str">
        <x:v>Small-scale 4h power</x:v>
      </x:c>
      <x:c r="I222" s="83" t="str">
        <x:v>battery</x:v>
      </x:c>
      <x:c r="J222" s="83" t="str">
        <x:v>Link</x:v>
      </x:c>
      <x:c r="K222" s="83" t="str">
        <x:v>p_nom</x:v>
      </x:c>
      <x:c r="L222" s="279" t="n">
        <x:v>0.049999999999999996</x:v>
      </x:c>
      <x:c r="M222" s="279" t="str">
        <x:v>GW</x:v>
      </x:c>
      <x:c r="N222" s="279" t="n">
        <x:f>IF(L222="","",IF(M222="GW",L222*1000,IF(M222="GWh",L222*1000,IF(M222="TWh",L222*1000000,L222))))</x:f>
        <x:v>49.99999999999999</x:v>
      </x:c>
      <x:c r="O222" s="83" t="str">
        <x:f>IF(L222="","",IF(M222="GW","MW",IF(OR(M222="GWh",M222="TWh"),"MWh",M222)))</x:f>
        <x:v>MW</x:v>
      </x:c>
      <x:c r="P222" s="83" t="str"/>
      <x:c r="Q222" s="349"/>
      <x:c r="R222" s="349" t="str">
        <x:f>IF(L222="","",IF(Q222&lt;&gt;"",L222*Q222,IF(OR(ISNUMBER(SEARCH("EUR2025",M222&amp;"")),P222=2025,P222="2025"),L222,"")))</x:f>
      </x:c>
      <x:c r="S222" s="83" t="str">
        <x:v>C — Derived</x:v>
      </x:c>
      <x:c r="T222" s="83" t="str">
        <x:v>Energy / 4 h.</x:v>
      </x:c>
      <x:c r="U222" s="83" t="str">
        <x:v>S09 / S01</x:v>
      </x:c>
      <x:c r="V222" s="83" t="str">
        <x:v>DDS Table 16 + harmonisation</x:v>
      </x:c>
      <x:c r="W222" s="120"/>
      <x:c r="X222" s="83" t="str">
        <x:v>C — Derived</x:v>
      </x:c>
      <x:c r="Y222" s="83" t="str">
        <x:v>Proposed</x:v>
      </x:c>
      <x:c r="Z222" s="83" t="str">
        <x:v>Ready after user approval</x:v>
      </x:c>
      <x:c r="AA222" s="83"/>
    </x:row>
    <x:row r="223">
      <x:c r="A223" s="83" t="str">
        <x:v>S4-00219</x:v>
      </x:c>
      <x:c r="B223" s="83" t="str">
        <x:v>IT2040_ALT_GAIT</x:v>
      </x:c>
      <x:c r="C223" s="83" t="n">
        <x:v>2040</x:v>
      </x:c>
      <x:c r="D223" s="83" t="str">
        <x:v>Storage</x:v>
      </x:c>
      <x:c r="E223" s="83" t="str">
        <x:v>IT_SARD</x:v>
      </x:c>
      <x:c r="F223" s="83" t="str">
        <x:v>SARD</x:v>
      </x:c>
      <x:c r="G223" s="83" t="str">
        <x:v>Utility Scale incl. MACSE</x:v>
      </x:c>
      <x:c r="H223" s="83" t="str">
        <x:v>Battery utility 8h</x:v>
      </x:c>
      <x:c r="I223" s="83" t="str">
        <x:v>battery</x:v>
      </x:c>
      <x:c r="J223" s="83" t="str">
        <x:v>Store + Links</x:v>
      </x:c>
      <x:c r="K223" s="83" t="str">
        <x:v>e_nom</x:v>
      </x:c>
      <x:c r="L223" s="279" t="n">
        <x:v>13.4</x:v>
      </x:c>
      <x:c r="M223" s="279" t="str">
        <x:v>GWh</x:v>
      </x:c>
      <x:c r="N223" s="279" t="n">
        <x:f>IF(L223="","",IF(M223="GW",L223*1000,IF(M223="GWh",L223*1000,IF(M223="TWh",L223*1000000,L223))))</x:f>
        <x:v>13400</x:v>
      </x:c>
      <x:c r="O223" s="83" t="str">
        <x:f>IF(L223="","",IF(M223="GW","MW",IF(OR(M223="GWh",M223="TWh"),"MWh",M223)))</x:f>
        <x:v>MWh</x:v>
      </x:c>
      <x:c r="P223" s="83" t="str"/>
      <x:c r="Q223" s="349"/>
      <x:c r="R223" s="349" t="str">
        <x:f>IF(L223="","",IF(Q223&lt;&gt;"",L223*Q223,IF(OR(ISNUMBER(SEARCH("EUR2025",M223&amp;"")),P223=2025,P223="2025"),L223,"")))</x:f>
      </x:c>
      <x:c r="S223" s="83" t="str">
        <x:v>A/C — Direct total; procurement subset identified</x:v>
      </x:c>
      <x:c r="T223" s="83" t="str">
        <x:v>DDS utility-scale total retained. A 42 GWh MACSE procurement portfolio is identified inside this total and is not added again.</x:v>
      </x:c>
      <x:c r="U223" s="83" t="str">
        <x:v>S09 + TERNA_MACSE_2028 + TERNA_MACSE_2029 + USER_DECISION</x:v>
      </x:c>
      <x:c r="V223" s="83" t="str">
        <x:v>DDS Table 16; 10 GWh MACSE 2028; 16 GWh 2029; 32 GWh available across the next two auctions</x:v>
      </x:c>
      <x:c r="W223" s="120" t="str">
        <x:v>https://www.terna.it/it/media/comunicati-stampa/dettaglio/conclusa-prima-asta-macse; https://download.terna.it/terna/Fabbisogno_di_nuova_capacita_di_stoccaggio_al_2029_8debcba830a85f3.pdf</x:v>
      </x:c>
      <x:c r="X223" s="83" t="str">
        <x:v>B/C — 26 GWh official; final 16 GWh planning tranche revisable</x:v>
      </x:c>
      <x:c r="Y223" s="83" t="str">
        <x:v>APPROVED total with MACSE subset</x:v>
      </x:c>
      <x:c r="Z223" s="83" t="str">
        <x:v>Ready when profiles/base network are available</x:v>
      </x:c>
      <x:c r="AA223" s="83" t="str">
        <x:v>MACSE path: 10 + 16 + 16 = 42 GWh. The final 16 GWh is an explicit scenario assumption based on Terna's 32 GWh quantity for the next two auctions.</x:v>
      </x:c>
    </x:row>
    <x:row r="224">
      <x:c r="A224" s="83" t="str">
        <x:v>S4-00220</x:v>
      </x:c>
      <x:c r="B224" s="83" t="str">
        <x:v>IT2040_ALT_GAIT</x:v>
      </x:c>
      <x:c r="C224" s="83" t="n">
        <x:v>2040</x:v>
      </x:c>
      <x:c r="D224" s="83" t="str">
        <x:v>Storage power</x:v>
      </x:c>
      <x:c r="E224" s="83" t="str">
        <x:v>IT_SARD</x:v>
      </x:c>
      <x:c r="F224" s="83" t="str">
        <x:v>SARD</x:v>
      </x:c>
      <x:c r="G224" s="83" t="str">
        <x:v>Utility Scale incl. MACSE</x:v>
      </x:c>
      <x:c r="H224" s="83" t="str">
        <x:v>Battery utility 8h power</x:v>
      </x:c>
      <x:c r="I224" s="83" t="str">
        <x:v>battery</x:v>
      </x:c>
      <x:c r="J224" s="83" t="str">
        <x:v>Link</x:v>
      </x:c>
      <x:c r="K224" s="83" t="str">
        <x:v>p_nom</x:v>
      </x:c>
      <x:c r="L224" s="279" t="n">
        <x:v>1.675</x:v>
      </x:c>
      <x:c r="M224" s="279" t="str">
        <x:v>GW</x:v>
      </x:c>
      <x:c r="N224" s="279" t="n">
        <x:f>IF(L224="","",IF(M224="GW",L224*1000,IF(M224="GWh",L224*1000,IF(M224="TWh",L224*1000000,L224))))</x:f>
        <x:v>1675</x:v>
      </x:c>
      <x:c r="O224" s="83" t="str">
        <x:f>IF(L224="","",IF(M224="GW","MW",IF(OR(M224="GWh",M224="TWh"),"MWh",M224)))</x:f>
        <x:v>MW</x:v>
      </x:c>
      <x:c r="P224" s="83" t="str"/>
      <x:c r="Q224" s="349"/>
      <x:c r="R224" s="349" t="str">
        <x:f>IF(L224="","",IF(Q224&lt;&gt;"",L224*Q224,IF(OR(ISNUMBER(SEARCH("EUR2025",M224&amp;"")),P224=2025,P224="2025"),L224,"")))</x:f>
      </x:c>
      <x:c r="S224" s="83" t="str">
        <x:v>B — Derived</x:v>
      </x:c>
      <x:c r="T224" s="83" t="str">
        <x:v>e_nom / 8h.</x:v>
      </x:c>
      <x:c r="U224" s="83" t="str">
        <x:v>S09 + TERNA_MACSE + USER_DECISION</x:v>
      </x:c>
      <x:c r="V224" s="83" t="str">
        <x:v>Utility-scale 8h duration; MACSE subset 42 GWh / 5.25 GW</x:v>
      </x:c>
      <x:c r="W224" s="120" t="str">
        <x:v>https://www.terna.it/it/media/comunicati-stampa/dettaglio/conclusa-prima-asta-macse; https://download.terna.it/terna/Fabbisogno_di_nuova_capacita_di_stoccaggio_al_2029_8debcba830a85f3.pdf</x:v>
      </x:c>
      <x:c r="X224" s="83" t="str">
        <x:v>B — Derived</x:v>
      </x:c>
      <x:c r="Y224" s="83" t="str">
        <x:v>APPROVED total with MACSE subset</x:v>
      </x:c>
      <x:c r="Z224" s="83" t="str">
        <x:v>Ready when profiles/base network are available</x:v>
      </x:c>
      <x:c r="AA224" s="83" t="str">
        <x:v>The 42 GWh MACSE subset corresponds to 5.25 GW at 8h and remains embedded within total utility-scale power.</x:v>
      </x:c>
    </x:row>
    <x:row r="225">
      <x:c r="A225" s="83" t="str">
        <x:v>S4-00221</x:v>
      </x:c>
      <x:c r="B225" s="83" t="str">
        <x:v>IT2040_ALT_GAIT</x:v>
      </x:c>
      <x:c r="C225" s="83" t="n">
        <x:v>2040</x:v>
      </x:c>
      <x:c r="D225" s="83" t="str">
        <x:v>Storage</x:v>
      </x:c>
      <x:c r="E225" s="83" t="str">
        <x:v>IT_SARD</x:v>
      </x:c>
      <x:c r="F225" s="83" t="str">
        <x:v>SARD</x:v>
      </x:c>
      <x:c r="G225" s="83" t="str">
        <x:v>CM</x:v>
      </x:c>
      <x:c r="H225" s="83" t="str">
        <x:v>Capacity Market battery</x:v>
      </x:c>
      <x:c r="I225" s="83" t="str">
        <x:v>battery</x:v>
      </x:c>
      <x:c r="J225" s="83" t="str">
        <x:v>Store + Links</x:v>
      </x:c>
      <x:c r="K225" s="83" t="str">
        <x:v>e_nom</x:v>
      </x:c>
      <x:c r="L225" s="279" t="n">
        <x:v>3.2</x:v>
      </x:c>
      <x:c r="M225" s="279" t="str">
        <x:v>GWh</x:v>
      </x:c>
      <x:c r="N225" s="279" t="n">
        <x:f>IF(L225="","",IF(M225="GW",L225*1000,IF(M225="GWh",L225*1000,IF(M225="TWh",L225*1000000,L225))))</x:f>
        <x:v>3200</x:v>
      </x:c>
      <x:c r="O225" s="83" t="str">
        <x:f>IF(L225="","",IF(M225="GW","MW",IF(OR(M225="GWh",M225="TWh"),"MWh",M225)))</x:f>
        <x:v>MWh</x:v>
      </x:c>
      <x:c r="P225" s="83" t="str"/>
      <x:c r="Q225" s="349"/>
      <x:c r="R225" s="349" t="str">
        <x:f>IF(L225="","",IF(Q225&lt;&gt;"",L225*Q225,IF(OR(ISNUMBER(SEARCH("EUR2025",M225&amp;"")),P225=2025,P225="2025"),L225,"")))</x:f>
      </x:c>
      <x:c r="S225" s="83" t="str">
        <x:v>A — Direct</x:v>
      </x:c>
      <x:c r="T225" s="83" t="str">
        <x:v>Direct zonal energy; duration harmonised separately.</x:v>
      </x:c>
      <x:c r="U225" s="83" t="str">
        <x:v>S09</x:v>
      </x:c>
      <x:c r="V225" s="83" t="str">
        <x:v>DDS Tabella 16</x:v>
      </x:c>
      <x:c r="W225" s="120"/>
      <x:c r="X225" s="83" t="str">
        <x:v>A — Direct</x:v>
      </x:c>
      <x:c r="Y225" s="83" t="str">
        <x:v>APPROVED direct energy; separate from MACSE</x:v>
      </x:c>
      <x:c r="Z225" s="83" t="str">
        <x:v>Ready when profiles/base network are available</x:v>
      </x:c>
      <x:c r="AA225" s="83" t="str">
        <x:v>Capacity Market energy retained from DDS. It is not the 42 GWh MACSE portfolio.</x:v>
      </x:c>
    </x:row>
    <x:row r="226">
      <x:c r="A226" s="83" t="str">
        <x:v>S4-00222</x:v>
      </x:c>
      <x:c r="B226" s="83" t="str">
        <x:v>IT2040_ALT_GAIT</x:v>
      </x:c>
      <x:c r="C226" s="83" t="n">
        <x:v>2040</x:v>
      </x:c>
      <x:c r="D226" s="83" t="str">
        <x:v>Storage power</x:v>
      </x:c>
      <x:c r="E226" s="83" t="str">
        <x:v>IT_SARD</x:v>
      </x:c>
      <x:c r="F226" s="83" t="str">
        <x:v>SARD</x:v>
      </x:c>
      <x:c r="G226" s="83" t="str">
        <x:v>CM</x:v>
      </x:c>
      <x:c r="H226" s="83" t="str">
        <x:v>Capacity Market battery power</x:v>
      </x:c>
      <x:c r="I226" s="83" t="str">
        <x:v>battery</x:v>
      </x:c>
      <x:c r="J226" s="83" t="str">
        <x:v>Link</x:v>
      </x:c>
      <x:c r="K226" s="83" t="str">
        <x:v>p_nom</x:v>
      </x:c>
      <x:c r="L226" s="279" t="n">
        <x:v>0.8</x:v>
      </x:c>
      <x:c r="M226" s="279" t="str">
        <x:v>GW</x:v>
      </x:c>
      <x:c r="N226" s="279" t="n">
        <x:f>IF(L226="","",IF(M226="GW",L226*1000,IF(M226="GWh",L226*1000,IF(M226="TWh",L226*1000000,L226))))</x:f>
        <x:v>800</x:v>
      </x:c>
      <x:c r="O226" s="83" t="str">
        <x:f>IF(L226="","",IF(M226="GW","MW",IF(OR(M226="GWh",M226="TWh"),"MWh",M226)))</x:f>
        <x:v>MW</x:v>
      </x:c>
      <x:c r="P226" s="83" t="str"/>
      <x:c r="Q226" s="349"/>
      <x:c r="R226" s="349" t="str">
        <x:f>IF(L226="","",IF(Q226&lt;&gt;"",L226*Q226,IF(OR(ISNUMBER(SEARCH("EUR2025",M226&amp;"")),P226=2025,P226="2025"),L226,"")))</x:f>
      </x:c>
      <x:c r="S226" s="83" t="str">
        <x:v>C — Assumed</x:v>
      </x:c>
      <x:c r="T226" s="83" t="str">
        <x:v>Capacity Market energy divided by the approved 4-hour duration.</x:v>
      </x:c>
      <x:c r="U226" s="83" t="str">
        <x:v>S09 + TERNA_RAI2025 + USER_DECISION</x:v>
      </x:c>
      <x:c r="V226" s="83" t="str">
        <x:v>DDS Table 16; Terna RAI 2025 §2.1.4</x:v>
      </x:c>
      <x:c r="W226" s="120" t="str">
        <x:v>https://download.terna.it/terna/Rapporto_Adeguatezza_Italia_2025_8de802607202dd6.pdf</x:v>
      </x:c>
      <x:c r="X226" s="83" t="str">
        <x:v>C — Assumed</x:v>
      </x:c>
      <x:c r="Y226" s="83" t="str">
        <x:v>APPROVED 4h derivation</x:v>
      </x:c>
      <x:c r="Z226" s="83" t="str">
        <x:v>Ready after user approval</x:v>
      </x:c>
      <x:c r="AA226" s="83" t="str">
        <x:v>Capacity Market remains a separate 4h class; no MACSE reclassification.</x:v>
      </x:c>
    </x:row>
    <x:row r="227">
      <x:c r="A227" s="83" t="str">
        <x:v>S4-00223</x:v>
      </x:c>
      <x:c r="B227" s="83" t="str">
        <x:v>IT2040_ALT_GAIT</x:v>
      </x:c>
      <x:c r="C227" s="83" t="n">
        <x:v>2040</x:v>
      </x:c>
      <x:c r="D227" s="83" t="str">
        <x:v>Storage</x:v>
      </x:c>
      <x:c r="E227" s="83" t="str">
        <x:v>PyPSA-Eur existing sites</x:v>
      </x:c>
      <x:c r="F227" s="83"/>
      <x:c r="G227" s="83" t="str">
        <x:v>Pompaggi esistenti</x:v>
      </x:c>
      <x:c r="H227" s="83" t="str">
        <x:v>Pumped hydro energy</x:v>
      </x:c>
      <x:c r="I227" s="83" t="str">
        <x:v>PHS</x:v>
      </x:c>
      <x:c r="J227" s="83" t="str">
        <x:v>Store + Links</x:v>
      </x:c>
      <x:c r="K227" s="83" t="str">
        <x:v>e_nom</x:v>
      </x:c>
      <x:c r="L227" s="279" t="n">
        <x:v>53</x:v>
      </x:c>
      <x:c r="M227" s="279" t="str">
        <x:v>GWh</x:v>
      </x:c>
      <x:c r="N227" s="279" t="n">
        <x:f>IF(L227="","",IF(M227="GW",L227*1000,IF(M227="GWh",L227*1000,IF(M227="TWh",L227*1000000,L227))))</x:f>
        <x:v>53000</x:v>
      </x:c>
      <x:c r="O227" s="83" t="str">
        <x:f>IF(L227="","",IF(M227="GW","MW",IF(OR(M227="GWh",M227="TWh"),"MWh",M227)))</x:f>
        <x:v>MWh</x:v>
      </x:c>
      <x:c r="P227" s="83" t="str"/>
      <x:c r="Q227" s="349"/>
      <x:c r="R227" s="349" t="str">
        <x:f>IF(L227="","",IF(Q227&lt;&gt;"",L227*Q227,IF(OR(ISNUMBER(SEARCH("EUR2025",M227&amp;"")),P227=2025,P227="2025"),L227,"")))</x:f>
      </x:c>
      <x:c r="S227" s="83" t="str">
        <x:v>A — Direct</x:v>
      </x:c>
      <x:c r="T227" s="83" t="str">
        <x:v>Retain existing plant geography; 53 GWh physical stock.</x:v>
      </x:c>
      <x:c r="U227" s="83" t="str">
        <x:v>S01</x:v>
      </x:c>
      <x:c r="V227" s="83" t="str">
        <x:v>Pumped-hydro stock</x:v>
      </x:c>
      <x:c r="W227" s="120"/>
      <x:c r="X227" s="83" t="str">
        <x:v>A — Direct</x:v>
      </x:c>
      <x:c r="Y227" s="83" t="str">
        <x:v>Adopted physical stock</x:v>
      </x:c>
      <x:c r="Z227" s="83" t="str">
        <x:v>Conditional on plant mapping</x:v>
      </x:c>
      <x:c r="AA227" s="83"/>
    </x:row>
    <x:row r="228">
      <x:c r="A228" s="83" t="str">
        <x:v>S4-00224</x:v>
      </x:c>
      <x:c r="B228" s="83" t="str">
        <x:v>IT2040_ALT_GAIT</x:v>
      </x:c>
      <x:c r="C228" s="83" t="n">
        <x:v>2040</x:v>
      </x:c>
      <x:c r="D228" s="83" t="str">
        <x:v>Storage power</x:v>
      </x:c>
      <x:c r="E228" s="83" t="str">
        <x:v>PyPSA-Eur existing sites</x:v>
      </x:c>
      <x:c r="F228" s="83"/>
      <x:c r="G228" s="83" t="str">
        <x:v>Pompaggi esistenti</x:v>
      </x:c>
      <x:c r="H228" s="83" t="str">
        <x:v>Pumped hydro charge power</x:v>
      </x:c>
      <x:c r="I228" s="83" t="str">
        <x:v>PHS</x:v>
      </x:c>
      <x:c r="J228" s="83" t="str">
        <x:v>Link</x:v>
      </x:c>
      <x:c r="K228" s="83" t="str">
        <x:v>p_nom</x:v>
      </x:c>
      <x:c r="L228" s="279" t="n">
        <x:v>6.4</x:v>
      </x:c>
      <x:c r="M228" s="279" t="str">
        <x:v>GW</x:v>
      </x:c>
      <x:c r="N228" s="279" t="n">
        <x:f>IF(L228="","",IF(M228="GW",L228*1000,IF(M228="GWh",L228*1000,IF(M228="TWh",L228*1000000,L228))))</x:f>
        <x:v>6400</x:v>
      </x:c>
      <x:c r="O228" s="83" t="str">
        <x:f>IF(L228="","",IF(M228="GW","MW",IF(OR(M228="GWh",M228="TWh"),"MWh",M228)))</x:f>
        <x:v>MW</x:v>
      </x:c>
      <x:c r="P228" s="83" t="str"/>
      <x:c r="Q228" s="349"/>
      <x:c r="R228" s="349" t="str">
        <x:f>IF(L228="","",IF(Q228&lt;&gt;"",L228*Q228,IF(OR(ISNUMBER(SEARCH("EUR2025",M228&amp;"")),P228=2025,P228="2025"),L228,"")))</x:f>
      </x:c>
      <x:c r="S228" s="83" t="str">
        <x:v>A — Direct</x:v>
      </x:c>
      <x:c r="T228" s="83" t="str">
        <x:v>Retain existing plant geography.</x:v>
      </x:c>
      <x:c r="U228" s="83" t="str">
        <x:v>S01</x:v>
      </x:c>
      <x:c r="V228" s="83" t="str">
        <x:v>Pumped-hydro stock</x:v>
      </x:c>
      <x:c r="W228" s="120"/>
      <x:c r="X228" s="83" t="str">
        <x:v>A — Direct</x:v>
      </x:c>
      <x:c r="Y228" s="83" t="str">
        <x:v>Adopted</x:v>
      </x:c>
      <x:c r="Z228" s="83" t="str">
        <x:v>Ready when profiles/base network are available</x:v>
      </x:c>
      <x:c r="AA228" s="83"/>
    </x:row>
    <x:row r="229">
      <x:c r="A229" s="83" t="str">
        <x:v>S4-00225</x:v>
      </x:c>
      <x:c r="B229" s="83" t="str">
        <x:v>IT2040_ALT_GAIT</x:v>
      </x:c>
      <x:c r="C229" s="83" t="n">
        <x:v>2040</x:v>
      </x:c>
      <x:c r="D229" s="83" t="str">
        <x:v>Storage power</x:v>
      </x:c>
      <x:c r="E229" s="83" t="str">
        <x:v>PyPSA-Eur existing sites</x:v>
      </x:c>
      <x:c r="F229" s="83"/>
      <x:c r="G229" s="83" t="str">
        <x:v>Pompaggi esistenti</x:v>
      </x:c>
      <x:c r="H229" s="83" t="str">
        <x:v>Pumped hydro discharge power</x:v>
      </x:c>
      <x:c r="I229" s="83" t="str">
        <x:v>PHS</x:v>
      </x:c>
      <x:c r="J229" s="83" t="str">
        <x:v>Link</x:v>
      </x:c>
      <x:c r="K229" s="83" t="str">
        <x:v>p_nom</x:v>
      </x:c>
      <x:c r="L229" s="279" t="n">
        <x:v>7.3</x:v>
      </x:c>
      <x:c r="M229" s="279" t="str">
        <x:v>GW</x:v>
      </x:c>
      <x:c r="N229" s="279" t="n">
        <x:f>IF(L229="","",IF(M229="GW",L229*1000,IF(M229="GWh",L229*1000,IF(M229="TWh",L229*1000000,L229))))</x:f>
        <x:v>7300</x:v>
      </x:c>
      <x:c r="O229" s="83" t="str">
        <x:f>IF(L229="","",IF(M229="GW","MW",IF(OR(M229="GWh",M229="TWh"),"MWh",M229)))</x:f>
        <x:v>MW</x:v>
      </x:c>
      <x:c r="P229" s="83" t="str"/>
      <x:c r="Q229" s="349"/>
      <x:c r="R229" s="349" t="str">
        <x:f>IF(L229="","",IF(Q229&lt;&gt;"",L229*Q229,IF(OR(ISNUMBER(SEARCH("EUR2025",M229&amp;"")),P229=2025,P229="2025"),L229,"")))</x:f>
      </x:c>
      <x:c r="S229" s="83" t="str">
        <x:v>A — Direct</x:v>
      </x:c>
      <x:c r="T229" s="83" t="str">
        <x:v>Retain existing plant geography.</x:v>
      </x:c>
      <x:c r="U229" s="83" t="str">
        <x:v>S01</x:v>
      </x:c>
      <x:c r="V229" s="83" t="str">
        <x:v>Pumped-hydro stock</x:v>
      </x:c>
      <x:c r="W229" s="120"/>
      <x:c r="X229" s="83" t="str">
        <x:v>A — Direct</x:v>
      </x:c>
      <x:c r="Y229" s="83" t="str">
        <x:v>Adopted</x:v>
      </x:c>
      <x:c r="Z229" s="83" t="str">
        <x:v>Ready when profiles/base network are available</x:v>
      </x:c>
      <x:c r="AA229" s="83"/>
    </x:row>
    <x:row r="230">
      <x:c r="A230" s="83" t="str">
        <x:v>S4-00226</x:v>
      </x:c>
      <x:c r="B230" s="83" t="str">
        <x:v>IT2040_ALT_GAIT</x:v>
      </x:c>
      <x:c r="C230" s="83" t="n">
        <x:v>2040</x:v>
      </x:c>
      <x:c r="D230" s="83" t="str">
        <x:v>Transmission</x:v>
      </x:c>
      <x:c r="E230" s="83" t="str">
        <x:v>NORD-&gt;CNOR</x:v>
      </x:c>
      <x:c r="F230" s="83" t="str">
        <x:v>NORD</x:v>
      </x:c>
      <x:c r="G230" s="83" t="str">
        <x:v>Capacità di scambio</x:v>
      </x:c>
      <x:c r="H230" s="83" t="str">
        <x:v>Directional interzonal link</x:v>
      </x:c>
      <x:c r="I230" s="83" t="str">
        <x:v>electricity</x:v>
      </x:c>
      <x:c r="J230" s="83" t="str">
        <x:v>Link</x:v>
      </x:c>
      <x:c r="K230" s="83" t="str">
        <x:v>p_nom</x:v>
      </x:c>
      <x:c r="L230" s="279" t="n">
        <x:v>6100</x:v>
      </x:c>
      <x:c r="M230" s="279" t="str">
        <x:v>MW</x:v>
      </x:c>
      <x:c r="N230" s="279" t="n">
        <x:f>IF(L230="","",IF(M230="GW",L230*1000,IF(M230="GWh",L230*1000,IF(M230="TWh",L230*1000000,L230))))</x:f>
        <x:v>6100</x:v>
      </x:c>
      <x:c r="O230" s="83" t="str">
        <x:f>IF(L230="","",IF(M230="GW","MW",IF(OR(M230="GWh",M230="TWh"),"MWh",M230)))</x:f>
        <x:v>MW</x:v>
      </x:c>
      <x:c r="P230" s="83" t="str"/>
      <x:c r="Q230" s="349"/>
      <x:c r="R230" s="349" t="str">
        <x:f>IF(L230="","",IF(Q230&lt;&gt;"",L230*Q230,IF(OR(ISNUMBER(SEARCH("EUR2025",M230&amp;"")),P230=2025,P230="2025"),L230,"")))</x:f>
      </x:c>
      <x:c r="S230" s="83" t="str">
        <x:v>A — Direct</x:v>
      </x:c>
      <x:c r="T230" s="83" t="str">
        <x:v>Direct directional market-transfer capacity.</x:v>
      </x:c>
      <x:c r="U230" s="83" t="str">
        <x:v>S03</x:v>
      </x:c>
      <x:c r="V230" s="83" t="str">
        <x:v>S03 Figure 3 horizon 2040</x:v>
      </x:c>
      <x:c r="W230" s="120"/>
      <x:c r="X230" s="83" t="str">
        <x:v>A — Direct</x:v>
      </x:c>
      <x:c r="Y230" s="83" t="str">
        <x:v>Adopted</x:v>
      </x:c>
      <x:c r="Z230" s="83" t="str">
        <x:v>Ready when profiles/base network are available</x:v>
      </x:c>
      <x:c r="AA230" s="83" t="str">
        <x:v>Use endogenous PyPSA-Eur borders where available; otherwise DDS 2030 totals plus separately approved project overlays</x:v>
      </x:c>
    </x:row>
    <x:row r="231">
      <x:c r="A231" s="83" t="str">
        <x:v>S4-00227</x:v>
      </x:c>
      <x:c r="B231" s="83" t="str">
        <x:v>IT2040_ALT_GAIT</x:v>
      </x:c>
      <x:c r="C231" s="83" t="n">
        <x:v>2040</x:v>
      </x:c>
      <x:c r="D231" s="83" t="str">
        <x:v>Transmission</x:v>
      </x:c>
      <x:c r="E231" s="83" t="str">
        <x:v>CNOR-&gt;NORD</x:v>
      </x:c>
      <x:c r="F231" s="83" t="str">
        <x:v>CNOR</x:v>
      </x:c>
      <x:c r="G231" s="83" t="str">
        <x:v>Capacità di scambio</x:v>
      </x:c>
      <x:c r="H231" s="83" t="str">
        <x:v>Directional interzonal link</x:v>
      </x:c>
      <x:c r="I231" s="83" t="str">
        <x:v>electricity</x:v>
      </x:c>
      <x:c r="J231" s="83" t="str">
        <x:v>Link</x:v>
      </x:c>
      <x:c r="K231" s="83" t="str">
        <x:v>p_nom</x:v>
      </x:c>
      <x:c r="L231" s="279" t="n">
        <x:v>5300</x:v>
      </x:c>
      <x:c r="M231" s="279" t="str">
        <x:v>MW</x:v>
      </x:c>
      <x:c r="N231" s="279" t="n">
        <x:f>IF(L231="","",IF(M231="GW",L231*1000,IF(M231="GWh",L231*1000,IF(M231="TWh",L231*1000000,L231))))</x:f>
        <x:v>5300</x:v>
      </x:c>
      <x:c r="O231" s="83" t="str">
        <x:f>IF(L231="","",IF(M231="GW","MW",IF(OR(M231="GWh",M231="TWh"),"MWh",M231)))</x:f>
        <x:v>MW</x:v>
      </x:c>
      <x:c r="P231" s="83" t="str"/>
      <x:c r="Q231" s="349"/>
      <x:c r="R231" s="349" t="str">
        <x:f>IF(L231="","",IF(Q231&lt;&gt;"",L231*Q231,IF(OR(ISNUMBER(SEARCH("EUR2025",M231&amp;"")),P231=2025,P231="2025"),L231,"")))</x:f>
      </x:c>
      <x:c r="S231" s="83" t="str">
        <x:v>A — Direct</x:v>
      </x:c>
      <x:c r="T231" s="83" t="str">
        <x:v>Direct directional market-transfer capacity.</x:v>
      </x:c>
      <x:c r="U231" s="83" t="str">
        <x:v>S03</x:v>
      </x:c>
      <x:c r="V231" s="83" t="str">
        <x:v>S03 Figure 3 horizon 2040</x:v>
      </x:c>
      <x:c r="W231" s="120"/>
      <x:c r="X231" s="83" t="str">
        <x:v>A — Direct</x:v>
      </x:c>
      <x:c r="Y231" s="83" t="str">
        <x:v>Adopted</x:v>
      </x:c>
      <x:c r="Z231" s="83" t="str">
        <x:v>Ready when profiles/base network are available</x:v>
      </x:c>
      <x:c r="AA231" s="83" t="str">
        <x:v>Use endogenous PyPSA-Eur borders where available; otherwise DDS 2030 totals plus separately approved project overlays</x:v>
      </x:c>
    </x:row>
    <x:row r="232">
      <x:c r="A232" s="83" t="str">
        <x:v>S4-00228</x:v>
      </x:c>
      <x:c r="B232" s="83" t="str">
        <x:v>IT2040_ALT_GAIT</x:v>
      </x:c>
      <x:c r="C232" s="83" t="n">
        <x:v>2040</x:v>
      </x:c>
      <x:c r="D232" s="83" t="str">
        <x:v>Transmission</x:v>
      </x:c>
      <x:c r="E232" s="83" t="str">
        <x:v>CNOR-&gt;CSUD</x:v>
      </x:c>
      <x:c r="F232" s="83" t="str">
        <x:v>CNOR</x:v>
      </x:c>
      <x:c r="G232" s="83" t="str">
        <x:v>Capacità di scambio</x:v>
      </x:c>
      <x:c r="H232" s="83" t="str">
        <x:v>Directional interzonal link</x:v>
      </x:c>
      <x:c r="I232" s="83" t="str">
        <x:v>electricity</x:v>
      </x:c>
      <x:c r="J232" s="83" t="str">
        <x:v>Link</x:v>
      </x:c>
      <x:c r="K232" s="83" t="str">
        <x:v>p_nom</x:v>
      </x:c>
      <x:c r="L232" s="279" t="n">
        <x:v>5400</x:v>
      </x:c>
      <x:c r="M232" s="279" t="str">
        <x:v>MW</x:v>
      </x:c>
      <x:c r="N232" s="279" t="n">
        <x:f>IF(L232="","",IF(M232="GW",L232*1000,IF(M232="GWh",L232*1000,IF(M232="TWh",L232*1000000,L232))))</x:f>
        <x:v>5400</x:v>
      </x:c>
      <x:c r="O232" s="83" t="str">
        <x:f>IF(L232="","",IF(M232="GW","MW",IF(OR(M232="GWh",M232="TWh"),"MWh",M232)))</x:f>
        <x:v>MW</x:v>
      </x:c>
      <x:c r="P232" s="83" t="str"/>
      <x:c r="Q232" s="349"/>
      <x:c r="R232" s="349" t="str">
        <x:f>IF(L232="","",IF(Q232&lt;&gt;"",L232*Q232,IF(OR(ISNUMBER(SEARCH("EUR2025",M232&amp;"")),P232=2025,P232="2025"),L232,"")))</x:f>
      </x:c>
      <x:c r="S232" s="83" t="str">
        <x:v>A — Direct</x:v>
      </x:c>
      <x:c r="T232" s="83" t="str">
        <x:v>Direct directional market-transfer capacity.</x:v>
      </x:c>
      <x:c r="U232" s="83" t="str">
        <x:v>S03</x:v>
      </x:c>
      <x:c r="V232" s="83" t="str">
        <x:v>S03 Figure 3 horizon 2040</x:v>
      </x:c>
      <x:c r="W232" s="120"/>
      <x:c r="X232" s="83" t="str">
        <x:v>A — Direct</x:v>
      </x:c>
      <x:c r="Y232" s="83" t="str">
        <x:v>Adopted</x:v>
      </x:c>
      <x:c r="Z232" s="83" t="str">
        <x:v>Ready when profiles/base network are available</x:v>
      </x:c>
      <x:c r="AA232" s="83" t="str">
        <x:v>Use endogenous PyPSA-Eur borders where available; otherwise DDS 2030 totals plus separately approved project overlays</x:v>
      </x:c>
    </x:row>
    <x:row r="233">
      <x:c r="A233" s="83" t="str">
        <x:v>S4-00229</x:v>
      </x:c>
      <x:c r="B233" s="83" t="str">
        <x:v>IT2040_ALT_GAIT</x:v>
      </x:c>
      <x:c r="C233" s="83" t="n">
        <x:v>2040</x:v>
      </x:c>
      <x:c r="D233" s="83" t="str">
        <x:v>Transmission</x:v>
      </x:c>
      <x:c r="E233" s="83" t="str">
        <x:v>CSUD-&gt;CNOR</x:v>
      </x:c>
      <x:c r="F233" s="83" t="str">
        <x:v>CSUD</x:v>
      </x:c>
      <x:c r="G233" s="83" t="str">
        <x:v>Capacità di scambio</x:v>
      </x:c>
      <x:c r="H233" s="83" t="str">
        <x:v>Directional interzonal link</x:v>
      </x:c>
      <x:c r="I233" s="83" t="str">
        <x:v>electricity</x:v>
      </x:c>
      <x:c r="J233" s="83" t="str">
        <x:v>Link</x:v>
      </x:c>
      <x:c r="K233" s="83" t="str">
        <x:v>p_nom</x:v>
      </x:c>
      <x:c r="L233" s="279" t="n">
        <x:v>6100</x:v>
      </x:c>
      <x:c r="M233" s="279" t="str">
        <x:v>MW</x:v>
      </x:c>
      <x:c r="N233" s="279" t="n">
        <x:f>IF(L233="","",IF(M233="GW",L233*1000,IF(M233="GWh",L233*1000,IF(M233="TWh",L233*1000000,L233))))</x:f>
        <x:v>6100</x:v>
      </x:c>
      <x:c r="O233" s="83" t="str">
        <x:f>IF(L233="","",IF(M233="GW","MW",IF(OR(M233="GWh",M233="TWh"),"MWh",M233)))</x:f>
        <x:v>MW</x:v>
      </x:c>
      <x:c r="P233" s="83" t="str"/>
      <x:c r="Q233" s="349"/>
      <x:c r="R233" s="349" t="str">
        <x:f>IF(L233="","",IF(Q233&lt;&gt;"",L233*Q233,IF(OR(ISNUMBER(SEARCH("EUR2025",M233&amp;"")),P233=2025,P233="2025"),L233,"")))</x:f>
      </x:c>
      <x:c r="S233" s="83" t="str">
        <x:v>A — Direct</x:v>
      </x:c>
      <x:c r="T233" s="83" t="str">
        <x:v>Direct directional market-transfer capacity.</x:v>
      </x:c>
      <x:c r="U233" s="83" t="str">
        <x:v>S03</x:v>
      </x:c>
      <x:c r="V233" s="83" t="str">
        <x:v>S03 Figure 3 horizon 2040</x:v>
      </x:c>
      <x:c r="W233" s="120"/>
      <x:c r="X233" s="83" t="str">
        <x:v>A — Direct</x:v>
      </x:c>
      <x:c r="Y233" s="83" t="str">
        <x:v>Adopted</x:v>
      </x:c>
      <x:c r="Z233" s="83" t="str">
        <x:v>Ready when profiles/base network are available</x:v>
      </x:c>
      <x:c r="AA233" s="83" t="str">
        <x:v>Use endogenous PyPSA-Eur borders where available; otherwise DDS 2030 totals plus separately approved project overlays</x:v>
      </x:c>
    </x:row>
    <x:row r="234">
      <x:c r="A234" s="83" t="str">
        <x:v>S4-00230</x:v>
      </x:c>
      <x:c r="B234" s="83" t="str">
        <x:v>IT2040_ALT_GAIT</x:v>
      </x:c>
      <x:c r="C234" s="83" t="n">
        <x:v>2040</x:v>
      </x:c>
      <x:c r="D234" s="83" t="str">
        <x:v>Transmission</x:v>
      </x:c>
      <x:c r="E234" s="83" t="str">
        <x:v>CSUD-&gt;SUD</x:v>
      </x:c>
      <x:c r="F234" s="83" t="str">
        <x:v>CSUD</x:v>
      </x:c>
      <x:c r="G234" s="83" t="str">
        <x:v>Capacità di scambio</x:v>
      </x:c>
      <x:c r="H234" s="83" t="str">
        <x:v>Directional interzonal link</x:v>
      </x:c>
      <x:c r="I234" s="83" t="str">
        <x:v>electricity</x:v>
      </x:c>
      <x:c r="J234" s="83" t="str">
        <x:v>Link</x:v>
      </x:c>
      <x:c r="K234" s="83" t="str">
        <x:v>p_nom</x:v>
      </x:c>
      <x:c r="L234" s="279" t="n">
        <x:v>6300</x:v>
      </x:c>
      <x:c r="M234" s="279" t="str">
        <x:v>MW</x:v>
      </x:c>
      <x:c r="N234" s="279" t="n">
        <x:f>IF(L234="","",IF(M234="GW",L234*1000,IF(M234="GWh",L234*1000,IF(M234="TWh",L234*1000000,L234))))</x:f>
        <x:v>6300</x:v>
      </x:c>
      <x:c r="O234" s="83" t="str">
        <x:f>IF(L234="","",IF(M234="GW","MW",IF(OR(M234="GWh",M234="TWh"),"MWh",M234)))</x:f>
        <x:v>MW</x:v>
      </x:c>
      <x:c r="P234" s="83" t="str"/>
      <x:c r="Q234" s="349"/>
      <x:c r="R234" s="349" t="str">
        <x:f>IF(L234="","",IF(Q234&lt;&gt;"",L234*Q234,IF(OR(ISNUMBER(SEARCH("EUR2025",M234&amp;"")),P234=2025,P234="2025"),L234,"")))</x:f>
      </x:c>
      <x:c r="S234" s="83" t="str">
        <x:v>A — Direct</x:v>
      </x:c>
      <x:c r="T234" s="83" t="str">
        <x:v>Direct directional market-transfer capacity.</x:v>
      </x:c>
      <x:c r="U234" s="83" t="str">
        <x:v>S03</x:v>
      </x:c>
      <x:c r="V234" s="83" t="str">
        <x:v>S03 Figure 3 horizon 2040</x:v>
      </x:c>
      <x:c r="W234" s="120"/>
      <x:c r="X234" s="83" t="str">
        <x:v>A — Direct</x:v>
      </x:c>
      <x:c r="Y234" s="83" t="str">
        <x:v>Adopted</x:v>
      </x:c>
      <x:c r="Z234" s="83" t="str">
        <x:v>Ready when profiles/base network are available</x:v>
      </x:c>
      <x:c r="AA234" s="83" t="str">
        <x:v>Use endogenous PyPSA-Eur borders where available; otherwise DDS 2030 totals plus separately approved project overlays</x:v>
      </x:c>
    </x:row>
    <x:row r="235">
      <x:c r="A235" s="83" t="str">
        <x:v>S4-00231</x:v>
      </x:c>
      <x:c r="B235" s="83" t="str">
        <x:v>IT2040_ALT_GAIT</x:v>
      </x:c>
      <x:c r="C235" s="83" t="n">
        <x:v>2040</x:v>
      </x:c>
      <x:c r="D235" s="83" t="str">
        <x:v>Transmission</x:v>
      </x:c>
      <x:c r="E235" s="83" t="str">
        <x:v>SUD-&gt;CSUD</x:v>
      </x:c>
      <x:c r="F235" s="83" t="str">
        <x:v>SUD</x:v>
      </x:c>
      <x:c r="G235" s="83" t="str">
        <x:v>Capacità di scambio</x:v>
      </x:c>
      <x:c r="H235" s="83" t="str">
        <x:v>Directional interzonal link</x:v>
      </x:c>
      <x:c r="I235" s="83" t="str">
        <x:v>electricity</x:v>
      </x:c>
      <x:c r="J235" s="83" t="str">
        <x:v>Link</x:v>
      </x:c>
      <x:c r="K235" s="83" t="str">
        <x:v>p_nom</x:v>
      </x:c>
      <x:c r="L235" s="279" t="n">
        <x:v>9100</x:v>
      </x:c>
      <x:c r="M235" s="279" t="str">
        <x:v>MW</x:v>
      </x:c>
      <x:c r="N235" s="279" t="n">
        <x:f>IF(L235="","",IF(M235="GW",L235*1000,IF(M235="GWh",L235*1000,IF(M235="TWh",L235*1000000,L235))))</x:f>
        <x:v>9100</x:v>
      </x:c>
      <x:c r="O235" s="83" t="str">
        <x:f>IF(L235="","",IF(M235="GW","MW",IF(OR(M235="GWh",M235="TWh"),"MWh",M235)))</x:f>
        <x:v>MW</x:v>
      </x:c>
      <x:c r="P235" s="83" t="str"/>
      <x:c r="Q235" s="349"/>
      <x:c r="R235" s="349" t="str">
        <x:f>IF(L235="","",IF(Q235&lt;&gt;"",L235*Q235,IF(OR(ISNUMBER(SEARCH("EUR2025",M235&amp;"")),P235=2025,P235="2025"),L235,"")))</x:f>
      </x:c>
      <x:c r="S235" s="83" t="str">
        <x:v>A — Direct</x:v>
      </x:c>
      <x:c r="T235" s="83" t="str">
        <x:v>Direct directional market-transfer capacity.</x:v>
      </x:c>
      <x:c r="U235" s="83" t="str">
        <x:v>S03</x:v>
      </x:c>
      <x:c r="V235" s="83" t="str">
        <x:v>S03 Figure 3 horizon 2040</x:v>
      </x:c>
      <x:c r="W235" s="120"/>
      <x:c r="X235" s="83" t="str">
        <x:v>A — Direct</x:v>
      </x:c>
      <x:c r="Y235" s="83" t="str">
        <x:v>Adopted</x:v>
      </x:c>
      <x:c r="Z235" s="83" t="str">
        <x:v>Ready when profiles/base network are available</x:v>
      </x:c>
      <x:c r="AA235" s="83" t="str">
        <x:v>Use endogenous PyPSA-Eur borders where available; otherwise DDS 2030 totals plus separately approved project overlays</x:v>
      </x:c>
    </x:row>
    <x:row r="236">
      <x:c r="A236" s="83" t="str">
        <x:v>S4-00232</x:v>
      </x:c>
      <x:c r="B236" s="83" t="str">
        <x:v>IT2040_ALT_GAIT</x:v>
      </x:c>
      <x:c r="C236" s="83" t="n">
        <x:v>2040</x:v>
      </x:c>
      <x:c r="D236" s="83" t="str">
        <x:v>Transmission</x:v>
      </x:c>
      <x:c r="E236" s="83" t="str">
        <x:v>SUD-&gt;CALA</x:v>
      </x:c>
      <x:c r="F236" s="83" t="str">
        <x:v>SUD</x:v>
      </x:c>
      <x:c r="G236" s="83" t="str">
        <x:v>Capacità di scambio</x:v>
      </x:c>
      <x:c r="H236" s="83" t="str">
        <x:v>Directional interzonal link</x:v>
      </x:c>
      <x:c r="I236" s="83" t="str">
        <x:v>electricity</x:v>
      </x:c>
      <x:c r="J236" s="83" t="str">
        <x:v>Link</x:v>
      </x:c>
      <x:c r="K236" s="83" t="str">
        <x:v>p_nom</x:v>
      </x:c>
      <x:c r="L236" s="279" t="n">
        <x:v>4100</x:v>
      </x:c>
      <x:c r="M236" s="279" t="str">
        <x:v>MW</x:v>
      </x:c>
      <x:c r="N236" s="279" t="n">
        <x:f>IF(L236="","",IF(M236="GW",L236*1000,IF(M236="GWh",L236*1000,IF(M236="TWh",L236*1000000,L236))))</x:f>
        <x:v>4100</x:v>
      </x:c>
      <x:c r="O236" s="83" t="str">
        <x:f>IF(L236="","",IF(M236="GW","MW",IF(OR(M236="GWh",M236="TWh"),"MWh",M236)))</x:f>
        <x:v>MW</x:v>
      </x:c>
      <x:c r="P236" s="83" t="str"/>
      <x:c r="Q236" s="349"/>
      <x:c r="R236" s="349" t="str">
        <x:f>IF(L236="","",IF(Q236&lt;&gt;"",L236*Q236,IF(OR(ISNUMBER(SEARCH("EUR2025",M236&amp;"")),P236=2025,P236="2025"),L236,"")))</x:f>
      </x:c>
      <x:c r="S236" s="83" t="str">
        <x:v>A — Direct</x:v>
      </x:c>
      <x:c r="T236" s="83" t="str">
        <x:v>Direct directional market-transfer capacity.</x:v>
      </x:c>
      <x:c r="U236" s="83" t="str">
        <x:v>S03</x:v>
      </x:c>
      <x:c r="V236" s="83" t="str">
        <x:v>S03 Figure 3 horizon 2040</x:v>
      </x:c>
      <x:c r="W236" s="120"/>
      <x:c r="X236" s="83" t="str">
        <x:v>A — Direct</x:v>
      </x:c>
      <x:c r="Y236" s="83" t="str">
        <x:v>Adopted</x:v>
      </x:c>
      <x:c r="Z236" s="83" t="str">
        <x:v>Ready when profiles/base network are available</x:v>
      </x:c>
      <x:c r="AA236" s="83" t="str">
        <x:v>Use endogenous PyPSA-Eur borders where available; otherwise DDS 2030 totals plus separately approved project overlays</x:v>
      </x:c>
    </x:row>
    <x:row r="237">
      <x:c r="A237" s="83" t="str">
        <x:v>S4-00233</x:v>
      </x:c>
      <x:c r="B237" s="83" t="str">
        <x:v>IT2040_ALT_GAIT</x:v>
      </x:c>
      <x:c r="C237" s="83" t="n">
        <x:v>2040</x:v>
      </x:c>
      <x:c r="D237" s="83" t="str">
        <x:v>Transmission</x:v>
      </x:c>
      <x:c r="E237" s="83" t="str">
        <x:v>CALA-&gt;SUD</x:v>
      </x:c>
      <x:c r="F237" s="83" t="str">
        <x:v>CALA</x:v>
      </x:c>
      <x:c r="G237" s="83" t="str">
        <x:v>Capacità di scambio</x:v>
      </x:c>
      <x:c r="H237" s="83" t="str">
        <x:v>Directional interzonal link</x:v>
      </x:c>
      <x:c r="I237" s="83" t="str">
        <x:v>electricity</x:v>
      </x:c>
      <x:c r="J237" s="83" t="str">
        <x:v>Link</x:v>
      </x:c>
      <x:c r="K237" s="83" t="str">
        <x:v>p_nom</x:v>
      </x:c>
      <x:c r="L237" s="279" t="n">
        <x:v>5350</x:v>
      </x:c>
      <x:c r="M237" s="279" t="str">
        <x:v>MW</x:v>
      </x:c>
      <x:c r="N237" s="279" t="n">
        <x:f>IF(L237="","",IF(M237="GW",L237*1000,IF(M237="GWh",L237*1000,IF(M237="TWh",L237*1000000,L237))))</x:f>
        <x:v>5350</x:v>
      </x:c>
      <x:c r="O237" s="83" t="str">
        <x:f>IF(L237="","",IF(M237="GW","MW",IF(OR(M237="GWh",M237="TWh"),"MWh",M237)))</x:f>
        <x:v>MW</x:v>
      </x:c>
      <x:c r="P237" s="83" t="str"/>
      <x:c r="Q237" s="349"/>
      <x:c r="R237" s="349" t="str">
        <x:f>IF(L237="","",IF(Q237&lt;&gt;"",L237*Q237,IF(OR(ISNUMBER(SEARCH("EUR2025",M237&amp;"")),P237=2025,P237="2025"),L237,"")))</x:f>
      </x:c>
      <x:c r="S237" s="83" t="str">
        <x:v>A — Direct</x:v>
      </x:c>
      <x:c r="T237" s="83" t="str">
        <x:v>Direct directional market-transfer capacity.</x:v>
      </x:c>
      <x:c r="U237" s="83" t="str">
        <x:v>S03</x:v>
      </x:c>
      <x:c r="V237" s="83" t="str">
        <x:v>S03 Figure 3 horizon 2040</x:v>
      </x:c>
      <x:c r="W237" s="120"/>
      <x:c r="X237" s="83" t="str">
        <x:v>A — Direct</x:v>
      </x:c>
      <x:c r="Y237" s="83" t="str">
        <x:v>Adopted</x:v>
      </x:c>
      <x:c r="Z237" s="83" t="str">
        <x:v>Ready when profiles/base network are available</x:v>
      </x:c>
      <x:c r="AA237" s="83" t="str">
        <x:v>Use endogenous PyPSA-Eur borders where available; otherwise DDS 2030 totals plus separately approved project overlays</x:v>
      </x:c>
    </x:row>
    <x:row r="238">
      <x:c r="A238" s="83" t="str">
        <x:v>S4-00234</x:v>
      </x:c>
      <x:c r="B238" s="83" t="str">
        <x:v>IT2040_ALT_GAIT</x:v>
      </x:c>
      <x:c r="C238" s="83" t="n">
        <x:v>2040</x:v>
      </x:c>
      <x:c r="D238" s="83" t="str">
        <x:v>Transmission</x:v>
      </x:c>
      <x:c r="E238" s="83" t="str">
        <x:v>CALA-&gt;SICI</x:v>
      </x:c>
      <x:c r="F238" s="83" t="str">
        <x:v>CALA</x:v>
      </x:c>
      <x:c r="G238" s="83" t="str">
        <x:v>Capacità di scambio</x:v>
      </x:c>
      <x:c r="H238" s="83" t="str">
        <x:v>Directional interzonal link</x:v>
      </x:c>
      <x:c r="I238" s="83" t="str">
        <x:v>electricity</x:v>
      </x:c>
      <x:c r="J238" s="83" t="str">
        <x:v>Link</x:v>
      </x:c>
      <x:c r="K238" s="83" t="str">
        <x:v>p_nom</x:v>
      </x:c>
      <x:c r="L238" s="279" t="n">
        <x:v>4150</x:v>
      </x:c>
      <x:c r="M238" s="279" t="str">
        <x:v>MW</x:v>
      </x:c>
      <x:c r="N238" s="279" t="n">
        <x:f>IF(L238="","",IF(M238="GW",L238*1000,IF(M238="GWh",L238*1000,IF(M238="TWh",L238*1000000,L238))))</x:f>
        <x:v>4150</x:v>
      </x:c>
      <x:c r="O238" s="83" t="str">
        <x:f>IF(L238="","",IF(M238="GW","MW",IF(OR(M238="GWh",M238="TWh"),"MWh",M238)))</x:f>
        <x:v>MW</x:v>
      </x:c>
      <x:c r="P238" s="83" t="str"/>
      <x:c r="Q238" s="349"/>
      <x:c r="R238" s="349" t="str">
        <x:f>IF(L238="","",IF(Q238&lt;&gt;"",L238*Q238,IF(OR(ISNUMBER(SEARCH("EUR2025",M238&amp;"")),P238=2025,P238="2025"),L238,"")))</x:f>
      </x:c>
      <x:c r="S238" s="83" t="str">
        <x:v>A — Direct</x:v>
      </x:c>
      <x:c r="T238" s="83" t="str">
        <x:v>Direct directional market-transfer capacity.</x:v>
      </x:c>
      <x:c r="U238" s="83" t="str">
        <x:v>S03</x:v>
      </x:c>
      <x:c r="V238" s="83" t="str">
        <x:v>S03 Figure 3 horizon 2040</x:v>
      </x:c>
      <x:c r="W238" s="120"/>
      <x:c r="X238" s="83" t="str">
        <x:v>A — Direct</x:v>
      </x:c>
      <x:c r="Y238" s="83" t="str">
        <x:v>Adopted</x:v>
      </x:c>
      <x:c r="Z238" s="83" t="str">
        <x:v>Ready when profiles/base network are available</x:v>
      </x:c>
      <x:c r="AA238" s="83" t="str">
        <x:v>Use endogenous PyPSA-Eur borders where available; otherwise DDS 2030 totals plus separately approved project overlays</x:v>
      </x:c>
    </x:row>
    <x:row r="239">
      <x:c r="A239" s="83" t="str">
        <x:v>S4-00235</x:v>
      </x:c>
      <x:c r="B239" s="83" t="str">
        <x:v>IT2040_ALT_GAIT</x:v>
      </x:c>
      <x:c r="C239" s="83" t="n">
        <x:v>2040</x:v>
      </x:c>
      <x:c r="D239" s="83" t="str">
        <x:v>Transmission</x:v>
      </x:c>
      <x:c r="E239" s="83" t="str">
        <x:v>SICI-&gt;CALA</x:v>
      </x:c>
      <x:c r="F239" s="83" t="str">
        <x:v>SICI</x:v>
      </x:c>
      <x:c r="G239" s="83" t="str">
        <x:v>Capacità di scambio</x:v>
      </x:c>
      <x:c r="H239" s="83" t="str">
        <x:v>Directional interzonal link</x:v>
      </x:c>
      <x:c r="I239" s="83" t="str">
        <x:v>electricity</x:v>
      </x:c>
      <x:c r="J239" s="83" t="str">
        <x:v>Link</x:v>
      </x:c>
      <x:c r="K239" s="83" t="str">
        <x:v>p_nom</x:v>
      </x:c>
      <x:c r="L239" s="279" t="n">
        <x:v>4100</x:v>
      </x:c>
      <x:c r="M239" s="279" t="str">
        <x:v>MW</x:v>
      </x:c>
      <x:c r="N239" s="279" t="n">
        <x:f>IF(L239="","",IF(M239="GW",L239*1000,IF(M239="GWh",L239*1000,IF(M239="TWh",L239*1000000,L239))))</x:f>
        <x:v>4100</x:v>
      </x:c>
      <x:c r="O239" s="83" t="str">
        <x:f>IF(L239="","",IF(M239="GW","MW",IF(OR(M239="GWh",M239="TWh"),"MWh",M239)))</x:f>
        <x:v>MW</x:v>
      </x:c>
      <x:c r="P239" s="83" t="str"/>
      <x:c r="Q239" s="349"/>
      <x:c r="R239" s="349" t="str">
        <x:f>IF(L239="","",IF(Q239&lt;&gt;"",L239*Q239,IF(OR(ISNUMBER(SEARCH("EUR2025",M239&amp;"")),P239=2025,P239="2025"),L239,"")))</x:f>
      </x:c>
      <x:c r="S239" s="83" t="str">
        <x:v>A — Direct</x:v>
      </x:c>
      <x:c r="T239" s="83" t="str">
        <x:v>Direct directional market-transfer capacity.</x:v>
      </x:c>
      <x:c r="U239" s="83" t="str">
        <x:v>S03</x:v>
      </x:c>
      <x:c r="V239" s="83" t="str">
        <x:v>S03 Figure 3 horizon 2040</x:v>
      </x:c>
      <x:c r="W239" s="120"/>
      <x:c r="X239" s="83" t="str">
        <x:v>A — Direct</x:v>
      </x:c>
      <x:c r="Y239" s="83" t="str">
        <x:v>Adopted</x:v>
      </x:c>
      <x:c r="Z239" s="83" t="str">
        <x:v>Ready when profiles/base network are available</x:v>
      </x:c>
      <x:c r="AA239" s="83" t="str">
        <x:v>Use endogenous PyPSA-Eur borders where available; otherwise DDS 2030 totals plus separately approved project overlays</x:v>
      </x:c>
    </x:row>
    <x:row r="240">
      <x:c r="A240" s="83" t="str">
        <x:v>S4-00236</x:v>
      </x:c>
      <x:c r="B240" s="83" t="str">
        <x:v>IT2040_ALT_GAIT</x:v>
      </x:c>
      <x:c r="C240" s="83" t="n">
        <x:v>2040</x:v>
      </x:c>
      <x:c r="D240" s="83" t="str">
        <x:v>Transmission</x:v>
      </x:c>
      <x:c r="E240" s="83" t="str">
        <x:v>CSUD-&gt;SARD</x:v>
      </x:c>
      <x:c r="F240" s="83" t="str">
        <x:v>CSUD</x:v>
      </x:c>
      <x:c r="G240" s="83" t="str">
        <x:v>Capacità di scambio</x:v>
      </x:c>
      <x:c r="H240" s="83" t="str">
        <x:v>Directional interzonal link</x:v>
      </x:c>
      <x:c r="I240" s="83" t="str">
        <x:v>electricity</x:v>
      </x:c>
      <x:c r="J240" s="83" t="str">
        <x:v>Link</x:v>
      </x:c>
      <x:c r="K240" s="83" t="str">
        <x:v>p_nom</x:v>
      </x:c>
      <x:c r="L240" s="279" t="n">
        <x:v>1720</x:v>
      </x:c>
      <x:c r="M240" s="279" t="str">
        <x:v>MW</x:v>
      </x:c>
      <x:c r="N240" s="279" t="n">
        <x:f>IF(L240="","",IF(M240="GW",L240*1000,IF(M240="GWh",L240*1000,IF(M240="TWh",L240*1000000,L240))))</x:f>
        <x:v>1720</x:v>
      </x:c>
      <x:c r="O240" s="83" t="str">
        <x:f>IF(L240="","",IF(M240="GW","MW",IF(OR(M240="GWh",M240="TWh"),"MWh",M240)))</x:f>
        <x:v>MW</x:v>
      </x:c>
      <x:c r="P240" s="83" t="str"/>
      <x:c r="Q240" s="349"/>
      <x:c r="R240" s="349" t="str">
        <x:f>IF(L240="","",IF(Q240&lt;&gt;"",L240*Q240,IF(OR(ISNUMBER(SEARCH("EUR2025",M240&amp;"")),P240=2025,P240="2025"),L240,"")))</x:f>
      </x:c>
      <x:c r="S240" s="83" t="str">
        <x:v>A — Direct</x:v>
      </x:c>
      <x:c r="T240" s="83" t="str">
        <x:v>Direct directional market-transfer capacity.</x:v>
      </x:c>
      <x:c r="U240" s="83" t="str">
        <x:v>S03</x:v>
      </x:c>
      <x:c r="V240" s="83" t="str">
        <x:v>S03 Figure 3 horizon 2040</x:v>
      </x:c>
      <x:c r="W240" s="120"/>
      <x:c r="X240" s="83" t="str">
        <x:v>A — Direct</x:v>
      </x:c>
      <x:c r="Y240" s="83" t="str">
        <x:v>Adopted</x:v>
      </x:c>
      <x:c r="Z240" s="83" t="str">
        <x:v>Ready when profiles/base network are available</x:v>
      </x:c>
      <x:c r="AA240" s="83" t="str">
        <x:v>Use endogenous PyPSA-Eur borders where available; otherwise DDS 2030 totals plus separately approved project overlays</x:v>
      </x:c>
    </x:row>
    <x:row r="241">
      <x:c r="A241" s="83" t="str">
        <x:v>S4-00237</x:v>
      </x:c>
      <x:c r="B241" s="83" t="str">
        <x:v>IT2040_ALT_GAIT</x:v>
      </x:c>
      <x:c r="C241" s="83" t="n">
        <x:v>2040</x:v>
      </x:c>
      <x:c r="D241" s="83" t="str">
        <x:v>Transmission</x:v>
      </x:c>
      <x:c r="E241" s="83" t="str">
        <x:v>SARD-&gt;CSUD</x:v>
      </x:c>
      <x:c r="F241" s="83" t="str">
        <x:v>SARD</x:v>
      </x:c>
      <x:c r="G241" s="83" t="str">
        <x:v>Capacità di scambio</x:v>
      </x:c>
      <x:c r="H241" s="83" t="str">
        <x:v>Directional interzonal link</x:v>
      </x:c>
      <x:c r="I241" s="83" t="str">
        <x:v>electricity</x:v>
      </x:c>
      <x:c r="J241" s="83" t="str">
        <x:v>Link</x:v>
      </x:c>
      <x:c r="K241" s="83" t="str">
        <x:v>p_nom</x:v>
      </x:c>
      <x:c r="L241" s="279" t="n">
        <x:v>1900</x:v>
      </x:c>
      <x:c r="M241" s="279" t="str">
        <x:v>MW</x:v>
      </x:c>
      <x:c r="N241" s="279" t="n">
        <x:f>IF(L241="","",IF(M241="GW",L241*1000,IF(M241="GWh",L241*1000,IF(M241="TWh",L241*1000000,L241))))</x:f>
        <x:v>1900</x:v>
      </x:c>
      <x:c r="O241" s="83" t="str">
        <x:f>IF(L241="","",IF(M241="GW","MW",IF(OR(M241="GWh",M241="TWh"),"MWh",M241)))</x:f>
        <x:v>MW</x:v>
      </x:c>
      <x:c r="P241" s="83" t="str"/>
      <x:c r="Q241" s="349"/>
      <x:c r="R241" s="349" t="str">
        <x:f>IF(L241="","",IF(Q241&lt;&gt;"",L241*Q241,IF(OR(ISNUMBER(SEARCH("EUR2025",M241&amp;"")),P241=2025,P241="2025"),L241,"")))</x:f>
      </x:c>
      <x:c r="S241" s="83" t="str">
        <x:v>A — Direct</x:v>
      </x:c>
      <x:c r="T241" s="83" t="str">
        <x:v>Direct directional market-transfer capacity.</x:v>
      </x:c>
      <x:c r="U241" s="83" t="str">
        <x:v>S03</x:v>
      </x:c>
      <x:c r="V241" s="83" t="str">
        <x:v>S03 Figure 3 horizon 2040</x:v>
      </x:c>
      <x:c r="W241" s="120"/>
      <x:c r="X241" s="83" t="str">
        <x:v>A — Direct</x:v>
      </x:c>
      <x:c r="Y241" s="83" t="str">
        <x:v>Adopted</x:v>
      </x:c>
      <x:c r="Z241" s="83" t="str">
        <x:v>Ready when profiles/base network are available</x:v>
      </x:c>
      <x:c r="AA241" s="83" t="str">
        <x:v>Use endogenous PyPSA-Eur borders where available; otherwise DDS 2030 totals plus separately approved project overlays</x:v>
      </x:c>
    </x:row>
    <x:row r="242">
      <x:c r="A242" s="83" t="str">
        <x:v>S4-00238</x:v>
      </x:c>
      <x:c r="B242" s="83" t="str">
        <x:v>IT2040_ALT_GAIT</x:v>
      </x:c>
      <x:c r="C242" s="83" t="n">
        <x:v>2040</x:v>
      </x:c>
      <x:c r="D242" s="83" t="str">
        <x:v>Transmission</x:v>
      </x:c>
      <x:c r="E242" s="83" t="str">
        <x:v>CNOR-&gt;CORS</x:v>
      </x:c>
      <x:c r="F242" s="83" t="str">
        <x:v>CNOR</x:v>
      </x:c>
      <x:c r="G242" s="83" t="str">
        <x:v>Capacità di scambio</x:v>
      </x:c>
      <x:c r="H242" s="83" t="str">
        <x:v>Directional interzonal link</x:v>
      </x:c>
      <x:c r="I242" s="83" t="str">
        <x:v>electricity</x:v>
      </x:c>
      <x:c r="J242" s="83" t="str">
        <x:v>Link</x:v>
      </x:c>
      <x:c r="K242" s="83" t="str">
        <x:v>p_nom</x:v>
      </x:c>
      <x:c r="L242" s="279" t="n">
        <x:v>400</x:v>
      </x:c>
      <x:c r="M242" s="279" t="str">
        <x:v>MW</x:v>
      </x:c>
      <x:c r="N242" s="279" t="n">
        <x:f>IF(L242="","",IF(M242="GW",L242*1000,IF(M242="GWh",L242*1000,IF(M242="TWh",L242*1000000,L242))))</x:f>
        <x:v>400</x:v>
      </x:c>
      <x:c r="O242" s="83" t="str">
        <x:f>IF(L242="","",IF(M242="GW","MW",IF(OR(M242="GWh",M242="TWh"),"MWh",M242)))</x:f>
        <x:v>MW</x:v>
      </x:c>
      <x:c r="P242" s="83" t="str"/>
      <x:c r="Q242" s="349"/>
      <x:c r="R242" s="349" t="str">
        <x:f>IF(L242="","",IF(Q242&lt;&gt;"",L242*Q242,IF(OR(ISNUMBER(SEARCH("EUR2025",M242&amp;"")),P242=2025,P242="2025"),L242,"")))</x:f>
      </x:c>
      <x:c r="S242" s="83" t="str">
        <x:v>A — Direct</x:v>
      </x:c>
      <x:c r="T242" s="83" t="str">
        <x:v>Direct directional market-transfer capacity.</x:v>
      </x:c>
      <x:c r="U242" s="83" t="str">
        <x:v>S03</x:v>
      </x:c>
      <x:c r="V242" s="83" t="str">
        <x:v>S03 Figure 3 horizon 2040</x:v>
      </x:c>
      <x:c r="W242" s="120"/>
      <x:c r="X242" s="83" t="str">
        <x:v>A — Direct</x:v>
      </x:c>
      <x:c r="Y242" s="83" t="str">
        <x:v>Adopted</x:v>
      </x:c>
      <x:c r="Z242" s="83" t="str">
        <x:v>Ready when profiles/base network are available</x:v>
      </x:c>
      <x:c r="AA242" s="83" t="str">
        <x:v>Use endogenous PyPSA-Eur borders where available; otherwise DDS 2030 totals plus separately approved project overlays</x:v>
      </x:c>
    </x:row>
    <x:row r="243">
      <x:c r="A243" s="83" t="str">
        <x:v>S4-00239</x:v>
      </x:c>
      <x:c r="B243" s="83" t="str">
        <x:v>IT2040_ALT_GAIT</x:v>
      </x:c>
      <x:c r="C243" s="83" t="n">
        <x:v>2040</x:v>
      </x:c>
      <x:c r="D243" s="83" t="str">
        <x:v>Transmission</x:v>
      </x:c>
      <x:c r="E243" s="83" t="str">
        <x:v>CORS-&gt;CNOR</x:v>
      </x:c>
      <x:c r="F243" s="83" t="str">
        <x:v>CORS</x:v>
      </x:c>
      <x:c r="G243" s="83" t="str">
        <x:v>Capacità di scambio</x:v>
      </x:c>
      <x:c r="H243" s="83" t="str">
        <x:v>Directional interzonal link</x:v>
      </x:c>
      <x:c r="I243" s="83" t="str">
        <x:v>electricity</x:v>
      </x:c>
      <x:c r="J243" s="83" t="str">
        <x:v>Link</x:v>
      </x:c>
      <x:c r="K243" s="83" t="str">
        <x:v>p_nom</x:v>
      </x:c>
      <x:c r="L243" s="279" t="n">
        <x:v>400</x:v>
      </x:c>
      <x:c r="M243" s="279" t="str">
        <x:v>MW</x:v>
      </x:c>
      <x:c r="N243" s="279" t="n">
        <x:f>IF(L243="","",IF(M243="GW",L243*1000,IF(M243="GWh",L243*1000,IF(M243="TWh",L243*1000000,L243))))</x:f>
        <x:v>400</x:v>
      </x:c>
      <x:c r="O243" s="83" t="str">
        <x:f>IF(L243="","",IF(M243="GW","MW",IF(OR(M243="GWh",M243="TWh"),"MWh",M243)))</x:f>
        <x:v>MW</x:v>
      </x:c>
      <x:c r="P243" s="83" t="str"/>
      <x:c r="Q243" s="349"/>
      <x:c r="R243" s="349" t="str">
        <x:f>IF(L243="","",IF(Q243&lt;&gt;"",L243*Q243,IF(OR(ISNUMBER(SEARCH("EUR2025",M243&amp;"")),P243=2025,P243="2025"),L243,"")))</x:f>
      </x:c>
      <x:c r="S243" s="83" t="str">
        <x:v>A — Direct</x:v>
      </x:c>
      <x:c r="T243" s="83" t="str">
        <x:v>Direct directional market-transfer capacity.</x:v>
      </x:c>
      <x:c r="U243" s="83" t="str">
        <x:v>S03</x:v>
      </x:c>
      <x:c r="V243" s="83" t="str">
        <x:v>S03 Figure 3 horizon 2040</x:v>
      </x:c>
      <x:c r="W243" s="120"/>
      <x:c r="X243" s="83" t="str">
        <x:v>A — Direct</x:v>
      </x:c>
      <x:c r="Y243" s="83" t="str">
        <x:v>Adopted</x:v>
      </x:c>
      <x:c r="Z243" s="83" t="str">
        <x:v>Ready when profiles/base network are available</x:v>
      </x:c>
      <x:c r="AA243" s="83" t="str">
        <x:v>Use endogenous PyPSA-Eur borders where available; otherwise DDS 2030 totals plus separately approved project overlays</x:v>
      </x:c>
    </x:row>
    <x:row r="244">
      <x:c r="A244" s="83" t="str">
        <x:v>S4-00240</x:v>
      </x:c>
      <x:c r="B244" s="83" t="str">
        <x:v>IT2040_ALT_GAIT</x:v>
      </x:c>
      <x:c r="C244" s="83" t="n">
        <x:v>2040</x:v>
      </x:c>
      <x:c r="D244" s="83" t="str">
        <x:v>Transmission</x:v>
      </x:c>
      <x:c r="E244" s="83" t="str">
        <x:v>CORS-&gt;SARD</x:v>
      </x:c>
      <x:c r="F244" s="83" t="str">
        <x:v>CORS</x:v>
      </x:c>
      <x:c r="G244" s="83" t="str">
        <x:v>Capacità di scambio</x:v>
      </x:c>
      <x:c r="H244" s="83" t="str">
        <x:v>Directional interzonal link</x:v>
      </x:c>
      <x:c r="I244" s="83" t="str">
        <x:v>electricity</x:v>
      </x:c>
      <x:c r="J244" s="83" t="str">
        <x:v>Link</x:v>
      </x:c>
      <x:c r="K244" s="83" t="str">
        <x:v>p_nom</x:v>
      </x:c>
      <x:c r="L244" s="279" t="n">
        <x:v>400</x:v>
      </x:c>
      <x:c r="M244" s="279" t="str">
        <x:v>MW</x:v>
      </x:c>
      <x:c r="N244" s="279" t="n">
        <x:f>IF(L244="","",IF(M244="GW",L244*1000,IF(M244="GWh",L244*1000,IF(M244="TWh",L244*1000000,L244))))</x:f>
        <x:v>400</x:v>
      </x:c>
      <x:c r="O244" s="83" t="str">
        <x:f>IF(L244="","",IF(M244="GW","MW",IF(OR(M244="GWh",M244="TWh"),"MWh",M244)))</x:f>
        <x:v>MW</x:v>
      </x:c>
      <x:c r="P244" s="83" t="str"/>
      <x:c r="Q244" s="349"/>
      <x:c r="R244" s="349" t="str">
        <x:f>IF(L244="","",IF(Q244&lt;&gt;"",L244*Q244,IF(OR(ISNUMBER(SEARCH("EUR2025",M244&amp;"")),P244=2025,P244="2025"),L244,"")))</x:f>
      </x:c>
      <x:c r="S244" s="83" t="str">
        <x:v>A — Direct</x:v>
      </x:c>
      <x:c r="T244" s="83" t="str">
        <x:v>Direct directional market-transfer capacity.</x:v>
      </x:c>
      <x:c r="U244" s="83" t="str">
        <x:v>S03</x:v>
      </x:c>
      <x:c r="V244" s="83" t="str">
        <x:v>S03 Figure 3 horizon 2040</x:v>
      </x:c>
      <x:c r="W244" s="120"/>
      <x:c r="X244" s="83" t="str">
        <x:v>A — Direct</x:v>
      </x:c>
      <x:c r="Y244" s="83" t="str">
        <x:v>Adopted</x:v>
      </x:c>
      <x:c r="Z244" s="83" t="str">
        <x:v>Ready when profiles/base network are available</x:v>
      </x:c>
      <x:c r="AA244" s="83" t="str">
        <x:v>Use endogenous PyPSA-Eur borders where available; otherwise DDS 2030 totals plus separately approved project overlays</x:v>
      </x:c>
    </x:row>
    <x:row r="245">
      <x:c r="A245" s="83" t="str">
        <x:v>S4-00241</x:v>
      </x:c>
      <x:c r="B245" s="83" t="str">
        <x:v>IT2040_ALT_GAIT</x:v>
      </x:c>
      <x:c r="C245" s="83" t="n">
        <x:v>2040</x:v>
      </x:c>
      <x:c r="D245" s="83" t="str">
        <x:v>Transmission</x:v>
      </x:c>
      <x:c r="E245" s="83" t="str">
        <x:v>SARD-&gt;CORS</x:v>
      </x:c>
      <x:c r="F245" s="83" t="str">
        <x:v>SARD</x:v>
      </x:c>
      <x:c r="G245" s="83" t="str">
        <x:v>Capacità di scambio</x:v>
      </x:c>
      <x:c r="H245" s="83" t="str">
        <x:v>Directional interzonal link</x:v>
      </x:c>
      <x:c r="I245" s="83" t="str">
        <x:v>electricity</x:v>
      </x:c>
      <x:c r="J245" s="83" t="str">
        <x:v>Link</x:v>
      </x:c>
      <x:c r="K245" s="83" t="str">
        <x:v>p_nom</x:v>
      </x:c>
      <x:c r="L245" s="279" t="n">
        <x:v>400</x:v>
      </x:c>
      <x:c r="M245" s="279" t="str">
        <x:v>MW</x:v>
      </x:c>
      <x:c r="N245" s="279" t="n">
        <x:f>IF(L245="","",IF(M245="GW",L245*1000,IF(M245="GWh",L245*1000,IF(M245="TWh",L245*1000000,L245))))</x:f>
        <x:v>400</x:v>
      </x:c>
      <x:c r="O245" s="83" t="str">
        <x:f>IF(L245="","",IF(M245="GW","MW",IF(OR(M245="GWh",M245="TWh"),"MWh",M245)))</x:f>
        <x:v>MW</x:v>
      </x:c>
      <x:c r="P245" s="83" t="str"/>
      <x:c r="Q245" s="349"/>
      <x:c r="R245" s="349" t="str">
        <x:f>IF(L245="","",IF(Q245&lt;&gt;"",L245*Q245,IF(OR(ISNUMBER(SEARCH("EUR2025",M245&amp;"")),P245=2025,P245="2025"),L245,"")))</x:f>
      </x:c>
      <x:c r="S245" s="83" t="str">
        <x:v>A — Direct</x:v>
      </x:c>
      <x:c r="T245" s="83" t="str">
        <x:v>Direct directional market-transfer capacity.</x:v>
      </x:c>
      <x:c r="U245" s="83" t="str">
        <x:v>S03</x:v>
      </x:c>
      <x:c r="V245" s="83" t="str">
        <x:v>S03 Figure 3 horizon 2040</x:v>
      </x:c>
      <x:c r="W245" s="120"/>
      <x:c r="X245" s="83" t="str">
        <x:v>A — Direct</x:v>
      </x:c>
      <x:c r="Y245" s="83" t="str">
        <x:v>Adopted</x:v>
      </x:c>
      <x:c r="Z245" s="83" t="str">
        <x:v>Ready when profiles/base network are available</x:v>
      </x:c>
      <x:c r="AA245" s="83" t="str">
        <x:v>Use endogenous PyPSA-Eur borders where available; otherwise DDS 2030 totals plus separately approved project overlays</x:v>
      </x:c>
    </x:row>
    <x:row r="246">
      <x:c r="A246" s="83" t="str">
        <x:v>S4-00242</x:v>
      </x:c>
      <x:c r="B246" s="83" t="str">
        <x:v>IT2040_ALT_GAIT</x:v>
      </x:c>
      <x:c r="C246" s="83" t="n">
        <x:v>2040</x:v>
      </x:c>
      <x:c r="D246" s="83" t="str">
        <x:v>Transmission</x:v>
      </x:c>
      <x:c r="E246" s="83" t="str">
        <x:v>NORD-&gt;SUD</x:v>
      </x:c>
      <x:c r="F246" s="83" t="str">
        <x:v>NORD</x:v>
      </x:c>
      <x:c r="G246" s="83" t="str">
        <x:v>Capacità di scambio</x:v>
      </x:c>
      <x:c r="H246" s="83" t="str">
        <x:v>Directional interzonal link</x:v>
      </x:c>
      <x:c r="I246" s="83" t="str">
        <x:v>electricity</x:v>
      </x:c>
      <x:c r="J246" s="83" t="str">
        <x:v>Link</x:v>
      </x:c>
      <x:c r="K246" s="83" t="str">
        <x:v>p_nom</x:v>
      </x:c>
      <x:c r="L246" s="279" t="n">
        <x:v>2100</x:v>
      </x:c>
      <x:c r="M246" s="279" t="str">
        <x:v>MW</x:v>
      </x:c>
      <x:c r="N246" s="279" t="n">
        <x:f>IF(L246="","",IF(M246="GW",L246*1000,IF(M246="GWh",L246*1000,IF(M246="TWh",L246*1000000,L246))))</x:f>
        <x:v>2100</x:v>
      </x:c>
      <x:c r="O246" s="83" t="str">
        <x:f>IF(L246="","",IF(M246="GW","MW",IF(OR(M246="GWh",M246="TWh"),"MWh",M246)))</x:f>
        <x:v>MW</x:v>
      </x:c>
      <x:c r="P246" s="83" t="str"/>
      <x:c r="Q246" s="349"/>
      <x:c r="R246" s="349" t="str">
        <x:f>IF(L246="","",IF(Q246&lt;&gt;"",L246*Q246,IF(OR(ISNUMBER(SEARCH("EUR2025",M246&amp;"")),P246=2025,P246="2025"),L246,"")))</x:f>
      </x:c>
      <x:c r="S246" s="83" t="str">
        <x:v>A — Direct</x:v>
      </x:c>
      <x:c r="T246" s="83" t="str">
        <x:v>Direct directional market-transfer capacity.</x:v>
      </x:c>
      <x:c r="U246" s="83" t="str">
        <x:v>S03</x:v>
      </x:c>
      <x:c r="V246" s="83" t="str">
        <x:v>S03 Figure 3 horizon 2040</x:v>
      </x:c>
      <x:c r="W246" s="120"/>
      <x:c r="X246" s="83" t="str">
        <x:v>A — Direct</x:v>
      </x:c>
      <x:c r="Y246" s="83" t="str">
        <x:v>Adopted</x:v>
      </x:c>
      <x:c r="Z246" s="83" t="str">
        <x:v>Ready when profiles/base network are available</x:v>
      </x:c>
      <x:c r="AA246" s="83" t="str">
        <x:v>Use endogenous PyPSA-Eur borders where available; otherwise DDS 2030 totals plus separately approved project overlays</x:v>
      </x:c>
    </x:row>
    <x:row r="247">
      <x:c r="A247" s="83" t="str">
        <x:v>S4-00243</x:v>
      </x:c>
      <x:c r="B247" s="83" t="str">
        <x:v>IT2040_ALT_GAIT</x:v>
      </x:c>
      <x:c r="C247" s="83" t="n">
        <x:v>2040</x:v>
      </x:c>
      <x:c r="D247" s="83" t="str">
        <x:v>Transmission</x:v>
      </x:c>
      <x:c r="E247" s="83" t="str">
        <x:v>SUD-&gt;NORD</x:v>
      </x:c>
      <x:c r="F247" s="83" t="str">
        <x:v>SUD</x:v>
      </x:c>
      <x:c r="G247" s="83" t="str">
        <x:v>Capacità di scambio</x:v>
      </x:c>
      <x:c r="H247" s="83" t="str">
        <x:v>Directional interzonal link</x:v>
      </x:c>
      <x:c r="I247" s="83" t="str">
        <x:v>electricity</x:v>
      </x:c>
      <x:c r="J247" s="83" t="str">
        <x:v>Link</x:v>
      </x:c>
      <x:c r="K247" s="83" t="str">
        <x:v>p_nom</x:v>
      </x:c>
      <x:c r="L247" s="279" t="n">
        <x:v>2100</x:v>
      </x:c>
      <x:c r="M247" s="279" t="str">
        <x:v>MW</x:v>
      </x:c>
      <x:c r="N247" s="279" t="n">
        <x:f>IF(L247="","",IF(M247="GW",L247*1000,IF(M247="GWh",L247*1000,IF(M247="TWh",L247*1000000,L247))))</x:f>
        <x:v>2100</x:v>
      </x:c>
      <x:c r="O247" s="83" t="str">
        <x:f>IF(L247="","",IF(M247="GW","MW",IF(OR(M247="GWh",M247="TWh"),"MWh",M247)))</x:f>
        <x:v>MW</x:v>
      </x:c>
      <x:c r="P247" s="83" t="str"/>
      <x:c r="Q247" s="349"/>
      <x:c r="R247" s="349" t="str">
        <x:f>IF(L247="","",IF(Q247&lt;&gt;"",L247*Q247,IF(OR(ISNUMBER(SEARCH("EUR2025",M247&amp;"")),P247=2025,P247="2025"),L247,"")))</x:f>
      </x:c>
      <x:c r="S247" s="83" t="str">
        <x:v>A — Direct</x:v>
      </x:c>
      <x:c r="T247" s="83" t="str">
        <x:v>Direct directional market-transfer capacity.</x:v>
      </x:c>
      <x:c r="U247" s="83" t="str">
        <x:v>S03</x:v>
      </x:c>
      <x:c r="V247" s="83" t="str">
        <x:v>S03 Figure 3 horizon 2040</x:v>
      </x:c>
      <x:c r="W247" s="120"/>
      <x:c r="X247" s="83" t="str">
        <x:v>A — Direct</x:v>
      </x:c>
      <x:c r="Y247" s="83" t="str">
        <x:v>Adopted</x:v>
      </x:c>
      <x:c r="Z247" s="83" t="str">
        <x:v>Ready when profiles/base network are available</x:v>
      </x:c>
      <x:c r="AA247" s="83" t="str">
        <x:v>Use endogenous PyPSA-Eur borders where available; otherwise DDS 2030 totals plus separately approved project overlays</x:v>
      </x:c>
    </x:row>
    <x:row r="248">
      <x:c r="A248" s="83" t="str">
        <x:v>S4-00244</x:v>
      </x:c>
      <x:c r="B248" s="83" t="str">
        <x:v>IT2040_ALT_GAIT</x:v>
      </x:c>
      <x:c r="C248" s="83" t="n">
        <x:v>2040</x:v>
      </x:c>
      <x:c r="D248" s="83" t="str">
        <x:v>Transmission</x:v>
      </x:c>
      <x:c r="E248" s="83" t="str">
        <x:v>NORD-&gt;CSUD</x:v>
      </x:c>
      <x:c r="F248" s="83" t="str">
        <x:v>NORD</x:v>
      </x:c>
      <x:c r="G248" s="83" t="str">
        <x:v>Capacità di scambio</x:v>
      </x:c>
      <x:c r="H248" s="83" t="str">
        <x:v>Directional interzonal link</x:v>
      </x:c>
      <x:c r="I248" s="83" t="str">
        <x:v>electricity</x:v>
      </x:c>
      <x:c r="J248" s="83" t="str">
        <x:v>Link</x:v>
      </x:c>
      <x:c r="K248" s="83" t="str">
        <x:v>p_nom</x:v>
      </x:c>
      <x:c r="L248" s="279" t="n">
        <x:v>2100</x:v>
      </x:c>
      <x:c r="M248" s="279" t="str">
        <x:v>MW</x:v>
      </x:c>
      <x:c r="N248" s="279" t="n">
        <x:f>IF(L248="","",IF(M248="GW",L248*1000,IF(M248="GWh",L248*1000,IF(M248="TWh",L248*1000000,L248))))</x:f>
        <x:v>2100</x:v>
      </x:c>
      <x:c r="O248" s="83" t="str">
        <x:f>IF(L248="","",IF(M248="GW","MW",IF(OR(M248="GWh",M248="TWh"),"MWh",M248)))</x:f>
        <x:v>MW</x:v>
      </x:c>
      <x:c r="P248" s="83" t="str"/>
      <x:c r="Q248" s="349"/>
      <x:c r="R248" s="349" t="str">
        <x:f>IF(L248="","",IF(Q248&lt;&gt;"",L248*Q248,IF(OR(ISNUMBER(SEARCH("EUR2025",M248&amp;"")),P248=2025,P248="2025"),L248,"")))</x:f>
      </x:c>
      <x:c r="S248" s="83" t="str">
        <x:v>A — Direct</x:v>
      </x:c>
      <x:c r="T248" s="83" t="str">
        <x:v>Direct directional market-transfer capacity.</x:v>
      </x:c>
      <x:c r="U248" s="83" t="str">
        <x:v>S03</x:v>
      </x:c>
      <x:c r="V248" s="83" t="str">
        <x:v>S03 Figure 3 horizon 2040</x:v>
      </x:c>
      <x:c r="W248" s="120"/>
      <x:c r="X248" s="83" t="str">
        <x:v>A — Direct</x:v>
      </x:c>
      <x:c r="Y248" s="83" t="str">
        <x:v>Adopted</x:v>
      </x:c>
      <x:c r="Z248" s="83" t="str">
        <x:v>Ready when profiles/base network are available</x:v>
      </x:c>
      <x:c r="AA248" s="83" t="str">
        <x:v>Use endogenous PyPSA-Eur borders where available; otherwise DDS 2030 totals plus separately approved project overlays</x:v>
      </x:c>
    </x:row>
    <x:row r="249">
      <x:c r="A249" s="83" t="str">
        <x:v>S4-00245</x:v>
      </x:c>
      <x:c r="B249" s="83" t="str">
        <x:v>IT2040_ALT_GAIT</x:v>
      </x:c>
      <x:c r="C249" s="83" t="n">
        <x:v>2040</x:v>
      </x:c>
      <x:c r="D249" s="83" t="str">
        <x:v>Transmission</x:v>
      </x:c>
      <x:c r="E249" s="83" t="str">
        <x:v>CSUD-&gt;NORD</x:v>
      </x:c>
      <x:c r="F249" s="83" t="str">
        <x:v>CSUD</x:v>
      </x:c>
      <x:c r="G249" s="83" t="str">
        <x:v>Capacità di scambio</x:v>
      </x:c>
      <x:c r="H249" s="83" t="str">
        <x:v>Directional interzonal link</x:v>
      </x:c>
      <x:c r="I249" s="83" t="str">
        <x:v>electricity</x:v>
      </x:c>
      <x:c r="J249" s="83" t="str">
        <x:v>Link</x:v>
      </x:c>
      <x:c r="K249" s="83" t="str">
        <x:v>p_nom</x:v>
      </x:c>
      <x:c r="L249" s="279" t="n">
        <x:v>2100</x:v>
      </x:c>
      <x:c r="M249" s="279" t="str">
        <x:v>MW</x:v>
      </x:c>
      <x:c r="N249" s="279" t="n">
        <x:f>IF(L249="","",IF(M249="GW",L249*1000,IF(M249="GWh",L249*1000,IF(M249="TWh",L249*1000000,L249))))</x:f>
        <x:v>2100</x:v>
      </x:c>
      <x:c r="O249" s="83" t="str">
        <x:f>IF(L249="","",IF(M249="GW","MW",IF(OR(M249="GWh",M249="TWh"),"MWh",M249)))</x:f>
        <x:v>MW</x:v>
      </x:c>
      <x:c r="P249" s="83" t="str"/>
      <x:c r="Q249" s="349"/>
      <x:c r="R249" s="349" t="str">
        <x:f>IF(L249="","",IF(Q249&lt;&gt;"",L249*Q249,IF(OR(ISNUMBER(SEARCH("EUR2025",M249&amp;"")),P249=2025,P249="2025"),L249,"")))</x:f>
      </x:c>
      <x:c r="S249" s="83" t="str">
        <x:v>A — Direct</x:v>
      </x:c>
      <x:c r="T249" s="83" t="str">
        <x:v>Direct directional market-transfer capacity.</x:v>
      </x:c>
      <x:c r="U249" s="83" t="str">
        <x:v>S03</x:v>
      </x:c>
      <x:c r="V249" s="83" t="str">
        <x:v>S03 Figure 3 horizon 2040</x:v>
      </x:c>
      <x:c r="W249" s="120"/>
      <x:c r="X249" s="83" t="str">
        <x:v>A — Direct</x:v>
      </x:c>
      <x:c r="Y249" s="83" t="str">
        <x:v>Adopted</x:v>
      </x:c>
      <x:c r="Z249" s="83" t="str">
        <x:v>Ready when profiles/base network are available</x:v>
      </x:c>
      <x:c r="AA249" s="83" t="str">
        <x:v>Use endogenous PyPSA-Eur borders where available; otherwise DDS 2030 totals plus separately approved project overlays</x:v>
      </x:c>
    </x:row>
    <x:row r="250">
      <x:c r="A250" s="83" t="str">
        <x:v>S4-00246</x:v>
      </x:c>
      <x:c r="B250" s="83" t="str">
        <x:v>IT2040_ALT_GAIT</x:v>
      </x:c>
      <x:c r="C250" s="83" t="n">
        <x:v>2040</x:v>
      </x:c>
      <x:c r="D250" s="83" t="str">
        <x:v>Transmission</x:v>
      </x:c>
      <x:c r="E250" s="83" t="str">
        <x:v>CSUD-&gt;SICI</x:v>
      </x:c>
      <x:c r="F250" s="83" t="str">
        <x:v>CSUD</x:v>
      </x:c>
      <x:c r="G250" s="83" t="str">
        <x:v>Capacità di scambio</x:v>
      </x:c>
      <x:c r="H250" s="83" t="str">
        <x:v>Directional interzonal link</x:v>
      </x:c>
      <x:c r="I250" s="83" t="str">
        <x:v>electricity</x:v>
      </x:c>
      <x:c r="J250" s="83" t="str">
        <x:v>Link</x:v>
      </x:c>
      <x:c r="K250" s="83" t="str">
        <x:v>p_nom</x:v>
      </x:c>
      <x:c r="L250" s="279" t="n">
        <x:v>1000</x:v>
      </x:c>
      <x:c r="M250" s="279" t="str">
        <x:v>MW</x:v>
      </x:c>
      <x:c r="N250" s="279" t="n">
        <x:f>IF(L250="","",IF(M250="GW",L250*1000,IF(M250="GWh",L250*1000,IF(M250="TWh",L250*1000000,L250))))</x:f>
        <x:v>1000</x:v>
      </x:c>
      <x:c r="O250" s="83" t="str">
        <x:f>IF(L250="","",IF(M250="GW","MW",IF(OR(M250="GWh",M250="TWh"),"MWh",M250)))</x:f>
        <x:v>MW</x:v>
      </x:c>
      <x:c r="P250" s="83" t="str"/>
      <x:c r="Q250" s="349"/>
      <x:c r="R250" s="349" t="str">
        <x:f>IF(L250="","",IF(Q250&lt;&gt;"",L250*Q250,IF(OR(ISNUMBER(SEARCH("EUR2025",M250&amp;"")),P250=2025,P250="2025"),L250,"")))</x:f>
      </x:c>
      <x:c r="S250" s="83" t="str">
        <x:v>A — Direct</x:v>
      </x:c>
      <x:c r="T250" s="83" t="str">
        <x:v>Direct directional market-transfer capacity.</x:v>
      </x:c>
      <x:c r="U250" s="83" t="str">
        <x:v>S03</x:v>
      </x:c>
      <x:c r="V250" s="83" t="str">
        <x:v>S03 Figure 3 horizon 2040</x:v>
      </x:c>
      <x:c r="W250" s="120"/>
      <x:c r="X250" s="83" t="str">
        <x:v>A — Direct</x:v>
      </x:c>
      <x:c r="Y250" s="83" t="str">
        <x:v>Adopted</x:v>
      </x:c>
      <x:c r="Z250" s="83" t="str">
        <x:v>Ready when profiles/base network are available</x:v>
      </x:c>
      <x:c r="AA250" s="83" t="str">
        <x:v>Use endogenous PyPSA-Eur borders where available; otherwise DDS 2030 totals plus separately approved project overlays</x:v>
      </x:c>
    </x:row>
    <x:row r="251">
      <x:c r="A251" s="83" t="str">
        <x:v>S4-00247</x:v>
      </x:c>
      <x:c r="B251" s="83" t="str">
        <x:v>IT2040_ALT_GAIT</x:v>
      </x:c>
      <x:c r="C251" s="83" t="n">
        <x:v>2040</x:v>
      </x:c>
      <x:c r="D251" s="83" t="str">
        <x:v>Transmission</x:v>
      </x:c>
      <x:c r="E251" s="83" t="str">
        <x:v>SICI-&gt;CSUD</x:v>
      </x:c>
      <x:c r="F251" s="83" t="str">
        <x:v>SICI</x:v>
      </x:c>
      <x:c r="G251" s="83" t="str">
        <x:v>Capacità di scambio</x:v>
      </x:c>
      <x:c r="H251" s="83" t="str">
        <x:v>Directional interzonal link</x:v>
      </x:c>
      <x:c r="I251" s="83" t="str">
        <x:v>electricity</x:v>
      </x:c>
      <x:c r="J251" s="83" t="str">
        <x:v>Link</x:v>
      </x:c>
      <x:c r="K251" s="83" t="str">
        <x:v>p_nom</x:v>
      </x:c>
      <x:c r="L251" s="279" t="n">
        <x:v>1000</x:v>
      </x:c>
      <x:c r="M251" s="279" t="str">
        <x:v>MW</x:v>
      </x:c>
      <x:c r="N251" s="279" t="n">
        <x:f>IF(L251="","",IF(M251="GW",L251*1000,IF(M251="GWh",L251*1000,IF(M251="TWh",L251*1000000,L251))))</x:f>
        <x:v>1000</x:v>
      </x:c>
      <x:c r="O251" s="83" t="str">
        <x:f>IF(L251="","",IF(M251="GW","MW",IF(OR(M251="GWh",M251="TWh"),"MWh",M251)))</x:f>
        <x:v>MW</x:v>
      </x:c>
      <x:c r="P251" s="83" t="str"/>
      <x:c r="Q251" s="349"/>
      <x:c r="R251" s="349" t="str">
        <x:f>IF(L251="","",IF(Q251&lt;&gt;"",L251*Q251,IF(OR(ISNUMBER(SEARCH("EUR2025",M251&amp;"")),P251=2025,P251="2025"),L251,"")))</x:f>
      </x:c>
      <x:c r="S251" s="83" t="str">
        <x:v>A — Direct</x:v>
      </x:c>
      <x:c r="T251" s="83" t="str">
        <x:v>Direct directional market-transfer capacity.</x:v>
      </x:c>
      <x:c r="U251" s="83" t="str">
        <x:v>S03</x:v>
      </x:c>
      <x:c r="V251" s="83" t="str">
        <x:v>S03 Figure 3 horizon 2040</x:v>
      </x:c>
      <x:c r="W251" s="120"/>
      <x:c r="X251" s="83" t="str">
        <x:v>A — Direct</x:v>
      </x:c>
      <x:c r="Y251" s="83" t="str">
        <x:v>Adopted</x:v>
      </x:c>
      <x:c r="Z251" s="83" t="str">
        <x:v>Ready when profiles/base network are available</x:v>
      </x:c>
      <x:c r="AA251" s="83" t="str">
        <x:v>Use endogenous PyPSA-Eur borders where available; otherwise DDS 2030 totals plus separately approved project overlays</x:v>
      </x:c>
    </x:row>
    <x:row r="252">
      <x:c r="A252" s="83" t="str">
        <x:v>S4-00248</x:v>
      </x:c>
      <x:c r="B252" s="83" t="str">
        <x:v>IT2040_ALT_GAIT</x:v>
      </x:c>
      <x:c r="C252" s="83" t="n">
        <x:v>2040</x:v>
      </x:c>
      <x:c r="D252" s="83" t="str">
        <x:v>Transmission</x:v>
      </x:c>
      <x:c r="E252" s="83" t="str">
        <x:v>SARD-&gt;SICI</x:v>
      </x:c>
      <x:c r="F252" s="83" t="str">
        <x:v>SARD</x:v>
      </x:c>
      <x:c r="G252" s="83" t="str">
        <x:v>Capacità di scambio</x:v>
      </x:c>
      <x:c r="H252" s="83" t="str">
        <x:v>Directional interzonal link</x:v>
      </x:c>
      <x:c r="I252" s="83" t="str">
        <x:v>electricity</x:v>
      </x:c>
      <x:c r="J252" s="83" t="str">
        <x:v>Link</x:v>
      </x:c>
      <x:c r="K252" s="83" t="str">
        <x:v>p_nom</x:v>
      </x:c>
      <x:c r="L252" s="279" t="n">
        <x:v>1000</x:v>
      </x:c>
      <x:c r="M252" s="279" t="str">
        <x:v>MW</x:v>
      </x:c>
      <x:c r="N252" s="279" t="n">
        <x:f>IF(L252="","",IF(M252="GW",L252*1000,IF(M252="GWh",L252*1000,IF(M252="TWh",L252*1000000,L252))))</x:f>
        <x:v>1000</x:v>
      </x:c>
      <x:c r="O252" s="83" t="str">
        <x:f>IF(L252="","",IF(M252="GW","MW",IF(OR(M252="GWh",M252="TWh"),"MWh",M252)))</x:f>
        <x:v>MW</x:v>
      </x:c>
      <x:c r="P252" s="83" t="str"/>
      <x:c r="Q252" s="349"/>
      <x:c r="R252" s="349" t="str">
        <x:f>IF(L252="","",IF(Q252&lt;&gt;"",L252*Q252,IF(OR(ISNUMBER(SEARCH("EUR2025",M252&amp;"")),P252=2025,P252="2025"),L252,"")))</x:f>
      </x:c>
      <x:c r="S252" s="83" t="str">
        <x:v>A — Direct</x:v>
      </x:c>
      <x:c r="T252" s="83" t="str">
        <x:v>Direct directional market-transfer capacity.</x:v>
      </x:c>
      <x:c r="U252" s="83" t="str">
        <x:v>S03</x:v>
      </x:c>
      <x:c r="V252" s="83" t="str">
        <x:v>S03 Figure 3 horizon 2040</x:v>
      </x:c>
      <x:c r="W252" s="120"/>
      <x:c r="X252" s="83" t="str">
        <x:v>A — Direct</x:v>
      </x:c>
      <x:c r="Y252" s="83" t="str">
        <x:v>Adopted</x:v>
      </x:c>
      <x:c r="Z252" s="83" t="str">
        <x:v>Ready when profiles/base network are available</x:v>
      </x:c>
      <x:c r="AA252" s="83" t="str">
        <x:v>Use endogenous PyPSA-Eur borders where available; otherwise DDS 2030 totals plus separately approved project overlays</x:v>
      </x:c>
    </x:row>
    <x:row r="253">
      <x:c r="A253" s="83" t="str">
        <x:v>S4-00249</x:v>
      </x:c>
      <x:c r="B253" s="83" t="str">
        <x:v>IT2040_ALT_GAIT</x:v>
      </x:c>
      <x:c r="C253" s="83" t="n">
        <x:v>2040</x:v>
      </x:c>
      <x:c r="D253" s="83" t="str">
        <x:v>Transmission</x:v>
      </x:c>
      <x:c r="E253" s="83" t="str">
        <x:v>SICI-&gt;SARD</x:v>
      </x:c>
      <x:c r="F253" s="83" t="str">
        <x:v>SICI</x:v>
      </x:c>
      <x:c r="G253" s="83" t="str">
        <x:v>Capacità di scambio</x:v>
      </x:c>
      <x:c r="H253" s="83" t="str">
        <x:v>Directional interzonal link</x:v>
      </x:c>
      <x:c r="I253" s="83" t="str">
        <x:v>electricity</x:v>
      </x:c>
      <x:c r="J253" s="83" t="str">
        <x:v>Link</x:v>
      </x:c>
      <x:c r="K253" s="83" t="str">
        <x:v>p_nom</x:v>
      </x:c>
      <x:c r="L253" s="279" t="n">
        <x:v>1000</x:v>
      </x:c>
      <x:c r="M253" s="279" t="str">
        <x:v>MW</x:v>
      </x:c>
      <x:c r="N253" s="279" t="n">
        <x:f>IF(L253="","",IF(M253="GW",L253*1000,IF(M253="GWh",L253*1000,IF(M253="TWh",L253*1000000,L253))))</x:f>
        <x:v>1000</x:v>
      </x:c>
      <x:c r="O253" s="83" t="str">
        <x:f>IF(L253="","",IF(M253="GW","MW",IF(OR(M253="GWh",M253="TWh"),"MWh",M253)))</x:f>
        <x:v>MW</x:v>
      </x:c>
      <x:c r="P253" s="83" t="str"/>
      <x:c r="Q253" s="349"/>
      <x:c r="R253" s="349" t="str">
        <x:f>IF(L253="","",IF(Q253&lt;&gt;"",L253*Q253,IF(OR(ISNUMBER(SEARCH("EUR2025",M253&amp;"")),P253=2025,P253="2025"),L253,"")))</x:f>
      </x:c>
      <x:c r="S253" s="83" t="str">
        <x:v>A — Direct</x:v>
      </x:c>
      <x:c r="T253" s="83" t="str">
        <x:v>Direct directional market-transfer capacity.</x:v>
      </x:c>
      <x:c r="U253" s="83" t="str">
        <x:v>S03</x:v>
      </x:c>
      <x:c r="V253" s="83" t="str">
        <x:v>S03 Figure 3 horizon 2040</x:v>
      </x:c>
      <x:c r="W253" s="120"/>
      <x:c r="X253" s="83" t="str">
        <x:v>A — Direct</x:v>
      </x:c>
      <x:c r="Y253" s="83" t="str">
        <x:v>Adopted</x:v>
      </x:c>
      <x:c r="Z253" s="83" t="str">
        <x:v>Ready when profiles/base network are available</x:v>
      </x:c>
      <x:c r="AA253" s="83" t="str">
        <x:v>Use endogenous PyPSA-Eur borders where available; otherwise DDS 2030 totals plus separately approved project overlays</x:v>
      </x:c>
    </x:row>
    <x:row r="254">
      <x:c r="A254" s="83" t="str">
        <x:v>S4-00250</x:v>
      </x:c>
      <x:c r="B254" s="83" t="str">
        <x:v>IT2040_ALT_GAIT</x:v>
      </x:c>
      <x:c r="C254" s="83" t="n">
        <x:v>2040</x:v>
      </x:c>
      <x:c r="D254" s="83" t="str">
        <x:v>Fuel and CO2</x:v>
      </x:c>
      <x:c r="E254" s="83" t="str">
        <x:v>Italy</x:v>
      </x:c>
      <x:c r="F254" s="83"/>
      <x:c r="G254" s="83" t="str">
        <x:v>Gas naturale</x:v>
      </x:c>
      <x:c r="H254" s="83" t="str">
        <x:v>Natural gas fuel price</x:v>
      </x:c>
      <x:c r="I254" s="83" t="str">
        <x:v>gas</x:v>
      </x:c>
      <x:c r="J254" s="83" t="str">
        <x:v>Carrier/Generator</x:v>
      </x:c>
      <x:c r="K254" s="83" t="str">
        <x:v>fuel_cost</x:v>
      </x:c>
      <x:c r="L254" s="279" t="n">
        <x:v>36.4</x:v>
      </x:c>
      <x:c r="M254" s="279" t="str">
        <x:v>EUR2023/MWh_th</x:v>
      </x:c>
      <x:c r="N254" s="279" t="n">
        <x:f>IF(L254="","",IF(M254="GW",L254*1000,IF(M254="GWh",L254*1000,IF(M254="TWh",L254*1000000,L254))))</x:f>
        <x:v>36.4</x:v>
      </x:c>
      <x:c r="O254" s="83" t="str">
        <x:f>IF(L254="","",IF(M254="GW","MW",IF(OR(M254="GWh",M254="TWh"),"MWh",M254)))</x:f>
        <x:v>EUR2023/MWh_th</x:v>
      </x:c>
      <x:c r="P254" s="83" t="n">
        <x:v>2023</x:v>
      </x:c>
      <x:c r="Q254" s="349" t="n">
        <x:v>1.045504</x:v>
      </x:c>
      <x:c r="R254" s="349" t="n">
        <x:f>IF(L254="","",IF(Q254&lt;&gt;"",L254*Q254,IF(OR(ISNUMBER(SEARCH("EUR2025",M254&amp;"")),P254=2025,P254="2025"),L254,"")))</x:f>
        <x:v>38.0563456</x:v>
      </x:c>
      <x:c r="S254" s="83" t="str">
        <x:v>A — Direct</x:v>
      </x:c>
      <x:c r="T254" s="83" t="str">
        <x:v>Inflate to EUR2025 using euro-area annual HICP rates 2024 and 2025.</x:v>
      </x:c>
      <x:c r="U254" s="83" t="str">
        <x:v>S01 / S09</x:v>
      </x:c>
      <x:c r="V254" s="83" t="str">
        <x:v>Commodity tables</x:v>
      </x:c>
      <x:c r="W254" s="120" t="str">
        <x:v>https://www.ecb.europa.eu/stats/ecb_surveys/survey_of_professional_forecasters/html/ecb.spf2025q4.en.html</x:v>
      </x:c>
      <x:c r="X254" s="83" t="str">
        <x:v>A — Direct</x:v>
      </x:c>
      <x:c r="Y254" s="83" t="str">
        <x:v>Adopted scenario override</x:v>
      </x:c>
      <x:c r="Z254" s="83" t="str">
        <x:v>Ready when profiles/base network are available</x:v>
      </x:c>
      <x:c r="AA254" s="83"/>
    </x:row>
    <x:row r="255">
      <x:c r="A255" s="83" t="str">
        <x:v>S4-00251</x:v>
      </x:c>
      <x:c r="B255" s="83" t="str">
        <x:v>IT2040_ALT_GAIT</x:v>
      </x:c>
      <x:c r="C255" s="83" t="n">
        <x:v>2040</x:v>
      </x:c>
      <x:c r="D255" s="83" t="str">
        <x:v>Fuel and CO2</x:v>
      </x:c>
      <x:c r="E255" s="83" t="str">
        <x:v>Italy</x:v>
      </x:c>
      <x:c r="F255" s="83"/>
      <x:c r="G255" s="83" t="str">
        <x:v>CO2 ETS</x:v>
      </x:c>
      <x:c r="H255" s="83" t="str">
        <x:v>CO2 allowance price</x:v>
      </x:c>
      <x:c r="I255" s="83" t="str">
        <x:v>co2</x:v>
      </x:c>
      <x:c r="J255" s="83" t="str">
        <x:v>Carrier/Generator</x:v>
      </x:c>
      <x:c r="K255" s="83" t="str">
        <x:v>marginal_cost build</x:v>
      </x:c>
      <x:c r="L255" s="279" t="n">
        <x:v>100</x:v>
      </x:c>
      <x:c r="M255" s="279" t="str">
        <x:v>EUR2023/tCO2</x:v>
      </x:c>
      <x:c r="N255" s="279" t="n">
        <x:f>IF(L255="","",IF(M255="GW",L255*1000,IF(M255="GWh",L255*1000,IF(M255="TWh",L255*1000000,L255))))</x:f>
        <x:v>100</x:v>
      </x:c>
      <x:c r="O255" s="83" t="str">
        <x:f>IF(L255="","",IF(M255="GW","MW",IF(OR(M255="GWh",M255="TWh"),"MWh",M255)))</x:f>
        <x:v>EUR2023/tCO2</x:v>
      </x:c>
      <x:c r="P255" s="83" t="n">
        <x:v>2023</x:v>
      </x:c>
      <x:c r="Q255" s="349" t="n">
        <x:v>1.045504</x:v>
      </x:c>
      <x:c r="R255" s="349" t="n">
        <x:f>IF(L255="","",IF(Q255&lt;&gt;"",L255*Q255,IF(OR(ISNUMBER(SEARCH("EUR2025",M255&amp;"")),P255=2025,P255="2025"),L255,"")))</x:f>
        <x:v>104.5504</x:v>
      </x:c>
      <x:c r="S255" s="83" t="str">
        <x:v>A — Direct</x:v>
      </x:c>
      <x:c r="T255" s="83" t="str">
        <x:v>Inflate to EUR2025 using euro-area annual HICP rates 2024 and 2025.</x:v>
      </x:c>
      <x:c r="U255" s="83" t="str">
        <x:v>S01 / S09</x:v>
      </x:c>
      <x:c r="V255" s="83" t="str">
        <x:v>Commodity tables</x:v>
      </x:c>
      <x:c r="W255" s="120" t="str">
        <x:v>https://www.ecb.europa.eu/stats/ecb_surveys/survey_of_professional_forecasters/html/ecb.spf2025q4.en.html</x:v>
      </x:c>
      <x:c r="X255" s="83" t="str">
        <x:v>A — Direct</x:v>
      </x:c>
      <x:c r="Y255" s="83" t="str">
        <x:v>Adopted scenario override</x:v>
      </x:c>
      <x:c r="Z255" s="83" t="str">
        <x:v>Ready when profiles/base network are available</x:v>
      </x:c>
      <x:c r="AA255" s="83"/>
    </x:row>
    <x:row r="256">
      <x:c r="A256" s="83" t="str">
        <x:v>S4-00252</x:v>
      </x:c>
      <x:c r="B256" s="83" t="str">
        <x:v>IT2040_ALT_GAIT</x:v>
      </x:c>
      <x:c r="C256" s="83" t="n">
        <x:v>2040</x:v>
      </x:c>
      <x:c r="D256" s="83" t="str">
        <x:v>Technical parameters</x:v>
      </x:c>
      <x:c r="E256" s="83" t="str">
        <x:v>National technology class</x:v>
      </x:c>
      <x:c r="F256" s="83"/>
      <x:c r="G256" s="83" t="str">
        <x:v>CCGT</x:v>
      </x:c>
      <x:c r="H256" s="83" t="str">
        <x:v>CCGT efficiency</x:v>
      </x:c>
      <x:c r="I256" s="83" t="str">
        <x:v>ccgt</x:v>
      </x:c>
      <x:c r="J256" s="83" t="str">
        <x:v>Generator/Carrier</x:v>
      </x:c>
      <x:c r="K256" s="83" t="str">
        <x:v>efficiency</x:v>
      </x:c>
      <x:c r="L256" s="279" t="n">
        <x:v>0.59</x:v>
      </x:c>
      <x:c r="M256" s="279" t="str">
        <x:v>per unit</x:v>
      </x:c>
      <x:c r="N256" s="279" t="n">
        <x:f>IF(L256="","",IF(M256="GW",L256*1000,IF(M256="GWh",L256*1000,IF(M256="TWh",L256*1000000,L256))))</x:f>
        <x:v>0.59</x:v>
      </x:c>
      <x:c r="O256" s="83" t="str">
        <x:f>IF(L256="","",IF(M256="GW","MW",IF(OR(M256="GWh",M256="TWh"),"MWh",M256)))</x:f>
        <x:v>per unit</x:v>
      </x:c>
      <x:c r="P256" s="83" t="str">
        <x:v>2015.0</x:v>
      </x:c>
      <x:c r="Q256" s="349"/>
      <x:c r="R256" s="349" t="str">
        <x:f>IF(L256="","",IF(Q256&lt;&gt;"",L256*Q256,IF(OR(ISNUMBER(SEARCH("EUR2025",M256&amp;"")),P256=2025,P256="2025"),L256,"")))</x:f>
      </x:c>
      <x:c r="S256" s="83" t="str">
        <x:v>C — External candidate</x:v>
      </x:c>
      <x:c r="T256" s="83" t="str">
        <x:v>Use v0.15.0 provisionally; actual CLI release/commit overrides.</x:v>
      </x:c>
      <x:c r="U256" s="83" t="str">
        <x:v>EXT-TD</x:v>
      </x:c>
      <x:c r="V256" s="83" t="str">
        <x:v>PyPSA technology-data v0.15.0 2040</x:v>
      </x:c>
      <x:c r="W256" s="120" t="str">
        <x:v>https://github.com/PyPSA/technology-data/releases/tag/v0.15.0</x:v>
      </x:c>
      <x:c r="X256" s="83" t="str">
        <x:v>C — Provisional</x:v>
      </x:c>
      <x:c r="Y256" s="83" t="str">
        <x:v>Provisional</x:v>
      </x:c>
      <x:c r="Z256" s="83" t="str">
        <x:v>Blocked until CLI pin/cohort mapping</x:v>
      </x:c>
      <x:c r="AA256" s="83"/>
    </x:row>
    <x:row r="257">
      <x:c r="A257" s="83" t="str">
        <x:v>S4-00253</x:v>
      </x:c>
      <x:c r="B257" s="83" t="str">
        <x:v>IT2040_ALT_GAIT</x:v>
      </x:c>
      <x:c r="C257" s="83" t="n">
        <x:v>2040</x:v>
      </x:c>
      <x:c r="D257" s="83" t="str">
        <x:v>Technical parameters</x:v>
      </x:c>
      <x:c r="E257" s="83" t="str">
        <x:v>National technology class</x:v>
      </x:c>
      <x:c r="F257" s="83"/>
      <x:c r="G257" s="83" t="str">
        <x:v>CCGT</x:v>
      </x:c>
      <x:c r="H257" s="83" t="str">
        <x:v>CCGT VOM</x:v>
      </x:c>
      <x:c r="I257" s="83" t="str">
        <x:v>ccgt</x:v>
      </x:c>
      <x:c r="J257" s="83" t="str">
        <x:v>Generator/Carrier</x:v>
      </x:c>
      <x:c r="K257" s="83" t="str">
        <x:v>marginal_cost/VOM</x:v>
      </x:c>
      <x:c r="L257" s="279" t="n">
        <x:v>5.4768</x:v>
      </x:c>
      <x:c r="M257" s="279" t="str">
        <x:v>EUR/MWh</x:v>
      </x:c>
      <x:c r="N257" s="279" t="n">
        <x:f>IF(L257="","",IF(M257="GW",L257*1000,IF(M257="GWh",L257*1000,IF(M257="TWh",L257*1000000,L257))))</x:f>
        <x:v>5.4768</x:v>
      </x:c>
      <x:c r="O257" s="83" t="str">
        <x:f>IF(L257="","",IF(M257="GW","MW",IF(OR(M257="GWh",M257="TWh"),"MWh",M257)))</x:f>
        <x:v>EUR/MWh</x:v>
      </x:c>
      <x:c r="P257" s="83" t="str">
        <x:v>2025.0</x:v>
      </x:c>
      <x:c r="Q257" s="349"/>
      <x:c r="R257" s="349" t="n">
        <x:f>IF(L257="","",IF(Q257&lt;&gt;"",L257*Q257,IF(OR(ISNUMBER(SEARCH("EUR2025",M257&amp;"")),P257=2025,P257="2025"),L257,"")))</x:f>
        <x:v>5.4768</x:v>
      </x:c>
      <x:c r="S257" s="83" t="str">
        <x:v>C — External candidate</x:v>
      </x:c>
      <x:c r="T257" s="83" t="str">
        <x:v>Use v0.15.0 provisionally; actual CLI release/commit overrides.</x:v>
      </x:c>
      <x:c r="U257" s="83" t="str">
        <x:v>EXT-TD</x:v>
      </x:c>
      <x:c r="V257" s="83" t="str">
        <x:v>PyPSA technology-data v0.15.0 2040</x:v>
      </x:c>
      <x:c r="W257" s="120" t="str">
        <x:v>https://github.com/PyPSA/technology-data/releases/tag/v0.15.0</x:v>
      </x:c>
      <x:c r="X257" s="83" t="str">
        <x:v>C — Provisional</x:v>
      </x:c>
      <x:c r="Y257" s="83" t="str">
        <x:v>Provisional</x:v>
      </x:c>
      <x:c r="Z257" s="83" t="str">
        <x:v>Blocked until CLI pin/cohort mapping</x:v>
      </x:c>
      <x:c r="AA257" s="83"/>
    </x:row>
    <x:row r="258">
      <x:c r="A258" s="83" t="str">
        <x:v>S4-00254</x:v>
      </x:c>
      <x:c r="B258" s="83" t="str">
        <x:v>IT2040_ALT_GAIT</x:v>
      </x:c>
      <x:c r="C258" s="83" t="n">
        <x:v>2040</x:v>
      </x:c>
      <x:c r="D258" s="83" t="str">
        <x:v>Technical parameters</x:v>
      </x:c>
      <x:c r="E258" s="83" t="str">
        <x:v>National technology class</x:v>
      </x:c>
      <x:c r="F258" s="83"/>
      <x:c r="G258" s="83" t="str">
        <x:v>OCGT</x:v>
      </x:c>
      <x:c r="H258" s="83" t="str">
        <x:v>OCGT efficiency</x:v>
      </x:c>
      <x:c r="I258" s="83" t="str">
        <x:v>ocgt</x:v>
      </x:c>
      <x:c r="J258" s="83" t="str">
        <x:v>Generator/Carrier</x:v>
      </x:c>
      <x:c r="K258" s="83" t="str">
        <x:v>efficiency</x:v>
      </x:c>
      <x:c r="L258" s="279" t="n">
        <x:v>0.42</x:v>
      </x:c>
      <x:c r="M258" s="279" t="str">
        <x:v>per unit</x:v>
      </x:c>
      <x:c r="N258" s="279" t="n">
        <x:f>IF(L258="","",IF(M258="GW",L258*1000,IF(M258="GWh",L258*1000,IF(M258="TWh",L258*1000000,L258))))</x:f>
        <x:v>0.42</x:v>
      </x:c>
      <x:c r="O258" s="83" t="str">
        <x:f>IF(L258="","",IF(M258="GW","MW",IF(OR(M258="GWh",M258="TWh"),"MWh",M258)))</x:f>
        <x:v>per unit</x:v>
      </x:c>
      <x:c r="P258" s="83" t="str">
        <x:v>2015.0</x:v>
      </x:c>
      <x:c r="Q258" s="349"/>
      <x:c r="R258" s="349" t="str">
        <x:f>IF(L258="","",IF(Q258&lt;&gt;"",L258*Q258,IF(OR(ISNUMBER(SEARCH("EUR2025",M258&amp;"")),P258=2025,P258="2025"),L258,"")))</x:f>
      </x:c>
      <x:c r="S258" s="83" t="str">
        <x:v>C — External candidate</x:v>
      </x:c>
      <x:c r="T258" s="83" t="str">
        <x:v>Use v0.15.0 provisionally; actual CLI release/commit overrides.</x:v>
      </x:c>
      <x:c r="U258" s="83" t="str">
        <x:v>EXT-TD</x:v>
      </x:c>
      <x:c r="V258" s="83" t="str">
        <x:v>PyPSA technology-data v0.15.0 2040</x:v>
      </x:c>
      <x:c r="W258" s="120" t="str">
        <x:v>https://github.com/PyPSA/technology-data/releases/tag/v0.15.0</x:v>
      </x:c>
      <x:c r="X258" s="83" t="str">
        <x:v>C — Provisional</x:v>
      </x:c>
      <x:c r="Y258" s="83" t="str">
        <x:v>Provisional</x:v>
      </x:c>
      <x:c r="Z258" s="83" t="str">
        <x:v>Blocked until CLI pin/cohort mapping</x:v>
      </x:c>
      <x:c r="AA258" s="83"/>
    </x:row>
    <x:row r="259">
      <x:c r="A259" s="83" t="str">
        <x:v>S4-00255</x:v>
      </x:c>
      <x:c r="B259" s="83" t="str">
        <x:v>IT2040_ALT_GAIT</x:v>
      </x:c>
      <x:c r="C259" s="83" t="n">
        <x:v>2040</x:v>
      </x:c>
      <x:c r="D259" s="83" t="str">
        <x:v>Technical parameters</x:v>
      </x:c>
      <x:c r="E259" s="83" t="str">
        <x:v>National technology class</x:v>
      </x:c>
      <x:c r="F259" s="83"/>
      <x:c r="G259" s="83" t="str">
        <x:v>OCGT</x:v>
      </x:c>
      <x:c r="H259" s="83" t="str">
        <x:v>OCGT VOM</x:v>
      </x:c>
      <x:c r="I259" s="83" t="str">
        <x:v>ocgt</x:v>
      </x:c>
      <x:c r="J259" s="83" t="str">
        <x:v>Generator/Carrier</x:v>
      </x:c>
      <x:c r="K259" s="83" t="str">
        <x:v>marginal_cost/VOM</x:v>
      </x:c>
      <x:c r="L259" s="279" t="n">
        <x:v>6.0111</x:v>
      </x:c>
      <x:c r="M259" s="279" t="str">
        <x:v>EUR/MWh</x:v>
      </x:c>
      <x:c r="N259" s="279" t="n">
        <x:f>IF(L259="","",IF(M259="GW",L259*1000,IF(M259="GWh",L259*1000,IF(M259="TWh",L259*1000000,L259))))</x:f>
        <x:v>6.0111</x:v>
      </x:c>
      <x:c r="O259" s="83" t="str">
        <x:f>IF(L259="","",IF(M259="GW","MW",IF(OR(M259="GWh",M259="TWh"),"MWh",M259)))</x:f>
        <x:v>EUR/MWh</x:v>
      </x:c>
      <x:c r="P259" s="83" t="str">
        <x:v>2025.0</x:v>
      </x:c>
      <x:c r="Q259" s="349"/>
      <x:c r="R259" s="349" t="n">
        <x:f>IF(L259="","",IF(Q259&lt;&gt;"",L259*Q259,IF(OR(ISNUMBER(SEARCH("EUR2025",M259&amp;"")),P259=2025,P259="2025"),L259,"")))</x:f>
        <x:v>6.0111</x:v>
      </x:c>
      <x:c r="S259" s="83" t="str">
        <x:v>C — External candidate</x:v>
      </x:c>
      <x:c r="T259" s="83" t="str">
        <x:v>Use v0.15.0 provisionally; actual CLI release/commit overrides.</x:v>
      </x:c>
      <x:c r="U259" s="83" t="str">
        <x:v>EXT-TD</x:v>
      </x:c>
      <x:c r="V259" s="83" t="str">
        <x:v>PyPSA technology-data v0.15.0 2040</x:v>
      </x:c>
      <x:c r="W259" s="120" t="str">
        <x:v>https://github.com/PyPSA/technology-data/releases/tag/v0.15.0</x:v>
      </x:c>
      <x:c r="X259" s="83" t="str">
        <x:v>C — Provisional</x:v>
      </x:c>
      <x:c r="Y259" s="83" t="str">
        <x:v>Provisional</x:v>
      </x:c>
      <x:c r="Z259" s="83" t="str">
        <x:v>Blocked until CLI pin/cohort mapping</x:v>
      </x:c>
      <x:c r="AA259" s="83"/>
    </x:row>
    <x:row r="260">
      <x:c r="A260" s="83" t="str">
        <x:v>S4-00256</x:v>
      </x:c>
      <x:c r="B260" s="83" t="str">
        <x:v>IT2040_ALT_GAIT</x:v>
      </x:c>
      <x:c r="C260" s="83" t="n">
        <x:v>2040</x:v>
      </x:c>
      <x:c r="D260" s="83" t="str">
        <x:v>Technical parameters</x:v>
      </x:c>
      <x:c r="E260" s="83" t="str">
        <x:v>National technology class</x:v>
      </x:c>
      <x:c r="F260" s="83"/>
      <x:c r="G260" s="83" t="str">
        <x:v>gas</x:v>
      </x:c>
      <x:c r="H260" s="83" t="str">
        <x:v>gas CO2 intensity</x:v>
      </x:c>
      <x:c r="I260" s="83" t="str">
        <x:v>gas</x:v>
      </x:c>
      <x:c r="J260" s="83" t="str">
        <x:v>Generator/Carrier</x:v>
      </x:c>
      <x:c r="K260" s="83" t="str">
        <x:v>co2_emissions</x:v>
      </x:c>
      <x:c r="L260" s="279" t="n">
        <x:v>0.198</x:v>
      </x:c>
      <x:c r="M260" s="279" t="str">
        <x:v>tCO2/MWh_th</x:v>
      </x:c>
      <x:c r="N260" s="279" t="n">
        <x:f>IF(L260="","",IF(M260="GW",L260*1000,IF(M260="GWh",L260*1000,IF(M260="TWh",L260*1000000,L260))))</x:f>
        <x:v>0.198</x:v>
      </x:c>
      <x:c r="O260" s="83" t="str">
        <x:f>IF(L260="","",IF(M260="GW","MW",IF(OR(M260="GWh",M260="TWh"),"MWh",M260)))</x:f>
        <x:v>tCO2/MWh_th</x:v>
      </x:c>
      <x:c r="P260" s="83" t="str"/>
      <x:c r="Q260" s="349"/>
      <x:c r="R260" s="349" t="str">
        <x:f>IF(L260="","",IF(Q260&lt;&gt;"",L260*Q260,IF(OR(ISNUMBER(SEARCH("EUR2025",M260&amp;"")),P260=2025,P260="2025"),L260,"")))</x:f>
      </x:c>
      <x:c r="S260" s="83" t="str">
        <x:v>C — External candidate</x:v>
      </x:c>
      <x:c r="T260" s="83" t="str">
        <x:v>Use v0.15.0 provisionally; actual CLI release/commit overrides.</x:v>
      </x:c>
      <x:c r="U260" s="83" t="str">
        <x:v>EXT-TD</x:v>
      </x:c>
      <x:c r="V260" s="83" t="str">
        <x:v>PyPSA technology-data v0.15.0 2040</x:v>
      </x:c>
      <x:c r="W260" s="120" t="str">
        <x:v>https://github.com/PyPSA/technology-data/releases/tag/v0.15.0</x:v>
      </x:c>
      <x:c r="X260" s="83" t="str">
        <x:v>C — Provisional</x:v>
      </x:c>
      <x:c r="Y260" s="83" t="str">
        <x:v>Provisional</x:v>
      </x:c>
      <x:c r="Z260" s="83" t="str">
        <x:v>Blocked until CLI pin/cohort mapping</x:v>
      </x:c>
      <x:c r="AA260" s="83"/>
    </x:row>
    <x:row r="261">
      <x:c r="A261" s="83" t="str">
        <x:v>S4-00257</x:v>
      </x:c>
      <x:c r="B261" s="83" t="str">
        <x:v>IT2040_ALT_GAIT</x:v>
      </x:c>
      <x:c r="C261" s="83" t="n">
        <x:v>2040</x:v>
      </x:c>
      <x:c r="D261" s="83" t="str">
        <x:v>Technical parameters</x:v>
      </x:c>
      <x:c r="E261" s="83" t="str">
        <x:v>All zones</x:v>
      </x:c>
      <x:c r="F261" s="83"/>
      <x:c r="G261" s="83" t="str">
        <x:v>solar-rooftop</x:v>
      </x:c>
      <x:c r="H261" s="83" t="str">
        <x:v>solar-rooftop marginal cost</x:v>
      </x:c>
      <x:c r="I261" s="83" t="str">
        <x:v>solar-rooftop</x:v>
      </x:c>
      <x:c r="J261" s="83" t="str">
        <x:v>Generator</x:v>
      </x:c>
      <x:c r="K261" s="83" t="str">
        <x:v>marginal_cost</x:v>
      </x:c>
      <x:c r="L261" s="279" t="n">
        <x:v>0</x:v>
      </x:c>
      <x:c r="M261" s="279" t="str">
        <x:v>EUR2025/MWh</x:v>
      </x:c>
      <x:c r="N261" s="279" t="str">
        <x:f>IF(L261="","",IF(M261="GW",L261*1000,IF(M261="GWh",L261*1000,IF(M261="TWh",L261*1000000,L261))))</x:f>
      </x:c>
      <x:c r="O261" s="83" t="str">
        <x:f>IF(L261="","",IF(M261="GW","MW",IF(OR(M261="GWh",M261="TWh"),"MWh",M261)))</x:f>
      </x:c>
      <x:c r="P261" s="83" t="str"/>
      <x:c r="Q261" s="349"/>
      <x:c r="R261" s="349" t="str">
        <x:f>IF(L261="","",IF(Q261&lt;&gt;"",L261*Q261,IF(OR(ISNUMBER(SEARCH("EUR2025",M261&amp;"")),P261=2025,P261="2025"),L261,"")))</x:f>
      </x:c>
      <x:c r="S261" s="83" t="str">
        <x:v>C — Harmonisation rule</x:v>
      </x:c>
      <x:c r="T261" s="83" t="str">
        <x:v>Zero marginal cost in base; negative-bid sensitivity separate.</x:v>
      </x:c>
      <x:c r="U261" s="83" t="str">
        <x:v>ASSUMPTION</x:v>
      </x:c>
      <x:c r="V261" s="83" t="str">
        <x:v>Phase 4 dispatch boundary</x:v>
      </x:c>
      <x:c r="W261" s="120"/>
      <x:c r="X261" s="83" t="str">
        <x:v>A — Direct</x:v>
      </x:c>
      <x:c r="Y261" s="83" t="str">
        <x:v>Proposed</x:v>
      </x:c>
      <x:c r="Z261" s="83" t="str">
        <x:v>Ready when profiles/base network are available</x:v>
      </x:c>
      <x:c r="AA261" s="83"/>
    </x:row>
    <x:row r="262">
      <x:c r="A262" s="83" t="str">
        <x:v>S4-00258</x:v>
      </x:c>
      <x:c r="B262" s="83" t="str">
        <x:v>IT2040_ALT_GAIT</x:v>
      </x:c>
      <x:c r="C262" s="83" t="n">
        <x:v>2040</x:v>
      </x:c>
      <x:c r="D262" s="83" t="str">
        <x:v>Technical parameters</x:v>
      </x:c>
      <x:c r="E262" s="83" t="str">
        <x:v>All zones</x:v>
      </x:c>
      <x:c r="F262" s="83"/>
      <x:c r="G262" s="83" t="str">
        <x:v>solar-utility</x:v>
      </x:c>
      <x:c r="H262" s="83" t="str">
        <x:v>solar-utility marginal cost</x:v>
      </x:c>
      <x:c r="I262" s="83" t="str">
        <x:v>solar-utility</x:v>
      </x:c>
      <x:c r="J262" s="83" t="str">
        <x:v>Generator</x:v>
      </x:c>
      <x:c r="K262" s="83" t="str">
        <x:v>marginal_cost</x:v>
      </x:c>
      <x:c r="L262" s="279" t="n">
        <x:v>0</x:v>
      </x:c>
      <x:c r="M262" s="279" t="str">
        <x:v>EUR2025/MWh</x:v>
      </x:c>
      <x:c r="N262" s="279" t="str">
        <x:f>IF(L262="","",IF(M262="GW",L262*1000,IF(M262="GWh",L262*1000,IF(M262="TWh",L262*1000000,L262))))</x:f>
      </x:c>
      <x:c r="O262" s="83" t="str">
        <x:f>IF(L262="","",IF(M262="GW","MW",IF(OR(M262="GWh",M262="TWh"),"MWh",M262)))</x:f>
      </x:c>
      <x:c r="P262" s="83" t="str"/>
      <x:c r="Q262" s="349"/>
      <x:c r="R262" s="349" t="str">
        <x:f>IF(L262="","",IF(Q262&lt;&gt;"",L262*Q262,IF(OR(ISNUMBER(SEARCH("EUR2025",M262&amp;"")),P262=2025,P262="2025"),L262,"")))</x:f>
      </x:c>
      <x:c r="S262" s="83" t="str">
        <x:v>C — Harmonisation rule</x:v>
      </x:c>
      <x:c r="T262" s="83" t="str">
        <x:v>Zero marginal cost in base; negative-bid sensitivity separate.</x:v>
      </x:c>
      <x:c r="U262" s="83" t="str">
        <x:v>ASSUMPTION</x:v>
      </x:c>
      <x:c r="V262" s="83" t="str">
        <x:v>Phase 4 dispatch boundary</x:v>
      </x:c>
      <x:c r="W262" s="120"/>
      <x:c r="X262" s="83" t="str">
        <x:v>A — Direct</x:v>
      </x:c>
      <x:c r="Y262" s="83" t="str">
        <x:v>Proposed</x:v>
      </x:c>
      <x:c r="Z262" s="83" t="str">
        <x:v>Ready when profiles/base network are available</x:v>
      </x:c>
      <x:c r="AA262" s="83"/>
    </x:row>
    <x:row r="263">
      <x:c r="A263" s="83" t="str">
        <x:v>S4-00259</x:v>
      </x:c>
      <x:c r="B263" s="83" t="str">
        <x:v>IT2040_ALT_GAIT</x:v>
      </x:c>
      <x:c r="C263" s="83" t="n">
        <x:v>2040</x:v>
      </x:c>
      <x:c r="D263" s="83" t="str">
        <x:v>Technical parameters</x:v>
      </x:c>
      <x:c r="E263" s="83" t="str">
        <x:v>All zones</x:v>
      </x:c>
      <x:c r="F263" s="83"/>
      <x:c r="G263" s="83" t="str">
        <x:v>onwind</x:v>
      </x:c>
      <x:c r="H263" s="83" t="str">
        <x:v>onwind marginal cost</x:v>
      </x:c>
      <x:c r="I263" s="83" t="str">
        <x:v>onwind</x:v>
      </x:c>
      <x:c r="J263" s="83" t="str">
        <x:v>Generator</x:v>
      </x:c>
      <x:c r="K263" s="83" t="str">
        <x:v>marginal_cost</x:v>
      </x:c>
      <x:c r="L263" s="279" t="n">
        <x:v>0</x:v>
      </x:c>
      <x:c r="M263" s="279" t="str">
        <x:v>EUR2025/MWh</x:v>
      </x:c>
      <x:c r="N263" s="279" t="str">
        <x:f>IF(L263="","",IF(M263="GW",L263*1000,IF(M263="GWh",L263*1000,IF(M263="TWh",L263*1000000,L263))))</x:f>
      </x:c>
      <x:c r="O263" s="83" t="str">
        <x:f>IF(L263="","",IF(M263="GW","MW",IF(OR(M263="GWh",M263="TWh"),"MWh",M263)))</x:f>
      </x:c>
      <x:c r="P263" s="83" t="str"/>
      <x:c r="Q263" s="349"/>
      <x:c r="R263" s="349" t="str">
        <x:f>IF(L263="","",IF(Q263&lt;&gt;"",L263*Q263,IF(OR(ISNUMBER(SEARCH("EUR2025",M263&amp;"")),P263=2025,P263="2025"),L263,"")))</x:f>
      </x:c>
      <x:c r="S263" s="83" t="str">
        <x:v>C — Harmonisation rule</x:v>
      </x:c>
      <x:c r="T263" s="83" t="str">
        <x:v>Zero marginal cost in base; negative-bid sensitivity separate.</x:v>
      </x:c>
      <x:c r="U263" s="83" t="str">
        <x:v>ASSUMPTION</x:v>
      </x:c>
      <x:c r="V263" s="83" t="str">
        <x:v>Phase 4 dispatch boundary</x:v>
      </x:c>
      <x:c r="W263" s="120"/>
      <x:c r="X263" s="83" t="str">
        <x:v>A — Direct</x:v>
      </x:c>
      <x:c r="Y263" s="83" t="str">
        <x:v>Proposed</x:v>
      </x:c>
      <x:c r="Z263" s="83" t="str">
        <x:v>Ready when profiles/base network are available</x:v>
      </x:c>
      <x:c r="AA263" s="83"/>
    </x:row>
    <x:row r="264">
      <x:c r="A264" s="83" t="str">
        <x:v>S4-00260</x:v>
      </x:c>
      <x:c r="B264" s="83" t="str">
        <x:v>IT2040_ALT_GAIT</x:v>
      </x:c>
      <x:c r="C264" s="83" t="n">
        <x:v>2040</x:v>
      </x:c>
      <x:c r="D264" s="83" t="str">
        <x:v>Technical parameters</x:v>
      </x:c>
      <x:c r="E264" s="83" t="str">
        <x:v>All zones</x:v>
      </x:c>
      <x:c r="F264" s="83"/>
      <x:c r="G264" s="83" t="str">
        <x:v>offwind</x:v>
      </x:c>
      <x:c r="H264" s="83" t="str">
        <x:v>offwind marginal cost</x:v>
      </x:c>
      <x:c r="I264" s="83" t="str">
        <x:v>offwind</x:v>
      </x:c>
      <x:c r="J264" s="83" t="str">
        <x:v>Generator</x:v>
      </x:c>
      <x:c r="K264" s="83" t="str">
        <x:v>marginal_cost</x:v>
      </x:c>
      <x:c r="L264" s="279" t="n">
        <x:v>0</x:v>
      </x:c>
      <x:c r="M264" s="279" t="str">
        <x:v>EUR2025/MWh</x:v>
      </x:c>
      <x:c r="N264" s="279" t="str">
        <x:f>IF(L264="","",IF(M264="GW",L264*1000,IF(M264="GWh",L264*1000,IF(M264="TWh",L264*1000000,L264))))</x:f>
      </x:c>
      <x:c r="O264" s="83" t="str">
        <x:f>IF(L264="","",IF(M264="GW","MW",IF(OR(M264="GWh",M264="TWh"),"MWh",M264)))</x:f>
      </x:c>
      <x:c r="P264" s="83" t="str"/>
      <x:c r="Q264" s="349"/>
      <x:c r="R264" s="349" t="str">
        <x:f>IF(L264="","",IF(Q264&lt;&gt;"",L264*Q264,IF(OR(ISNUMBER(SEARCH("EUR2025",M264&amp;"")),P264=2025,P264="2025"),L264,"")))</x:f>
      </x:c>
      <x:c r="S264" s="83" t="str">
        <x:v>C — Harmonisation rule</x:v>
      </x:c>
      <x:c r="T264" s="83" t="str">
        <x:v>Zero marginal cost in base; negative-bid sensitivity separate.</x:v>
      </x:c>
      <x:c r="U264" s="83" t="str">
        <x:v>ASSUMPTION</x:v>
      </x:c>
      <x:c r="V264" s="83" t="str">
        <x:v>Phase 4 dispatch boundary</x:v>
      </x:c>
      <x:c r="W264" s="120"/>
      <x:c r="X264" s="83" t="str">
        <x:v>A — Direct</x:v>
      </x:c>
      <x:c r="Y264" s="83" t="str">
        <x:v>Proposed</x:v>
      </x:c>
      <x:c r="Z264" s="83" t="str">
        <x:v>Ready when profiles/base network are available</x:v>
      </x:c>
      <x:c r="AA264" s="83"/>
    </x:row>
    <x:row r="265">
      <x:c r="A265" s="83" t="str">
        <x:v>S4-00261</x:v>
      </x:c>
      <x:c r="B265" s="83" t="str">
        <x:v>IT2040_ALT_GAIT</x:v>
      </x:c>
      <x:c r="C265" s="83" t="n">
        <x:v>2040</x:v>
      </x:c>
      <x:c r="D265" s="83" t="str">
        <x:v>Technical parameters</x:v>
      </x:c>
      <x:c r="E265" s="83" t="str">
        <x:v>All zones</x:v>
      </x:c>
      <x:c r="F265" s="83"/>
      <x:c r="G265" s="83" t="str">
        <x:v>Li-ion battery</x:v>
      </x:c>
      <x:c r="H265" s="83" t="str">
        <x:v>Battery one-way efficiency</x:v>
      </x:c>
      <x:c r="I265" s="83" t="str">
        <x:v>battery</x:v>
      </x:c>
      <x:c r="J265" s="83" t="str">
        <x:v>Link</x:v>
      </x:c>
      <x:c r="K265" s="83" t="str">
        <x:v>efficiency</x:v>
      </x:c>
      <x:c r="L265" s="279" t="n">
        <x:v>0.9486832980505138</x:v>
      </x:c>
      <x:c r="M265" s="279" t="str">
        <x:v>p.u.</x:v>
      </x:c>
      <x:c r="N265" s="279" t="n">
        <x:f>IF(L265="","",IF(M265="GW",L265*1000,IF(M265="GWh",L265*1000,IF(M265="TWh",L265*1000000,L265))))</x:f>
        <x:v>0.9486832980505138</x:v>
      </x:c>
      <x:c r="O265" s="83" t="str">
        <x:f>IF(L265="","",IF(M265="GW","MW",IF(OR(M265="GWh",M265="TWh"),"MWh",M265)))</x:f>
        <x:v>p.u.</x:v>
      </x:c>
      <x:c r="P265" s="83" t="str"/>
      <x:c r="Q265" s="349"/>
      <x:c r="R265" s="349" t="str">
        <x:f>IF(L265="","",IF(Q265&lt;&gt;"",L265*Q265,IF(OR(ISNUMBER(SEARCH("EUR2025",M265&amp;"")),P265=2025,P265="2025"),L265,"")))</x:f>
      </x:c>
      <x:c r="S265" s="83" t="str">
        <x:v>B — Derived</x:v>
      </x:c>
      <x:c r="T265" s="83" t="str">
        <x:v>sqrt(0.90 round-trip), symmetric charge/discharge.</x:v>
      </x:c>
      <x:c r="U265" s="83" t="str">
        <x:v>S07 / EXT-TD</x:v>
      </x:c>
      <x:c r="V265" s="83" t="str">
        <x:v>Terna 90% RTE; technology-data inverter 96%</x:v>
      </x:c>
      <x:c r="W265" s="120"/>
      <x:c r="X265" s="83" t="str">
        <x:v>B — Derived</x:v>
      </x:c>
      <x:c r="Y265" s="83" t="str">
        <x:v>Proposed</x:v>
      </x:c>
      <x:c r="Z265" s="83" t="str">
        <x:v>Ready when profiles/base network are available</x:v>
      </x:c>
      <x:c r="AA265" s="83"/>
    </x:row>
    <x:row r="266">
      <x:c r="A266" s="83" t="str">
        <x:v>S4-00262</x:v>
      </x:c>
      <x:c r="B266" s="83" t="str">
        <x:v>IT2040_ALT_GAIT</x:v>
      </x:c>
      <x:c r="C266" s="83" t="n">
        <x:v>2040</x:v>
      </x:c>
      <x:c r="D266" s="83" t="str">
        <x:v>Technical parameters</x:v>
      </x:c>
      <x:c r="E266" s="83" t="str">
        <x:v>Existing PHS sites</x:v>
      </x:c>
      <x:c r="F266" s="83"/>
      <x:c r="G266" s="83" t="str">
        <x:v>PHS</x:v>
      </x:c>
      <x:c r="H266" s="83" t="str">
        <x:v>PHS one-way efficiency</x:v>
      </x:c>
      <x:c r="I266" s="83" t="str">
        <x:v>PHS</x:v>
      </x:c>
      <x:c r="J266" s="83" t="str">
        <x:v>Link</x:v>
      </x:c>
      <x:c r="K266" s="83" t="str">
        <x:v>efficiency</x:v>
      </x:c>
      <x:c r="L266" s="279" t="n">
        <x:v>0.8660254037844386</x:v>
      </x:c>
      <x:c r="M266" s="279" t="str">
        <x:v>p.u.</x:v>
      </x:c>
      <x:c r="N266" s="279" t="n">
        <x:f>IF(L266="","",IF(M266="GW",L266*1000,IF(M266="GWh",L266*1000,IF(M266="TWh",L266*1000000,L266))))</x:f>
        <x:v>0.8660254037844386</x:v>
      </x:c>
      <x:c r="O266" s="83" t="str">
        <x:f>IF(L266="","",IF(M266="GW","MW",IF(OR(M266="GWh",M266="TWh"),"MWh",M266)))</x:f>
        <x:v>p.u.</x:v>
      </x:c>
      <x:c r="P266" s="83" t="str"/>
      <x:c r="Q266" s="349"/>
      <x:c r="R266" s="349" t="str">
        <x:f>IF(L266="","",IF(Q266&lt;&gt;"",L266*Q266,IF(OR(ISNUMBER(SEARCH("EUR2025",M266&amp;"")),P266=2025,P266="2025"),L266,"")))</x:f>
      </x:c>
      <x:c r="S266" s="83" t="str">
        <x:v>C — External candidate</x:v>
      </x:c>
      <x:c r="T266" s="83" t="str">
        <x:v>sqrt(0.75 round-trip), symmetric split.</x:v>
      </x:c>
      <x:c r="U266" s="83" t="str">
        <x:v>EXT-TD</x:v>
      </x:c>
      <x:c r="V266" s="83" t="str">
        <x:v>technology-data v0.15.0</x:v>
      </x:c>
      <x:c r="W266" s="120" t="str">
        <x:v>https://github.com/PyPSA/technology-data/releases/tag/v0.15.0</x:v>
      </x:c>
      <x:c r="X266" s="83" t="str">
        <x:v>C — Provisional</x:v>
      </x:c>
      <x:c r="Y266" s="83" t="str">
        <x:v>Proposed</x:v>
      </x:c>
      <x:c r="Z266" s="83" t="str">
        <x:v>Ready when profiles/base network are available</x:v>
      </x:c>
      <x:c r="AA266" s="83"/>
    </x:row>
    <x:row r="267">
      <x:c r="A267" s="83" t="str">
        <x:v>S4-00263</x:v>
      </x:c>
      <x:c r="B267" s="83" t="str">
        <x:v>IT2040_ALT_GAIT</x:v>
      </x:c>
      <x:c r="C267" s="83" t="n">
        <x:v>2040</x:v>
      </x:c>
      <x:c r="D267" s="83" t="str">
        <x:v>Model setting</x:v>
      </x:c>
      <x:c r="E267" s="83" t="str">
        <x:v>System</x:v>
      </x:c>
      <x:c r="F267" s="83"/>
      <x:c r="G267" s="83" t="str">
        <x:v>Capacity expansion</x:v>
      </x:c>
      <x:c r="H267" s="83" t="str">
        <x:v>Fixed capacities</x:v>
      </x:c>
      <x:c r="I267" s="83" t="str">
        <x:v>model</x:v>
      </x:c>
      <x:c r="J267" s="83" t="str">
        <x:v>Network</x:v>
      </x:c>
      <x:c r="K267" s="83" t="str">
        <x:v>p_nom_extendable</x:v>
      </x:c>
      <x:c r="L267" s="279" t="n">
        <x:v>0</x:v>
      </x:c>
      <x:c r="M267" s="279" t="str">
        <x:v>boolean</x:v>
      </x:c>
      <x:c r="N267" s="279" t="str">
        <x:f>IF(L267="","",IF(M267="GW",L267*1000,IF(M267="GWh",L267*1000,IF(M267="TWh",L267*1000000,L267))))</x:f>
      </x:c>
      <x:c r="O267" s="83" t="str">
        <x:f>IF(L267="","",IF(M267="GW","MW",IF(OR(M267="GWh",M267="TWh"),"MWh",M267)))</x:f>
      </x:c>
      <x:c r="P267" s="83" t="str"/>
      <x:c r="Q267" s="349"/>
      <x:c r="R267" s="349" t="str">
        <x:f>IF(L267="","",IF(Q267&lt;&gt;"",L267*Q267,IF(OR(ISNUMBER(SEARCH("EUR2025",M267&amp;"")),P267=2025,P267="2025"),L267,"")))</x:f>
      </x:c>
      <x:c r="S267" s="83" t="str">
        <x:v>Project decision</x:v>
      </x:c>
      <x:c r="T267" s="83" t="str">
        <x:v>All capacities fixed; dispatch-only.</x:v>
      </x:c>
      <x:c r="U267" s="83" t="str">
        <x:v>PLAN</x:v>
      </x:c>
      <x:c r="V267" s="83" t="str">
        <x:v>Phase 2 decision</x:v>
      </x:c>
      <x:c r="W267" s="120"/>
      <x:c r="X267" s="83" t="str">
        <x:v>A — Direct</x:v>
      </x:c>
      <x:c r="Y267" s="83" t="str">
        <x:v>Adopted</x:v>
      </x:c>
      <x:c r="Z267" s="83" t="str">
        <x:v>Ready when profiles/base network are available</x:v>
      </x:c>
      <x:c r="AA267" s="83"/>
    </x:row>
    <x:row r="268">
      <x:c r="A268" s="83" t="str">
        <x:v>S4-00264</x:v>
      </x:c>
      <x:c r="B268" s="83" t="str">
        <x:v>IT2040_ALT_GAIT</x:v>
      </x:c>
      <x:c r="C268" s="83" t="n">
        <x:v>2040</x:v>
      </x:c>
      <x:c r="D268" s="83" t="str">
        <x:v>Model setting</x:v>
      </x:c>
      <x:c r="E268" s="83" t="str">
        <x:v>System</x:v>
      </x:c>
      <x:c r="F268" s="83"/>
      <x:c r="G268" s="83" t="str">
        <x:v>Unit commitment</x:v>
      </x:c>
      <x:c r="H268" s="83" t="str">
        <x:v>Linear dispatch base</x:v>
      </x:c>
      <x:c r="I268" s="83" t="str">
        <x:v>model</x:v>
      </x:c>
      <x:c r="J268" s="83" t="str">
        <x:v>Generator</x:v>
      </x:c>
      <x:c r="K268" s="83" t="str">
        <x:v>committable</x:v>
      </x:c>
      <x:c r="L268" s="279" t="n">
        <x:v>0</x:v>
      </x:c>
      <x:c r="M268" s="279" t="str">
        <x:v>boolean</x:v>
      </x:c>
      <x:c r="N268" s="279" t="str">
        <x:f>IF(L268="","",IF(M268="GW",L268*1000,IF(M268="GWh",L268*1000,IF(M268="TWh",L268*1000000,L268))))</x:f>
      </x:c>
      <x:c r="O268" s="83" t="str">
        <x:f>IF(L268="","",IF(M268="GW","MW",IF(OR(M268="GWh",M268="TWh"),"MWh",M268)))</x:f>
      </x:c>
      <x:c r="P268" s="83" t="str"/>
      <x:c r="Q268" s="349"/>
      <x:c r="R268" s="349" t="str">
        <x:f>IF(L268="","",IF(Q268&lt;&gt;"",L268*Q268,IF(OR(ISNUMBER(SEARCH("EUR2025",M268&amp;"")),P268=2025,P268="2025"),L268,"")))</x:f>
      </x:c>
      <x:c r="S268" s="83" t="str">
        <x:v>Project decision</x:v>
      </x:c>
      <x:c r="T268" s="83" t="str">
        <x:v>Unit commitment only as sensitivity.</x:v>
      </x:c>
      <x:c r="U268" s="83" t="str">
        <x:v>PLAN</x:v>
      </x:c>
      <x:c r="V268" s="83" t="str">
        <x:v>Phase 2/3D decision</x:v>
      </x:c>
      <x:c r="W268" s="120"/>
      <x:c r="X268" s="83" t="str">
        <x:v>A — Direct</x:v>
      </x:c>
      <x:c r="Y268" s="83" t="str">
        <x:v>Adopted</x:v>
      </x:c>
      <x:c r="Z268" s="83" t="str">
        <x:v>Ready when profiles/base network are available</x:v>
      </x:c>
      <x:c r="AA268" s="83"/>
    </x:row>
    <x:row r="269">
      <x:c r="A269" s="83" t="str">
        <x:v>S4-00265</x:v>
      </x:c>
      <x:c r="B269" s="83" t="str">
        <x:v>IT2040_ALT_SLOW</x:v>
      </x:c>
      <x:c r="C269" s="83" t="n">
        <x:v>2040</x:v>
      </x:c>
      <x:c r="D269" s="83" t="str">
        <x:v>Demand</x:v>
      </x:c>
      <x:c r="E269" s="83" t="str">
        <x:v>Italy</x:v>
      </x:c>
      <x:c r="F269" s="83"/>
      <x:c r="G269" s="83" t="str">
        <x:v>Fabbisogno elettrico puro</x:v>
      </x:c>
      <x:c r="H269" s="83" t="str">
        <x:v>Rigid electricity load</x:v>
      </x:c>
      <x:c r="I269" s="83" t="str">
        <x:v>electricity</x:v>
      </x:c>
      <x:c r="J269" s="83" t="str">
        <x:v>Load</x:v>
      </x:c>
      <x:c r="K269" s="83" t="str">
        <x:v>p_set annual target</x:v>
      </x:c>
      <x:c r="L269" s="279" t="n">
        <x:v>385</x:v>
      </x:c>
      <x:c r="M269" s="279" t="str">
        <x:v>TWh</x:v>
      </x:c>
      <x:c r="N269" s="279" t="n">
        <x:f>IF(L269="","",IF(M269="GW",L269*1000,IF(M269="GWh",L269*1000,IF(M269="TWh",L269*1000000,L269))))</x:f>
        <x:v>385000000</x:v>
      </x:c>
      <x:c r="O269" s="83" t="str">
        <x:f>IF(L269="","",IF(M269="GW","MW",IF(OR(M269="GWh",M269="TWh"),"MWh",M269)))</x:f>
        <x:v>MWh</x:v>
      </x:c>
      <x:c r="P269" s="83" t="str"/>
      <x:c r="Q269" s="349"/>
      <x:c r="R269" s="349" t="str">
        <x:f>IF(L269="","",IF(Q269&lt;&gt;"",L269*Q269,IF(OR(ISNUMBER(SEARCH("EUR2025",M269&amp;"")),P269=2025,P269="2025"),L269,"")))</x:f>
      </x:c>
      <x:c r="S269" s="83" t="str">
        <x:v>A — Direct</x:v>
      </x:c>
      <x:c r="T269" s="83" t="str">
        <x:v>Hourly shape from PyPSA-Eur base-year load profiles; scale zonal annual shares to national target.</x:v>
      </x:c>
      <x:c r="U269" s="83" t="str">
        <x:v>S09</x:v>
      </x:c>
      <x:c r="V269" s="83" t="str">
        <x:v>DDS Table 6 / annual demand tables</x:v>
      </x:c>
      <x:c r="W269" s="120"/>
      <x:c r="X269" s="83" t="str">
        <x:v>A/B — direct total, profile external</x:v>
      </x:c>
      <x:c r="Y269" s="83" t="str">
        <x:v>Adopted annual volume</x:v>
      </x:c>
      <x:c r="Z269" s="83" t="str">
        <x:v>Conditional on hourly and zonal load profile</x:v>
      </x:c>
      <x:c r="AA269" s="83" t="str">
        <x:v>Includes network losses in the source perimeter; do not add a second loss load.</x:v>
      </x:c>
    </x:row>
    <x:row r="270">
      <x:c r="A270" s="83" t="str">
        <x:v>S4-00266</x:v>
      </x:c>
      <x:c r="B270" s="83" t="str">
        <x:v>IT2040_ALT_SLOW</x:v>
      </x:c>
      <x:c r="C270" s="83" t="n">
        <x:v>2040</x:v>
      </x:c>
      <x:c r="D270" s="83" t="str">
        <x:v>Flexible demand</x:v>
      </x:c>
      <x:c r="E270" s="83" t="str">
        <x:v>Italy</x:v>
      </x:c>
      <x:c r="F270" s="83"/>
      <x:c r="G270" s="83" t="str">
        <x:v>Produzione H2 (elettrolisi)</x:v>
      </x:c>
      <x:c r="H270" s="83" t="str">
        <x:v>Electrolyser flexible load</x:v>
      </x:c>
      <x:c r="I270" s="83" t="str">
        <x:v>hydrogen electrolysis</x:v>
      </x:c>
      <x:c r="J270" s="83" t="str">
        <x:v>Link or flexible Load</x:v>
      </x:c>
      <x:c r="K270" s="83" t="str">
        <x:v>p_nom / annual electricity constraint</x:v>
      </x:c>
      <x:c r="L270" s="279" t="n">
        <x:v>5.3</x:v>
      </x:c>
      <x:c r="M270" s="279" t="str">
        <x:v>GW</x:v>
      </x:c>
      <x:c r="N270" s="279" t="n">
        <x:f>IF(L270="","",IF(M270="GW",L270*1000,IF(M270="GWh",L270*1000,IF(M270="TWh",L270*1000000,L270))))</x:f>
        <x:v>5300</x:v>
      </x:c>
      <x:c r="O270" s="83" t="str">
        <x:f>IF(L270="","",IF(M270="GW","MW",IF(OR(M270="GWh",M270="TWh"),"MWh",M270)))</x:f>
        <x:v>MW</x:v>
      </x:c>
      <x:c r="P270" s="83" t="str"/>
      <x:c r="Q270" s="349"/>
      <x:c r="R270" s="349" t="str">
        <x:f>IF(L270="","",IF(Q270&lt;&gt;"",L270*Q270,IF(OR(ISNUMBER(SEARCH("EUR2025",M270&amp;"")),P270=2025,P270="2025"),L270,"")))</x:f>
      </x:c>
      <x:c r="S270" s="83" t="str">
        <x:v>A — Direct</x:v>
      </x:c>
      <x:c r="T270" s="83" t="str">
        <x:v>Use source power. Annual electricity consumption is a separate row; minimum 3,000 h and low-price activation.</x:v>
      </x:c>
      <x:c r="U270" s="83" t="str">
        <x:v>S09</x:v>
      </x:c>
      <x:c r="V270" s="83" t="str">
        <x:v>DDS Figures 29/37 and demand table</x:v>
      </x:c>
      <x:c r="W270" s="120"/>
      <x:c r="X270" s="83" t="str">
        <x:v>A — Direct</x:v>
      </x:c>
      <x:c r="Y270" s="83" t="str">
        <x:v>Adopted annual power</x:v>
      </x:c>
      <x:c r="Z270" s="83" t="str">
        <x:v>Conditional on hydrogen/flexible-load formulation</x:v>
      </x:c>
      <x:c r="AA270" s="83"/>
    </x:row>
    <x:row r="271">
      <x:c r="A271" s="83" t="str">
        <x:v>S4-00267</x:v>
      </x:c>
      <x:c r="B271" s="83" t="str">
        <x:v>IT2040_ALT_SLOW</x:v>
      </x:c>
      <x:c r="C271" s="83" t="n">
        <x:v>2040</x:v>
      </x:c>
      <x:c r="D271" s="83" t="str">
        <x:v>Flexible demand</x:v>
      </x:c>
      <x:c r="E271" s="83" t="str">
        <x:v>Italy</x:v>
      </x:c>
      <x:c r="F271" s="83"/>
      <x:c r="G271" s="83" t="str">
        <x:v>Produzione H2 (elettrolisi)</x:v>
      </x:c>
      <x:c r="H271" s="83" t="str">
        <x:v>Electrolyser electricity consumption</x:v>
      </x:c>
      <x:c r="I271" s="83" t="str">
        <x:v>electricity</x:v>
      </x:c>
      <x:c r="J271" s="83" t="str">
        <x:v>Link or flexible Load</x:v>
      </x:c>
      <x:c r="K271" s="83" t="str">
        <x:v>annual electricity target</x:v>
      </x:c>
      <x:c r="L271" s="279" t="n">
        <x:v>19.8</x:v>
      </x:c>
      <x:c r="M271" s="279" t="str">
        <x:v>TWh</x:v>
      </x:c>
      <x:c r="N271" s="279" t="n">
        <x:f>IF(L271="","",IF(M271="GW",L271*1000,IF(M271="GWh",L271*1000,IF(M271="TWh",L271*1000000,L271))))</x:f>
        <x:v>19800000</x:v>
      </x:c>
      <x:c r="O271" s="83" t="str">
        <x:f>IF(L271="","",IF(M271="GW","MW",IF(OR(M271="GWh",M271="TWh"),"MWh",M271)))</x:f>
        <x:v>MWh</x:v>
      </x:c>
      <x:c r="P271" s="83" t="str"/>
      <x:c r="Q271" s="349"/>
      <x:c r="R271" s="349" t="str">
        <x:f>IF(L271="","",IF(Q271&lt;&gt;"",L271*Q271,IF(OR(ISNUMBER(SEARCH("EUR2025",M271&amp;"")),P271=2025,P271="2025"),L271,"")))</x:f>
      </x:c>
      <x:c r="S271" s="83" t="str">
        <x:v>A — Direct</x:v>
      </x:c>
      <x:c r="T271" s="83" t="str">
        <x:v>Annual target enforced with energy balance or load-shifting constraint.</x:v>
      </x:c>
      <x:c r="U271" s="83" t="str">
        <x:v>S09</x:v>
      </x:c>
      <x:c r="V271" s="83" t="str">
        <x:v>DDS demand and electrolyser results</x:v>
      </x:c>
      <x:c r="W271" s="120"/>
      <x:c r="X271" s="83" t="str">
        <x:v>A — Direct</x:v>
      </x:c>
      <x:c r="Y271" s="83" t="str">
        <x:v>Adopted annual energy</x:v>
      </x:c>
      <x:c r="Z271" s="83" t="str">
        <x:v>Conditional on temporal formulation</x:v>
      </x:c>
      <x:c r="AA271" s="83"/>
    </x:row>
    <x:row r="272">
      <x:c r="A272" s="83" t="str">
        <x:v>S4-00268</x:v>
      </x:c>
      <x:c r="B272" s="83" t="str">
        <x:v>IT2040_ALT_SLOW</x:v>
      </x:c>
      <x:c r="C272" s="83" t="n">
        <x:v>2040</x:v>
      </x:c>
      <x:c r="D272" s="83" t="str">
        <x:v>QA target</x:v>
      </x:c>
      <x:c r="E272" s="83" t="str">
        <x:v>Italy</x:v>
      </x:c>
      <x:c r="F272" s="83"/>
      <x:c r="G272" s="83" t="str">
        <x:v>Fabbisogno elettrico totale</x:v>
      </x:c>
      <x:c r="H272" s="83" t="str">
        <x:v>Total annual electricity requirement</x:v>
      </x:c>
      <x:c r="I272" s="83" t="str">
        <x:v>electricity</x:v>
      </x:c>
      <x:c r="J272" s="83" t="str">
        <x:v>QA</x:v>
      </x:c>
      <x:c r="K272" s="83" t="str">
        <x:v>annual balance</x:v>
      </x:c>
      <x:c r="L272" s="279" t="n">
        <x:v>404.4</x:v>
      </x:c>
      <x:c r="M272" s="279" t="str">
        <x:v>TWh</x:v>
      </x:c>
      <x:c r="N272" s="279" t="n">
        <x:f>IF(L272="","",IF(M272="GW",L272*1000,IF(M272="GWh",L272*1000,IF(M272="TWh",L272*1000000,L272))))</x:f>
        <x:v>404400000</x:v>
      </x:c>
      <x:c r="O272" s="83" t="str">
        <x:f>IF(L272="","",IF(M272="GW","MW",IF(OR(M272="GWh",M272="TWh"),"MWh",M272)))</x:f>
        <x:v>MWh</x:v>
      </x:c>
      <x:c r="P272" s="83" t="str"/>
      <x:c r="Q272" s="349"/>
      <x:c r="R272" s="349" t="str">
        <x:f>IF(L272="","",IF(Q272&lt;&gt;"",L272*Q272,IF(OR(ISNUMBER(SEARCH("EUR2025",M272&amp;"")),P272=2025,P272="2025"),L272,"")))</x:f>
      </x:c>
      <x:c r="S272" s="83" t="str">
        <x:v>A — Direct</x:v>
      </x:c>
      <x:c r="T272" s="83" t="str">
        <x:v>Control only: rigid demand + electrolysis must reconcile to total within source rounding.</x:v>
      </x:c>
      <x:c r="U272" s="83" t="str">
        <x:v>S09</x:v>
      </x:c>
      <x:c r="V272" s="83" t="str">
        <x:v>DDS annual demand tables</x:v>
      </x:c>
      <x:c r="W272" s="120"/>
      <x:c r="X272" s="83" t="str">
        <x:v>A — Direct</x:v>
      </x:c>
      <x:c r="Y272" s="83" t="str">
        <x:v>QA only</x:v>
      </x:c>
      <x:c r="Z272" s="83" t="str">
        <x:v>Ready when profiles/base network are available</x:v>
      </x:c>
      <x:c r="AA272" s="83"/>
    </x:row>
    <x:row r="273">
      <x:c r="A273" s="83" t="str">
        <x:v>S4-00269</x:v>
      </x:c>
      <x:c r="B273" s="83" t="str">
        <x:v>IT2040_ALT_SLOW</x:v>
      </x:c>
      <x:c r="C273" s="83" t="n">
        <x:v>2040</x:v>
      </x:c>
      <x:c r="D273" s="83" t="str">
        <x:v>Generation capacity</x:v>
      </x:c>
      <x:c r="E273" s="83" t="str">
        <x:v>IT_NORD</x:v>
      </x:c>
      <x:c r="F273" s="83" t="str">
        <x:v>NORD</x:v>
      </x:c>
      <x:c r="G273" s="83" t="str">
        <x:v>Solare distribuito</x:v>
      </x:c>
      <x:c r="H273" s="83" t="str">
        <x:v>Solar rooftop/distributed</x:v>
      </x:c>
      <x:c r="I273" s="83" t="str">
        <x:v>solar-rooftop</x:v>
      </x:c>
      <x:c r="J273" s="83" t="str">
        <x:v>Generator</x:v>
      </x:c>
      <x:c r="K273" s="83" t="str">
        <x:v>p_nom</x:v>
      </x:c>
      <x:c r="L273" s="279" t="n">
        <x:v>23.6</x:v>
      </x:c>
      <x:c r="M273" s="279" t="str">
        <x:v>GW</x:v>
      </x:c>
      <x:c r="N273" s="279" t="n">
        <x:f>IF(L273="","",IF(M273="GW",L273*1000,IF(M273="GWh",L273*1000,IF(M273="TWh",L273*1000000,L273))))</x:f>
        <x:v>23600</x:v>
      </x:c>
      <x:c r="O273" s="83" t="str">
        <x:f>IF(L273="","",IF(M273="GW","MW",IF(OR(M273="GWh",M273="TWh"),"MWh",M273)))</x:f>
        <x:v>MW</x:v>
      </x:c>
      <x:c r="P273" s="83" t="str"/>
      <x:c r="Q273" s="349"/>
      <x:c r="R273" s="349" t="str">
        <x:f>IF(L273="","",IF(Q273&lt;&gt;"",L273*Q273,IF(OR(ISNUMBER(SEARCH("EUR2025",M273&amp;"")),P273=2025,P273="2025"),L273,"")))</x:f>
      </x:c>
      <x:c r="S273" s="83" t="str">
        <x:v>A — Direct</x:v>
      </x:c>
      <x:c r="T273" s="83" t="str">
        <x:v>Direct zonal capacity; convert GW to MW.</x:v>
      </x:c>
      <x:c r="U273" s="83" t="str">
        <x:v>S09</x:v>
      </x:c>
      <x:c r="V273" s="83" t="str">
        <x:v>DDS Tabella 14 p.60</x:v>
      </x:c>
      <x:c r="W273" s="120"/>
      <x:c r="X273" s="83" t="str">
        <x:v>A - Direct</x:v>
      </x:c>
      <x:c r="Y273" s="83" t="str">
        <x:v>Adopted</x:v>
      </x:c>
      <x:c r="Z273" s="83" t="str">
        <x:v>Ready when profiles/base network are available</x:v>
      </x:c>
      <x:c r="AA273" s="83"/>
    </x:row>
    <x:row r="274">
      <x:c r="A274" s="83" t="str">
        <x:v>S4-00270</x:v>
      </x:c>
      <x:c r="B274" s="83" t="str">
        <x:v>IT2040_ALT_SLOW</x:v>
      </x:c>
      <x:c r="C274" s="83" t="n">
        <x:v>2040</x:v>
      </x:c>
      <x:c r="D274" s="83" t="str">
        <x:v>Generation capacity</x:v>
      </x:c>
      <x:c r="E274" s="83" t="str">
        <x:v>IT_NORD</x:v>
      </x:c>
      <x:c r="F274" s="83" t="str">
        <x:v>NORD</x:v>
      </x:c>
      <x:c r="G274" s="83" t="str">
        <x:v>Solare utility</x:v>
      </x:c>
      <x:c r="H274" s="83" t="str">
        <x:v>Solar utility</x:v>
      </x:c>
      <x:c r="I274" s="83" t="str">
        <x:v>solar-utility</x:v>
      </x:c>
      <x:c r="J274" s="83" t="str">
        <x:v>Generator</x:v>
      </x:c>
      <x:c r="K274" s="83" t="str">
        <x:v>p_nom</x:v>
      </x:c>
      <x:c r="L274" s="279" t="n">
        <x:v>12.9</x:v>
      </x:c>
      <x:c r="M274" s="279" t="str">
        <x:v>GW</x:v>
      </x:c>
      <x:c r="N274" s="279" t="n">
        <x:f>IF(L274="","",IF(M274="GW",L274*1000,IF(M274="GWh",L274*1000,IF(M274="TWh",L274*1000000,L274))))</x:f>
        <x:v>12900</x:v>
      </x:c>
      <x:c r="O274" s="83" t="str">
        <x:f>IF(L274="","",IF(M274="GW","MW",IF(OR(M274="GWh",M274="TWh"),"MWh",M274)))</x:f>
        <x:v>MW</x:v>
      </x:c>
      <x:c r="P274" s="83" t="str"/>
      <x:c r="Q274" s="349"/>
      <x:c r="R274" s="349" t="str">
        <x:f>IF(L274="","",IF(Q274&lt;&gt;"",L274*Q274,IF(OR(ISNUMBER(SEARCH("EUR2025",M274&amp;"")),P274=2025,P274="2025"),L274,"")))</x:f>
      </x:c>
      <x:c r="S274" s="83" t="str">
        <x:v>A — Direct</x:v>
      </x:c>
      <x:c r="T274" s="83" t="str">
        <x:v>Direct zonal capacity; convert GW to MW.</x:v>
      </x:c>
      <x:c r="U274" s="83" t="str">
        <x:v>S09</x:v>
      </x:c>
      <x:c r="V274" s="83" t="str">
        <x:v>DDS Tabella 14 p.60</x:v>
      </x:c>
      <x:c r="W274" s="120"/>
      <x:c r="X274" s="83" t="str">
        <x:v>A - Direct</x:v>
      </x:c>
      <x:c r="Y274" s="83" t="str">
        <x:v>Adopted</x:v>
      </x:c>
      <x:c r="Z274" s="83" t="str">
        <x:v>Ready when profiles/base network are available</x:v>
      </x:c>
      <x:c r="AA274" s="83"/>
    </x:row>
    <x:row r="275">
      <x:c r="A275" s="83" t="str">
        <x:v>S4-00271</x:v>
      </x:c>
      <x:c r="B275" s="83" t="str">
        <x:v>IT2040_ALT_SLOW</x:v>
      </x:c>
      <x:c r="C275" s="83" t="n">
        <x:v>2040</x:v>
      </x:c>
      <x:c r="D275" s="83" t="str">
        <x:v>Generation capacity</x:v>
      </x:c>
      <x:c r="E275" s="83" t="str">
        <x:v>IT_CNOR</x:v>
      </x:c>
      <x:c r="F275" s="83" t="str">
        <x:v>CNOR</x:v>
      </x:c>
      <x:c r="G275" s="83" t="str">
        <x:v>Solare distribuito</x:v>
      </x:c>
      <x:c r="H275" s="83" t="str">
        <x:v>Solar rooftop/distributed</x:v>
      </x:c>
      <x:c r="I275" s="83" t="str">
        <x:v>solar-rooftop</x:v>
      </x:c>
      <x:c r="J275" s="83" t="str">
        <x:v>Generator</x:v>
      </x:c>
      <x:c r="K275" s="83" t="str">
        <x:v>p_nom</x:v>
      </x:c>
      <x:c r="L275" s="279" t="n">
        <x:v>3</x:v>
      </x:c>
      <x:c r="M275" s="279" t="str">
        <x:v>GW</x:v>
      </x:c>
      <x:c r="N275" s="279" t="n">
        <x:f>IF(L275="","",IF(M275="GW",L275*1000,IF(M275="GWh",L275*1000,IF(M275="TWh",L275*1000000,L275))))</x:f>
        <x:v>3000</x:v>
      </x:c>
      <x:c r="O275" s="83" t="str">
        <x:f>IF(L275="","",IF(M275="GW","MW",IF(OR(M275="GWh",M275="TWh"),"MWh",M275)))</x:f>
        <x:v>MW</x:v>
      </x:c>
      <x:c r="P275" s="83" t="str"/>
      <x:c r="Q275" s="349"/>
      <x:c r="R275" s="349" t="str">
        <x:f>IF(L275="","",IF(Q275&lt;&gt;"",L275*Q275,IF(OR(ISNUMBER(SEARCH("EUR2025",M275&amp;"")),P275=2025,P275="2025"),L275,"")))</x:f>
      </x:c>
      <x:c r="S275" s="83" t="str">
        <x:v>A — Direct</x:v>
      </x:c>
      <x:c r="T275" s="83" t="str">
        <x:v>Direct zonal capacity; convert GW to MW.</x:v>
      </x:c>
      <x:c r="U275" s="83" t="str">
        <x:v>S09</x:v>
      </x:c>
      <x:c r="V275" s="83" t="str">
        <x:v>DDS Tabella 14 p.60</x:v>
      </x:c>
      <x:c r="W275" s="120"/>
      <x:c r="X275" s="83" t="str">
        <x:v>A - Direct</x:v>
      </x:c>
      <x:c r="Y275" s="83" t="str">
        <x:v>Adopted</x:v>
      </x:c>
      <x:c r="Z275" s="83" t="str">
        <x:v>Ready when profiles/base network are available</x:v>
      </x:c>
      <x:c r="AA275" s="83"/>
    </x:row>
    <x:row r="276">
      <x:c r="A276" s="83" t="str">
        <x:v>S4-00272</x:v>
      </x:c>
      <x:c r="B276" s="83" t="str">
        <x:v>IT2040_ALT_SLOW</x:v>
      </x:c>
      <x:c r="C276" s="83" t="n">
        <x:v>2040</x:v>
      </x:c>
      <x:c r="D276" s="83" t="str">
        <x:v>Generation capacity</x:v>
      </x:c>
      <x:c r="E276" s="83" t="str">
        <x:v>IT_CNOR</x:v>
      </x:c>
      <x:c r="F276" s="83" t="str">
        <x:v>CNOR</x:v>
      </x:c>
      <x:c r="G276" s="83" t="str">
        <x:v>Solare utility</x:v>
      </x:c>
      <x:c r="H276" s="83" t="str">
        <x:v>Solar utility</x:v>
      </x:c>
      <x:c r="I276" s="83" t="str">
        <x:v>solar-utility</x:v>
      </x:c>
      <x:c r="J276" s="83" t="str">
        <x:v>Generator</x:v>
      </x:c>
      <x:c r="K276" s="83" t="str">
        <x:v>p_nom</x:v>
      </x:c>
      <x:c r="L276" s="279" t="n">
        <x:v>5.9</x:v>
      </x:c>
      <x:c r="M276" s="279" t="str">
        <x:v>GW</x:v>
      </x:c>
      <x:c r="N276" s="279" t="n">
        <x:f>IF(L276="","",IF(M276="GW",L276*1000,IF(M276="GWh",L276*1000,IF(M276="TWh",L276*1000000,L276))))</x:f>
        <x:v>5900</x:v>
      </x:c>
      <x:c r="O276" s="83" t="str">
        <x:f>IF(L276="","",IF(M276="GW","MW",IF(OR(M276="GWh",M276="TWh"),"MWh",M276)))</x:f>
        <x:v>MW</x:v>
      </x:c>
      <x:c r="P276" s="83" t="str"/>
      <x:c r="Q276" s="349"/>
      <x:c r="R276" s="349" t="str">
        <x:f>IF(L276="","",IF(Q276&lt;&gt;"",L276*Q276,IF(OR(ISNUMBER(SEARCH("EUR2025",M276&amp;"")),P276=2025,P276="2025"),L276,"")))</x:f>
      </x:c>
      <x:c r="S276" s="83" t="str">
        <x:v>A — Direct</x:v>
      </x:c>
      <x:c r="T276" s="83" t="str">
        <x:v>Direct zonal capacity; convert GW to MW.</x:v>
      </x:c>
      <x:c r="U276" s="83" t="str">
        <x:v>S09</x:v>
      </x:c>
      <x:c r="V276" s="83" t="str">
        <x:v>DDS Tabella 14 p.60</x:v>
      </x:c>
      <x:c r="W276" s="120"/>
      <x:c r="X276" s="83" t="str">
        <x:v>A - Direct</x:v>
      </x:c>
      <x:c r="Y276" s="83" t="str">
        <x:v>Adopted</x:v>
      </x:c>
      <x:c r="Z276" s="83" t="str">
        <x:v>Ready when profiles/base network are available</x:v>
      </x:c>
      <x:c r="AA276" s="83"/>
    </x:row>
    <x:row r="277">
      <x:c r="A277" s="83" t="str">
        <x:v>S4-00273</x:v>
      </x:c>
      <x:c r="B277" s="83" t="str">
        <x:v>IT2040_ALT_SLOW</x:v>
      </x:c>
      <x:c r="C277" s="83" t="n">
        <x:v>2040</x:v>
      </x:c>
      <x:c r="D277" s="83" t="str">
        <x:v>Generation capacity</x:v>
      </x:c>
      <x:c r="E277" s="83" t="str">
        <x:v>IT_CSUD</x:v>
      </x:c>
      <x:c r="F277" s="83" t="str">
        <x:v>CSUD</x:v>
      </x:c>
      <x:c r="G277" s="83" t="str">
        <x:v>Solare distribuito</x:v>
      </x:c>
      <x:c r="H277" s="83" t="str">
        <x:v>Solar rooftop/distributed</x:v>
      </x:c>
      <x:c r="I277" s="83" t="str">
        <x:v>solar-rooftop</x:v>
      </x:c>
      <x:c r="J277" s="83" t="str">
        <x:v>Generator</x:v>
      </x:c>
      <x:c r="K277" s="83" t="str">
        <x:v>p_nom</x:v>
      </x:c>
      <x:c r="L277" s="279" t="n">
        <x:v>5.1</x:v>
      </x:c>
      <x:c r="M277" s="279" t="str">
        <x:v>GW</x:v>
      </x:c>
      <x:c r="N277" s="279" t="n">
        <x:f>IF(L277="","",IF(M277="GW",L277*1000,IF(M277="GWh",L277*1000,IF(M277="TWh",L277*1000000,L277))))</x:f>
        <x:v>5100</x:v>
      </x:c>
      <x:c r="O277" s="83" t="str">
        <x:f>IF(L277="","",IF(M277="GW","MW",IF(OR(M277="GWh",M277="TWh"),"MWh",M277)))</x:f>
        <x:v>MW</x:v>
      </x:c>
      <x:c r="P277" s="83" t="str"/>
      <x:c r="Q277" s="349"/>
      <x:c r="R277" s="349" t="str">
        <x:f>IF(L277="","",IF(Q277&lt;&gt;"",L277*Q277,IF(OR(ISNUMBER(SEARCH("EUR2025",M277&amp;"")),P277=2025,P277="2025"),L277,"")))</x:f>
      </x:c>
      <x:c r="S277" s="83" t="str">
        <x:v>A — Direct</x:v>
      </x:c>
      <x:c r="T277" s="83" t="str">
        <x:v>Direct zonal capacity; convert GW to MW.</x:v>
      </x:c>
      <x:c r="U277" s="83" t="str">
        <x:v>S09</x:v>
      </x:c>
      <x:c r="V277" s="83" t="str">
        <x:v>DDS Tabella 14 p.60</x:v>
      </x:c>
      <x:c r="W277" s="120"/>
      <x:c r="X277" s="83" t="str">
        <x:v>A - Direct</x:v>
      </x:c>
      <x:c r="Y277" s="83" t="str">
        <x:v>Adopted</x:v>
      </x:c>
      <x:c r="Z277" s="83" t="str">
        <x:v>Ready when profiles/base network are available</x:v>
      </x:c>
      <x:c r="AA277" s="83"/>
    </x:row>
    <x:row r="278">
      <x:c r="A278" s="83" t="str">
        <x:v>S4-00274</x:v>
      </x:c>
      <x:c r="B278" s="83" t="str">
        <x:v>IT2040_ALT_SLOW</x:v>
      </x:c>
      <x:c r="C278" s="83" t="n">
        <x:v>2040</x:v>
      </x:c>
      <x:c r="D278" s="83" t="str">
        <x:v>Generation capacity</x:v>
      </x:c>
      <x:c r="E278" s="83" t="str">
        <x:v>IT_CSUD</x:v>
      </x:c>
      <x:c r="F278" s="83" t="str">
        <x:v>CSUD</x:v>
      </x:c>
      <x:c r="G278" s="83" t="str">
        <x:v>Solare utility</x:v>
      </x:c>
      <x:c r="H278" s="83" t="str">
        <x:v>Solar utility</x:v>
      </x:c>
      <x:c r="I278" s="83" t="str">
        <x:v>solar-utility</x:v>
      </x:c>
      <x:c r="J278" s="83" t="str">
        <x:v>Generator</x:v>
      </x:c>
      <x:c r="K278" s="83" t="str">
        <x:v>p_nom</x:v>
      </x:c>
      <x:c r="L278" s="279" t="n">
        <x:v>12.5</x:v>
      </x:c>
      <x:c r="M278" s="279" t="str">
        <x:v>GW</x:v>
      </x:c>
      <x:c r="N278" s="279" t="n">
        <x:f>IF(L278="","",IF(M278="GW",L278*1000,IF(M278="GWh",L278*1000,IF(M278="TWh",L278*1000000,L278))))</x:f>
        <x:v>12500</x:v>
      </x:c>
      <x:c r="O278" s="83" t="str">
        <x:f>IF(L278="","",IF(M278="GW","MW",IF(OR(M278="GWh",M278="TWh"),"MWh",M278)))</x:f>
        <x:v>MW</x:v>
      </x:c>
      <x:c r="P278" s="83" t="str"/>
      <x:c r="Q278" s="349"/>
      <x:c r="R278" s="349" t="str">
        <x:f>IF(L278="","",IF(Q278&lt;&gt;"",L278*Q278,IF(OR(ISNUMBER(SEARCH("EUR2025",M278&amp;"")),P278=2025,P278="2025"),L278,"")))</x:f>
      </x:c>
      <x:c r="S278" s="83" t="str">
        <x:v>A — Direct</x:v>
      </x:c>
      <x:c r="T278" s="83" t="str">
        <x:v>Direct zonal capacity; convert GW to MW.</x:v>
      </x:c>
      <x:c r="U278" s="83" t="str">
        <x:v>S09</x:v>
      </x:c>
      <x:c r="V278" s="83" t="str">
        <x:v>DDS Tabella 14 p.60</x:v>
      </x:c>
      <x:c r="W278" s="120"/>
      <x:c r="X278" s="83" t="str">
        <x:v>A - Direct</x:v>
      </x:c>
      <x:c r="Y278" s="83" t="str">
        <x:v>Adopted</x:v>
      </x:c>
      <x:c r="Z278" s="83" t="str">
        <x:v>Ready when profiles/base network are available</x:v>
      </x:c>
      <x:c r="AA278" s="83"/>
    </x:row>
    <x:row r="279">
      <x:c r="A279" s="83" t="str">
        <x:v>S4-00275</x:v>
      </x:c>
      <x:c r="B279" s="83" t="str">
        <x:v>IT2040_ALT_SLOW</x:v>
      </x:c>
      <x:c r="C279" s="83" t="n">
        <x:v>2040</x:v>
      </x:c>
      <x:c r="D279" s="83" t="str">
        <x:v>Generation capacity</x:v>
      </x:c>
      <x:c r="E279" s="83" t="str">
        <x:v>IT_SUD</x:v>
      </x:c>
      <x:c r="F279" s="83" t="str">
        <x:v>SUD</x:v>
      </x:c>
      <x:c r="G279" s="83" t="str">
        <x:v>Solare distribuito</x:v>
      </x:c>
      <x:c r="H279" s="83" t="str">
        <x:v>Solar rooftop/distributed</x:v>
      </x:c>
      <x:c r="I279" s="83" t="str">
        <x:v>solar-rooftop</x:v>
      </x:c>
      <x:c r="J279" s="83" t="str">
        <x:v>Generator</x:v>
      </x:c>
      <x:c r="K279" s="83" t="str">
        <x:v>p_nom</x:v>
      </x:c>
      <x:c r="L279" s="279" t="n">
        <x:v>1.6</x:v>
      </x:c>
      <x:c r="M279" s="279" t="str">
        <x:v>GW</x:v>
      </x:c>
      <x:c r="N279" s="279" t="n">
        <x:f>IF(L279="","",IF(M279="GW",L279*1000,IF(M279="GWh",L279*1000,IF(M279="TWh",L279*1000000,L279))))</x:f>
        <x:v>1600</x:v>
      </x:c>
      <x:c r="O279" s="83" t="str">
        <x:f>IF(L279="","",IF(M279="GW","MW",IF(OR(M279="GWh",M279="TWh"),"MWh",M279)))</x:f>
        <x:v>MW</x:v>
      </x:c>
      <x:c r="P279" s="83" t="str"/>
      <x:c r="Q279" s="349"/>
      <x:c r="R279" s="349" t="str">
        <x:f>IF(L279="","",IF(Q279&lt;&gt;"",L279*Q279,IF(OR(ISNUMBER(SEARCH("EUR2025",M279&amp;"")),P279=2025,P279="2025"),L279,"")))</x:f>
      </x:c>
      <x:c r="S279" s="83" t="str">
        <x:v>A — Direct</x:v>
      </x:c>
      <x:c r="T279" s="83" t="str">
        <x:v>Direct zonal capacity; convert GW to MW.</x:v>
      </x:c>
      <x:c r="U279" s="83" t="str">
        <x:v>S09</x:v>
      </x:c>
      <x:c r="V279" s="83" t="str">
        <x:v>DDS Tabella 14 p.60</x:v>
      </x:c>
      <x:c r="W279" s="120"/>
      <x:c r="X279" s="83" t="str">
        <x:v>A - Direct</x:v>
      </x:c>
      <x:c r="Y279" s="83" t="str">
        <x:v>Adopted</x:v>
      </x:c>
      <x:c r="Z279" s="83" t="str">
        <x:v>Ready when profiles/base network are available</x:v>
      </x:c>
      <x:c r="AA279" s="83"/>
    </x:row>
    <x:row r="280">
      <x:c r="A280" s="83" t="str">
        <x:v>S4-00276</x:v>
      </x:c>
      <x:c r="B280" s="83" t="str">
        <x:v>IT2040_ALT_SLOW</x:v>
      </x:c>
      <x:c r="C280" s="83" t="n">
        <x:v>2040</x:v>
      </x:c>
      <x:c r="D280" s="83" t="str">
        <x:v>Generation capacity</x:v>
      </x:c>
      <x:c r="E280" s="83" t="str">
        <x:v>IT_SUD</x:v>
      </x:c>
      <x:c r="F280" s="83" t="str">
        <x:v>SUD</x:v>
      </x:c>
      <x:c r="G280" s="83" t="str">
        <x:v>Solare utility</x:v>
      </x:c>
      <x:c r="H280" s="83" t="str">
        <x:v>Solar utility</x:v>
      </x:c>
      <x:c r="I280" s="83" t="str">
        <x:v>solar-utility</x:v>
      </x:c>
      <x:c r="J280" s="83" t="str">
        <x:v>Generator</x:v>
      </x:c>
      <x:c r="K280" s="83" t="str">
        <x:v>p_nom</x:v>
      </x:c>
      <x:c r="L280" s="279" t="n">
        <x:v>16</x:v>
      </x:c>
      <x:c r="M280" s="279" t="str">
        <x:v>GW</x:v>
      </x:c>
      <x:c r="N280" s="279" t="n">
        <x:f>IF(L280="","",IF(M280="GW",L280*1000,IF(M280="GWh",L280*1000,IF(M280="TWh",L280*1000000,L280))))</x:f>
        <x:v>16000</x:v>
      </x:c>
      <x:c r="O280" s="83" t="str">
        <x:f>IF(L280="","",IF(M280="GW","MW",IF(OR(M280="GWh",M280="TWh"),"MWh",M280)))</x:f>
        <x:v>MW</x:v>
      </x:c>
      <x:c r="P280" s="83" t="str"/>
      <x:c r="Q280" s="349"/>
      <x:c r="R280" s="349" t="str">
        <x:f>IF(L280="","",IF(Q280&lt;&gt;"",L280*Q280,IF(OR(ISNUMBER(SEARCH("EUR2025",M280&amp;"")),P280=2025,P280="2025"),L280,"")))</x:f>
      </x:c>
      <x:c r="S280" s="83" t="str">
        <x:v>A — Direct</x:v>
      </x:c>
      <x:c r="T280" s="83" t="str">
        <x:v>Direct zonal capacity; convert GW to MW.</x:v>
      </x:c>
      <x:c r="U280" s="83" t="str">
        <x:v>S09</x:v>
      </x:c>
      <x:c r="V280" s="83" t="str">
        <x:v>DDS Tabella 14 p.60</x:v>
      </x:c>
      <x:c r="W280" s="120"/>
      <x:c r="X280" s="83" t="str">
        <x:v>A - Direct</x:v>
      </x:c>
      <x:c r="Y280" s="83" t="str">
        <x:v>Adopted</x:v>
      </x:c>
      <x:c r="Z280" s="83" t="str">
        <x:v>Ready when profiles/base network are available</x:v>
      </x:c>
      <x:c r="AA280" s="83"/>
    </x:row>
    <x:row r="281">
      <x:c r="A281" s="83" t="str">
        <x:v>S4-00277</x:v>
      </x:c>
      <x:c r="B281" s="83" t="str">
        <x:v>IT2040_ALT_SLOW</x:v>
      </x:c>
      <x:c r="C281" s="83" t="n">
        <x:v>2040</x:v>
      </x:c>
      <x:c r="D281" s="83" t="str">
        <x:v>Generation capacity</x:v>
      </x:c>
      <x:c r="E281" s="83" t="str">
        <x:v>IT_CALA</x:v>
      </x:c>
      <x:c r="F281" s="83" t="str">
        <x:v>CALA</x:v>
      </x:c>
      <x:c r="G281" s="83" t="str">
        <x:v>Solare distribuito</x:v>
      </x:c>
      <x:c r="H281" s="83" t="str">
        <x:v>Solar rooftop/distributed</x:v>
      </x:c>
      <x:c r="I281" s="83" t="str">
        <x:v>solar-rooftop</x:v>
      </x:c>
      <x:c r="J281" s="83" t="str">
        <x:v>Generator</x:v>
      </x:c>
      <x:c r="K281" s="83" t="str">
        <x:v>p_nom</x:v>
      </x:c>
      <x:c r="L281" s="279" t="n">
        <x:v>1.1</x:v>
      </x:c>
      <x:c r="M281" s="279" t="str">
        <x:v>GW</x:v>
      </x:c>
      <x:c r="N281" s="279" t="n">
        <x:f>IF(L281="","",IF(M281="GW",L281*1000,IF(M281="GWh",L281*1000,IF(M281="TWh",L281*1000000,L281))))</x:f>
        <x:v>1100</x:v>
      </x:c>
      <x:c r="O281" s="83" t="str">
        <x:f>IF(L281="","",IF(M281="GW","MW",IF(OR(M281="GWh",M281="TWh"),"MWh",M281)))</x:f>
        <x:v>MW</x:v>
      </x:c>
      <x:c r="P281" s="83" t="str"/>
      <x:c r="Q281" s="349"/>
      <x:c r="R281" s="349" t="str">
        <x:f>IF(L281="","",IF(Q281&lt;&gt;"",L281*Q281,IF(OR(ISNUMBER(SEARCH("EUR2025",M281&amp;"")),P281=2025,P281="2025"),L281,"")))</x:f>
      </x:c>
      <x:c r="S281" s="83" t="str">
        <x:v>A — Direct</x:v>
      </x:c>
      <x:c r="T281" s="83" t="str">
        <x:v>Direct zonal capacity; convert GW to MW.</x:v>
      </x:c>
      <x:c r="U281" s="83" t="str">
        <x:v>S09</x:v>
      </x:c>
      <x:c r="V281" s="83" t="str">
        <x:v>DDS Tabella 14 p.60</x:v>
      </x:c>
      <x:c r="W281" s="120"/>
      <x:c r="X281" s="83" t="str">
        <x:v>A - Direct</x:v>
      </x:c>
      <x:c r="Y281" s="83" t="str">
        <x:v>Adopted</x:v>
      </x:c>
      <x:c r="Z281" s="83" t="str">
        <x:v>Ready when profiles/base network are available</x:v>
      </x:c>
      <x:c r="AA281" s="83"/>
    </x:row>
    <x:row r="282">
      <x:c r="A282" s="83" t="str">
        <x:v>S4-00278</x:v>
      </x:c>
      <x:c r="B282" s="83" t="str">
        <x:v>IT2040_ALT_SLOW</x:v>
      </x:c>
      <x:c r="C282" s="83" t="n">
        <x:v>2040</x:v>
      </x:c>
      <x:c r="D282" s="83" t="str">
        <x:v>Generation capacity</x:v>
      </x:c>
      <x:c r="E282" s="83" t="str">
        <x:v>IT_CALA</x:v>
      </x:c>
      <x:c r="F282" s="83" t="str">
        <x:v>CALA</x:v>
      </x:c>
      <x:c r="G282" s="83" t="str">
        <x:v>Solare utility</x:v>
      </x:c>
      <x:c r="H282" s="83" t="str">
        <x:v>Solar utility</x:v>
      </x:c>
      <x:c r="I282" s="83" t="str">
        <x:v>solar-utility</x:v>
      </x:c>
      <x:c r="J282" s="83" t="str">
        <x:v>Generator</x:v>
      </x:c>
      <x:c r="K282" s="83" t="str">
        <x:v>p_nom</x:v>
      </x:c>
      <x:c r="L282" s="279" t="n">
        <x:v>2.2</x:v>
      </x:c>
      <x:c r="M282" s="279" t="str">
        <x:v>GW</x:v>
      </x:c>
      <x:c r="N282" s="279" t="n">
        <x:f>IF(L282="","",IF(M282="GW",L282*1000,IF(M282="GWh",L282*1000,IF(M282="TWh",L282*1000000,L282))))</x:f>
        <x:v>2200</x:v>
      </x:c>
      <x:c r="O282" s="83" t="str">
        <x:f>IF(L282="","",IF(M282="GW","MW",IF(OR(M282="GWh",M282="TWh"),"MWh",M282)))</x:f>
        <x:v>MW</x:v>
      </x:c>
      <x:c r="P282" s="83" t="str"/>
      <x:c r="Q282" s="349"/>
      <x:c r="R282" s="349" t="str">
        <x:f>IF(L282="","",IF(Q282&lt;&gt;"",L282*Q282,IF(OR(ISNUMBER(SEARCH("EUR2025",M282&amp;"")),P282=2025,P282="2025"),L282,"")))</x:f>
      </x:c>
      <x:c r="S282" s="83" t="str">
        <x:v>A — Direct</x:v>
      </x:c>
      <x:c r="T282" s="83" t="str">
        <x:v>Direct zonal capacity; convert GW to MW.</x:v>
      </x:c>
      <x:c r="U282" s="83" t="str">
        <x:v>S09</x:v>
      </x:c>
      <x:c r="V282" s="83" t="str">
        <x:v>DDS Tabella 14 p.60</x:v>
      </x:c>
      <x:c r="W282" s="120"/>
      <x:c r="X282" s="83" t="str">
        <x:v>A - Direct</x:v>
      </x:c>
      <x:c r="Y282" s="83" t="str">
        <x:v>Adopted</x:v>
      </x:c>
      <x:c r="Z282" s="83" t="str">
        <x:v>Ready when profiles/base network are available</x:v>
      </x:c>
      <x:c r="AA282" s="83"/>
    </x:row>
    <x:row r="283">
      <x:c r="A283" s="83" t="str">
        <x:v>S4-00279</x:v>
      </x:c>
      <x:c r="B283" s="83" t="str">
        <x:v>IT2040_ALT_SLOW</x:v>
      </x:c>
      <x:c r="C283" s="83" t="n">
        <x:v>2040</x:v>
      </x:c>
      <x:c r="D283" s="83" t="str">
        <x:v>Generation capacity</x:v>
      </x:c>
      <x:c r="E283" s="83" t="str">
        <x:v>IT_SICI</x:v>
      </x:c>
      <x:c r="F283" s="83" t="str">
        <x:v>SICI</x:v>
      </x:c>
      <x:c r="G283" s="83" t="str">
        <x:v>Solare distribuito</x:v>
      </x:c>
      <x:c r="H283" s="83" t="str">
        <x:v>Solar rooftop/distributed</x:v>
      </x:c>
      <x:c r="I283" s="83" t="str">
        <x:v>solar-rooftop</x:v>
      </x:c>
      <x:c r="J283" s="83" t="str">
        <x:v>Generator</x:v>
      </x:c>
      <x:c r="K283" s="83" t="str">
        <x:v>p_nom</x:v>
      </x:c>
      <x:c r="L283" s="279" t="n">
        <x:v>3.2</x:v>
      </x:c>
      <x:c r="M283" s="279" t="str">
        <x:v>GW</x:v>
      </x:c>
      <x:c r="N283" s="279" t="n">
        <x:f>IF(L283="","",IF(M283="GW",L283*1000,IF(M283="GWh",L283*1000,IF(M283="TWh",L283*1000000,L283))))</x:f>
        <x:v>3200</x:v>
      </x:c>
      <x:c r="O283" s="83" t="str">
        <x:f>IF(L283="","",IF(M283="GW","MW",IF(OR(M283="GWh",M283="TWh"),"MWh",M283)))</x:f>
        <x:v>MW</x:v>
      </x:c>
      <x:c r="P283" s="83" t="str"/>
      <x:c r="Q283" s="349"/>
      <x:c r="R283" s="349" t="str">
        <x:f>IF(L283="","",IF(Q283&lt;&gt;"",L283*Q283,IF(OR(ISNUMBER(SEARCH("EUR2025",M283&amp;"")),P283=2025,P283="2025"),L283,"")))</x:f>
      </x:c>
      <x:c r="S283" s="83" t="str">
        <x:v>A — Direct</x:v>
      </x:c>
      <x:c r="T283" s="83" t="str">
        <x:v>Direct zonal capacity; convert GW to MW.</x:v>
      </x:c>
      <x:c r="U283" s="83" t="str">
        <x:v>S09</x:v>
      </x:c>
      <x:c r="V283" s="83" t="str">
        <x:v>DDS Tabella 14 p.60</x:v>
      </x:c>
      <x:c r="W283" s="120"/>
      <x:c r="X283" s="83" t="str">
        <x:v>A - Direct</x:v>
      </x:c>
      <x:c r="Y283" s="83" t="str">
        <x:v>Adopted</x:v>
      </x:c>
      <x:c r="Z283" s="83" t="str">
        <x:v>Ready when profiles/base network are available</x:v>
      </x:c>
      <x:c r="AA283" s="83"/>
    </x:row>
    <x:row r="284">
      <x:c r="A284" s="83" t="str">
        <x:v>S4-00280</x:v>
      </x:c>
      <x:c r="B284" s="83" t="str">
        <x:v>IT2040_ALT_SLOW</x:v>
      </x:c>
      <x:c r="C284" s="83" t="n">
        <x:v>2040</x:v>
      </x:c>
      <x:c r="D284" s="83" t="str">
        <x:v>Generation capacity</x:v>
      </x:c>
      <x:c r="E284" s="83" t="str">
        <x:v>IT_SICI</x:v>
      </x:c>
      <x:c r="F284" s="83" t="str">
        <x:v>SICI</x:v>
      </x:c>
      <x:c r="G284" s="83" t="str">
        <x:v>Solare utility</x:v>
      </x:c>
      <x:c r="H284" s="83" t="str">
        <x:v>Solar utility</x:v>
      </x:c>
      <x:c r="I284" s="83" t="str">
        <x:v>solar-utility</x:v>
      </x:c>
      <x:c r="J284" s="83" t="str">
        <x:v>Generator</x:v>
      </x:c>
      <x:c r="K284" s="83" t="str">
        <x:v>p_nom</x:v>
      </x:c>
      <x:c r="L284" s="279" t="n">
        <x:v>10.1</x:v>
      </x:c>
      <x:c r="M284" s="279" t="str">
        <x:v>GW</x:v>
      </x:c>
      <x:c r="N284" s="279" t="n">
        <x:f>IF(L284="","",IF(M284="GW",L284*1000,IF(M284="GWh",L284*1000,IF(M284="TWh",L284*1000000,L284))))</x:f>
        <x:v>10100</x:v>
      </x:c>
      <x:c r="O284" s="83" t="str">
        <x:f>IF(L284="","",IF(M284="GW","MW",IF(OR(M284="GWh",M284="TWh"),"MWh",M284)))</x:f>
        <x:v>MW</x:v>
      </x:c>
      <x:c r="P284" s="83" t="str"/>
      <x:c r="Q284" s="349"/>
      <x:c r="R284" s="349" t="str">
        <x:f>IF(L284="","",IF(Q284&lt;&gt;"",L284*Q284,IF(OR(ISNUMBER(SEARCH("EUR2025",M284&amp;"")),P284=2025,P284="2025"),L284,"")))</x:f>
      </x:c>
      <x:c r="S284" s="83" t="str">
        <x:v>A — Direct</x:v>
      </x:c>
      <x:c r="T284" s="83" t="str">
        <x:v>Direct zonal capacity; convert GW to MW.</x:v>
      </x:c>
      <x:c r="U284" s="83" t="str">
        <x:v>S09</x:v>
      </x:c>
      <x:c r="V284" s="83" t="str">
        <x:v>DDS Tabella 14 p.60</x:v>
      </x:c>
      <x:c r="W284" s="120"/>
      <x:c r="X284" s="83" t="str">
        <x:v>A - Direct</x:v>
      </x:c>
      <x:c r="Y284" s="83" t="str">
        <x:v>Adopted</x:v>
      </x:c>
      <x:c r="Z284" s="83" t="str">
        <x:v>Ready when profiles/base network are available</x:v>
      </x:c>
      <x:c r="AA284" s="83"/>
    </x:row>
    <x:row r="285">
      <x:c r="A285" s="83" t="str">
        <x:v>S4-00281</x:v>
      </x:c>
      <x:c r="B285" s="83" t="str">
        <x:v>IT2040_ALT_SLOW</x:v>
      </x:c>
      <x:c r="C285" s="83" t="n">
        <x:v>2040</x:v>
      </x:c>
      <x:c r="D285" s="83" t="str">
        <x:v>Generation capacity</x:v>
      </x:c>
      <x:c r="E285" s="83" t="str">
        <x:v>IT_SARD</x:v>
      </x:c>
      <x:c r="F285" s="83" t="str">
        <x:v>SARD</x:v>
      </x:c>
      <x:c r="G285" s="83" t="str">
        <x:v>Solare distribuito</x:v>
      </x:c>
      <x:c r="H285" s="83" t="str">
        <x:v>Solar rooftop/distributed</x:v>
      </x:c>
      <x:c r="I285" s="83" t="str">
        <x:v>solar-rooftop</x:v>
      </x:c>
      <x:c r="J285" s="83" t="str">
        <x:v>Generator</x:v>
      </x:c>
      <x:c r="K285" s="83" t="str">
        <x:v>p_nom</x:v>
      </x:c>
      <x:c r="L285" s="279" t="n">
        <x:v>1.6</x:v>
      </x:c>
      <x:c r="M285" s="279" t="str">
        <x:v>GW</x:v>
      </x:c>
      <x:c r="N285" s="279" t="n">
        <x:f>IF(L285="","",IF(M285="GW",L285*1000,IF(M285="GWh",L285*1000,IF(M285="TWh",L285*1000000,L285))))</x:f>
        <x:v>1600</x:v>
      </x:c>
      <x:c r="O285" s="83" t="str">
        <x:f>IF(L285="","",IF(M285="GW","MW",IF(OR(M285="GWh",M285="TWh"),"MWh",M285)))</x:f>
        <x:v>MW</x:v>
      </x:c>
      <x:c r="P285" s="83" t="str"/>
      <x:c r="Q285" s="349"/>
      <x:c r="R285" s="349" t="str">
        <x:f>IF(L285="","",IF(Q285&lt;&gt;"",L285*Q285,IF(OR(ISNUMBER(SEARCH("EUR2025",M285&amp;"")),P285=2025,P285="2025"),L285,"")))</x:f>
      </x:c>
      <x:c r="S285" s="83" t="str">
        <x:v>A — Direct</x:v>
      </x:c>
      <x:c r="T285" s="83" t="str">
        <x:v>Direct zonal capacity; convert GW to MW.</x:v>
      </x:c>
      <x:c r="U285" s="83" t="str">
        <x:v>S09</x:v>
      </x:c>
      <x:c r="V285" s="83" t="str">
        <x:v>DDS Tabella 14 p.60</x:v>
      </x:c>
      <x:c r="W285" s="120"/>
      <x:c r="X285" s="83" t="str">
        <x:v>A - Direct</x:v>
      </x:c>
      <x:c r="Y285" s="83" t="str">
        <x:v>Adopted</x:v>
      </x:c>
      <x:c r="Z285" s="83" t="str">
        <x:v>Ready when profiles/base network are available</x:v>
      </x:c>
      <x:c r="AA285" s="83"/>
    </x:row>
    <x:row r="286">
      <x:c r="A286" s="83" t="str">
        <x:v>S4-00282</x:v>
      </x:c>
      <x:c r="B286" s="83" t="str">
        <x:v>IT2040_ALT_SLOW</x:v>
      </x:c>
      <x:c r="C286" s="83" t="n">
        <x:v>2040</x:v>
      </x:c>
      <x:c r="D286" s="83" t="str">
        <x:v>Generation capacity</x:v>
      </x:c>
      <x:c r="E286" s="83" t="str">
        <x:v>IT_SARD</x:v>
      </x:c>
      <x:c r="F286" s="83" t="str">
        <x:v>SARD</x:v>
      </x:c>
      <x:c r="G286" s="83" t="str">
        <x:v>Solare utility</x:v>
      </x:c>
      <x:c r="H286" s="83" t="str">
        <x:v>Solar utility</x:v>
      </x:c>
      <x:c r="I286" s="83" t="str">
        <x:v>solar-utility</x:v>
      </x:c>
      <x:c r="J286" s="83" t="str">
        <x:v>Generator</x:v>
      </x:c>
      <x:c r="K286" s="83" t="str">
        <x:v>p_nom</x:v>
      </x:c>
      <x:c r="L286" s="279" t="n">
        <x:v>6.4</x:v>
      </x:c>
      <x:c r="M286" s="279" t="str">
        <x:v>GW</x:v>
      </x:c>
      <x:c r="N286" s="279" t="n">
        <x:f>IF(L286="","",IF(M286="GW",L286*1000,IF(M286="GWh",L286*1000,IF(M286="TWh",L286*1000000,L286))))</x:f>
        <x:v>6400</x:v>
      </x:c>
      <x:c r="O286" s="83" t="str">
        <x:f>IF(L286="","",IF(M286="GW","MW",IF(OR(M286="GWh",M286="TWh"),"MWh",M286)))</x:f>
        <x:v>MW</x:v>
      </x:c>
      <x:c r="P286" s="83" t="str"/>
      <x:c r="Q286" s="349"/>
      <x:c r="R286" s="349" t="str">
        <x:f>IF(L286="","",IF(Q286&lt;&gt;"",L286*Q286,IF(OR(ISNUMBER(SEARCH("EUR2025",M286&amp;"")),P286=2025,P286="2025"),L286,"")))</x:f>
      </x:c>
      <x:c r="S286" s="83" t="str">
        <x:v>A — Direct</x:v>
      </x:c>
      <x:c r="T286" s="83" t="str">
        <x:v>Direct zonal capacity; convert GW to MW.</x:v>
      </x:c>
      <x:c r="U286" s="83" t="str">
        <x:v>S09</x:v>
      </x:c>
      <x:c r="V286" s="83" t="str">
        <x:v>DDS Tabella 14 p.60</x:v>
      </x:c>
      <x:c r="W286" s="120"/>
      <x:c r="X286" s="83" t="str">
        <x:v>A - Direct</x:v>
      </x:c>
      <x:c r="Y286" s="83" t="str">
        <x:v>Adopted</x:v>
      </x:c>
      <x:c r="Z286" s="83" t="str">
        <x:v>Ready when profiles/base network are available</x:v>
      </x:c>
      <x:c r="AA286" s="83"/>
    </x:row>
    <x:row r="287">
      <x:c r="A287" s="83" t="str">
        <x:v>S4-00283</x:v>
      </x:c>
      <x:c r="B287" s="83" t="str">
        <x:v>IT2040_ALT_SLOW</x:v>
      </x:c>
      <x:c r="C287" s="83" t="n">
        <x:v>2040</x:v>
      </x:c>
      <x:c r="D287" s="83" t="str">
        <x:v>Generation capacity</x:v>
      </x:c>
      <x:c r="E287" s="83" t="str">
        <x:v>IT_NORD</x:v>
      </x:c>
      <x:c r="F287" s="83" t="str">
        <x:v>NORD</x:v>
      </x:c>
      <x:c r="G287" s="83" t="str">
        <x:v>Eolico onshore</x:v>
      </x:c>
      <x:c r="H287" s="83" t="str">
        <x:v>Wind onshore</x:v>
      </x:c>
      <x:c r="I287" s="83" t="str">
        <x:v>onwind</x:v>
      </x:c>
      <x:c r="J287" s="83" t="str">
        <x:v>Generator</x:v>
      </x:c>
      <x:c r="K287" s="83" t="str">
        <x:v>p_nom</x:v>
      </x:c>
      <x:c r="L287" s="279" t="n">
        <x:v>0.6</x:v>
      </x:c>
      <x:c r="M287" s="279" t="str">
        <x:v>GW</x:v>
      </x:c>
      <x:c r="N287" s="279" t="n">
        <x:f>IF(L287="","",IF(M287="GW",L287*1000,IF(M287="GWh",L287*1000,IF(M287="TWh",L287*1000000,L287))))</x:f>
        <x:v>600</x:v>
      </x:c>
      <x:c r="O287" s="83" t="str">
        <x:f>IF(L287="","",IF(M287="GW","MW",IF(OR(M287="GWh",M287="TWh"),"MWh",M287)))</x:f>
        <x:v>MW</x:v>
      </x:c>
      <x:c r="P287" s="83" t="str"/>
      <x:c r="Q287" s="349"/>
      <x:c r="R287" s="349" t="str">
        <x:f>IF(L287="","",IF(Q287&lt;&gt;"",L287*Q287,IF(OR(ISNUMBER(SEARCH("EUR2025",M287&amp;"")),P287=2025,P287="2025"),L287,"")))</x:f>
      </x:c>
      <x:c r="S287" s="83" t="str">
        <x:v>A — Direct</x:v>
      </x:c>
      <x:c r="T287" s="83" t="str">
        <x:v>Direct zonal capacity; convert GW to MW.</x:v>
      </x:c>
      <x:c r="U287" s="83" t="str">
        <x:v>S09</x:v>
      </x:c>
      <x:c r="V287" s="83" t="str">
        <x:v>DDS Tabella 15 p.61</x:v>
      </x:c>
      <x:c r="W287" s="120"/>
      <x:c r="X287" s="83" t="str">
        <x:v>A - Direct</x:v>
      </x:c>
      <x:c r="Y287" s="83" t="str">
        <x:v>Adopted</x:v>
      </x:c>
      <x:c r="Z287" s="83" t="str">
        <x:v>Ready when profiles/base network are available</x:v>
      </x:c>
      <x:c r="AA287" s="83"/>
    </x:row>
    <x:row r="288">
      <x:c r="A288" s="83" t="str">
        <x:v>S4-00284</x:v>
      </x:c>
      <x:c r="B288" s="83" t="str">
        <x:v>IT2040_ALT_SLOW</x:v>
      </x:c>
      <x:c r="C288" s="83" t="n">
        <x:v>2040</x:v>
      </x:c>
      <x:c r="D288" s="83" t="str">
        <x:v>Generation capacity</x:v>
      </x:c>
      <x:c r="E288" s="83" t="str">
        <x:v>IT_NORD</x:v>
      </x:c>
      <x:c r="F288" s="83" t="str">
        <x:v>NORD</x:v>
      </x:c>
      <x:c r="G288" s="83" t="str">
        <x:v>Eolico offshore</x:v>
      </x:c>
      <x:c r="H288" s="83" t="str">
        <x:v>Wind offshore unspecified</x:v>
      </x:c>
      <x:c r="I288" s="83" t="str">
        <x:v>offwind</x:v>
      </x:c>
      <x:c r="J288" s="83" t="str">
        <x:v>Generator</x:v>
      </x:c>
      <x:c r="K288" s="83" t="str">
        <x:v>p_nom</x:v>
      </x:c>
      <x:c r="L288" s="279" t="n">
        <x:v>1</x:v>
      </x:c>
      <x:c r="M288" s="279" t="str">
        <x:v>GW</x:v>
      </x:c>
      <x:c r="N288" s="279" t="n">
        <x:f>IF(L288="","",IF(M288="GW",L288*1000,IF(M288="GWh",L288*1000,IF(M288="TWh",L288*1000000,L288))))</x:f>
        <x:v>1000</x:v>
      </x:c>
      <x:c r="O288" s="83" t="str">
        <x:f>IF(L288="","",IF(M288="GW","MW",IF(OR(M288="GWh",M288="TWh"),"MWh",M288)))</x:f>
        <x:v>MW</x:v>
      </x:c>
      <x:c r="P288" s="83" t="str"/>
      <x:c r="Q288" s="349"/>
      <x:c r="R288" s="349" t="str">
        <x:f>IF(L288="","",IF(Q288&lt;&gt;"",L288*Q288,IF(OR(ISNUMBER(SEARCH("EUR2025",M288&amp;"")),P288=2025,P288="2025"),L288,"")))</x:f>
      </x:c>
      <x:c r="S288" s="83" t="str">
        <x:v>A — Direct</x:v>
      </x:c>
      <x:c r="T288" s="83" t="str">
        <x:v>Direct zonal capacity; convert GW to MW.</x:v>
      </x:c>
      <x:c r="U288" s="83" t="str">
        <x:v>S09</x:v>
      </x:c>
      <x:c r="V288" s="83" t="str">
        <x:v>DDS Tabella 15 p.61</x:v>
      </x:c>
      <x:c r="W288" s="120"/>
      <x:c r="X288" s="83" t="str">
        <x:v>A - Direct</x:v>
      </x:c>
      <x:c r="Y288" s="83" t="str">
        <x:v>Adopted</x:v>
      </x:c>
      <x:c r="Z288" s="83" t="str">
        <x:v>Ready when profiles/base network are available</x:v>
      </x:c>
      <x:c r="AA288" s="83"/>
    </x:row>
    <x:row r="289">
      <x:c r="A289" s="83" t="str">
        <x:v>S4-00285</x:v>
      </x:c>
      <x:c r="B289" s="83" t="str">
        <x:v>IT2040_ALT_SLOW</x:v>
      </x:c>
      <x:c r="C289" s="83" t="n">
        <x:v>2040</x:v>
      </x:c>
      <x:c r="D289" s="83" t="str">
        <x:v>Generation capacity</x:v>
      </x:c>
      <x:c r="E289" s="83" t="str">
        <x:v>IT_CNOR</x:v>
      </x:c>
      <x:c r="F289" s="83" t="str">
        <x:v>CNOR</x:v>
      </x:c>
      <x:c r="G289" s="83" t="str">
        <x:v>Eolico onshore</x:v>
      </x:c>
      <x:c r="H289" s="83" t="str">
        <x:v>Wind onshore</x:v>
      </x:c>
      <x:c r="I289" s="83" t="str">
        <x:v>onwind</x:v>
      </x:c>
      <x:c r="J289" s="83" t="str">
        <x:v>Generator</x:v>
      </x:c>
      <x:c r="K289" s="83" t="str">
        <x:v>p_nom</x:v>
      </x:c>
      <x:c r="L289" s="279" t="n">
        <x:v>0.3</x:v>
      </x:c>
      <x:c r="M289" s="279" t="str">
        <x:v>GW</x:v>
      </x:c>
      <x:c r="N289" s="279" t="n">
        <x:f>IF(L289="","",IF(M289="GW",L289*1000,IF(M289="GWh",L289*1000,IF(M289="TWh",L289*1000000,L289))))</x:f>
        <x:v>300</x:v>
      </x:c>
      <x:c r="O289" s="83" t="str">
        <x:f>IF(L289="","",IF(M289="GW","MW",IF(OR(M289="GWh",M289="TWh"),"MWh",M289)))</x:f>
        <x:v>MW</x:v>
      </x:c>
      <x:c r="P289" s="83" t="str"/>
      <x:c r="Q289" s="349"/>
      <x:c r="R289" s="349" t="str">
        <x:f>IF(L289="","",IF(Q289&lt;&gt;"",L289*Q289,IF(OR(ISNUMBER(SEARCH("EUR2025",M289&amp;"")),P289=2025,P289="2025"),L289,"")))</x:f>
      </x:c>
      <x:c r="S289" s="83" t="str">
        <x:v>A — Direct</x:v>
      </x:c>
      <x:c r="T289" s="83" t="str">
        <x:v>Direct zonal capacity; convert GW to MW.</x:v>
      </x:c>
      <x:c r="U289" s="83" t="str">
        <x:v>S09</x:v>
      </x:c>
      <x:c r="V289" s="83" t="str">
        <x:v>DDS Tabella 15 p.61</x:v>
      </x:c>
      <x:c r="W289" s="120"/>
      <x:c r="X289" s="83" t="str">
        <x:v>A - Direct</x:v>
      </x:c>
      <x:c r="Y289" s="83" t="str">
        <x:v>Adopted</x:v>
      </x:c>
      <x:c r="Z289" s="83" t="str">
        <x:v>Ready when profiles/base network are available</x:v>
      </x:c>
      <x:c r="AA289" s="83"/>
    </x:row>
    <x:row r="290">
      <x:c r="A290" s="83" t="str">
        <x:v>S4-00286</x:v>
      </x:c>
      <x:c r="B290" s="83" t="str">
        <x:v>IT2040_ALT_SLOW</x:v>
      </x:c>
      <x:c r="C290" s="83" t="n">
        <x:v>2040</x:v>
      </x:c>
      <x:c r="D290" s="83" t="str">
        <x:v>Generation capacity</x:v>
      </x:c>
      <x:c r="E290" s="83" t="str">
        <x:v>IT_CNOR</x:v>
      </x:c>
      <x:c r="F290" s="83" t="str">
        <x:v>CNOR</x:v>
      </x:c>
      <x:c r="G290" s="83" t="str">
        <x:v>Eolico offshore</x:v>
      </x:c>
      <x:c r="H290" s="83" t="str">
        <x:v>Wind offshore unspecified</x:v>
      </x:c>
      <x:c r="I290" s="83" t="str">
        <x:v>offwind</x:v>
      </x:c>
      <x:c r="J290" s="83" t="str">
        <x:v>Generator</x:v>
      </x:c>
      <x:c r="K290" s="83" t="str">
        <x:v>p_nom</x:v>
      </x:c>
      <x:c r="L290" s="279" t="n">
        <x:v>0.5</x:v>
      </x:c>
      <x:c r="M290" s="279" t="str">
        <x:v>GW</x:v>
      </x:c>
      <x:c r="N290" s="279" t="n">
        <x:f>IF(L290="","",IF(M290="GW",L290*1000,IF(M290="GWh",L290*1000,IF(M290="TWh",L290*1000000,L290))))</x:f>
        <x:v>500</x:v>
      </x:c>
      <x:c r="O290" s="83" t="str">
        <x:f>IF(L290="","",IF(M290="GW","MW",IF(OR(M290="GWh",M290="TWh"),"MWh",M290)))</x:f>
        <x:v>MW</x:v>
      </x:c>
      <x:c r="P290" s="83" t="str"/>
      <x:c r="Q290" s="349"/>
      <x:c r="R290" s="349" t="str">
        <x:f>IF(L290="","",IF(Q290&lt;&gt;"",L290*Q290,IF(OR(ISNUMBER(SEARCH("EUR2025",M290&amp;"")),P290=2025,P290="2025"),L290,"")))</x:f>
      </x:c>
      <x:c r="S290" s="83" t="str">
        <x:v>A — Direct</x:v>
      </x:c>
      <x:c r="T290" s="83" t="str">
        <x:v>Direct zonal capacity; convert GW to MW.</x:v>
      </x:c>
      <x:c r="U290" s="83" t="str">
        <x:v>S09</x:v>
      </x:c>
      <x:c r="V290" s="83" t="str">
        <x:v>DDS Tabella 15 p.61</x:v>
      </x:c>
      <x:c r="W290" s="120"/>
      <x:c r="X290" s="83" t="str">
        <x:v>A - Direct</x:v>
      </x:c>
      <x:c r="Y290" s="83" t="str">
        <x:v>Adopted</x:v>
      </x:c>
      <x:c r="Z290" s="83" t="str">
        <x:v>Ready when profiles/base network are available</x:v>
      </x:c>
      <x:c r="AA290" s="83"/>
    </x:row>
    <x:row r="291">
      <x:c r="A291" s="83" t="str">
        <x:v>S4-00287</x:v>
      </x:c>
      <x:c r="B291" s="83" t="str">
        <x:v>IT2040_ALT_SLOW</x:v>
      </x:c>
      <x:c r="C291" s="83" t="n">
        <x:v>2040</x:v>
      </x:c>
      <x:c r="D291" s="83" t="str">
        <x:v>Generation capacity</x:v>
      </x:c>
      <x:c r="E291" s="83" t="str">
        <x:v>IT_CSUD</x:v>
      </x:c>
      <x:c r="F291" s="83" t="str">
        <x:v>CSUD</x:v>
      </x:c>
      <x:c r="G291" s="83" t="str">
        <x:v>Eolico onshore</x:v>
      </x:c>
      <x:c r="H291" s="83" t="str">
        <x:v>Wind onshore</x:v>
      </x:c>
      <x:c r="I291" s="83" t="str">
        <x:v>onwind</x:v>
      </x:c>
      <x:c r="J291" s="83" t="str">
        <x:v>Generator</x:v>
      </x:c>
      <x:c r="K291" s="83" t="str">
        <x:v>p_nom</x:v>
      </x:c>
      <x:c r="L291" s="279" t="n">
        <x:v>5.6</x:v>
      </x:c>
      <x:c r="M291" s="279" t="str">
        <x:v>GW</x:v>
      </x:c>
      <x:c r="N291" s="279" t="n">
        <x:f>IF(L291="","",IF(M291="GW",L291*1000,IF(M291="GWh",L291*1000,IF(M291="TWh",L291*1000000,L291))))</x:f>
        <x:v>5600</x:v>
      </x:c>
      <x:c r="O291" s="83" t="str">
        <x:f>IF(L291="","",IF(M291="GW","MW",IF(OR(M291="GWh",M291="TWh"),"MWh",M291)))</x:f>
        <x:v>MW</x:v>
      </x:c>
      <x:c r="P291" s="83" t="str"/>
      <x:c r="Q291" s="349"/>
      <x:c r="R291" s="349" t="str">
        <x:f>IF(L291="","",IF(Q291&lt;&gt;"",L291*Q291,IF(OR(ISNUMBER(SEARCH("EUR2025",M291&amp;"")),P291=2025,P291="2025"),L291,"")))</x:f>
      </x:c>
      <x:c r="S291" s="83" t="str">
        <x:v>A — Direct</x:v>
      </x:c>
      <x:c r="T291" s="83" t="str">
        <x:v>Direct zonal capacity; convert GW to MW.</x:v>
      </x:c>
      <x:c r="U291" s="83" t="str">
        <x:v>S09</x:v>
      </x:c>
      <x:c r="V291" s="83" t="str">
        <x:v>DDS Tabella 15 p.61</x:v>
      </x:c>
      <x:c r="W291" s="120"/>
      <x:c r="X291" s="83" t="str">
        <x:v>A - Direct</x:v>
      </x:c>
      <x:c r="Y291" s="83" t="str">
        <x:v>Adopted</x:v>
      </x:c>
      <x:c r="Z291" s="83" t="str">
        <x:v>Ready when profiles/base network are available</x:v>
      </x:c>
      <x:c r="AA291" s="83"/>
    </x:row>
    <x:row r="292">
      <x:c r="A292" s="83" t="str">
        <x:v>S4-00288</x:v>
      </x:c>
      <x:c r="B292" s="83" t="str">
        <x:v>IT2040_ALT_SLOW</x:v>
      </x:c>
      <x:c r="C292" s="83" t="n">
        <x:v>2040</x:v>
      </x:c>
      <x:c r="D292" s="83" t="str">
        <x:v>Generation capacity</x:v>
      </x:c>
      <x:c r="E292" s="83" t="str">
        <x:v>IT_CSUD</x:v>
      </x:c>
      <x:c r="F292" s="83" t="str">
        <x:v>CSUD</x:v>
      </x:c>
      <x:c r="G292" s="83" t="str">
        <x:v>Eolico offshore</x:v>
      </x:c>
      <x:c r="H292" s="83" t="str">
        <x:v>Wind offshore unspecified</x:v>
      </x:c>
      <x:c r="I292" s="83" t="str">
        <x:v>offwind</x:v>
      </x:c>
      <x:c r="J292" s="83" t="str">
        <x:v>Generator</x:v>
      </x:c>
      <x:c r="K292" s="83" t="str">
        <x:v>p_nom</x:v>
      </x:c>
      <x:c r="L292" s="279" t="n">
        <x:v>1.1</x:v>
      </x:c>
      <x:c r="M292" s="279" t="str">
        <x:v>GW</x:v>
      </x:c>
      <x:c r="N292" s="279" t="n">
        <x:f>IF(L292="","",IF(M292="GW",L292*1000,IF(M292="GWh",L292*1000,IF(M292="TWh",L292*1000000,L292))))</x:f>
        <x:v>1100</x:v>
      </x:c>
      <x:c r="O292" s="83" t="str">
        <x:f>IF(L292="","",IF(M292="GW","MW",IF(OR(M292="GWh",M292="TWh"),"MWh",M292)))</x:f>
        <x:v>MW</x:v>
      </x:c>
      <x:c r="P292" s="83" t="str"/>
      <x:c r="Q292" s="349"/>
      <x:c r="R292" s="349" t="str">
        <x:f>IF(L292="","",IF(Q292&lt;&gt;"",L292*Q292,IF(OR(ISNUMBER(SEARCH("EUR2025",M292&amp;"")),P292=2025,P292="2025"),L292,"")))</x:f>
      </x:c>
      <x:c r="S292" s="83" t="str">
        <x:v>A — Direct</x:v>
      </x:c>
      <x:c r="T292" s="83" t="str">
        <x:v>Direct zonal capacity; convert GW to MW.</x:v>
      </x:c>
      <x:c r="U292" s="83" t="str">
        <x:v>S09</x:v>
      </x:c>
      <x:c r="V292" s="83" t="str">
        <x:v>DDS Tabella 15 p.61</x:v>
      </x:c>
      <x:c r="W292" s="120"/>
      <x:c r="X292" s="83" t="str">
        <x:v>A - Direct</x:v>
      </x:c>
      <x:c r="Y292" s="83" t="str">
        <x:v>Adopted</x:v>
      </x:c>
      <x:c r="Z292" s="83" t="str">
        <x:v>Ready when profiles/base network are available</x:v>
      </x:c>
      <x:c r="AA292" s="83"/>
    </x:row>
    <x:row r="293">
      <x:c r="A293" s="83" t="str">
        <x:v>S4-00289</x:v>
      </x:c>
      <x:c r="B293" s="83" t="str">
        <x:v>IT2040_ALT_SLOW</x:v>
      </x:c>
      <x:c r="C293" s="83" t="n">
        <x:v>2040</x:v>
      </x:c>
      <x:c r="D293" s="83" t="str">
        <x:v>Generation capacity</x:v>
      </x:c>
      <x:c r="E293" s="83" t="str">
        <x:v>IT_SUD</x:v>
      </x:c>
      <x:c r="F293" s="83" t="str">
        <x:v>SUD</x:v>
      </x:c>
      <x:c r="G293" s="83" t="str">
        <x:v>Eolico onshore</x:v>
      </x:c>
      <x:c r="H293" s="83" t="str">
        <x:v>Wind onshore</x:v>
      </x:c>
      <x:c r="I293" s="83" t="str">
        <x:v>onwind</x:v>
      </x:c>
      <x:c r="J293" s="83" t="str">
        <x:v>Generator</x:v>
      </x:c>
      <x:c r="K293" s="83" t="str">
        <x:v>p_nom</x:v>
      </x:c>
      <x:c r="L293" s="279" t="n">
        <x:v>10.7</x:v>
      </x:c>
      <x:c r="M293" s="279" t="str">
        <x:v>GW</x:v>
      </x:c>
      <x:c r="N293" s="279" t="n">
        <x:f>IF(L293="","",IF(M293="GW",L293*1000,IF(M293="GWh",L293*1000,IF(M293="TWh",L293*1000000,L293))))</x:f>
        <x:v>10700</x:v>
      </x:c>
      <x:c r="O293" s="83" t="str">
        <x:f>IF(L293="","",IF(M293="GW","MW",IF(OR(M293="GWh",M293="TWh"),"MWh",M293)))</x:f>
        <x:v>MW</x:v>
      </x:c>
      <x:c r="P293" s="83" t="str"/>
      <x:c r="Q293" s="349"/>
      <x:c r="R293" s="349" t="str">
        <x:f>IF(L293="","",IF(Q293&lt;&gt;"",L293*Q293,IF(OR(ISNUMBER(SEARCH("EUR2025",M293&amp;"")),P293=2025,P293="2025"),L293,"")))</x:f>
      </x:c>
      <x:c r="S293" s="83" t="str">
        <x:v>A — Direct</x:v>
      </x:c>
      <x:c r="T293" s="83" t="str">
        <x:v>Direct zonal capacity; convert GW to MW.</x:v>
      </x:c>
      <x:c r="U293" s="83" t="str">
        <x:v>S09</x:v>
      </x:c>
      <x:c r="V293" s="83" t="str">
        <x:v>DDS Tabella 15 p.61</x:v>
      </x:c>
      <x:c r="W293" s="120"/>
      <x:c r="X293" s="83" t="str">
        <x:v>A - Direct</x:v>
      </x:c>
      <x:c r="Y293" s="83" t="str">
        <x:v>Adopted</x:v>
      </x:c>
      <x:c r="Z293" s="83" t="str">
        <x:v>Ready when profiles/base network are available</x:v>
      </x:c>
      <x:c r="AA293" s="83"/>
    </x:row>
    <x:row r="294">
      <x:c r="A294" s="83" t="str">
        <x:v>S4-00290</x:v>
      </x:c>
      <x:c r="B294" s="83" t="str">
        <x:v>IT2040_ALT_SLOW</x:v>
      </x:c>
      <x:c r="C294" s="83" t="n">
        <x:v>2040</x:v>
      </x:c>
      <x:c r="D294" s="83" t="str">
        <x:v>Generation capacity</x:v>
      </x:c>
      <x:c r="E294" s="83" t="str">
        <x:v>IT_SUD</x:v>
      </x:c>
      <x:c r="F294" s="83" t="str">
        <x:v>SUD</x:v>
      </x:c>
      <x:c r="G294" s="83" t="str">
        <x:v>Eolico offshore</x:v>
      </x:c>
      <x:c r="H294" s="83" t="str">
        <x:v>Wind offshore unspecified</x:v>
      </x:c>
      <x:c r="I294" s="83" t="str">
        <x:v>offwind</x:v>
      </x:c>
      <x:c r="J294" s="83" t="str">
        <x:v>Generator</x:v>
      </x:c>
      <x:c r="K294" s="83" t="str">
        <x:v>p_nom</x:v>
      </x:c>
      <x:c r="L294" s="279" t="n">
        <x:v>2.8</x:v>
      </x:c>
      <x:c r="M294" s="279" t="str">
        <x:v>GW</x:v>
      </x:c>
      <x:c r="N294" s="279" t="n">
        <x:f>IF(L294="","",IF(M294="GW",L294*1000,IF(M294="GWh",L294*1000,IF(M294="TWh",L294*1000000,L294))))</x:f>
        <x:v>2800</x:v>
      </x:c>
      <x:c r="O294" s="83" t="str">
        <x:f>IF(L294="","",IF(M294="GW","MW",IF(OR(M294="GWh",M294="TWh"),"MWh",M294)))</x:f>
        <x:v>MW</x:v>
      </x:c>
      <x:c r="P294" s="83" t="str"/>
      <x:c r="Q294" s="349"/>
      <x:c r="R294" s="349" t="str">
        <x:f>IF(L294="","",IF(Q294&lt;&gt;"",L294*Q294,IF(OR(ISNUMBER(SEARCH("EUR2025",M294&amp;"")),P294=2025,P294="2025"),L294,"")))</x:f>
      </x:c>
      <x:c r="S294" s="83" t="str">
        <x:v>A — Direct</x:v>
      </x:c>
      <x:c r="T294" s="83" t="str">
        <x:v>Direct zonal capacity; convert GW to MW.</x:v>
      </x:c>
      <x:c r="U294" s="83" t="str">
        <x:v>S09</x:v>
      </x:c>
      <x:c r="V294" s="83" t="str">
        <x:v>DDS Tabella 15 p.61</x:v>
      </x:c>
      <x:c r="W294" s="120"/>
      <x:c r="X294" s="83" t="str">
        <x:v>A - Direct</x:v>
      </x:c>
      <x:c r="Y294" s="83" t="str">
        <x:v>Adopted</x:v>
      </x:c>
      <x:c r="Z294" s="83" t="str">
        <x:v>Ready when profiles/base network are available</x:v>
      </x:c>
      <x:c r="AA294" s="83"/>
    </x:row>
    <x:row r="295">
      <x:c r="A295" s="83" t="str">
        <x:v>S4-00291</x:v>
      </x:c>
      <x:c r="B295" s="83" t="str">
        <x:v>IT2040_ALT_SLOW</x:v>
      </x:c>
      <x:c r="C295" s="83" t="n">
        <x:v>2040</x:v>
      </x:c>
      <x:c r="D295" s="83" t="str">
        <x:v>Generation capacity</x:v>
      </x:c>
      <x:c r="E295" s="83" t="str">
        <x:v>IT_CALA</x:v>
      </x:c>
      <x:c r="F295" s="83" t="str">
        <x:v>CALA</x:v>
      </x:c>
      <x:c r="G295" s="83" t="str">
        <x:v>Eolico onshore</x:v>
      </x:c>
      <x:c r="H295" s="83" t="str">
        <x:v>Wind onshore</x:v>
      </x:c>
      <x:c r="I295" s="83" t="str">
        <x:v>onwind</x:v>
      </x:c>
      <x:c r="J295" s="83" t="str">
        <x:v>Generator</x:v>
      </x:c>
      <x:c r="K295" s="83" t="str">
        <x:v>p_nom</x:v>
      </x:c>
      <x:c r="L295" s="279" t="n">
        <x:v>3</x:v>
      </x:c>
      <x:c r="M295" s="279" t="str">
        <x:v>GW</x:v>
      </x:c>
      <x:c r="N295" s="279" t="n">
        <x:f>IF(L295="","",IF(M295="GW",L295*1000,IF(M295="GWh",L295*1000,IF(M295="TWh",L295*1000000,L295))))</x:f>
        <x:v>3000</x:v>
      </x:c>
      <x:c r="O295" s="83" t="str">
        <x:f>IF(L295="","",IF(M295="GW","MW",IF(OR(M295="GWh",M295="TWh"),"MWh",M295)))</x:f>
        <x:v>MW</x:v>
      </x:c>
      <x:c r="P295" s="83" t="str"/>
      <x:c r="Q295" s="349"/>
      <x:c r="R295" s="349" t="str">
        <x:f>IF(L295="","",IF(Q295&lt;&gt;"",L295*Q295,IF(OR(ISNUMBER(SEARCH("EUR2025",M295&amp;"")),P295=2025,P295="2025"),L295,"")))</x:f>
      </x:c>
      <x:c r="S295" s="83" t="str">
        <x:v>A — Direct</x:v>
      </x:c>
      <x:c r="T295" s="83" t="str">
        <x:v>Direct zonal capacity; convert GW to MW.</x:v>
      </x:c>
      <x:c r="U295" s="83" t="str">
        <x:v>S09</x:v>
      </x:c>
      <x:c r="V295" s="83" t="str">
        <x:v>DDS Tabella 15 p.61</x:v>
      </x:c>
      <x:c r="W295" s="120"/>
      <x:c r="X295" s="83" t="str">
        <x:v>A - Direct</x:v>
      </x:c>
      <x:c r="Y295" s="83" t="str">
        <x:v>Adopted</x:v>
      </x:c>
      <x:c r="Z295" s="83" t="str">
        <x:v>Ready when profiles/base network are available</x:v>
      </x:c>
      <x:c r="AA295" s="83"/>
    </x:row>
    <x:row r="296">
      <x:c r="A296" s="83" t="str">
        <x:v>S4-00292</x:v>
      </x:c>
      <x:c r="B296" s="83" t="str">
        <x:v>IT2040_ALT_SLOW</x:v>
      </x:c>
      <x:c r="C296" s="83" t="n">
        <x:v>2040</x:v>
      </x:c>
      <x:c r="D296" s="83" t="str">
        <x:v>Generation capacity</x:v>
      </x:c>
      <x:c r="E296" s="83" t="str">
        <x:v>IT_CALA</x:v>
      </x:c>
      <x:c r="F296" s="83" t="str">
        <x:v>CALA</x:v>
      </x:c>
      <x:c r="G296" s="83" t="str">
        <x:v>Eolico offshore</x:v>
      </x:c>
      <x:c r="H296" s="83" t="str">
        <x:v>Wind offshore unspecified</x:v>
      </x:c>
      <x:c r="I296" s="83" t="str">
        <x:v>offwind</x:v>
      </x:c>
      <x:c r="J296" s="83" t="str">
        <x:v>Generator</x:v>
      </x:c>
      <x:c r="K296" s="83" t="str">
        <x:v>p_nom</x:v>
      </x:c>
      <x:c r="L296" s="279" t="n">
        <x:v>0.4</x:v>
      </x:c>
      <x:c r="M296" s="279" t="str">
        <x:v>GW</x:v>
      </x:c>
      <x:c r="N296" s="279" t="n">
        <x:f>IF(L296="","",IF(M296="GW",L296*1000,IF(M296="GWh",L296*1000,IF(M296="TWh",L296*1000000,L296))))</x:f>
        <x:v>400</x:v>
      </x:c>
      <x:c r="O296" s="83" t="str">
        <x:f>IF(L296="","",IF(M296="GW","MW",IF(OR(M296="GWh",M296="TWh"),"MWh",M296)))</x:f>
        <x:v>MW</x:v>
      </x:c>
      <x:c r="P296" s="83" t="str"/>
      <x:c r="Q296" s="349"/>
      <x:c r="R296" s="349" t="str">
        <x:f>IF(L296="","",IF(Q296&lt;&gt;"",L296*Q296,IF(OR(ISNUMBER(SEARCH("EUR2025",M296&amp;"")),P296=2025,P296="2025"),L296,"")))</x:f>
      </x:c>
      <x:c r="S296" s="83" t="str">
        <x:v>A — Direct</x:v>
      </x:c>
      <x:c r="T296" s="83" t="str">
        <x:v>Direct zonal capacity; convert GW to MW.</x:v>
      </x:c>
      <x:c r="U296" s="83" t="str">
        <x:v>S09</x:v>
      </x:c>
      <x:c r="V296" s="83" t="str">
        <x:v>DDS Tabella 15 p.61</x:v>
      </x:c>
      <x:c r="W296" s="120"/>
      <x:c r="X296" s="83" t="str">
        <x:v>A - Direct</x:v>
      </x:c>
      <x:c r="Y296" s="83" t="str">
        <x:v>Adopted</x:v>
      </x:c>
      <x:c r="Z296" s="83" t="str">
        <x:v>Ready when profiles/base network are available</x:v>
      </x:c>
      <x:c r="AA296" s="83"/>
    </x:row>
    <x:row r="297">
      <x:c r="A297" s="83" t="str">
        <x:v>S4-00293</x:v>
      </x:c>
      <x:c r="B297" s="83" t="str">
        <x:v>IT2040_ALT_SLOW</x:v>
      </x:c>
      <x:c r="C297" s="83" t="n">
        <x:v>2040</x:v>
      </x:c>
      <x:c r="D297" s="83" t="str">
        <x:v>Generation capacity</x:v>
      </x:c>
      <x:c r="E297" s="83" t="str">
        <x:v>IT_SICI</x:v>
      </x:c>
      <x:c r="F297" s="83" t="str">
        <x:v>SICI</x:v>
      </x:c>
      <x:c r="G297" s="83" t="str">
        <x:v>Eolico onshore</x:v>
      </x:c>
      <x:c r="H297" s="83" t="str">
        <x:v>Wind onshore</x:v>
      </x:c>
      <x:c r="I297" s="83" t="str">
        <x:v>onwind</x:v>
      </x:c>
      <x:c r="J297" s="83" t="str">
        <x:v>Generator</x:v>
      </x:c>
      <x:c r="K297" s="83" t="str">
        <x:v>p_nom</x:v>
      </x:c>
      <x:c r="L297" s="279" t="n">
        <x:v>5.7</x:v>
      </x:c>
      <x:c r="M297" s="279" t="str">
        <x:v>GW</x:v>
      </x:c>
      <x:c r="N297" s="279" t="n">
        <x:f>IF(L297="","",IF(M297="GW",L297*1000,IF(M297="GWh",L297*1000,IF(M297="TWh",L297*1000000,L297))))</x:f>
        <x:v>5700</x:v>
      </x:c>
      <x:c r="O297" s="83" t="str">
        <x:f>IF(L297="","",IF(M297="GW","MW",IF(OR(M297="GWh",M297="TWh"),"MWh",M297)))</x:f>
        <x:v>MW</x:v>
      </x:c>
      <x:c r="P297" s="83" t="str"/>
      <x:c r="Q297" s="349"/>
      <x:c r="R297" s="349" t="str">
        <x:f>IF(L297="","",IF(Q297&lt;&gt;"",L297*Q297,IF(OR(ISNUMBER(SEARCH("EUR2025",M297&amp;"")),P297=2025,P297="2025"),L297,"")))</x:f>
      </x:c>
      <x:c r="S297" s="83" t="str">
        <x:v>A — Direct</x:v>
      </x:c>
      <x:c r="T297" s="83" t="str">
        <x:v>Direct zonal capacity; convert GW to MW.</x:v>
      </x:c>
      <x:c r="U297" s="83" t="str">
        <x:v>S09</x:v>
      </x:c>
      <x:c r="V297" s="83" t="str">
        <x:v>DDS Tabella 15 p.61</x:v>
      </x:c>
      <x:c r="W297" s="120"/>
      <x:c r="X297" s="83" t="str">
        <x:v>A - Direct</x:v>
      </x:c>
      <x:c r="Y297" s="83" t="str">
        <x:v>Adopted</x:v>
      </x:c>
      <x:c r="Z297" s="83" t="str">
        <x:v>Ready when profiles/base network are available</x:v>
      </x:c>
      <x:c r="AA297" s="83"/>
    </x:row>
    <x:row r="298">
      <x:c r="A298" s="83" t="str">
        <x:v>S4-00294</x:v>
      </x:c>
      <x:c r="B298" s="83" t="str">
        <x:v>IT2040_ALT_SLOW</x:v>
      </x:c>
      <x:c r="C298" s="83" t="n">
        <x:v>2040</x:v>
      </x:c>
      <x:c r="D298" s="83" t="str">
        <x:v>Generation capacity</x:v>
      </x:c>
      <x:c r="E298" s="83" t="str">
        <x:v>IT_SICI</x:v>
      </x:c>
      <x:c r="F298" s="83" t="str">
        <x:v>SICI</x:v>
      </x:c>
      <x:c r="G298" s="83" t="str">
        <x:v>Eolico offshore</x:v>
      </x:c>
      <x:c r="H298" s="83" t="str">
        <x:v>Wind offshore unspecified</x:v>
      </x:c>
      <x:c r="I298" s="83" t="str">
        <x:v>offwind</x:v>
      </x:c>
      <x:c r="J298" s="83" t="str">
        <x:v>Generator</x:v>
      </x:c>
      <x:c r="K298" s="83" t="str">
        <x:v>p_nom</x:v>
      </x:c>
      <x:c r="L298" s="279" t="n">
        <x:v>2.3</x:v>
      </x:c>
      <x:c r="M298" s="279" t="str">
        <x:v>GW</x:v>
      </x:c>
      <x:c r="N298" s="279" t="n">
        <x:f>IF(L298="","",IF(M298="GW",L298*1000,IF(M298="GWh",L298*1000,IF(M298="TWh",L298*1000000,L298))))</x:f>
        <x:v>2300</x:v>
      </x:c>
      <x:c r="O298" s="83" t="str">
        <x:f>IF(L298="","",IF(M298="GW","MW",IF(OR(M298="GWh",M298="TWh"),"MWh",M298)))</x:f>
        <x:v>MW</x:v>
      </x:c>
      <x:c r="P298" s="83" t="str"/>
      <x:c r="Q298" s="349"/>
      <x:c r="R298" s="349" t="str">
        <x:f>IF(L298="","",IF(Q298&lt;&gt;"",L298*Q298,IF(OR(ISNUMBER(SEARCH("EUR2025",M298&amp;"")),P298=2025,P298="2025"),L298,"")))</x:f>
      </x:c>
      <x:c r="S298" s="83" t="str">
        <x:v>A — Direct</x:v>
      </x:c>
      <x:c r="T298" s="83" t="str">
        <x:v>Direct zonal capacity; convert GW to MW.</x:v>
      </x:c>
      <x:c r="U298" s="83" t="str">
        <x:v>S09</x:v>
      </x:c>
      <x:c r="V298" s="83" t="str">
        <x:v>DDS Tabella 15 p.61</x:v>
      </x:c>
      <x:c r="W298" s="120"/>
      <x:c r="X298" s="83" t="str">
        <x:v>A - Direct</x:v>
      </x:c>
      <x:c r="Y298" s="83" t="str">
        <x:v>Adopted</x:v>
      </x:c>
      <x:c r="Z298" s="83" t="str">
        <x:v>Ready when profiles/base network are available</x:v>
      </x:c>
      <x:c r="AA298" s="83"/>
    </x:row>
    <x:row r="299">
      <x:c r="A299" s="83" t="str">
        <x:v>S4-00295</x:v>
      </x:c>
      <x:c r="B299" s="83" t="str">
        <x:v>IT2040_ALT_SLOW</x:v>
      </x:c>
      <x:c r="C299" s="83" t="n">
        <x:v>2040</x:v>
      </x:c>
      <x:c r="D299" s="83" t="str">
        <x:v>Generation capacity</x:v>
      </x:c>
      <x:c r="E299" s="83" t="str">
        <x:v>IT_SARD</x:v>
      </x:c>
      <x:c r="F299" s="83" t="str">
        <x:v>SARD</x:v>
      </x:c>
      <x:c r="G299" s="83" t="str">
        <x:v>Eolico onshore</x:v>
      </x:c>
      <x:c r="H299" s="83" t="str">
        <x:v>Wind onshore</x:v>
      </x:c>
      <x:c r="I299" s="83" t="str">
        <x:v>onwind</x:v>
      </x:c>
      <x:c r="J299" s="83" t="str">
        <x:v>Generator</x:v>
      </x:c>
      <x:c r="K299" s="83" t="str">
        <x:v>p_nom</x:v>
      </x:c>
      <x:c r="L299" s="279" t="n">
        <x:v>3.1</x:v>
      </x:c>
      <x:c r="M299" s="279" t="str">
        <x:v>GW</x:v>
      </x:c>
      <x:c r="N299" s="279" t="n">
        <x:f>IF(L299="","",IF(M299="GW",L299*1000,IF(M299="GWh",L299*1000,IF(M299="TWh",L299*1000000,L299))))</x:f>
        <x:v>3100</x:v>
      </x:c>
      <x:c r="O299" s="83" t="str">
        <x:f>IF(L299="","",IF(M299="GW","MW",IF(OR(M299="GWh",M299="TWh"),"MWh",M299)))</x:f>
        <x:v>MW</x:v>
      </x:c>
      <x:c r="P299" s="83" t="str"/>
      <x:c r="Q299" s="349"/>
      <x:c r="R299" s="349" t="str">
        <x:f>IF(L299="","",IF(Q299&lt;&gt;"",L299*Q299,IF(OR(ISNUMBER(SEARCH("EUR2025",M299&amp;"")),P299=2025,P299="2025"),L299,"")))</x:f>
      </x:c>
      <x:c r="S299" s="83" t="str">
        <x:v>A — Direct</x:v>
      </x:c>
      <x:c r="T299" s="83" t="str">
        <x:v>Direct zonal capacity; convert GW to MW.</x:v>
      </x:c>
      <x:c r="U299" s="83" t="str">
        <x:v>S09</x:v>
      </x:c>
      <x:c r="V299" s="83" t="str">
        <x:v>DDS Tabella 15 p.61</x:v>
      </x:c>
      <x:c r="W299" s="120"/>
      <x:c r="X299" s="83" t="str">
        <x:v>A - Direct</x:v>
      </x:c>
      <x:c r="Y299" s="83" t="str">
        <x:v>Adopted</x:v>
      </x:c>
      <x:c r="Z299" s="83" t="str">
        <x:v>Ready when profiles/base network are available</x:v>
      </x:c>
      <x:c r="AA299" s="83"/>
    </x:row>
    <x:row r="300">
      <x:c r="A300" s="83" t="str">
        <x:v>S4-00296</x:v>
      </x:c>
      <x:c r="B300" s="83" t="str">
        <x:v>IT2040_ALT_SLOW</x:v>
      </x:c>
      <x:c r="C300" s="83" t="n">
        <x:v>2040</x:v>
      </x:c>
      <x:c r="D300" s="83" t="str">
        <x:v>Generation capacity</x:v>
      </x:c>
      <x:c r="E300" s="83" t="str">
        <x:v>IT_SARD</x:v>
      </x:c>
      <x:c r="F300" s="83" t="str">
        <x:v>SARD</x:v>
      </x:c>
      <x:c r="G300" s="83" t="str">
        <x:v>Eolico offshore</x:v>
      </x:c>
      <x:c r="H300" s="83" t="str">
        <x:v>Wind offshore unspecified</x:v>
      </x:c>
      <x:c r="I300" s="83" t="str">
        <x:v>offwind</x:v>
      </x:c>
      <x:c r="J300" s="83" t="str">
        <x:v>Generator</x:v>
      </x:c>
      <x:c r="K300" s="83" t="str">
        <x:v>p_nom</x:v>
      </x:c>
      <x:c r="L300" s="279" t="n">
        <x:v>2</x:v>
      </x:c>
      <x:c r="M300" s="279" t="str">
        <x:v>GW</x:v>
      </x:c>
      <x:c r="N300" s="279" t="n">
        <x:f>IF(L300="","",IF(M300="GW",L300*1000,IF(M300="GWh",L300*1000,IF(M300="TWh",L300*1000000,L300))))</x:f>
        <x:v>2000</x:v>
      </x:c>
      <x:c r="O300" s="83" t="str">
        <x:f>IF(L300="","",IF(M300="GW","MW",IF(OR(M300="GWh",M300="TWh"),"MWh",M300)))</x:f>
        <x:v>MW</x:v>
      </x:c>
      <x:c r="P300" s="83" t="str"/>
      <x:c r="Q300" s="349"/>
      <x:c r="R300" s="349" t="str">
        <x:f>IF(L300="","",IF(Q300&lt;&gt;"",L300*Q300,IF(OR(ISNUMBER(SEARCH("EUR2025",M300&amp;"")),P300=2025,P300="2025"),L300,"")))</x:f>
      </x:c>
      <x:c r="S300" s="83" t="str">
        <x:v>A — Direct</x:v>
      </x:c>
      <x:c r="T300" s="83" t="str">
        <x:v>Direct zonal capacity; convert GW to MW.</x:v>
      </x:c>
      <x:c r="U300" s="83" t="str">
        <x:v>S09</x:v>
      </x:c>
      <x:c r="V300" s="83" t="str">
        <x:v>DDS Tabella 15 p.61</x:v>
      </x:c>
      <x:c r="W300" s="120"/>
      <x:c r="X300" s="83" t="str">
        <x:v>A - Direct</x:v>
      </x:c>
      <x:c r="Y300" s="83" t="str">
        <x:v>Adopted</x:v>
      </x:c>
      <x:c r="Z300" s="83" t="str">
        <x:v>Ready when profiles/base network are available</x:v>
      </x:c>
      <x:c r="AA300" s="83"/>
    </x:row>
    <x:row r="301">
      <x:c r="A301" s="83" t="str">
        <x:v>S4-00297</x:v>
      </x:c>
      <x:c r="B301" s="83" t="str">
        <x:v>IT2040_ALT_SLOW</x:v>
      </x:c>
      <x:c r="C301" s="83" t="n">
        <x:v>2040</x:v>
      </x:c>
      <x:c r="D301" s="83" t="str">
        <x:v>Generation capacity</x:v>
      </x:c>
      <x:c r="E301" s="83" t="str">
        <x:v>Italy</x:v>
      </x:c>
      <x:c r="F301" s="83"/>
      <x:c r="G301" s="83" t="str">
        <x:v>Parco termoelettrico aggregato</x:v>
      </x:c>
      <x:c r="H301" s="83" t="str">
        <x:v>Thermal fleet envelope</x:v>
      </x:c>
      <x:c r="I301" s="83" t="str">
        <x:v>thermal</x:v>
      </x:c>
      <x:c r="J301" s="83" t="str">
        <x:v>Generator portfolio</x:v>
      </x:c>
      <x:c r="K301" s="83" t="str">
        <x:v>sum p_nom</x:v>
      </x:c>
      <x:c r="L301" s="279" t="n">
        <x:v>55</x:v>
      </x:c>
      <x:c r="M301" s="279" t="str">
        <x:v>GW</x:v>
      </x:c>
      <x:c r="N301" s="279" t="n">
        <x:f>IF(L301="","",IF(M301="GW",L301*1000,IF(M301="GWh",L301*1000,IF(M301="TWh",L301*1000000,L301))))</x:f>
        <x:v>55000</x:v>
      </x:c>
      <x:c r="O301" s="83" t="str">
        <x:f>IF(L301="","",IF(M301="GW","MW",IF(OR(M301="GWh",M301="TWh"),"MWh",M301)))</x:f>
        <x:v>MW</x:v>
      </x:c>
      <x:c r="P301" s="83" t="str"/>
      <x:c r="Q301" s="349"/>
      <x:c r="R301" s="349" t="str">
        <x:f>IF(L301="","",IF(Q301&lt;&gt;"",L301*Q301,IF(OR(ISNUMBER(SEARCH("EUR2025",M301&amp;"")),P301=2025,P301="2025"),L301,"")))</x:f>
      </x:c>
      <x:c r="S301" s="83" t="str">
        <x:v>A — Direct approximate</x:v>
      </x:c>
      <x:c r="T301" s="83" t="str">
        <x:v>Use as national reconciliation ceiling; allocate to plant/cohort fleet from PyPSA-Eur/Gaudì. Do not create one generic generator.</x:v>
      </x:c>
      <x:c r="U301" s="83" t="str">
        <x:v>S09</x:v>
      </x:c>
      <x:c r="V301" s="83" t="str">
        <x:v>DDS national capacity figure</x:v>
      </x:c>
      <x:c r="W301" s="120"/>
      <x:c r="X301" s="83" t="str">
        <x:v>B — approximate</x:v>
      </x:c>
      <x:c r="Y301" s="83" t="str">
        <x:v>Control envelope</x:v>
      </x:c>
      <x:c r="Z301" s="83" t="str">
        <x:v>Blocked until plant/cohort mapping</x:v>
      </x:c>
      <x:c r="AA301" s="83" t="str">
        <x:v>Gas/other thermal composition is not supplied at model-ready granularity.</x:v>
      </x:c>
    </x:row>
    <x:row r="302">
      <x:c r="A302" s="83" t="str">
        <x:v>S4-00298</x:v>
      </x:c>
      <x:c r="B302" s="83" t="str">
        <x:v>IT2040_ALT_SLOW</x:v>
      </x:c>
      <x:c r="C302" s="83" t="n">
        <x:v>2040</x:v>
      </x:c>
      <x:c r="D302" s="83" t="str">
        <x:v>Hydro</x:v>
      </x:c>
      <x:c r="E302" s="83" t="str">
        <x:v>Italy</x:v>
      </x:c>
      <x:c r="F302" s="83"/>
      <x:c r="G302" s="83" t="str">
        <x:v>Produzione idroelettrica</x:v>
      </x:c>
      <x:c r="H302" s="83" t="str">
        <x:v>Hydro annual generation target</x:v>
      </x:c>
      <x:c r="I302" s="83" t="str">
        <x:v>hydro</x:v>
      </x:c>
      <x:c r="J302" s="83" t="str">
        <x:v>Generator/StorageUnit QA</x:v>
      </x:c>
      <x:c r="K302" s="83" t="str">
        <x:v>annual generation</x:v>
      </x:c>
      <x:c r="L302" s="279" t="n">
        <x:v>46</x:v>
      </x:c>
      <x:c r="M302" s="279" t="str">
        <x:v>TWh</x:v>
      </x:c>
      <x:c r="N302" s="279" t="n">
        <x:f>IF(L302="","",IF(M302="GW",L302*1000,IF(M302="GWh",L302*1000,IF(M302="TWh",L302*1000000,L302))))</x:f>
        <x:v>46000000</x:v>
      </x:c>
      <x:c r="O302" s="83" t="str">
        <x:f>IF(L302="","",IF(M302="GW","MW",IF(OR(M302="GWh",M302="TWh"),"MWh",M302)))</x:f>
        <x:v>MWh</x:v>
      </x:c>
      <x:c r="P302" s="83" t="str"/>
      <x:c r="Q302" s="349"/>
      <x:c r="R302" s="349" t="str">
        <x:f>IF(L302="","",IF(Q302&lt;&gt;"",L302*Q302,IF(OR(ISNUMBER(SEARCH("EUR2025",M302&amp;"")),P302=2025,P302="2025"),L302,"")))</x:f>
      </x:c>
      <x:c r="S302" s="83" t="str">
        <x:v>A — Direct</x:v>
      </x:c>
      <x:c r="T302" s="83" t="str">
        <x:v>Retain PyPSA-Eur hydro assets and inflow shapes; scale annual inflows/output to 46 TWh while preserving chronology.</x:v>
      </x:c>
      <x:c r="U302" s="83" t="str">
        <x:v>S09</x:v>
      </x:c>
      <x:c r="V302" s="83" t="str">
        <x:v>DDS Table 18</x:v>
      </x:c>
      <x:c r="W302" s="120"/>
      <x:c r="X302" s="83" t="str">
        <x:v>A — Direct</x:v>
      </x:c>
      <x:c r="Y302" s="83" t="str">
        <x:v>Adopted QA target</x:v>
      </x:c>
      <x:c r="Z302" s="83" t="str">
        <x:v>Conditional on external hydro time series</x:v>
      </x:c>
      <x:c r="AA302" s="83"/>
    </x:row>
    <x:row r="303">
      <x:c r="A303" s="83" t="str">
        <x:v>S4-00299</x:v>
      </x:c>
      <x:c r="B303" s="83" t="str">
        <x:v>IT2040_ALT_SLOW</x:v>
      </x:c>
      <x:c r="C303" s="83" t="n">
        <x:v>2040</x:v>
      </x:c>
      <x:c r="D303" s="83" t="str">
        <x:v>Storage</x:v>
      </x:c>
      <x:c r="E303" s="83" t="str">
        <x:v>IT_NORD</x:v>
      </x:c>
      <x:c r="F303" s="83" t="str">
        <x:v>NORD</x:v>
      </x:c>
      <x:c r="G303" s="83" t="str">
        <x:v>Small Scale</x:v>
      </x:c>
      <x:c r="H303" s="83" t="str">
        <x:v>Small-scale 2h</x:v>
      </x:c>
      <x:c r="I303" s="83" t="str">
        <x:v>battery</x:v>
      </x:c>
      <x:c r="J303" s="83" t="str">
        <x:v>Store + Links</x:v>
      </x:c>
      <x:c r="K303" s="83" t="str">
        <x:v>e_nom</x:v>
      </x:c>
      <x:c r="L303" s="279" t="n">
        <x:v>7</x:v>
      </x:c>
      <x:c r="M303" s="279" t="str">
        <x:v>GWh</x:v>
      </x:c>
      <x:c r="N303" s="279" t="n">
        <x:f>IF(L303="","",IF(M303="GW",L303*1000,IF(M303="GWh",L303*1000,IF(M303="TWh",L303*1000000,L303))))</x:f>
        <x:v>7000</x:v>
      </x:c>
      <x:c r="O303" s="83" t="str">
        <x:f>IF(L303="","",IF(M303="GW","MW",IF(OR(M303="GWh",M303="TWh"),"MWh",M303)))</x:f>
        <x:v>MWh</x:v>
      </x:c>
      <x:c r="P303" s="83" t="str"/>
      <x:c r="Q303" s="349"/>
      <x:c r="R303" s="349" t="str">
        <x:f>IF(L303="","",IF(Q303&lt;&gt;"",L303*Q303,IF(OR(ISNUMBER(SEARCH("EUR2025",M303&amp;"")),P303=2025,P303="2025"),L303,"")))</x:f>
      </x:c>
      <x:c r="S303" s="83" t="str">
        <x:v>C — Distributed assumption</x:v>
      </x:c>
      <x:c r="T303" s="83" t="str">
        <x:v>Split direct zonal energy 67%/33% between 2h/4h classes; p_nom=e_nom/2.</x:v>
      </x:c>
      <x:c r="U303" s="83" t="str">
        <x:v>S09 / S01</x:v>
      </x:c>
      <x:c r="V303" s="83" t="str">
        <x:v>DDS Table 16; 2025 observed portfolio duration</x:v>
      </x:c>
      <x:c r="W303" s="120"/>
      <x:c r="X303" s="83" t="str">
        <x:v>C — Assumed split</x:v>
      </x:c>
      <x:c r="Y303" s="83" t="str">
        <x:v>Proposed</x:v>
      </x:c>
      <x:c r="Z303" s="83" t="str">
        <x:v>Ready after user approval</x:v>
      </x:c>
      <x:c r="AA303" s="83" t="str">
        <x:v>Duration 2h; share derived from observed aggregate duration near 2.4h.</x:v>
      </x:c>
    </x:row>
    <x:row r="304">
      <x:c r="A304" s="83" t="str">
        <x:v>S4-00300</x:v>
      </x:c>
      <x:c r="B304" s="83" t="str">
        <x:v>IT2040_ALT_SLOW</x:v>
      </x:c>
      <x:c r="C304" s="83" t="n">
        <x:v>2040</x:v>
      </x:c>
      <x:c r="D304" s="83" t="str">
        <x:v>Storage power</x:v>
      </x:c>
      <x:c r="E304" s="83" t="str">
        <x:v>IT_NORD</x:v>
      </x:c>
      <x:c r="F304" s="83" t="str">
        <x:v>NORD</x:v>
      </x:c>
      <x:c r="G304" s="83" t="str">
        <x:v>Small Scale</x:v>
      </x:c>
      <x:c r="H304" s="83" t="str">
        <x:v>Small-scale 2h power</x:v>
      </x:c>
      <x:c r="I304" s="83" t="str">
        <x:v>battery</x:v>
      </x:c>
      <x:c r="J304" s="83" t="str">
        <x:v>Link</x:v>
      </x:c>
      <x:c r="K304" s="83" t="str">
        <x:v>p_nom</x:v>
      </x:c>
      <x:c r="L304" s="279" t="n">
        <x:v>3.5</x:v>
      </x:c>
      <x:c r="M304" s="279" t="str">
        <x:v>GW</x:v>
      </x:c>
      <x:c r="N304" s="279" t="n">
        <x:f>IF(L304="","",IF(M304="GW",L304*1000,IF(M304="GWh",L304*1000,IF(M304="TWh",L304*1000000,L304))))</x:f>
        <x:v>3500</x:v>
      </x:c>
      <x:c r="O304" s="83" t="str">
        <x:f>IF(L304="","",IF(M304="GW","MW",IF(OR(M304="GWh",M304="TWh"),"MWh",M304)))</x:f>
        <x:v>MW</x:v>
      </x:c>
      <x:c r="P304" s="83" t="str"/>
      <x:c r="Q304" s="349"/>
      <x:c r="R304" s="349" t="str">
        <x:f>IF(L304="","",IF(Q304&lt;&gt;"",L304*Q304,IF(OR(ISNUMBER(SEARCH("EUR2025",M304&amp;"")),P304=2025,P304="2025"),L304,"")))</x:f>
      </x:c>
      <x:c r="S304" s="83" t="str">
        <x:v>C — Derived</x:v>
      </x:c>
      <x:c r="T304" s="83" t="str">
        <x:v>Energy / 2 h.</x:v>
      </x:c>
      <x:c r="U304" s="83" t="str">
        <x:v>S09 / S01</x:v>
      </x:c>
      <x:c r="V304" s="83" t="str">
        <x:v>DDS Table 16 + harmonisation</x:v>
      </x:c>
      <x:c r="W304" s="120"/>
      <x:c r="X304" s="83" t="str">
        <x:v>C — Derived</x:v>
      </x:c>
      <x:c r="Y304" s="83" t="str">
        <x:v>Proposed</x:v>
      </x:c>
      <x:c r="Z304" s="83" t="str">
        <x:v>Ready after user approval</x:v>
      </x:c>
      <x:c r="AA304" s="83"/>
    </x:row>
    <x:row r="305">
      <x:c r="A305" s="83" t="str">
        <x:v>S4-00301</x:v>
      </x:c>
      <x:c r="B305" s="83" t="str">
        <x:v>IT2040_ALT_SLOW</x:v>
      </x:c>
      <x:c r="C305" s="83" t="n">
        <x:v>2040</x:v>
      </x:c>
      <x:c r="D305" s="83" t="str">
        <x:v>Storage</x:v>
      </x:c>
      <x:c r="E305" s="83" t="str">
        <x:v>IT_NORD</x:v>
      </x:c>
      <x:c r="F305" s="83" t="str">
        <x:v>NORD</x:v>
      </x:c>
      <x:c r="G305" s="83" t="str">
        <x:v>Small Scale</x:v>
      </x:c>
      <x:c r="H305" s="83" t="str">
        <x:v>Small-scale 4h</x:v>
      </x:c>
      <x:c r="I305" s="83" t="str">
        <x:v>battery</x:v>
      </x:c>
      <x:c r="J305" s="83" t="str">
        <x:v>Store + Links</x:v>
      </x:c>
      <x:c r="K305" s="83" t="str">
        <x:v>e_nom</x:v>
      </x:c>
      <x:c r="L305" s="279" t="n">
        <x:v>3.5</x:v>
      </x:c>
      <x:c r="M305" s="279" t="str">
        <x:v>GWh</x:v>
      </x:c>
      <x:c r="N305" s="279" t="n">
        <x:f>IF(L305="","",IF(M305="GW",L305*1000,IF(M305="GWh",L305*1000,IF(M305="TWh",L305*1000000,L305))))</x:f>
        <x:v>3500</x:v>
      </x:c>
      <x:c r="O305" s="83" t="str">
        <x:f>IF(L305="","",IF(M305="GW","MW",IF(OR(M305="GWh",M305="TWh"),"MWh",M305)))</x:f>
        <x:v>MWh</x:v>
      </x:c>
      <x:c r="P305" s="83" t="str"/>
      <x:c r="Q305" s="349"/>
      <x:c r="R305" s="349" t="str">
        <x:f>IF(L305="","",IF(Q305&lt;&gt;"",L305*Q305,IF(OR(ISNUMBER(SEARCH("EUR2025",M305&amp;"")),P305=2025,P305="2025"),L305,"")))</x:f>
      </x:c>
      <x:c r="S305" s="83" t="str">
        <x:v>C — Distributed assumption</x:v>
      </x:c>
      <x:c r="T305" s="83" t="str">
        <x:v>Split direct zonal energy 67%/33% between 2h/4h classes; p_nom=e_nom/4.</x:v>
      </x:c>
      <x:c r="U305" s="83" t="str">
        <x:v>S09 / S01</x:v>
      </x:c>
      <x:c r="V305" s="83" t="str">
        <x:v>DDS Table 16; 2025 observed portfolio duration</x:v>
      </x:c>
      <x:c r="W305" s="120"/>
      <x:c r="X305" s="83" t="str">
        <x:v>C — Assumed split</x:v>
      </x:c>
      <x:c r="Y305" s="83" t="str">
        <x:v>Proposed</x:v>
      </x:c>
      <x:c r="Z305" s="83" t="str">
        <x:v>Ready after user approval</x:v>
      </x:c>
      <x:c r="AA305" s="83" t="str">
        <x:v>Duration 4h; share derived from observed aggregate duration near 2.4h.</x:v>
      </x:c>
    </x:row>
    <x:row r="306">
      <x:c r="A306" s="83" t="str">
        <x:v>S4-00302</x:v>
      </x:c>
      <x:c r="B306" s="83" t="str">
        <x:v>IT2040_ALT_SLOW</x:v>
      </x:c>
      <x:c r="C306" s="83" t="n">
        <x:v>2040</x:v>
      </x:c>
      <x:c r="D306" s="83" t="str">
        <x:v>Storage power</x:v>
      </x:c>
      <x:c r="E306" s="83" t="str">
        <x:v>IT_NORD</x:v>
      </x:c>
      <x:c r="F306" s="83" t="str">
        <x:v>NORD</x:v>
      </x:c>
      <x:c r="G306" s="83" t="str">
        <x:v>Small Scale</x:v>
      </x:c>
      <x:c r="H306" s="83" t="str">
        <x:v>Small-scale 4h power</x:v>
      </x:c>
      <x:c r="I306" s="83" t="str">
        <x:v>battery</x:v>
      </x:c>
      <x:c r="J306" s="83" t="str">
        <x:v>Link</x:v>
      </x:c>
      <x:c r="K306" s="83" t="str">
        <x:v>p_nom</x:v>
      </x:c>
      <x:c r="L306" s="279" t="n">
        <x:v>0.875</x:v>
      </x:c>
      <x:c r="M306" s="279" t="str">
        <x:v>GW</x:v>
      </x:c>
      <x:c r="N306" s="279" t="n">
        <x:f>IF(L306="","",IF(M306="GW",L306*1000,IF(M306="GWh",L306*1000,IF(M306="TWh",L306*1000000,L306))))</x:f>
        <x:v>875</x:v>
      </x:c>
      <x:c r="O306" s="83" t="str">
        <x:f>IF(L306="","",IF(M306="GW","MW",IF(OR(M306="GWh",M306="TWh"),"MWh",M306)))</x:f>
        <x:v>MW</x:v>
      </x:c>
      <x:c r="P306" s="83" t="str"/>
      <x:c r="Q306" s="349"/>
      <x:c r="R306" s="349" t="str">
        <x:f>IF(L306="","",IF(Q306&lt;&gt;"",L306*Q306,IF(OR(ISNUMBER(SEARCH("EUR2025",M306&amp;"")),P306=2025,P306="2025"),L306,"")))</x:f>
      </x:c>
      <x:c r="S306" s="83" t="str">
        <x:v>C — Derived</x:v>
      </x:c>
      <x:c r="T306" s="83" t="str">
        <x:v>Energy / 4 h.</x:v>
      </x:c>
      <x:c r="U306" s="83" t="str">
        <x:v>S09 / S01</x:v>
      </x:c>
      <x:c r="V306" s="83" t="str">
        <x:v>DDS Table 16 + harmonisation</x:v>
      </x:c>
      <x:c r="W306" s="120"/>
      <x:c r="X306" s="83" t="str">
        <x:v>C — Derived</x:v>
      </x:c>
      <x:c r="Y306" s="83" t="str">
        <x:v>Proposed</x:v>
      </x:c>
      <x:c r="Z306" s="83" t="str">
        <x:v>Ready after user approval</x:v>
      </x:c>
      <x:c r="AA306" s="83"/>
    </x:row>
    <x:row r="307">
      <x:c r="A307" s="83" t="str">
        <x:v>S4-00303</x:v>
      </x:c>
      <x:c r="B307" s="83" t="str">
        <x:v>IT2040_ALT_SLOW</x:v>
      </x:c>
      <x:c r="C307" s="83" t="n">
        <x:v>2040</x:v>
      </x:c>
      <x:c r="D307" s="83" t="str">
        <x:v>Storage</x:v>
      </x:c>
      <x:c r="E307" s="83" t="str">
        <x:v>IT_NORD</x:v>
      </x:c>
      <x:c r="F307" s="83" t="str">
        <x:v>NORD</x:v>
      </x:c>
      <x:c r="G307" s="83" t="str">
        <x:v>Utility Scale incl. MACSE</x:v>
      </x:c>
      <x:c r="H307" s="83" t="str">
        <x:v>Battery utility 8h</x:v>
      </x:c>
      <x:c r="I307" s="83" t="str">
        <x:v>battery</x:v>
      </x:c>
      <x:c r="J307" s="83" t="str">
        <x:v>Store + Links</x:v>
      </x:c>
      <x:c r="K307" s="83" t="str">
        <x:v>e_nom</x:v>
      </x:c>
      <x:c r="L307" s="279" t="n">
        <x:v>0</x:v>
      </x:c>
      <x:c r="M307" s="279" t="str">
        <x:v>GWh</x:v>
      </x:c>
      <x:c r="N307" s="279" t="str">
        <x:f>IF(L307="","",IF(M307="GW",L307*1000,IF(M307="GWh",L307*1000,IF(M307="TWh",L307*1000000,L307))))</x:f>
      </x:c>
      <x:c r="O307" s="83" t="str">
        <x:f>IF(L307="","",IF(M307="GW","MW",IF(OR(M307="GWh",M307="TWh"),"MWh",M307)))</x:f>
      </x:c>
      <x:c r="P307" s="83" t="str"/>
      <x:c r="Q307" s="349"/>
      <x:c r="R307" s="349" t="str">
        <x:f>IF(L307="","",IF(Q307&lt;&gt;"",L307*Q307,IF(OR(ISNUMBER(SEARCH("EUR2025",M307&amp;"")),P307=2025,P307="2025"),L307,"")))</x:f>
      </x:c>
      <x:c r="S307" s="83" t="str">
        <x:v>A/C — Direct total; procurement subset identified</x:v>
      </x:c>
      <x:c r="T307" s="83" t="str">
        <x:v>DDS utility-scale total retained. A 42 GWh MACSE procurement portfolio is identified inside this total and is not added again.</x:v>
      </x:c>
      <x:c r="U307" s="83" t="str">
        <x:v>S09 + TERNA_MACSE_2028 + TERNA_MACSE_2029 + USER_DECISION</x:v>
      </x:c>
      <x:c r="V307" s="83" t="str">
        <x:v>DDS Table 16; 10 GWh MACSE 2028; 16 GWh 2029; 32 GWh available across the next two auctions</x:v>
      </x:c>
      <x:c r="W307" s="120" t="str">
        <x:v>https://www.terna.it/it/media/comunicati-stampa/dettaglio/conclusa-prima-asta-macse; https://download.terna.it/terna/Fabbisogno_di_nuova_capacita_di_stoccaggio_al_2029_8debcba830a85f3.pdf</x:v>
      </x:c>
      <x:c r="X307" s="83" t="str">
        <x:v>B/C — 26 GWh official; final 16 GWh planning tranche revisable</x:v>
      </x:c>
      <x:c r="Y307" s="83" t="str">
        <x:v>APPROVED total with MACSE subset</x:v>
      </x:c>
      <x:c r="Z307" s="83" t="str">
        <x:v>Ready when profiles/base network are available</x:v>
      </x:c>
      <x:c r="AA307" s="83" t="str">
        <x:v>MACSE path: 10 + 16 + 16 = 42 GWh. The final 16 GWh is an explicit scenario assumption based on Terna's 32 GWh quantity for the next two auctions.</x:v>
      </x:c>
    </x:row>
    <x:row r="308">
      <x:c r="A308" s="83" t="str">
        <x:v>S4-00304</x:v>
      </x:c>
      <x:c r="B308" s="83" t="str">
        <x:v>IT2040_ALT_SLOW</x:v>
      </x:c>
      <x:c r="C308" s="83" t="n">
        <x:v>2040</x:v>
      </x:c>
      <x:c r="D308" s="83" t="str">
        <x:v>Storage power</x:v>
      </x:c>
      <x:c r="E308" s="83" t="str">
        <x:v>IT_NORD</x:v>
      </x:c>
      <x:c r="F308" s="83" t="str">
        <x:v>NORD</x:v>
      </x:c>
      <x:c r="G308" s="83" t="str">
        <x:v>Utility Scale incl. MACSE</x:v>
      </x:c>
      <x:c r="H308" s="83" t="str">
        <x:v>Battery utility 8h power</x:v>
      </x:c>
      <x:c r="I308" s="83" t="str">
        <x:v>battery</x:v>
      </x:c>
      <x:c r="J308" s="83" t="str">
        <x:v>Link</x:v>
      </x:c>
      <x:c r="K308" s="83" t="str">
        <x:v>p_nom</x:v>
      </x:c>
      <x:c r="L308" s="279" t="n">
        <x:v>0</x:v>
      </x:c>
      <x:c r="M308" s="279" t="str">
        <x:v>GW</x:v>
      </x:c>
      <x:c r="N308" s="279" t="str">
        <x:f>IF(L308="","",IF(M308="GW",L308*1000,IF(M308="GWh",L308*1000,IF(M308="TWh",L308*1000000,L308))))</x:f>
      </x:c>
      <x:c r="O308" s="83" t="str">
        <x:f>IF(L308="","",IF(M308="GW","MW",IF(OR(M308="GWh",M308="TWh"),"MWh",M308)))</x:f>
      </x:c>
      <x:c r="P308" s="83" t="str"/>
      <x:c r="Q308" s="349"/>
      <x:c r="R308" s="349" t="str">
        <x:f>IF(L308="","",IF(Q308&lt;&gt;"",L308*Q308,IF(OR(ISNUMBER(SEARCH("EUR2025",M308&amp;"")),P308=2025,P308="2025"),L308,"")))</x:f>
      </x:c>
      <x:c r="S308" s="83" t="str">
        <x:v>B — Derived</x:v>
      </x:c>
      <x:c r="T308" s="83" t="str">
        <x:v>e_nom / 8h.</x:v>
      </x:c>
      <x:c r="U308" s="83" t="str">
        <x:v>S09 + TERNA_MACSE + USER_DECISION</x:v>
      </x:c>
      <x:c r="V308" s="83" t="str">
        <x:v>Utility-scale 8h duration; MACSE subset 42 GWh / 5.25 GW</x:v>
      </x:c>
      <x:c r="W308" s="120" t="str">
        <x:v>https://www.terna.it/it/media/comunicati-stampa/dettaglio/conclusa-prima-asta-macse; https://download.terna.it/terna/Fabbisogno_di_nuova_capacita_di_stoccaggio_al_2029_8debcba830a85f3.pdf</x:v>
      </x:c>
      <x:c r="X308" s="83" t="str">
        <x:v>B — Derived</x:v>
      </x:c>
      <x:c r="Y308" s="83" t="str">
        <x:v>APPROVED total with MACSE subset</x:v>
      </x:c>
      <x:c r="Z308" s="83" t="str">
        <x:v>Ready when profiles/base network are available</x:v>
      </x:c>
      <x:c r="AA308" s="83" t="str">
        <x:v>The 42 GWh MACSE subset corresponds to 5.25 GW at 8h and remains embedded within total utility-scale power.</x:v>
      </x:c>
    </x:row>
    <x:row r="309">
      <x:c r="A309" s="83" t="str">
        <x:v>S4-00305</x:v>
      </x:c>
      <x:c r="B309" s="83" t="str">
        <x:v>IT2040_ALT_SLOW</x:v>
      </x:c>
      <x:c r="C309" s="83" t="n">
        <x:v>2040</x:v>
      </x:c>
      <x:c r="D309" s="83" t="str">
        <x:v>Storage</x:v>
      </x:c>
      <x:c r="E309" s="83" t="str">
        <x:v>IT_NORD</x:v>
      </x:c>
      <x:c r="F309" s="83" t="str">
        <x:v>NORD</x:v>
      </x:c>
      <x:c r="G309" s="83" t="str">
        <x:v>CM</x:v>
      </x:c>
      <x:c r="H309" s="83" t="str">
        <x:v>Capacity Market battery</x:v>
      </x:c>
      <x:c r="I309" s="83" t="str">
        <x:v>battery</x:v>
      </x:c>
      <x:c r="J309" s="83" t="str">
        <x:v>Store + Links</x:v>
      </x:c>
      <x:c r="K309" s="83" t="str">
        <x:v>e_nom</x:v>
      </x:c>
      <x:c r="L309" s="279" t="n">
        <x:v>3.1</x:v>
      </x:c>
      <x:c r="M309" s="279" t="str">
        <x:v>GWh</x:v>
      </x:c>
      <x:c r="N309" s="279" t="n">
        <x:f>IF(L309="","",IF(M309="GW",L309*1000,IF(M309="GWh",L309*1000,IF(M309="TWh",L309*1000000,L309))))</x:f>
        <x:v>3100</x:v>
      </x:c>
      <x:c r="O309" s="83" t="str">
        <x:f>IF(L309="","",IF(M309="GW","MW",IF(OR(M309="GWh",M309="TWh"),"MWh",M309)))</x:f>
        <x:v>MWh</x:v>
      </x:c>
      <x:c r="P309" s="83" t="str"/>
      <x:c r="Q309" s="349"/>
      <x:c r="R309" s="349" t="str">
        <x:f>IF(L309="","",IF(Q309&lt;&gt;"",L309*Q309,IF(OR(ISNUMBER(SEARCH("EUR2025",M309&amp;"")),P309=2025,P309="2025"),L309,"")))</x:f>
      </x:c>
      <x:c r="S309" s="83" t="str">
        <x:v>A — Direct</x:v>
      </x:c>
      <x:c r="T309" s="83" t="str">
        <x:v>Direct zonal energy; duration harmonised separately.</x:v>
      </x:c>
      <x:c r="U309" s="83" t="str">
        <x:v>S09</x:v>
      </x:c>
      <x:c r="V309" s="83" t="str">
        <x:v>DDS Tabella 16</x:v>
      </x:c>
      <x:c r="W309" s="120"/>
      <x:c r="X309" s="83" t="str">
        <x:v>A — Direct</x:v>
      </x:c>
      <x:c r="Y309" s="83" t="str">
        <x:v>APPROVED direct energy; separate from MACSE</x:v>
      </x:c>
      <x:c r="Z309" s="83" t="str">
        <x:v>Ready when profiles/base network are available</x:v>
      </x:c>
      <x:c r="AA309" s="83" t="str">
        <x:v>Capacity Market energy retained from DDS. It is not the 42 GWh MACSE portfolio.</x:v>
      </x:c>
    </x:row>
    <x:row r="310">
      <x:c r="A310" s="83" t="str">
        <x:v>S4-00306</x:v>
      </x:c>
      <x:c r="B310" s="83" t="str">
        <x:v>IT2040_ALT_SLOW</x:v>
      </x:c>
      <x:c r="C310" s="83" t="n">
        <x:v>2040</x:v>
      </x:c>
      <x:c r="D310" s="83" t="str">
        <x:v>Storage power</x:v>
      </x:c>
      <x:c r="E310" s="83" t="str">
        <x:v>IT_NORD</x:v>
      </x:c>
      <x:c r="F310" s="83" t="str">
        <x:v>NORD</x:v>
      </x:c>
      <x:c r="G310" s="83" t="str">
        <x:v>CM</x:v>
      </x:c>
      <x:c r="H310" s="83" t="str">
        <x:v>Capacity Market battery power</x:v>
      </x:c>
      <x:c r="I310" s="83" t="str">
        <x:v>battery</x:v>
      </x:c>
      <x:c r="J310" s="83" t="str">
        <x:v>Link</x:v>
      </x:c>
      <x:c r="K310" s="83" t="str">
        <x:v>p_nom</x:v>
      </x:c>
      <x:c r="L310" s="279" t="n">
        <x:v>0.775</x:v>
      </x:c>
      <x:c r="M310" s="279" t="str">
        <x:v>GW</x:v>
      </x:c>
      <x:c r="N310" s="279" t="n">
        <x:f>IF(L310="","",IF(M310="GW",L310*1000,IF(M310="GWh",L310*1000,IF(M310="TWh",L310*1000000,L310))))</x:f>
        <x:v>775</x:v>
      </x:c>
      <x:c r="O310" s="83" t="str">
        <x:f>IF(L310="","",IF(M310="GW","MW",IF(OR(M310="GWh",M310="TWh"),"MWh",M310)))</x:f>
        <x:v>MW</x:v>
      </x:c>
      <x:c r="P310" s="83" t="str"/>
      <x:c r="Q310" s="349"/>
      <x:c r="R310" s="349" t="str">
        <x:f>IF(L310="","",IF(Q310&lt;&gt;"",L310*Q310,IF(OR(ISNUMBER(SEARCH("EUR2025",M310&amp;"")),P310=2025,P310="2025"),L310,"")))</x:f>
      </x:c>
      <x:c r="S310" s="83" t="str">
        <x:v>C — Assumed</x:v>
      </x:c>
      <x:c r="T310" s="83" t="str">
        <x:v>Capacity Market energy divided by the approved 4-hour duration.</x:v>
      </x:c>
      <x:c r="U310" s="83" t="str">
        <x:v>S09 + TERNA_RAI2025 + USER_DECISION</x:v>
      </x:c>
      <x:c r="V310" s="83" t="str">
        <x:v>DDS Table 16; Terna RAI 2025 §2.1.4</x:v>
      </x:c>
      <x:c r="W310" s="120" t="str">
        <x:v>https://download.terna.it/terna/Rapporto_Adeguatezza_Italia_2025_8de802607202dd6.pdf</x:v>
      </x:c>
      <x:c r="X310" s="83" t="str">
        <x:v>C — Assumed</x:v>
      </x:c>
      <x:c r="Y310" s="83" t="str">
        <x:v>APPROVED 4h derivation</x:v>
      </x:c>
      <x:c r="Z310" s="83" t="str">
        <x:v>Ready after user approval</x:v>
      </x:c>
      <x:c r="AA310" s="83" t="str">
        <x:v>Capacity Market remains a separate 4h class; no MACSE reclassification.</x:v>
      </x:c>
    </x:row>
    <x:row r="311">
      <x:c r="A311" s="83" t="str">
        <x:v>S4-00307</x:v>
      </x:c>
      <x:c r="B311" s="83" t="str">
        <x:v>IT2040_ALT_SLOW</x:v>
      </x:c>
      <x:c r="C311" s="83" t="n">
        <x:v>2040</x:v>
      </x:c>
      <x:c r="D311" s="83" t="str">
        <x:v>Storage</x:v>
      </x:c>
      <x:c r="E311" s="83" t="str">
        <x:v>IT_CNOR</x:v>
      </x:c>
      <x:c r="F311" s="83" t="str">
        <x:v>CNOR</x:v>
      </x:c>
      <x:c r="G311" s="83" t="str">
        <x:v>Small Scale</x:v>
      </x:c>
      <x:c r="H311" s="83" t="str">
        <x:v>Small-scale 2h</x:v>
      </x:c>
      <x:c r="I311" s="83" t="str">
        <x:v>battery</x:v>
      </x:c>
      <x:c r="J311" s="83" t="str">
        <x:v>Store + Links</x:v>
      </x:c>
      <x:c r="K311" s="83" t="str">
        <x:v>e_nom</x:v>
      </x:c>
      <x:c r="L311" s="279" t="n">
        <x:v>1.0666666666666667</x:v>
      </x:c>
      <x:c r="M311" s="279" t="str">
        <x:v>GWh</x:v>
      </x:c>
      <x:c r="N311" s="279" t="n">
        <x:f>IF(L311="","",IF(M311="GW",L311*1000,IF(M311="GWh",L311*1000,IF(M311="TWh",L311*1000000,L311))))</x:f>
        <x:v>1066.6666666666667</x:v>
      </x:c>
      <x:c r="O311" s="83" t="str">
        <x:f>IF(L311="","",IF(M311="GW","MW",IF(OR(M311="GWh",M311="TWh"),"MWh",M311)))</x:f>
        <x:v>MWh</x:v>
      </x:c>
      <x:c r="P311" s="83" t="str"/>
      <x:c r="Q311" s="349"/>
      <x:c r="R311" s="349" t="str">
        <x:f>IF(L311="","",IF(Q311&lt;&gt;"",L311*Q311,IF(OR(ISNUMBER(SEARCH("EUR2025",M311&amp;"")),P311=2025,P311="2025"),L311,"")))</x:f>
      </x:c>
      <x:c r="S311" s="83" t="str">
        <x:v>C — Distributed assumption</x:v>
      </x:c>
      <x:c r="T311" s="83" t="str">
        <x:v>Split direct zonal energy 67%/33% between 2h/4h classes; p_nom=e_nom/2.</x:v>
      </x:c>
      <x:c r="U311" s="83" t="str">
        <x:v>S09 / S01</x:v>
      </x:c>
      <x:c r="V311" s="83" t="str">
        <x:v>DDS Table 16; 2025 observed portfolio duration</x:v>
      </x:c>
      <x:c r="W311" s="120"/>
      <x:c r="X311" s="83" t="str">
        <x:v>C — Assumed split</x:v>
      </x:c>
      <x:c r="Y311" s="83" t="str">
        <x:v>Proposed</x:v>
      </x:c>
      <x:c r="Z311" s="83" t="str">
        <x:v>Ready after user approval</x:v>
      </x:c>
      <x:c r="AA311" s="83" t="str">
        <x:v>Duration 2h; share derived from observed aggregate duration near 2.4h.</x:v>
      </x:c>
    </x:row>
    <x:row r="312">
      <x:c r="A312" s="83" t="str">
        <x:v>S4-00308</x:v>
      </x:c>
      <x:c r="B312" s="83" t="str">
        <x:v>IT2040_ALT_SLOW</x:v>
      </x:c>
      <x:c r="C312" s="83" t="n">
        <x:v>2040</x:v>
      </x:c>
      <x:c r="D312" s="83" t="str">
        <x:v>Storage power</x:v>
      </x:c>
      <x:c r="E312" s="83" t="str">
        <x:v>IT_CNOR</x:v>
      </x:c>
      <x:c r="F312" s="83" t="str">
        <x:v>CNOR</x:v>
      </x:c>
      <x:c r="G312" s="83" t="str">
        <x:v>Small Scale</x:v>
      </x:c>
      <x:c r="H312" s="83" t="str">
        <x:v>Small-scale 2h power</x:v>
      </x:c>
      <x:c r="I312" s="83" t="str">
        <x:v>battery</x:v>
      </x:c>
      <x:c r="J312" s="83" t="str">
        <x:v>Link</x:v>
      </x:c>
      <x:c r="K312" s="83" t="str">
        <x:v>p_nom</x:v>
      </x:c>
      <x:c r="L312" s="279" t="n">
        <x:v>0.5333333333333333</x:v>
      </x:c>
      <x:c r="M312" s="279" t="str">
        <x:v>GW</x:v>
      </x:c>
      <x:c r="N312" s="279" t="n">
        <x:f>IF(L312="","",IF(M312="GW",L312*1000,IF(M312="GWh",L312*1000,IF(M312="TWh",L312*1000000,L312))))</x:f>
        <x:v>533.3333333333334</x:v>
      </x:c>
      <x:c r="O312" s="83" t="str">
        <x:f>IF(L312="","",IF(M312="GW","MW",IF(OR(M312="GWh",M312="TWh"),"MWh",M312)))</x:f>
        <x:v>MW</x:v>
      </x:c>
      <x:c r="P312" s="83" t="str"/>
      <x:c r="Q312" s="349"/>
      <x:c r="R312" s="349" t="str">
        <x:f>IF(L312="","",IF(Q312&lt;&gt;"",L312*Q312,IF(OR(ISNUMBER(SEARCH("EUR2025",M312&amp;"")),P312=2025,P312="2025"),L312,"")))</x:f>
      </x:c>
      <x:c r="S312" s="83" t="str">
        <x:v>C — Derived</x:v>
      </x:c>
      <x:c r="T312" s="83" t="str">
        <x:v>Energy / 2 h.</x:v>
      </x:c>
      <x:c r="U312" s="83" t="str">
        <x:v>S09 / S01</x:v>
      </x:c>
      <x:c r="V312" s="83" t="str">
        <x:v>DDS Table 16 + harmonisation</x:v>
      </x:c>
      <x:c r="W312" s="120"/>
      <x:c r="X312" s="83" t="str">
        <x:v>C — Derived</x:v>
      </x:c>
      <x:c r="Y312" s="83" t="str">
        <x:v>Proposed</x:v>
      </x:c>
      <x:c r="Z312" s="83" t="str">
        <x:v>Ready after user approval</x:v>
      </x:c>
      <x:c r="AA312" s="83"/>
    </x:row>
    <x:row r="313">
      <x:c r="A313" s="83" t="str">
        <x:v>S4-00309</x:v>
      </x:c>
      <x:c r="B313" s="83" t="str">
        <x:v>IT2040_ALT_SLOW</x:v>
      </x:c>
      <x:c r="C313" s="83" t="n">
        <x:v>2040</x:v>
      </x:c>
      <x:c r="D313" s="83" t="str">
        <x:v>Storage</x:v>
      </x:c>
      <x:c r="E313" s="83" t="str">
        <x:v>IT_CNOR</x:v>
      </x:c>
      <x:c r="F313" s="83" t="str">
        <x:v>CNOR</x:v>
      </x:c>
      <x:c r="G313" s="83" t="str">
        <x:v>Small Scale</x:v>
      </x:c>
      <x:c r="H313" s="83" t="str">
        <x:v>Small-scale 4h</x:v>
      </x:c>
      <x:c r="I313" s="83" t="str">
        <x:v>battery</x:v>
      </x:c>
      <x:c r="J313" s="83" t="str">
        <x:v>Store + Links</x:v>
      </x:c>
      <x:c r="K313" s="83" t="str">
        <x:v>e_nom</x:v>
      </x:c>
      <x:c r="L313" s="279" t="n">
        <x:v>0.5333333333333333</x:v>
      </x:c>
      <x:c r="M313" s="279" t="str">
        <x:v>GWh</x:v>
      </x:c>
      <x:c r="N313" s="279" t="n">
        <x:f>IF(L313="","",IF(M313="GW",L313*1000,IF(M313="GWh",L313*1000,IF(M313="TWh",L313*1000000,L313))))</x:f>
        <x:v>533.3333333333334</x:v>
      </x:c>
      <x:c r="O313" s="83" t="str">
        <x:f>IF(L313="","",IF(M313="GW","MW",IF(OR(M313="GWh",M313="TWh"),"MWh",M313)))</x:f>
        <x:v>MWh</x:v>
      </x:c>
      <x:c r="P313" s="83" t="str"/>
      <x:c r="Q313" s="349"/>
      <x:c r="R313" s="349" t="str">
        <x:f>IF(L313="","",IF(Q313&lt;&gt;"",L313*Q313,IF(OR(ISNUMBER(SEARCH("EUR2025",M313&amp;"")),P313=2025,P313="2025"),L313,"")))</x:f>
      </x:c>
      <x:c r="S313" s="83" t="str">
        <x:v>C — Distributed assumption</x:v>
      </x:c>
      <x:c r="T313" s="83" t="str">
        <x:v>Split direct zonal energy 67%/33% between 2h/4h classes; p_nom=e_nom/4.</x:v>
      </x:c>
      <x:c r="U313" s="83" t="str">
        <x:v>S09 / S01</x:v>
      </x:c>
      <x:c r="V313" s="83" t="str">
        <x:v>DDS Table 16; 2025 observed portfolio duration</x:v>
      </x:c>
      <x:c r="W313" s="120"/>
      <x:c r="X313" s="83" t="str">
        <x:v>C — Assumed split</x:v>
      </x:c>
      <x:c r="Y313" s="83" t="str">
        <x:v>Proposed</x:v>
      </x:c>
      <x:c r="Z313" s="83" t="str">
        <x:v>Ready after user approval</x:v>
      </x:c>
      <x:c r="AA313" s="83" t="str">
        <x:v>Duration 4h; share derived from observed aggregate duration near 2.4h.</x:v>
      </x:c>
    </x:row>
    <x:row r="314">
      <x:c r="A314" s="83" t="str">
        <x:v>S4-00310</x:v>
      </x:c>
      <x:c r="B314" s="83" t="str">
        <x:v>IT2040_ALT_SLOW</x:v>
      </x:c>
      <x:c r="C314" s="83" t="n">
        <x:v>2040</x:v>
      </x:c>
      <x:c r="D314" s="83" t="str">
        <x:v>Storage power</x:v>
      </x:c>
      <x:c r="E314" s="83" t="str">
        <x:v>IT_CNOR</x:v>
      </x:c>
      <x:c r="F314" s="83" t="str">
        <x:v>CNOR</x:v>
      </x:c>
      <x:c r="G314" s="83" t="str">
        <x:v>Small Scale</x:v>
      </x:c>
      <x:c r="H314" s="83" t="str">
        <x:v>Small-scale 4h power</x:v>
      </x:c>
      <x:c r="I314" s="83" t="str">
        <x:v>battery</x:v>
      </x:c>
      <x:c r="J314" s="83" t="str">
        <x:v>Link</x:v>
      </x:c>
      <x:c r="K314" s="83" t="str">
        <x:v>p_nom</x:v>
      </x:c>
      <x:c r="L314" s="279" t="n">
        <x:v>0.13333333333333333</x:v>
      </x:c>
      <x:c r="M314" s="279" t="str">
        <x:v>GW</x:v>
      </x:c>
      <x:c r="N314" s="279" t="n">
        <x:f>IF(L314="","",IF(M314="GW",L314*1000,IF(M314="GWh",L314*1000,IF(M314="TWh",L314*1000000,L314))))</x:f>
        <x:v>133.33333333333334</x:v>
      </x:c>
      <x:c r="O314" s="83" t="str">
        <x:f>IF(L314="","",IF(M314="GW","MW",IF(OR(M314="GWh",M314="TWh"),"MWh",M314)))</x:f>
        <x:v>MW</x:v>
      </x:c>
      <x:c r="P314" s="83" t="str"/>
      <x:c r="Q314" s="349"/>
      <x:c r="R314" s="349" t="str">
        <x:f>IF(L314="","",IF(Q314&lt;&gt;"",L314*Q314,IF(OR(ISNUMBER(SEARCH("EUR2025",M314&amp;"")),P314=2025,P314="2025"),L314,"")))</x:f>
      </x:c>
      <x:c r="S314" s="83" t="str">
        <x:v>C — Derived</x:v>
      </x:c>
      <x:c r="T314" s="83" t="str">
        <x:v>Energy / 4 h.</x:v>
      </x:c>
      <x:c r="U314" s="83" t="str">
        <x:v>S09 / S01</x:v>
      </x:c>
      <x:c r="V314" s="83" t="str">
        <x:v>DDS Table 16 + harmonisation</x:v>
      </x:c>
      <x:c r="W314" s="120"/>
      <x:c r="X314" s="83" t="str">
        <x:v>C — Derived</x:v>
      </x:c>
      <x:c r="Y314" s="83" t="str">
        <x:v>Proposed</x:v>
      </x:c>
      <x:c r="Z314" s="83" t="str">
        <x:v>Ready after user approval</x:v>
      </x:c>
      <x:c r="AA314" s="83"/>
    </x:row>
    <x:row r="315">
      <x:c r="A315" s="83" t="str">
        <x:v>S4-00311</x:v>
      </x:c>
      <x:c r="B315" s="83" t="str">
        <x:v>IT2040_ALT_SLOW</x:v>
      </x:c>
      <x:c r="C315" s="83" t="n">
        <x:v>2040</x:v>
      </x:c>
      <x:c r="D315" s="83" t="str">
        <x:v>Storage</x:v>
      </x:c>
      <x:c r="E315" s="83" t="str">
        <x:v>IT_CNOR</x:v>
      </x:c>
      <x:c r="F315" s="83" t="str">
        <x:v>CNOR</x:v>
      </x:c>
      <x:c r="G315" s="83" t="str">
        <x:v>Utility Scale incl. MACSE</x:v>
      </x:c>
      <x:c r="H315" s="83" t="str">
        <x:v>Battery utility 8h</x:v>
      </x:c>
      <x:c r="I315" s="83" t="str">
        <x:v>battery</x:v>
      </x:c>
      <x:c r="J315" s="83" t="str">
        <x:v>Store + Links</x:v>
      </x:c>
      <x:c r="K315" s="83" t="str">
        <x:v>e_nom</x:v>
      </x:c>
      <x:c r="L315" s="279" t="n">
        <x:v>1.1</x:v>
      </x:c>
      <x:c r="M315" s="279" t="str">
        <x:v>GWh</x:v>
      </x:c>
      <x:c r="N315" s="279" t="n">
        <x:f>IF(L315="","",IF(M315="GW",L315*1000,IF(M315="GWh",L315*1000,IF(M315="TWh",L315*1000000,L315))))</x:f>
        <x:v>1100</x:v>
      </x:c>
      <x:c r="O315" s="83" t="str">
        <x:f>IF(L315="","",IF(M315="GW","MW",IF(OR(M315="GWh",M315="TWh"),"MWh",M315)))</x:f>
        <x:v>MWh</x:v>
      </x:c>
      <x:c r="P315" s="83" t="str"/>
      <x:c r="Q315" s="349"/>
      <x:c r="R315" s="349" t="str">
        <x:f>IF(L315="","",IF(Q315&lt;&gt;"",L315*Q315,IF(OR(ISNUMBER(SEARCH("EUR2025",M315&amp;"")),P315=2025,P315="2025"),L315,"")))</x:f>
      </x:c>
      <x:c r="S315" s="83" t="str">
        <x:v>A/C — Direct total; procurement subset identified</x:v>
      </x:c>
      <x:c r="T315" s="83" t="str">
        <x:v>DDS utility-scale total retained. A 42 GWh MACSE procurement portfolio is identified inside this total and is not added again.</x:v>
      </x:c>
      <x:c r="U315" s="83" t="str">
        <x:v>S09 + TERNA_MACSE_2028 + TERNA_MACSE_2029 + USER_DECISION</x:v>
      </x:c>
      <x:c r="V315" s="83" t="str">
        <x:v>DDS Table 16; 10 GWh MACSE 2028; 16 GWh 2029; 32 GWh available across the next two auctions</x:v>
      </x:c>
      <x:c r="W315" s="120" t="str">
        <x:v>https://www.terna.it/it/media/comunicati-stampa/dettaglio/conclusa-prima-asta-macse; https://download.terna.it/terna/Fabbisogno_di_nuova_capacita_di_stoccaggio_al_2029_8debcba830a85f3.pdf</x:v>
      </x:c>
      <x:c r="X315" s="83" t="str">
        <x:v>B/C — 26 GWh official; final 16 GWh planning tranche revisable</x:v>
      </x:c>
      <x:c r="Y315" s="83" t="str">
        <x:v>APPROVED total with MACSE subset</x:v>
      </x:c>
      <x:c r="Z315" s="83" t="str">
        <x:v>Ready when profiles/base network are available</x:v>
      </x:c>
      <x:c r="AA315" s="83" t="str">
        <x:v>MACSE path: 10 + 16 + 16 = 42 GWh. The final 16 GWh is an explicit scenario assumption based on Terna's 32 GWh quantity for the next two auctions.</x:v>
      </x:c>
    </x:row>
    <x:row r="316">
      <x:c r="A316" s="83" t="str">
        <x:v>S4-00312</x:v>
      </x:c>
      <x:c r="B316" s="83" t="str">
        <x:v>IT2040_ALT_SLOW</x:v>
      </x:c>
      <x:c r="C316" s="83" t="n">
        <x:v>2040</x:v>
      </x:c>
      <x:c r="D316" s="83" t="str">
        <x:v>Storage power</x:v>
      </x:c>
      <x:c r="E316" s="83" t="str">
        <x:v>IT_CNOR</x:v>
      </x:c>
      <x:c r="F316" s="83" t="str">
        <x:v>CNOR</x:v>
      </x:c>
      <x:c r="G316" s="83" t="str">
        <x:v>Utility Scale incl. MACSE</x:v>
      </x:c>
      <x:c r="H316" s="83" t="str">
        <x:v>Battery utility 8h power</x:v>
      </x:c>
      <x:c r="I316" s="83" t="str">
        <x:v>battery</x:v>
      </x:c>
      <x:c r="J316" s="83" t="str">
        <x:v>Link</x:v>
      </x:c>
      <x:c r="K316" s="83" t="str">
        <x:v>p_nom</x:v>
      </x:c>
      <x:c r="L316" s="279" t="n">
        <x:v>0.1375</x:v>
      </x:c>
      <x:c r="M316" s="279" t="str">
        <x:v>GW</x:v>
      </x:c>
      <x:c r="N316" s="279" t="n">
        <x:f>IF(L316="","",IF(M316="GW",L316*1000,IF(M316="GWh",L316*1000,IF(M316="TWh",L316*1000000,L316))))</x:f>
        <x:v>137.5</x:v>
      </x:c>
      <x:c r="O316" s="83" t="str">
        <x:f>IF(L316="","",IF(M316="GW","MW",IF(OR(M316="GWh",M316="TWh"),"MWh",M316)))</x:f>
        <x:v>MW</x:v>
      </x:c>
      <x:c r="P316" s="83" t="str"/>
      <x:c r="Q316" s="349"/>
      <x:c r="R316" s="349" t="str">
        <x:f>IF(L316="","",IF(Q316&lt;&gt;"",L316*Q316,IF(OR(ISNUMBER(SEARCH("EUR2025",M316&amp;"")),P316=2025,P316="2025"),L316,"")))</x:f>
      </x:c>
      <x:c r="S316" s="83" t="str">
        <x:v>B — Derived</x:v>
      </x:c>
      <x:c r="T316" s="83" t="str">
        <x:v>e_nom / 8h.</x:v>
      </x:c>
      <x:c r="U316" s="83" t="str">
        <x:v>S09 + TERNA_MACSE + USER_DECISION</x:v>
      </x:c>
      <x:c r="V316" s="83" t="str">
        <x:v>Utility-scale 8h duration; MACSE subset 42 GWh / 5.25 GW</x:v>
      </x:c>
      <x:c r="W316" s="120" t="str">
        <x:v>https://www.terna.it/it/media/comunicati-stampa/dettaglio/conclusa-prima-asta-macse; https://download.terna.it/terna/Fabbisogno_di_nuova_capacita_di_stoccaggio_al_2029_8debcba830a85f3.pdf</x:v>
      </x:c>
      <x:c r="X316" s="83" t="str">
        <x:v>B — Derived</x:v>
      </x:c>
      <x:c r="Y316" s="83" t="str">
        <x:v>APPROVED total with MACSE subset</x:v>
      </x:c>
      <x:c r="Z316" s="83" t="str">
        <x:v>Ready when profiles/base network are available</x:v>
      </x:c>
      <x:c r="AA316" s="83" t="str">
        <x:v>The 42 GWh MACSE subset corresponds to 5.25 GW at 8h and remains embedded within total utility-scale power.</x:v>
      </x:c>
    </x:row>
    <x:row r="317">
      <x:c r="A317" s="83" t="str">
        <x:v>S4-00313</x:v>
      </x:c>
      <x:c r="B317" s="83" t="str">
        <x:v>IT2040_ALT_SLOW</x:v>
      </x:c>
      <x:c r="C317" s="83" t="n">
        <x:v>2040</x:v>
      </x:c>
      <x:c r="D317" s="83" t="str">
        <x:v>Storage</x:v>
      </x:c>
      <x:c r="E317" s="83" t="str">
        <x:v>IT_CNOR</x:v>
      </x:c>
      <x:c r="F317" s="83" t="str">
        <x:v>CNOR</x:v>
      </x:c>
      <x:c r="G317" s="83" t="str">
        <x:v>CM</x:v>
      </x:c>
      <x:c r="H317" s="83" t="str">
        <x:v>Capacity Market battery</x:v>
      </x:c>
      <x:c r="I317" s="83" t="str">
        <x:v>battery</x:v>
      </x:c>
      <x:c r="J317" s="83" t="str">
        <x:v>Store + Links</x:v>
      </x:c>
      <x:c r="K317" s="83" t="str">
        <x:v>e_nom</x:v>
      </x:c>
      <x:c r="L317" s="279" t="n">
        <x:v>0.1</x:v>
      </x:c>
      <x:c r="M317" s="279" t="str">
        <x:v>GWh</x:v>
      </x:c>
      <x:c r="N317" s="279" t="n">
        <x:f>IF(L317="","",IF(M317="GW",L317*1000,IF(M317="GWh",L317*1000,IF(M317="TWh",L317*1000000,L317))))</x:f>
        <x:v>100</x:v>
      </x:c>
      <x:c r="O317" s="83" t="str">
        <x:f>IF(L317="","",IF(M317="GW","MW",IF(OR(M317="GWh",M317="TWh"),"MWh",M317)))</x:f>
        <x:v>MWh</x:v>
      </x:c>
      <x:c r="P317" s="83" t="str"/>
      <x:c r="Q317" s="349"/>
      <x:c r="R317" s="349" t="str">
        <x:f>IF(L317="","",IF(Q317&lt;&gt;"",L317*Q317,IF(OR(ISNUMBER(SEARCH("EUR2025",M317&amp;"")),P317=2025,P317="2025"),L317,"")))</x:f>
      </x:c>
      <x:c r="S317" s="83" t="str">
        <x:v>A — Direct</x:v>
      </x:c>
      <x:c r="T317" s="83" t="str">
        <x:v>Direct zonal energy; duration harmonised separately.</x:v>
      </x:c>
      <x:c r="U317" s="83" t="str">
        <x:v>S09</x:v>
      </x:c>
      <x:c r="V317" s="83" t="str">
        <x:v>DDS Tabella 16</x:v>
      </x:c>
      <x:c r="W317" s="120"/>
      <x:c r="X317" s="83" t="str">
        <x:v>A — Direct</x:v>
      </x:c>
      <x:c r="Y317" s="83" t="str">
        <x:v>APPROVED direct energy; separate from MACSE</x:v>
      </x:c>
      <x:c r="Z317" s="83" t="str">
        <x:v>Ready when profiles/base network are available</x:v>
      </x:c>
      <x:c r="AA317" s="83" t="str">
        <x:v>Capacity Market energy retained from DDS. It is not the 42 GWh MACSE portfolio.</x:v>
      </x:c>
    </x:row>
    <x:row r="318">
      <x:c r="A318" s="83" t="str">
        <x:v>S4-00314</x:v>
      </x:c>
      <x:c r="B318" s="83" t="str">
        <x:v>IT2040_ALT_SLOW</x:v>
      </x:c>
      <x:c r="C318" s="83" t="n">
        <x:v>2040</x:v>
      </x:c>
      <x:c r="D318" s="83" t="str">
        <x:v>Storage power</x:v>
      </x:c>
      <x:c r="E318" s="83" t="str">
        <x:v>IT_CNOR</x:v>
      </x:c>
      <x:c r="F318" s="83" t="str">
        <x:v>CNOR</x:v>
      </x:c>
      <x:c r="G318" s="83" t="str">
        <x:v>CM</x:v>
      </x:c>
      <x:c r="H318" s="83" t="str">
        <x:v>Capacity Market battery power</x:v>
      </x:c>
      <x:c r="I318" s="83" t="str">
        <x:v>battery</x:v>
      </x:c>
      <x:c r="J318" s="83" t="str">
        <x:v>Link</x:v>
      </x:c>
      <x:c r="K318" s="83" t="str">
        <x:v>p_nom</x:v>
      </x:c>
      <x:c r="L318" s="279" t="n">
        <x:v>0.025</x:v>
      </x:c>
      <x:c r="M318" s="279" t="str">
        <x:v>GW</x:v>
      </x:c>
      <x:c r="N318" s="279" t="n">
        <x:f>IF(L318="","",IF(M318="GW",L318*1000,IF(M318="GWh",L318*1000,IF(M318="TWh",L318*1000000,L318))))</x:f>
        <x:v>25</x:v>
      </x:c>
      <x:c r="O318" s="83" t="str">
        <x:f>IF(L318="","",IF(M318="GW","MW",IF(OR(M318="GWh",M318="TWh"),"MWh",M318)))</x:f>
        <x:v>MW</x:v>
      </x:c>
      <x:c r="P318" s="83" t="str"/>
      <x:c r="Q318" s="349"/>
      <x:c r="R318" s="349" t="str">
        <x:f>IF(L318="","",IF(Q318&lt;&gt;"",L318*Q318,IF(OR(ISNUMBER(SEARCH("EUR2025",M318&amp;"")),P318=2025,P318="2025"),L318,"")))</x:f>
      </x:c>
      <x:c r="S318" s="83" t="str">
        <x:v>C — Assumed</x:v>
      </x:c>
      <x:c r="T318" s="83" t="str">
        <x:v>Capacity Market energy divided by the approved 4-hour duration.</x:v>
      </x:c>
      <x:c r="U318" s="83" t="str">
        <x:v>S09 + TERNA_RAI2025 + USER_DECISION</x:v>
      </x:c>
      <x:c r="V318" s="83" t="str">
        <x:v>DDS Table 16; Terna RAI 2025 §2.1.4</x:v>
      </x:c>
      <x:c r="W318" s="120" t="str">
        <x:v>https://download.terna.it/terna/Rapporto_Adeguatezza_Italia_2025_8de802607202dd6.pdf</x:v>
      </x:c>
      <x:c r="X318" s="83" t="str">
        <x:v>C — Assumed</x:v>
      </x:c>
      <x:c r="Y318" s="83" t="str">
        <x:v>APPROVED 4h derivation</x:v>
      </x:c>
      <x:c r="Z318" s="83" t="str">
        <x:v>Ready after user approval</x:v>
      </x:c>
      <x:c r="AA318" s="83" t="str">
        <x:v>Capacity Market remains a separate 4h class; no MACSE reclassification.</x:v>
      </x:c>
    </x:row>
    <x:row r="319">
      <x:c r="A319" s="83" t="str">
        <x:v>S4-00315</x:v>
      </x:c>
      <x:c r="B319" s="83" t="str">
        <x:v>IT2040_ALT_SLOW</x:v>
      </x:c>
      <x:c r="C319" s="83" t="n">
        <x:v>2040</x:v>
      </x:c>
      <x:c r="D319" s="83" t="str">
        <x:v>Storage</x:v>
      </x:c>
      <x:c r="E319" s="83" t="str">
        <x:v>IT_CSUD</x:v>
      </x:c>
      <x:c r="F319" s="83" t="str">
        <x:v>CSUD</x:v>
      </x:c>
      <x:c r="G319" s="83" t="str">
        <x:v>Small Scale</x:v>
      </x:c>
      <x:c r="H319" s="83" t="str">
        <x:v>Small-scale 2h</x:v>
      </x:c>
      <x:c r="I319" s="83" t="str">
        <x:v>battery</x:v>
      </x:c>
      <x:c r="J319" s="83" t="str">
        <x:v>Store + Links</x:v>
      </x:c>
      <x:c r="K319" s="83" t="str">
        <x:v>e_nom</x:v>
      </x:c>
      <x:c r="L319" s="279" t="n">
        <x:v>1.7333333333333334</x:v>
      </x:c>
      <x:c r="M319" s="279" t="str">
        <x:v>GWh</x:v>
      </x:c>
      <x:c r="N319" s="279" t="n">
        <x:f>IF(L319="","",IF(M319="GW",L319*1000,IF(M319="GWh",L319*1000,IF(M319="TWh",L319*1000000,L319))))</x:f>
        <x:v>1733.3333333333335</x:v>
      </x:c>
      <x:c r="O319" s="83" t="str">
        <x:f>IF(L319="","",IF(M319="GW","MW",IF(OR(M319="GWh",M319="TWh"),"MWh",M319)))</x:f>
        <x:v>MWh</x:v>
      </x:c>
      <x:c r="P319" s="83" t="str"/>
      <x:c r="Q319" s="349"/>
      <x:c r="R319" s="349" t="str">
        <x:f>IF(L319="","",IF(Q319&lt;&gt;"",L319*Q319,IF(OR(ISNUMBER(SEARCH("EUR2025",M319&amp;"")),P319=2025,P319="2025"),L319,"")))</x:f>
      </x:c>
      <x:c r="S319" s="83" t="str">
        <x:v>C — Distributed assumption</x:v>
      </x:c>
      <x:c r="T319" s="83" t="str">
        <x:v>Split direct zonal energy 67%/33% between 2h/4h classes; p_nom=e_nom/2.</x:v>
      </x:c>
      <x:c r="U319" s="83" t="str">
        <x:v>S09 / S01</x:v>
      </x:c>
      <x:c r="V319" s="83" t="str">
        <x:v>DDS Table 16; 2025 observed portfolio duration</x:v>
      </x:c>
      <x:c r="W319" s="120"/>
      <x:c r="X319" s="83" t="str">
        <x:v>C — Assumed split</x:v>
      </x:c>
      <x:c r="Y319" s="83" t="str">
        <x:v>Proposed</x:v>
      </x:c>
      <x:c r="Z319" s="83" t="str">
        <x:v>Ready after user approval</x:v>
      </x:c>
      <x:c r="AA319" s="83" t="str">
        <x:v>Duration 2h; share derived from observed aggregate duration near 2.4h.</x:v>
      </x:c>
    </x:row>
    <x:row r="320">
      <x:c r="A320" s="83" t="str">
        <x:v>S4-00316</x:v>
      </x:c>
      <x:c r="B320" s="83" t="str">
        <x:v>IT2040_ALT_SLOW</x:v>
      </x:c>
      <x:c r="C320" s="83" t="n">
        <x:v>2040</x:v>
      </x:c>
      <x:c r="D320" s="83" t="str">
        <x:v>Storage power</x:v>
      </x:c>
      <x:c r="E320" s="83" t="str">
        <x:v>IT_CSUD</x:v>
      </x:c>
      <x:c r="F320" s="83" t="str">
        <x:v>CSUD</x:v>
      </x:c>
      <x:c r="G320" s="83" t="str">
        <x:v>Small Scale</x:v>
      </x:c>
      <x:c r="H320" s="83" t="str">
        <x:v>Small-scale 2h power</x:v>
      </x:c>
      <x:c r="I320" s="83" t="str">
        <x:v>battery</x:v>
      </x:c>
      <x:c r="J320" s="83" t="str">
        <x:v>Link</x:v>
      </x:c>
      <x:c r="K320" s="83" t="str">
        <x:v>p_nom</x:v>
      </x:c>
      <x:c r="L320" s="279" t="n">
        <x:v>0.8666666666666667</x:v>
      </x:c>
      <x:c r="M320" s="279" t="str">
        <x:v>GW</x:v>
      </x:c>
      <x:c r="N320" s="279" t="n">
        <x:f>IF(L320="","",IF(M320="GW",L320*1000,IF(M320="GWh",L320*1000,IF(M320="TWh",L320*1000000,L320))))</x:f>
        <x:v>866.6666666666667</x:v>
      </x:c>
      <x:c r="O320" s="83" t="str">
        <x:f>IF(L320="","",IF(M320="GW","MW",IF(OR(M320="GWh",M320="TWh"),"MWh",M320)))</x:f>
        <x:v>MW</x:v>
      </x:c>
      <x:c r="P320" s="83" t="str"/>
      <x:c r="Q320" s="349"/>
      <x:c r="R320" s="349" t="str">
        <x:f>IF(L320="","",IF(Q320&lt;&gt;"",L320*Q320,IF(OR(ISNUMBER(SEARCH("EUR2025",M320&amp;"")),P320=2025,P320="2025"),L320,"")))</x:f>
      </x:c>
      <x:c r="S320" s="83" t="str">
        <x:v>C — Derived</x:v>
      </x:c>
      <x:c r="T320" s="83" t="str">
        <x:v>Energy / 2 h.</x:v>
      </x:c>
      <x:c r="U320" s="83" t="str">
        <x:v>S09 / S01</x:v>
      </x:c>
      <x:c r="V320" s="83" t="str">
        <x:v>DDS Table 16 + harmonisation</x:v>
      </x:c>
      <x:c r="W320" s="120"/>
      <x:c r="X320" s="83" t="str">
        <x:v>C — Derived</x:v>
      </x:c>
      <x:c r="Y320" s="83" t="str">
        <x:v>Proposed</x:v>
      </x:c>
      <x:c r="Z320" s="83" t="str">
        <x:v>Ready after user approval</x:v>
      </x:c>
      <x:c r="AA320" s="83"/>
    </x:row>
    <x:row r="321">
      <x:c r="A321" s="83" t="str">
        <x:v>S4-00317</x:v>
      </x:c>
      <x:c r="B321" s="83" t="str">
        <x:v>IT2040_ALT_SLOW</x:v>
      </x:c>
      <x:c r="C321" s="83" t="n">
        <x:v>2040</x:v>
      </x:c>
      <x:c r="D321" s="83" t="str">
        <x:v>Storage</x:v>
      </x:c>
      <x:c r="E321" s="83" t="str">
        <x:v>IT_CSUD</x:v>
      </x:c>
      <x:c r="F321" s="83" t="str">
        <x:v>CSUD</x:v>
      </x:c>
      <x:c r="G321" s="83" t="str">
        <x:v>Small Scale</x:v>
      </x:c>
      <x:c r="H321" s="83" t="str">
        <x:v>Small-scale 4h</x:v>
      </x:c>
      <x:c r="I321" s="83" t="str">
        <x:v>battery</x:v>
      </x:c>
      <x:c r="J321" s="83" t="str">
        <x:v>Store + Links</x:v>
      </x:c>
      <x:c r="K321" s="83" t="str">
        <x:v>e_nom</x:v>
      </x:c>
      <x:c r="L321" s="279" t="n">
        <x:v>0.8666666666666667</x:v>
      </x:c>
      <x:c r="M321" s="279" t="str">
        <x:v>GWh</x:v>
      </x:c>
      <x:c r="N321" s="279" t="n">
        <x:f>IF(L321="","",IF(M321="GW",L321*1000,IF(M321="GWh",L321*1000,IF(M321="TWh",L321*1000000,L321))))</x:f>
        <x:v>866.6666666666667</x:v>
      </x:c>
      <x:c r="O321" s="83" t="str">
        <x:f>IF(L321="","",IF(M321="GW","MW",IF(OR(M321="GWh",M321="TWh"),"MWh",M321)))</x:f>
        <x:v>MWh</x:v>
      </x:c>
      <x:c r="P321" s="83" t="str"/>
      <x:c r="Q321" s="349"/>
      <x:c r="R321" s="349" t="str">
        <x:f>IF(L321="","",IF(Q321&lt;&gt;"",L321*Q321,IF(OR(ISNUMBER(SEARCH("EUR2025",M321&amp;"")),P321=2025,P321="2025"),L321,"")))</x:f>
      </x:c>
      <x:c r="S321" s="83" t="str">
        <x:v>C — Distributed assumption</x:v>
      </x:c>
      <x:c r="T321" s="83" t="str">
        <x:v>Split direct zonal energy 67%/33% between 2h/4h classes; p_nom=e_nom/4.</x:v>
      </x:c>
      <x:c r="U321" s="83" t="str">
        <x:v>S09 / S01</x:v>
      </x:c>
      <x:c r="V321" s="83" t="str">
        <x:v>DDS Table 16; 2025 observed portfolio duration</x:v>
      </x:c>
      <x:c r="W321" s="120"/>
      <x:c r="X321" s="83" t="str">
        <x:v>C — Assumed split</x:v>
      </x:c>
      <x:c r="Y321" s="83" t="str">
        <x:v>Proposed</x:v>
      </x:c>
      <x:c r="Z321" s="83" t="str">
        <x:v>Ready after user approval</x:v>
      </x:c>
      <x:c r="AA321" s="83" t="str">
        <x:v>Duration 4h; share derived from observed aggregate duration near 2.4h.</x:v>
      </x:c>
    </x:row>
    <x:row r="322">
      <x:c r="A322" s="83" t="str">
        <x:v>S4-00318</x:v>
      </x:c>
      <x:c r="B322" s="83" t="str">
        <x:v>IT2040_ALT_SLOW</x:v>
      </x:c>
      <x:c r="C322" s="83" t="n">
        <x:v>2040</x:v>
      </x:c>
      <x:c r="D322" s="83" t="str">
        <x:v>Storage power</x:v>
      </x:c>
      <x:c r="E322" s="83" t="str">
        <x:v>IT_CSUD</x:v>
      </x:c>
      <x:c r="F322" s="83" t="str">
        <x:v>CSUD</x:v>
      </x:c>
      <x:c r="G322" s="83" t="str">
        <x:v>Small Scale</x:v>
      </x:c>
      <x:c r="H322" s="83" t="str">
        <x:v>Small-scale 4h power</x:v>
      </x:c>
      <x:c r="I322" s="83" t="str">
        <x:v>battery</x:v>
      </x:c>
      <x:c r="J322" s="83" t="str">
        <x:v>Link</x:v>
      </x:c>
      <x:c r="K322" s="83" t="str">
        <x:v>p_nom</x:v>
      </x:c>
      <x:c r="L322" s="279" t="n">
        <x:v>0.21666666666666667</x:v>
      </x:c>
      <x:c r="M322" s="279" t="str">
        <x:v>GW</x:v>
      </x:c>
      <x:c r="N322" s="279" t="n">
        <x:f>IF(L322="","",IF(M322="GW",L322*1000,IF(M322="GWh",L322*1000,IF(M322="TWh",L322*1000000,L322))))</x:f>
        <x:v>216.66666666666669</x:v>
      </x:c>
      <x:c r="O322" s="83" t="str">
        <x:f>IF(L322="","",IF(M322="GW","MW",IF(OR(M322="GWh",M322="TWh"),"MWh",M322)))</x:f>
        <x:v>MW</x:v>
      </x:c>
      <x:c r="P322" s="83" t="str"/>
      <x:c r="Q322" s="349"/>
      <x:c r="R322" s="349" t="str">
        <x:f>IF(L322="","",IF(Q322&lt;&gt;"",L322*Q322,IF(OR(ISNUMBER(SEARCH("EUR2025",M322&amp;"")),P322=2025,P322="2025"),L322,"")))</x:f>
      </x:c>
      <x:c r="S322" s="83" t="str">
        <x:v>C — Derived</x:v>
      </x:c>
      <x:c r="T322" s="83" t="str">
        <x:v>Energy / 4 h.</x:v>
      </x:c>
      <x:c r="U322" s="83" t="str">
        <x:v>S09 / S01</x:v>
      </x:c>
      <x:c r="V322" s="83" t="str">
        <x:v>DDS Table 16 + harmonisation</x:v>
      </x:c>
      <x:c r="W322" s="120"/>
      <x:c r="X322" s="83" t="str">
        <x:v>C — Derived</x:v>
      </x:c>
      <x:c r="Y322" s="83" t="str">
        <x:v>Proposed</x:v>
      </x:c>
      <x:c r="Z322" s="83" t="str">
        <x:v>Ready after user approval</x:v>
      </x:c>
      <x:c r="AA322" s="83"/>
    </x:row>
    <x:row r="323">
      <x:c r="A323" s="83" t="str">
        <x:v>S4-00319</x:v>
      </x:c>
      <x:c r="B323" s="83" t="str">
        <x:v>IT2040_ALT_SLOW</x:v>
      </x:c>
      <x:c r="C323" s="83" t="n">
        <x:v>2040</x:v>
      </x:c>
      <x:c r="D323" s="83" t="str">
        <x:v>Storage</x:v>
      </x:c>
      <x:c r="E323" s="83" t="str">
        <x:v>IT_CSUD</x:v>
      </x:c>
      <x:c r="F323" s="83" t="str">
        <x:v>CSUD</x:v>
      </x:c>
      <x:c r="G323" s="83" t="str">
        <x:v>Utility Scale incl. MACSE</x:v>
      </x:c>
      <x:c r="H323" s="83" t="str">
        <x:v>Battery utility 8h</x:v>
      </x:c>
      <x:c r="I323" s="83" t="str">
        <x:v>battery</x:v>
      </x:c>
      <x:c r="J323" s="83" t="str">
        <x:v>Store + Links</x:v>
      </x:c>
      <x:c r="K323" s="83" t="str">
        <x:v>e_nom</x:v>
      </x:c>
      <x:c r="L323" s="279" t="n">
        <x:v>13.3</x:v>
      </x:c>
      <x:c r="M323" s="279" t="str">
        <x:v>GWh</x:v>
      </x:c>
      <x:c r="N323" s="279" t="n">
        <x:f>IF(L323="","",IF(M323="GW",L323*1000,IF(M323="GWh",L323*1000,IF(M323="TWh",L323*1000000,L323))))</x:f>
        <x:v>13300</x:v>
      </x:c>
      <x:c r="O323" s="83" t="str">
        <x:f>IF(L323="","",IF(M323="GW","MW",IF(OR(M323="GWh",M323="TWh"),"MWh",M323)))</x:f>
        <x:v>MWh</x:v>
      </x:c>
      <x:c r="P323" s="83" t="str"/>
      <x:c r="Q323" s="349"/>
      <x:c r="R323" s="349" t="str">
        <x:f>IF(L323="","",IF(Q323&lt;&gt;"",L323*Q323,IF(OR(ISNUMBER(SEARCH("EUR2025",M323&amp;"")),P323=2025,P323="2025"),L323,"")))</x:f>
      </x:c>
      <x:c r="S323" s="83" t="str">
        <x:v>A/C — Direct total; procurement subset identified</x:v>
      </x:c>
      <x:c r="T323" s="83" t="str">
        <x:v>DDS utility-scale total retained. A 42 GWh MACSE procurement portfolio is identified inside this total and is not added again.</x:v>
      </x:c>
      <x:c r="U323" s="83" t="str">
        <x:v>S09 + TERNA_MACSE_2028 + TERNA_MACSE_2029 + USER_DECISION</x:v>
      </x:c>
      <x:c r="V323" s="83" t="str">
        <x:v>DDS Table 16; 10 GWh MACSE 2028; 16 GWh 2029; 32 GWh available across the next two auctions</x:v>
      </x:c>
      <x:c r="W323" s="120" t="str">
        <x:v>https://www.terna.it/it/media/comunicati-stampa/dettaglio/conclusa-prima-asta-macse; https://download.terna.it/terna/Fabbisogno_di_nuova_capacita_di_stoccaggio_al_2029_8debcba830a85f3.pdf</x:v>
      </x:c>
      <x:c r="X323" s="83" t="str">
        <x:v>B/C — 26 GWh official; final 16 GWh planning tranche revisable</x:v>
      </x:c>
      <x:c r="Y323" s="83" t="str">
        <x:v>APPROVED total with MACSE subset</x:v>
      </x:c>
      <x:c r="Z323" s="83" t="str">
        <x:v>Ready when profiles/base network are available</x:v>
      </x:c>
      <x:c r="AA323" s="83" t="str">
        <x:v>MACSE path: 10 + 16 + 16 = 42 GWh. The final 16 GWh is an explicit scenario assumption based on Terna's 32 GWh quantity for the next two auctions.</x:v>
      </x:c>
    </x:row>
    <x:row r="324">
      <x:c r="A324" s="83" t="str">
        <x:v>S4-00320</x:v>
      </x:c>
      <x:c r="B324" s="83" t="str">
        <x:v>IT2040_ALT_SLOW</x:v>
      </x:c>
      <x:c r="C324" s="83" t="n">
        <x:v>2040</x:v>
      </x:c>
      <x:c r="D324" s="83" t="str">
        <x:v>Storage power</x:v>
      </x:c>
      <x:c r="E324" s="83" t="str">
        <x:v>IT_CSUD</x:v>
      </x:c>
      <x:c r="F324" s="83" t="str">
        <x:v>CSUD</x:v>
      </x:c>
      <x:c r="G324" s="83" t="str">
        <x:v>Utility Scale incl. MACSE</x:v>
      </x:c>
      <x:c r="H324" s="83" t="str">
        <x:v>Battery utility 8h power</x:v>
      </x:c>
      <x:c r="I324" s="83" t="str">
        <x:v>battery</x:v>
      </x:c>
      <x:c r="J324" s="83" t="str">
        <x:v>Link</x:v>
      </x:c>
      <x:c r="K324" s="83" t="str">
        <x:v>p_nom</x:v>
      </x:c>
      <x:c r="L324" s="279" t="n">
        <x:v>1.6625</x:v>
      </x:c>
      <x:c r="M324" s="279" t="str">
        <x:v>GW</x:v>
      </x:c>
      <x:c r="N324" s="279" t="n">
        <x:f>IF(L324="","",IF(M324="GW",L324*1000,IF(M324="GWh",L324*1000,IF(M324="TWh",L324*1000000,L324))))</x:f>
        <x:v>1662.5</x:v>
      </x:c>
      <x:c r="O324" s="83" t="str">
        <x:f>IF(L324="","",IF(M324="GW","MW",IF(OR(M324="GWh",M324="TWh"),"MWh",M324)))</x:f>
        <x:v>MW</x:v>
      </x:c>
      <x:c r="P324" s="83" t="str"/>
      <x:c r="Q324" s="349"/>
      <x:c r="R324" s="349" t="str">
        <x:f>IF(L324="","",IF(Q324&lt;&gt;"",L324*Q324,IF(OR(ISNUMBER(SEARCH("EUR2025",M324&amp;"")),P324=2025,P324="2025"),L324,"")))</x:f>
      </x:c>
      <x:c r="S324" s="83" t="str">
        <x:v>B — Derived</x:v>
      </x:c>
      <x:c r="T324" s="83" t="str">
        <x:v>e_nom / 8h.</x:v>
      </x:c>
      <x:c r="U324" s="83" t="str">
        <x:v>S09 + TERNA_MACSE + USER_DECISION</x:v>
      </x:c>
      <x:c r="V324" s="83" t="str">
        <x:v>Utility-scale 8h duration; MACSE subset 42 GWh / 5.25 GW</x:v>
      </x:c>
      <x:c r="W324" s="120" t="str">
        <x:v>https://www.terna.it/it/media/comunicati-stampa/dettaglio/conclusa-prima-asta-macse; https://download.terna.it/terna/Fabbisogno_di_nuova_capacita_di_stoccaggio_al_2029_8debcba830a85f3.pdf</x:v>
      </x:c>
      <x:c r="X324" s="83" t="str">
        <x:v>B — Derived</x:v>
      </x:c>
      <x:c r="Y324" s="83" t="str">
        <x:v>APPROVED total with MACSE subset</x:v>
      </x:c>
      <x:c r="Z324" s="83" t="str">
        <x:v>Ready when profiles/base network are available</x:v>
      </x:c>
      <x:c r="AA324" s="83" t="str">
        <x:v>The 42 GWh MACSE subset corresponds to 5.25 GW at 8h and remains embedded within total utility-scale power.</x:v>
      </x:c>
    </x:row>
    <x:row r="325">
      <x:c r="A325" s="83" t="str">
        <x:v>S4-00321</x:v>
      </x:c>
      <x:c r="B325" s="83" t="str">
        <x:v>IT2040_ALT_SLOW</x:v>
      </x:c>
      <x:c r="C325" s="83" t="n">
        <x:v>2040</x:v>
      </x:c>
      <x:c r="D325" s="83" t="str">
        <x:v>Storage</x:v>
      </x:c>
      <x:c r="E325" s="83" t="str">
        <x:v>IT_CSUD</x:v>
      </x:c>
      <x:c r="F325" s="83" t="str">
        <x:v>CSUD</x:v>
      </x:c>
      <x:c r="G325" s="83" t="str">
        <x:v>CM</x:v>
      </x:c>
      <x:c r="H325" s="83" t="str">
        <x:v>Capacity Market battery</x:v>
      </x:c>
      <x:c r="I325" s="83" t="str">
        <x:v>battery</x:v>
      </x:c>
      <x:c r="J325" s="83" t="str">
        <x:v>Store + Links</x:v>
      </x:c>
      <x:c r="K325" s="83" t="str">
        <x:v>e_nom</x:v>
      </x:c>
      <x:c r="L325" s="279" t="n">
        <x:v>0.9</x:v>
      </x:c>
      <x:c r="M325" s="279" t="str">
        <x:v>GWh</x:v>
      </x:c>
      <x:c r="N325" s="279" t="n">
        <x:f>IF(L325="","",IF(M325="GW",L325*1000,IF(M325="GWh",L325*1000,IF(M325="TWh",L325*1000000,L325))))</x:f>
        <x:v>900</x:v>
      </x:c>
      <x:c r="O325" s="83" t="str">
        <x:f>IF(L325="","",IF(M325="GW","MW",IF(OR(M325="GWh",M325="TWh"),"MWh",M325)))</x:f>
        <x:v>MWh</x:v>
      </x:c>
      <x:c r="P325" s="83" t="str"/>
      <x:c r="Q325" s="349"/>
      <x:c r="R325" s="349" t="str">
        <x:f>IF(L325="","",IF(Q325&lt;&gt;"",L325*Q325,IF(OR(ISNUMBER(SEARCH("EUR2025",M325&amp;"")),P325=2025,P325="2025"),L325,"")))</x:f>
      </x:c>
      <x:c r="S325" s="83" t="str">
        <x:v>A — Direct</x:v>
      </x:c>
      <x:c r="T325" s="83" t="str">
        <x:v>Direct zonal energy; duration harmonised separately.</x:v>
      </x:c>
      <x:c r="U325" s="83" t="str">
        <x:v>S09</x:v>
      </x:c>
      <x:c r="V325" s="83" t="str">
        <x:v>DDS Tabella 16</x:v>
      </x:c>
      <x:c r="W325" s="120"/>
      <x:c r="X325" s="83" t="str">
        <x:v>A — Direct</x:v>
      </x:c>
      <x:c r="Y325" s="83" t="str">
        <x:v>APPROVED direct energy; separate from MACSE</x:v>
      </x:c>
      <x:c r="Z325" s="83" t="str">
        <x:v>Ready when profiles/base network are available</x:v>
      </x:c>
      <x:c r="AA325" s="83" t="str">
        <x:v>Capacity Market energy retained from DDS. It is not the 42 GWh MACSE portfolio.</x:v>
      </x:c>
    </x:row>
    <x:row r="326">
      <x:c r="A326" s="83" t="str">
        <x:v>S4-00322</x:v>
      </x:c>
      <x:c r="B326" s="83" t="str">
        <x:v>IT2040_ALT_SLOW</x:v>
      </x:c>
      <x:c r="C326" s="83" t="n">
        <x:v>2040</x:v>
      </x:c>
      <x:c r="D326" s="83" t="str">
        <x:v>Storage power</x:v>
      </x:c>
      <x:c r="E326" s="83" t="str">
        <x:v>IT_CSUD</x:v>
      </x:c>
      <x:c r="F326" s="83" t="str">
        <x:v>CSUD</x:v>
      </x:c>
      <x:c r="G326" s="83" t="str">
        <x:v>CM</x:v>
      </x:c>
      <x:c r="H326" s="83" t="str">
        <x:v>Capacity Market battery power</x:v>
      </x:c>
      <x:c r="I326" s="83" t="str">
        <x:v>battery</x:v>
      </x:c>
      <x:c r="J326" s="83" t="str">
        <x:v>Link</x:v>
      </x:c>
      <x:c r="K326" s="83" t="str">
        <x:v>p_nom</x:v>
      </x:c>
      <x:c r="L326" s="279" t="n">
        <x:v>0.225</x:v>
      </x:c>
      <x:c r="M326" s="279" t="str">
        <x:v>GW</x:v>
      </x:c>
      <x:c r="N326" s="279" t="n">
        <x:f>IF(L326="","",IF(M326="GW",L326*1000,IF(M326="GWh",L326*1000,IF(M326="TWh",L326*1000000,L326))))</x:f>
        <x:v>225</x:v>
      </x:c>
      <x:c r="O326" s="83" t="str">
        <x:f>IF(L326="","",IF(M326="GW","MW",IF(OR(M326="GWh",M326="TWh"),"MWh",M326)))</x:f>
        <x:v>MW</x:v>
      </x:c>
      <x:c r="P326" s="83" t="str"/>
      <x:c r="Q326" s="349"/>
      <x:c r="R326" s="349" t="str">
        <x:f>IF(L326="","",IF(Q326&lt;&gt;"",L326*Q326,IF(OR(ISNUMBER(SEARCH("EUR2025",M326&amp;"")),P326=2025,P326="2025"),L326,"")))</x:f>
      </x:c>
      <x:c r="S326" s="83" t="str">
        <x:v>C — Assumed</x:v>
      </x:c>
      <x:c r="T326" s="83" t="str">
        <x:v>Capacity Market energy divided by the approved 4-hour duration.</x:v>
      </x:c>
      <x:c r="U326" s="83" t="str">
        <x:v>S09 + TERNA_RAI2025 + USER_DECISION</x:v>
      </x:c>
      <x:c r="V326" s="83" t="str">
        <x:v>DDS Table 16; Terna RAI 2025 §2.1.4</x:v>
      </x:c>
      <x:c r="W326" s="120" t="str">
        <x:v>https://download.terna.it/terna/Rapporto_Adeguatezza_Italia_2025_8de802607202dd6.pdf</x:v>
      </x:c>
      <x:c r="X326" s="83" t="str">
        <x:v>C — Assumed</x:v>
      </x:c>
      <x:c r="Y326" s="83" t="str">
        <x:v>APPROVED 4h derivation</x:v>
      </x:c>
      <x:c r="Z326" s="83" t="str">
        <x:v>Ready after user approval</x:v>
      </x:c>
      <x:c r="AA326" s="83" t="str">
        <x:v>Capacity Market remains a separate 4h class; no MACSE reclassification.</x:v>
      </x:c>
    </x:row>
    <x:row r="327">
      <x:c r="A327" s="83" t="str">
        <x:v>S4-00323</x:v>
      </x:c>
      <x:c r="B327" s="83" t="str">
        <x:v>IT2040_ALT_SLOW</x:v>
      </x:c>
      <x:c r="C327" s="83" t="n">
        <x:v>2040</x:v>
      </x:c>
      <x:c r="D327" s="83" t="str">
        <x:v>Storage</x:v>
      </x:c>
      <x:c r="E327" s="83" t="str">
        <x:v>IT_SUD</x:v>
      </x:c>
      <x:c r="F327" s="83" t="str">
        <x:v>SUD</x:v>
      </x:c>
      <x:c r="G327" s="83" t="str">
        <x:v>Small Scale</x:v>
      </x:c>
      <x:c r="H327" s="83" t="str">
        <x:v>Small-scale 2h</x:v>
      </x:c>
      <x:c r="I327" s="83" t="str">
        <x:v>battery</x:v>
      </x:c>
      <x:c r="J327" s="83" t="str">
        <x:v>Store + Links</x:v>
      </x:c>
      <x:c r="K327" s="83" t="str">
        <x:v>e_nom</x:v>
      </x:c>
      <x:c r="L327" s="279" t="n">
        <x:v>0.5333333333333333</x:v>
      </x:c>
      <x:c r="M327" s="279" t="str">
        <x:v>GWh</x:v>
      </x:c>
      <x:c r="N327" s="279" t="n">
        <x:f>IF(L327="","",IF(M327="GW",L327*1000,IF(M327="GWh",L327*1000,IF(M327="TWh",L327*1000000,L327))))</x:f>
        <x:v>533.3333333333334</x:v>
      </x:c>
      <x:c r="O327" s="83" t="str">
        <x:f>IF(L327="","",IF(M327="GW","MW",IF(OR(M327="GWh",M327="TWh"),"MWh",M327)))</x:f>
        <x:v>MWh</x:v>
      </x:c>
      <x:c r="P327" s="83" t="str"/>
      <x:c r="Q327" s="349"/>
      <x:c r="R327" s="349" t="str">
        <x:f>IF(L327="","",IF(Q327&lt;&gt;"",L327*Q327,IF(OR(ISNUMBER(SEARCH("EUR2025",M327&amp;"")),P327=2025,P327="2025"),L327,"")))</x:f>
      </x:c>
      <x:c r="S327" s="83" t="str">
        <x:v>C — Distributed assumption</x:v>
      </x:c>
      <x:c r="T327" s="83" t="str">
        <x:v>Split direct zonal energy 67%/33% between 2h/4h classes; p_nom=e_nom/2.</x:v>
      </x:c>
      <x:c r="U327" s="83" t="str">
        <x:v>S09 / S01</x:v>
      </x:c>
      <x:c r="V327" s="83" t="str">
        <x:v>DDS Table 16; 2025 observed portfolio duration</x:v>
      </x:c>
      <x:c r="W327" s="120"/>
      <x:c r="X327" s="83" t="str">
        <x:v>C — Assumed split</x:v>
      </x:c>
      <x:c r="Y327" s="83" t="str">
        <x:v>Proposed</x:v>
      </x:c>
      <x:c r="Z327" s="83" t="str">
        <x:v>Ready after user approval</x:v>
      </x:c>
      <x:c r="AA327" s="83" t="str">
        <x:v>Duration 2h; share derived from observed aggregate duration near 2.4h.</x:v>
      </x:c>
    </x:row>
    <x:row r="328">
      <x:c r="A328" s="83" t="str">
        <x:v>S4-00324</x:v>
      </x:c>
      <x:c r="B328" s="83" t="str">
        <x:v>IT2040_ALT_SLOW</x:v>
      </x:c>
      <x:c r="C328" s="83" t="n">
        <x:v>2040</x:v>
      </x:c>
      <x:c r="D328" s="83" t="str">
        <x:v>Storage power</x:v>
      </x:c>
      <x:c r="E328" s="83" t="str">
        <x:v>IT_SUD</x:v>
      </x:c>
      <x:c r="F328" s="83" t="str">
        <x:v>SUD</x:v>
      </x:c>
      <x:c r="G328" s="83" t="str">
        <x:v>Small Scale</x:v>
      </x:c>
      <x:c r="H328" s="83" t="str">
        <x:v>Small-scale 2h power</x:v>
      </x:c>
      <x:c r="I328" s="83" t="str">
        <x:v>battery</x:v>
      </x:c>
      <x:c r="J328" s="83" t="str">
        <x:v>Link</x:v>
      </x:c>
      <x:c r="K328" s="83" t="str">
        <x:v>p_nom</x:v>
      </x:c>
      <x:c r="L328" s="279" t="n">
        <x:v>0.26666666666666666</x:v>
      </x:c>
      <x:c r="M328" s="279" t="str">
        <x:v>GW</x:v>
      </x:c>
      <x:c r="N328" s="279" t="n">
        <x:f>IF(L328="","",IF(M328="GW",L328*1000,IF(M328="GWh",L328*1000,IF(M328="TWh",L328*1000000,L328))))</x:f>
        <x:v>266.6666666666667</x:v>
      </x:c>
      <x:c r="O328" s="83" t="str">
        <x:f>IF(L328="","",IF(M328="GW","MW",IF(OR(M328="GWh",M328="TWh"),"MWh",M328)))</x:f>
        <x:v>MW</x:v>
      </x:c>
      <x:c r="P328" s="83" t="str"/>
      <x:c r="Q328" s="349"/>
      <x:c r="R328" s="349" t="str">
        <x:f>IF(L328="","",IF(Q328&lt;&gt;"",L328*Q328,IF(OR(ISNUMBER(SEARCH("EUR2025",M328&amp;"")),P328=2025,P328="2025"),L328,"")))</x:f>
      </x:c>
      <x:c r="S328" s="83" t="str">
        <x:v>C — Derived</x:v>
      </x:c>
      <x:c r="T328" s="83" t="str">
        <x:v>Energy / 2 h.</x:v>
      </x:c>
      <x:c r="U328" s="83" t="str">
        <x:v>S09 / S01</x:v>
      </x:c>
      <x:c r="V328" s="83" t="str">
        <x:v>DDS Table 16 + harmonisation</x:v>
      </x:c>
      <x:c r="W328" s="120"/>
      <x:c r="X328" s="83" t="str">
        <x:v>C — Derived</x:v>
      </x:c>
      <x:c r="Y328" s="83" t="str">
        <x:v>Proposed</x:v>
      </x:c>
      <x:c r="Z328" s="83" t="str">
        <x:v>Ready after user approval</x:v>
      </x:c>
      <x:c r="AA328" s="83"/>
    </x:row>
    <x:row r="329">
      <x:c r="A329" s="83" t="str">
        <x:v>S4-00325</x:v>
      </x:c>
      <x:c r="B329" s="83" t="str">
        <x:v>IT2040_ALT_SLOW</x:v>
      </x:c>
      <x:c r="C329" s="83" t="n">
        <x:v>2040</x:v>
      </x:c>
      <x:c r="D329" s="83" t="str">
        <x:v>Storage</x:v>
      </x:c>
      <x:c r="E329" s="83" t="str">
        <x:v>IT_SUD</x:v>
      </x:c>
      <x:c r="F329" s="83" t="str">
        <x:v>SUD</x:v>
      </x:c>
      <x:c r="G329" s="83" t="str">
        <x:v>Small Scale</x:v>
      </x:c>
      <x:c r="H329" s="83" t="str">
        <x:v>Small-scale 4h</x:v>
      </x:c>
      <x:c r="I329" s="83" t="str">
        <x:v>battery</x:v>
      </x:c>
      <x:c r="J329" s="83" t="str">
        <x:v>Store + Links</x:v>
      </x:c>
      <x:c r="K329" s="83" t="str">
        <x:v>e_nom</x:v>
      </x:c>
      <x:c r="L329" s="279" t="n">
        <x:v>0.26666666666666666</x:v>
      </x:c>
      <x:c r="M329" s="279" t="str">
        <x:v>GWh</x:v>
      </x:c>
      <x:c r="N329" s="279" t="n">
        <x:f>IF(L329="","",IF(M329="GW",L329*1000,IF(M329="GWh",L329*1000,IF(M329="TWh",L329*1000000,L329))))</x:f>
        <x:v>266.6666666666667</x:v>
      </x:c>
      <x:c r="O329" s="83" t="str">
        <x:f>IF(L329="","",IF(M329="GW","MW",IF(OR(M329="GWh",M329="TWh"),"MWh",M329)))</x:f>
        <x:v>MWh</x:v>
      </x:c>
      <x:c r="P329" s="83" t="str"/>
      <x:c r="Q329" s="349"/>
      <x:c r="R329" s="349" t="str">
        <x:f>IF(L329="","",IF(Q329&lt;&gt;"",L329*Q329,IF(OR(ISNUMBER(SEARCH("EUR2025",M329&amp;"")),P329=2025,P329="2025"),L329,"")))</x:f>
      </x:c>
      <x:c r="S329" s="83" t="str">
        <x:v>C — Distributed assumption</x:v>
      </x:c>
      <x:c r="T329" s="83" t="str">
        <x:v>Split direct zonal energy 67%/33% between 2h/4h classes; p_nom=e_nom/4.</x:v>
      </x:c>
      <x:c r="U329" s="83" t="str">
        <x:v>S09 / S01</x:v>
      </x:c>
      <x:c r="V329" s="83" t="str">
        <x:v>DDS Table 16; 2025 observed portfolio duration</x:v>
      </x:c>
      <x:c r="W329" s="120"/>
      <x:c r="X329" s="83" t="str">
        <x:v>C — Assumed split</x:v>
      </x:c>
      <x:c r="Y329" s="83" t="str">
        <x:v>Proposed</x:v>
      </x:c>
      <x:c r="Z329" s="83" t="str">
        <x:v>Ready after user approval</x:v>
      </x:c>
      <x:c r="AA329" s="83" t="str">
        <x:v>Duration 4h; share derived from observed aggregate duration near 2.4h.</x:v>
      </x:c>
    </x:row>
    <x:row r="330">
      <x:c r="A330" s="83" t="str">
        <x:v>S4-00326</x:v>
      </x:c>
      <x:c r="B330" s="83" t="str">
        <x:v>IT2040_ALT_SLOW</x:v>
      </x:c>
      <x:c r="C330" s="83" t="n">
        <x:v>2040</x:v>
      </x:c>
      <x:c r="D330" s="83" t="str">
        <x:v>Storage power</x:v>
      </x:c>
      <x:c r="E330" s="83" t="str">
        <x:v>IT_SUD</x:v>
      </x:c>
      <x:c r="F330" s="83" t="str">
        <x:v>SUD</x:v>
      </x:c>
      <x:c r="G330" s="83" t="str">
        <x:v>Small Scale</x:v>
      </x:c>
      <x:c r="H330" s="83" t="str">
        <x:v>Small-scale 4h power</x:v>
      </x:c>
      <x:c r="I330" s="83" t="str">
        <x:v>battery</x:v>
      </x:c>
      <x:c r="J330" s="83" t="str">
        <x:v>Link</x:v>
      </x:c>
      <x:c r="K330" s="83" t="str">
        <x:v>p_nom</x:v>
      </x:c>
      <x:c r="L330" s="279" t="n">
        <x:v>0.06666666666666667</x:v>
      </x:c>
      <x:c r="M330" s="279" t="str">
        <x:v>GW</x:v>
      </x:c>
      <x:c r="N330" s="279" t="n">
        <x:f>IF(L330="","",IF(M330="GW",L330*1000,IF(M330="GWh",L330*1000,IF(M330="TWh",L330*1000000,L330))))</x:f>
        <x:v>66.66666666666667</x:v>
      </x:c>
      <x:c r="O330" s="83" t="str">
        <x:f>IF(L330="","",IF(M330="GW","MW",IF(OR(M330="GWh",M330="TWh"),"MWh",M330)))</x:f>
        <x:v>MW</x:v>
      </x:c>
      <x:c r="P330" s="83" t="str"/>
      <x:c r="Q330" s="349"/>
      <x:c r="R330" s="349" t="str">
        <x:f>IF(L330="","",IF(Q330&lt;&gt;"",L330*Q330,IF(OR(ISNUMBER(SEARCH("EUR2025",M330&amp;"")),P330=2025,P330="2025"),L330,"")))</x:f>
      </x:c>
      <x:c r="S330" s="83" t="str">
        <x:v>C — Derived</x:v>
      </x:c>
      <x:c r="T330" s="83" t="str">
        <x:v>Energy / 4 h.</x:v>
      </x:c>
      <x:c r="U330" s="83" t="str">
        <x:v>S09 / S01</x:v>
      </x:c>
      <x:c r="V330" s="83" t="str">
        <x:v>DDS Table 16 + harmonisation</x:v>
      </x:c>
      <x:c r="W330" s="120"/>
      <x:c r="X330" s="83" t="str">
        <x:v>C — Derived</x:v>
      </x:c>
      <x:c r="Y330" s="83" t="str">
        <x:v>Proposed</x:v>
      </x:c>
      <x:c r="Z330" s="83" t="str">
        <x:v>Ready after user approval</x:v>
      </x:c>
      <x:c r="AA330" s="83"/>
    </x:row>
    <x:row r="331">
      <x:c r="A331" s="83" t="str">
        <x:v>S4-00327</x:v>
      </x:c>
      <x:c r="B331" s="83" t="str">
        <x:v>IT2040_ALT_SLOW</x:v>
      </x:c>
      <x:c r="C331" s="83" t="n">
        <x:v>2040</x:v>
      </x:c>
      <x:c r="D331" s="83" t="str">
        <x:v>Storage</x:v>
      </x:c>
      <x:c r="E331" s="83" t="str">
        <x:v>IT_SUD</x:v>
      </x:c>
      <x:c r="F331" s="83" t="str">
        <x:v>SUD</x:v>
      </x:c>
      <x:c r="G331" s="83" t="str">
        <x:v>Utility Scale incl. MACSE</x:v>
      </x:c>
      <x:c r="H331" s="83" t="str">
        <x:v>Battery utility 8h</x:v>
      </x:c>
      <x:c r="I331" s="83" t="str">
        <x:v>battery</x:v>
      </x:c>
      <x:c r="J331" s="83" t="str">
        <x:v>Store + Links</x:v>
      </x:c>
      <x:c r="K331" s="83" t="str">
        <x:v>e_nom</x:v>
      </x:c>
      <x:c r="L331" s="279" t="n">
        <x:v>27.7</x:v>
      </x:c>
      <x:c r="M331" s="279" t="str">
        <x:v>GWh</x:v>
      </x:c>
      <x:c r="N331" s="279" t="n">
        <x:f>IF(L331="","",IF(M331="GW",L331*1000,IF(M331="GWh",L331*1000,IF(M331="TWh",L331*1000000,L331))))</x:f>
        <x:v>27700</x:v>
      </x:c>
      <x:c r="O331" s="83" t="str">
        <x:f>IF(L331="","",IF(M331="GW","MW",IF(OR(M331="GWh",M331="TWh"),"MWh",M331)))</x:f>
        <x:v>MWh</x:v>
      </x:c>
      <x:c r="P331" s="83" t="str"/>
      <x:c r="Q331" s="349"/>
      <x:c r="R331" s="349" t="str">
        <x:f>IF(L331="","",IF(Q331&lt;&gt;"",L331*Q331,IF(OR(ISNUMBER(SEARCH("EUR2025",M331&amp;"")),P331=2025,P331="2025"),L331,"")))</x:f>
      </x:c>
      <x:c r="S331" s="83" t="str">
        <x:v>A/C — Direct total; procurement subset identified</x:v>
      </x:c>
      <x:c r="T331" s="83" t="str">
        <x:v>DDS utility-scale total retained. A 42 GWh MACSE procurement portfolio is identified inside this total and is not added again.</x:v>
      </x:c>
      <x:c r="U331" s="83" t="str">
        <x:v>S09 + TERNA_MACSE_2028 + TERNA_MACSE_2029 + USER_DECISION</x:v>
      </x:c>
      <x:c r="V331" s="83" t="str">
        <x:v>DDS Table 16; 10 GWh MACSE 2028; 16 GWh 2029; 32 GWh available across the next two auctions</x:v>
      </x:c>
      <x:c r="W331" s="120" t="str">
        <x:v>https://www.terna.it/it/media/comunicati-stampa/dettaglio/conclusa-prima-asta-macse; https://download.terna.it/terna/Fabbisogno_di_nuova_capacita_di_stoccaggio_al_2029_8debcba830a85f3.pdf</x:v>
      </x:c>
      <x:c r="X331" s="83" t="str">
        <x:v>B/C — 26 GWh official; final 16 GWh planning tranche revisable</x:v>
      </x:c>
      <x:c r="Y331" s="83" t="str">
        <x:v>APPROVED total with MACSE subset</x:v>
      </x:c>
      <x:c r="Z331" s="83" t="str">
        <x:v>Ready when profiles/base network are available</x:v>
      </x:c>
      <x:c r="AA331" s="83" t="str">
        <x:v>MACSE path: 10 + 16 + 16 = 42 GWh. The final 16 GWh is an explicit scenario assumption based on Terna's 32 GWh quantity for the next two auctions.</x:v>
      </x:c>
    </x:row>
    <x:row r="332">
      <x:c r="A332" s="83" t="str">
        <x:v>S4-00328</x:v>
      </x:c>
      <x:c r="B332" s="83" t="str">
        <x:v>IT2040_ALT_SLOW</x:v>
      </x:c>
      <x:c r="C332" s="83" t="n">
        <x:v>2040</x:v>
      </x:c>
      <x:c r="D332" s="83" t="str">
        <x:v>Storage power</x:v>
      </x:c>
      <x:c r="E332" s="83" t="str">
        <x:v>IT_SUD</x:v>
      </x:c>
      <x:c r="F332" s="83" t="str">
        <x:v>SUD</x:v>
      </x:c>
      <x:c r="G332" s="83" t="str">
        <x:v>Utility Scale incl. MACSE</x:v>
      </x:c>
      <x:c r="H332" s="83" t="str">
        <x:v>Battery utility 8h power</x:v>
      </x:c>
      <x:c r="I332" s="83" t="str">
        <x:v>battery</x:v>
      </x:c>
      <x:c r="J332" s="83" t="str">
        <x:v>Link</x:v>
      </x:c>
      <x:c r="K332" s="83" t="str">
        <x:v>p_nom</x:v>
      </x:c>
      <x:c r="L332" s="279" t="n">
        <x:v>3.4625</x:v>
      </x:c>
      <x:c r="M332" s="279" t="str">
        <x:v>GW</x:v>
      </x:c>
      <x:c r="N332" s="279" t="n">
        <x:f>IF(L332="","",IF(M332="GW",L332*1000,IF(M332="GWh",L332*1000,IF(M332="TWh",L332*1000000,L332))))</x:f>
        <x:v>3462.5</x:v>
      </x:c>
      <x:c r="O332" s="83" t="str">
        <x:f>IF(L332="","",IF(M332="GW","MW",IF(OR(M332="GWh",M332="TWh"),"MWh",M332)))</x:f>
        <x:v>MW</x:v>
      </x:c>
      <x:c r="P332" s="83" t="str"/>
      <x:c r="Q332" s="349"/>
      <x:c r="R332" s="349" t="str">
        <x:f>IF(L332="","",IF(Q332&lt;&gt;"",L332*Q332,IF(OR(ISNUMBER(SEARCH("EUR2025",M332&amp;"")),P332=2025,P332="2025"),L332,"")))</x:f>
      </x:c>
      <x:c r="S332" s="83" t="str">
        <x:v>B — Derived</x:v>
      </x:c>
      <x:c r="T332" s="83" t="str">
        <x:v>e_nom / 8h.</x:v>
      </x:c>
      <x:c r="U332" s="83" t="str">
        <x:v>S09 + TERNA_MACSE + USER_DECISION</x:v>
      </x:c>
      <x:c r="V332" s="83" t="str">
        <x:v>Utility-scale 8h duration; MACSE subset 42 GWh / 5.25 GW</x:v>
      </x:c>
      <x:c r="W332" s="120" t="str">
        <x:v>https://www.terna.it/it/media/comunicati-stampa/dettaglio/conclusa-prima-asta-macse; https://download.terna.it/terna/Fabbisogno_di_nuova_capacita_di_stoccaggio_al_2029_8debcba830a85f3.pdf</x:v>
      </x:c>
      <x:c r="X332" s="83" t="str">
        <x:v>B — Derived</x:v>
      </x:c>
      <x:c r="Y332" s="83" t="str">
        <x:v>APPROVED total with MACSE subset</x:v>
      </x:c>
      <x:c r="Z332" s="83" t="str">
        <x:v>Ready when profiles/base network are available</x:v>
      </x:c>
      <x:c r="AA332" s="83" t="str">
        <x:v>The 42 GWh MACSE subset corresponds to 5.25 GW at 8h and remains embedded within total utility-scale power.</x:v>
      </x:c>
    </x:row>
    <x:row r="333">
      <x:c r="A333" s="83" t="str">
        <x:v>S4-00329</x:v>
      </x:c>
      <x:c r="B333" s="83" t="str">
        <x:v>IT2040_ALT_SLOW</x:v>
      </x:c>
      <x:c r="C333" s="83" t="n">
        <x:v>2040</x:v>
      </x:c>
      <x:c r="D333" s="83" t="str">
        <x:v>Storage</x:v>
      </x:c>
      <x:c r="E333" s="83" t="str">
        <x:v>IT_SUD</x:v>
      </x:c>
      <x:c r="F333" s="83" t="str">
        <x:v>SUD</x:v>
      </x:c>
      <x:c r="G333" s="83" t="str">
        <x:v>CM</x:v>
      </x:c>
      <x:c r="H333" s="83" t="str">
        <x:v>Capacity Market battery</x:v>
      </x:c>
      <x:c r="I333" s="83" t="str">
        <x:v>battery</x:v>
      </x:c>
      <x:c r="J333" s="83" t="str">
        <x:v>Store + Links</x:v>
      </x:c>
      <x:c r="K333" s="83" t="str">
        <x:v>e_nom</x:v>
      </x:c>
      <x:c r="L333" s="279" t="n">
        <x:v>0.1</x:v>
      </x:c>
      <x:c r="M333" s="279" t="str">
        <x:v>GWh</x:v>
      </x:c>
      <x:c r="N333" s="279" t="n">
        <x:f>IF(L333="","",IF(M333="GW",L333*1000,IF(M333="GWh",L333*1000,IF(M333="TWh",L333*1000000,L333))))</x:f>
        <x:v>100</x:v>
      </x:c>
      <x:c r="O333" s="83" t="str">
        <x:f>IF(L333="","",IF(M333="GW","MW",IF(OR(M333="GWh",M333="TWh"),"MWh",M333)))</x:f>
        <x:v>MWh</x:v>
      </x:c>
      <x:c r="P333" s="83" t="str"/>
      <x:c r="Q333" s="349"/>
      <x:c r="R333" s="349" t="str">
        <x:f>IF(L333="","",IF(Q333&lt;&gt;"",L333*Q333,IF(OR(ISNUMBER(SEARCH("EUR2025",M333&amp;"")),P333=2025,P333="2025"),L333,"")))</x:f>
      </x:c>
      <x:c r="S333" s="83" t="str">
        <x:v>A — Direct</x:v>
      </x:c>
      <x:c r="T333" s="83" t="str">
        <x:v>Direct zonal energy; duration harmonised separately.</x:v>
      </x:c>
      <x:c r="U333" s="83" t="str">
        <x:v>S09</x:v>
      </x:c>
      <x:c r="V333" s="83" t="str">
        <x:v>DDS Tabella 16</x:v>
      </x:c>
      <x:c r="W333" s="120"/>
      <x:c r="X333" s="83" t="str">
        <x:v>A — Direct</x:v>
      </x:c>
      <x:c r="Y333" s="83" t="str">
        <x:v>APPROVED direct energy; separate from MACSE</x:v>
      </x:c>
      <x:c r="Z333" s="83" t="str">
        <x:v>Ready when profiles/base network are available</x:v>
      </x:c>
      <x:c r="AA333" s="83" t="str">
        <x:v>Capacity Market energy retained from DDS. It is not the 42 GWh MACSE portfolio.</x:v>
      </x:c>
    </x:row>
    <x:row r="334">
      <x:c r="A334" s="83" t="str">
        <x:v>S4-00330</x:v>
      </x:c>
      <x:c r="B334" s="83" t="str">
        <x:v>IT2040_ALT_SLOW</x:v>
      </x:c>
      <x:c r="C334" s="83" t="n">
        <x:v>2040</x:v>
      </x:c>
      <x:c r="D334" s="83" t="str">
        <x:v>Storage power</x:v>
      </x:c>
      <x:c r="E334" s="83" t="str">
        <x:v>IT_SUD</x:v>
      </x:c>
      <x:c r="F334" s="83" t="str">
        <x:v>SUD</x:v>
      </x:c>
      <x:c r="G334" s="83" t="str">
        <x:v>CM</x:v>
      </x:c>
      <x:c r="H334" s="83" t="str">
        <x:v>Capacity Market battery power</x:v>
      </x:c>
      <x:c r="I334" s="83" t="str">
        <x:v>battery</x:v>
      </x:c>
      <x:c r="J334" s="83" t="str">
        <x:v>Link</x:v>
      </x:c>
      <x:c r="K334" s="83" t="str">
        <x:v>p_nom</x:v>
      </x:c>
      <x:c r="L334" s="279" t="n">
        <x:v>0.025</x:v>
      </x:c>
      <x:c r="M334" s="279" t="str">
        <x:v>GW</x:v>
      </x:c>
      <x:c r="N334" s="279" t="n">
        <x:f>IF(L334="","",IF(M334="GW",L334*1000,IF(M334="GWh",L334*1000,IF(M334="TWh",L334*1000000,L334))))</x:f>
        <x:v>25</x:v>
      </x:c>
      <x:c r="O334" s="83" t="str">
        <x:f>IF(L334="","",IF(M334="GW","MW",IF(OR(M334="GWh",M334="TWh"),"MWh",M334)))</x:f>
        <x:v>MW</x:v>
      </x:c>
      <x:c r="P334" s="83" t="str"/>
      <x:c r="Q334" s="349"/>
      <x:c r="R334" s="349" t="str">
        <x:f>IF(L334="","",IF(Q334&lt;&gt;"",L334*Q334,IF(OR(ISNUMBER(SEARCH("EUR2025",M334&amp;"")),P334=2025,P334="2025"),L334,"")))</x:f>
      </x:c>
      <x:c r="S334" s="83" t="str">
        <x:v>C — Assumed</x:v>
      </x:c>
      <x:c r="T334" s="83" t="str">
        <x:v>Capacity Market energy divided by the approved 4-hour duration.</x:v>
      </x:c>
      <x:c r="U334" s="83" t="str">
        <x:v>S09 + TERNA_RAI2025 + USER_DECISION</x:v>
      </x:c>
      <x:c r="V334" s="83" t="str">
        <x:v>DDS Table 16; Terna RAI 2025 §2.1.4</x:v>
      </x:c>
      <x:c r="W334" s="120" t="str">
        <x:v>https://download.terna.it/terna/Rapporto_Adeguatezza_Italia_2025_8de802607202dd6.pdf</x:v>
      </x:c>
      <x:c r="X334" s="83" t="str">
        <x:v>C — Assumed</x:v>
      </x:c>
      <x:c r="Y334" s="83" t="str">
        <x:v>APPROVED 4h derivation</x:v>
      </x:c>
      <x:c r="Z334" s="83" t="str">
        <x:v>Ready after user approval</x:v>
      </x:c>
      <x:c r="AA334" s="83" t="str">
        <x:v>Capacity Market remains a separate 4h class; no MACSE reclassification.</x:v>
      </x:c>
    </x:row>
    <x:row r="335">
      <x:c r="A335" s="83" t="str">
        <x:v>S4-00331</x:v>
      </x:c>
      <x:c r="B335" s="83" t="str">
        <x:v>IT2040_ALT_SLOW</x:v>
      </x:c>
      <x:c r="C335" s="83" t="n">
        <x:v>2040</x:v>
      </x:c>
      <x:c r="D335" s="83" t="str">
        <x:v>Storage</x:v>
      </x:c>
      <x:c r="E335" s="83" t="str">
        <x:v>IT_CALA</x:v>
      </x:c>
      <x:c r="F335" s="83" t="str">
        <x:v>CALA</x:v>
      </x:c>
      <x:c r="G335" s="83" t="str">
        <x:v>Small Scale</x:v>
      </x:c>
      <x:c r="H335" s="83" t="str">
        <x:v>Small-scale 2h</x:v>
      </x:c>
      <x:c r="I335" s="83" t="str">
        <x:v>battery</x:v>
      </x:c>
      <x:c r="J335" s="83" t="str">
        <x:v>Store + Links</x:v>
      </x:c>
      <x:c r="K335" s="83" t="str">
        <x:v>e_nom</x:v>
      </x:c>
      <x:c r="L335" s="279" t="n">
        <x:v>0.26666666666666666</x:v>
      </x:c>
      <x:c r="M335" s="279" t="str">
        <x:v>GWh</x:v>
      </x:c>
      <x:c r="N335" s="279" t="n">
        <x:f>IF(L335="","",IF(M335="GW",L335*1000,IF(M335="GWh",L335*1000,IF(M335="TWh",L335*1000000,L335))))</x:f>
        <x:v>266.6666666666667</x:v>
      </x:c>
      <x:c r="O335" s="83" t="str">
        <x:f>IF(L335="","",IF(M335="GW","MW",IF(OR(M335="GWh",M335="TWh"),"MWh",M335)))</x:f>
        <x:v>MWh</x:v>
      </x:c>
      <x:c r="P335" s="83" t="str"/>
      <x:c r="Q335" s="349"/>
      <x:c r="R335" s="349" t="str">
        <x:f>IF(L335="","",IF(Q335&lt;&gt;"",L335*Q335,IF(OR(ISNUMBER(SEARCH("EUR2025",M335&amp;"")),P335=2025,P335="2025"),L335,"")))</x:f>
      </x:c>
      <x:c r="S335" s="83" t="str">
        <x:v>C — Distributed assumption</x:v>
      </x:c>
      <x:c r="T335" s="83" t="str">
        <x:v>Split direct zonal energy 67%/33% between 2h/4h classes; p_nom=e_nom/2.</x:v>
      </x:c>
      <x:c r="U335" s="83" t="str">
        <x:v>S09 / S01</x:v>
      </x:c>
      <x:c r="V335" s="83" t="str">
        <x:v>DDS Table 16; 2025 observed portfolio duration</x:v>
      </x:c>
      <x:c r="W335" s="120"/>
      <x:c r="X335" s="83" t="str">
        <x:v>C — Assumed split</x:v>
      </x:c>
      <x:c r="Y335" s="83" t="str">
        <x:v>Proposed</x:v>
      </x:c>
      <x:c r="Z335" s="83" t="str">
        <x:v>Ready after user approval</x:v>
      </x:c>
      <x:c r="AA335" s="83" t="str">
        <x:v>Duration 2h; share derived from observed aggregate duration near 2.4h.</x:v>
      </x:c>
    </x:row>
    <x:row r="336">
      <x:c r="A336" s="83" t="str">
        <x:v>S4-00332</x:v>
      </x:c>
      <x:c r="B336" s="83" t="str">
        <x:v>IT2040_ALT_SLOW</x:v>
      </x:c>
      <x:c r="C336" s="83" t="n">
        <x:v>2040</x:v>
      </x:c>
      <x:c r="D336" s="83" t="str">
        <x:v>Storage power</x:v>
      </x:c>
      <x:c r="E336" s="83" t="str">
        <x:v>IT_CALA</x:v>
      </x:c>
      <x:c r="F336" s="83" t="str">
        <x:v>CALA</x:v>
      </x:c>
      <x:c r="G336" s="83" t="str">
        <x:v>Small Scale</x:v>
      </x:c>
      <x:c r="H336" s="83" t="str">
        <x:v>Small-scale 2h power</x:v>
      </x:c>
      <x:c r="I336" s="83" t="str">
        <x:v>battery</x:v>
      </x:c>
      <x:c r="J336" s="83" t="str">
        <x:v>Link</x:v>
      </x:c>
      <x:c r="K336" s="83" t="str">
        <x:v>p_nom</x:v>
      </x:c>
      <x:c r="L336" s="279" t="n">
        <x:v>0.13333333333333333</x:v>
      </x:c>
      <x:c r="M336" s="279" t="str">
        <x:v>GW</x:v>
      </x:c>
      <x:c r="N336" s="279" t="n">
        <x:f>IF(L336="","",IF(M336="GW",L336*1000,IF(M336="GWh",L336*1000,IF(M336="TWh",L336*1000000,L336))))</x:f>
        <x:v>133.33333333333334</x:v>
      </x:c>
      <x:c r="O336" s="83" t="str">
        <x:f>IF(L336="","",IF(M336="GW","MW",IF(OR(M336="GWh",M336="TWh"),"MWh",M336)))</x:f>
        <x:v>MW</x:v>
      </x:c>
      <x:c r="P336" s="83" t="str"/>
      <x:c r="Q336" s="349"/>
      <x:c r="R336" s="349" t="str">
        <x:f>IF(L336="","",IF(Q336&lt;&gt;"",L336*Q336,IF(OR(ISNUMBER(SEARCH("EUR2025",M336&amp;"")),P336=2025,P336="2025"),L336,"")))</x:f>
      </x:c>
      <x:c r="S336" s="83" t="str">
        <x:v>C — Derived</x:v>
      </x:c>
      <x:c r="T336" s="83" t="str">
        <x:v>Energy / 2 h.</x:v>
      </x:c>
      <x:c r="U336" s="83" t="str">
        <x:v>S09 / S01</x:v>
      </x:c>
      <x:c r="V336" s="83" t="str">
        <x:v>DDS Table 16 + harmonisation</x:v>
      </x:c>
      <x:c r="W336" s="120"/>
      <x:c r="X336" s="83" t="str">
        <x:v>C — Derived</x:v>
      </x:c>
      <x:c r="Y336" s="83" t="str">
        <x:v>Proposed</x:v>
      </x:c>
      <x:c r="Z336" s="83" t="str">
        <x:v>Ready after user approval</x:v>
      </x:c>
      <x:c r="AA336" s="83"/>
    </x:row>
    <x:row r="337">
      <x:c r="A337" s="83" t="str">
        <x:v>S4-00333</x:v>
      </x:c>
      <x:c r="B337" s="83" t="str">
        <x:v>IT2040_ALT_SLOW</x:v>
      </x:c>
      <x:c r="C337" s="83" t="n">
        <x:v>2040</x:v>
      </x:c>
      <x:c r="D337" s="83" t="str">
        <x:v>Storage</x:v>
      </x:c>
      <x:c r="E337" s="83" t="str">
        <x:v>IT_CALA</x:v>
      </x:c>
      <x:c r="F337" s="83" t="str">
        <x:v>CALA</x:v>
      </x:c>
      <x:c r="G337" s="83" t="str">
        <x:v>Small Scale</x:v>
      </x:c>
      <x:c r="H337" s="83" t="str">
        <x:v>Small-scale 4h</x:v>
      </x:c>
      <x:c r="I337" s="83" t="str">
        <x:v>battery</x:v>
      </x:c>
      <x:c r="J337" s="83" t="str">
        <x:v>Store + Links</x:v>
      </x:c>
      <x:c r="K337" s="83" t="str">
        <x:v>e_nom</x:v>
      </x:c>
      <x:c r="L337" s="279" t="n">
        <x:v>0.13333333333333333</x:v>
      </x:c>
      <x:c r="M337" s="279" t="str">
        <x:v>GWh</x:v>
      </x:c>
      <x:c r="N337" s="279" t="n">
        <x:f>IF(L337="","",IF(M337="GW",L337*1000,IF(M337="GWh",L337*1000,IF(M337="TWh",L337*1000000,L337))))</x:f>
        <x:v>133.33333333333334</x:v>
      </x:c>
      <x:c r="O337" s="83" t="str">
        <x:f>IF(L337="","",IF(M337="GW","MW",IF(OR(M337="GWh",M337="TWh"),"MWh",M337)))</x:f>
        <x:v>MWh</x:v>
      </x:c>
      <x:c r="P337" s="83" t="str"/>
      <x:c r="Q337" s="349"/>
      <x:c r="R337" s="349" t="str">
        <x:f>IF(L337="","",IF(Q337&lt;&gt;"",L337*Q337,IF(OR(ISNUMBER(SEARCH("EUR2025",M337&amp;"")),P337=2025,P337="2025"),L337,"")))</x:f>
      </x:c>
      <x:c r="S337" s="83" t="str">
        <x:v>C — Distributed assumption</x:v>
      </x:c>
      <x:c r="T337" s="83" t="str">
        <x:v>Split direct zonal energy 67%/33% between 2h/4h classes; p_nom=e_nom/4.</x:v>
      </x:c>
      <x:c r="U337" s="83" t="str">
        <x:v>S09 / S01</x:v>
      </x:c>
      <x:c r="V337" s="83" t="str">
        <x:v>DDS Table 16; 2025 observed portfolio duration</x:v>
      </x:c>
      <x:c r="W337" s="120"/>
      <x:c r="X337" s="83" t="str">
        <x:v>C — Assumed split</x:v>
      </x:c>
      <x:c r="Y337" s="83" t="str">
        <x:v>Proposed</x:v>
      </x:c>
      <x:c r="Z337" s="83" t="str">
        <x:v>Ready after user approval</x:v>
      </x:c>
      <x:c r="AA337" s="83" t="str">
        <x:v>Duration 4h; share derived from observed aggregate duration near 2.4h.</x:v>
      </x:c>
    </x:row>
    <x:row r="338">
      <x:c r="A338" s="83" t="str">
        <x:v>S4-00334</x:v>
      </x:c>
      <x:c r="B338" s="83" t="str">
        <x:v>IT2040_ALT_SLOW</x:v>
      </x:c>
      <x:c r="C338" s="83" t="n">
        <x:v>2040</x:v>
      </x:c>
      <x:c r="D338" s="83" t="str">
        <x:v>Storage power</x:v>
      </x:c>
      <x:c r="E338" s="83" t="str">
        <x:v>IT_CALA</x:v>
      </x:c>
      <x:c r="F338" s="83" t="str">
        <x:v>CALA</x:v>
      </x:c>
      <x:c r="G338" s="83" t="str">
        <x:v>Small Scale</x:v>
      </x:c>
      <x:c r="H338" s="83" t="str">
        <x:v>Small-scale 4h power</x:v>
      </x:c>
      <x:c r="I338" s="83" t="str">
        <x:v>battery</x:v>
      </x:c>
      <x:c r="J338" s="83" t="str">
        <x:v>Link</x:v>
      </x:c>
      <x:c r="K338" s="83" t="str">
        <x:v>p_nom</x:v>
      </x:c>
      <x:c r="L338" s="279" t="n">
        <x:v>0.03333333333333333</x:v>
      </x:c>
      <x:c r="M338" s="279" t="str">
        <x:v>GW</x:v>
      </x:c>
      <x:c r="N338" s="279" t="n">
        <x:f>IF(L338="","",IF(M338="GW",L338*1000,IF(M338="GWh",L338*1000,IF(M338="TWh",L338*1000000,L338))))</x:f>
        <x:v>33.333333333333336</x:v>
      </x:c>
      <x:c r="O338" s="83" t="str">
        <x:f>IF(L338="","",IF(M338="GW","MW",IF(OR(M338="GWh",M338="TWh"),"MWh",M338)))</x:f>
        <x:v>MW</x:v>
      </x:c>
      <x:c r="P338" s="83" t="str"/>
      <x:c r="Q338" s="349"/>
      <x:c r="R338" s="349" t="str">
        <x:f>IF(L338="","",IF(Q338&lt;&gt;"",L338*Q338,IF(OR(ISNUMBER(SEARCH("EUR2025",M338&amp;"")),P338=2025,P338="2025"),L338,"")))</x:f>
      </x:c>
      <x:c r="S338" s="83" t="str">
        <x:v>C — Derived</x:v>
      </x:c>
      <x:c r="T338" s="83" t="str">
        <x:v>Energy / 4 h.</x:v>
      </x:c>
      <x:c r="U338" s="83" t="str">
        <x:v>S09 / S01</x:v>
      </x:c>
      <x:c r="V338" s="83" t="str">
        <x:v>DDS Table 16 + harmonisation</x:v>
      </x:c>
      <x:c r="W338" s="120"/>
      <x:c r="X338" s="83" t="str">
        <x:v>C — Derived</x:v>
      </x:c>
      <x:c r="Y338" s="83" t="str">
        <x:v>Proposed</x:v>
      </x:c>
      <x:c r="Z338" s="83" t="str">
        <x:v>Ready after user approval</x:v>
      </x:c>
      <x:c r="AA338" s="83"/>
    </x:row>
    <x:row r="339">
      <x:c r="A339" s="83" t="str">
        <x:v>S4-00335</x:v>
      </x:c>
      <x:c r="B339" s="83" t="str">
        <x:v>IT2040_ALT_SLOW</x:v>
      </x:c>
      <x:c r="C339" s="83" t="n">
        <x:v>2040</x:v>
      </x:c>
      <x:c r="D339" s="83" t="str">
        <x:v>Storage</x:v>
      </x:c>
      <x:c r="E339" s="83" t="str">
        <x:v>IT_CALA</x:v>
      </x:c>
      <x:c r="F339" s="83" t="str">
        <x:v>CALA</x:v>
      </x:c>
      <x:c r="G339" s="83" t="str">
        <x:v>Utility Scale incl. MACSE</x:v>
      </x:c>
      <x:c r="H339" s="83" t="str">
        <x:v>Battery utility 8h</x:v>
      </x:c>
      <x:c r="I339" s="83" t="str">
        <x:v>battery</x:v>
      </x:c>
      <x:c r="J339" s="83" t="str">
        <x:v>Store + Links</x:v>
      </x:c>
      <x:c r="K339" s="83" t="str">
        <x:v>e_nom</x:v>
      </x:c>
      <x:c r="L339" s="279" t="n">
        <x:v>9.6</x:v>
      </x:c>
      <x:c r="M339" s="279" t="str">
        <x:v>GWh</x:v>
      </x:c>
      <x:c r="N339" s="279" t="n">
        <x:f>IF(L339="","",IF(M339="GW",L339*1000,IF(M339="GWh",L339*1000,IF(M339="TWh",L339*1000000,L339))))</x:f>
        <x:v>9600</x:v>
      </x:c>
      <x:c r="O339" s="83" t="str">
        <x:f>IF(L339="","",IF(M339="GW","MW",IF(OR(M339="GWh",M339="TWh"),"MWh",M339)))</x:f>
        <x:v>MWh</x:v>
      </x:c>
      <x:c r="P339" s="83" t="str"/>
      <x:c r="Q339" s="349"/>
      <x:c r="R339" s="349" t="str">
        <x:f>IF(L339="","",IF(Q339&lt;&gt;"",L339*Q339,IF(OR(ISNUMBER(SEARCH("EUR2025",M339&amp;"")),P339=2025,P339="2025"),L339,"")))</x:f>
      </x:c>
      <x:c r="S339" s="83" t="str">
        <x:v>A/C — Direct total; procurement subset identified</x:v>
      </x:c>
      <x:c r="T339" s="83" t="str">
        <x:v>DDS utility-scale total retained. A 42 GWh MACSE procurement portfolio is identified inside this total and is not added again.</x:v>
      </x:c>
      <x:c r="U339" s="83" t="str">
        <x:v>S09 + TERNA_MACSE_2028 + TERNA_MACSE_2029 + USER_DECISION</x:v>
      </x:c>
      <x:c r="V339" s="83" t="str">
        <x:v>DDS Table 16; 10 GWh MACSE 2028; 16 GWh 2029; 32 GWh available across the next two auctions</x:v>
      </x:c>
      <x:c r="W339" s="120" t="str">
        <x:v>https://www.terna.it/it/media/comunicati-stampa/dettaglio/conclusa-prima-asta-macse; https://download.terna.it/terna/Fabbisogno_di_nuova_capacita_di_stoccaggio_al_2029_8debcba830a85f3.pdf</x:v>
      </x:c>
      <x:c r="X339" s="83" t="str">
        <x:v>B/C — 26 GWh official; final 16 GWh planning tranche revisable</x:v>
      </x:c>
      <x:c r="Y339" s="83" t="str">
        <x:v>APPROVED total with MACSE subset</x:v>
      </x:c>
      <x:c r="Z339" s="83" t="str">
        <x:v>Ready when profiles/base network are available</x:v>
      </x:c>
      <x:c r="AA339" s="83" t="str">
        <x:v>MACSE path: 10 + 16 + 16 = 42 GWh. The final 16 GWh is an explicit scenario assumption based on Terna's 32 GWh quantity for the next two auctions.</x:v>
      </x:c>
    </x:row>
    <x:row r="340">
      <x:c r="A340" s="83" t="str">
        <x:v>S4-00336</x:v>
      </x:c>
      <x:c r="B340" s="83" t="str">
        <x:v>IT2040_ALT_SLOW</x:v>
      </x:c>
      <x:c r="C340" s="83" t="n">
        <x:v>2040</x:v>
      </x:c>
      <x:c r="D340" s="83" t="str">
        <x:v>Storage power</x:v>
      </x:c>
      <x:c r="E340" s="83" t="str">
        <x:v>IT_CALA</x:v>
      </x:c>
      <x:c r="F340" s="83" t="str">
        <x:v>CALA</x:v>
      </x:c>
      <x:c r="G340" s="83" t="str">
        <x:v>Utility Scale incl. MACSE</x:v>
      </x:c>
      <x:c r="H340" s="83" t="str">
        <x:v>Battery utility 8h power</x:v>
      </x:c>
      <x:c r="I340" s="83" t="str">
        <x:v>battery</x:v>
      </x:c>
      <x:c r="J340" s="83" t="str">
        <x:v>Link</x:v>
      </x:c>
      <x:c r="K340" s="83" t="str">
        <x:v>p_nom</x:v>
      </x:c>
      <x:c r="L340" s="279" t="n">
        <x:v>1.2</x:v>
      </x:c>
      <x:c r="M340" s="279" t="str">
        <x:v>GW</x:v>
      </x:c>
      <x:c r="N340" s="279" t="n">
        <x:f>IF(L340="","",IF(M340="GW",L340*1000,IF(M340="GWh",L340*1000,IF(M340="TWh",L340*1000000,L340))))</x:f>
        <x:v>1200</x:v>
      </x:c>
      <x:c r="O340" s="83" t="str">
        <x:f>IF(L340="","",IF(M340="GW","MW",IF(OR(M340="GWh",M340="TWh"),"MWh",M340)))</x:f>
        <x:v>MW</x:v>
      </x:c>
      <x:c r="P340" s="83" t="str"/>
      <x:c r="Q340" s="349"/>
      <x:c r="R340" s="349" t="str">
        <x:f>IF(L340="","",IF(Q340&lt;&gt;"",L340*Q340,IF(OR(ISNUMBER(SEARCH("EUR2025",M340&amp;"")),P340=2025,P340="2025"),L340,"")))</x:f>
      </x:c>
      <x:c r="S340" s="83" t="str">
        <x:v>B — Derived</x:v>
      </x:c>
      <x:c r="T340" s="83" t="str">
        <x:v>e_nom / 8h.</x:v>
      </x:c>
      <x:c r="U340" s="83" t="str">
        <x:v>S09 + TERNA_MACSE + USER_DECISION</x:v>
      </x:c>
      <x:c r="V340" s="83" t="str">
        <x:v>Utility-scale 8h duration; MACSE subset 42 GWh / 5.25 GW</x:v>
      </x:c>
      <x:c r="W340" s="120" t="str">
        <x:v>https://www.terna.it/it/media/comunicati-stampa/dettaglio/conclusa-prima-asta-macse; https://download.terna.it/terna/Fabbisogno_di_nuova_capacita_di_stoccaggio_al_2029_8debcba830a85f3.pdf</x:v>
      </x:c>
      <x:c r="X340" s="83" t="str">
        <x:v>B — Derived</x:v>
      </x:c>
      <x:c r="Y340" s="83" t="str">
        <x:v>APPROVED total with MACSE subset</x:v>
      </x:c>
      <x:c r="Z340" s="83" t="str">
        <x:v>Ready when profiles/base network are available</x:v>
      </x:c>
      <x:c r="AA340" s="83" t="str">
        <x:v>The 42 GWh MACSE subset corresponds to 5.25 GW at 8h and remains embedded within total utility-scale power.</x:v>
      </x:c>
    </x:row>
    <x:row r="341">
      <x:c r="A341" s="83" t="str">
        <x:v>S4-00337</x:v>
      </x:c>
      <x:c r="B341" s="83" t="str">
        <x:v>IT2040_ALT_SLOW</x:v>
      </x:c>
      <x:c r="C341" s="83" t="n">
        <x:v>2040</x:v>
      </x:c>
      <x:c r="D341" s="83" t="str">
        <x:v>Storage</x:v>
      </x:c>
      <x:c r="E341" s="83" t="str">
        <x:v>IT_CALA</x:v>
      </x:c>
      <x:c r="F341" s="83" t="str">
        <x:v>CALA</x:v>
      </x:c>
      <x:c r="G341" s="83" t="str">
        <x:v>CM</x:v>
      </x:c>
      <x:c r="H341" s="83" t="str">
        <x:v>Capacity Market battery</x:v>
      </x:c>
      <x:c r="I341" s="83" t="str">
        <x:v>battery</x:v>
      </x:c>
      <x:c r="J341" s="83" t="str">
        <x:v>Store + Links</x:v>
      </x:c>
      <x:c r="K341" s="83" t="str">
        <x:v>e_nom</x:v>
      </x:c>
      <x:c r="L341" s="279" t="n">
        <x:v>0</x:v>
      </x:c>
      <x:c r="M341" s="279" t="str">
        <x:v>GWh</x:v>
      </x:c>
      <x:c r="N341" s="279" t="str">
        <x:f>IF(L341="","",IF(M341="GW",L341*1000,IF(M341="GWh",L341*1000,IF(M341="TWh",L341*1000000,L341))))</x:f>
      </x:c>
      <x:c r="O341" s="83" t="str">
        <x:f>IF(L341="","",IF(M341="GW","MW",IF(OR(M341="GWh",M341="TWh"),"MWh",M341)))</x:f>
      </x:c>
      <x:c r="P341" s="83" t="str"/>
      <x:c r="Q341" s="349"/>
      <x:c r="R341" s="349" t="str">
        <x:f>IF(L341="","",IF(Q341&lt;&gt;"",L341*Q341,IF(OR(ISNUMBER(SEARCH("EUR2025",M341&amp;"")),P341=2025,P341="2025"),L341,"")))</x:f>
      </x:c>
      <x:c r="S341" s="83" t="str">
        <x:v>A — Direct</x:v>
      </x:c>
      <x:c r="T341" s="83" t="str">
        <x:v>Direct zonal energy; duration harmonised separately.</x:v>
      </x:c>
      <x:c r="U341" s="83" t="str">
        <x:v>S09</x:v>
      </x:c>
      <x:c r="V341" s="83" t="str">
        <x:v>DDS Tabella 16</x:v>
      </x:c>
      <x:c r="W341" s="120"/>
      <x:c r="X341" s="83" t="str">
        <x:v>A — Direct</x:v>
      </x:c>
      <x:c r="Y341" s="83" t="str">
        <x:v>APPROVED direct energy; separate from MACSE</x:v>
      </x:c>
      <x:c r="Z341" s="83" t="str">
        <x:v>Ready when profiles/base network are available</x:v>
      </x:c>
      <x:c r="AA341" s="83" t="str">
        <x:v>Capacity Market energy retained from DDS. It is not the 42 GWh MACSE portfolio.</x:v>
      </x:c>
    </x:row>
    <x:row r="342">
      <x:c r="A342" s="83" t="str">
        <x:v>S4-00338</x:v>
      </x:c>
      <x:c r="B342" s="83" t="str">
        <x:v>IT2040_ALT_SLOW</x:v>
      </x:c>
      <x:c r="C342" s="83" t="n">
        <x:v>2040</x:v>
      </x:c>
      <x:c r="D342" s="83" t="str">
        <x:v>Storage power</x:v>
      </x:c>
      <x:c r="E342" s="83" t="str">
        <x:v>IT_CALA</x:v>
      </x:c>
      <x:c r="F342" s="83" t="str">
        <x:v>CALA</x:v>
      </x:c>
      <x:c r="G342" s="83" t="str">
        <x:v>CM</x:v>
      </x:c>
      <x:c r="H342" s="83" t="str">
        <x:v>Capacity Market battery power</x:v>
      </x:c>
      <x:c r="I342" s="83" t="str">
        <x:v>battery</x:v>
      </x:c>
      <x:c r="J342" s="83" t="str">
        <x:v>Link</x:v>
      </x:c>
      <x:c r="K342" s="83" t="str">
        <x:v>p_nom</x:v>
      </x:c>
      <x:c r="L342" s="279" t="n">
        <x:v>0</x:v>
      </x:c>
      <x:c r="M342" s="279" t="str">
        <x:v>GW</x:v>
      </x:c>
      <x:c r="N342" s="279" t="str">
        <x:f>IF(L342="","",IF(M342="GW",L342*1000,IF(M342="GWh",L342*1000,IF(M342="TWh",L342*1000000,L342))))</x:f>
      </x:c>
      <x:c r="O342" s="83" t="str">
        <x:f>IF(L342="","",IF(M342="GW","MW",IF(OR(M342="GWh",M342="TWh"),"MWh",M342)))</x:f>
      </x:c>
      <x:c r="P342" s="83" t="str"/>
      <x:c r="Q342" s="349"/>
      <x:c r="R342" s="349" t="str">
        <x:f>IF(L342="","",IF(Q342&lt;&gt;"",L342*Q342,IF(OR(ISNUMBER(SEARCH("EUR2025",M342&amp;"")),P342=2025,P342="2025"),L342,"")))</x:f>
      </x:c>
      <x:c r="S342" s="83" t="str">
        <x:v>C — Assumed</x:v>
      </x:c>
      <x:c r="T342" s="83" t="str">
        <x:v>Capacity Market energy divided by the approved 4-hour duration.</x:v>
      </x:c>
      <x:c r="U342" s="83" t="str">
        <x:v>S09 + TERNA_RAI2025 + USER_DECISION</x:v>
      </x:c>
      <x:c r="V342" s="83" t="str">
        <x:v>DDS Table 16; Terna RAI 2025 §2.1.4</x:v>
      </x:c>
      <x:c r="W342" s="120" t="str">
        <x:v>https://download.terna.it/terna/Rapporto_Adeguatezza_Italia_2025_8de802607202dd6.pdf</x:v>
      </x:c>
      <x:c r="X342" s="83" t="str">
        <x:v>C — Assumed</x:v>
      </x:c>
      <x:c r="Y342" s="83" t="str">
        <x:v>APPROVED 4h derivation</x:v>
      </x:c>
      <x:c r="Z342" s="83" t="str">
        <x:v>Ready after user approval</x:v>
      </x:c>
      <x:c r="AA342" s="83" t="str">
        <x:v>Capacity Market remains a separate 4h class; no MACSE reclassification.</x:v>
      </x:c>
    </x:row>
    <x:row r="343">
      <x:c r="A343" s="83" t="str">
        <x:v>S4-00339</x:v>
      </x:c>
      <x:c r="B343" s="83" t="str">
        <x:v>IT2040_ALT_SLOW</x:v>
      </x:c>
      <x:c r="C343" s="83" t="n">
        <x:v>2040</x:v>
      </x:c>
      <x:c r="D343" s="83" t="str">
        <x:v>Storage</x:v>
      </x:c>
      <x:c r="E343" s="83" t="str">
        <x:v>IT_SICI</x:v>
      </x:c>
      <x:c r="F343" s="83" t="str">
        <x:v>SICI</x:v>
      </x:c>
      <x:c r="G343" s="83" t="str">
        <x:v>Small Scale</x:v>
      </x:c>
      <x:c r="H343" s="83" t="str">
        <x:v>Small-scale 2h</x:v>
      </x:c>
      <x:c r="I343" s="83" t="str">
        <x:v>battery</x:v>
      </x:c>
      <x:c r="J343" s="83" t="str">
        <x:v>Store + Links</x:v>
      </x:c>
      <x:c r="K343" s="83" t="str">
        <x:v>e_nom</x:v>
      </x:c>
      <x:c r="L343" s="279" t="n">
        <x:v>0.6666666666666666</x:v>
      </x:c>
      <x:c r="M343" s="279" t="str">
        <x:v>GWh</x:v>
      </x:c>
      <x:c r="N343" s="279" t="n">
        <x:f>IF(L343="","",IF(M343="GW",L343*1000,IF(M343="GWh",L343*1000,IF(M343="TWh",L343*1000000,L343))))</x:f>
        <x:v>666.6666666666666</x:v>
      </x:c>
      <x:c r="O343" s="83" t="str">
        <x:f>IF(L343="","",IF(M343="GW","MW",IF(OR(M343="GWh",M343="TWh"),"MWh",M343)))</x:f>
        <x:v>MWh</x:v>
      </x:c>
      <x:c r="P343" s="83" t="str"/>
      <x:c r="Q343" s="349"/>
      <x:c r="R343" s="349" t="str">
        <x:f>IF(L343="","",IF(Q343&lt;&gt;"",L343*Q343,IF(OR(ISNUMBER(SEARCH("EUR2025",M343&amp;"")),P343=2025,P343="2025"),L343,"")))</x:f>
      </x:c>
      <x:c r="S343" s="83" t="str">
        <x:v>C — Distributed assumption</x:v>
      </x:c>
      <x:c r="T343" s="83" t="str">
        <x:v>Split direct zonal energy 67%/33% between 2h/4h classes; p_nom=e_nom/2.</x:v>
      </x:c>
      <x:c r="U343" s="83" t="str">
        <x:v>S09 / S01</x:v>
      </x:c>
      <x:c r="V343" s="83" t="str">
        <x:v>DDS Table 16; 2025 observed portfolio duration</x:v>
      </x:c>
      <x:c r="W343" s="120"/>
      <x:c r="X343" s="83" t="str">
        <x:v>C — Assumed split</x:v>
      </x:c>
      <x:c r="Y343" s="83" t="str">
        <x:v>Proposed</x:v>
      </x:c>
      <x:c r="Z343" s="83" t="str">
        <x:v>Ready after user approval</x:v>
      </x:c>
      <x:c r="AA343" s="83" t="str">
        <x:v>Duration 2h; share derived from observed aggregate duration near 2.4h.</x:v>
      </x:c>
    </x:row>
    <x:row r="344">
      <x:c r="A344" s="83" t="str">
        <x:v>S4-00340</x:v>
      </x:c>
      <x:c r="B344" s="83" t="str">
        <x:v>IT2040_ALT_SLOW</x:v>
      </x:c>
      <x:c r="C344" s="83" t="n">
        <x:v>2040</x:v>
      </x:c>
      <x:c r="D344" s="83" t="str">
        <x:v>Storage power</x:v>
      </x:c>
      <x:c r="E344" s="83" t="str">
        <x:v>IT_SICI</x:v>
      </x:c>
      <x:c r="F344" s="83" t="str">
        <x:v>SICI</x:v>
      </x:c>
      <x:c r="G344" s="83" t="str">
        <x:v>Small Scale</x:v>
      </x:c>
      <x:c r="H344" s="83" t="str">
        <x:v>Small-scale 2h power</x:v>
      </x:c>
      <x:c r="I344" s="83" t="str">
        <x:v>battery</x:v>
      </x:c>
      <x:c r="J344" s="83" t="str">
        <x:v>Link</x:v>
      </x:c>
      <x:c r="K344" s="83" t="str">
        <x:v>p_nom</x:v>
      </x:c>
      <x:c r="L344" s="279" t="n">
        <x:v>0.3333333333333333</x:v>
      </x:c>
      <x:c r="M344" s="279" t="str">
        <x:v>GW</x:v>
      </x:c>
      <x:c r="N344" s="279" t="n">
        <x:f>IF(L344="","",IF(M344="GW",L344*1000,IF(M344="GWh",L344*1000,IF(M344="TWh",L344*1000000,L344))))</x:f>
        <x:v>333.3333333333333</x:v>
      </x:c>
      <x:c r="O344" s="83" t="str">
        <x:f>IF(L344="","",IF(M344="GW","MW",IF(OR(M344="GWh",M344="TWh"),"MWh",M344)))</x:f>
        <x:v>MW</x:v>
      </x:c>
      <x:c r="P344" s="83" t="str"/>
      <x:c r="Q344" s="349"/>
      <x:c r="R344" s="349" t="str">
        <x:f>IF(L344="","",IF(Q344&lt;&gt;"",L344*Q344,IF(OR(ISNUMBER(SEARCH("EUR2025",M344&amp;"")),P344=2025,P344="2025"),L344,"")))</x:f>
      </x:c>
      <x:c r="S344" s="83" t="str">
        <x:v>C — Derived</x:v>
      </x:c>
      <x:c r="T344" s="83" t="str">
        <x:v>Energy / 2 h.</x:v>
      </x:c>
      <x:c r="U344" s="83" t="str">
        <x:v>S09 / S01</x:v>
      </x:c>
      <x:c r="V344" s="83" t="str">
        <x:v>DDS Table 16 + harmonisation</x:v>
      </x:c>
      <x:c r="W344" s="120"/>
      <x:c r="X344" s="83" t="str">
        <x:v>C — Derived</x:v>
      </x:c>
      <x:c r="Y344" s="83" t="str">
        <x:v>Proposed</x:v>
      </x:c>
      <x:c r="Z344" s="83" t="str">
        <x:v>Ready after user approval</x:v>
      </x:c>
      <x:c r="AA344" s="83"/>
    </x:row>
    <x:row r="345">
      <x:c r="A345" s="83" t="str">
        <x:v>S4-00341</x:v>
      </x:c>
      <x:c r="B345" s="83" t="str">
        <x:v>IT2040_ALT_SLOW</x:v>
      </x:c>
      <x:c r="C345" s="83" t="n">
        <x:v>2040</x:v>
      </x:c>
      <x:c r="D345" s="83" t="str">
        <x:v>Storage</x:v>
      </x:c>
      <x:c r="E345" s="83" t="str">
        <x:v>IT_SICI</x:v>
      </x:c>
      <x:c r="F345" s="83" t="str">
        <x:v>SICI</x:v>
      </x:c>
      <x:c r="G345" s="83" t="str">
        <x:v>Small Scale</x:v>
      </x:c>
      <x:c r="H345" s="83" t="str">
        <x:v>Small-scale 4h</x:v>
      </x:c>
      <x:c r="I345" s="83" t="str">
        <x:v>battery</x:v>
      </x:c>
      <x:c r="J345" s="83" t="str">
        <x:v>Store + Links</x:v>
      </x:c>
      <x:c r="K345" s="83" t="str">
        <x:v>e_nom</x:v>
      </x:c>
      <x:c r="L345" s="279" t="n">
        <x:v>0.3333333333333333</x:v>
      </x:c>
      <x:c r="M345" s="279" t="str">
        <x:v>GWh</x:v>
      </x:c>
      <x:c r="N345" s="279" t="n">
        <x:f>IF(L345="","",IF(M345="GW",L345*1000,IF(M345="GWh",L345*1000,IF(M345="TWh",L345*1000000,L345))))</x:f>
        <x:v>333.3333333333333</x:v>
      </x:c>
      <x:c r="O345" s="83" t="str">
        <x:f>IF(L345="","",IF(M345="GW","MW",IF(OR(M345="GWh",M345="TWh"),"MWh",M345)))</x:f>
        <x:v>MWh</x:v>
      </x:c>
      <x:c r="P345" s="83" t="str"/>
      <x:c r="Q345" s="349"/>
      <x:c r="R345" s="349" t="str">
        <x:f>IF(L345="","",IF(Q345&lt;&gt;"",L345*Q345,IF(OR(ISNUMBER(SEARCH("EUR2025",M345&amp;"")),P345=2025,P345="2025"),L345,"")))</x:f>
      </x:c>
      <x:c r="S345" s="83" t="str">
        <x:v>C — Distributed assumption</x:v>
      </x:c>
      <x:c r="T345" s="83" t="str">
        <x:v>Split direct zonal energy 67%/33% between 2h/4h classes; p_nom=e_nom/4.</x:v>
      </x:c>
      <x:c r="U345" s="83" t="str">
        <x:v>S09 / S01</x:v>
      </x:c>
      <x:c r="V345" s="83" t="str">
        <x:v>DDS Table 16; 2025 observed portfolio duration</x:v>
      </x:c>
      <x:c r="W345" s="120"/>
      <x:c r="X345" s="83" t="str">
        <x:v>C — Assumed split</x:v>
      </x:c>
      <x:c r="Y345" s="83" t="str">
        <x:v>Proposed</x:v>
      </x:c>
      <x:c r="Z345" s="83" t="str">
        <x:v>Ready after user approval</x:v>
      </x:c>
      <x:c r="AA345" s="83" t="str">
        <x:v>Duration 4h; share derived from observed aggregate duration near 2.4h.</x:v>
      </x:c>
    </x:row>
    <x:row r="346">
      <x:c r="A346" s="83" t="str">
        <x:v>S4-00342</x:v>
      </x:c>
      <x:c r="B346" s="83" t="str">
        <x:v>IT2040_ALT_SLOW</x:v>
      </x:c>
      <x:c r="C346" s="83" t="n">
        <x:v>2040</x:v>
      </x:c>
      <x:c r="D346" s="83" t="str">
        <x:v>Storage power</x:v>
      </x:c>
      <x:c r="E346" s="83" t="str">
        <x:v>IT_SICI</x:v>
      </x:c>
      <x:c r="F346" s="83" t="str">
        <x:v>SICI</x:v>
      </x:c>
      <x:c r="G346" s="83" t="str">
        <x:v>Small Scale</x:v>
      </x:c>
      <x:c r="H346" s="83" t="str">
        <x:v>Small-scale 4h power</x:v>
      </x:c>
      <x:c r="I346" s="83" t="str">
        <x:v>battery</x:v>
      </x:c>
      <x:c r="J346" s="83" t="str">
        <x:v>Link</x:v>
      </x:c>
      <x:c r="K346" s="83" t="str">
        <x:v>p_nom</x:v>
      </x:c>
      <x:c r="L346" s="279" t="n">
        <x:v>0.08333333333333333</x:v>
      </x:c>
      <x:c r="M346" s="279" t="str">
        <x:v>GW</x:v>
      </x:c>
      <x:c r="N346" s="279" t="n">
        <x:f>IF(L346="","",IF(M346="GW",L346*1000,IF(M346="GWh",L346*1000,IF(M346="TWh",L346*1000000,L346))))</x:f>
        <x:v>83.33333333333333</x:v>
      </x:c>
      <x:c r="O346" s="83" t="str">
        <x:f>IF(L346="","",IF(M346="GW","MW",IF(OR(M346="GWh",M346="TWh"),"MWh",M346)))</x:f>
        <x:v>MW</x:v>
      </x:c>
      <x:c r="P346" s="83" t="str"/>
      <x:c r="Q346" s="349"/>
      <x:c r="R346" s="349" t="str">
        <x:f>IF(L346="","",IF(Q346&lt;&gt;"",L346*Q346,IF(OR(ISNUMBER(SEARCH("EUR2025",M346&amp;"")),P346=2025,P346="2025"),L346,"")))</x:f>
      </x:c>
      <x:c r="S346" s="83" t="str">
        <x:v>C — Derived</x:v>
      </x:c>
      <x:c r="T346" s="83" t="str">
        <x:v>Energy / 4 h.</x:v>
      </x:c>
      <x:c r="U346" s="83" t="str">
        <x:v>S09 / S01</x:v>
      </x:c>
      <x:c r="V346" s="83" t="str">
        <x:v>DDS Table 16 + harmonisation</x:v>
      </x:c>
      <x:c r="W346" s="120"/>
      <x:c r="X346" s="83" t="str">
        <x:v>C — Derived</x:v>
      </x:c>
      <x:c r="Y346" s="83" t="str">
        <x:v>Proposed</x:v>
      </x:c>
      <x:c r="Z346" s="83" t="str">
        <x:v>Ready after user approval</x:v>
      </x:c>
      <x:c r="AA346" s="83"/>
    </x:row>
    <x:row r="347">
      <x:c r="A347" s="83" t="str">
        <x:v>S4-00343</x:v>
      </x:c>
      <x:c r="B347" s="83" t="str">
        <x:v>IT2040_ALT_SLOW</x:v>
      </x:c>
      <x:c r="C347" s="83" t="n">
        <x:v>2040</x:v>
      </x:c>
      <x:c r="D347" s="83" t="str">
        <x:v>Storage</x:v>
      </x:c>
      <x:c r="E347" s="83" t="str">
        <x:v>IT_SICI</x:v>
      </x:c>
      <x:c r="F347" s="83" t="str">
        <x:v>SICI</x:v>
      </x:c>
      <x:c r="G347" s="83" t="str">
        <x:v>Utility Scale incl. MACSE</x:v>
      </x:c>
      <x:c r="H347" s="83" t="str">
        <x:v>Battery utility 8h</x:v>
      </x:c>
      <x:c r="I347" s="83" t="str">
        <x:v>battery</x:v>
      </x:c>
      <x:c r="J347" s="83" t="str">
        <x:v>Store + Links</x:v>
      </x:c>
      <x:c r="K347" s="83" t="str">
        <x:v>e_nom</x:v>
      </x:c>
      <x:c r="L347" s="279" t="n">
        <x:v>28.2</x:v>
      </x:c>
      <x:c r="M347" s="279" t="str">
        <x:v>GWh</x:v>
      </x:c>
      <x:c r="N347" s="279" t="n">
        <x:f>IF(L347="","",IF(M347="GW",L347*1000,IF(M347="GWh",L347*1000,IF(M347="TWh",L347*1000000,L347))))</x:f>
        <x:v>28200</x:v>
      </x:c>
      <x:c r="O347" s="83" t="str">
        <x:f>IF(L347="","",IF(M347="GW","MW",IF(OR(M347="GWh",M347="TWh"),"MWh",M347)))</x:f>
        <x:v>MWh</x:v>
      </x:c>
      <x:c r="P347" s="83" t="str"/>
      <x:c r="Q347" s="349"/>
      <x:c r="R347" s="349" t="str">
        <x:f>IF(L347="","",IF(Q347&lt;&gt;"",L347*Q347,IF(OR(ISNUMBER(SEARCH("EUR2025",M347&amp;"")),P347=2025,P347="2025"),L347,"")))</x:f>
      </x:c>
      <x:c r="S347" s="83" t="str">
        <x:v>A/C — Direct total; procurement subset identified</x:v>
      </x:c>
      <x:c r="T347" s="83" t="str">
        <x:v>DDS utility-scale total retained. A 42 GWh MACSE procurement portfolio is identified inside this total and is not added again.</x:v>
      </x:c>
      <x:c r="U347" s="83" t="str">
        <x:v>S09 + TERNA_MACSE_2028 + TERNA_MACSE_2029 + USER_DECISION</x:v>
      </x:c>
      <x:c r="V347" s="83" t="str">
        <x:v>DDS Table 16; 10 GWh MACSE 2028; 16 GWh 2029; 32 GWh available across the next two auctions</x:v>
      </x:c>
      <x:c r="W347" s="120" t="str">
        <x:v>https://www.terna.it/it/media/comunicati-stampa/dettaglio/conclusa-prima-asta-macse; https://download.terna.it/terna/Fabbisogno_di_nuova_capacita_di_stoccaggio_al_2029_8debcba830a85f3.pdf</x:v>
      </x:c>
      <x:c r="X347" s="83" t="str">
        <x:v>B/C — 26 GWh official; final 16 GWh planning tranche revisable</x:v>
      </x:c>
      <x:c r="Y347" s="83" t="str">
        <x:v>APPROVED total with MACSE subset</x:v>
      </x:c>
      <x:c r="Z347" s="83" t="str">
        <x:v>Ready when profiles/base network are available</x:v>
      </x:c>
      <x:c r="AA347" s="83" t="str">
        <x:v>MACSE path: 10 + 16 + 16 = 42 GWh. The final 16 GWh is an explicit scenario assumption based on Terna's 32 GWh quantity for the next two auctions.</x:v>
      </x:c>
    </x:row>
    <x:row r="348">
      <x:c r="A348" s="83" t="str">
        <x:v>S4-00344</x:v>
      </x:c>
      <x:c r="B348" s="83" t="str">
        <x:v>IT2040_ALT_SLOW</x:v>
      </x:c>
      <x:c r="C348" s="83" t="n">
        <x:v>2040</x:v>
      </x:c>
      <x:c r="D348" s="83" t="str">
        <x:v>Storage power</x:v>
      </x:c>
      <x:c r="E348" s="83" t="str">
        <x:v>IT_SICI</x:v>
      </x:c>
      <x:c r="F348" s="83" t="str">
        <x:v>SICI</x:v>
      </x:c>
      <x:c r="G348" s="83" t="str">
        <x:v>Utility Scale incl. MACSE</x:v>
      </x:c>
      <x:c r="H348" s="83" t="str">
        <x:v>Battery utility 8h power</x:v>
      </x:c>
      <x:c r="I348" s="83" t="str">
        <x:v>battery</x:v>
      </x:c>
      <x:c r="J348" s="83" t="str">
        <x:v>Link</x:v>
      </x:c>
      <x:c r="K348" s="83" t="str">
        <x:v>p_nom</x:v>
      </x:c>
      <x:c r="L348" s="279" t="n">
        <x:v>3.525</x:v>
      </x:c>
      <x:c r="M348" s="279" t="str">
        <x:v>GW</x:v>
      </x:c>
      <x:c r="N348" s="279" t="n">
        <x:f>IF(L348="","",IF(M348="GW",L348*1000,IF(M348="GWh",L348*1000,IF(M348="TWh",L348*1000000,L348))))</x:f>
        <x:v>3525</x:v>
      </x:c>
      <x:c r="O348" s="83" t="str">
        <x:f>IF(L348="","",IF(M348="GW","MW",IF(OR(M348="GWh",M348="TWh"),"MWh",M348)))</x:f>
        <x:v>MW</x:v>
      </x:c>
      <x:c r="P348" s="83" t="str"/>
      <x:c r="Q348" s="349"/>
      <x:c r="R348" s="349" t="str">
        <x:f>IF(L348="","",IF(Q348&lt;&gt;"",L348*Q348,IF(OR(ISNUMBER(SEARCH("EUR2025",M348&amp;"")),P348=2025,P348="2025"),L348,"")))</x:f>
      </x:c>
      <x:c r="S348" s="83" t="str">
        <x:v>B — Derived</x:v>
      </x:c>
      <x:c r="T348" s="83" t="str">
        <x:v>e_nom / 8h.</x:v>
      </x:c>
      <x:c r="U348" s="83" t="str">
        <x:v>S09 + TERNA_MACSE + USER_DECISION</x:v>
      </x:c>
      <x:c r="V348" s="83" t="str">
        <x:v>Utility-scale 8h duration; MACSE subset 42 GWh / 5.25 GW</x:v>
      </x:c>
      <x:c r="W348" s="120" t="str">
        <x:v>https://www.terna.it/it/media/comunicati-stampa/dettaglio/conclusa-prima-asta-macse; https://download.terna.it/terna/Fabbisogno_di_nuova_capacita_di_stoccaggio_al_2029_8debcba830a85f3.pdf</x:v>
      </x:c>
      <x:c r="X348" s="83" t="str">
        <x:v>B — Derived</x:v>
      </x:c>
      <x:c r="Y348" s="83" t="str">
        <x:v>APPROVED total with MACSE subset</x:v>
      </x:c>
      <x:c r="Z348" s="83" t="str">
        <x:v>Ready when profiles/base network are available</x:v>
      </x:c>
      <x:c r="AA348" s="83" t="str">
        <x:v>The 42 GWh MACSE subset corresponds to 5.25 GW at 8h and remains embedded within total utility-scale power.</x:v>
      </x:c>
    </x:row>
    <x:row r="349">
      <x:c r="A349" s="83" t="str">
        <x:v>S4-00345</x:v>
      </x:c>
      <x:c r="B349" s="83" t="str">
        <x:v>IT2040_ALT_SLOW</x:v>
      </x:c>
      <x:c r="C349" s="83" t="n">
        <x:v>2040</x:v>
      </x:c>
      <x:c r="D349" s="83" t="str">
        <x:v>Storage</x:v>
      </x:c>
      <x:c r="E349" s="83" t="str">
        <x:v>IT_SICI</x:v>
      </x:c>
      <x:c r="F349" s="83" t="str">
        <x:v>SICI</x:v>
      </x:c>
      <x:c r="G349" s="83" t="str">
        <x:v>CM</x:v>
      </x:c>
      <x:c r="H349" s="83" t="str">
        <x:v>Capacity Market battery</x:v>
      </x:c>
      <x:c r="I349" s="83" t="str">
        <x:v>battery</x:v>
      </x:c>
      <x:c r="J349" s="83" t="str">
        <x:v>Store + Links</x:v>
      </x:c>
      <x:c r="K349" s="83" t="str">
        <x:v>e_nom</x:v>
      </x:c>
      <x:c r="L349" s="279" t="n">
        <x:v>0</x:v>
      </x:c>
      <x:c r="M349" s="279" t="str">
        <x:v>GWh</x:v>
      </x:c>
      <x:c r="N349" s="279" t="str">
        <x:f>IF(L349="","",IF(M349="GW",L349*1000,IF(M349="GWh",L349*1000,IF(M349="TWh",L349*1000000,L349))))</x:f>
      </x:c>
      <x:c r="O349" s="83" t="str">
        <x:f>IF(L349="","",IF(M349="GW","MW",IF(OR(M349="GWh",M349="TWh"),"MWh",M349)))</x:f>
      </x:c>
      <x:c r="P349" s="83" t="str"/>
      <x:c r="Q349" s="349"/>
      <x:c r="R349" s="349" t="str">
        <x:f>IF(L349="","",IF(Q349&lt;&gt;"",L349*Q349,IF(OR(ISNUMBER(SEARCH("EUR2025",M349&amp;"")),P349=2025,P349="2025"),L349,"")))</x:f>
      </x:c>
      <x:c r="S349" s="83" t="str">
        <x:v>A — Direct</x:v>
      </x:c>
      <x:c r="T349" s="83" t="str">
        <x:v>Direct zonal energy; duration harmonised separately.</x:v>
      </x:c>
      <x:c r="U349" s="83" t="str">
        <x:v>S09</x:v>
      </x:c>
      <x:c r="V349" s="83" t="str">
        <x:v>DDS Tabella 16</x:v>
      </x:c>
      <x:c r="W349" s="120"/>
      <x:c r="X349" s="83" t="str">
        <x:v>A — Direct</x:v>
      </x:c>
      <x:c r="Y349" s="83" t="str">
        <x:v>APPROVED direct energy; separate from MACSE</x:v>
      </x:c>
      <x:c r="Z349" s="83" t="str">
        <x:v>Ready when profiles/base network are available</x:v>
      </x:c>
      <x:c r="AA349" s="83" t="str">
        <x:v>Capacity Market energy retained from DDS. It is not the 42 GWh MACSE portfolio.</x:v>
      </x:c>
    </x:row>
    <x:row r="350">
      <x:c r="A350" s="83" t="str">
        <x:v>S4-00346</x:v>
      </x:c>
      <x:c r="B350" s="83" t="str">
        <x:v>IT2040_ALT_SLOW</x:v>
      </x:c>
      <x:c r="C350" s="83" t="n">
        <x:v>2040</x:v>
      </x:c>
      <x:c r="D350" s="83" t="str">
        <x:v>Storage power</x:v>
      </x:c>
      <x:c r="E350" s="83" t="str">
        <x:v>IT_SICI</x:v>
      </x:c>
      <x:c r="F350" s="83" t="str">
        <x:v>SICI</x:v>
      </x:c>
      <x:c r="G350" s="83" t="str">
        <x:v>CM</x:v>
      </x:c>
      <x:c r="H350" s="83" t="str">
        <x:v>Capacity Market battery power</x:v>
      </x:c>
      <x:c r="I350" s="83" t="str">
        <x:v>battery</x:v>
      </x:c>
      <x:c r="J350" s="83" t="str">
        <x:v>Link</x:v>
      </x:c>
      <x:c r="K350" s="83" t="str">
        <x:v>p_nom</x:v>
      </x:c>
      <x:c r="L350" s="279" t="n">
        <x:v>0</x:v>
      </x:c>
      <x:c r="M350" s="279" t="str">
        <x:v>GW</x:v>
      </x:c>
      <x:c r="N350" s="279" t="str">
        <x:f>IF(L350="","",IF(M350="GW",L350*1000,IF(M350="GWh",L350*1000,IF(M350="TWh",L350*1000000,L350))))</x:f>
      </x:c>
      <x:c r="O350" s="83" t="str">
        <x:f>IF(L350="","",IF(M350="GW","MW",IF(OR(M350="GWh",M350="TWh"),"MWh",M350)))</x:f>
      </x:c>
      <x:c r="P350" s="83" t="str"/>
      <x:c r="Q350" s="349"/>
      <x:c r="R350" s="349" t="str">
        <x:f>IF(L350="","",IF(Q350&lt;&gt;"",L350*Q350,IF(OR(ISNUMBER(SEARCH("EUR2025",M350&amp;"")),P350=2025,P350="2025"),L350,"")))</x:f>
      </x:c>
      <x:c r="S350" s="83" t="str">
        <x:v>C — Assumed</x:v>
      </x:c>
      <x:c r="T350" s="83" t="str">
        <x:v>Capacity Market energy divided by the approved 4-hour duration.</x:v>
      </x:c>
      <x:c r="U350" s="83" t="str">
        <x:v>S09 + TERNA_RAI2025 + USER_DECISION</x:v>
      </x:c>
      <x:c r="V350" s="83" t="str">
        <x:v>DDS Table 16; Terna RAI 2025 §2.1.4</x:v>
      </x:c>
      <x:c r="W350" s="120" t="str">
        <x:v>https://download.terna.it/terna/Rapporto_Adeguatezza_Italia_2025_8de802607202dd6.pdf</x:v>
      </x:c>
      <x:c r="X350" s="83" t="str">
        <x:v>C — Assumed</x:v>
      </x:c>
      <x:c r="Y350" s="83" t="str">
        <x:v>APPROVED 4h derivation</x:v>
      </x:c>
      <x:c r="Z350" s="83" t="str">
        <x:v>Ready after user approval</x:v>
      </x:c>
      <x:c r="AA350" s="83" t="str">
        <x:v>Capacity Market remains a separate 4h class; no MACSE reclassification.</x:v>
      </x:c>
    </x:row>
    <x:row r="351">
      <x:c r="A351" s="83" t="str">
        <x:v>S4-00347</x:v>
      </x:c>
      <x:c r="B351" s="83" t="str">
        <x:v>IT2040_ALT_SLOW</x:v>
      </x:c>
      <x:c r="C351" s="83" t="n">
        <x:v>2040</x:v>
      </x:c>
      <x:c r="D351" s="83" t="str">
        <x:v>Storage</x:v>
      </x:c>
      <x:c r="E351" s="83" t="str">
        <x:v>IT_SARD</x:v>
      </x:c>
      <x:c r="F351" s="83" t="str">
        <x:v>SARD</x:v>
      </x:c>
      <x:c r="G351" s="83" t="str">
        <x:v>Small Scale</x:v>
      </x:c>
      <x:c r="H351" s="83" t="str">
        <x:v>Small-scale 2h</x:v>
      </x:c>
      <x:c r="I351" s="83" t="str">
        <x:v>battery</x:v>
      </x:c>
      <x:c r="J351" s="83" t="str">
        <x:v>Store + Links</x:v>
      </x:c>
      <x:c r="K351" s="83" t="str">
        <x:v>e_nom</x:v>
      </x:c>
      <x:c r="L351" s="279" t="n">
        <x:v>0.3333333333333333</x:v>
      </x:c>
      <x:c r="M351" s="279" t="str">
        <x:v>GWh</x:v>
      </x:c>
      <x:c r="N351" s="279" t="n">
        <x:f>IF(L351="","",IF(M351="GW",L351*1000,IF(M351="GWh",L351*1000,IF(M351="TWh",L351*1000000,L351))))</x:f>
        <x:v>333.3333333333333</x:v>
      </x:c>
      <x:c r="O351" s="83" t="str">
        <x:f>IF(L351="","",IF(M351="GW","MW",IF(OR(M351="GWh",M351="TWh"),"MWh",M351)))</x:f>
        <x:v>MWh</x:v>
      </x:c>
      <x:c r="P351" s="83" t="str"/>
      <x:c r="Q351" s="349"/>
      <x:c r="R351" s="349" t="str">
        <x:f>IF(L351="","",IF(Q351&lt;&gt;"",L351*Q351,IF(OR(ISNUMBER(SEARCH("EUR2025",M351&amp;"")),P351=2025,P351="2025"),L351,"")))</x:f>
      </x:c>
      <x:c r="S351" s="83" t="str">
        <x:v>C — Distributed assumption</x:v>
      </x:c>
      <x:c r="T351" s="83" t="str">
        <x:v>Split direct zonal energy 67%/33% between 2h/4h classes; p_nom=e_nom/2.</x:v>
      </x:c>
      <x:c r="U351" s="83" t="str">
        <x:v>S09 / S01</x:v>
      </x:c>
      <x:c r="V351" s="83" t="str">
        <x:v>DDS Table 16; 2025 observed portfolio duration</x:v>
      </x:c>
      <x:c r="W351" s="120"/>
      <x:c r="X351" s="83" t="str">
        <x:v>C — Assumed split</x:v>
      </x:c>
      <x:c r="Y351" s="83" t="str">
        <x:v>Proposed</x:v>
      </x:c>
      <x:c r="Z351" s="83" t="str">
        <x:v>Ready after user approval</x:v>
      </x:c>
      <x:c r="AA351" s="83" t="str">
        <x:v>Duration 2h; share derived from observed aggregate duration near 2.4h.</x:v>
      </x:c>
    </x:row>
    <x:row r="352">
      <x:c r="A352" s="83" t="str">
        <x:v>S4-00348</x:v>
      </x:c>
      <x:c r="B352" s="83" t="str">
        <x:v>IT2040_ALT_SLOW</x:v>
      </x:c>
      <x:c r="C352" s="83" t="n">
        <x:v>2040</x:v>
      </x:c>
      <x:c r="D352" s="83" t="str">
        <x:v>Storage power</x:v>
      </x:c>
      <x:c r="E352" s="83" t="str">
        <x:v>IT_SARD</x:v>
      </x:c>
      <x:c r="F352" s="83" t="str">
        <x:v>SARD</x:v>
      </x:c>
      <x:c r="G352" s="83" t="str">
        <x:v>Small Scale</x:v>
      </x:c>
      <x:c r="H352" s="83" t="str">
        <x:v>Small-scale 2h power</x:v>
      </x:c>
      <x:c r="I352" s="83" t="str">
        <x:v>battery</x:v>
      </x:c>
      <x:c r="J352" s="83" t="str">
        <x:v>Link</x:v>
      </x:c>
      <x:c r="K352" s="83" t="str">
        <x:v>p_nom</x:v>
      </x:c>
      <x:c r="L352" s="279" t="n">
        <x:v>0.16666666666666666</x:v>
      </x:c>
      <x:c r="M352" s="279" t="str">
        <x:v>GW</x:v>
      </x:c>
      <x:c r="N352" s="279" t="n">
        <x:f>IF(L352="","",IF(M352="GW",L352*1000,IF(M352="GWh",L352*1000,IF(M352="TWh",L352*1000000,L352))))</x:f>
        <x:v>166.66666666666666</x:v>
      </x:c>
      <x:c r="O352" s="83" t="str">
        <x:f>IF(L352="","",IF(M352="GW","MW",IF(OR(M352="GWh",M352="TWh"),"MWh",M352)))</x:f>
        <x:v>MW</x:v>
      </x:c>
      <x:c r="P352" s="83" t="str"/>
      <x:c r="Q352" s="349"/>
      <x:c r="R352" s="349" t="str">
        <x:f>IF(L352="","",IF(Q352&lt;&gt;"",L352*Q352,IF(OR(ISNUMBER(SEARCH("EUR2025",M352&amp;"")),P352=2025,P352="2025"),L352,"")))</x:f>
      </x:c>
      <x:c r="S352" s="83" t="str">
        <x:v>C — Derived</x:v>
      </x:c>
      <x:c r="T352" s="83" t="str">
        <x:v>Energy / 2 h.</x:v>
      </x:c>
      <x:c r="U352" s="83" t="str">
        <x:v>S09 / S01</x:v>
      </x:c>
      <x:c r="V352" s="83" t="str">
        <x:v>DDS Table 16 + harmonisation</x:v>
      </x:c>
      <x:c r="W352" s="120"/>
      <x:c r="X352" s="83" t="str">
        <x:v>C — Derived</x:v>
      </x:c>
      <x:c r="Y352" s="83" t="str">
        <x:v>Proposed</x:v>
      </x:c>
      <x:c r="Z352" s="83" t="str">
        <x:v>Ready after user approval</x:v>
      </x:c>
      <x:c r="AA352" s="83"/>
    </x:row>
    <x:row r="353">
      <x:c r="A353" s="83" t="str">
        <x:v>S4-00349</x:v>
      </x:c>
      <x:c r="B353" s="83" t="str">
        <x:v>IT2040_ALT_SLOW</x:v>
      </x:c>
      <x:c r="C353" s="83" t="n">
        <x:v>2040</x:v>
      </x:c>
      <x:c r="D353" s="83" t="str">
        <x:v>Storage</x:v>
      </x:c>
      <x:c r="E353" s="83" t="str">
        <x:v>IT_SARD</x:v>
      </x:c>
      <x:c r="F353" s="83" t="str">
        <x:v>SARD</x:v>
      </x:c>
      <x:c r="G353" s="83" t="str">
        <x:v>Small Scale</x:v>
      </x:c>
      <x:c r="H353" s="83" t="str">
        <x:v>Small-scale 4h</x:v>
      </x:c>
      <x:c r="I353" s="83" t="str">
        <x:v>battery</x:v>
      </x:c>
      <x:c r="J353" s="83" t="str">
        <x:v>Store + Links</x:v>
      </x:c>
      <x:c r="K353" s="83" t="str">
        <x:v>e_nom</x:v>
      </x:c>
      <x:c r="L353" s="279" t="n">
        <x:v>0.16666666666666666</x:v>
      </x:c>
      <x:c r="M353" s="279" t="str">
        <x:v>GWh</x:v>
      </x:c>
      <x:c r="N353" s="279" t="n">
        <x:f>IF(L353="","",IF(M353="GW",L353*1000,IF(M353="GWh",L353*1000,IF(M353="TWh",L353*1000000,L353))))</x:f>
        <x:v>166.66666666666666</x:v>
      </x:c>
      <x:c r="O353" s="83" t="str">
        <x:f>IF(L353="","",IF(M353="GW","MW",IF(OR(M353="GWh",M353="TWh"),"MWh",M353)))</x:f>
        <x:v>MWh</x:v>
      </x:c>
      <x:c r="P353" s="83" t="str"/>
      <x:c r="Q353" s="349"/>
      <x:c r="R353" s="349" t="str">
        <x:f>IF(L353="","",IF(Q353&lt;&gt;"",L353*Q353,IF(OR(ISNUMBER(SEARCH("EUR2025",M353&amp;"")),P353=2025,P353="2025"),L353,"")))</x:f>
      </x:c>
      <x:c r="S353" s="83" t="str">
        <x:v>C — Distributed assumption</x:v>
      </x:c>
      <x:c r="T353" s="83" t="str">
        <x:v>Split direct zonal energy 67%/33% between 2h/4h classes; p_nom=e_nom/4.</x:v>
      </x:c>
      <x:c r="U353" s="83" t="str">
        <x:v>S09 / S01</x:v>
      </x:c>
      <x:c r="V353" s="83" t="str">
        <x:v>DDS Table 16; 2025 observed portfolio duration</x:v>
      </x:c>
      <x:c r="W353" s="120"/>
      <x:c r="X353" s="83" t="str">
        <x:v>C — Assumed split</x:v>
      </x:c>
      <x:c r="Y353" s="83" t="str">
        <x:v>Proposed</x:v>
      </x:c>
      <x:c r="Z353" s="83" t="str">
        <x:v>Ready after user approval</x:v>
      </x:c>
      <x:c r="AA353" s="83" t="str">
        <x:v>Duration 4h; share derived from observed aggregate duration near 2.4h.</x:v>
      </x:c>
    </x:row>
    <x:row r="354">
      <x:c r="A354" s="83" t="str">
        <x:v>S4-00350</x:v>
      </x:c>
      <x:c r="B354" s="83" t="str">
        <x:v>IT2040_ALT_SLOW</x:v>
      </x:c>
      <x:c r="C354" s="83" t="n">
        <x:v>2040</x:v>
      </x:c>
      <x:c r="D354" s="83" t="str">
        <x:v>Storage power</x:v>
      </x:c>
      <x:c r="E354" s="83" t="str">
        <x:v>IT_SARD</x:v>
      </x:c>
      <x:c r="F354" s="83" t="str">
        <x:v>SARD</x:v>
      </x:c>
      <x:c r="G354" s="83" t="str">
        <x:v>Small Scale</x:v>
      </x:c>
      <x:c r="H354" s="83" t="str">
        <x:v>Small-scale 4h power</x:v>
      </x:c>
      <x:c r="I354" s="83" t="str">
        <x:v>battery</x:v>
      </x:c>
      <x:c r="J354" s="83" t="str">
        <x:v>Link</x:v>
      </x:c>
      <x:c r="K354" s="83" t="str">
        <x:v>p_nom</x:v>
      </x:c>
      <x:c r="L354" s="279" t="n">
        <x:v>0.041666666666666664</x:v>
      </x:c>
      <x:c r="M354" s="279" t="str">
        <x:v>GW</x:v>
      </x:c>
      <x:c r="N354" s="279" t="n">
        <x:f>IF(L354="","",IF(M354="GW",L354*1000,IF(M354="GWh",L354*1000,IF(M354="TWh",L354*1000000,L354))))</x:f>
        <x:v>41.666666666666664</x:v>
      </x:c>
      <x:c r="O354" s="83" t="str">
        <x:f>IF(L354="","",IF(M354="GW","MW",IF(OR(M354="GWh",M354="TWh"),"MWh",M354)))</x:f>
        <x:v>MW</x:v>
      </x:c>
      <x:c r="P354" s="83" t="str"/>
      <x:c r="Q354" s="349"/>
      <x:c r="R354" s="349" t="str">
        <x:f>IF(L354="","",IF(Q354&lt;&gt;"",L354*Q354,IF(OR(ISNUMBER(SEARCH("EUR2025",M354&amp;"")),P354=2025,P354="2025"),L354,"")))</x:f>
      </x:c>
      <x:c r="S354" s="83" t="str">
        <x:v>C — Derived</x:v>
      </x:c>
      <x:c r="T354" s="83" t="str">
        <x:v>Energy / 4 h.</x:v>
      </x:c>
      <x:c r="U354" s="83" t="str">
        <x:v>S09 / S01</x:v>
      </x:c>
      <x:c r="V354" s="83" t="str">
        <x:v>DDS Table 16 + harmonisation</x:v>
      </x:c>
      <x:c r="W354" s="120"/>
      <x:c r="X354" s="83" t="str">
        <x:v>C — Derived</x:v>
      </x:c>
      <x:c r="Y354" s="83" t="str">
        <x:v>Proposed</x:v>
      </x:c>
      <x:c r="Z354" s="83" t="str">
        <x:v>Ready after user approval</x:v>
      </x:c>
      <x:c r="AA354" s="83"/>
    </x:row>
    <x:row r="355">
      <x:c r="A355" s="83" t="str">
        <x:v>S4-00351</x:v>
      </x:c>
      <x:c r="B355" s="83" t="str">
        <x:v>IT2040_ALT_SLOW</x:v>
      </x:c>
      <x:c r="C355" s="83" t="n">
        <x:v>2040</x:v>
      </x:c>
      <x:c r="D355" s="83" t="str">
        <x:v>Storage</x:v>
      </x:c>
      <x:c r="E355" s="83" t="str">
        <x:v>IT_SARD</x:v>
      </x:c>
      <x:c r="F355" s="83" t="str">
        <x:v>SARD</x:v>
      </x:c>
      <x:c r="G355" s="83" t="str">
        <x:v>Utility Scale incl. MACSE</x:v>
      </x:c>
      <x:c r="H355" s="83" t="str">
        <x:v>Battery utility 8h</x:v>
      </x:c>
      <x:c r="I355" s="83" t="str">
        <x:v>battery</x:v>
      </x:c>
      <x:c r="J355" s="83" t="str">
        <x:v>Store + Links</x:v>
      </x:c>
      <x:c r="K355" s="83" t="str">
        <x:v>e_nom</x:v>
      </x:c>
      <x:c r="L355" s="279" t="n">
        <x:v>12.1</x:v>
      </x:c>
      <x:c r="M355" s="279" t="str">
        <x:v>GWh</x:v>
      </x:c>
      <x:c r="N355" s="279" t="n">
        <x:f>IF(L355="","",IF(M355="GW",L355*1000,IF(M355="GWh",L355*1000,IF(M355="TWh",L355*1000000,L355))))</x:f>
        <x:v>12100</x:v>
      </x:c>
      <x:c r="O355" s="83" t="str">
        <x:f>IF(L355="","",IF(M355="GW","MW",IF(OR(M355="GWh",M355="TWh"),"MWh",M355)))</x:f>
        <x:v>MWh</x:v>
      </x:c>
      <x:c r="P355" s="83" t="str"/>
      <x:c r="Q355" s="349"/>
      <x:c r="R355" s="349" t="str">
        <x:f>IF(L355="","",IF(Q355&lt;&gt;"",L355*Q355,IF(OR(ISNUMBER(SEARCH("EUR2025",M355&amp;"")),P355=2025,P355="2025"),L355,"")))</x:f>
      </x:c>
      <x:c r="S355" s="83" t="str">
        <x:v>A/C — Direct total; procurement subset identified</x:v>
      </x:c>
      <x:c r="T355" s="83" t="str">
        <x:v>DDS utility-scale total retained. A 42 GWh MACSE procurement portfolio is identified inside this total and is not added again.</x:v>
      </x:c>
      <x:c r="U355" s="83" t="str">
        <x:v>S09 + TERNA_MACSE_2028 + TERNA_MACSE_2029 + USER_DECISION</x:v>
      </x:c>
      <x:c r="V355" s="83" t="str">
        <x:v>DDS Table 16; 10 GWh MACSE 2028; 16 GWh 2029; 32 GWh available across the next two auctions</x:v>
      </x:c>
      <x:c r="W355" s="120" t="str">
        <x:v>https://www.terna.it/it/media/comunicati-stampa/dettaglio/conclusa-prima-asta-macse; https://download.terna.it/terna/Fabbisogno_di_nuova_capacita_di_stoccaggio_al_2029_8debcba830a85f3.pdf</x:v>
      </x:c>
      <x:c r="X355" s="83" t="str">
        <x:v>B/C — 26 GWh official; final 16 GWh planning tranche revisable</x:v>
      </x:c>
      <x:c r="Y355" s="83" t="str">
        <x:v>APPROVED total with MACSE subset</x:v>
      </x:c>
      <x:c r="Z355" s="83" t="str">
        <x:v>Ready when profiles/base network are available</x:v>
      </x:c>
      <x:c r="AA355" s="83" t="str">
        <x:v>MACSE path: 10 + 16 + 16 = 42 GWh. The final 16 GWh is an explicit scenario assumption based on Terna's 32 GWh quantity for the next two auctions.</x:v>
      </x:c>
    </x:row>
    <x:row r="356">
      <x:c r="A356" s="83" t="str">
        <x:v>S4-00352</x:v>
      </x:c>
      <x:c r="B356" s="83" t="str">
        <x:v>IT2040_ALT_SLOW</x:v>
      </x:c>
      <x:c r="C356" s="83" t="n">
        <x:v>2040</x:v>
      </x:c>
      <x:c r="D356" s="83" t="str">
        <x:v>Storage power</x:v>
      </x:c>
      <x:c r="E356" s="83" t="str">
        <x:v>IT_SARD</x:v>
      </x:c>
      <x:c r="F356" s="83" t="str">
        <x:v>SARD</x:v>
      </x:c>
      <x:c r="G356" s="83" t="str">
        <x:v>Utility Scale incl. MACSE</x:v>
      </x:c>
      <x:c r="H356" s="83" t="str">
        <x:v>Battery utility 8h power</x:v>
      </x:c>
      <x:c r="I356" s="83" t="str">
        <x:v>battery</x:v>
      </x:c>
      <x:c r="J356" s="83" t="str">
        <x:v>Link</x:v>
      </x:c>
      <x:c r="K356" s="83" t="str">
        <x:v>p_nom</x:v>
      </x:c>
      <x:c r="L356" s="279" t="n">
        <x:v>1.5125</x:v>
      </x:c>
      <x:c r="M356" s="279" t="str">
        <x:v>GW</x:v>
      </x:c>
      <x:c r="N356" s="279" t="n">
        <x:f>IF(L356="","",IF(M356="GW",L356*1000,IF(M356="GWh",L356*1000,IF(M356="TWh",L356*1000000,L356))))</x:f>
        <x:v>1512.5</x:v>
      </x:c>
      <x:c r="O356" s="83" t="str">
        <x:f>IF(L356="","",IF(M356="GW","MW",IF(OR(M356="GWh",M356="TWh"),"MWh",M356)))</x:f>
        <x:v>MW</x:v>
      </x:c>
      <x:c r="P356" s="83" t="str"/>
      <x:c r="Q356" s="349"/>
      <x:c r="R356" s="349" t="str">
        <x:f>IF(L356="","",IF(Q356&lt;&gt;"",L356*Q356,IF(OR(ISNUMBER(SEARCH("EUR2025",M356&amp;"")),P356=2025,P356="2025"),L356,"")))</x:f>
      </x:c>
      <x:c r="S356" s="83" t="str">
        <x:v>B — Derived</x:v>
      </x:c>
      <x:c r="T356" s="83" t="str">
        <x:v>e_nom / 8h.</x:v>
      </x:c>
      <x:c r="U356" s="83" t="str">
        <x:v>S09 + TERNA_MACSE + USER_DECISION</x:v>
      </x:c>
      <x:c r="V356" s="83" t="str">
        <x:v>Utility-scale 8h duration; MACSE subset 42 GWh / 5.25 GW</x:v>
      </x:c>
      <x:c r="W356" s="120" t="str">
        <x:v>https://www.terna.it/it/media/comunicati-stampa/dettaglio/conclusa-prima-asta-macse; https://download.terna.it/terna/Fabbisogno_di_nuova_capacita_di_stoccaggio_al_2029_8debcba830a85f3.pdf</x:v>
      </x:c>
      <x:c r="X356" s="83" t="str">
        <x:v>B — Derived</x:v>
      </x:c>
      <x:c r="Y356" s="83" t="str">
        <x:v>APPROVED total with MACSE subset</x:v>
      </x:c>
      <x:c r="Z356" s="83" t="str">
        <x:v>Ready when profiles/base network are available</x:v>
      </x:c>
      <x:c r="AA356" s="83" t="str">
        <x:v>The 42 GWh MACSE subset corresponds to 5.25 GW at 8h and remains embedded within total utility-scale power.</x:v>
      </x:c>
    </x:row>
    <x:row r="357">
      <x:c r="A357" s="83" t="str">
        <x:v>S4-00353</x:v>
      </x:c>
      <x:c r="B357" s="83" t="str">
        <x:v>IT2040_ALT_SLOW</x:v>
      </x:c>
      <x:c r="C357" s="83" t="n">
        <x:v>2040</x:v>
      </x:c>
      <x:c r="D357" s="83" t="str">
        <x:v>Storage</x:v>
      </x:c>
      <x:c r="E357" s="83" t="str">
        <x:v>IT_SARD</x:v>
      </x:c>
      <x:c r="F357" s="83" t="str">
        <x:v>SARD</x:v>
      </x:c>
      <x:c r="G357" s="83" t="str">
        <x:v>CM</x:v>
      </x:c>
      <x:c r="H357" s="83" t="str">
        <x:v>Capacity Market battery</x:v>
      </x:c>
      <x:c r="I357" s="83" t="str">
        <x:v>battery</x:v>
      </x:c>
      <x:c r="J357" s="83" t="str">
        <x:v>Store + Links</x:v>
      </x:c>
      <x:c r="K357" s="83" t="str">
        <x:v>e_nom</x:v>
      </x:c>
      <x:c r="L357" s="279" t="n">
        <x:v>3.2</x:v>
      </x:c>
      <x:c r="M357" s="279" t="str">
        <x:v>GWh</x:v>
      </x:c>
      <x:c r="N357" s="279" t="n">
        <x:f>IF(L357="","",IF(M357="GW",L357*1000,IF(M357="GWh",L357*1000,IF(M357="TWh",L357*1000000,L357))))</x:f>
        <x:v>3200</x:v>
      </x:c>
      <x:c r="O357" s="83" t="str">
        <x:f>IF(L357="","",IF(M357="GW","MW",IF(OR(M357="GWh",M357="TWh"),"MWh",M357)))</x:f>
        <x:v>MWh</x:v>
      </x:c>
      <x:c r="P357" s="83" t="str"/>
      <x:c r="Q357" s="349"/>
      <x:c r="R357" s="349" t="str">
        <x:f>IF(L357="","",IF(Q357&lt;&gt;"",L357*Q357,IF(OR(ISNUMBER(SEARCH("EUR2025",M357&amp;"")),P357=2025,P357="2025"),L357,"")))</x:f>
      </x:c>
      <x:c r="S357" s="83" t="str">
        <x:v>A — Direct</x:v>
      </x:c>
      <x:c r="T357" s="83" t="str">
        <x:v>Direct zonal energy; duration harmonised separately.</x:v>
      </x:c>
      <x:c r="U357" s="83" t="str">
        <x:v>S09</x:v>
      </x:c>
      <x:c r="V357" s="83" t="str">
        <x:v>DDS Tabella 16</x:v>
      </x:c>
      <x:c r="W357" s="120"/>
      <x:c r="X357" s="83" t="str">
        <x:v>A — Direct</x:v>
      </x:c>
      <x:c r="Y357" s="83" t="str">
        <x:v>APPROVED direct energy; separate from MACSE</x:v>
      </x:c>
      <x:c r="Z357" s="83" t="str">
        <x:v>Ready when profiles/base network are available</x:v>
      </x:c>
      <x:c r="AA357" s="83" t="str">
        <x:v>Capacity Market energy retained from DDS. It is not the 42 GWh MACSE portfolio.</x:v>
      </x:c>
    </x:row>
    <x:row r="358">
      <x:c r="A358" s="83" t="str">
        <x:v>S4-00354</x:v>
      </x:c>
      <x:c r="B358" s="83" t="str">
        <x:v>IT2040_ALT_SLOW</x:v>
      </x:c>
      <x:c r="C358" s="83" t="n">
        <x:v>2040</x:v>
      </x:c>
      <x:c r="D358" s="83" t="str">
        <x:v>Storage power</x:v>
      </x:c>
      <x:c r="E358" s="83" t="str">
        <x:v>IT_SARD</x:v>
      </x:c>
      <x:c r="F358" s="83" t="str">
        <x:v>SARD</x:v>
      </x:c>
      <x:c r="G358" s="83" t="str">
        <x:v>CM</x:v>
      </x:c>
      <x:c r="H358" s="83" t="str">
        <x:v>Capacity Market battery power</x:v>
      </x:c>
      <x:c r="I358" s="83" t="str">
        <x:v>battery</x:v>
      </x:c>
      <x:c r="J358" s="83" t="str">
        <x:v>Link</x:v>
      </x:c>
      <x:c r="K358" s="83" t="str">
        <x:v>p_nom</x:v>
      </x:c>
      <x:c r="L358" s="279" t="n">
        <x:v>0.8</x:v>
      </x:c>
      <x:c r="M358" s="279" t="str">
        <x:v>GW</x:v>
      </x:c>
      <x:c r="N358" s="279" t="n">
        <x:f>IF(L358="","",IF(M358="GW",L358*1000,IF(M358="GWh",L358*1000,IF(M358="TWh",L358*1000000,L358))))</x:f>
        <x:v>800</x:v>
      </x:c>
      <x:c r="O358" s="83" t="str">
        <x:f>IF(L358="","",IF(M358="GW","MW",IF(OR(M358="GWh",M358="TWh"),"MWh",M358)))</x:f>
        <x:v>MW</x:v>
      </x:c>
      <x:c r="P358" s="83" t="str"/>
      <x:c r="Q358" s="349"/>
      <x:c r="R358" s="349" t="str">
        <x:f>IF(L358="","",IF(Q358&lt;&gt;"",L358*Q358,IF(OR(ISNUMBER(SEARCH("EUR2025",M358&amp;"")),P358=2025,P358="2025"),L358,"")))</x:f>
      </x:c>
      <x:c r="S358" s="83" t="str">
        <x:v>C — Assumed</x:v>
      </x:c>
      <x:c r="T358" s="83" t="str">
        <x:v>Capacity Market energy divided by the approved 4-hour duration.</x:v>
      </x:c>
      <x:c r="U358" s="83" t="str">
        <x:v>S09 + TERNA_RAI2025 + USER_DECISION</x:v>
      </x:c>
      <x:c r="V358" s="83" t="str">
        <x:v>DDS Table 16; Terna RAI 2025 §2.1.4</x:v>
      </x:c>
      <x:c r="W358" s="120" t="str">
        <x:v>https://download.terna.it/terna/Rapporto_Adeguatezza_Italia_2025_8de802607202dd6.pdf</x:v>
      </x:c>
      <x:c r="X358" s="83" t="str">
        <x:v>C — Assumed</x:v>
      </x:c>
      <x:c r="Y358" s="83" t="str">
        <x:v>APPROVED 4h derivation</x:v>
      </x:c>
      <x:c r="Z358" s="83" t="str">
        <x:v>Ready after user approval</x:v>
      </x:c>
      <x:c r="AA358" s="83" t="str">
        <x:v>Capacity Market remains a separate 4h class; no MACSE reclassification.</x:v>
      </x:c>
    </x:row>
    <x:row r="359">
      <x:c r="A359" s="83" t="str">
        <x:v>S4-00355</x:v>
      </x:c>
      <x:c r="B359" s="83" t="str">
        <x:v>IT2040_ALT_SLOW</x:v>
      </x:c>
      <x:c r="C359" s="83" t="n">
        <x:v>2040</x:v>
      </x:c>
      <x:c r="D359" s="83" t="str">
        <x:v>Storage</x:v>
      </x:c>
      <x:c r="E359" s="83" t="str">
        <x:v>PyPSA-Eur existing sites</x:v>
      </x:c>
      <x:c r="F359" s="83"/>
      <x:c r="G359" s="83" t="str">
        <x:v>Pompaggi esistenti</x:v>
      </x:c>
      <x:c r="H359" s="83" t="str">
        <x:v>Pumped hydro energy</x:v>
      </x:c>
      <x:c r="I359" s="83" t="str">
        <x:v>PHS</x:v>
      </x:c>
      <x:c r="J359" s="83" t="str">
        <x:v>Store + Links</x:v>
      </x:c>
      <x:c r="K359" s="83" t="str">
        <x:v>e_nom</x:v>
      </x:c>
      <x:c r="L359" s="279" t="n">
        <x:v>53</x:v>
      </x:c>
      <x:c r="M359" s="279" t="str">
        <x:v>GWh</x:v>
      </x:c>
      <x:c r="N359" s="279" t="n">
        <x:f>IF(L359="","",IF(M359="GW",L359*1000,IF(M359="GWh",L359*1000,IF(M359="TWh",L359*1000000,L359))))</x:f>
        <x:v>53000</x:v>
      </x:c>
      <x:c r="O359" s="83" t="str">
        <x:f>IF(L359="","",IF(M359="GW","MW",IF(OR(M359="GWh",M359="TWh"),"MWh",M359)))</x:f>
        <x:v>MWh</x:v>
      </x:c>
      <x:c r="P359" s="83" t="str"/>
      <x:c r="Q359" s="349"/>
      <x:c r="R359" s="349" t="str">
        <x:f>IF(L359="","",IF(Q359&lt;&gt;"",L359*Q359,IF(OR(ISNUMBER(SEARCH("EUR2025",M359&amp;"")),P359=2025,P359="2025"),L359,"")))</x:f>
      </x:c>
      <x:c r="S359" s="83" t="str">
        <x:v>A — Direct</x:v>
      </x:c>
      <x:c r="T359" s="83" t="str">
        <x:v>Retain existing plant geography; 53 GWh physical stock.</x:v>
      </x:c>
      <x:c r="U359" s="83" t="str">
        <x:v>S01</x:v>
      </x:c>
      <x:c r="V359" s="83" t="str">
        <x:v>Pumped-hydro stock</x:v>
      </x:c>
      <x:c r="W359" s="120"/>
      <x:c r="X359" s="83" t="str">
        <x:v>A — Direct</x:v>
      </x:c>
      <x:c r="Y359" s="83" t="str">
        <x:v>Adopted physical stock</x:v>
      </x:c>
      <x:c r="Z359" s="83" t="str">
        <x:v>Conditional on plant mapping</x:v>
      </x:c>
      <x:c r="AA359" s="83"/>
    </x:row>
    <x:row r="360">
      <x:c r="A360" s="83" t="str">
        <x:v>S4-00356</x:v>
      </x:c>
      <x:c r="B360" s="83" t="str">
        <x:v>IT2040_ALT_SLOW</x:v>
      </x:c>
      <x:c r="C360" s="83" t="n">
        <x:v>2040</x:v>
      </x:c>
      <x:c r="D360" s="83" t="str">
        <x:v>Storage power</x:v>
      </x:c>
      <x:c r="E360" s="83" t="str">
        <x:v>PyPSA-Eur existing sites</x:v>
      </x:c>
      <x:c r="F360" s="83"/>
      <x:c r="G360" s="83" t="str">
        <x:v>Pompaggi esistenti</x:v>
      </x:c>
      <x:c r="H360" s="83" t="str">
        <x:v>Pumped hydro charge power</x:v>
      </x:c>
      <x:c r="I360" s="83" t="str">
        <x:v>PHS</x:v>
      </x:c>
      <x:c r="J360" s="83" t="str">
        <x:v>Link</x:v>
      </x:c>
      <x:c r="K360" s="83" t="str">
        <x:v>p_nom</x:v>
      </x:c>
      <x:c r="L360" s="279" t="n">
        <x:v>6.4</x:v>
      </x:c>
      <x:c r="M360" s="279" t="str">
        <x:v>GW</x:v>
      </x:c>
      <x:c r="N360" s="279" t="n">
        <x:f>IF(L360="","",IF(M360="GW",L360*1000,IF(M360="GWh",L360*1000,IF(M360="TWh",L360*1000000,L360))))</x:f>
        <x:v>6400</x:v>
      </x:c>
      <x:c r="O360" s="83" t="str">
        <x:f>IF(L360="","",IF(M360="GW","MW",IF(OR(M360="GWh",M360="TWh"),"MWh",M360)))</x:f>
        <x:v>MW</x:v>
      </x:c>
      <x:c r="P360" s="83" t="str"/>
      <x:c r="Q360" s="349"/>
      <x:c r="R360" s="349" t="str">
        <x:f>IF(L360="","",IF(Q360&lt;&gt;"",L360*Q360,IF(OR(ISNUMBER(SEARCH("EUR2025",M360&amp;"")),P360=2025,P360="2025"),L360,"")))</x:f>
      </x:c>
      <x:c r="S360" s="83" t="str">
        <x:v>A — Direct</x:v>
      </x:c>
      <x:c r="T360" s="83" t="str">
        <x:v>Retain existing plant geography.</x:v>
      </x:c>
      <x:c r="U360" s="83" t="str">
        <x:v>S01</x:v>
      </x:c>
      <x:c r="V360" s="83" t="str">
        <x:v>Pumped-hydro stock</x:v>
      </x:c>
      <x:c r="W360" s="120"/>
      <x:c r="X360" s="83" t="str">
        <x:v>A — Direct</x:v>
      </x:c>
      <x:c r="Y360" s="83" t="str">
        <x:v>Adopted</x:v>
      </x:c>
      <x:c r="Z360" s="83" t="str">
        <x:v>Ready when profiles/base network are available</x:v>
      </x:c>
      <x:c r="AA360" s="83"/>
    </x:row>
    <x:row r="361">
      <x:c r="A361" s="83" t="str">
        <x:v>S4-00357</x:v>
      </x:c>
      <x:c r="B361" s="83" t="str">
        <x:v>IT2040_ALT_SLOW</x:v>
      </x:c>
      <x:c r="C361" s="83" t="n">
        <x:v>2040</x:v>
      </x:c>
      <x:c r="D361" s="83" t="str">
        <x:v>Storage power</x:v>
      </x:c>
      <x:c r="E361" s="83" t="str">
        <x:v>PyPSA-Eur existing sites</x:v>
      </x:c>
      <x:c r="F361" s="83"/>
      <x:c r="G361" s="83" t="str">
        <x:v>Pompaggi esistenti</x:v>
      </x:c>
      <x:c r="H361" s="83" t="str">
        <x:v>Pumped hydro discharge power</x:v>
      </x:c>
      <x:c r="I361" s="83" t="str">
        <x:v>PHS</x:v>
      </x:c>
      <x:c r="J361" s="83" t="str">
        <x:v>Link</x:v>
      </x:c>
      <x:c r="K361" s="83" t="str">
        <x:v>p_nom</x:v>
      </x:c>
      <x:c r="L361" s="279" t="n">
        <x:v>7.3</x:v>
      </x:c>
      <x:c r="M361" s="279" t="str">
        <x:v>GW</x:v>
      </x:c>
      <x:c r="N361" s="279" t="n">
        <x:f>IF(L361="","",IF(M361="GW",L361*1000,IF(M361="GWh",L361*1000,IF(M361="TWh",L361*1000000,L361))))</x:f>
        <x:v>7300</x:v>
      </x:c>
      <x:c r="O361" s="83" t="str">
        <x:f>IF(L361="","",IF(M361="GW","MW",IF(OR(M361="GWh",M361="TWh"),"MWh",M361)))</x:f>
        <x:v>MW</x:v>
      </x:c>
      <x:c r="P361" s="83" t="str"/>
      <x:c r="Q361" s="349"/>
      <x:c r="R361" s="349" t="str">
        <x:f>IF(L361="","",IF(Q361&lt;&gt;"",L361*Q361,IF(OR(ISNUMBER(SEARCH("EUR2025",M361&amp;"")),P361=2025,P361="2025"),L361,"")))</x:f>
      </x:c>
      <x:c r="S361" s="83" t="str">
        <x:v>A — Direct</x:v>
      </x:c>
      <x:c r="T361" s="83" t="str">
        <x:v>Retain existing plant geography.</x:v>
      </x:c>
      <x:c r="U361" s="83" t="str">
        <x:v>S01</x:v>
      </x:c>
      <x:c r="V361" s="83" t="str">
        <x:v>Pumped-hydro stock</x:v>
      </x:c>
      <x:c r="W361" s="120"/>
      <x:c r="X361" s="83" t="str">
        <x:v>A — Direct</x:v>
      </x:c>
      <x:c r="Y361" s="83" t="str">
        <x:v>Adopted</x:v>
      </x:c>
      <x:c r="Z361" s="83" t="str">
        <x:v>Ready when profiles/base network are available</x:v>
      </x:c>
      <x:c r="AA361" s="83"/>
    </x:row>
    <x:row r="362">
      <x:c r="A362" s="83" t="str">
        <x:v>S4-00358</x:v>
      </x:c>
      <x:c r="B362" s="83" t="str">
        <x:v>IT2040_ALT_SLOW</x:v>
      </x:c>
      <x:c r="C362" s="83" t="n">
        <x:v>2040</x:v>
      </x:c>
      <x:c r="D362" s="83" t="str">
        <x:v>Transmission</x:v>
      </x:c>
      <x:c r="E362" s="83" t="str">
        <x:v>NORD-&gt;CNOR</x:v>
      </x:c>
      <x:c r="F362" s="83" t="str">
        <x:v>NORD</x:v>
      </x:c>
      <x:c r="G362" s="83" t="str">
        <x:v>Capacità di scambio</x:v>
      </x:c>
      <x:c r="H362" s="83" t="str">
        <x:v>Directional interzonal link</x:v>
      </x:c>
      <x:c r="I362" s="83" t="str">
        <x:v>electricity</x:v>
      </x:c>
      <x:c r="J362" s="83" t="str">
        <x:v>Link</x:v>
      </x:c>
      <x:c r="K362" s="83" t="str">
        <x:v>p_nom</x:v>
      </x:c>
      <x:c r="L362" s="279" t="n">
        <x:v>6100</x:v>
      </x:c>
      <x:c r="M362" s="279" t="str">
        <x:v>MW</x:v>
      </x:c>
      <x:c r="N362" s="279" t="n">
        <x:f>IF(L362="","",IF(M362="GW",L362*1000,IF(M362="GWh",L362*1000,IF(M362="TWh",L362*1000000,L362))))</x:f>
        <x:v>6100</x:v>
      </x:c>
      <x:c r="O362" s="83" t="str">
        <x:f>IF(L362="","",IF(M362="GW","MW",IF(OR(M362="GWh",M362="TWh"),"MWh",M362)))</x:f>
        <x:v>MW</x:v>
      </x:c>
      <x:c r="P362" s="83" t="str"/>
      <x:c r="Q362" s="349"/>
      <x:c r="R362" s="349" t="str">
        <x:f>IF(L362="","",IF(Q362&lt;&gt;"",L362*Q362,IF(OR(ISNUMBER(SEARCH("EUR2025",M362&amp;"")),P362=2025,P362="2025"),L362,"")))</x:f>
      </x:c>
      <x:c r="S362" s="83" t="str">
        <x:v>A — Direct</x:v>
      </x:c>
      <x:c r="T362" s="83" t="str">
        <x:v>Direct directional market-transfer capacity.</x:v>
      </x:c>
      <x:c r="U362" s="83" t="str">
        <x:v>S03</x:v>
      </x:c>
      <x:c r="V362" s="83" t="str">
        <x:v>S03 Figure 3 horizon 2040</x:v>
      </x:c>
      <x:c r="W362" s="120"/>
      <x:c r="X362" s="83" t="str">
        <x:v>A — Direct</x:v>
      </x:c>
      <x:c r="Y362" s="83" t="str">
        <x:v>Adopted</x:v>
      </x:c>
      <x:c r="Z362" s="83" t="str">
        <x:v>Ready when profiles/base network are available</x:v>
      </x:c>
      <x:c r="AA362" s="83" t="str">
        <x:v>Use endogenous PyPSA-Eur borders where available; otherwise DDS 2030 totals plus separately approved project overlays</x:v>
      </x:c>
    </x:row>
    <x:row r="363">
      <x:c r="A363" s="83" t="str">
        <x:v>S4-00359</x:v>
      </x:c>
      <x:c r="B363" s="83" t="str">
        <x:v>IT2040_ALT_SLOW</x:v>
      </x:c>
      <x:c r="C363" s="83" t="n">
        <x:v>2040</x:v>
      </x:c>
      <x:c r="D363" s="83" t="str">
        <x:v>Transmission</x:v>
      </x:c>
      <x:c r="E363" s="83" t="str">
        <x:v>CNOR-&gt;NORD</x:v>
      </x:c>
      <x:c r="F363" s="83" t="str">
        <x:v>CNOR</x:v>
      </x:c>
      <x:c r="G363" s="83" t="str">
        <x:v>Capacità di scambio</x:v>
      </x:c>
      <x:c r="H363" s="83" t="str">
        <x:v>Directional interzonal link</x:v>
      </x:c>
      <x:c r="I363" s="83" t="str">
        <x:v>electricity</x:v>
      </x:c>
      <x:c r="J363" s="83" t="str">
        <x:v>Link</x:v>
      </x:c>
      <x:c r="K363" s="83" t="str">
        <x:v>p_nom</x:v>
      </x:c>
      <x:c r="L363" s="279" t="n">
        <x:v>5300</x:v>
      </x:c>
      <x:c r="M363" s="279" t="str">
        <x:v>MW</x:v>
      </x:c>
      <x:c r="N363" s="279" t="n">
        <x:f>IF(L363="","",IF(M363="GW",L363*1000,IF(M363="GWh",L363*1000,IF(M363="TWh",L363*1000000,L363))))</x:f>
        <x:v>5300</x:v>
      </x:c>
      <x:c r="O363" s="83" t="str">
        <x:f>IF(L363="","",IF(M363="GW","MW",IF(OR(M363="GWh",M363="TWh"),"MWh",M363)))</x:f>
        <x:v>MW</x:v>
      </x:c>
      <x:c r="P363" s="83" t="str"/>
      <x:c r="Q363" s="349"/>
      <x:c r="R363" s="349" t="str">
        <x:f>IF(L363="","",IF(Q363&lt;&gt;"",L363*Q363,IF(OR(ISNUMBER(SEARCH("EUR2025",M363&amp;"")),P363=2025,P363="2025"),L363,"")))</x:f>
      </x:c>
      <x:c r="S363" s="83" t="str">
        <x:v>A — Direct</x:v>
      </x:c>
      <x:c r="T363" s="83" t="str">
        <x:v>Direct directional market-transfer capacity.</x:v>
      </x:c>
      <x:c r="U363" s="83" t="str">
        <x:v>S03</x:v>
      </x:c>
      <x:c r="V363" s="83" t="str">
        <x:v>S03 Figure 3 horizon 2040</x:v>
      </x:c>
      <x:c r="W363" s="120"/>
      <x:c r="X363" s="83" t="str">
        <x:v>A — Direct</x:v>
      </x:c>
      <x:c r="Y363" s="83" t="str">
        <x:v>Adopted</x:v>
      </x:c>
      <x:c r="Z363" s="83" t="str">
        <x:v>Ready when profiles/base network are available</x:v>
      </x:c>
      <x:c r="AA363" s="83" t="str">
        <x:v>Use endogenous PyPSA-Eur borders where available; otherwise DDS 2030 totals plus separately approved project overlays</x:v>
      </x:c>
    </x:row>
    <x:row r="364">
      <x:c r="A364" s="83" t="str">
        <x:v>S4-00360</x:v>
      </x:c>
      <x:c r="B364" s="83" t="str">
        <x:v>IT2040_ALT_SLOW</x:v>
      </x:c>
      <x:c r="C364" s="83" t="n">
        <x:v>2040</x:v>
      </x:c>
      <x:c r="D364" s="83" t="str">
        <x:v>Transmission</x:v>
      </x:c>
      <x:c r="E364" s="83" t="str">
        <x:v>CNOR-&gt;CSUD</x:v>
      </x:c>
      <x:c r="F364" s="83" t="str">
        <x:v>CNOR</x:v>
      </x:c>
      <x:c r="G364" s="83" t="str">
        <x:v>Capacità di scambio</x:v>
      </x:c>
      <x:c r="H364" s="83" t="str">
        <x:v>Directional interzonal link</x:v>
      </x:c>
      <x:c r="I364" s="83" t="str">
        <x:v>electricity</x:v>
      </x:c>
      <x:c r="J364" s="83" t="str">
        <x:v>Link</x:v>
      </x:c>
      <x:c r="K364" s="83" t="str">
        <x:v>p_nom</x:v>
      </x:c>
      <x:c r="L364" s="279" t="n">
        <x:v>5400</x:v>
      </x:c>
      <x:c r="M364" s="279" t="str">
        <x:v>MW</x:v>
      </x:c>
      <x:c r="N364" s="279" t="n">
        <x:f>IF(L364="","",IF(M364="GW",L364*1000,IF(M364="GWh",L364*1000,IF(M364="TWh",L364*1000000,L364))))</x:f>
        <x:v>5400</x:v>
      </x:c>
      <x:c r="O364" s="83" t="str">
        <x:f>IF(L364="","",IF(M364="GW","MW",IF(OR(M364="GWh",M364="TWh"),"MWh",M364)))</x:f>
        <x:v>MW</x:v>
      </x:c>
      <x:c r="P364" s="83" t="str"/>
      <x:c r="Q364" s="349"/>
      <x:c r="R364" s="349" t="str">
        <x:f>IF(L364="","",IF(Q364&lt;&gt;"",L364*Q364,IF(OR(ISNUMBER(SEARCH("EUR2025",M364&amp;"")),P364=2025,P364="2025"),L364,"")))</x:f>
      </x:c>
      <x:c r="S364" s="83" t="str">
        <x:v>A — Direct</x:v>
      </x:c>
      <x:c r="T364" s="83" t="str">
        <x:v>Direct directional market-transfer capacity.</x:v>
      </x:c>
      <x:c r="U364" s="83" t="str">
        <x:v>S03</x:v>
      </x:c>
      <x:c r="V364" s="83" t="str">
        <x:v>S03 Figure 3 horizon 2040</x:v>
      </x:c>
      <x:c r="W364" s="120"/>
      <x:c r="X364" s="83" t="str">
        <x:v>A — Direct</x:v>
      </x:c>
      <x:c r="Y364" s="83" t="str">
        <x:v>Adopted</x:v>
      </x:c>
      <x:c r="Z364" s="83" t="str">
        <x:v>Ready when profiles/base network are available</x:v>
      </x:c>
      <x:c r="AA364" s="83" t="str">
        <x:v>Use endogenous PyPSA-Eur borders where available; otherwise DDS 2030 totals plus separately approved project overlays</x:v>
      </x:c>
    </x:row>
    <x:row r="365">
      <x:c r="A365" s="83" t="str">
        <x:v>S4-00361</x:v>
      </x:c>
      <x:c r="B365" s="83" t="str">
        <x:v>IT2040_ALT_SLOW</x:v>
      </x:c>
      <x:c r="C365" s="83" t="n">
        <x:v>2040</x:v>
      </x:c>
      <x:c r="D365" s="83" t="str">
        <x:v>Transmission</x:v>
      </x:c>
      <x:c r="E365" s="83" t="str">
        <x:v>CSUD-&gt;CNOR</x:v>
      </x:c>
      <x:c r="F365" s="83" t="str">
        <x:v>CSUD</x:v>
      </x:c>
      <x:c r="G365" s="83" t="str">
        <x:v>Capacità di scambio</x:v>
      </x:c>
      <x:c r="H365" s="83" t="str">
        <x:v>Directional interzonal link</x:v>
      </x:c>
      <x:c r="I365" s="83" t="str">
        <x:v>electricity</x:v>
      </x:c>
      <x:c r="J365" s="83" t="str">
        <x:v>Link</x:v>
      </x:c>
      <x:c r="K365" s="83" t="str">
        <x:v>p_nom</x:v>
      </x:c>
      <x:c r="L365" s="279" t="n">
        <x:v>6100</x:v>
      </x:c>
      <x:c r="M365" s="279" t="str">
        <x:v>MW</x:v>
      </x:c>
      <x:c r="N365" s="279" t="n">
        <x:f>IF(L365="","",IF(M365="GW",L365*1000,IF(M365="GWh",L365*1000,IF(M365="TWh",L365*1000000,L365))))</x:f>
        <x:v>6100</x:v>
      </x:c>
      <x:c r="O365" s="83" t="str">
        <x:f>IF(L365="","",IF(M365="GW","MW",IF(OR(M365="GWh",M365="TWh"),"MWh",M365)))</x:f>
        <x:v>MW</x:v>
      </x:c>
      <x:c r="P365" s="83" t="str"/>
      <x:c r="Q365" s="349"/>
      <x:c r="R365" s="349" t="str">
        <x:f>IF(L365="","",IF(Q365&lt;&gt;"",L365*Q365,IF(OR(ISNUMBER(SEARCH("EUR2025",M365&amp;"")),P365=2025,P365="2025"),L365,"")))</x:f>
      </x:c>
      <x:c r="S365" s="83" t="str">
        <x:v>A — Direct</x:v>
      </x:c>
      <x:c r="T365" s="83" t="str">
        <x:v>Direct directional market-transfer capacity.</x:v>
      </x:c>
      <x:c r="U365" s="83" t="str">
        <x:v>S03</x:v>
      </x:c>
      <x:c r="V365" s="83" t="str">
        <x:v>S03 Figure 3 horizon 2040</x:v>
      </x:c>
      <x:c r="W365" s="120"/>
      <x:c r="X365" s="83" t="str">
        <x:v>A — Direct</x:v>
      </x:c>
      <x:c r="Y365" s="83" t="str">
        <x:v>Adopted</x:v>
      </x:c>
      <x:c r="Z365" s="83" t="str">
        <x:v>Ready when profiles/base network are available</x:v>
      </x:c>
      <x:c r="AA365" s="83" t="str">
        <x:v>Use endogenous PyPSA-Eur borders where available; otherwise DDS 2030 totals plus separately approved project overlays</x:v>
      </x:c>
    </x:row>
    <x:row r="366">
      <x:c r="A366" s="83" t="str">
        <x:v>S4-00362</x:v>
      </x:c>
      <x:c r="B366" s="83" t="str">
        <x:v>IT2040_ALT_SLOW</x:v>
      </x:c>
      <x:c r="C366" s="83" t="n">
        <x:v>2040</x:v>
      </x:c>
      <x:c r="D366" s="83" t="str">
        <x:v>Transmission</x:v>
      </x:c>
      <x:c r="E366" s="83" t="str">
        <x:v>CSUD-&gt;SUD</x:v>
      </x:c>
      <x:c r="F366" s="83" t="str">
        <x:v>CSUD</x:v>
      </x:c>
      <x:c r="G366" s="83" t="str">
        <x:v>Capacità di scambio</x:v>
      </x:c>
      <x:c r="H366" s="83" t="str">
        <x:v>Directional interzonal link</x:v>
      </x:c>
      <x:c r="I366" s="83" t="str">
        <x:v>electricity</x:v>
      </x:c>
      <x:c r="J366" s="83" t="str">
        <x:v>Link</x:v>
      </x:c>
      <x:c r="K366" s="83" t="str">
        <x:v>p_nom</x:v>
      </x:c>
      <x:c r="L366" s="279" t="n">
        <x:v>6300</x:v>
      </x:c>
      <x:c r="M366" s="279" t="str">
        <x:v>MW</x:v>
      </x:c>
      <x:c r="N366" s="279" t="n">
        <x:f>IF(L366="","",IF(M366="GW",L366*1000,IF(M366="GWh",L366*1000,IF(M366="TWh",L366*1000000,L366))))</x:f>
        <x:v>6300</x:v>
      </x:c>
      <x:c r="O366" s="83" t="str">
        <x:f>IF(L366="","",IF(M366="GW","MW",IF(OR(M366="GWh",M366="TWh"),"MWh",M366)))</x:f>
        <x:v>MW</x:v>
      </x:c>
      <x:c r="P366" s="83" t="str"/>
      <x:c r="Q366" s="349"/>
      <x:c r="R366" s="349" t="str">
        <x:f>IF(L366="","",IF(Q366&lt;&gt;"",L366*Q366,IF(OR(ISNUMBER(SEARCH("EUR2025",M366&amp;"")),P366=2025,P366="2025"),L366,"")))</x:f>
      </x:c>
      <x:c r="S366" s="83" t="str">
        <x:v>A — Direct</x:v>
      </x:c>
      <x:c r="T366" s="83" t="str">
        <x:v>Direct directional market-transfer capacity.</x:v>
      </x:c>
      <x:c r="U366" s="83" t="str">
        <x:v>S03</x:v>
      </x:c>
      <x:c r="V366" s="83" t="str">
        <x:v>S03 Figure 3 horizon 2040</x:v>
      </x:c>
      <x:c r="W366" s="120"/>
      <x:c r="X366" s="83" t="str">
        <x:v>A — Direct</x:v>
      </x:c>
      <x:c r="Y366" s="83" t="str">
        <x:v>Adopted</x:v>
      </x:c>
      <x:c r="Z366" s="83" t="str">
        <x:v>Ready when profiles/base network are available</x:v>
      </x:c>
      <x:c r="AA366" s="83" t="str">
        <x:v>Use endogenous PyPSA-Eur borders where available; otherwise DDS 2030 totals plus separately approved project overlays</x:v>
      </x:c>
    </x:row>
    <x:row r="367">
      <x:c r="A367" s="83" t="str">
        <x:v>S4-00363</x:v>
      </x:c>
      <x:c r="B367" s="83" t="str">
        <x:v>IT2040_ALT_SLOW</x:v>
      </x:c>
      <x:c r="C367" s="83" t="n">
        <x:v>2040</x:v>
      </x:c>
      <x:c r="D367" s="83" t="str">
        <x:v>Transmission</x:v>
      </x:c>
      <x:c r="E367" s="83" t="str">
        <x:v>SUD-&gt;CSUD</x:v>
      </x:c>
      <x:c r="F367" s="83" t="str">
        <x:v>SUD</x:v>
      </x:c>
      <x:c r="G367" s="83" t="str">
        <x:v>Capacità di scambio</x:v>
      </x:c>
      <x:c r="H367" s="83" t="str">
        <x:v>Directional interzonal link</x:v>
      </x:c>
      <x:c r="I367" s="83" t="str">
        <x:v>electricity</x:v>
      </x:c>
      <x:c r="J367" s="83" t="str">
        <x:v>Link</x:v>
      </x:c>
      <x:c r="K367" s="83" t="str">
        <x:v>p_nom</x:v>
      </x:c>
      <x:c r="L367" s="279" t="n">
        <x:v>9100</x:v>
      </x:c>
      <x:c r="M367" s="279" t="str">
        <x:v>MW</x:v>
      </x:c>
      <x:c r="N367" s="279" t="n">
        <x:f>IF(L367="","",IF(M367="GW",L367*1000,IF(M367="GWh",L367*1000,IF(M367="TWh",L367*1000000,L367))))</x:f>
        <x:v>9100</x:v>
      </x:c>
      <x:c r="O367" s="83" t="str">
        <x:f>IF(L367="","",IF(M367="GW","MW",IF(OR(M367="GWh",M367="TWh"),"MWh",M367)))</x:f>
        <x:v>MW</x:v>
      </x:c>
      <x:c r="P367" s="83" t="str"/>
      <x:c r="Q367" s="349"/>
      <x:c r="R367" s="349" t="str">
        <x:f>IF(L367="","",IF(Q367&lt;&gt;"",L367*Q367,IF(OR(ISNUMBER(SEARCH("EUR2025",M367&amp;"")),P367=2025,P367="2025"),L367,"")))</x:f>
      </x:c>
      <x:c r="S367" s="83" t="str">
        <x:v>A — Direct</x:v>
      </x:c>
      <x:c r="T367" s="83" t="str">
        <x:v>Direct directional market-transfer capacity.</x:v>
      </x:c>
      <x:c r="U367" s="83" t="str">
        <x:v>S03</x:v>
      </x:c>
      <x:c r="V367" s="83" t="str">
        <x:v>S03 Figure 3 horizon 2040</x:v>
      </x:c>
      <x:c r="W367" s="120"/>
      <x:c r="X367" s="83" t="str">
        <x:v>A — Direct</x:v>
      </x:c>
      <x:c r="Y367" s="83" t="str">
        <x:v>Adopted</x:v>
      </x:c>
      <x:c r="Z367" s="83" t="str">
        <x:v>Ready when profiles/base network are available</x:v>
      </x:c>
      <x:c r="AA367" s="83" t="str">
        <x:v>Use endogenous PyPSA-Eur borders where available; otherwise DDS 2030 totals plus separately approved project overlays</x:v>
      </x:c>
    </x:row>
    <x:row r="368">
      <x:c r="A368" s="83" t="str">
        <x:v>S4-00364</x:v>
      </x:c>
      <x:c r="B368" s="83" t="str">
        <x:v>IT2040_ALT_SLOW</x:v>
      </x:c>
      <x:c r="C368" s="83" t="n">
        <x:v>2040</x:v>
      </x:c>
      <x:c r="D368" s="83" t="str">
        <x:v>Transmission</x:v>
      </x:c>
      <x:c r="E368" s="83" t="str">
        <x:v>SUD-&gt;CALA</x:v>
      </x:c>
      <x:c r="F368" s="83" t="str">
        <x:v>SUD</x:v>
      </x:c>
      <x:c r="G368" s="83" t="str">
        <x:v>Capacità di scambio</x:v>
      </x:c>
      <x:c r="H368" s="83" t="str">
        <x:v>Directional interzonal link</x:v>
      </x:c>
      <x:c r="I368" s="83" t="str">
        <x:v>electricity</x:v>
      </x:c>
      <x:c r="J368" s="83" t="str">
        <x:v>Link</x:v>
      </x:c>
      <x:c r="K368" s="83" t="str">
        <x:v>p_nom</x:v>
      </x:c>
      <x:c r="L368" s="279" t="n">
        <x:v>4100</x:v>
      </x:c>
      <x:c r="M368" s="279" t="str">
        <x:v>MW</x:v>
      </x:c>
      <x:c r="N368" s="279" t="n">
        <x:f>IF(L368="","",IF(M368="GW",L368*1000,IF(M368="GWh",L368*1000,IF(M368="TWh",L368*1000000,L368))))</x:f>
        <x:v>4100</x:v>
      </x:c>
      <x:c r="O368" s="83" t="str">
        <x:f>IF(L368="","",IF(M368="GW","MW",IF(OR(M368="GWh",M368="TWh"),"MWh",M368)))</x:f>
        <x:v>MW</x:v>
      </x:c>
      <x:c r="P368" s="83" t="str"/>
      <x:c r="Q368" s="349"/>
      <x:c r="R368" s="349" t="str">
        <x:f>IF(L368="","",IF(Q368&lt;&gt;"",L368*Q368,IF(OR(ISNUMBER(SEARCH("EUR2025",M368&amp;"")),P368=2025,P368="2025"),L368,"")))</x:f>
      </x:c>
      <x:c r="S368" s="83" t="str">
        <x:v>A — Direct</x:v>
      </x:c>
      <x:c r="T368" s="83" t="str">
        <x:v>Direct directional market-transfer capacity.</x:v>
      </x:c>
      <x:c r="U368" s="83" t="str">
        <x:v>S03</x:v>
      </x:c>
      <x:c r="V368" s="83" t="str">
        <x:v>S03 Figure 3 horizon 2040</x:v>
      </x:c>
      <x:c r="W368" s="120"/>
      <x:c r="X368" s="83" t="str">
        <x:v>A — Direct</x:v>
      </x:c>
      <x:c r="Y368" s="83" t="str">
        <x:v>Adopted</x:v>
      </x:c>
      <x:c r="Z368" s="83" t="str">
        <x:v>Ready when profiles/base network are available</x:v>
      </x:c>
      <x:c r="AA368" s="83" t="str">
        <x:v>Use endogenous PyPSA-Eur borders where available; otherwise DDS 2030 totals plus separately approved project overlays</x:v>
      </x:c>
    </x:row>
    <x:row r="369">
      <x:c r="A369" s="83" t="str">
        <x:v>S4-00365</x:v>
      </x:c>
      <x:c r="B369" s="83" t="str">
        <x:v>IT2040_ALT_SLOW</x:v>
      </x:c>
      <x:c r="C369" s="83" t="n">
        <x:v>2040</x:v>
      </x:c>
      <x:c r="D369" s="83" t="str">
        <x:v>Transmission</x:v>
      </x:c>
      <x:c r="E369" s="83" t="str">
        <x:v>CALA-&gt;SUD</x:v>
      </x:c>
      <x:c r="F369" s="83" t="str">
        <x:v>CALA</x:v>
      </x:c>
      <x:c r="G369" s="83" t="str">
        <x:v>Capacità di scambio</x:v>
      </x:c>
      <x:c r="H369" s="83" t="str">
        <x:v>Directional interzonal link</x:v>
      </x:c>
      <x:c r="I369" s="83" t="str">
        <x:v>electricity</x:v>
      </x:c>
      <x:c r="J369" s="83" t="str">
        <x:v>Link</x:v>
      </x:c>
      <x:c r="K369" s="83" t="str">
        <x:v>p_nom</x:v>
      </x:c>
      <x:c r="L369" s="279" t="n">
        <x:v>5350</x:v>
      </x:c>
      <x:c r="M369" s="279" t="str">
        <x:v>MW</x:v>
      </x:c>
      <x:c r="N369" s="279" t="n">
        <x:f>IF(L369="","",IF(M369="GW",L369*1000,IF(M369="GWh",L369*1000,IF(M369="TWh",L369*1000000,L369))))</x:f>
        <x:v>5350</x:v>
      </x:c>
      <x:c r="O369" s="83" t="str">
        <x:f>IF(L369="","",IF(M369="GW","MW",IF(OR(M369="GWh",M369="TWh"),"MWh",M369)))</x:f>
        <x:v>MW</x:v>
      </x:c>
      <x:c r="P369" s="83" t="str"/>
      <x:c r="Q369" s="349"/>
      <x:c r="R369" s="349" t="str">
        <x:f>IF(L369="","",IF(Q369&lt;&gt;"",L369*Q369,IF(OR(ISNUMBER(SEARCH("EUR2025",M369&amp;"")),P369=2025,P369="2025"),L369,"")))</x:f>
      </x:c>
      <x:c r="S369" s="83" t="str">
        <x:v>A — Direct</x:v>
      </x:c>
      <x:c r="T369" s="83" t="str">
        <x:v>Direct directional market-transfer capacity.</x:v>
      </x:c>
      <x:c r="U369" s="83" t="str">
        <x:v>S03</x:v>
      </x:c>
      <x:c r="V369" s="83" t="str">
        <x:v>S03 Figure 3 horizon 2040</x:v>
      </x:c>
      <x:c r="W369" s="120"/>
      <x:c r="X369" s="83" t="str">
        <x:v>A — Direct</x:v>
      </x:c>
      <x:c r="Y369" s="83" t="str">
        <x:v>Adopted</x:v>
      </x:c>
      <x:c r="Z369" s="83" t="str">
        <x:v>Ready when profiles/base network are available</x:v>
      </x:c>
      <x:c r="AA369" s="83" t="str">
        <x:v>Use endogenous PyPSA-Eur borders where available; otherwise DDS 2030 totals plus separately approved project overlays</x:v>
      </x:c>
    </x:row>
    <x:row r="370">
      <x:c r="A370" s="83" t="str">
        <x:v>S4-00366</x:v>
      </x:c>
      <x:c r="B370" s="83" t="str">
        <x:v>IT2040_ALT_SLOW</x:v>
      </x:c>
      <x:c r="C370" s="83" t="n">
        <x:v>2040</x:v>
      </x:c>
      <x:c r="D370" s="83" t="str">
        <x:v>Transmission</x:v>
      </x:c>
      <x:c r="E370" s="83" t="str">
        <x:v>CALA-&gt;SICI</x:v>
      </x:c>
      <x:c r="F370" s="83" t="str">
        <x:v>CALA</x:v>
      </x:c>
      <x:c r="G370" s="83" t="str">
        <x:v>Capacità di scambio</x:v>
      </x:c>
      <x:c r="H370" s="83" t="str">
        <x:v>Directional interzonal link</x:v>
      </x:c>
      <x:c r="I370" s="83" t="str">
        <x:v>electricity</x:v>
      </x:c>
      <x:c r="J370" s="83" t="str">
        <x:v>Link</x:v>
      </x:c>
      <x:c r="K370" s="83" t="str">
        <x:v>p_nom</x:v>
      </x:c>
      <x:c r="L370" s="279" t="n">
        <x:v>4150</x:v>
      </x:c>
      <x:c r="M370" s="279" t="str">
        <x:v>MW</x:v>
      </x:c>
      <x:c r="N370" s="279" t="n">
        <x:f>IF(L370="","",IF(M370="GW",L370*1000,IF(M370="GWh",L370*1000,IF(M370="TWh",L370*1000000,L370))))</x:f>
        <x:v>4150</x:v>
      </x:c>
      <x:c r="O370" s="83" t="str">
        <x:f>IF(L370="","",IF(M370="GW","MW",IF(OR(M370="GWh",M370="TWh"),"MWh",M370)))</x:f>
        <x:v>MW</x:v>
      </x:c>
      <x:c r="P370" s="83" t="str"/>
      <x:c r="Q370" s="349"/>
      <x:c r="R370" s="349" t="str">
        <x:f>IF(L370="","",IF(Q370&lt;&gt;"",L370*Q370,IF(OR(ISNUMBER(SEARCH("EUR2025",M370&amp;"")),P370=2025,P370="2025"),L370,"")))</x:f>
      </x:c>
      <x:c r="S370" s="83" t="str">
        <x:v>A — Direct</x:v>
      </x:c>
      <x:c r="T370" s="83" t="str">
        <x:v>Direct directional market-transfer capacity.</x:v>
      </x:c>
      <x:c r="U370" s="83" t="str">
        <x:v>S03</x:v>
      </x:c>
      <x:c r="V370" s="83" t="str">
        <x:v>S03 Figure 3 horizon 2040</x:v>
      </x:c>
      <x:c r="W370" s="120"/>
      <x:c r="X370" s="83" t="str">
        <x:v>A — Direct</x:v>
      </x:c>
      <x:c r="Y370" s="83" t="str">
        <x:v>Adopted</x:v>
      </x:c>
      <x:c r="Z370" s="83" t="str">
        <x:v>Ready when profiles/base network are available</x:v>
      </x:c>
      <x:c r="AA370" s="83" t="str">
        <x:v>Use endogenous PyPSA-Eur borders where available; otherwise DDS 2030 totals plus separately approved project overlays</x:v>
      </x:c>
    </x:row>
    <x:row r="371">
      <x:c r="A371" s="83" t="str">
        <x:v>S4-00367</x:v>
      </x:c>
      <x:c r="B371" s="83" t="str">
        <x:v>IT2040_ALT_SLOW</x:v>
      </x:c>
      <x:c r="C371" s="83" t="n">
        <x:v>2040</x:v>
      </x:c>
      <x:c r="D371" s="83" t="str">
        <x:v>Transmission</x:v>
      </x:c>
      <x:c r="E371" s="83" t="str">
        <x:v>SICI-&gt;CALA</x:v>
      </x:c>
      <x:c r="F371" s="83" t="str">
        <x:v>SICI</x:v>
      </x:c>
      <x:c r="G371" s="83" t="str">
        <x:v>Capacità di scambio</x:v>
      </x:c>
      <x:c r="H371" s="83" t="str">
        <x:v>Directional interzonal link</x:v>
      </x:c>
      <x:c r="I371" s="83" t="str">
        <x:v>electricity</x:v>
      </x:c>
      <x:c r="J371" s="83" t="str">
        <x:v>Link</x:v>
      </x:c>
      <x:c r="K371" s="83" t="str">
        <x:v>p_nom</x:v>
      </x:c>
      <x:c r="L371" s="279" t="n">
        <x:v>4100</x:v>
      </x:c>
      <x:c r="M371" s="279" t="str">
        <x:v>MW</x:v>
      </x:c>
      <x:c r="N371" s="279" t="n">
        <x:f>IF(L371="","",IF(M371="GW",L371*1000,IF(M371="GWh",L371*1000,IF(M371="TWh",L371*1000000,L371))))</x:f>
        <x:v>4100</x:v>
      </x:c>
      <x:c r="O371" s="83" t="str">
        <x:f>IF(L371="","",IF(M371="GW","MW",IF(OR(M371="GWh",M371="TWh"),"MWh",M371)))</x:f>
        <x:v>MW</x:v>
      </x:c>
      <x:c r="P371" s="83" t="str"/>
      <x:c r="Q371" s="349"/>
      <x:c r="R371" s="349" t="str">
        <x:f>IF(L371="","",IF(Q371&lt;&gt;"",L371*Q371,IF(OR(ISNUMBER(SEARCH("EUR2025",M371&amp;"")),P371=2025,P371="2025"),L371,"")))</x:f>
      </x:c>
      <x:c r="S371" s="83" t="str">
        <x:v>A — Direct</x:v>
      </x:c>
      <x:c r="T371" s="83" t="str">
        <x:v>Direct directional market-transfer capacity.</x:v>
      </x:c>
      <x:c r="U371" s="83" t="str">
        <x:v>S03</x:v>
      </x:c>
      <x:c r="V371" s="83" t="str">
        <x:v>S03 Figure 3 horizon 2040</x:v>
      </x:c>
      <x:c r="W371" s="120"/>
      <x:c r="X371" s="83" t="str">
        <x:v>A — Direct</x:v>
      </x:c>
      <x:c r="Y371" s="83" t="str">
        <x:v>Adopted</x:v>
      </x:c>
      <x:c r="Z371" s="83" t="str">
        <x:v>Ready when profiles/base network are available</x:v>
      </x:c>
      <x:c r="AA371" s="83" t="str">
        <x:v>Use endogenous PyPSA-Eur borders where available; otherwise DDS 2030 totals plus separately approved project overlays</x:v>
      </x:c>
    </x:row>
    <x:row r="372">
      <x:c r="A372" s="83" t="str">
        <x:v>S4-00368</x:v>
      </x:c>
      <x:c r="B372" s="83" t="str">
        <x:v>IT2040_ALT_SLOW</x:v>
      </x:c>
      <x:c r="C372" s="83" t="n">
        <x:v>2040</x:v>
      </x:c>
      <x:c r="D372" s="83" t="str">
        <x:v>Transmission</x:v>
      </x:c>
      <x:c r="E372" s="83" t="str">
        <x:v>CSUD-&gt;SARD</x:v>
      </x:c>
      <x:c r="F372" s="83" t="str">
        <x:v>CSUD</x:v>
      </x:c>
      <x:c r="G372" s="83" t="str">
        <x:v>Capacità di scambio</x:v>
      </x:c>
      <x:c r="H372" s="83" t="str">
        <x:v>Directional interzonal link</x:v>
      </x:c>
      <x:c r="I372" s="83" t="str">
        <x:v>electricity</x:v>
      </x:c>
      <x:c r="J372" s="83" t="str">
        <x:v>Link</x:v>
      </x:c>
      <x:c r="K372" s="83" t="str">
        <x:v>p_nom</x:v>
      </x:c>
      <x:c r="L372" s="279" t="n">
        <x:v>1720</x:v>
      </x:c>
      <x:c r="M372" s="279" t="str">
        <x:v>MW</x:v>
      </x:c>
      <x:c r="N372" s="279" t="n">
        <x:f>IF(L372="","",IF(M372="GW",L372*1000,IF(M372="GWh",L372*1000,IF(M372="TWh",L372*1000000,L372))))</x:f>
        <x:v>1720</x:v>
      </x:c>
      <x:c r="O372" s="83" t="str">
        <x:f>IF(L372="","",IF(M372="GW","MW",IF(OR(M372="GWh",M372="TWh"),"MWh",M372)))</x:f>
        <x:v>MW</x:v>
      </x:c>
      <x:c r="P372" s="83" t="str"/>
      <x:c r="Q372" s="349"/>
      <x:c r="R372" s="349" t="str">
        <x:f>IF(L372="","",IF(Q372&lt;&gt;"",L372*Q372,IF(OR(ISNUMBER(SEARCH("EUR2025",M372&amp;"")),P372=2025,P372="2025"),L372,"")))</x:f>
      </x:c>
      <x:c r="S372" s="83" t="str">
        <x:v>A — Direct</x:v>
      </x:c>
      <x:c r="T372" s="83" t="str">
        <x:v>Direct directional market-transfer capacity.</x:v>
      </x:c>
      <x:c r="U372" s="83" t="str">
        <x:v>S03</x:v>
      </x:c>
      <x:c r="V372" s="83" t="str">
        <x:v>S03 Figure 3 horizon 2040</x:v>
      </x:c>
      <x:c r="W372" s="120"/>
      <x:c r="X372" s="83" t="str">
        <x:v>A — Direct</x:v>
      </x:c>
      <x:c r="Y372" s="83" t="str">
        <x:v>Adopted</x:v>
      </x:c>
      <x:c r="Z372" s="83" t="str">
        <x:v>Ready when profiles/base network are available</x:v>
      </x:c>
      <x:c r="AA372" s="83" t="str">
        <x:v>Use endogenous PyPSA-Eur borders where available; otherwise DDS 2030 totals plus separately approved project overlays</x:v>
      </x:c>
    </x:row>
    <x:row r="373">
      <x:c r="A373" s="83" t="str">
        <x:v>S4-00369</x:v>
      </x:c>
      <x:c r="B373" s="83" t="str">
        <x:v>IT2040_ALT_SLOW</x:v>
      </x:c>
      <x:c r="C373" s="83" t="n">
        <x:v>2040</x:v>
      </x:c>
      <x:c r="D373" s="83" t="str">
        <x:v>Transmission</x:v>
      </x:c>
      <x:c r="E373" s="83" t="str">
        <x:v>SARD-&gt;CSUD</x:v>
      </x:c>
      <x:c r="F373" s="83" t="str">
        <x:v>SARD</x:v>
      </x:c>
      <x:c r="G373" s="83" t="str">
        <x:v>Capacità di scambio</x:v>
      </x:c>
      <x:c r="H373" s="83" t="str">
        <x:v>Directional interzonal link</x:v>
      </x:c>
      <x:c r="I373" s="83" t="str">
        <x:v>electricity</x:v>
      </x:c>
      <x:c r="J373" s="83" t="str">
        <x:v>Link</x:v>
      </x:c>
      <x:c r="K373" s="83" t="str">
        <x:v>p_nom</x:v>
      </x:c>
      <x:c r="L373" s="279" t="n">
        <x:v>1900</x:v>
      </x:c>
      <x:c r="M373" s="279" t="str">
        <x:v>MW</x:v>
      </x:c>
      <x:c r="N373" s="279" t="n">
        <x:f>IF(L373="","",IF(M373="GW",L373*1000,IF(M373="GWh",L373*1000,IF(M373="TWh",L373*1000000,L373))))</x:f>
        <x:v>1900</x:v>
      </x:c>
      <x:c r="O373" s="83" t="str">
        <x:f>IF(L373="","",IF(M373="GW","MW",IF(OR(M373="GWh",M373="TWh"),"MWh",M373)))</x:f>
        <x:v>MW</x:v>
      </x:c>
      <x:c r="P373" s="83" t="str"/>
      <x:c r="Q373" s="349"/>
      <x:c r="R373" s="349" t="str">
        <x:f>IF(L373="","",IF(Q373&lt;&gt;"",L373*Q373,IF(OR(ISNUMBER(SEARCH("EUR2025",M373&amp;"")),P373=2025,P373="2025"),L373,"")))</x:f>
      </x:c>
      <x:c r="S373" s="83" t="str">
        <x:v>A — Direct</x:v>
      </x:c>
      <x:c r="T373" s="83" t="str">
        <x:v>Direct directional market-transfer capacity.</x:v>
      </x:c>
      <x:c r="U373" s="83" t="str">
        <x:v>S03</x:v>
      </x:c>
      <x:c r="V373" s="83" t="str">
        <x:v>S03 Figure 3 horizon 2040</x:v>
      </x:c>
      <x:c r="W373" s="120"/>
      <x:c r="X373" s="83" t="str">
        <x:v>A — Direct</x:v>
      </x:c>
      <x:c r="Y373" s="83" t="str">
        <x:v>Adopted</x:v>
      </x:c>
      <x:c r="Z373" s="83" t="str">
        <x:v>Ready when profiles/base network are available</x:v>
      </x:c>
      <x:c r="AA373" s="83" t="str">
        <x:v>Use endogenous PyPSA-Eur borders where available; otherwise DDS 2030 totals plus separately approved project overlays</x:v>
      </x:c>
    </x:row>
    <x:row r="374">
      <x:c r="A374" s="83" t="str">
        <x:v>S4-00370</x:v>
      </x:c>
      <x:c r="B374" s="83" t="str">
        <x:v>IT2040_ALT_SLOW</x:v>
      </x:c>
      <x:c r="C374" s="83" t="n">
        <x:v>2040</x:v>
      </x:c>
      <x:c r="D374" s="83" t="str">
        <x:v>Transmission</x:v>
      </x:c>
      <x:c r="E374" s="83" t="str">
        <x:v>CNOR-&gt;CORS</x:v>
      </x:c>
      <x:c r="F374" s="83" t="str">
        <x:v>CNOR</x:v>
      </x:c>
      <x:c r="G374" s="83" t="str">
        <x:v>Capacità di scambio</x:v>
      </x:c>
      <x:c r="H374" s="83" t="str">
        <x:v>Directional interzonal link</x:v>
      </x:c>
      <x:c r="I374" s="83" t="str">
        <x:v>electricity</x:v>
      </x:c>
      <x:c r="J374" s="83" t="str">
        <x:v>Link</x:v>
      </x:c>
      <x:c r="K374" s="83" t="str">
        <x:v>p_nom</x:v>
      </x:c>
      <x:c r="L374" s="279" t="n">
        <x:v>400</x:v>
      </x:c>
      <x:c r="M374" s="279" t="str">
        <x:v>MW</x:v>
      </x:c>
      <x:c r="N374" s="279" t="n">
        <x:f>IF(L374="","",IF(M374="GW",L374*1000,IF(M374="GWh",L374*1000,IF(M374="TWh",L374*1000000,L374))))</x:f>
        <x:v>400</x:v>
      </x:c>
      <x:c r="O374" s="83" t="str">
        <x:f>IF(L374="","",IF(M374="GW","MW",IF(OR(M374="GWh",M374="TWh"),"MWh",M374)))</x:f>
        <x:v>MW</x:v>
      </x:c>
      <x:c r="P374" s="83" t="str"/>
      <x:c r="Q374" s="349"/>
      <x:c r="R374" s="349" t="str">
        <x:f>IF(L374="","",IF(Q374&lt;&gt;"",L374*Q374,IF(OR(ISNUMBER(SEARCH("EUR2025",M374&amp;"")),P374=2025,P374="2025"),L374,"")))</x:f>
      </x:c>
      <x:c r="S374" s="83" t="str">
        <x:v>A — Direct</x:v>
      </x:c>
      <x:c r="T374" s="83" t="str">
        <x:v>Direct directional market-transfer capacity.</x:v>
      </x:c>
      <x:c r="U374" s="83" t="str">
        <x:v>S03</x:v>
      </x:c>
      <x:c r="V374" s="83" t="str">
        <x:v>S03 Figure 3 horizon 2040</x:v>
      </x:c>
      <x:c r="W374" s="120"/>
      <x:c r="X374" s="83" t="str">
        <x:v>A — Direct</x:v>
      </x:c>
      <x:c r="Y374" s="83" t="str">
        <x:v>Adopted</x:v>
      </x:c>
      <x:c r="Z374" s="83" t="str">
        <x:v>Ready when profiles/base network are available</x:v>
      </x:c>
      <x:c r="AA374" s="83" t="str">
        <x:v>Use endogenous PyPSA-Eur borders where available; otherwise DDS 2030 totals plus separately approved project overlays</x:v>
      </x:c>
    </x:row>
    <x:row r="375">
      <x:c r="A375" s="83" t="str">
        <x:v>S4-00371</x:v>
      </x:c>
      <x:c r="B375" s="83" t="str">
        <x:v>IT2040_ALT_SLOW</x:v>
      </x:c>
      <x:c r="C375" s="83" t="n">
        <x:v>2040</x:v>
      </x:c>
      <x:c r="D375" s="83" t="str">
        <x:v>Transmission</x:v>
      </x:c>
      <x:c r="E375" s="83" t="str">
        <x:v>CORS-&gt;CNOR</x:v>
      </x:c>
      <x:c r="F375" s="83" t="str">
        <x:v>CORS</x:v>
      </x:c>
      <x:c r="G375" s="83" t="str">
        <x:v>Capacità di scambio</x:v>
      </x:c>
      <x:c r="H375" s="83" t="str">
        <x:v>Directional interzonal link</x:v>
      </x:c>
      <x:c r="I375" s="83" t="str">
        <x:v>electricity</x:v>
      </x:c>
      <x:c r="J375" s="83" t="str">
        <x:v>Link</x:v>
      </x:c>
      <x:c r="K375" s="83" t="str">
        <x:v>p_nom</x:v>
      </x:c>
      <x:c r="L375" s="279" t="n">
        <x:v>400</x:v>
      </x:c>
      <x:c r="M375" s="279" t="str">
        <x:v>MW</x:v>
      </x:c>
      <x:c r="N375" s="279" t="n">
        <x:f>IF(L375="","",IF(M375="GW",L375*1000,IF(M375="GWh",L375*1000,IF(M375="TWh",L375*1000000,L375))))</x:f>
        <x:v>400</x:v>
      </x:c>
      <x:c r="O375" s="83" t="str">
        <x:f>IF(L375="","",IF(M375="GW","MW",IF(OR(M375="GWh",M375="TWh"),"MWh",M375)))</x:f>
        <x:v>MW</x:v>
      </x:c>
      <x:c r="P375" s="83" t="str"/>
      <x:c r="Q375" s="349"/>
      <x:c r="R375" s="349" t="str">
        <x:f>IF(L375="","",IF(Q375&lt;&gt;"",L375*Q375,IF(OR(ISNUMBER(SEARCH("EUR2025",M375&amp;"")),P375=2025,P375="2025"),L375,"")))</x:f>
      </x:c>
      <x:c r="S375" s="83" t="str">
        <x:v>A — Direct</x:v>
      </x:c>
      <x:c r="T375" s="83" t="str">
        <x:v>Direct directional market-transfer capacity.</x:v>
      </x:c>
      <x:c r="U375" s="83" t="str">
        <x:v>S03</x:v>
      </x:c>
      <x:c r="V375" s="83" t="str">
        <x:v>S03 Figure 3 horizon 2040</x:v>
      </x:c>
      <x:c r="W375" s="120"/>
      <x:c r="X375" s="83" t="str">
        <x:v>A — Direct</x:v>
      </x:c>
      <x:c r="Y375" s="83" t="str">
        <x:v>Adopted</x:v>
      </x:c>
      <x:c r="Z375" s="83" t="str">
        <x:v>Ready when profiles/base network are available</x:v>
      </x:c>
      <x:c r="AA375" s="83" t="str">
        <x:v>Use endogenous PyPSA-Eur borders where available; otherwise DDS 2030 totals plus separately approved project overlays</x:v>
      </x:c>
    </x:row>
    <x:row r="376">
      <x:c r="A376" s="83" t="str">
        <x:v>S4-00372</x:v>
      </x:c>
      <x:c r="B376" s="83" t="str">
        <x:v>IT2040_ALT_SLOW</x:v>
      </x:c>
      <x:c r="C376" s="83" t="n">
        <x:v>2040</x:v>
      </x:c>
      <x:c r="D376" s="83" t="str">
        <x:v>Transmission</x:v>
      </x:c>
      <x:c r="E376" s="83" t="str">
        <x:v>CORS-&gt;SARD</x:v>
      </x:c>
      <x:c r="F376" s="83" t="str">
        <x:v>CORS</x:v>
      </x:c>
      <x:c r="G376" s="83" t="str">
        <x:v>Capacità di scambio</x:v>
      </x:c>
      <x:c r="H376" s="83" t="str">
        <x:v>Directional interzonal link</x:v>
      </x:c>
      <x:c r="I376" s="83" t="str">
        <x:v>electricity</x:v>
      </x:c>
      <x:c r="J376" s="83" t="str">
        <x:v>Link</x:v>
      </x:c>
      <x:c r="K376" s="83" t="str">
        <x:v>p_nom</x:v>
      </x:c>
      <x:c r="L376" s="279" t="n">
        <x:v>400</x:v>
      </x:c>
      <x:c r="M376" s="279" t="str">
        <x:v>MW</x:v>
      </x:c>
      <x:c r="N376" s="279" t="n">
        <x:f>IF(L376="","",IF(M376="GW",L376*1000,IF(M376="GWh",L376*1000,IF(M376="TWh",L376*1000000,L376))))</x:f>
        <x:v>400</x:v>
      </x:c>
      <x:c r="O376" s="83" t="str">
        <x:f>IF(L376="","",IF(M376="GW","MW",IF(OR(M376="GWh",M376="TWh"),"MWh",M376)))</x:f>
        <x:v>MW</x:v>
      </x:c>
      <x:c r="P376" s="83" t="str"/>
      <x:c r="Q376" s="349"/>
      <x:c r="R376" s="349" t="str">
        <x:f>IF(L376="","",IF(Q376&lt;&gt;"",L376*Q376,IF(OR(ISNUMBER(SEARCH("EUR2025",M376&amp;"")),P376=2025,P376="2025"),L376,"")))</x:f>
      </x:c>
      <x:c r="S376" s="83" t="str">
        <x:v>A — Direct</x:v>
      </x:c>
      <x:c r="T376" s="83" t="str">
        <x:v>Direct directional market-transfer capacity.</x:v>
      </x:c>
      <x:c r="U376" s="83" t="str">
        <x:v>S03</x:v>
      </x:c>
      <x:c r="V376" s="83" t="str">
        <x:v>S03 Figure 3 horizon 2040</x:v>
      </x:c>
      <x:c r="W376" s="120"/>
      <x:c r="X376" s="83" t="str">
        <x:v>A — Direct</x:v>
      </x:c>
      <x:c r="Y376" s="83" t="str">
        <x:v>Adopted</x:v>
      </x:c>
      <x:c r="Z376" s="83" t="str">
        <x:v>Ready when profiles/base network are available</x:v>
      </x:c>
      <x:c r="AA376" s="83" t="str">
        <x:v>Use endogenous PyPSA-Eur borders where available; otherwise DDS 2030 totals plus separately approved project overlays</x:v>
      </x:c>
    </x:row>
    <x:row r="377">
      <x:c r="A377" s="83" t="str">
        <x:v>S4-00373</x:v>
      </x:c>
      <x:c r="B377" s="83" t="str">
        <x:v>IT2040_ALT_SLOW</x:v>
      </x:c>
      <x:c r="C377" s="83" t="n">
        <x:v>2040</x:v>
      </x:c>
      <x:c r="D377" s="83" t="str">
        <x:v>Transmission</x:v>
      </x:c>
      <x:c r="E377" s="83" t="str">
        <x:v>SARD-&gt;CORS</x:v>
      </x:c>
      <x:c r="F377" s="83" t="str">
        <x:v>SARD</x:v>
      </x:c>
      <x:c r="G377" s="83" t="str">
        <x:v>Capacità di scambio</x:v>
      </x:c>
      <x:c r="H377" s="83" t="str">
        <x:v>Directional interzonal link</x:v>
      </x:c>
      <x:c r="I377" s="83" t="str">
        <x:v>electricity</x:v>
      </x:c>
      <x:c r="J377" s="83" t="str">
        <x:v>Link</x:v>
      </x:c>
      <x:c r="K377" s="83" t="str">
        <x:v>p_nom</x:v>
      </x:c>
      <x:c r="L377" s="279" t="n">
        <x:v>400</x:v>
      </x:c>
      <x:c r="M377" s="279" t="str">
        <x:v>MW</x:v>
      </x:c>
      <x:c r="N377" s="279" t="n">
        <x:f>IF(L377="","",IF(M377="GW",L377*1000,IF(M377="GWh",L377*1000,IF(M377="TWh",L377*1000000,L377))))</x:f>
        <x:v>400</x:v>
      </x:c>
      <x:c r="O377" s="83" t="str">
        <x:f>IF(L377="","",IF(M377="GW","MW",IF(OR(M377="GWh",M377="TWh"),"MWh",M377)))</x:f>
        <x:v>MW</x:v>
      </x:c>
      <x:c r="P377" s="83" t="str"/>
      <x:c r="Q377" s="349"/>
      <x:c r="R377" s="349" t="str">
        <x:f>IF(L377="","",IF(Q377&lt;&gt;"",L377*Q377,IF(OR(ISNUMBER(SEARCH("EUR2025",M377&amp;"")),P377=2025,P377="2025"),L377,"")))</x:f>
      </x:c>
      <x:c r="S377" s="83" t="str">
        <x:v>A — Direct</x:v>
      </x:c>
      <x:c r="T377" s="83" t="str">
        <x:v>Direct directional market-transfer capacity.</x:v>
      </x:c>
      <x:c r="U377" s="83" t="str">
        <x:v>S03</x:v>
      </x:c>
      <x:c r="V377" s="83" t="str">
        <x:v>S03 Figure 3 horizon 2040</x:v>
      </x:c>
      <x:c r="W377" s="120"/>
      <x:c r="X377" s="83" t="str">
        <x:v>A — Direct</x:v>
      </x:c>
      <x:c r="Y377" s="83" t="str">
        <x:v>Adopted</x:v>
      </x:c>
      <x:c r="Z377" s="83" t="str">
        <x:v>Ready when profiles/base network are available</x:v>
      </x:c>
      <x:c r="AA377" s="83" t="str">
        <x:v>Use endogenous PyPSA-Eur borders where available; otherwise DDS 2030 totals plus separately approved project overlays</x:v>
      </x:c>
    </x:row>
    <x:row r="378">
      <x:c r="A378" s="83" t="str">
        <x:v>S4-00374</x:v>
      </x:c>
      <x:c r="B378" s="83" t="str">
        <x:v>IT2040_ALT_SLOW</x:v>
      </x:c>
      <x:c r="C378" s="83" t="n">
        <x:v>2040</x:v>
      </x:c>
      <x:c r="D378" s="83" t="str">
        <x:v>Transmission</x:v>
      </x:c>
      <x:c r="E378" s="83" t="str">
        <x:v>NORD-&gt;SUD</x:v>
      </x:c>
      <x:c r="F378" s="83" t="str">
        <x:v>NORD</x:v>
      </x:c>
      <x:c r="G378" s="83" t="str">
        <x:v>Capacità di scambio</x:v>
      </x:c>
      <x:c r="H378" s="83" t="str">
        <x:v>Directional interzonal link</x:v>
      </x:c>
      <x:c r="I378" s="83" t="str">
        <x:v>electricity</x:v>
      </x:c>
      <x:c r="J378" s="83" t="str">
        <x:v>Link</x:v>
      </x:c>
      <x:c r="K378" s="83" t="str">
        <x:v>p_nom</x:v>
      </x:c>
      <x:c r="L378" s="279" t="n">
        <x:v>2100</x:v>
      </x:c>
      <x:c r="M378" s="279" t="str">
        <x:v>MW</x:v>
      </x:c>
      <x:c r="N378" s="279" t="n">
        <x:f>IF(L378="","",IF(M378="GW",L378*1000,IF(M378="GWh",L378*1000,IF(M378="TWh",L378*1000000,L378))))</x:f>
        <x:v>2100</x:v>
      </x:c>
      <x:c r="O378" s="83" t="str">
        <x:f>IF(L378="","",IF(M378="GW","MW",IF(OR(M378="GWh",M378="TWh"),"MWh",M378)))</x:f>
        <x:v>MW</x:v>
      </x:c>
      <x:c r="P378" s="83" t="str"/>
      <x:c r="Q378" s="349"/>
      <x:c r="R378" s="349" t="str">
        <x:f>IF(L378="","",IF(Q378&lt;&gt;"",L378*Q378,IF(OR(ISNUMBER(SEARCH("EUR2025",M378&amp;"")),P378=2025,P378="2025"),L378,"")))</x:f>
      </x:c>
      <x:c r="S378" s="83" t="str">
        <x:v>A — Direct</x:v>
      </x:c>
      <x:c r="T378" s="83" t="str">
        <x:v>Direct directional market-transfer capacity.</x:v>
      </x:c>
      <x:c r="U378" s="83" t="str">
        <x:v>S03</x:v>
      </x:c>
      <x:c r="V378" s="83" t="str">
        <x:v>S03 Figure 3 horizon 2040</x:v>
      </x:c>
      <x:c r="W378" s="120"/>
      <x:c r="X378" s="83" t="str">
        <x:v>A — Direct</x:v>
      </x:c>
      <x:c r="Y378" s="83" t="str">
        <x:v>Adopted</x:v>
      </x:c>
      <x:c r="Z378" s="83" t="str">
        <x:v>Ready when profiles/base network are available</x:v>
      </x:c>
      <x:c r="AA378" s="83" t="str">
        <x:v>Use endogenous PyPSA-Eur borders where available; otherwise DDS 2030 totals plus separately approved project overlays</x:v>
      </x:c>
    </x:row>
    <x:row r="379">
      <x:c r="A379" s="83" t="str">
        <x:v>S4-00375</x:v>
      </x:c>
      <x:c r="B379" s="83" t="str">
        <x:v>IT2040_ALT_SLOW</x:v>
      </x:c>
      <x:c r="C379" s="83" t="n">
        <x:v>2040</x:v>
      </x:c>
      <x:c r="D379" s="83" t="str">
        <x:v>Transmission</x:v>
      </x:c>
      <x:c r="E379" s="83" t="str">
        <x:v>SUD-&gt;NORD</x:v>
      </x:c>
      <x:c r="F379" s="83" t="str">
        <x:v>SUD</x:v>
      </x:c>
      <x:c r="G379" s="83" t="str">
        <x:v>Capacità di scambio</x:v>
      </x:c>
      <x:c r="H379" s="83" t="str">
        <x:v>Directional interzonal link</x:v>
      </x:c>
      <x:c r="I379" s="83" t="str">
        <x:v>electricity</x:v>
      </x:c>
      <x:c r="J379" s="83" t="str">
        <x:v>Link</x:v>
      </x:c>
      <x:c r="K379" s="83" t="str">
        <x:v>p_nom</x:v>
      </x:c>
      <x:c r="L379" s="279" t="n">
        <x:v>2100</x:v>
      </x:c>
      <x:c r="M379" s="279" t="str">
        <x:v>MW</x:v>
      </x:c>
      <x:c r="N379" s="279" t="n">
        <x:f>IF(L379="","",IF(M379="GW",L379*1000,IF(M379="GWh",L379*1000,IF(M379="TWh",L379*1000000,L379))))</x:f>
        <x:v>2100</x:v>
      </x:c>
      <x:c r="O379" s="83" t="str">
        <x:f>IF(L379="","",IF(M379="GW","MW",IF(OR(M379="GWh",M379="TWh"),"MWh",M379)))</x:f>
        <x:v>MW</x:v>
      </x:c>
      <x:c r="P379" s="83" t="str"/>
      <x:c r="Q379" s="349"/>
      <x:c r="R379" s="349" t="str">
        <x:f>IF(L379="","",IF(Q379&lt;&gt;"",L379*Q379,IF(OR(ISNUMBER(SEARCH("EUR2025",M379&amp;"")),P379=2025,P379="2025"),L379,"")))</x:f>
      </x:c>
      <x:c r="S379" s="83" t="str">
        <x:v>A — Direct</x:v>
      </x:c>
      <x:c r="T379" s="83" t="str">
        <x:v>Direct directional market-transfer capacity.</x:v>
      </x:c>
      <x:c r="U379" s="83" t="str">
        <x:v>S03</x:v>
      </x:c>
      <x:c r="V379" s="83" t="str">
        <x:v>S03 Figure 3 horizon 2040</x:v>
      </x:c>
      <x:c r="W379" s="120"/>
      <x:c r="X379" s="83" t="str">
        <x:v>A — Direct</x:v>
      </x:c>
      <x:c r="Y379" s="83" t="str">
        <x:v>Adopted</x:v>
      </x:c>
      <x:c r="Z379" s="83" t="str">
        <x:v>Ready when profiles/base network are available</x:v>
      </x:c>
      <x:c r="AA379" s="83" t="str">
        <x:v>Use endogenous PyPSA-Eur borders where available; otherwise DDS 2030 totals plus separately approved project overlays</x:v>
      </x:c>
    </x:row>
    <x:row r="380">
      <x:c r="A380" s="83" t="str">
        <x:v>S4-00376</x:v>
      </x:c>
      <x:c r="B380" s="83" t="str">
        <x:v>IT2040_ALT_SLOW</x:v>
      </x:c>
      <x:c r="C380" s="83" t="n">
        <x:v>2040</x:v>
      </x:c>
      <x:c r="D380" s="83" t="str">
        <x:v>Transmission</x:v>
      </x:c>
      <x:c r="E380" s="83" t="str">
        <x:v>NORD-&gt;CSUD</x:v>
      </x:c>
      <x:c r="F380" s="83" t="str">
        <x:v>NORD</x:v>
      </x:c>
      <x:c r="G380" s="83" t="str">
        <x:v>Capacità di scambio</x:v>
      </x:c>
      <x:c r="H380" s="83" t="str">
        <x:v>Directional interzonal link</x:v>
      </x:c>
      <x:c r="I380" s="83" t="str">
        <x:v>electricity</x:v>
      </x:c>
      <x:c r="J380" s="83" t="str">
        <x:v>Link</x:v>
      </x:c>
      <x:c r="K380" s="83" t="str">
        <x:v>p_nom</x:v>
      </x:c>
      <x:c r="L380" s="279" t="n">
        <x:v>2100</x:v>
      </x:c>
      <x:c r="M380" s="279" t="str">
        <x:v>MW</x:v>
      </x:c>
      <x:c r="N380" s="279" t="n">
        <x:f>IF(L380="","",IF(M380="GW",L380*1000,IF(M380="GWh",L380*1000,IF(M380="TWh",L380*1000000,L380))))</x:f>
        <x:v>2100</x:v>
      </x:c>
      <x:c r="O380" s="83" t="str">
        <x:f>IF(L380="","",IF(M380="GW","MW",IF(OR(M380="GWh",M380="TWh"),"MWh",M380)))</x:f>
        <x:v>MW</x:v>
      </x:c>
      <x:c r="P380" s="83" t="str"/>
      <x:c r="Q380" s="349"/>
      <x:c r="R380" s="349" t="str">
        <x:f>IF(L380="","",IF(Q380&lt;&gt;"",L380*Q380,IF(OR(ISNUMBER(SEARCH("EUR2025",M380&amp;"")),P380=2025,P380="2025"),L380,"")))</x:f>
      </x:c>
      <x:c r="S380" s="83" t="str">
        <x:v>A — Direct</x:v>
      </x:c>
      <x:c r="T380" s="83" t="str">
        <x:v>Direct directional market-transfer capacity.</x:v>
      </x:c>
      <x:c r="U380" s="83" t="str">
        <x:v>S03</x:v>
      </x:c>
      <x:c r="V380" s="83" t="str">
        <x:v>S03 Figure 3 horizon 2040</x:v>
      </x:c>
      <x:c r="W380" s="120"/>
      <x:c r="X380" s="83" t="str">
        <x:v>A — Direct</x:v>
      </x:c>
      <x:c r="Y380" s="83" t="str">
        <x:v>Adopted</x:v>
      </x:c>
      <x:c r="Z380" s="83" t="str">
        <x:v>Ready when profiles/base network are available</x:v>
      </x:c>
      <x:c r="AA380" s="83" t="str">
        <x:v>Use endogenous PyPSA-Eur borders where available; otherwise DDS 2030 totals plus separately approved project overlays</x:v>
      </x:c>
    </x:row>
    <x:row r="381">
      <x:c r="A381" s="83" t="str">
        <x:v>S4-00377</x:v>
      </x:c>
      <x:c r="B381" s="83" t="str">
        <x:v>IT2040_ALT_SLOW</x:v>
      </x:c>
      <x:c r="C381" s="83" t="n">
        <x:v>2040</x:v>
      </x:c>
      <x:c r="D381" s="83" t="str">
        <x:v>Transmission</x:v>
      </x:c>
      <x:c r="E381" s="83" t="str">
        <x:v>CSUD-&gt;NORD</x:v>
      </x:c>
      <x:c r="F381" s="83" t="str">
        <x:v>CSUD</x:v>
      </x:c>
      <x:c r="G381" s="83" t="str">
        <x:v>Capacità di scambio</x:v>
      </x:c>
      <x:c r="H381" s="83" t="str">
        <x:v>Directional interzonal link</x:v>
      </x:c>
      <x:c r="I381" s="83" t="str">
        <x:v>electricity</x:v>
      </x:c>
      <x:c r="J381" s="83" t="str">
        <x:v>Link</x:v>
      </x:c>
      <x:c r="K381" s="83" t="str">
        <x:v>p_nom</x:v>
      </x:c>
      <x:c r="L381" s="279" t="n">
        <x:v>2100</x:v>
      </x:c>
      <x:c r="M381" s="279" t="str">
        <x:v>MW</x:v>
      </x:c>
      <x:c r="N381" s="279" t="n">
        <x:f>IF(L381="","",IF(M381="GW",L381*1000,IF(M381="GWh",L381*1000,IF(M381="TWh",L381*1000000,L381))))</x:f>
        <x:v>2100</x:v>
      </x:c>
      <x:c r="O381" s="83" t="str">
        <x:f>IF(L381="","",IF(M381="GW","MW",IF(OR(M381="GWh",M381="TWh"),"MWh",M381)))</x:f>
        <x:v>MW</x:v>
      </x:c>
      <x:c r="P381" s="83" t="str"/>
      <x:c r="Q381" s="349"/>
      <x:c r="R381" s="349" t="str">
        <x:f>IF(L381="","",IF(Q381&lt;&gt;"",L381*Q381,IF(OR(ISNUMBER(SEARCH("EUR2025",M381&amp;"")),P381=2025,P381="2025"),L381,"")))</x:f>
      </x:c>
      <x:c r="S381" s="83" t="str">
        <x:v>A — Direct</x:v>
      </x:c>
      <x:c r="T381" s="83" t="str">
        <x:v>Direct directional market-transfer capacity.</x:v>
      </x:c>
      <x:c r="U381" s="83" t="str">
        <x:v>S03</x:v>
      </x:c>
      <x:c r="V381" s="83" t="str">
        <x:v>S03 Figure 3 horizon 2040</x:v>
      </x:c>
      <x:c r="W381" s="120"/>
      <x:c r="X381" s="83" t="str">
        <x:v>A — Direct</x:v>
      </x:c>
      <x:c r="Y381" s="83" t="str">
        <x:v>Adopted</x:v>
      </x:c>
      <x:c r="Z381" s="83" t="str">
        <x:v>Ready when profiles/base network are available</x:v>
      </x:c>
      <x:c r="AA381" s="83" t="str">
        <x:v>Use endogenous PyPSA-Eur borders where available; otherwise DDS 2030 totals plus separately approved project overlays</x:v>
      </x:c>
    </x:row>
    <x:row r="382">
      <x:c r="A382" s="83" t="str">
        <x:v>S4-00378</x:v>
      </x:c>
      <x:c r="B382" s="83" t="str">
        <x:v>IT2040_ALT_SLOW</x:v>
      </x:c>
      <x:c r="C382" s="83" t="n">
        <x:v>2040</x:v>
      </x:c>
      <x:c r="D382" s="83" t="str">
        <x:v>Transmission</x:v>
      </x:c>
      <x:c r="E382" s="83" t="str">
        <x:v>CSUD-&gt;SICI</x:v>
      </x:c>
      <x:c r="F382" s="83" t="str">
        <x:v>CSUD</x:v>
      </x:c>
      <x:c r="G382" s="83" t="str">
        <x:v>Capacità di scambio</x:v>
      </x:c>
      <x:c r="H382" s="83" t="str">
        <x:v>Directional interzonal link</x:v>
      </x:c>
      <x:c r="I382" s="83" t="str">
        <x:v>electricity</x:v>
      </x:c>
      <x:c r="J382" s="83" t="str">
        <x:v>Link</x:v>
      </x:c>
      <x:c r="K382" s="83" t="str">
        <x:v>p_nom</x:v>
      </x:c>
      <x:c r="L382" s="279" t="n">
        <x:v>1000</x:v>
      </x:c>
      <x:c r="M382" s="279" t="str">
        <x:v>MW</x:v>
      </x:c>
      <x:c r="N382" s="279" t="n">
        <x:f>IF(L382="","",IF(M382="GW",L382*1000,IF(M382="GWh",L382*1000,IF(M382="TWh",L382*1000000,L382))))</x:f>
        <x:v>1000</x:v>
      </x:c>
      <x:c r="O382" s="83" t="str">
        <x:f>IF(L382="","",IF(M382="GW","MW",IF(OR(M382="GWh",M382="TWh"),"MWh",M382)))</x:f>
        <x:v>MW</x:v>
      </x:c>
      <x:c r="P382" s="83" t="str"/>
      <x:c r="Q382" s="349"/>
      <x:c r="R382" s="349" t="str">
        <x:f>IF(L382="","",IF(Q382&lt;&gt;"",L382*Q382,IF(OR(ISNUMBER(SEARCH("EUR2025",M382&amp;"")),P382=2025,P382="2025"),L382,"")))</x:f>
      </x:c>
      <x:c r="S382" s="83" t="str">
        <x:v>A — Direct</x:v>
      </x:c>
      <x:c r="T382" s="83" t="str">
        <x:v>Direct directional market-transfer capacity.</x:v>
      </x:c>
      <x:c r="U382" s="83" t="str">
        <x:v>S03</x:v>
      </x:c>
      <x:c r="V382" s="83" t="str">
        <x:v>S03 Figure 3 horizon 2040</x:v>
      </x:c>
      <x:c r="W382" s="120"/>
      <x:c r="X382" s="83" t="str">
        <x:v>A — Direct</x:v>
      </x:c>
      <x:c r="Y382" s="83" t="str">
        <x:v>Adopted</x:v>
      </x:c>
      <x:c r="Z382" s="83" t="str">
        <x:v>Ready when profiles/base network are available</x:v>
      </x:c>
      <x:c r="AA382" s="83" t="str">
        <x:v>Use endogenous PyPSA-Eur borders where available; otherwise DDS 2030 totals plus separately approved project overlays</x:v>
      </x:c>
    </x:row>
    <x:row r="383">
      <x:c r="A383" s="83" t="str">
        <x:v>S4-00379</x:v>
      </x:c>
      <x:c r="B383" s="83" t="str">
        <x:v>IT2040_ALT_SLOW</x:v>
      </x:c>
      <x:c r="C383" s="83" t="n">
        <x:v>2040</x:v>
      </x:c>
      <x:c r="D383" s="83" t="str">
        <x:v>Transmission</x:v>
      </x:c>
      <x:c r="E383" s="83" t="str">
        <x:v>SICI-&gt;CSUD</x:v>
      </x:c>
      <x:c r="F383" s="83" t="str">
        <x:v>SICI</x:v>
      </x:c>
      <x:c r="G383" s="83" t="str">
        <x:v>Capacità di scambio</x:v>
      </x:c>
      <x:c r="H383" s="83" t="str">
        <x:v>Directional interzonal link</x:v>
      </x:c>
      <x:c r="I383" s="83" t="str">
        <x:v>electricity</x:v>
      </x:c>
      <x:c r="J383" s="83" t="str">
        <x:v>Link</x:v>
      </x:c>
      <x:c r="K383" s="83" t="str">
        <x:v>p_nom</x:v>
      </x:c>
      <x:c r="L383" s="279" t="n">
        <x:v>1000</x:v>
      </x:c>
      <x:c r="M383" s="279" t="str">
        <x:v>MW</x:v>
      </x:c>
      <x:c r="N383" s="279" t="n">
        <x:f>IF(L383="","",IF(M383="GW",L383*1000,IF(M383="GWh",L383*1000,IF(M383="TWh",L383*1000000,L383))))</x:f>
        <x:v>1000</x:v>
      </x:c>
      <x:c r="O383" s="83" t="str">
        <x:f>IF(L383="","",IF(M383="GW","MW",IF(OR(M383="GWh",M383="TWh"),"MWh",M383)))</x:f>
        <x:v>MW</x:v>
      </x:c>
      <x:c r="P383" s="83" t="str"/>
      <x:c r="Q383" s="349"/>
      <x:c r="R383" s="349" t="str">
        <x:f>IF(L383="","",IF(Q383&lt;&gt;"",L383*Q383,IF(OR(ISNUMBER(SEARCH("EUR2025",M383&amp;"")),P383=2025,P383="2025"),L383,"")))</x:f>
      </x:c>
      <x:c r="S383" s="83" t="str">
        <x:v>A — Direct</x:v>
      </x:c>
      <x:c r="T383" s="83" t="str">
        <x:v>Direct directional market-transfer capacity.</x:v>
      </x:c>
      <x:c r="U383" s="83" t="str">
        <x:v>S03</x:v>
      </x:c>
      <x:c r="V383" s="83" t="str">
        <x:v>S03 Figure 3 horizon 2040</x:v>
      </x:c>
      <x:c r="W383" s="120"/>
      <x:c r="X383" s="83" t="str">
        <x:v>A — Direct</x:v>
      </x:c>
      <x:c r="Y383" s="83" t="str">
        <x:v>Adopted</x:v>
      </x:c>
      <x:c r="Z383" s="83" t="str">
        <x:v>Ready when profiles/base network are available</x:v>
      </x:c>
      <x:c r="AA383" s="83" t="str">
        <x:v>Use endogenous PyPSA-Eur borders where available; otherwise DDS 2030 totals plus separately approved project overlays</x:v>
      </x:c>
    </x:row>
    <x:row r="384">
      <x:c r="A384" s="83" t="str">
        <x:v>S4-00380</x:v>
      </x:c>
      <x:c r="B384" s="83" t="str">
        <x:v>IT2040_ALT_SLOW</x:v>
      </x:c>
      <x:c r="C384" s="83" t="n">
        <x:v>2040</x:v>
      </x:c>
      <x:c r="D384" s="83" t="str">
        <x:v>Transmission</x:v>
      </x:c>
      <x:c r="E384" s="83" t="str">
        <x:v>SARD-&gt;SICI</x:v>
      </x:c>
      <x:c r="F384" s="83" t="str">
        <x:v>SARD</x:v>
      </x:c>
      <x:c r="G384" s="83" t="str">
        <x:v>Capacità di scambio</x:v>
      </x:c>
      <x:c r="H384" s="83" t="str">
        <x:v>Directional interzonal link</x:v>
      </x:c>
      <x:c r="I384" s="83" t="str">
        <x:v>electricity</x:v>
      </x:c>
      <x:c r="J384" s="83" t="str">
        <x:v>Link</x:v>
      </x:c>
      <x:c r="K384" s="83" t="str">
        <x:v>p_nom</x:v>
      </x:c>
      <x:c r="L384" s="279" t="n">
        <x:v>1000</x:v>
      </x:c>
      <x:c r="M384" s="279" t="str">
        <x:v>MW</x:v>
      </x:c>
      <x:c r="N384" s="279" t="n">
        <x:f>IF(L384="","",IF(M384="GW",L384*1000,IF(M384="GWh",L384*1000,IF(M384="TWh",L384*1000000,L384))))</x:f>
        <x:v>1000</x:v>
      </x:c>
      <x:c r="O384" s="83" t="str">
        <x:f>IF(L384="","",IF(M384="GW","MW",IF(OR(M384="GWh",M384="TWh"),"MWh",M384)))</x:f>
        <x:v>MW</x:v>
      </x:c>
      <x:c r="P384" s="83" t="str"/>
      <x:c r="Q384" s="349"/>
      <x:c r="R384" s="349" t="str">
        <x:f>IF(L384="","",IF(Q384&lt;&gt;"",L384*Q384,IF(OR(ISNUMBER(SEARCH("EUR2025",M384&amp;"")),P384=2025,P384="2025"),L384,"")))</x:f>
      </x:c>
      <x:c r="S384" s="83" t="str">
        <x:v>A — Direct</x:v>
      </x:c>
      <x:c r="T384" s="83" t="str">
        <x:v>Direct directional market-transfer capacity.</x:v>
      </x:c>
      <x:c r="U384" s="83" t="str">
        <x:v>S03</x:v>
      </x:c>
      <x:c r="V384" s="83" t="str">
        <x:v>S03 Figure 3 horizon 2040</x:v>
      </x:c>
      <x:c r="W384" s="120"/>
      <x:c r="X384" s="83" t="str">
        <x:v>A — Direct</x:v>
      </x:c>
      <x:c r="Y384" s="83" t="str">
        <x:v>Adopted</x:v>
      </x:c>
      <x:c r="Z384" s="83" t="str">
        <x:v>Ready when profiles/base network are available</x:v>
      </x:c>
      <x:c r="AA384" s="83" t="str">
        <x:v>Use endogenous PyPSA-Eur borders where available; otherwise DDS 2030 totals plus separately approved project overlays</x:v>
      </x:c>
    </x:row>
    <x:row r="385">
      <x:c r="A385" s="83" t="str">
        <x:v>S4-00381</x:v>
      </x:c>
      <x:c r="B385" s="83" t="str">
        <x:v>IT2040_ALT_SLOW</x:v>
      </x:c>
      <x:c r="C385" s="83" t="n">
        <x:v>2040</x:v>
      </x:c>
      <x:c r="D385" s="83" t="str">
        <x:v>Transmission</x:v>
      </x:c>
      <x:c r="E385" s="83" t="str">
        <x:v>SICI-&gt;SARD</x:v>
      </x:c>
      <x:c r="F385" s="83" t="str">
        <x:v>SICI</x:v>
      </x:c>
      <x:c r="G385" s="83" t="str">
        <x:v>Capacità di scambio</x:v>
      </x:c>
      <x:c r="H385" s="83" t="str">
        <x:v>Directional interzonal link</x:v>
      </x:c>
      <x:c r="I385" s="83" t="str">
        <x:v>electricity</x:v>
      </x:c>
      <x:c r="J385" s="83" t="str">
        <x:v>Link</x:v>
      </x:c>
      <x:c r="K385" s="83" t="str">
        <x:v>p_nom</x:v>
      </x:c>
      <x:c r="L385" s="279" t="n">
        <x:v>1000</x:v>
      </x:c>
      <x:c r="M385" s="279" t="str">
        <x:v>MW</x:v>
      </x:c>
      <x:c r="N385" s="279" t="n">
        <x:f>IF(L385="","",IF(M385="GW",L385*1000,IF(M385="GWh",L385*1000,IF(M385="TWh",L385*1000000,L385))))</x:f>
        <x:v>1000</x:v>
      </x:c>
      <x:c r="O385" s="83" t="str">
        <x:f>IF(L385="","",IF(M385="GW","MW",IF(OR(M385="GWh",M385="TWh"),"MWh",M385)))</x:f>
        <x:v>MW</x:v>
      </x:c>
      <x:c r="P385" s="83" t="str"/>
      <x:c r="Q385" s="349"/>
      <x:c r="R385" s="349" t="str">
        <x:f>IF(L385="","",IF(Q385&lt;&gt;"",L385*Q385,IF(OR(ISNUMBER(SEARCH("EUR2025",M385&amp;"")),P385=2025,P385="2025"),L385,"")))</x:f>
      </x:c>
      <x:c r="S385" s="83" t="str">
        <x:v>A — Direct</x:v>
      </x:c>
      <x:c r="T385" s="83" t="str">
        <x:v>Direct directional market-transfer capacity.</x:v>
      </x:c>
      <x:c r="U385" s="83" t="str">
        <x:v>S03</x:v>
      </x:c>
      <x:c r="V385" s="83" t="str">
        <x:v>S03 Figure 3 horizon 2040</x:v>
      </x:c>
      <x:c r="W385" s="120"/>
      <x:c r="X385" s="83" t="str">
        <x:v>A — Direct</x:v>
      </x:c>
      <x:c r="Y385" s="83" t="str">
        <x:v>Adopted</x:v>
      </x:c>
      <x:c r="Z385" s="83" t="str">
        <x:v>Ready when profiles/base network are available</x:v>
      </x:c>
      <x:c r="AA385" s="83" t="str">
        <x:v>Use endogenous PyPSA-Eur borders where available; otherwise DDS 2030 totals plus separately approved project overlays</x:v>
      </x:c>
    </x:row>
    <x:row r="386">
      <x:c r="A386" s="83" t="str">
        <x:v>S4-00382</x:v>
      </x:c>
      <x:c r="B386" s="83" t="str">
        <x:v>IT2040_ALT_SLOW</x:v>
      </x:c>
      <x:c r="C386" s="83" t="n">
        <x:v>2040</x:v>
      </x:c>
      <x:c r="D386" s="83" t="str">
        <x:v>Fuel and CO2</x:v>
      </x:c>
      <x:c r="E386" s="83" t="str">
        <x:v>Italy</x:v>
      </x:c>
      <x:c r="F386" s="83"/>
      <x:c r="G386" s="83" t="str">
        <x:v>Gas naturale</x:v>
      </x:c>
      <x:c r="H386" s="83" t="str">
        <x:v>Natural gas fuel price</x:v>
      </x:c>
      <x:c r="I386" s="83" t="str">
        <x:v>gas</x:v>
      </x:c>
      <x:c r="J386" s="83" t="str">
        <x:v>Carrier/Generator</x:v>
      </x:c>
      <x:c r="K386" s="83" t="str">
        <x:v>fuel_cost</x:v>
      </x:c>
      <x:c r="L386" s="279" t="n">
        <x:v>36.4</x:v>
      </x:c>
      <x:c r="M386" s="279" t="str">
        <x:v>EUR2023/MWh_th</x:v>
      </x:c>
      <x:c r="N386" s="279" t="n">
        <x:f>IF(L386="","",IF(M386="GW",L386*1000,IF(M386="GWh",L386*1000,IF(M386="TWh",L386*1000000,L386))))</x:f>
        <x:v>36.4</x:v>
      </x:c>
      <x:c r="O386" s="83" t="str">
        <x:f>IF(L386="","",IF(M386="GW","MW",IF(OR(M386="GWh",M386="TWh"),"MWh",M386)))</x:f>
        <x:v>EUR2023/MWh_th</x:v>
      </x:c>
      <x:c r="P386" s="83" t="n">
        <x:v>2023</x:v>
      </x:c>
      <x:c r="Q386" s="349" t="n">
        <x:v>1.045504</x:v>
      </x:c>
      <x:c r="R386" s="349" t="n">
        <x:f>IF(L386="","",IF(Q386&lt;&gt;"",L386*Q386,IF(OR(ISNUMBER(SEARCH("EUR2025",M386&amp;"")),P386=2025,P386="2025"),L386,"")))</x:f>
        <x:v>38.0563456</x:v>
      </x:c>
      <x:c r="S386" s="83" t="str">
        <x:v>A — Direct</x:v>
      </x:c>
      <x:c r="T386" s="83" t="str">
        <x:v>Inflate to EUR2025 using euro-area annual HICP rates 2024 and 2025.</x:v>
      </x:c>
      <x:c r="U386" s="83" t="str">
        <x:v>S01 / S09</x:v>
      </x:c>
      <x:c r="V386" s="83" t="str">
        <x:v>Commodity tables</x:v>
      </x:c>
      <x:c r="W386" s="120" t="str">
        <x:v>https://www.ecb.europa.eu/stats/ecb_surveys/survey_of_professional_forecasters/html/ecb.spf2025q4.en.html</x:v>
      </x:c>
      <x:c r="X386" s="83" t="str">
        <x:v>A — Direct</x:v>
      </x:c>
      <x:c r="Y386" s="83" t="str">
        <x:v>Adopted scenario override</x:v>
      </x:c>
      <x:c r="Z386" s="83" t="str">
        <x:v>Ready when profiles/base network are available</x:v>
      </x:c>
      <x:c r="AA386" s="83"/>
    </x:row>
    <x:row r="387">
      <x:c r="A387" s="83" t="str">
        <x:v>S4-00383</x:v>
      </x:c>
      <x:c r="B387" s="83" t="str">
        <x:v>IT2040_ALT_SLOW</x:v>
      </x:c>
      <x:c r="C387" s="83" t="n">
        <x:v>2040</x:v>
      </x:c>
      <x:c r="D387" s="83" t="str">
        <x:v>Fuel and CO2</x:v>
      </x:c>
      <x:c r="E387" s="83" t="str">
        <x:v>Italy</x:v>
      </x:c>
      <x:c r="F387" s="83"/>
      <x:c r="G387" s="83" t="str">
        <x:v>CO2 ETS</x:v>
      </x:c>
      <x:c r="H387" s="83" t="str">
        <x:v>CO2 allowance price</x:v>
      </x:c>
      <x:c r="I387" s="83" t="str">
        <x:v>co2</x:v>
      </x:c>
      <x:c r="J387" s="83" t="str">
        <x:v>Carrier/Generator</x:v>
      </x:c>
      <x:c r="K387" s="83" t="str">
        <x:v>marginal_cost build</x:v>
      </x:c>
      <x:c r="L387" s="279" t="n">
        <x:v>100</x:v>
      </x:c>
      <x:c r="M387" s="279" t="str">
        <x:v>EUR2023/tCO2</x:v>
      </x:c>
      <x:c r="N387" s="279" t="n">
        <x:f>IF(L387="","",IF(M387="GW",L387*1000,IF(M387="GWh",L387*1000,IF(M387="TWh",L387*1000000,L387))))</x:f>
        <x:v>100</x:v>
      </x:c>
      <x:c r="O387" s="83" t="str">
        <x:f>IF(L387="","",IF(M387="GW","MW",IF(OR(M387="GWh",M387="TWh"),"MWh",M387)))</x:f>
        <x:v>EUR2023/tCO2</x:v>
      </x:c>
      <x:c r="P387" s="83" t="n">
        <x:v>2023</x:v>
      </x:c>
      <x:c r="Q387" s="349" t="n">
        <x:v>1.045504</x:v>
      </x:c>
      <x:c r="R387" s="349" t="n">
        <x:f>IF(L387="","",IF(Q387&lt;&gt;"",L387*Q387,IF(OR(ISNUMBER(SEARCH("EUR2025",M387&amp;"")),P387=2025,P387="2025"),L387,"")))</x:f>
        <x:v>104.5504</x:v>
      </x:c>
      <x:c r="S387" s="83" t="str">
        <x:v>A — Direct</x:v>
      </x:c>
      <x:c r="T387" s="83" t="str">
        <x:v>Inflate to EUR2025 using euro-area annual HICP rates 2024 and 2025.</x:v>
      </x:c>
      <x:c r="U387" s="83" t="str">
        <x:v>S01 / S09</x:v>
      </x:c>
      <x:c r="V387" s="83" t="str">
        <x:v>Commodity tables</x:v>
      </x:c>
      <x:c r="W387" s="120" t="str">
        <x:v>https://www.ecb.europa.eu/stats/ecb_surveys/survey_of_professional_forecasters/html/ecb.spf2025q4.en.html</x:v>
      </x:c>
      <x:c r="X387" s="83" t="str">
        <x:v>A — Direct</x:v>
      </x:c>
      <x:c r="Y387" s="83" t="str">
        <x:v>Adopted scenario override</x:v>
      </x:c>
      <x:c r="Z387" s="83" t="str">
        <x:v>Ready when profiles/base network are available</x:v>
      </x:c>
      <x:c r="AA387" s="83"/>
    </x:row>
    <x:row r="388">
      <x:c r="A388" s="83" t="str">
        <x:v>S4-00384</x:v>
      </x:c>
      <x:c r="B388" s="83" t="str">
        <x:v>IT2040_ALT_SLOW</x:v>
      </x:c>
      <x:c r="C388" s="83" t="n">
        <x:v>2040</x:v>
      </x:c>
      <x:c r="D388" s="83" t="str">
        <x:v>Technical parameters</x:v>
      </x:c>
      <x:c r="E388" s="83" t="str">
        <x:v>National technology class</x:v>
      </x:c>
      <x:c r="F388" s="83"/>
      <x:c r="G388" s="83" t="str">
        <x:v>CCGT</x:v>
      </x:c>
      <x:c r="H388" s="83" t="str">
        <x:v>CCGT efficiency</x:v>
      </x:c>
      <x:c r="I388" s="83" t="str">
        <x:v>ccgt</x:v>
      </x:c>
      <x:c r="J388" s="83" t="str">
        <x:v>Generator/Carrier</x:v>
      </x:c>
      <x:c r="K388" s="83" t="str">
        <x:v>efficiency</x:v>
      </x:c>
      <x:c r="L388" s="279" t="n">
        <x:v>0.59</x:v>
      </x:c>
      <x:c r="M388" s="279" t="str">
        <x:v>per unit</x:v>
      </x:c>
      <x:c r="N388" s="279" t="n">
        <x:f>IF(L388="","",IF(M388="GW",L388*1000,IF(M388="GWh",L388*1000,IF(M388="TWh",L388*1000000,L388))))</x:f>
        <x:v>0.59</x:v>
      </x:c>
      <x:c r="O388" s="83" t="str">
        <x:f>IF(L388="","",IF(M388="GW","MW",IF(OR(M388="GWh",M388="TWh"),"MWh",M388)))</x:f>
        <x:v>per unit</x:v>
      </x:c>
      <x:c r="P388" s="83" t="str">
        <x:v>2015.0</x:v>
      </x:c>
      <x:c r="Q388" s="349"/>
      <x:c r="R388" s="349" t="str">
        <x:f>IF(L388="","",IF(Q388&lt;&gt;"",L388*Q388,IF(OR(ISNUMBER(SEARCH("EUR2025",M388&amp;"")),P388=2025,P388="2025"),L388,"")))</x:f>
      </x:c>
      <x:c r="S388" s="83" t="str">
        <x:v>C — External candidate</x:v>
      </x:c>
      <x:c r="T388" s="83" t="str">
        <x:v>Use v0.15.0 provisionally; actual CLI release/commit overrides.</x:v>
      </x:c>
      <x:c r="U388" s="83" t="str">
        <x:v>EXT-TD</x:v>
      </x:c>
      <x:c r="V388" s="83" t="str">
        <x:v>PyPSA technology-data v0.15.0 2040</x:v>
      </x:c>
      <x:c r="W388" s="120" t="str">
        <x:v>https://github.com/PyPSA/technology-data/releases/tag/v0.15.0</x:v>
      </x:c>
      <x:c r="X388" s="83" t="str">
        <x:v>C — Provisional</x:v>
      </x:c>
      <x:c r="Y388" s="83" t="str">
        <x:v>Provisional</x:v>
      </x:c>
      <x:c r="Z388" s="83" t="str">
        <x:v>Blocked until CLI pin/cohort mapping</x:v>
      </x:c>
      <x:c r="AA388" s="83"/>
    </x:row>
    <x:row r="389">
      <x:c r="A389" s="83" t="str">
        <x:v>S4-00385</x:v>
      </x:c>
      <x:c r="B389" s="83" t="str">
        <x:v>IT2040_ALT_SLOW</x:v>
      </x:c>
      <x:c r="C389" s="83" t="n">
        <x:v>2040</x:v>
      </x:c>
      <x:c r="D389" s="83" t="str">
        <x:v>Technical parameters</x:v>
      </x:c>
      <x:c r="E389" s="83" t="str">
        <x:v>National technology class</x:v>
      </x:c>
      <x:c r="F389" s="83"/>
      <x:c r="G389" s="83" t="str">
        <x:v>CCGT</x:v>
      </x:c>
      <x:c r="H389" s="83" t="str">
        <x:v>CCGT VOM</x:v>
      </x:c>
      <x:c r="I389" s="83" t="str">
        <x:v>ccgt</x:v>
      </x:c>
      <x:c r="J389" s="83" t="str">
        <x:v>Generator/Carrier</x:v>
      </x:c>
      <x:c r="K389" s="83" t="str">
        <x:v>marginal_cost/VOM</x:v>
      </x:c>
      <x:c r="L389" s="279" t="n">
        <x:v>5.4768</x:v>
      </x:c>
      <x:c r="M389" s="279" t="str">
        <x:v>EUR/MWh</x:v>
      </x:c>
      <x:c r="N389" s="279" t="n">
        <x:f>IF(L389="","",IF(M389="GW",L389*1000,IF(M389="GWh",L389*1000,IF(M389="TWh",L389*1000000,L389))))</x:f>
        <x:v>5.4768</x:v>
      </x:c>
      <x:c r="O389" s="83" t="str">
        <x:f>IF(L389="","",IF(M389="GW","MW",IF(OR(M389="GWh",M389="TWh"),"MWh",M389)))</x:f>
        <x:v>EUR/MWh</x:v>
      </x:c>
      <x:c r="P389" s="83" t="str">
        <x:v>2025.0</x:v>
      </x:c>
      <x:c r="Q389" s="349"/>
      <x:c r="R389" s="349" t="n">
        <x:f>IF(L389="","",IF(Q389&lt;&gt;"",L389*Q389,IF(OR(ISNUMBER(SEARCH("EUR2025",M389&amp;"")),P389=2025,P389="2025"),L389,"")))</x:f>
        <x:v>5.4768</x:v>
      </x:c>
      <x:c r="S389" s="83" t="str">
        <x:v>C — External candidate</x:v>
      </x:c>
      <x:c r="T389" s="83" t="str">
        <x:v>Use v0.15.0 provisionally; actual CLI release/commit overrides.</x:v>
      </x:c>
      <x:c r="U389" s="83" t="str">
        <x:v>EXT-TD</x:v>
      </x:c>
      <x:c r="V389" s="83" t="str">
        <x:v>PyPSA technology-data v0.15.0 2040</x:v>
      </x:c>
      <x:c r="W389" s="120" t="str">
        <x:v>https://github.com/PyPSA/technology-data/releases/tag/v0.15.0</x:v>
      </x:c>
      <x:c r="X389" s="83" t="str">
        <x:v>C — Provisional</x:v>
      </x:c>
      <x:c r="Y389" s="83" t="str">
        <x:v>Provisional</x:v>
      </x:c>
      <x:c r="Z389" s="83" t="str">
        <x:v>Blocked until CLI pin/cohort mapping</x:v>
      </x:c>
      <x:c r="AA389" s="83"/>
    </x:row>
    <x:row r="390">
      <x:c r="A390" s="83" t="str">
        <x:v>S4-00386</x:v>
      </x:c>
      <x:c r="B390" s="83" t="str">
        <x:v>IT2040_ALT_SLOW</x:v>
      </x:c>
      <x:c r="C390" s="83" t="n">
        <x:v>2040</x:v>
      </x:c>
      <x:c r="D390" s="83" t="str">
        <x:v>Technical parameters</x:v>
      </x:c>
      <x:c r="E390" s="83" t="str">
        <x:v>National technology class</x:v>
      </x:c>
      <x:c r="F390" s="83"/>
      <x:c r="G390" s="83" t="str">
        <x:v>OCGT</x:v>
      </x:c>
      <x:c r="H390" s="83" t="str">
        <x:v>OCGT efficiency</x:v>
      </x:c>
      <x:c r="I390" s="83" t="str">
        <x:v>ocgt</x:v>
      </x:c>
      <x:c r="J390" s="83" t="str">
        <x:v>Generator/Carrier</x:v>
      </x:c>
      <x:c r="K390" s="83" t="str">
        <x:v>efficiency</x:v>
      </x:c>
      <x:c r="L390" s="279" t="n">
        <x:v>0.42</x:v>
      </x:c>
      <x:c r="M390" s="279" t="str">
        <x:v>per unit</x:v>
      </x:c>
      <x:c r="N390" s="279" t="n">
        <x:f>IF(L390="","",IF(M390="GW",L390*1000,IF(M390="GWh",L390*1000,IF(M390="TWh",L390*1000000,L390))))</x:f>
        <x:v>0.42</x:v>
      </x:c>
      <x:c r="O390" s="83" t="str">
        <x:f>IF(L390="","",IF(M390="GW","MW",IF(OR(M390="GWh",M390="TWh"),"MWh",M390)))</x:f>
        <x:v>per unit</x:v>
      </x:c>
      <x:c r="P390" s="83" t="str">
        <x:v>2015.0</x:v>
      </x:c>
      <x:c r="Q390" s="349"/>
      <x:c r="R390" s="349" t="str">
        <x:f>IF(L390="","",IF(Q390&lt;&gt;"",L390*Q390,IF(OR(ISNUMBER(SEARCH("EUR2025",M390&amp;"")),P390=2025,P390="2025"),L390,"")))</x:f>
      </x:c>
      <x:c r="S390" s="83" t="str">
        <x:v>C — External candidate</x:v>
      </x:c>
      <x:c r="T390" s="83" t="str">
        <x:v>Use v0.15.0 provisionally; actual CLI release/commit overrides.</x:v>
      </x:c>
      <x:c r="U390" s="83" t="str">
        <x:v>EXT-TD</x:v>
      </x:c>
      <x:c r="V390" s="83" t="str">
        <x:v>PyPSA technology-data v0.15.0 2040</x:v>
      </x:c>
      <x:c r="W390" s="120" t="str">
        <x:v>https://github.com/PyPSA/technology-data/releases/tag/v0.15.0</x:v>
      </x:c>
      <x:c r="X390" s="83" t="str">
        <x:v>C — Provisional</x:v>
      </x:c>
      <x:c r="Y390" s="83" t="str">
        <x:v>Provisional</x:v>
      </x:c>
      <x:c r="Z390" s="83" t="str">
        <x:v>Blocked until CLI pin/cohort mapping</x:v>
      </x:c>
      <x:c r="AA390" s="83"/>
    </x:row>
    <x:row r="391">
      <x:c r="A391" s="83" t="str">
        <x:v>S4-00387</x:v>
      </x:c>
      <x:c r="B391" s="83" t="str">
        <x:v>IT2040_ALT_SLOW</x:v>
      </x:c>
      <x:c r="C391" s="83" t="n">
        <x:v>2040</x:v>
      </x:c>
      <x:c r="D391" s="83" t="str">
        <x:v>Technical parameters</x:v>
      </x:c>
      <x:c r="E391" s="83" t="str">
        <x:v>National technology class</x:v>
      </x:c>
      <x:c r="F391" s="83"/>
      <x:c r="G391" s="83" t="str">
        <x:v>OCGT</x:v>
      </x:c>
      <x:c r="H391" s="83" t="str">
        <x:v>OCGT VOM</x:v>
      </x:c>
      <x:c r="I391" s="83" t="str">
        <x:v>ocgt</x:v>
      </x:c>
      <x:c r="J391" s="83" t="str">
        <x:v>Generator/Carrier</x:v>
      </x:c>
      <x:c r="K391" s="83" t="str">
        <x:v>marginal_cost/VOM</x:v>
      </x:c>
      <x:c r="L391" s="279" t="n">
        <x:v>6.0111</x:v>
      </x:c>
      <x:c r="M391" s="279" t="str">
        <x:v>EUR/MWh</x:v>
      </x:c>
      <x:c r="N391" s="279" t="n">
        <x:f>IF(L391="","",IF(M391="GW",L391*1000,IF(M391="GWh",L391*1000,IF(M391="TWh",L391*1000000,L391))))</x:f>
        <x:v>6.0111</x:v>
      </x:c>
      <x:c r="O391" s="83" t="str">
        <x:f>IF(L391="","",IF(M391="GW","MW",IF(OR(M391="GWh",M391="TWh"),"MWh",M391)))</x:f>
        <x:v>EUR/MWh</x:v>
      </x:c>
      <x:c r="P391" s="83" t="str">
        <x:v>2025.0</x:v>
      </x:c>
      <x:c r="Q391" s="349"/>
      <x:c r="R391" s="349" t="n">
        <x:f>IF(L391="","",IF(Q391&lt;&gt;"",L391*Q391,IF(OR(ISNUMBER(SEARCH("EUR2025",M391&amp;"")),P391=2025,P391="2025"),L391,"")))</x:f>
        <x:v>6.0111</x:v>
      </x:c>
      <x:c r="S391" s="83" t="str">
        <x:v>C — External candidate</x:v>
      </x:c>
      <x:c r="T391" s="83" t="str">
        <x:v>Use v0.15.0 provisionally; actual CLI release/commit overrides.</x:v>
      </x:c>
      <x:c r="U391" s="83" t="str">
        <x:v>EXT-TD</x:v>
      </x:c>
      <x:c r="V391" s="83" t="str">
        <x:v>PyPSA technology-data v0.15.0 2040</x:v>
      </x:c>
      <x:c r="W391" s="120" t="str">
        <x:v>https://github.com/PyPSA/technology-data/releases/tag/v0.15.0</x:v>
      </x:c>
      <x:c r="X391" s="83" t="str">
        <x:v>C — Provisional</x:v>
      </x:c>
      <x:c r="Y391" s="83" t="str">
        <x:v>Provisional</x:v>
      </x:c>
      <x:c r="Z391" s="83" t="str">
        <x:v>Blocked until CLI pin/cohort mapping</x:v>
      </x:c>
      <x:c r="AA391" s="83"/>
    </x:row>
    <x:row r="392">
      <x:c r="A392" s="83" t="str">
        <x:v>S4-00388</x:v>
      </x:c>
      <x:c r="B392" s="83" t="str">
        <x:v>IT2040_ALT_SLOW</x:v>
      </x:c>
      <x:c r="C392" s="83" t="n">
        <x:v>2040</x:v>
      </x:c>
      <x:c r="D392" s="83" t="str">
        <x:v>Technical parameters</x:v>
      </x:c>
      <x:c r="E392" s="83" t="str">
        <x:v>National technology class</x:v>
      </x:c>
      <x:c r="F392" s="83"/>
      <x:c r="G392" s="83" t="str">
        <x:v>gas</x:v>
      </x:c>
      <x:c r="H392" s="83" t="str">
        <x:v>gas CO2 intensity</x:v>
      </x:c>
      <x:c r="I392" s="83" t="str">
        <x:v>gas</x:v>
      </x:c>
      <x:c r="J392" s="83" t="str">
        <x:v>Generator/Carrier</x:v>
      </x:c>
      <x:c r="K392" s="83" t="str">
        <x:v>co2_emissions</x:v>
      </x:c>
      <x:c r="L392" s="279" t="n">
        <x:v>0.198</x:v>
      </x:c>
      <x:c r="M392" s="279" t="str">
        <x:v>tCO2/MWh_th</x:v>
      </x:c>
      <x:c r="N392" s="279" t="n">
        <x:f>IF(L392="","",IF(M392="GW",L392*1000,IF(M392="GWh",L392*1000,IF(M392="TWh",L392*1000000,L392))))</x:f>
        <x:v>0.198</x:v>
      </x:c>
      <x:c r="O392" s="83" t="str">
        <x:f>IF(L392="","",IF(M392="GW","MW",IF(OR(M392="GWh",M392="TWh"),"MWh",M392)))</x:f>
        <x:v>tCO2/MWh_th</x:v>
      </x:c>
      <x:c r="P392" s="83" t="str"/>
      <x:c r="Q392" s="349"/>
      <x:c r="R392" s="349" t="str">
        <x:f>IF(L392="","",IF(Q392&lt;&gt;"",L392*Q392,IF(OR(ISNUMBER(SEARCH("EUR2025",M392&amp;"")),P392=2025,P392="2025"),L392,"")))</x:f>
      </x:c>
      <x:c r="S392" s="83" t="str">
        <x:v>C — External candidate</x:v>
      </x:c>
      <x:c r="T392" s="83" t="str">
        <x:v>Use v0.15.0 provisionally; actual CLI release/commit overrides.</x:v>
      </x:c>
      <x:c r="U392" s="83" t="str">
        <x:v>EXT-TD</x:v>
      </x:c>
      <x:c r="V392" s="83" t="str">
        <x:v>PyPSA technology-data v0.15.0 2040</x:v>
      </x:c>
      <x:c r="W392" s="120" t="str">
        <x:v>https://github.com/PyPSA/technology-data/releases/tag/v0.15.0</x:v>
      </x:c>
      <x:c r="X392" s="83" t="str">
        <x:v>C — Provisional</x:v>
      </x:c>
      <x:c r="Y392" s="83" t="str">
        <x:v>Provisional</x:v>
      </x:c>
      <x:c r="Z392" s="83" t="str">
        <x:v>Blocked until CLI pin/cohort mapping</x:v>
      </x:c>
      <x:c r="AA392" s="83"/>
    </x:row>
    <x:row r="393">
      <x:c r="A393" s="83" t="str">
        <x:v>S4-00389</x:v>
      </x:c>
      <x:c r="B393" s="83" t="str">
        <x:v>IT2040_ALT_SLOW</x:v>
      </x:c>
      <x:c r="C393" s="83" t="n">
        <x:v>2040</x:v>
      </x:c>
      <x:c r="D393" s="83" t="str">
        <x:v>Technical parameters</x:v>
      </x:c>
      <x:c r="E393" s="83" t="str">
        <x:v>All zones</x:v>
      </x:c>
      <x:c r="F393" s="83"/>
      <x:c r="G393" s="83" t="str">
        <x:v>solar-rooftop</x:v>
      </x:c>
      <x:c r="H393" s="83" t="str">
        <x:v>solar-rooftop marginal cost</x:v>
      </x:c>
      <x:c r="I393" s="83" t="str">
        <x:v>solar-rooftop</x:v>
      </x:c>
      <x:c r="J393" s="83" t="str">
        <x:v>Generator</x:v>
      </x:c>
      <x:c r="K393" s="83" t="str">
        <x:v>marginal_cost</x:v>
      </x:c>
      <x:c r="L393" s="279" t="n">
        <x:v>0</x:v>
      </x:c>
      <x:c r="M393" s="279" t="str">
        <x:v>EUR2025/MWh</x:v>
      </x:c>
      <x:c r="N393" s="279" t="str">
        <x:f>IF(L393="","",IF(M393="GW",L393*1000,IF(M393="GWh",L393*1000,IF(M393="TWh",L393*1000000,L393))))</x:f>
      </x:c>
      <x:c r="O393" s="83" t="str">
        <x:f>IF(L393="","",IF(M393="GW","MW",IF(OR(M393="GWh",M393="TWh"),"MWh",M393)))</x:f>
      </x:c>
      <x:c r="P393" s="83" t="str"/>
      <x:c r="Q393" s="349"/>
      <x:c r="R393" s="349" t="str">
        <x:f>IF(L393="","",IF(Q393&lt;&gt;"",L393*Q393,IF(OR(ISNUMBER(SEARCH("EUR2025",M393&amp;"")),P393=2025,P393="2025"),L393,"")))</x:f>
      </x:c>
      <x:c r="S393" s="83" t="str">
        <x:v>C — Harmonisation rule</x:v>
      </x:c>
      <x:c r="T393" s="83" t="str">
        <x:v>Zero marginal cost in base; negative-bid sensitivity separate.</x:v>
      </x:c>
      <x:c r="U393" s="83" t="str">
        <x:v>ASSUMPTION</x:v>
      </x:c>
      <x:c r="V393" s="83" t="str">
        <x:v>Phase 4 dispatch boundary</x:v>
      </x:c>
      <x:c r="W393" s="120"/>
      <x:c r="X393" s="83" t="str">
        <x:v>A — Direct</x:v>
      </x:c>
      <x:c r="Y393" s="83" t="str">
        <x:v>Proposed</x:v>
      </x:c>
      <x:c r="Z393" s="83" t="str">
        <x:v>Ready when profiles/base network are available</x:v>
      </x:c>
      <x:c r="AA393" s="83"/>
    </x:row>
    <x:row r="394">
      <x:c r="A394" s="83" t="str">
        <x:v>S4-00390</x:v>
      </x:c>
      <x:c r="B394" s="83" t="str">
        <x:v>IT2040_ALT_SLOW</x:v>
      </x:c>
      <x:c r="C394" s="83" t="n">
        <x:v>2040</x:v>
      </x:c>
      <x:c r="D394" s="83" t="str">
        <x:v>Technical parameters</x:v>
      </x:c>
      <x:c r="E394" s="83" t="str">
        <x:v>All zones</x:v>
      </x:c>
      <x:c r="F394" s="83"/>
      <x:c r="G394" s="83" t="str">
        <x:v>solar-utility</x:v>
      </x:c>
      <x:c r="H394" s="83" t="str">
        <x:v>solar-utility marginal cost</x:v>
      </x:c>
      <x:c r="I394" s="83" t="str">
        <x:v>solar-utility</x:v>
      </x:c>
      <x:c r="J394" s="83" t="str">
        <x:v>Generator</x:v>
      </x:c>
      <x:c r="K394" s="83" t="str">
        <x:v>marginal_cost</x:v>
      </x:c>
      <x:c r="L394" s="279" t="n">
        <x:v>0</x:v>
      </x:c>
      <x:c r="M394" s="279" t="str">
        <x:v>EUR2025/MWh</x:v>
      </x:c>
      <x:c r="N394" s="279" t="str">
        <x:f>IF(L394="","",IF(M394="GW",L394*1000,IF(M394="GWh",L394*1000,IF(M394="TWh",L394*1000000,L394))))</x:f>
      </x:c>
      <x:c r="O394" s="83" t="str">
        <x:f>IF(L394="","",IF(M394="GW","MW",IF(OR(M394="GWh",M394="TWh"),"MWh",M394)))</x:f>
      </x:c>
      <x:c r="P394" s="83" t="str"/>
      <x:c r="Q394" s="349"/>
      <x:c r="R394" s="349" t="str">
        <x:f>IF(L394="","",IF(Q394&lt;&gt;"",L394*Q394,IF(OR(ISNUMBER(SEARCH("EUR2025",M394&amp;"")),P394=2025,P394="2025"),L394,"")))</x:f>
      </x:c>
      <x:c r="S394" s="83" t="str">
        <x:v>C — Harmonisation rule</x:v>
      </x:c>
      <x:c r="T394" s="83" t="str">
        <x:v>Zero marginal cost in base; negative-bid sensitivity separate.</x:v>
      </x:c>
      <x:c r="U394" s="83" t="str">
        <x:v>ASSUMPTION</x:v>
      </x:c>
      <x:c r="V394" s="83" t="str">
        <x:v>Phase 4 dispatch boundary</x:v>
      </x:c>
      <x:c r="W394" s="120"/>
      <x:c r="X394" s="83" t="str">
        <x:v>A — Direct</x:v>
      </x:c>
      <x:c r="Y394" s="83" t="str">
        <x:v>Proposed</x:v>
      </x:c>
      <x:c r="Z394" s="83" t="str">
        <x:v>Ready when profiles/base network are available</x:v>
      </x:c>
      <x:c r="AA394" s="83"/>
    </x:row>
    <x:row r="395">
      <x:c r="A395" s="83" t="str">
        <x:v>S4-00391</x:v>
      </x:c>
      <x:c r="B395" s="83" t="str">
        <x:v>IT2040_ALT_SLOW</x:v>
      </x:c>
      <x:c r="C395" s="83" t="n">
        <x:v>2040</x:v>
      </x:c>
      <x:c r="D395" s="83" t="str">
        <x:v>Technical parameters</x:v>
      </x:c>
      <x:c r="E395" s="83" t="str">
        <x:v>All zones</x:v>
      </x:c>
      <x:c r="F395" s="83"/>
      <x:c r="G395" s="83" t="str">
        <x:v>onwind</x:v>
      </x:c>
      <x:c r="H395" s="83" t="str">
        <x:v>onwind marginal cost</x:v>
      </x:c>
      <x:c r="I395" s="83" t="str">
        <x:v>onwind</x:v>
      </x:c>
      <x:c r="J395" s="83" t="str">
        <x:v>Generator</x:v>
      </x:c>
      <x:c r="K395" s="83" t="str">
        <x:v>marginal_cost</x:v>
      </x:c>
      <x:c r="L395" s="279" t="n">
        <x:v>0</x:v>
      </x:c>
      <x:c r="M395" s="279" t="str">
        <x:v>EUR2025/MWh</x:v>
      </x:c>
      <x:c r="N395" s="279" t="str">
        <x:f>IF(L395="","",IF(M395="GW",L395*1000,IF(M395="GWh",L395*1000,IF(M395="TWh",L395*1000000,L395))))</x:f>
      </x:c>
      <x:c r="O395" s="83" t="str">
        <x:f>IF(L395="","",IF(M395="GW","MW",IF(OR(M395="GWh",M395="TWh"),"MWh",M395)))</x:f>
      </x:c>
      <x:c r="P395" s="83" t="str"/>
      <x:c r="Q395" s="349"/>
      <x:c r="R395" s="349" t="str">
        <x:f>IF(L395="","",IF(Q395&lt;&gt;"",L395*Q395,IF(OR(ISNUMBER(SEARCH("EUR2025",M395&amp;"")),P395=2025,P395="2025"),L395,"")))</x:f>
      </x:c>
      <x:c r="S395" s="83" t="str">
        <x:v>C — Harmonisation rule</x:v>
      </x:c>
      <x:c r="T395" s="83" t="str">
        <x:v>Zero marginal cost in base; negative-bid sensitivity separate.</x:v>
      </x:c>
      <x:c r="U395" s="83" t="str">
        <x:v>ASSUMPTION</x:v>
      </x:c>
      <x:c r="V395" s="83" t="str">
        <x:v>Phase 4 dispatch boundary</x:v>
      </x:c>
      <x:c r="W395" s="120"/>
      <x:c r="X395" s="83" t="str">
        <x:v>A — Direct</x:v>
      </x:c>
      <x:c r="Y395" s="83" t="str">
        <x:v>Proposed</x:v>
      </x:c>
      <x:c r="Z395" s="83" t="str">
        <x:v>Ready when profiles/base network are available</x:v>
      </x:c>
      <x:c r="AA395" s="83"/>
    </x:row>
    <x:row r="396">
      <x:c r="A396" s="83" t="str">
        <x:v>S4-00392</x:v>
      </x:c>
      <x:c r="B396" s="83" t="str">
        <x:v>IT2040_ALT_SLOW</x:v>
      </x:c>
      <x:c r="C396" s="83" t="n">
        <x:v>2040</x:v>
      </x:c>
      <x:c r="D396" s="83" t="str">
        <x:v>Technical parameters</x:v>
      </x:c>
      <x:c r="E396" s="83" t="str">
        <x:v>All zones</x:v>
      </x:c>
      <x:c r="F396" s="83"/>
      <x:c r="G396" s="83" t="str">
        <x:v>offwind</x:v>
      </x:c>
      <x:c r="H396" s="83" t="str">
        <x:v>offwind marginal cost</x:v>
      </x:c>
      <x:c r="I396" s="83" t="str">
        <x:v>offwind</x:v>
      </x:c>
      <x:c r="J396" s="83" t="str">
        <x:v>Generator</x:v>
      </x:c>
      <x:c r="K396" s="83" t="str">
        <x:v>marginal_cost</x:v>
      </x:c>
      <x:c r="L396" s="279" t="n">
        <x:v>0</x:v>
      </x:c>
      <x:c r="M396" s="279" t="str">
        <x:v>EUR2025/MWh</x:v>
      </x:c>
      <x:c r="N396" s="279" t="str">
        <x:f>IF(L396="","",IF(M396="GW",L396*1000,IF(M396="GWh",L396*1000,IF(M396="TWh",L396*1000000,L396))))</x:f>
      </x:c>
      <x:c r="O396" s="83" t="str">
        <x:f>IF(L396="","",IF(M396="GW","MW",IF(OR(M396="GWh",M396="TWh"),"MWh",M396)))</x:f>
      </x:c>
      <x:c r="P396" s="83" t="str"/>
      <x:c r="Q396" s="349"/>
      <x:c r="R396" s="349" t="str">
        <x:f>IF(L396="","",IF(Q396&lt;&gt;"",L396*Q396,IF(OR(ISNUMBER(SEARCH("EUR2025",M396&amp;"")),P396=2025,P396="2025"),L396,"")))</x:f>
      </x:c>
      <x:c r="S396" s="83" t="str">
        <x:v>C — Harmonisation rule</x:v>
      </x:c>
      <x:c r="T396" s="83" t="str">
        <x:v>Zero marginal cost in base; negative-bid sensitivity separate.</x:v>
      </x:c>
      <x:c r="U396" s="83" t="str">
        <x:v>ASSUMPTION</x:v>
      </x:c>
      <x:c r="V396" s="83" t="str">
        <x:v>Phase 4 dispatch boundary</x:v>
      </x:c>
      <x:c r="W396" s="120"/>
      <x:c r="X396" s="83" t="str">
        <x:v>A — Direct</x:v>
      </x:c>
      <x:c r="Y396" s="83" t="str">
        <x:v>Proposed</x:v>
      </x:c>
      <x:c r="Z396" s="83" t="str">
        <x:v>Ready when profiles/base network are available</x:v>
      </x:c>
      <x:c r="AA396" s="83"/>
    </x:row>
    <x:row r="397">
      <x:c r="A397" s="83" t="str">
        <x:v>S4-00393</x:v>
      </x:c>
      <x:c r="B397" s="83" t="str">
        <x:v>IT2040_ALT_SLOW</x:v>
      </x:c>
      <x:c r="C397" s="83" t="n">
        <x:v>2040</x:v>
      </x:c>
      <x:c r="D397" s="83" t="str">
        <x:v>Technical parameters</x:v>
      </x:c>
      <x:c r="E397" s="83" t="str">
        <x:v>All zones</x:v>
      </x:c>
      <x:c r="F397" s="83"/>
      <x:c r="G397" s="83" t="str">
        <x:v>Li-ion battery</x:v>
      </x:c>
      <x:c r="H397" s="83" t="str">
        <x:v>Battery one-way efficiency</x:v>
      </x:c>
      <x:c r="I397" s="83" t="str">
        <x:v>battery</x:v>
      </x:c>
      <x:c r="J397" s="83" t="str">
        <x:v>Link</x:v>
      </x:c>
      <x:c r="K397" s="83" t="str">
        <x:v>efficiency</x:v>
      </x:c>
      <x:c r="L397" s="279" t="n">
        <x:v>0.9486832980505138</x:v>
      </x:c>
      <x:c r="M397" s="279" t="str">
        <x:v>p.u.</x:v>
      </x:c>
      <x:c r="N397" s="279" t="n">
        <x:f>IF(L397="","",IF(M397="GW",L397*1000,IF(M397="GWh",L397*1000,IF(M397="TWh",L397*1000000,L397))))</x:f>
        <x:v>0.9486832980505138</x:v>
      </x:c>
      <x:c r="O397" s="83" t="str">
        <x:f>IF(L397="","",IF(M397="GW","MW",IF(OR(M397="GWh",M397="TWh"),"MWh",M397)))</x:f>
        <x:v>p.u.</x:v>
      </x:c>
      <x:c r="P397" s="83" t="str"/>
      <x:c r="Q397" s="349"/>
      <x:c r="R397" s="349" t="str">
        <x:f>IF(L397="","",IF(Q397&lt;&gt;"",L397*Q397,IF(OR(ISNUMBER(SEARCH("EUR2025",M397&amp;"")),P397=2025,P397="2025"),L397,"")))</x:f>
      </x:c>
      <x:c r="S397" s="83" t="str">
        <x:v>B — Derived</x:v>
      </x:c>
      <x:c r="T397" s="83" t="str">
        <x:v>sqrt(0.90 round-trip), symmetric charge/discharge.</x:v>
      </x:c>
      <x:c r="U397" s="83" t="str">
        <x:v>S07 / EXT-TD</x:v>
      </x:c>
      <x:c r="V397" s="83" t="str">
        <x:v>Terna 90% RTE; technology-data inverter 96%</x:v>
      </x:c>
      <x:c r="W397" s="120"/>
      <x:c r="X397" s="83" t="str">
        <x:v>B — Derived</x:v>
      </x:c>
      <x:c r="Y397" s="83" t="str">
        <x:v>Proposed</x:v>
      </x:c>
      <x:c r="Z397" s="83" t="str">
        <x:v>Ready when profiles/base network are available</x:v>
      </x:c>
      <x:c r="AA397" s="83"/>
    </x:row>
    <x:row r="398">
      <x:c r="A398" s="83" t="str">
        <x:v>S4-00394</x:v>
      </x:c>
      <x:c r="B398" s="83" t="str">
        <x:v>IT2040_ALT_SLOW</x:v>
      </x:c>
      <x:c r="C398" s="83" t="n">
        <x:v>2040</x:v>
      </x:c>
      <x:c r="D398" s="83" t="str">
        <x:v>Technical parameters</x:v>
      </x:c>
      <x:c r="E398" s="83" t="str">
        <x:v>Existing PHS sites</x:v>
      </x:c>
      <x:c r="F398" s="83"/>
      <x:c r="G398" s="83" t="str">
        <x:v>PHS</x:v>
      </x:c>
      <x:c r="H398" s="83" t="str">
        <x:v>PHS one-way efficiency</x:v>
      </x:c>
      <x:c r="I398" s="83" t="str">
        <x:v>PHS</x:v>
      </x:c>
      <x:c r="J398" s="83" t="str">
        <x:v>Link</x:v>
      </x:c>
      <x:c r="K398" s="83" t="str">
        <x:v>efficiency</x:v>
      </x:c>
      <x:c r="L398" s="279" t="n">
        <x:v>0.8660254037844386</x:v>
      </x:c>
      <x:c r="M398" s="279" t="str">
        <x:v>p.u.</x:v>
      </x:c>
      <x:c r="N398" s="279" t="n">
        <x:f>IF(L398="","",IF(M398="GW",L398*1000,IF(M398="GWh",L398*1000,IF(M398="TWh",L398*1000000,L398))))</x:f>
        <x:v>0.8660254037844386</x:v>
      </x:c>
      <x:c r="O398" s="83" t="str">
        <x:f>IF(L398="","",IF(M398="GW","MW",IF(OR(M398="GWh",M398="TWh"),"MWh",M398)))</x:f>
        <x:v>p.u.</x:v>
      </x:c>
      <x:c r="P398" s="83" t="str"/>
      <x:c r="Q398" s="349"/>
      <x:c r="R398" s="349" t="str">
        <x:f>IF(L398="","",IF(Q398&lt;&gt;"",L398*Q398,IF(OR(ISNUMBER(SEARCH("EUR2025",M398&amp;"")),P398=2025,P398="2025"),L398,"")))</x:f>
      </x:c>
      <x:c r="S398" s="83" t="str">
        <x:v>C — External candidate</x:v>
      </x:c>
      <x:c r="T398" s="83" t="str">
        <x:v>sqrt(0.75 round-trip), symmetric split.</x:v>
      </x:c>
      <x:c r="U398" s="83" t="str">
        <x:v>EXT-TD</x:v>
      </x:c>
      <x:c r="V398" s="83" t="str">
        <x:v>technology-data v0.15.0</x:v>
      </x:c>
      <x:c r="W398" s="120" t="str">
        <x:v>https://github.com/PyPSA/technology-data/releases/tag/v0.15.0</x:v>
      </x:c>
      <x:c r="X398" s="83" t="str">
        <x:v>C — Provisional</x:v>
      </x:c>
      <x:c r="Y398" s="83" t="str">
        <x:v>Proposed</x:v>
      </x:c>
      <x:c r="Z398" s="83" t="str">
        <x:v>Ready when profiles/base network are available</x:v>
      </x:c>
      <x:c r="AA398" s="83"/>
    </x:row>
    <x:row r="399">
      <x:c r="A399" s="83" t="str">
        <x:v>S4-00395</x:v>
      </x:c>
      <x:c r="B399" s="83" t="str">
        <x:v>IT2040_ALT_SLOW</x:v>
      </x:c>
      <x:c r="C399" s="83" t="n">
        <x:v>2040</x:v>
      </x:c>
      <x:c r="D399" s="83" t="str">
        <x:v>Model setting</x:v>
      </x:c>
      <x:c r="E399" s="83" t="str">
        <x:v>System</x:v>
      </x:c>
      <x:c r="F399" s="83"/>
      <x:c r="G399" s="83" t="str">
        <x:v>Capacity expansion</x:v>
      </x:c>
      <x:c r="H399" s="83" t="str">
        <x:v>Fixed capacities</x:v>
      </x:c>
      <x:c r="I399" s="83" t="str">
        <x:v>model</x:v>
      </x:c>
      <x:c r="J399" s="83" t="str">
        <x:v>Network</x:v>
      </x:c>
      <x:c r="K399" s="83" t="str">
        <x:v>p_nom_extendable</x:v>
      </x:c>
      <x:c r="L399" s="279" t="n">
        <x:v>0</x:v>
      </x:c>
      <x:c r="M399" s="279" t="str">
        <x:v>boolean</x:v>
      </x:c>
      <x:c r="N399" s="279" t="str">
        <x:f>IF(L399="","",IF(M399="GW",L399*1000,IF(M399="GWh",L399*1000,IF(M399="TWh",L399*1000000,L399))))</x:f>
      </x:c>
      <x:c r="O399" s="83" t="str">
        <x:f>IF(L399="","",IF(M399="GW","MW",IF(OR(M399="GWh",M399="TWh"),"MWh",M399)))</x:f>
      </x:c>
      <x:c r="P399" s="83" t="str"/>
      <x:c r="Q399" s="349"/>
      <x:c r="R399" s="349" t="str">
        <x:f>IF(L399="","",IF(Q399&lt;&gt;"",L399*Q399,IF(OR(ISNUMBER(SEARCH("EUR2025",M399&amp;"")),P399=2025,P399="2025"),L399,"")))</x:f>
      </x:c>
      <x:c r="S399" s="83" t="str">
        <x:v>Project decision</x:v>
      </x:c>
      <x:c r="T399" s="83" t="str">
        <x:v>All capacities fixed; dispatch-only.</x:v>
      </x:c>
      <x:c r="U399" s="83" t="str">
        <x:v>PLAN</x:v>
      </x:c>
      <x:c r="V399" s="83" t="str">
        <x:v>Phase 2 decision</x:v>
      </x:c>
      <x:c r="W399" s="120"/>
      <x:c r="X399" s="83" t="str">
        <x:v>A — Direct</x:v>
      </x:c>
      <x:c r="Y399" s="83" t="str">
        <x:v>Adopted</x:v>
      </x:c>
      <x:c r="Z399" s="83" t="str">
        <x:v>Ready when profiles/base network are available</x:v>
      </x:c>
      <x:c r="AA399" s="83"/>
    </x:row>
    <x:row r="400">
      <x:c r="A400" s="83" t="str">
        <x:v>S4-00396</x:v>
      </x:c>
      <x:c r="B400" s="83" t="str">
        <x:v>IT2040_ALT_SLOW</x:v>
      </x:c>
      <x:c r="C400" s="83" t="n">
        <x:v>2040</x:v>
      </x:c>
      <x:c r="D400" s="83" t="str">
        <x:v>Model setting</x:v>
      </x:c>
      <x:c r="E400" s="83" t="str">
        <x:v>System</x:v>
      </x:c>
      <x:c r="F400" s="83"/>
      <x:c r="G400" s="83" t="str">
        <x:v>Unit commitment</x:v>
      </x:c>
      <x:c r="H400" s="83" t="str">
        <x:v>Linear dispatch base</x:v>
      </x:c>
      <x:c r="I400" s="83" t="str">
        <x:v>model</x:v>
      </x:c>
      <x:c r="J400" s="83" t="str">
        <x:v>Generator</x:v>
      </x:c>
      <x:c r="K400" s="83" t="str">
        <x:v>committable</x:v>
      </x:c>
      <x:c r="L400" s="279" t="n">
        <x:v>0</x:v>
      </x:c>
      <x:c r="M400" s="279" t="str">
        <x:v>boolean</x:v>
      </x:c>
      <x:c r="N400" s="279" t="str">
        <x:f>IF(L400="","",IF(M400="GW",L400*1000,IF(M400="GWh",L400*1000,IF(M400="TWh",L400*1000000,L400))))</x:f>
      </x:c>
      <x:c r="O400" s="83" t="str">
        <x:f>IF(L400="","",IF(M400="GW","MW",IF(OR(M400="GWh",M400="TWh"),"MWh",M400)))</x:f>
      </x:c>
      <x:c r="P400" s="83" t="str"/>
      <x:c r="Q400" s="349"/>
      <x:c r="R400" s="349" t="str">
        <x:f>IF(L400="","",IF(Q400&lt;&gt;"",L400*Q400,IF(OR(ISNUMBER(SEARCH("EUR2025",M400&amp;"")),P400=2025,P400="2025"),L400,"")))</x:f>
      </x:c>
      <x:c r="S400" s="83" t="str">
        <x:v>Project decision</x:v>
      </x:c>
      <x:c r="T400" s="83" t="str">
        <x:v>Unit commitment only as sensitivity.</x:v>
      </x:c>
      <x:c r="U400" s="83" t="str">
        <x:v>PLAN</x:v>
      </x:c>
      <x:c r="V400" s="83" t="str">
        <x:v>Phase 2/3D decision</x:v>
      </x:c>
      <x:c r="W400" s="120"/>
      <x:c r="X400" s="83" t="str">
        <x:v>A — Direct</x:v>
      </x:c>
      <x:c r="Y400" s="83" t="str">
        <x:v>Adopted</x:v>
      </x:c>
      <x:c r="Z400" s="83" t="str">
        <x:v>Ready when profiles/base network are available</x:v>
      </x:c>
      <x:c r="AA400" s="83"/>
    </x:row>
    <x:row r="401">
      <x:c r="A401" s="83" t="str">
        <x:v>S4-00397</x:v>
      </x:c>
      <x:c r="B401" s="83" t="str">
        <x:v>IT2040_GRID_DELAY</x:v>
      </x:c>
      <x:c r="C401" s="83" t="n">
        <x:v>2040</x:v>
      </x:c>
      <x:c r="D401" s="83" t="str">
        <x:v>Demand</x:v>
      </x:c>
      <x:c r="E401" s="83" t="str">
        <x:v>Italy</x:v>
      </x:c>
      <x:c r="F401" s="83"/>
      <x:c r="G401" s="83" t="str">
        <x:v>Fabbisogno elettrico puro</x:v>
      </x:c>
      <x:c r="H401" s="83" t="str">
        <x:v>Rigid electricity load</x:v>
      </x:c>
      <x:c r="I401" s="83" t="str">
        <x:v>electricity</x:v>
      </x:c>
      <x:c r="J401" s="83" t="str">
        <x:v>Load</x:v>
      </x:c>
      <x:c r="K401" s="83" t="str">
        <x:v>p_set annual target</x:v>
      </x:c>
      <x:c r="L401" s="279" t="n">
        <x:v>412</x:v>
      </x:c>
      <x:c r="M401" s="279" t="str">
        <x:v>TWh</x:v>
      </x:c>
      <x:c r="N401" s="279" t="n">
        <x:f>IF(L401="","",IF(M401="GW",L401*1000,IF(M401="GWh",L401*1000,IF(M401="TWh",L401*1000000,L401))))</x:f>
        <x:v>412000000</x:v>
      </x:c>
      <x:c r="O401" s="83" t="str">
        <x:f>IF(L401="","",IF(M401="GW","MW",IF(OR(M401="GWh",M401="TWh"),"MWh",M401)))</x:f>
        <x:v>MWh</x:v>
      </x:c>
      <x:c r="P401" s="83" t="str"/>
      <x:c r="Q401" s="349"/>
      <x:c r="R401" s="349" t="str">
        <x:f>IF(L401="","",IF(Q401&lt;&gt;"",L401*Q401,IF(OR(ISNUMBER(SEARCH("EUR2025",M401&amp;"")),P401=2025,P401="2025"),L401,"")))</x:f>
      </x:c>
      <x:c r="S401" s="83" t="str">
        <x:v>A — Direct</x:v>
      </x:c>
      <x:c r="T401" s="83" t="str">
        <x:v>Hourly shape from PyPSA-Eur base-year load profiles; scale zonal annual shares to national target.</x:v>
      </x:c>
      <x:c r="U401" s="83" t="str">
        <x:v>S09</x:v>
      </x:c>
      <x:c r="V401" s="83" t="str">
        <x:v>DDS Table 6 / annual demand tables</x:v>
      </x:c>
      <x:c r="W401" s="120"/>
      <x:c r="X401" s="83" t="str">
        <x:v>A/B — direct total, profile external</x:v>
      </x:c>
      <x:c r="Y401" s="83" t="str">
        <x:v>Adopted annual volume</x:v>
      </x:c>
      <x:c r="Z401" s="83" t="str">
        <x:v>Conditional on hourly and zonal load profile</x:v>
      </x:c>
      <x:c r="AA401" s="83" t="str">
        <x:v>Includes network losses in the source perimeter; do not add a second loss load.</x:v>
      </x:c>
    </x:row>
    <x:row r="402">
      <x:c r="A402" s="83" t="str">
        <x:v>S4-00398</x:v>
      </x:c>
      <x:c r="B402" s="83" t="str">
        <x:v>IT2040_GRID_DELAY</x:v>
      </x:c>
      <x:c r="C402" s="83" t="n">
        <x:v>2040</x:v>
      </x:c>
      <x:c r="D402" s="83" t="str">
        <x:v>Flexible demand</x:v>
      </x:c>
      <x:c r="E402" s="83" t="str">
        <x:v>Italy</x:v>
      </x:c>
      <x:c r="F402" s="83"/>
      <x:c r="G402" s="83" t="str">
        <x:v>Produzione H2 (elettrolisi)</x:v>
      </x:c>
      <x:c r="H402" s="83" t="str">
        <x:v>Electrolyser flexible load</x:v>
      </x:c>
      <x:c r="I402" s="83" t="str">
        <x:v>hydrogen electrolysis</x:v>
      </x:c>
      <x:c r="J402" s="83" t="str">
        <x:v>Link or flexible Load</x:v>
      </x:c>
      <x:c r="K402" s="83" t="str">
        <x:v>p_nom / annual electricity constraint</x:v>
      </x:c>
      <x:c r="L402" s="279" t="n">
        <x:v>7.4</x:v>
      </x:c>
      <x:c r="M402" s="279" t="str">
        <x:v>GW</x:v>
      </x:c>
      <x:c r="N402" s="279" t="n">
        <x:f>IF(L402="","",IF(M402="GW",L402*1000,IF(M402="GWh",L402*1000,IF(M402="TWh",L402*1000000,L402))))</x:f>
        <x:v>7400</x:v>
      </x:c>
      <x:c r="O402" s="83" t="str">
        <x:f>IF(L402="","",IF(M402="GW","MW",IF(OR(M402="GWh",M402="TWh"),"MWh",M402)))</x:f>
        <x:v>MW</x:v>
      </x:c>
      <x:c r="P402" s="83" t="str"/>
      <x:c r="Q402" s="349"/>
      <x:c r="R402" s="349" t="str">
        <x:f>IF(L402="","",IF(Q402&lt;&gt;"",L402*Q402,IF(OR(ISNUMBER(SEARCH("EUR2025",M402&amp;"")),P402=2025,P402="2025"),L402,"")))</x:f>
      </x:c>
      <x:c r="S402" s="83" t="str">
        <x:v>A — Direct</x:v>
      </x:c>
      <x:c r="T402" s="83" t="str">
        <x:v>Use source power. Annual electricity consumption is a separate row; minimum 3,000 h and low-price activation.</x:v>
      </x:c>
      <x:c r="U402" s="83" t="str">
        <x:v>S09</x:v>
      </x:c>
      <x:c r="V402" s="83" t="str">
        <x:v>DDS Figures 29/37 and demand table</x:v>
      </x:c>
      <x:c r="W402" s="120"/>
      <x:c r="X402" s="83" t="str">
        <x:v>A — Direct</x:v>
      </x:c>
      <x:c r="Y402" s="83" t="str">
        <x:v>Adopted annual power</x:v>
      </x:c>
      <x:c r="Z402" s="83" t="str">
        <x:v>Conditional on hydrogen/flexible-load formulation</x:v>
      </x:c>
      <x:c r="AA402" s="83"/>
    </x:row>
    <x:row r="403">
      <x:c r="A403" s="83" t="str">
        <x:v>S4-00399</x:v>
      </x:c>
      <x:c r="B403" s="83" t="str">
        <x:v>IT2040_GRID_DELAY</x:v>
      </x:c>
      <x:c r="C403" s="83" t="n">
        <x:v>2040</x:v>
      </x:c>
      <x:c r="D403" s="83" t="str">
        <x:v>Flexible demand</x:v>
      </x:c>
      <x:c r="E403" s="83" t="str">
        <x:v>Italy</x:v>
      </x:c>
      <x:c r="F403" s="83"/>
      <x:c r="G403" s="83" t="str">
        <x:v>Produzione H2 (elettrolisi)</x:v>
      </x:c>
      <x:c r="H403" s="83" t="str">
        <x:v>Electrolyser electricity consumption</x:v>
      </x:c>
      <x:c r="I403" s="83" t="str">
        <x:v>electricity</x:v>
      </x:c>
      <x:c r="J403" s="83" t="str">
        <x:v>Link or flexible Load</x:v>
      </x:c>
      <x:c r="K403" s="83" t="str">
        <x:v>annual electricity target</x:v>
      </x:c>
      <x:c r="L403" s="279" t="n">
        <x:v>27.5</x:v>
      </x:c>
      <x:c r="M403" s="279" t="str">
        <x:v>TWh</x:v>
      </x:c>
      <x:c r="N403" s="279" t="n">
        <x:f>IF(L403="","",IF(M403="GW",L403*1000,IF(M403="GWh",L403*1000,IF(M403="TWh",L403*1000000,L403))))</x:f>
        <x:v>27500000</x:v>
      </x:c>
      <x:c r="O403" s="83" t="str">
        <x:f>IF(L403="","",IF(M403="GW","MW",IF(OR(M403="GWh",M403="TWh"),"MWh",M403)))</x:f>
        <x:v>MWh</x:v>
      </x:c>
      <x:c r="P403" s="83" t="str"/>
      <x:c r="Q403" s="349"/>
      <x:c r="R403" s="349" t="str">
        <x:f>IF(L403="","",IF(Q403&lt;&gt;"",L403*Q403,IF(OR(ISNUMBER(SEARCH("EUR2025",M403&amp;"")),P403=2025,P403="2025"),L403,"")))</x:f>
      </x:c>
      <x:c r="S403" s="83" t="str">
        <x:v>A — Direct</x:v>
      </x:c>
      <x:c r="T403" s="83" t="str">
        <x:v>Annual target enforced with energy balance or load-shifting constraint.</x:v>
      </x:c>
      <x:c r="U403" s="83" t="str">
        <x:v>S09</x:v>
      </x:c>
      <x:c r="V403" s="83" t="str">
        <x:v>DDS demand and electrolyser results</x:v>
      </x:c>
      <x:c r="W403" s="120"/>
      <x:c r="X403" s="83" t="str">
        <x:v>A — Direct</x:v>
      </x:c>
      <x:c r="Y403" s="83" t="str">
        <x:v>Adopted annual energy</x:v>
      </x:c>
      <x:c r="Z403" s="83" t="str">
        <x:v>Conditional on temporal formulation</x:v>
      </x:c>
      <x:c r="AA403" s="83"/>
    </x:row>
    <x:row r="404">
      <x:c r="A404" s="83" t="str">
        <x:v>S4-00400</x:v>
      </x:c>
      <x:c r="B404" s="83" t="str">
        <x:v>IT2040_GRID_DELAY</x:v>
      </x:c>
      <x:c r="C404" s="83" t="n">
        <x:v>2040</x:v>
      </x:c>
      <x:c r="D404" s="83" t="str">
        <x:v>QA target</x:v>
      </x:c>
      <x:c r="E404" s="83" t="str">
        <x:v>Italy</x:v>
      </x:c>
      <x:c r="F404" s="83"/>
      <x:c r="G404" s="83" t="str">
        <x:v>Fabbisogno elettrico totale</x:v>
      </x:c>
      <x:c r="H404" s="83" t="str">
        <x:v>Total annual electricity requirement</x:v>
      </x:c>
      <x:c r="I404" s="83" t="str">
        <x:v>electricity</x:v>
      </x:c>
      <x:c r="J404" s="83" t="str">
        <x:v>QA</x:v>
      </x:c>
      <x:c r="K404" s="83" t="str">
        <x:v>annual balance</x:v>
      </x:c>
      <x:c r="L404" s="279" t="n">
        <x:v>439</x:v>
      </x:c>
      <x:c r="M404" s="279" t="str">
        <x:v>TWh</x:v>
      </x:c>
      <x:c r="N404" s="279" t="n">
        <x:f>IF(L404="","",IF(M404="GW",L404*1000,IF(M404="GWh",L404*1000,IF(M404="TWh",L404*1000000,L404))))</x:f>
        <x:v>439000000</x:v>
      </x:c>
      <x:c r="O404" s="83" t="str">
        <x:f>IF(L404="","",IF(M404="GW","MW",IF(OR(M404="GWh",M404="TWh"),"MWh",M404)))</x:f>
        <x:v>MWh</x:v>
      </x:c>
      <x:c r="P404" s="83" t="str"/>
      <x:c r="Q404" s="349"/>
      <x:c r="R404" s="349" t="str">
        <x:f>IF(L404="","",IF(Q404&lt;&gt;"",L404*Q404,IF(OR(ISNUMBER(SEARCH("EUR2025",M404&amp;"")),P404=2025,P404="2025"),L404,"")))</x:f>
      </x:c>
      <x:c r="S404" s="83" t="str">
        <x:v>A — Direct</x:v>
      </x:c>
      <x:c r="T404" s="83" t="str">
        <x:v>Control only: rigid demand + electrolysis must reconcile to total within source rounding.</x:v>
      </x:c>
      <x:c r="U404" s="83" t="str">
        <x:v>S09</x:v>
      </x:c>
      <x:c r="V404" s="83" t="str">
        <x:v>DDS annual demand tables</x:v>
      </x:c>
      <x:c r="W404" s="120"/>
      <x:c r="X404" s="83" t="str">
        <x:v>A — Direct</x:v>
      </x:c>
      <x:c r="Y404" s="83" t="str">
        <x:v>QA only</x:v>
      </x:c>
      <x:c r="Z404" s="83" t="str">
        <x:v>Ready when profiles/base network are available</x:v>
      </x:c>
      <x:c r="AA404" s="83"/>
    </x:row>
    <x:row r="405">
      <x:c r="A405" s="83" t="str">
        <x:v>S4-00401</x:v>
      </x:c>
      <x:c r="B405" s="83" t="str">
        <x:v>IT2040_GRID_DELAY</x:v>
      </x:c>
      <x:c r="C405" s="83" t="n">
        <x:v>2040</x:v>
      </x:c>
      <x:c r="D405" s="83" t="str">
        <x:v>Generation capacity</x:v>
      </x:c>
      <x:c r="E405" s="83" t="str">
        <x:v>IT_NORD</x:v>
      </x:c>
      <x:c r="F405" s="83" t="str">
        <x:v>NORD</x:v>
      </x:c>
      <x:c r="G405" s="83" t="str">
        <x:v>Solare distribuito</x:v>
      </x:c>
      <x:c r="H405" s="83" t="str">
        <x:v>Solar rooftop/distributed</x:v>
      </x:c>
      <x:c r="I405" s="83" t="str">
        <x:v>solar-rooftop</x:v>
      </x:c>
      <x:c r="J405" s="83" t="str">
        <x:v>Generator</x:v>
      </x:c>
      <x:c r="K405" s="83" t="str">
        <x:v>p_nom</x:v>
      </x:c>
      <x:c r="L405" s="279" t="n">
        <x:v>25.1</x:v>
      </x:c>
      <x:c r="M405" s="279" t="str">
        <x:v>GW</x:v>
      </x:c>
      <x:c r="N405" s="279" t="n">
        <x:f>IF(L405="","",IF(M405="GW",L405*1000,IF(M405="GWh",L405*1000,IF(M405="TWh",L405*1000000,L405))))</x:f>
        <x:v>25100</x:v>
      </x:c>
      <x:c r="O405" s="83" t="str">
        <x:f>IF(L405="","",IF(M405="GW","MW",IF(OR(M405="GWh",M405="TWh"),"MWh",M405)))</x:f>
        <x:v>MW</x:v>
      </x:c>
      <x:c r="P405" s="83" t="str"/>
      <x:c r="Q405" s="349"/>
      <x:c r="R405" s="349" t="str">
        <x:f>IF(L405="","",IF(Q405&lt;&gt;"",L405*Q405,IF(OR(ISNUMBER(SEARCH("EUR2025",M405&amp;"")),P405=2025,P405="2025"),L405,"")))</x:f>
      </x:c>
      <x:c r="S405" s="83" t="str">
        <x:v>A — Direct</x:v>
      </x:c>
      <x:c r="T405" s="83" t="str">
        <x:v>Direct zonal capacity; convert GW to MW.</x:v>
      </x:c>
      <x:c r="U405" s="83" t="str">
        <x:v>S09</x:v>
      </x:c>
      <x:c r="V405" s="83" t="str">
        <x:v>DDS Tabella 14 p.60</x:v>
      </x:c>
      <x:c r="W405" s="120"/>
      <x:c r="X405" s="83" t="str">
        <x:v>A - Direct</x:v>
      </x:c>
      <x:c r="Y405" s="83" t="str">
        <x:v>Adopted</x:v>
      </x:c>
      <x:c r="Z405" s="83" t="str">
        <x:v>Ready when profiles/base network are available</x:v>
      </x:c>
      <x:c r="AA405" s="83"/>
    </x:row>
    <x:row r="406">
      <x:c r="A406" s="83" t="str">
        <x:v>S4-00402</x:v>
      </x:c>
      <x:c r="B406" s="83" t="str">
        <x:v>IT2040_GRID_DELAY</x:v>
      </x:c>
      <x:c r="C406" s="83" t="n">
        <x:v>2040</x:v>
      </x:c>
      <x:c r="D406" s="83" t="str">
        <x:v>Generation capacity</x:v>
      </x:c>
      <x:c r="E406" s="83" t="str">
        <x:v>IT_NORD</x:v>
      </x:c>
      <x:c r="F406" s="83" t="str">
        <x:v>NORD</x:v>
      </x:c>
      <x:c r="G406" s="83" t="str">
        <x:v>Solare utility</x:v>
      </x:c>
      <x:c r="H406" s="83" t="str">
        <x:v>Solar utility</x:v>
      </x:c>
      <x:c r="I406" s="83" t="str">
        <x:v>solar-utility</x:v>
      </x:c>
      <x:c r="J406" s="83" t="str">
        <x:v>Generator</x:v>
      </x:c>
      <x:c r="K406" s="83" t="str">
        <x:v>p_nom</x:v>
      </x:c>
      <x:c r="L406" s="279" t="n">
        <x:v>17.3</x:v>
      </x:c>
      <x:c r="M406" s="279" t="str">
        <x:v>GW</x:v>
      </x:c>
      <x:c r="N406" s="279" t="n">
        <x:f>IF(L406="","",IF(M406="GW",L406*1000,IF(M406="GWh",L406*1000,IF(M406="TWh",L406*1000000,L406))))</x:f>
        <x:v>17300</x:v>
      </x:c>
      <x:c r="O406" s="83" t="str">
        <x:f>IF(L406="","",IF(M406="GW","MW",IF(OR(M406="GWh",M406="TWh"),"MWh",M406)))</x:f>
        <x:v>MW</x:v>
      </x:c>
      <x:c r="P406" s="83" t="str"/>
      <x:c r="Q406" s="349"/>
      <x:c r="R406" s="349" t="str">
        <x:f>IF(L406="","",IF(Q406&lt;&gt;"",L406*Q406,IF(OR(ISNUMBER(SEARCH("EUR2025",M406&amp;"")),P406=2025,P406="2025"),L406,"")))</x:f>
      </x:c>
      <x:c r="S406" s="83" t="str">
        <x:v>A — Direct</x:v>
      </x:c>
      <x:c r="T406" s="83" t="str">
        <x:v>Direct zonal capacity; convert GW to MW.</x:v>
      </x:c>
      <x:c r="U406" s="83" t="str">
        <x:v>S09</x:v>
      </x:c>
      <x:c r="V406" s="83" t="str">
        <x:v>DDS Tabella 14 p.60</x:v>
      </x:c>
      <x:c r="W406" s="120"/>
      <x:c r="X406" s="83" t="str">
        <x:v>A - Direct</x:v>
      </x:c>
      <x:c r="Y406" s="83" t="str">
        <x:v>Adopted</x:v>
      </x:c>
      <x:c r="Z406" s="83" t="str">
        <x:v>Ready when profiles/base network are available</x:v>
      </x:c>
      <x:c r="AA406" s="83"/>
    </x:row>
    <x:row r="407">
      <x:c r="A407" s="83" t="str">
        <x:v>S4-00403</x:v>
      </x:c>
      <x:c r="B407" s="83" t="str">
        <x:v>IT2040_GRID_DELAY</x:v>
      </x:c>
      <x:c r="C407" s="83" t="n">
        <x:v>2040</x:v>
      </x:c>
      <x:c r="D407" s="83" t="str">
        <x:v>Generation capacity</x:v>
      </x:c>
      <x:c r="E407" s="83" t="str">
        <x:v>IT_CNOR</x:v>
      </x:c>
      <x:c r="F407" s="83" t="str">
        <x:v>CNOR</x:v>
      </x:c>
      <x:c r="G407" s="83" t="str">
        <x:v>Solare distribuito</x:v>
      </x:c>
      <x:c r="H407" s="83" t="str">
        <x:v>Solar rooftop/distributed</x:v>
      </x:c>
      <x:c r="I407" s="83" t="str">
        <x:v>solar-rooftop</x:v>
      </x:c>
      <x:c r="J407" s="83" t="str">
        <x:v>Generator</x:v>
      </x:c>
      <x:c r="K407" s="83" t="str">
        <x:v>p_nom</x:v>
      </x:c>
      <x:c r="L407" s="279" t="n">
        <x:v>3.3</x:v>
      </x:c>
      <x:c r="M407" s="279" t="str">
        <x:v>GW</x:v>
      </x:c>
      <x:c r="N407" s="279" t="n">
        <x:f>IF(L407="","",IF(M407="GW",L407*1000,IF(M407="GWh",L407*1000,IF(M407="TWh",L407*1000000,L407))))</x:f>
        <x:v>3300</x:v>
      </x:c>
      <x:c r="O407" s="83" t="str">
        <x:f>IF(L407="","",IF(M407="GW","MW",IF(OR(M407="GWh",M407="TWh"),"MWh",M407)))</x:f>
        <x:v>MW</x:v>
      </x:c>
      <x:c r="P407" s="83" t="str"/>
      <x:c r="Q407" s="349"/>
      <x:c r="R407" s="349" t="str">
        <x:f>IF(L407="","",IF(Q407&lt;&gt;"",L407*Q407,IF(OR(ISNUMBER(SEARCH("EUR2025",M407&amp;"")),P407=2025,P407="2025"),L407,"")))</x:f>
      </x:c>
      <x:c r="S407" s="83" t="str">
        <x:v>A — Direct</x:v>
      </x:c>
      <x:c r="T407" s="83" t="str">
        <x:v>Direct zonal capacity; convert GW to MW.</x:v>
      </x:c>
      <x:c r="U407" s="83" t="str">
        <x:v>S09</x:v>
      </x:c>
      <x:c r="V407" s="83" t="str">
        <x:v>DDS Tabella 14 p.60</x:v>
      </x:c>
      <x:c r="W407" s="120"/>
      <x:c r="X407" s="83" t="str">
        <x:v>A - Direct</x:v>
      </x:c>
      <x:c r="Y407" s="83" t="str">
        <x:v>Adopted</x:v>
      </x:c>
      <x:c r="Z407" s="83" t="str">
        <x:v>Ready when profiles/base network are available</x:v>
      </x:c>
      <x:c r="AA407" s="83"/>
    </x:row>
    <x:row r="408">
      <x:c r="A408" s="83" t="str">
        <x:v>S4-00404</x:v>
      </x:c>
      <x:c r="B408" s="83" t="str">
        <x:v>IT2040_GRID_DELAY</x:v>
      </x:c>
      <x:c r="C408" s="83" t="n">
        <x:v>2040</x:v>
      </x:c>
      <x:c r="D408" s="83" t="str">
        <x:v>Generation capacity</x:v>
      </x:c>
      <x:c r="E408" s="83" t="str">
        <x:v>IT_CNOR</x:v>
      </x:c>
      <x:c r="F408" s="83" t="str">
        <x:v>CNOR</x:v>
      </x:c>
      <x:c r="G408" s="83" t="str">
        <x:v>Solare utility</x:v>
      </x:c>
      <x:c r="H408" s="83" t="str">
        <x:v>Solar utility</x:v>
      </x:c>
      <x:c r="I408" s="83" t="str">
        <x:v>solar-utility</x:v>
      </x:c>
      <x:c r="J408" s="83" t="str">
        <x:v>Generator</x:v>
      </x:c>
      <x:c r="K408" s="83" t="str">
        <x:v>p_nom</x:v>
      </x:c>
      <x:c r="L408" s="279" t="n">
        <x:v>6.3</x:v>
      </x:c>
      <x:c r="M408" s="279" t="str">
        <x:v>GW</x:v>
      </x:c>
      <x:c r="N408" s="279" t="n">
        <x:f>IF(L408="","",IF(M408="GW",L408*1000,IF(M408="GWh",L408*1000,IF(M408="TWh",L408*1000000,L408))))</x:f>
        <x:v>6300</x:v>
      </x:c>
      <x:c r="O408" s="83" t="str">
        <x:f>IF(L408="","",IF(M408="GW","MW",IF(OR(M408="GWh",M408="TWh"),"MWh",M408)))</x:f>
        <x:v>MW</x:v>
      </x:c>
      <x:c r="P408" s="83" t="str"/>
      <x:c r="Q408" s="349"/>
      <x:c r="R408" s="349" t="str">
        <x:f>IF(L408="","",IF(Q408&lt;&gt;"",L408*Q408,IF(OR(ISNUMBER(SEARCH("EUR2025",M408&amp;"")),P408=2025,P408="2025"),L408,"")))</x:f>
      </x:c>
      <x:c r="S408" s="83" t="str">
        <x:v>A — Direct</x:v>
      </x:c>
      <x:c r="T408" s="83" t="str">
        <x:v>Direct zonal capacity; convert GW to MW.</x:v>
      </x:c>
      <x:c r="U408" s="83" t="str">
        <x:v>S09</x:v>
      </x:c>
      <x:c r="V408" s="83" t="str">
        <x:v>DDS Tabella 14 p.60</x:v>
      </x:c>
      <x:c r="W408" s="120"/>
      <x:c r="X408" s="83" t="str">
        <x:v>A - Direct</x:v>
      </x:c>
      <x:c r="Y408" s="83" t="str">
        <x:v>Adopted</x:v>
      </x:c>
      <x:c r="Z408" s="83" t="str">
        <x:v>Ready when profiles/base network are available</x:v>
      </x:c>
      <x:c r="AA408" s="83"/>
    </x:row>
    <x:row r="409">
      <x:c r="A409" s="83" t="str">
        <x:v>S4-00405</x:v>
      </x:c>
      <x:c r="B409" s="83" t="str">
        <x:v>IT2040_GRID_DELAY</x:v>
      </x:c>
      <x:c r="C409" s="83" t="n">
        <x:v>2040</x:v>
      </x:c>
      <x:c r="D409" s="83" t="str">
        <x:v>Generation capacity</x:v>
      </x:c>
      <x:c r="E409" s="83" t="str">
        <x:v>IT_CSUD</x:v>
      </x:c>
      <x:c r="F409" s="83" t="str">
        <x:v>CSUD</x:v>
      </x:c>
      <x:c r="G409" s="83" t="str">
        <x:v>Solare distribuito</x:v>
      </x:c>
      <x:c r="H409" s="83" t="str">
        <x:v>Solar rooftop/distributed</x:v>
      </x:c>
      <x:c r="I409" s="83" t="str">
        <x:v>solar-rooftop</x:v>
      </x:c>
      <x:c r="J409" s="83" t="str">
        <x:v>Generator</x:v>
      </x:c>
      <x:c r="K409" s="83" t="str">
        <x:v>p_nom</x:v>
      </x:c>
      <x:c r="L409" s="279" t="n">
        <x:v>5.5</x:v>
      </x:c>
      <x:c r="M409" s="279" t="str">
        <x:v>GW</x:v>
      </x:c>
      <x:c r="N409" s="279" t="n">
        <x:f>IF(L409="","",IF(M409="GW",L409*1000,IF(M409="GWh",L409*1000,IF(M409="TWh",L409*1000000,L409))))</x:f>
        <x:v>5500</x:v>
      </x:c>
      <x:c r="O409" s="83" t="str">
        <x:f>IF(L409="","",IF(M409="GW","MW",IF(OR(M409="GWh",M409="TWh"),"MWh",M409)))</x:f>
        <x:v>MW</x:v>
      </x:c>
      <x:c r="P409" s="83" t="str"/>
      <x:c r="Q409" s="349"/>
      <x:c r="R409" s="349" t="str">
        <x:f>IF(L409="","",IF(Q409&lt;&gt;"",L409*Q409,IF(OR(ISNUMBER(SEARCH("EUR2025",M409&amp;"")),P409=2025,P409="2025"),L409,"")))</x:f>
      </x:c>
      <x:c r="S409" s="83" t="str">
        <x:v>A — Direct</x:v>
      </x:c>
      <x:c r="T409" s="83" t="str">
        <x:v>Direct zonal capacity; convert GW to MW.</x:v>
      </x:c>
      <x:c r="U409" s="83" t="str">
        <x:v>S09</x:v>
      </x:c>
      <x:c r="V409" s="83" t="str">
        <x:v>DDS Tabella 14 p.60</x:v>
      </x:c>
      <x:c r="W409" s="120"/>
      <x:c r="X409" s="83" t="str">
        <x:v>A - Direct</x:v>
      </x:c>
      <x:c r="Y409" s="83" t="str">
        <x:v>Adopted</x:v>
      </x:c>
      <x:c r="Z409" s="83" t="str">
        <x:v>Ready when profiles/base network are available</x:v>
      </x:c>
      <x:c r="AA409" s="83"/>
    </x:row>
    <x:row r="410">
      <x:c r="A410" s="83" t="str">
        <x:v>S4-00406</x:v>
      </x:c>
      <x:c r="B410" s="83" t="str">
        <x:v>IT2040_GRID_DELAY</x:v>
      </x:c>
      <x:c r="C410" s="83" t="n">
        <x:v>2040</x:v>
      </x:c>
      <x:c r="D410" s="83" t="str">
        <x:v>Generation capacity</x:v>
      </x:c>
      <x:c r="E410" s="83" t="str">
        <x:v>IT_CSUD</x:v>
      </x:c>
      <x:c r="F410" s="83" t="str">
        <x:v>CSUD</x:v>
      </x:c>
      <x:c r="G410" s="83" t="str">
        <x:v>Solare utility</x:v>
      </x:c>
      <x:c r="H410" s="83" t="str">
        <x:v>Solar utility</x:v>
      </x:c>
      <x:c r="I410" s="83" t="str">
        <x:v>solar-utility</x:v>
      </x:c>
      <x:c r="J410" s="83" t="str">
        <x:v>Generator</x:v>
      </x:c>
      <x:c r="K410" s="83" t="str">
        <x:v>p_nom</x:v>
      </x:c>
      <x:c r="L410" s="279" t="n">
        <x:v>14.6</x:v>
      </x:c>
      <x:c r="M410" s="279" t="str">
        <x:v>GW</x:v>
      </x:c>
      <x:c r="N410" s="279" t="n">
        <x:f>IF(L410="","",IF(M410="GW",L410*1000,IF(M410="GWh",L410*1000,IF(M410="TWh",L410*1000000,L410))))</x:f>
        <x:v>14600</x:v>
      </x:c>
      <x:c r="O410" s="83" t="str">
        <x:f>IF(L410="","",IF(M410="GW","MW",IF(OR(M410="GWh",M410="TWh"),"MWh",M410)))</x:f>
        <x:v>MW</x:v>
      </x:c>
      <x:c r="P410" s="83" t="str"/>
      <x:c r="Q410" s="349"/>
      <x:c r="R410" s="349" t="str">
        <x:f>IF(L410="","",IF(Q410&lt;&gt;"",L410*Q410,IF(OR(ISNUMBER(SEARCH("EUR2025",M410&amp;"")),P410=2025,P410="2025"),L410,"")))</x:f>
      </x:c>
      <x:c r="S410" s="83" t="str">
        <x:v>A — Direct</x:v>
      </x:c>
      <x:c r="T410" s="83" t="str">
        <x:v>Direct zonal capacity; convert GW to MW.</x:v>
      </x:c>
      <x:c r="U410" s="83" t="str">
        <x:v>S09</x:v>
      </x:c>
      <x:c r="V410" s="83" t="str">
        <x:v>DDS Tabella 14 p.60</x:v>
      </x:c>
      <x:c r="W410" s="120"/>
      <x:c r="X410" s="83" t="str">
        <x:v>A - Direct</x:v>
      </x:c>
      <x:c r="Y410" s="83" t="str">
        <x:v>Adopted</x:v>
      </x:c>
      <x:c r="Z410" s="83" t="str">
        <x:v>Ready when profiles/base network are available</x:v>
      </x:c>
      <x:c r="AA410" s="83"/>
    </x:row>
    <x:row r="411">
      <x:c r="A411" s="83" t="str">
        <x:v>S4-00407</x:v>
      </x:c>
      <x:c r="B411" s="83" t="str">
        <x:v>IT2040_GRID_DELAY</x:v>
      </x:c>
      <x:c r="C411" s="83" t="n">
        <x:v>2040</x:v>
      </x:c>
      <x:c r="D411" s="83" t="str">
        <x:v>Generation capacity</x:v>
      </x:c>
      <x:c r="E411" s="83" t="str">
        <x:v>IT_SUD</x:v>
      </x:c>
      <x:c r="F411" s="83" t="str">
        <x:v>SUD</x:v>
      </x:c>
      <x:c r="G411" s="83" t="str">
        <x:v>Solare distribuito</x:v>
      </x:c>
      <x:c r="H411" s="83" t="str">
        <x:v>Solar rooftop/distributed</x:v>
      </x:c>
      <x:c r="I411" s="83" t="str">
        <x:v>solar-rooftop</x:v>
      </x:c>
      <x:c r="J411" s="83" t="str">
        <x:v>Generator</x:v>
      </x:c>
      <x:c r="K411" s="83" t="str">
        <x:v>p_nom</x:v>
      </x:c>
      <x:c r="L411" s="279" t="n">
        <x:v>1.7</x:v>
      </x:c>
      <x:c r="M411" s="279" t="str">
        <x:v>GW</x:v>
      </x:c>
      <x:c r="N411" s="279" t="n">
        <x:f>IF(L411="","",IF(M411="GW",L411*1000,IF(M411="GWh",L411*1000,IF(M411="TWh",L411*1000000,L411))))</x:f>
        <x:v>1700</x:v>
      </x:c>
      <x:c r="O411" s="83" t="str">
        <x:f>IF(L411="","",IF(M411="GW","MW",IF(OR(M411="GWh",M411="TWh"),"MWh",M411)))</x:f>
        <x:v>MW</x:v>
      </x:c>
      <x:c r="P411" s="83" t="str"/>
      <x:c r="Q411" s="349"/>
      <x:c r="R411" s="349" t="str">
        <x:f>IF(L411="","",IF(Q411&lt;&gt;"",L411*Q411,IF(OR(ISNUMBER(SEARCH("EUR2025",M411&amp;"")),P411=2025,P411="2025"),L411,"")))</x:f>
      </x:c>
      <x:c r="S411" s="83" t="str">
        <x:v>A — Direct</x:v>
      </x:c>
      <x:c r="T411" s="83" t="str">
        <x:v>Direct zonal capacity; convert GW to MW.</x:v>
      </x:c>
      <x:c r="U411" s="83" t="str">
        <x:v>S09</x:v>
      </x:c>
      <x:c r="V411" s="83" t="str">
        <x:v>DDS Tabella 14 p.60</x:v>
      </x:c>
      <x:c r="W411" s="120"/>
      <x:c r="X411" s="83" t="str">
        <x:v>A - Direct</x:v>
      </x:c>
      <x:c r="Y411" s="83" t="str">
        <x:v>Adopted</x:v>
      </x:c>
      <x:c r="Z411" s="83" t="str">
        <x:v>Ready when profiles/base network are available</x:v>
      </x:c>
      <x:c r="AA411" s="83"/>
    </x:row>
    <x:row r="412">
      <x:c r="A412" s="83" t="str">
        <x:v>S4-00408</x:v>
      </x:c>
      <x:c r="B412" s="83" t="str">
        <x:v>IT2040_GRID_DELAY</x:v>
      </x:c>
      <x:c r="C412" s="83" t="n">
        <x:v>2040</x:v>
      </x:c>
      <x:c r="D412" s="83" t="str">
        <x:v>Generation capacity</x:v>
      </x:c>
      <x:c r="E412" s="83" t="str">
        <x:v>IT_SUD</x:v>
      </x:c>
      <x:c r="F412" s="83" t="str">
        <x:v>SUD</x:v>
      </x:c>
      <x:c r="G412" s="83" t="str">
        <x:v>Solare utility</x:v>
      </x:c>
      <x:c r="H412" s="83" t="str">
        <x:v>Solar utility</x:v>
      </x:c>
      <x:c r="I412" s="83" t="str">
        <x:v>solar-utility</x:v>
      </x:c>
      <x:c r="J412" s="83" t="str">
        <x:v>Generator</x:v>
      </x:c>
      <x:c r="K412" s="83" t="str">
        <x:v>p_nom</x:v>
      </x:c>
      <x:c r="L412" s="279" t="n">
        <x:v>19.3</x:v>
      </x:c>
      <x:c r="M412" s="279" t="str">
        <x:v>GW</x:v>
      </x:c>
      <x:c r="N412" s="279" t="n">
        <x:f>IF(L412="","",IF(M412="GW",L412*1000,IF(M412="GWh",L412*1000,IF(M412="TWh",L412*1000000,L412))))</x:f>
        <x:v>19300</x:v>
      </x:c>
      <x:c r="O412" s="83" t="str">
        <x:f>IF(L412="","",IF(M412="GW","MW",IF(OR(M412="GWh",M412="TWh"),"MWh",M412)))</x:f>
        <x:v>MW</x:v>
      </x:c>
      <x:c r="P412" s="83" t="str"/>
      <x:c r="Q412" s="349"/>
      <x:c r="R412" s="349" t="str">
        <x:f>IF(L412="","",IF(Q412&lt;&gt;"",L412*Q412,IF(OR(ISNUMBER(SEARCH("EUR2025",M412&amp;"")),P412=2025,P412="2025"),L412,"")))</x:f>
      </x:c>
      <x:c r="S412" s="83" t="str">
        <x:v>A — Direct</x:v>
      </x:c>
      <x:c r="T412" s="83" t="str">
        <x:v>Direct zonal capacity; convert GW to MW.</x:v>
      </x:c>
      <x:c r="U412" s="83" t="str">
        <x:v>S09</x:v>
      </x:c>
      <x:c r="V412" s="83" t="str">
        <x:v>DDS Tabella 14 p.60</x:v>
      </x:c>
      <x:c r="W412" s="120"/>
      <x:c r="X412" s="83" t="str">
        <x:v>A - Direct</x:v>
      </x:c>
      <x:c r="Y412" s="83" t="str">
        <x:v>Adopted</x:v>
      </x:c>
      <x:c r="Z412" s="83" t="str">
        <x:v>Ready when profiles/base network are available</x:v>
      </x:c>
      <x:c r="AA412" s="83"/>
    </x:row>
    <x:row r="413">
      <x:c r="A413" s="83" t="str">
        <x:v>S4-00409</x:v>
      </x:c>
      <x:c r="B413" s="83" t="str">
        <x:v>IT2040_GRID_DELAY</x:v>
      </x:c>
      <x:c r="C413" s="83" t="n">
        <x:v>2040</x:v>
      </x:c>
      <x:c r="D413" s="83" t="str">
        <x:v>Generation capacity</x:v>
      </x:c>
      <x:c r="E413" s="83" t="str">
        <x:v>IT_CALA</x:v>
      </x:c>
      <x:c r="F413" s="83" t="str">
        <x:v>CALA</x:v>
      </x:c>
      <x:c r="G413" s="83" t="str">
        <x:v>Solare distribuito</x:v>
      </x:c>
      <x:c r="H413" s="83" t="str">
        <x:v>Solar rooftop/distributed</x:v>
      </x:c>
      <x:c r="I413" s="83" t="str">
        <x:v>solar-rooftop</x:v>
      </x:c>
      <x:c r="J413" s="83" t="str">
        <x:v>Generator</x:v>
      </x:c>
      <x:c r="K413" s="83" t="str">
        <x:v>p_nom</x:v>
      </x:c>
      <x:c r="L413" s="279" t="n">
        <x:v>1.1</x:v>
      </x:c>
      <x:c r="M413" s="279" t="str">
        <x:v>GW</x:v>
      </x:c>
      <x:c r="N413" s="279" t="n">
        <x:f>IF(L413="","",IF(M413="GW",L413*1000,IF(M413="GWh",L413*1000,IF(M413="TWh",L413*1000000,L413))))</x:f>
        <x:v>1100</x:v>
      </x:c>
      <x:c r="O413" s="83" t="str">
        <x:f>IF(L413="","",IF(M413="GW","MW",IF(OR(M413="GWh",M413="TWh"),"MWh",M413)))</x:f>
        <x:v>MW</x:v>
      </x:c>
      <x:c r="P413" s="83" t="str"/>
      <x:c r="Q413" s="349"/>
      <x:c r="R413" s="349" t="str">
        <x:f>IF(L413="","",IF(Q413&lt;&gt;"",L413*Q413,IF(OR(ISNUMBER(SEARCH("EUR2025",M413&amp;"")),P413=2025,P413="2025"),L413,"")))</x:f>
      </x:c>
      <x:c r="S413" s="83" t="str">
        <x:v>A — Direct</x:v>
      </x:c>
      <x:c r="T413" s="83" t="str">
        <x:v>Direct zonal capacity; convert GW to MW.</x:v>
      </x:c>
      <x:c r="U413" s="83" t="str">
        <x:v>S09</x:v>
      </x:c>
      <x:c r="V413" s="83" t="str">
        <x:v>DDS Tabella 14 p.60</x:v>
      </x:c>
      <x:c r="W413" s="120"/>
      <x:c r="X413" s="83" t="str">
        <x:v>A - Direct</x:v>
      </x:c>
      <x:c r="Y413" s="83" t="str">
        <x:v>Adopted</x:v>
      </x:c>
      <x:c r="Z413" s="83" t="str">
        <x:v>Ready when profiles/base network are available</x:v>
      </x:c>
      <x:c r="AA413" s="83"/>
    </x:row>
    <x:row r="414">
      <x:c r="A414" s="83" t="str">
        <x:v>S4-00410</x:v>
      </x:c>
      <x:c r="B414" s="83" t="str">
        <x:v>IT2040_GRID_DELAY</x:v>
      </x:c>
      <x:c r="C414" s="83" t="n">
        <x:v>2040</x:v>
      </x:c>
      <x:c r="D414" s="83" t="str">
        <x:v>Generation capacity</x:v>
      </x:c>
      <x:c r="E414" s="83" t="str">
        <x:v>IT_CALA</x:v>
      </x:c>
      <x:c r="F414" s="83" t="str">
        <x:v>CALA</x:v>
      </x:c>
      <x:c r="G414" s="83" t="str">
        <x:v>Solare utility</x:v>
      </x:c>
      <x:c r="H414" s="83" t="str">
        <x:v>Solar utility</x:v>
      </x:c>
      <x:c r="I414" s="83" t="str">
        <x:v>solar-utility</x:v>
      </x:c>
      <x:c r="J414" s="83" t="str">
        <x:v>Generator</x:v>
      </x:c>
      <x:c r="K414" s="83" t="str">
        <x:v>p_nom</x:v>
      </x:c>
      <x:c r="L414" s="279" t="n">
        <x:v>2.5</x:v>
      </x:c>
      <x:c r="M414" s="279" t="str">
        <x:v>GW</x:v>
      </x:c>
      <x:c r="N414" s="279" t="n">
        <x:f>IF(L414="","",IF(M414="GW",L414*1000,IF(M414="GWh",L414*1000,IF(M414="TWh",L414*1000000,L414))))</x:f>
        <x:v>2500</x:v>
      </x:c>
      <x:c r="O414" s="83" t="str">
        <x:f>IF(L414="","",IF(M414="GW","MW",IF(OR(M414="GWh",M414="TWh"),"MWh",M414)))</x:f>
        <x:v>MW</x:v>
      </x:c>
      <x:c r="P414" s="83" t="str"/>
      <x:c r="Q414" s="349"/>
      <x:c r="R414" s="349" t="str">
        <x:f>IF(L414="","",IF(Q414&lt;&gt;"",L414*Q414,IF(OR(ISNUMBER(SEARCH("EUR2025",M414&amp;"")),P414=2025,P414="2025"),L414,"")))</x:f>
      </x:c>
      <x:c r="S414" s="83" t="str">
        <x:v>A — Direct</x:v>
      </x:c>
      <x:c r="T414" s="83" t="str">
        <x:v>Direct zonal capacity; convert GW to MW.</x:v>
      </x:c>
      <x:c r="U414" s="83" t="str">
        <x:v>S09</x:v>
      </x:c>
      <x:c r="V414" s="83" t="str">
        <x:v>DDS Tabella 14 p.60</x:v>
      </x:c>
      <x:c r="W414" s="120"/>
      <x:c r="X414" s="83" t="str">
        <x:v>A - Direct</x:v>
      </x:c>
      <x:c r="Y414" s="83" t="str">
        <x:v>Adopted</x:v>
      </x:c>
      <x:c r="Z414" s="83" t="str">
        <x:v>Ready when profiles/base network are available</x:v>
      </x:c>
      <x:c r="AA414" s="83"/>
    </x:row>
    <x:row r="415">
      <x:c r="A415" s="83" t="str">
        <x:v>S4-00411</x:v>
      </x:c>
      <x:c r="B415" s="83" t="str">
        <x:v>IT2040_GRID_DELAY</x:v>
      </x:c>
      <x:c r="C415" s="83" t="n">
        <x:v>2040</x:v>
      </x:c>
      <x:c r="D415" s="83" t="str">
        <x:v>Generation capacity</x:v>
      </x:c>
      <x:c r="E415" s="83" t="str">
        <x:v>IT_SICI</x:v>
      </x:c>
      <x:c r="F415" s="83" t="str">
        <x:v>SICI</x:v>
      </x:c>
      <x:c r="G415" s="83" t="str">
        <x:v>Solare distribuito</x:v>
      </x:c>
      <x:c r="H415" s="83" t="str">
        <x:v>Solar rooftop/distributed</x:v>
      </x:c>
      <x:c r="I415" s="83" t="str">
        <x:v>solar-rooftop</x:v>
      </x:c>
      <x:c r="J415" s="83" t="str">
        <x:v>Generator</x:v>
      </x:c>
      <x:c r="K415" s="83" t="str">
        <x:v>p_nom</x:v>
      </x:c>
      <x:c r="L415" s="279" t="n">
        <x:v>3.3</x:v>
      </x:c>
      <x:c r="M415" s="279" t="str">
        <x:v>GW</x:v>
      </x:c>
      <x:c r="N415" s="279" t="n">
        <x:f>IF(L415="","",IF(M415="GW",L415*1000,IF(M415="GWh",L415*1000,IF(M415="TWh",L415*1000000,L415))))</x:f>
        <x:v>3300</x:v>
      </x:c>
      <x:c r="O415" s="83" t="str">
        <x:f>IF(L415="","",IF(M415="GW","MW",IF(OR(M415="GWh",M415="TWh"),"MWh",M415)))</x:f>
        <x:v>MW</x:v>
      </x:c>
      <x:c r="P415" s="83" t="str"/>
      <x:c r="Q415" s="349"/>
      <x:c r="R415" s="349" t="str">
        <x:f>IF(L415="","",IF(Q415&lt;&gt;"",L415*Q415,IF(OR(ISNUMBER(SEARCH("EUR2025",M415&amp;"")),P415=2025,P415="2025"),L415,"")))</x:f>
      </x:c>
      <x:c r="S415" s="83" t="str">
        <x:v>A — Direct</x:v>
      </x:c>
      <x:c r="T415" s="83" t="str">
        <x:v>Direct zonal capacity; convert GW to MW.</x:v>
      </x:c>
      <x:c r="U415" s="83" t="str">
        <x:v>S09</x:v>
      </x:c>
      <x:c r="V415" s="83" t="str">
        <x:v>DDS Tabella 14 p.60</x:v>
      </x:c>
      <x:c r="W415" s="120"/>
      <x:c r="X415" s="83" t="str">
        <x:v>A - Direct</x:v>
      </x:c>
      <x:c r="Y415" s="83" t="str">
        <x:v>Adopted</x:v>
      </x:c>
      <x:c r="Z415" s="83" t="str">
        <x:v>Ready when profiles/base network are available</x:v>
      </x:c>
      <x:c r="AA415" s="83"/>
    </x:row>
    <x:row r="416">
      <x:c r="A416" s="83" t="str">
        <x:v>S4-00412</x:v>
      </x:c>
      <x:c r="B416" s="83" t="str">
        <x:v>IT2040_GRID_DELAY</x:v>
      </x:c>
      <x:c r="C416" s="83" t="n">
        <x:v>2040</x:v>
      </x:c>
      <x:c r="D416" s="83" t="str">
        <x:v>Generation capacity</x:v>
      </x:c>
      <x:c r="E416" s="83" t="str">
        <x:v>IT_SICI</x:v>
      </x:c>
      <x:c r="F416" s="83" t="str">
        <x:v>SICI</x:v>
      </x:c>
      <x:c r="G416" s="83" t="str">
        <x:v>Solare utility</x:v>
      </x:c>
      <x:c r="H416" s="83" t="str">
        <x:v>Solar utility</x:v>
      </x:c>
      <x:c r="I416" s="83" t="str">
        <x:v>solar-utility</x:v>
      </x:c>
      <x:c r="J416" s="83" t="str">
        <x:v>Generator</x:v>
      </x:c>
      <x:c r="K416" s="83" t="str">
        <x:v>p_nom</x:v>
      </x:c>
      <x:c r="L416" s="279" t="n">
        <x:v>11.5</x:v>
      </x:c>
      <x:c r="M416" s="279" t="str">
        <x:v>GW</x:v>
      </x:c>
      <x:c r="N416" s="279" t="n">
        <x:f>IF(L416="","",IF(M416="GW",L416*1000,IF(M416="GWh",L416*1000,IF(M416="TWh",L416*1000000,L416))))</x:f>
        <x:v>11500</x:v>
      </x:c>
      <x:c r="O416" s="83" t="str">
        <x:f>IF(L416="","",IF(M416="GW","MW",IF(OR(M416="GWh",M416="TWh"),"MWh",M416)))</x:f>
        <x:v>MW</x:v>
      </x:c>
      <x:c r="P416" s="83" t="str"/>
      <x:c r="Q416" s="349"/>
      <x:c r="R416" s="349" t="str">
        <x:f>IF(L416="","",IF(Q416&lt;&gt;"",L416*Q416,IF(OR(ISNUMBER(SEARCH("EUR2025",M416&amp;"")),P416=2025,P416="2025"),L416,"")))</x:f>
      </x:c>
      <x:c r="S416" s="83" t="str">
        <x:v>A — Direct</x:v>
      </x:c>
      <x:c r="T416" s="83" t="str">
        <x:v>Direct zonal capacity; convert GW to MW.</x:v>
      </x:c>
      <x:c r="U416" s="83" t="str">
        <x:v>S09</x:v>
      </x:c>
      <x:c r="V416" s="83" t="str">
        <x:v>DDS Tabella 14 p.60</x:v>
      </x:c>
      <x:c r="W416" s="120"/>
      <x:c r="X416" s="83" t="str">
        <x:v>A - Direct</x:v>
      </x:c>
      <x:c r="Y416" s="83" t="str">
        <x:v>Adopted</x:v>
      </x:c>
      <x:c r="Z416" s="83" t="str">
        <x:v>Ready when profiles/base network are available</x:v>
      </x:c>
      <x:c r="AA416" s="83"/>
    </x:row>
    <x:row r="417">
      <x:c r="A417" s="83" t="str">
        <x:v>S4-00413</x:v>
      </x:c>
      <x:c r="B417" s="83" t="str">
        <x:v>IT2040_GRID_DELAY</x:v>
      </x:c>
      <x:c r="C417" s="83" t="n">
        <x:v>2040</x:v>
      </x:c>
      <x:c r="D417" s="83" t="str">
        <x:v>Generation capacity</x:v>
      </x:c>
      <x:c r="E417" s="83" t="str">
        <x:v>IT_SARD</x:v>
      </x:c>
      <x:c r="F417" s="83" t="str">
        <x:v>SARD</x:v>
      </x:c>
      <x:c r="G417" s="83" t="str">
        <x:v>Solare distribuito</x:v>
      </x:c>
      <x:c r="H417" s="83" t="str">
        <x:v>Solar rooftop/distributed</x:v>
      </x:c>
      <x:c r="I417" s="83" t="str">
        <x:v>solar-rooftop</x:v>
      </x:c>
      <x:c r="J417" s="83" t="str">
        <x:v>Generator</x:v>
      </x:c>
      <x:c r="K417" s="83" t="str">
        <x:v>p_nom</x:v>
      </x:c>
      <x:c r="L417" s="279" t="n">
        <x:v>1.7</x:v>
      </x:c>
      <x:c r="M417" s="279" t="str">
        <x:v>GW</x:v>
      </x:c>
      <x:c r="N417" s="279" t="n">
        <x:f>IF(L417="","",IF(M417="GW",L417*1000,IF(M417="GWh",L417*1000,IF(M417="TWh",L417*1000000,L417))))</x:f>
        <x:v>1700</x:v>
      </x:c>
      <x:c r="O417" s="83" t="str">
        <x:f>IF(L417="","",IF(M417="GW","MW",IF(OR(M417="GWh",M417="TWh"),"MWh",M417)))</x:f>
        <x:v>MW</x:v>
      </x:c>
      <x:c r="P417" s="83" t="str"/>
      <x:c r="Q417" s="349"/>
      <x:c r="R417" s="349" t="str">
        <x:f>IF(L417="","",IF(Q417&lt;&gt;"",L417*Q417,IF(OR(ISNUMBER(SEARCH("EUR2025",M417&amp;"")),P417=2025,P417="2025"),L417,"")))</x:f>
      </x:c>
      <x:c r="S417" s="83" t="str">
        <x:v>A — Direct</x:v>
      </x:c>
      <x:c r="T417" s="83" t="str">
        <x:v>Direct zonal capacity; convert GW to MW.</x:v>
      </x:c>
      <x:c r="U417" s="83" t="str">
        <x:v>S09</x:v>
      </x:c>
      <x:c r="V417" s="83" t="str">
        <x:v>DDS Tabella 14 p.60</x:v>
      </x:c>
      <x:c r="W417" s="120"/>
      <x:c r="X417" s="83" t="str">
        <x:v>A - Direct</x:v>
      </x:c>
      <x:c r="Y417" s="83" t="str">
        <x:v>Adopted</x:v>
      </x:c>
      <x:c r="Z417" s="83" t="str">
        <x:v>Ready when profiles/base network are available</x:v>
      </x:c>
      <x:c r="AA417" s="83"/>
    </x:row>
    <x:row r="418">
      <x:c r="A418" s="83" t="str">
        <x:v>S4-00414</x:v>
      </x:c>
      <x:c r="B418" s="83" t="str">
        <x:v>IT2040_GRID_DELAY</x:v>
      </x:c>
      <x:c r="C418" s="83" t="n">
        <x:v>2040</x:v>
      </x:c>
      <x:c r="D418" s="83" t="str">
        <x:v>Generation capacity</x:v>
      </x:c>
      <x:c r="E418" s="83" t="str">
        <x:v>IT_SARD</x:v>
      </x:c>
      <x:c r="F418" s="83" t="str">
        <x:v>SARD</x:v>
      </x:c>
      <x:c r="G418" s="83" t="str">
        <x:v>Solare utility</x:v>
      </x:c>
      <x:c r="H418" s="83" t="str">
        <x:v>Solar utility</x:v>
      </x:c>
      <x:c r="I418" s="83" t="str">
        <x:v>solar-utility</x:v>
      </x:c>
      <x:c r="J418" s="83" t="str">
        <x:v>Generator</x:v>
      </x:c>
      <x:c r="K418" s="83" t="str">
        <x:v>p_nom</x:v>
      </x:c>
      <x:c r="L418" s="279" t="n">
        <x:v>7.7</x:v>
      </x:c>
      <x:c r="M418" s="279" t="str">
        <x:v>GW</x:v>
      </x:c>
      <x:c r="N418" s="279" t="n">
        <x:f>IF(L418="","",IF(M418="GW",L418*1000,IF(M418="GWh",L418*1000,IF(M418="TWh",L418*1000000,L418))))</x:f>
        <x:v>7700</x:v>
      </x:c>
      <x:c r="O418" s="83" t="str">
        <x:f>IF(L418="","",IF(M418="GW","MW",IF(OR(M418="GWh",M418="TWh"),"MWh",M418)))</x:f>
        <x:v>MW</x:v>
      </x:c>
      <x:c r="P418" s="83" t="str"/>
      <x:c r="Q418" s="349"/>
      <x:c r="R418" s="349" t="str">
        <x:f>IF(L418="","",IF(Q418&lt;&gt;"",L418*Q418,IF(OR(ISNUMBER(SEARCH("EUR2025",M418&amp;"")),P418=2025,P418="2025"),L418,"")))</x:f>
      </x:c>
      <x:c r="S418" s="83" t="str">
        <x:v>A — Direct</x:v>
      </x:c>
      <x:c r="T418" s="83" t="str">
        <x:v>Direct zonal capacity; convert GW to MW.</x:v>
      </x:c>
      <x:c r="U418" s="83" t="str">
        <x:v>S09</x:v>
      </x:c>
      <x:c r="V418" s="83" t="str">
        <x:v>DDS Tabella 14 p.60</x:v>
      </x:c>
      <x:c r="W418" s="120"/>
      <x:c r="X418" s="83" t="str">
        <x:v>A - Direct</x:v>
      </x:c>
      <x:c r="Y418" s="83" t="str">
        <x:v>Adopted</x:v>
      </x:c>
      <x:c r="Z418" s="83" t="str">
        <x:v>Ready when profiles/base network are available</x:v>
      </x:c>
      <x:c r="AA418" s="83"/>
    </x:row>
    <x:row r="419">
      <x:c r="A419" s="83" t="str">
        <x:v>S4-00415</x:v>
      </x:c>
      <x:c r="B419" s="83" t="str">
        <x:v>IT2040_GRID_DELAY</x:v>
      </x:c>
      <x:c r="C419" s="83" t="n">
        <x:v>2040</x:v>
      </x:c>
      <x:c r="D419" s="83" t="str">
        <x:v>Generation capacity</x:v>
      </x:c>
      <x:c r="E419" s="83" t="str">
        <x:v>IT_NORD</x:v>
      </x:c>
      <x:c r="F419" s="83" t="str">
        <x:v>NORD</x:v>
      </x:c>
      <x:c r="G419" s="83" t="str">
        <x:v>Eolico onshore</x:v>
      </x:c>
      <x:c r="H419" s="83" t="str">
        <x:v>Wind onshore</x:v>
      </x:c>
      <x:c r="I419" s="83" t="str">
        <x:v>onwind</x:v>
      </x:c>
      <x:c r="J419" s="83" t="str">
        <x:v>Generator</x:v>
      </x:c>
      <x:c r="K419" s="83" t="str">
        <x:v>p_nom</x:v>
      </x:c>
      <x:c r="L419" s="279" t="n">
        <x:v>0.6</x:v>
      </x:c>
      <x:c r="M419" s="279" t="str">
        <x:v>GW</x:v>
      </x:c>
      <x:c r="N419" s="279" t="n">
        <x:f>IF(L419="","",IF(M419="GW",L419*1000,IF(M419="GWh",L419*1000,IF(M419="TWh",L419*1000000,L419))))</x:f>
        <x:v>600</x:v>
      </x:c>
      <x:c r="O419" s="83" t="str">
        <x:f>IF(L419="","",IF(M419="GW","MW",IF(OR(M419="GWh",M419="TWh"),"MWh",M419)))</x:f>
        <x:v>MW</x:v>
      </x:c>
      <x:c r="P419" s="83" t="str"/>
      <x:c r="Q419" s="349"/>
      <x:c r="R419" s="349" t="str">
        <x:f>IF(L419="","",IF(Q419&lt;&gt;"",L419*Q419,IF(OR(ISNUMBER(SEARCH("EUR2025",M419&amp;"")),P419=2025,P419="2025"),L419,"")))</x:f>
      </x:c>
      <x:c r="S419" s="83" t="str">
        <x:v>A — Direct</x:v>
      </x:c>
      <x:c r="T419" s="83" t="str">
        <x:v>Direct zonal capacity; convert GW to MW.</x:v>
      </x:c>
      <x:c r="U419" s="83" t="str">
        <x:v>S09</x:v>
      </x:c>
      <x:c r="V419" s="83" t="str">
        <x:v>DDS Tabella 15 p.61</x:v>
      </x:c>
      <x:c r="W419" s="120"/>
      <x:c r="X419" s="83" t="str">
        <x:v>A - Direct</x:v>
      </x:c>
      <x:c r="Y419" s="83" t="str">
        <x:v>Adopted</x:v>
      </x:c>
      <x:c r="Z419" s="83" t="str">
        <x:v>Ready when profiles/base network are available</x:v>
      </x:c>
      <x:c r="AA419" s="83"/>
    </x:row>
    <x:row r="420">
      <x:c r="A420" s="83" t="str">
        <x:v>S4-00416</x:v>
      </x:c>
      <x:c r="B420" s="83" t="str">
        <x:v>IT2040_GRID_DELAY</x:v>
      </x:c>
      <x:c r="C420" s="83" t="n">
        <x:v>2040</x:v>
      </x:c>
      <x:c r="D420" s="83" t="str">
        <x:v>Generation capacity</x:v>
      </x:c>
      <x:c r="E420" s="83" t="str">
        <x:v>IT_NORD</x:v>
      </x:c>
      <x:c r="F420" s="83" t="str">
        <x:v>NORD</x:v>
      </x:c>
      <x:c r="G420" s="83" t="str">
        <x:v>Eolico offshore</x:v>
      </x:c>
      <x:c r="H420" s="83" t="str">
        <x:v>Wind offshore unspecified</x:v>
      </x:c>
      <x:c r="I420" s="83" t="str">
        <x:v>offwind</x:v>
      </x:c>
      <x:c r="J420" s="83" t="str">
        <x:v>Generator</x:v>
      </x:c>
      <x:c r="K420" s="83" t="str">
        <x:v>p_nom</x:v>
      </x:c>
      <x:c r="L420" s="279" t="n">
        <x:v>1.5</x:v>
      </x:c>
      <x:c r="M420" s="279" t="str">
        <x:v>GW</x:v>
      </x:c>
      <x:c r="N420" s="279" t="n">
        <x:f>IF(L420="","",IF(M420="GW",L420*1000,IF(M420="GWh",L420*1000,IF(M420="TWh",L420*1000000,L420))))</x:f>
        <x:v>1500</x:v>
      </x:c>
      <x:c r="O420" s="83" t="str">
        <x:f>IF(L420="","",IF(M420="GW","MW",IF(OR(M420="GWh",M420="TWh"),"MWh",M420)))</x:f>
        <x:v>MW</x:v>
      </x:c>
      <x:c r="P420" s="83" t="str"/>
      <x:c r="Q420" s="349"/>
      <x:c r="R420" s="349" t="str">
        <x:f>IF(L420="","",IF(Q420&lt;&gt;"",L420*Q420,IF(OR(ISNUMBER(SEARCH("EUR2025",M420&amp;"")),P420=2025,P420="2025"),L420,"")))</x:f>
      </x:c>
      <x:c r="S420" s="83" t="str">
        <x:v>A — Direct</x:v>
      </x:c>
      <x:c r="T420" s="83" t="str">
        <x:v>Direct zonal capacity; convert GW to MW.</x:v>
      </x:c>
      <x:c r="U420" s="83" t="str">
        <x:v>S09</x:v>
      </x:c>
      <x:c r="V420" s="83" t="str">
        <x:v>DDS Tabella 15 p.61</x:v>
      </x:c>
      <x:c r="W420" s="120"/>
      <x:c r="X420" s="83" t="str">
        <x:v>A - Direct</x:v>
      </x:c>
      <x:c r="Y420" s="83" t="str">
        <x:v>Adopted</x:v>
      </x:c>
      <x:c r="Z420" s="83" t="str">
        <x:v>Ready when profiles/base network are available</x:v>
      </x:c>
      <x:c r="AA420" s="83"/>
    </x:row>
    <x:row r="421">
      <x:c r="A421" s="83" t="str">
        <x:v>S4-00417</x:v>
      </x:c>
      <x:c r="B421" s="83" t="str">
        <x:v>IT2040_GRID_DELAY</x:v>
      </x:c>
      <x:c r="C421" s="83" t="n">
        <x:v>2040</x:v>
      </x:c>
      <x:c r="D421" s="83" t="str">
        <x:v>Generation capacity</x:v>
      </x:c>
      <x:c r="E421" s="83" t="str">
        <x:v>IT_CNOR</x:v>
      </x:c>
      <x:c r="F421" s="83" t="str">
        <x:v>CNOR</x:v>
      </x:c>
      <x:c r="G421" s="83" t="str">
        <x:v>Eolico onshore</x:v>
      </x:c>
      <x:c r="H421" s="83" t="str">
        <x:v>Wind onshore</x:v>
      </x:c>
      <x:c r="I421" s="83" t="str">
        <x:v>onwind</x:v>
      </x:c>
      <x:c r="J421" s="83" t="str">
        <x:v>Generator</x:v>
      </x:c>
      <x:c r="K421" s="83" t="str">
        <x:v>p_nom</x:v>
      </x:c>
      <x:c r="L421" s="279" t="n">
        <x:v>0.4</x:v>
      </x:c>
      <x:c r="M421" s="279" t="str">
        <x:v>GW</x:v>
      </x:c>
      <x:c r="N421" s="279" t="n">
        <x:f>IF(L421="","",IF(M421="GW",L421*1000,IF(M421="GWh",L421*1000,IF(M421="TWh",L421*1000000,L421))))</x:f>
        <x:v>400</x:v>
      </x:c>
      <x:c r="O421" s="83" t="str">
        <x:f>IF(L421="","",IF(M421="GW","MW",IF(OR(M421="GWh",M421="TWh"),"MWh",M421)))</x:f>
        <x:v>MW</x:v>
      </x:c>
      <x:c r="P421" s="83" t="str"/>
      <x:c r="Q421" s="349"/>
      <x:c r="R421" s="349" t="str">
        <x:f>IF(L421="","",IF(Q421&lt;&gt;"",L421*Q421,IF(OR(ISNUMBER(SEARCH("EUR2025",M421&amp;"")),P421=2025,P421="2025"),L421,"")))</x:f>
      </x:c>
      <x:c r="S421" s="83" t="str">
        <x:v>A — Direct</x:v>
      </x:c>
      <x:c r="T421" s="83" t="str">
        <x:v>Direct zonal capacity; convert GW to MW.</x:v>
      </x:c>
      <x:c r="U421" s="83" t="str">
        <x:v>S09</x:v>
      </x:c>
      <x:c r="V421" s="83" t="str">
        <x:v>DDS Tabella 15 p.61</x:v>
      </x:c>
      <x:c r="W421" s="120"/>
      <x:c r="X421" s="83" t="str">
        <x:v>A - Direct</x:v>
      </x:c>
      <x:c r="Y421" s="83" t="str">
        <x:v>Adopted</x:v>
      </x:c>
      <x:c r="Z421" s="83" t="str">
        <x:v>Ready when profiles/base network are available</x:v>
      </x:c>
      <x:c r="AA421" s="83"/>
    </x:row>
    <x:row r="422">
      <x:c r="A422" s="83" t="str">
        <x:v>S4-00418</x:v>
      </x:c>
      <x:c r="B422" s="83" t="str">
        <x:v>IT2040_GRID_DELAY</x:v>
      </x:c>
      <x:c r="C422" s="83" t="n">
        <x:v>2040</x:v>
      </x:c>
      <x:c r="D422" s="83" t="str">
        <x:v>Generation capacity</x:v>
      </x:c>
      <x:c r="E422" s="83" t="str">
        <x:v>IT_CNOR</x:v>
      </x:c>
      <x:c r="F422" s="83" t="str">
        <x:v>CNOR</x:v>
      </x:c>
      <x:c r="G422" s="83" t="str">
        <x:v>Eolico offshore</x:v>
      </x:c>
      <x:c r="H422" s="83" t="str">
        <x:v>Wind offshore unspecified</x:v>
      </x:c>
      <x:c r="I422" s="83" t="str">
        <x:v>offwind</x:v>
      </x:c>
      <x:c r="J422" s="83" t="str">
        <x:v>Generator</x:v>
      </x:c>
      <x:c r="K422" s="83" t="str">
        <x:v>p_nom</x:v>
      </x:c>
      <x:c r="L422" s="279" t="n">
        <x:v>0.8</x:v>
      </x:c>
      <x:c r="M422" s="279" t="str">
        <x:v>GW</x:v>
      </x:c>
      <x:c r="N422" s="279" t="n">
        <x:f>IF(L422="","",IF(M422="GW",L422*1000,IF(M422="GWh",L422*1000,IF(M422="TWh",L422*1000000,L422))))</x:f>
        <x:v>800</x:v>
      </x:c>
      <x:c r="O422" s="83" t="str">
        <x:f>IF(L422="","",IF(M422="GW","MW",IF(OR(M422="GWh",M422="TWh"),"MWh",M422)))</x:f>
        <x:v>MW</x:v>
      </x:c>
      <x:c r="P422" s="83" t="str"/>
      <x:c r="Q422" s="349"/>
      <x:c r="R422" s="349" t="str">
        <x:f>IF(L422="","",IF(Q422&lt;&gt;"",L422*Q422,IF(OR(ISNUMBER(SEARCH("EUR2025",M422&amp;"")),P422=2025,P422="2025"),L422,"")))</x:f>
      </x:c>
      <x:c r="S422" s="83" t="str">
        <x:v>A — Direct</x:v>
      </x:c>
      <x:c r="T422" s="83" t="str">
        <x:v>Direct zonal capacity; convert GW to MW.</x:v>
      </x:c>
      <x:c r="U422" s="83" t="str">
        <x:v>S09</x:v>
      </x:c>
      <x:c r="V422" s="83" t="str">
        <x:v>DDS Tabella 15 p.61</x:v>
      </x:c>
      <x:c r="W422" s="120"/>
      <x:c r="X422" s="83" t="str">
        <x:v>A - Direct</x:v>
      </x:c>
      <x:c r="Y422" s="83" t="str">
        <x:v>Adopted</x:v>
      </x:c>
      <x:c r="Z422" s="83" t="str">
        <x:v>Ready when profiles/base network are available</x:v>
      </x:c>
      <x:c r="AA422" s="83"/>
    </x:row>
    <x:row r="423">
      <x:c r="A423" s="83" t="str">
        <x:v>S4-00419</x:v>
      </x:c>
      <x:c r="B423" s="83" t="str">
        <x:v>IT2040_GRID_DELAY</x:v>
      </x:c>
      <x:c r="C423" s="83" t="n">
        <x:v>2040</x:v>
      </x:c>
      <x:c r="D423" s="83" t="str">
        <x:v>Generation capacity</x:v>
      </x:c>
      <x:c r="E423" s="83" t="str">
        <x:v>IT_CSUD</x:v>
      </x:c>
      <x:c r="F423" s="83" t="str">
        <x:v>CSUD</x:v>
      </x:c>
      <x:c r="G423" s="83" t="str">
        <x:v>Eolico onshore</x:v>
      </x:c>
      <x:c r="H423" s="83" t="str">
        <x:v>Wind onshore</x:v>
      </x:c>
      <x:c r="I423" s="83" t="str">
        <x:v>onwind</x:v>
      </x:c>
      <x:c r="J423" s="83" t="str">
        <x:v>Generator</x:v>
      </x:c>
      <x:c r="K423" s="83" t="str">
        <x:v>p_nom</x:v>
      </x:c>
      <x:c r="L423" s="279" t="n">
        <x:v>6.8</x:v>
      </x:c>
      <x:c r="M423" s="279" t="str">
        <x:v>GW</x:v>
      </x:c>
      <x:c r="N423" s="279" t="n">
        <x:f>IF(L423="","",IF(M423="GW",L423*1000,IF(M423="GWh",L423*1000,IF(M423="TWh",L423*1000000,L423))))</x:f>
        <x:v>6800</x:v>
      </x:c>
      <x:c r="O423" s="83" t="str">
        <x:f>IF(L423="","",IF(M423="GW","MW",IF(OR(M423="GWh",M423="TWh"),"MWh",M423)))</x:f>
        <x:v>MW</x:v>
      </x:c>
      <x:c r="P423" s="83" t="str"/>
      <x:c r="Q423" s="349"/>
      <x:c r="R423" s="349" t="str">
        <x:f>IF(L423="","",IF(Q423&lt;&gt;"",L423*Q423,IF(OR(ISNUMBER(SEARCH("EUR2025",M423&amp;"")),P423=2025,P423="2025"),L423,"")))</x:f>
      </x:c>
      <x:c r="S423" s="83" t="str">
        <x:v>A — Direct</x:v>
      </x:c>
      <x:c r="T423" s="83" t="str">
        <x:v>Direct zonal capacity; convert GW to MW.</x:v>
      </x:c>
      <x:c r="U423" s="83" t="str">
        <x:v>S09</x:v>
      </x:c>
      <x:c r="V423" s="83" t="str">
        <x:v>DDS Tabella 15 p.61</x:v>
      </x:c>
      <x:c r="W423" s="120"/>
      <x:c r="X423" s="83" t="str">
        <x:v>A - Direct</x:v>
      </x:c>
      <x:c r="Y423" s="83" t="str">
        <x:v>Adopted</x:v>
      </x:c>
      <x:c r="Z423" s="83" t="str">
        <x:v>Ready when profiles/base network are available</x:v>
      </x:c>
      <x:c r="AA423" s="83"/>
    </x:row>
    <x:row r="424">
      <x:c r="A424" s="83" t="str">
        <x:v>S4-00420</x:v>
      </x:c>
      <x:c r="B424" s="83" t="str">
        <x:v>IT2040_GRID_DELAY</x:v>
      </x:c>
      <x:c r="C424" s="83" t="n">
        <x:v>2040</x:v>
      </x:c>
      <x:c r="D424" s="83" t="str">
        <x:v>Generation capacity</x:v>
      </x:c>
      <x:c r="E424" s="83" t="str">
        <x:v>IT_CSUD</x:v>
      </x:c>
      <x:c r="F424" s="83" t="str">
        <x:v>CSUD</x:v>
      </x:c>
      <x:c r="G424" s="83" t="str">
        <x:v>Eolico offshore</x:v>
      </x:c>
      <x:c r="H424" s="83" t="str">
        <x:v>Wind offshore unspecified</x:v>
      </x:c>
      <x:c r="I424" s="83" t="str">
        <x:v>offwind</x:v>
      </x:c>
      <x:c r="J424" s="83" t="str">
        <x:v>Generator</x:v>
      </x:c>
      <x:c r="K424" s="83" t="str">
        <x:v>p_nom</x:v>
      </x:c>
      <x:c r="L424" s="279" t="n">
        <x:v>1.6</x:v>
      </x:c>
      <x:c r="M424" s="279" t="str">
        <x:v>GW</x:v>
      </x:c>
      <x:c r="N424" s="279" t="n">
        <x:f>IF(L424="","",IF(M424="GW",L424*1000,IF(M424="GWh",L424*1000,IF(M424="TWh",L424*1000000,L424))))</x:f>
        <x:v>1600</x:v>
      </x:c>
      <x:c r="O424" s="83" t="str">
        <x:f>IF(L424="","",IF(M424="GW","MW",IF(OR(M424="GWh",M424="TWh"),"MWh",M424)))</x:f>
        <x:v>MW</x:v>
      </x:c>
      <x:c r="P424" s="83" t="str"/>
      <x:c r="Q424" s="349"/>
      <x:c r="R424" s="349" t="str">
        <x:f>IF(L424="","",IF(Q424&lt;&gt;"",L424*Q424,IF(OR(ISNUMBER(SEARCH("EUR2025",M424&amp;"")),P424=2025,P424="2025"),L424,"")))</x:f>
      </x:c>
      <x:c r="S424" s="83" t="str">
        <x:v>A — Direct</x:v>
      </x:c>
      <x:c r="T424" s="83" t="str">
        <x:v>Direct zonal capacity; convert GW to MW.</x:v>
      </x:c>
      <x:c r="U424" s="83" t="str">
        <x:v>S09</x:v>
      </x:c>
      <x:c r="V424" s="83" t="str">
        <x:v>DDS Tabella 15 p.61</x:v>
      </x:c>
      <x:c r="W424" s="120"/>
      <x:c r="X424" s="83" t="str">
        <x:v>A - Direct</x:v>
      </x:c>
      <x:c r="Y424" s="83" t="str">
        <x:v>Adopted</x:v>
      </x:c>
      <x:c r="Z424" s="83" t="str">
        <x:v>Ready when profiles/base network are available</x:v>
      </x:c>
      <x:c r="AA424" s="83"/>
    </x:row>
    <x:row r="425">
      <x:c r="A425" s="83" t="str">
        <x:v>S4-00421</x:v>
      </x:c>
      <x:c r="B425" s="83" t="str">
        <x:v>IT2040_GRID_DELAY</x:v>
      </x:c>
      <x:c r="C425" s="83" t="n">
        <x:v>2040</x:v>
      </x:c>
      <x:c r="D425" s="83" t="str">
        <x:v>Generation capacity</x:v>
      </x:c>
      <x:c r="E425" s="83" t="str">
        <x:v>IT_SUD</x:v>
      </x:c>
      <x:c r="F425" s="83" t="str">
        <x:v>SUD</x:v>
      </x:c>
      <x:c r="G425" s="83" t="str">
        <x:v>Eolico onshore</x:v>
      </x:c>
      <x:c r="H425" s="83" t="str">
        <x:v>Wind onshore</x:v>
      </x:c>
      <x:c r="I425" s="83" t="str">
        <x:v>onwind</x:v>
      </x:c>
      <x:c r="J425" s="83" t="str">
        <x:v>Generator</x:v>
      </x:c>
      <x:c r="K425" s="83" t="str">
        <x:v>p_nom</x:v>
      </x:c>
      <x:c r="L425" s="279" t="n">
        <x:v>13.2</x:v>
      </x:c>
      <x:c r="M425" s="279" t="str">
        <x:v>GW</x:v>
      </x:c>
      <x:c r="N425" s="279" t="n">
        <x:f>IF(L425="","",IF(M425="GW",L425*1000,IF(M425="GWh",L425*1000,IF(M425="TWh",L425*1000000,L425))))</x:f>
        <x:v>13200</x:v>
      </x:c>
      <x:c r="O425" s="83" t="str">
        <x:f>IF(L425="","",IF(M425="GW","MW",IF(OR(M425="GWh",M425="TWh"),"MWh",M425)))</x:f>
        <x:v>MW</x:v>
      </x:c>
      <x:c r="P425" s="83" t="str"/>
      <x:c r="Q425" s="349"/>
      <x:c r="R425" s="349" t="str">
        <x:f>IF(L425="","",IF(Q425&lt;&gt;"",L425*Q425,IF(OR(ISNUMBER(SEARCH("EUR2025",M425&amp;"")),P425=2025,P425="2025"),L425,"")))</x:f>
      </x:c>
      <x:c r="S425" s="83" t="str">
        <x:v>A — Direct</x:v>
      </x:c>
      <x:c r="T425" s="83" t="str">
        <x:v>Direct zonal capacity; convert GW to MW.</x:v>
      </x:c>
      <x:c r="U425" s="83" t="str">
        <x:v>S09</x:v>
      </x:c>
      <x:c r="V425" s="83" t="str">
        <x:v>DDS Tabella 15 p.61</x:v>
      </x:c>
      <x:c r="W425" s="120"/>
      <x:c r="X425" s="83" t="str">
        <x:v>A - Direct</x:v>
      </x:c>
      <x:c r="Y425" s="83" t="str">
        <x:v>Adopted</x:v>
      </x:c>
      <x:c r="Z425" s="83" t="str">
        <x:v>Ready when profiles/base network are available</x:v>
      </x:c>
      <x:c r="AA425" s="83"/>
    </x:row>
    <x:row r="426">
      <x:c r="A426" s="83" t="str">
        <x:v>S4-00422</x:v>
      </x:c>
      <x:c r="B426" s="83" t="str">
        <x:v>IT2040_GRID_DELAY</x:v>
      </x:c>
      <x:c r="C426" s="83" t="n">
        <x:v>2040</x:v>
      </x:c>
      <x:c r="D426" s="83" t="str">
        <x:v>Generation capacity</x:v>
      </x:c>
      <x:c r="E426" s="83" t="str">
        <x:v>IT_SUD</x:v>
      </x:c>
      <x:c r="F426" s="83" t="str">
        <x:v>SUD</x:v>
      </x:c>
      <x:c r="G426" s="83" t="str">
        <x:v>Eolico offshore</x:v>
      </x:c>
      <x:c r="H426" s="83" t="str">
        <x:v>Wind offshore unspecified</x:v>
      </x:c>
      <x:c r="I426" s="83" t="str">
        <x:v>offwind</x:v>
      </x:c>
      <x:c r="J426" s="83" t="str">
        <x:v>Generator</x:v>
      </x:c>
      <x:c r="K426" s="83" t="str">
        <x:v>p_nom</x:v>
      </x:c>
      <x:c r="L426" s="279" t="n">
        <x:v>4.7</x:v>
      </x:c>
      <x:c r="M426" s="279" t="str">
        <x:v>GW</x:v>
      </x:c>
      <x:c r="N426" s="279" t="n">
        <x:f>IF(L426="","",IF(M426="GW",L426*1000,IF(M426="GWh",L426*1000,IF(M426="TWh",L426*1000000,L426))))</x:f>
        <x:v>4700</x:v>
      </x:c>
      <x:c r="O426" s="83" t="str">
        <x:f>IF(L426="","",IF(M426="GW","MW",IF(OR(M426="GWh",M426="TWh"),"MWh",M426)))</x:f>
        <x:v>MW</x:v>
      </x:c>
      <x:c r="P426" s="83" t="str"/>
      <x:c r="Q426" s="349"/>
      <x:c r="R426" s="349" t="str">
        <x:f>IF(L426="","",IF(Q426&lt;&gt;"",L426*Q426,IF(OR(ISNUMBER(SEARCH("EUR2025",M426&amp;"")),P426=2025,P426="2025"),L426,"")))</x:f>
      </x:c>
      <x:c r="S426" s="83" t="str">
        <x:v>A — Direct</x:v>
      </x:c>
      <x:c r="T426" s="83" t="str">
        <x:v>Direct zonal capacity; convert GW to MW.</x:v>
      </x:c>
      <x:c r="U426" s="83" t="str">
        <x:v>S09</x:v>
      </x:c>
      <x:c r="V426" s="83" t="str">
        <x:v>DDS Tabella 15 p.61</x:v>
      </x:c>
      <x:c r="W426" s="120"/>
      <x:c r="X426" s="83" t="str">
        <x:v>A - Direct</x:v>
      </x:c>
      <x:c r="Y426" s="83" t="str">
        <x:v>Adopted</x:v>
      </x:c>
      <x:c r="Z426" s="83" t="str">
        <x:v>Ready when profiles/base network are available</x:v>
      </x:c>
      <x:c r="AA426" s="83"/>
    </x:row>
    <x:row r="427">
      <x:c r="A427" s="83" t="str">
        <x:v>S4-00423</x:v>
      </x:c>
      <x:c r="B427" s="83" t="str">
        <x:v>IT2040_GRID_DELAY</x:v>
      </x:c>
      <x:c r="C427" s="83" t="n">
        <x:v>2040</x:v>
      </x:c>
      <x:c r="D427" s="83" t="str">
        <x:v>Generation capacity</x:v>
      </x:c>
      <x:c r="E427" s="83" t="str">
        <x:v>IT_CALA</x:v>
      </x:c>
      <x:c r="F427" s="83" t="str">
        <x:v>CALA</x:v>
      </x:c>
      <x:c r="G427" s="83" t="str">
        <x:v>Eolico onshore</x:v>
      </x:c>
      <x:c r="H427" s="83" t="str">
        <x:v>Wind onshore</x:v>
      </x:c>
      <x:c r="I427" s="83" t="str">
        <x:v>onwind</x:v>
      </x:c>
      <x:c r="J427" s="83" t="str">
        <x:v>Generator</x:v>
      </x:c>
      <x:c r="K427" s="83" t="str">
        <x:v>p_nom</x:v>
      </x:c>
      <x:c r="L427" s="279" t="n">
        <x:v>3.3</x:v>
      </x:c>
      <x:c r="M427" s="279" t="str">
        <x:v>GW</x:v>
      </x:c>
      <x:c r="N427" s="279" t="n">
        <x:f>IF(L427="","",IF(M427="GW",L427*1000,IF(M427="GWh",L427*1000,IF(M427="TWh",L427*1000000,L427))))</x:f>
        <x:v>3300</x:v>
      </x:c>
      <x:c r="O427" s="83" t="str">
        <x:f>IF(L427="","",IF(M427="GW","MW",IF(OR(M427="GWh",M427="TWh"),"MWh",M427)))</x:f>
        <x:v>MW</x:v>
      </x:c>
      <x:c r="P427" s="83" t="str"/>
      <x:c r="Q427" s="349"/>
      <x:c r="R427" s="349" t="str">
        <x:f>IF(L427="","",IF(Q427&lt;&gt;"",L427*Q427,IF(OR(ISNUMBER(SEARCH("EUR2025",M427&amp;"")),P427=2025,P427="2025"),L427,"")))</x:f>
      </x:c>
      <x:c r="S427" s="83" t="str">
        <x:v>A — Direct</x:v>
      </x:c>
      <x:c r="T427" s="83" t="str">
        <x:v>Direct zonal capacity; convert GW to MW.</x:v>
      </x:c>
      <x:c r="U427" s="83" t="str">
        <x:v>S09</x:v>
      </x:c>
      <x:c r="V427" s="83" t="str">
        <x:v>DDS Tabella 15 p.61</x:v>
      </x:c>
      <x:c r="W427" s="120"/>
      <x:c r="X427" s="83" t="str">
        <x:v>A - Direct</x:v>
      </x:c>
      <x:c r="Y427" s="83" t="str">
        <x:v>Adopted</x:v>
      </x:c>
      <x:c r="Z427" s="83" t="str">
        <x:v>Ready when profiles/base network are available</x:v>
      </x:c>
      <x:c r="AA427" s="83"/>
    </x:row>
    <x:row r="428">
      <x:c r="A428" s="83" t="str">
        <x:v>S4-00424</x:v>
      </x:c>
      <x:c r="B428" s="83" t="str">
        <x:v>IT2040_GRID_DELAY</x:v>
      </x:c>
      <x:c r="C428" s="83" t="n">
        <x:v>2040</x:v>
      </x:c>
      <x:c r="D428" s="83" t="str">
        <x:v>Generation capacity</x:v>
      </x:c>
      <x:c r="E428" s="83" t="str">
        <x:v>IT_CALA</x:v>
      </x:c>
      <x:c r="F428" s="83" t="str">
        <x:v>CALA</x:v>
      </x:c>
      <x:c r="G428" s="83" t="str">
        <x:v>Eolico offshore</x:v>
      </x:c>
      <x:c r="H428" s="83" t="str">
        <x:v>Wind offshore unspecified</x:v>
      </x:c>
      <x:c r="I428" s="83" t="str">
        <x:v>offwind</x:v>
      </x:c>
      <x:c r="J428" s="83" t="str">
        <x:v>Generator</x:v>
      </x:c>
      <x:c r="K428" s="83" t="str">
        <x:v>p_nom</x:v>
      </x:c>
      <x:c r="L428" s="279" t="n">
        <x:v>0.6</x:v>
      </x:c>
      <x:c r="M428" s="279" t="str">
        <x:v>GW</x:v>
      </x:c>
      <x:c r="N428" s="279" t="n">
        <x:f>IF(L428="","",IF(M428="GW",L428*1000,IF(M428="GWh",L428*1000,IF(M428="TWh",L428*1000000,L428))))</x:f>
        <x:v>600</x:v>
      </x:c>
      <x:c r="O428" s="83" t="str">
        <x:f>IF(L428="","",IF(M428="GW","MW",IF(OR(M428="GWh",M428="TWh"),"MWh",M428)))</x:f>
        <x:v>MW</x:v>
      </x:c>
      <x:c r="P428" s="83" t="str"/>
      <x:c r="Q428" s="349"/>
      <x:c r="R428" s="349" t="str">
        <x:f>IF(L428="","",IF(Q428&lt;&gt;"",L428*Q428,IF(OR(ISNUMBER(SEARCH("EUR2025",M428&amp;"")),P428=2025,P428="2025"),L428,"")))</x:f>
      </x:c>
      <x:c r="S428" s="83" t="str">
        <x:v>A — Direct</x:v>
      </x:c>
      <x:c r="T428" s="83" t="str">
        <x:v>Direct zonal capacity; convert GW to MW.</x:v>
      </x:c>
      <x:c r="U428" s="83" t="str">
        <x:v>S09</x:v>
      </x:c>
      <x:c r="V428" s="83" t="str">
        <x:v>DDS Tabella 15 p.61</x:v>
      </x:c>
      <x:c r="W428" s="120"/>
      <x:c r="X428" s="83" t="str">
        <x:v>A - Direct</x:v>
      </x:c>
      <x:c r="Y428" s="83" t="str">
        <x:v>Adopted</x:v>
      </x:c>
      <x:c r="Z428" s="83" t="str">
        <x:v>Ready when profiles/base network are available</x:v>
      </x:c>
      <x:c r="AA428" s="83"/>
    </x:row>
    <x:row r="429">
      <x:c r="A429" s="83" t="str">
        <x:v>S4-00425</x:v>
      </x:c>
      <x:c r="B429" s="83" t="str">
        <x:v>IT2040_GRID_DELAY</x:v>
      </x:c>
      <x:c r="C429" s="83" t="n">
        <x:v>2040</x:v>
      </x:c>
      <x:c r="D429" s="83" t="str">
        <x:v>Generation capacity</x:v>
      </x:c>
      <x:c r="E429" s="83" t="str">
        <x:v>IT_SICI</x:v>
      </x:c>
      <x:c r="F429" s="83" t="str">
        <x:v>SICI</x:v>
      </x:c>
      <x:c r="G429" s="83" t="str">
        <x:v>Eolico onshore</x:v>
      </x:c>
      <x:c r="H429" s="83" t="str">
        <x:v>Wind onshore</x:v>
      </x:c>
      <x:c r="I429" s="83" t="str">
        <x:v>onwind</x:v>
      </x:c>
      <x:c r="J429" s="83" t="str">
        <x:v>Generator</x:v>
      </x:c>
      <x:c r="K429" s="83" t="str">
        <x:v>p_nom</x:v>
      </x:c>
      <x:c r="L429" s="279" t="n">
        <x:v>6.3</x:v>
      </x:c>
      <x:c r="M429" s="279" t="str">
        <x:v>GW</x:v>
      </x:c>
      <x:c r="N429" s="279" t="n">
        <x:f>IF(L429="","",IF(M429="GW",L429*1000,IF(M429="GWh",L429*1000,IF(M429="TWh",L429*1000000,L429))))</x:f>
        <x:v>6300</x:v>
      </x:c>
      <x:c r="O429" s="83" t="str">
        <x:f>IF(L429="","",IF(M429="GW","MW",IF(OR(M429="GWh",M429="TWh"),"MWh",M429)))</x:f>
        <x:v>MW</x:v>
      </x:c>
      <x:c r="P429" s="83" t="str"/>
      <x:c r="Q429" s="349"/>
      <x:c r="R429" s="349" t="str">
        <x:f>IF(L429="","",IF(Q429&lt;&gt;"",L429*Q429,IF(OR(ISNUMBER(SEARCH("EUR2025",M429&amp;"")),P429=2025,P429="2025"),L429,"")))</x:f>
      </x:c>
      <x:c r="S429" s="83" t="str">
        <x:v>A — Direct</x:v>
      </x:c>
      <x:c r="T429" s="83" t="str">
        <x:v>Direct zonal capacity; convert GW to MW.</x:v>
      </x:c>
      <x:c r="U429" s="83" t="str">
        <x:v>S09</x:v>
      </x:c>
      <x:c r="V429" s="83" t="str">
        <x:v>DDS Tabella 15 p.61</x:v>
      </x:c>
      <x:c r="W429" s="120"/>
      <x:c r="X429" s="83" t="str">
        <x:v>A - Direct</x:v>
      </x:c>
      <x:c r="Y429" s="83" t="str">
        <x:v>Adopted</x:v>
      </x:c>
      <x:c r="Z429" s="83" t="str">
        <x:v>Ready when profiles/base network are available</x:v>
      </x:c>
      <x:c r="AA429" s="83"/>
    </x:row>
    <x:row r="430">
      <x:c r="A430" s="83" t="str">
        <x:v>S4-00426</x:v>
      </x:c>
      <x:c r="B430" s="83" t="str">
        <x:v>IT2040_GRID_DELAY</x:v>
      </x:c>
      <x:c r="C430" s="83" t="n">
        <x:v>2040</x:v>
      </x:c>
      <x:c r="D430" s="83" t="str">
        <x:v>Generation capacity</x:v>
      </x:c>
      <x:c r="E430" s="83" t="str">
        <x:v>IT_SICI</x:v>
      </x:c>
      <x:c r="F430" s="83" t="str">
        <x:v>SICI</x:v>
      </x:c>
      <x:c r="G430" s="83" t="str">
        <x:v>Eolico offshore</x:v>
      </x:c>
      <x:c r="H430" s="83" t="str">
        <x:v>Wind offshore unspecified</x:v>
      </x:c>
      <x:c r="I430" s="83" t="str">
        <x:v>offwind</x:v>
      </x:c>
      <x:c r="J430" s="83" t="str">
        <x:v>Generator</x:v>
      </x:c>
      <x:c r="K430" s="83" t="str">
        <x:v>p_nom</x:v>
      </x:c>
      <x:c r="L430" s="279" t="n">
        <x:v>3</x:v>
      </x:c>
      <x:c r="M430" s="279" t="str">
        <x:v>GW</x:v>
      </x:c>
      <x:c r="N430" s="279" t="n">
        <x:f>IF(L430="","",IF(M430="GW",L430*1000,IF(M430="GWh",L430*1000,IF(M430="TWh",L430*1000000,L430))))</x:f>
        <x:v>3000</x:v>
      </x:c>
      <x:c r="O430" s="83" t="str">
        <x:f>IF(L430="","",IF(M430="GW","MW",IF(OR(M430="GWh",M430="TWh"),"MWh",M430)))</x:f>
        <x:v>MW</x:v>
      </x:c>
      <x:c r="P430" s="83" t="str"/>
      <x:c r="Q430" s="349"/>
      <x:c r="R430" s="349" t="str">
        <x:f>IF(L430="","",IF(Q430&lt;&gt;"",L430*Q430,IF(OR(ISNUMBER(SEARCH("EUR2025",M430&amp;"")),P430=2025,P430="2025"),L430,"")))</x:f>
      </x:c>
      <x:c r="S430" s="83" t="str">
        <x:v>A — Direct</x:v>
      </x:c>
      <x:c r="T430" s="83" t="str">
        <x:v>Direct zonal capacity; convert GW to MW.</x:v>
      </x:c>
      <x:c r="U430" s="83" t="str">
        <x:v>S09</x:v>
      </x:c>
      <x:c r="V430" s="83" t="str">
        <x:v>DDS Tabella 15 p.61</x:v>
      </x:c>
      <x:c r="W430" s="120"/>
      <x:c r="X430" s="83" t="str">
        <x:v>A - Direct</x:v>
      </x:c>
      <x:c r="Y430" s="83" t="str">
        <x:v>Adopted</x:v>
      </x:c>
      <x:c r="Z430" s="83" t="str">
        <x:v>Ready when profiles/base network are available</x:v>
      </x:c>
      <x:c r="AA430" s="83"/>
    </x:row>
    <x:row r="431">
      <x:c r="A431" s="83" t="str">
        <x:v>S4-00427</x:v>
      </x:c>
      <x:c r="B431" s="83" t="str">
        <x:v>IT2040_GRID_DELAY</x:v>
      </x:c>
      <x:c r="C431" s="83" t="n">
        <x:v>2040</x:v>
      </x:c>
      <x:c r="D431" s="83" t="str">
        <x:v>Generation capacity</x:v>
      </x:c>
      <x:c r="E431" s="83" t="str">
        <x:v>IT_SARD</x:v>
      </x:c>
      <x:c r="F431" s="83" t="str">
        <x:v>SARD</x:v>
      </x:c>
      <x:c r="G431" s="83" t="str">
        <x:v>Eolico onshore</x:v>
      </x:c>
      <x:c r="H431" s="83" t="str">
        <x:v>Wind onshore</x:v>
      </x:c>
      <x:c r="I431" s="83" t="str">
        <x:v>onwind</x:v>
      </x:c>
      <x:c r="J431" s="83" t="str">
        <x:v>Generator</x:v>
      </x:c>
      <x:c r="K431" s="83" t="str">
        <x:v>p_nom</x:v>
      </x:c>
      <x:c r="L431" s="279" t="n">
        <x:v>3.5</x:v>
      </x:c>
      <x:c r="M431" s="279" t="str">
        <x:v>GW</x:v>
      </x:c>
      <x:c r="N431" s="279" t="n">
        <x:f>IF(L431="","",IF(M431="GW",L431*1000,IF(M431="GWh",L431*1000,IF(M431="TWh",L431*1000000,L431))))</x:f>
        <x:v>3500</x:v>
      </x:c>
      <x:c r="O431" s="83" t="str">
        <x:f>IF(L431="","",IF(M431="GW","MW",IF(OR(M431="GWh",M431="TWh"),"MWh",M431)))</x:f>
        <x:v>MW</x:v>
      </x:c>
      <x:c r="P431" s="83" t="str"/>
      <x:c r="Q431" s="349"/>
      <x:c r="R431" s="349" t="str">
        <x:f>IF(L431="","",IF(Q431&lt;&gt;"",L431*Q431,IF(OR(ISNUMBER(SEARCH("EUR2025",M431&amp;"")),P431=2025,P431="2025"),L431,"")))</x:f>
      </x:c>
      <x:c r="S431" s="83" t="str">
        <x:v>A — Direct</x:v>
      </x:c>
      <x:c r="T431" s="83" t="str">
        <x:v>Direct zonal capacity; convert GW to MW.</x:v>
      </x:c>
      <x:c r="U431" s="83" t="str">
        <x:v>S09</x:v>
      </x:c>
      <x:c r="V431" s="83" t="str">
        <x:v>DDS Tabella 15 p.61</x:v>
      </x:c>
      <x:c r="W431" s="120"/>
      <x:c r="X431" s="83" t="str">
        <x:v>A - Direct</x:v>
      </x:c>
      <x:c r="Y431" s="83" t="str">
        <x:v>Adopted</x:v>
      </x:c>
      <x:c r="Z431" s="83" t="str">
        <x:v>Ready when profiles/base network are available</x:v>
      </x:c>
      <x:c r="AA431" s="83"/>
    </x:row>
    <x:row r="432">
      <x:c r="A432" s="83" t="str">
        <x:v>S4-00428</x:v>
      </x:c>
      <x:c r="B432" s="83" t="str">
        <x:v>IT2040_GRID_DELAY</x:v>
      </x:c>
      <x:c r="C432" s="83" t="n">
        <x:v>2040</x:v>
      </x:c>
      <x:c r="D432" s="83" t="str">
        <x:v>Generation capacity</x:v>
      </x:c>
      <x:c r="E432" s="83" t="str">
        <x:v>IT_SARD</x:v>
      </x:c>
      <x:c r="F432" s="83" t="str">
        <x:v>SARD</x:v>
      </x:c>
      <x:c r="G432" s="83" t="str">
        <x:v>Eolico offshore</x:v>
      </x:c>
      <x:c r="H432" s="83" t="str">
        <x:v>Wind offshore unspecified</x:v>
      </x:c>
      <x:c r="I432" s="83" t="str">
        <x:v>offwind</x:v>
      </x:c>
      <x:c r="J432" s="83" t="str">
        <x:v>Generator</x:v>
      </x:c>
      <x:c r="K432" s="83" t="str">
        <x:v>p_nom</x:v>
      </x:c>
      <x:c r="L432" s="279" t="n">
        <x:v>3</x:v>
      </x:c>
      <x:c r="M432" s="279" t="str">
        <x:v>GW</x:v>
      </x:c>
      <x:c r="N432" s="279" t="n">
        <x:f>IF(L432="","",IF(M432="GW",L432*1000,IF(M432="GWh",L432*1000,IF(M432="TWh",L432*1000000,L432))))</x:f>
        <x:v>3000</x:v>
      </x:c>
      <x:c r="O432" s="83" t="str">
        <x:f>IF(L432="","",IF(M432="GW","MW",IF(OR(M432="GWh",M432="TWh"),"MWh",M432)))</x:f>
        <x:v>MW</x:v>
      </x:c>
      <x:c r="P432" s="83" t="str"/>
      <x:c r="Q432" s="349"/>
      <x:c r="R432" s="349" t="str">
        <x:f>IF(L432="","",IF(Q432&lt;&gt;"",L432*Q432,IF(OR(ISNUMBER(SEARCH("EUR2025",M432&amp;"")),P432=2025,P432="2025"),L432,"")))</x:f>
      </x:c>
      <x:c r="S432" s="83" t="str">
        <x:v>A — Direct</x:v>
      </x:c>
      <x:c r="T432" s="83" t="str">
        <x:v>Direct zonal capacity; convert GW to MW.</x:v>
      </x:c>
      <x:c r="U432" s="83" t="str">
        <x:v>S09</x:v>
      </x:c>
      <x:c r="V432" s="83" t="str">
        <x:v>DDS Tabella 15 p.61</x:v>
      </x:c>
      <x:c r="W432" s="120"/>
      <x:c r="X432" s="83" t="str">
        <x:v>A - Direct</x:v>
      </x:c>
      <x:c r="Y432" s="83" t="str">
        <x:v>Adopted</x:v>
      </x:c>
      <x:c r="Z432" s="83" t="str">
        <x:v>Ready when profiles/base network are available</x:v>
      </x:c>
      <x:c r="AA432" s="83"/>
    </x:row>
    <x:row r="433">
      <x:c r="A433" s="83" t="str">
        <x:v>S4-00429</x:v>
      </x:c>
      <x:c r="B433" s="83" t="str">
        <x:v>IT2040_GRID_DELAY</x:v>
      </x:c>
      <x:c r="C433" s="83" t="n">
        <x:v>2040</x:v>
      </x:c>
      <x:c r="D433" s="83" t="str">
        <x:v>Generation capacity</x:v>
      </x:c>
      <x:c r="E433" s="83" t="str">
        <x:v>Italy</x:v>
      </x:c>
      <x:c r="F433" s="83"/>
      <x:c r="G433" s="83" t="str">
        <x:v>Parco termoelettrico aggregato</x:v>
      </x:c>
      <x:c r="H433" s="83" t="str">
        <x:v>Thermal fleet envelope</x:v>
      </x:c>
      <x:c r="I433" s="83" t="str">
        <x:v>thermal</x:v>
      </x:c>
      <x:c r="J433" s="83" t="str">
        <x:v>Generator portfolio</x:v>
      </x:c>
      <x:c r="K433" s="83" t="str">
        <x:v>sum p_nom</x:v>
      </x:c>
      <x:c r="L433" s="279" t="n">
        <x:v>55</x:v>
      </x:c>
      <x:c r="M433" s="279" t="str">
        <x:v>GW</x:v>
      </x:c>
      <x:c r="N433" s="279" t="n">
        <x:f>IF(L433="","",IF(M433="GW",L433*1000,IF(M433="GWh",L433*1000,IF(M433="TWh",L433*1000000,L433))))</x:f>
        <x:v>55000</x:v>
      </x:c>
      <x:c r="O433" s="83" t="str">
        <x:f>IF(L433="","",IF(M433="GW","MW",IF(OR(M433="GWh",M433="TWh"),"MWh",M433)))</x:f>
        <x:v>MW</x:v>
      </x:c>
      <x:c r="P433" s="83" t="str"/>
      <x:c r="Q433" s="349"/>
      <x:c r="R433" s="349" t="str">
        <x:f>IF(L433="","",IF(Q433&lt;&gt;"",L433*Q433,IF(OR(ISNUMBER(SEARCH("EUR2025",M433&amp;"")),P433=2025,P433="2025"),L433,"")))</x:f>
      </x:c>
      <x:c r="S433" s="83" t="str">
        <x:v>A — Direct approximate</x:v>
      </x:c>
      <x:c r="T433" s="83" t="str">
        <x:v>Use as national reconciliation ceiling; allocate to plant/cohort fleet from PyPSA-Eur/Gaudì. Do not create one generic generator.</x:v>
      </x:c>
      <x:c r="U433" s="83" t="str">
        <x:v>S09</x:v>
      </x:c>
      <x:c r="V433" s="83" t="str">
        <x:v>DDS national capacity figure</x:v>
      </x:c>
      <x:c r="W433" s="120"/>
      <x:c r="X433" s="83" t="str">
        <x:v>B — approximate</x:v>
      </x:c>
      <x:c r="Y433" s="83" t="str">
        <x:v>Control envelope</x:v>
      </x:c>
      <x:c r="Z433" s="83" t="str">
        <x:v>Blocked until plant/cohort mapping</x:v>
      </x:c>
      <x:c r="AA433" s="83" t="str">
        <x:v>Gas/other thermal composition is not supplied at model-ready granularity.</x:v>
      </x:c>
    </x:row>
    <x:row r="434">
      <x:c r="A434" s="83" t="str">
        <x:v>S4-00430</x:v>
      </x:c>
      <x:c r="B434" s="83" t="str">
        <x:v>IT2040_GRID_DELAY</x:v>
      </x:c>
      <x:c r="C434" s="83" t="n">
        <x:v>2040</x:v>
      </x:c>
      <x:c r="D434" s="83" t="str">
        <x:v>Hydro</x:v>
      </x:c>
      <x:c r="E434" s="83" t="str">
        <x:v>Italy</x:v>
      </x:c>
      <x:c r="F434" s="83"/>
      <x:c r="G434" s="83" t="str">
        <x:v>Produzione idroelettrica</x:v>
      </x:c>
      <x:c r="H434" s="83" t="str">
        <x:v>Hydro annual generation target</x:v>
      </x:c>
      <x:c r="I434" s="83" t="str">
        <x:v>hydro</x:v>
      </x:c>
      <x:c r="J434" s="83" t="str">
        <x:v>Generator/StorageUnit QA</x:v>
      </x:c>
      <x:c r="K434" s="83" t="str">
        <x:v>annual generation</x:v>
      </x:c>
      <x:c r="L434" s="279" t="n">
        <x:v>46</x:v>
      </x:c>
      <x:c r="M434" s="279" t="str">
        <x:v>TWh</x:v>
      </x:c>
      <x:c r="N434" s="279" t="n">
        <x:f>IF(L434="","",IF(M434="GW",L434*1000,IF(M434="GWh",L434*1000,IF(M434="TWh",L434*1000000,L434))))</x:f>
        <x:v>46000000</x:v>
      </x:c>
      <x:c r="O434" s="83" t="str">
        <x:f>IF(L434="","",IF(M434="GW","MW",IF(OR(M434="GWh",M434="TWh"),"MWh",M434)))</x:f>
        <x:v>MWh</x:v>
      </x:c>
      <x:c r="P434" s="83" t="str"/>
      <x:c r="Q434" s="349"/>
      <x:c r="R434" s="349" t="str">
        <x:f>IF(L434="","",IF(Q434&lt;&gt;"",L434*Q434,IF(OR(ISNUMBER(SEARCH("EUR2025",M434&amp;"")),P434=2025,P434="2025"),L434,"")))</x:f>
      </x:c>
      <x:c r="S434" s="83" t="str">
        <x:v>A — Direct</x:v>
      </x:c>
      <x:c r="T434" s="83" t="str">
        <x:v>Retain PyPSA-Eur hydro assets and inflow shapes; scale annual inflows/output to 46 TWh while preserving chronology.</x:v>
      </x:c>
      <x:c r="U434" s="83" t="str">
        <x:v>S09</x:v>
      </x:c>
      <x:c r="V434" s="83" t="str">
        <x:v>DDS Table 18</x:v>
      </x:c>
      <x:c r="W434" s="120"/>
      <x:c r="X434" s="83" t="str">
        <x:v>A — Direct</x:v>
      </x:c>
      <x:c r="Y434" s="83" t="str">
        <x:v>Adopted QA target</x:v>
      </x:c>
      <x:c r="Z434" s="83" t="str">
        <x:v>Conditional on external hydro time series</x:v>
      </x:c>
      <x:c r="AA434" s="83"/>
    </x:row>
    <x:row r="435">
      <x:c r="A435" s="83" t="str">
        <x:v>S4-00431</x:v>
      </x:c>
      <x:c r="B435" s="83" t="str">
        <x:v>IT2040_GRID_DELAY</x:v>
      </x:c>
      <x:c r="C435" s="83" t="n">
        <x:v>2040</x:v>
      </x:c>
      <x:c r="D435" s="83" t="str">
        <x:v>Storage</x:v>
      </x:c>
      <x:c r="E435" s="83" t="str">
        <x:v>IT_NORD</x:v>
      </x:c>
      <x:c r="F435" s="83" t="str">
        <x:v>NORD</x:v>
      </x:c>
      <x:c r="G435" s="83" t="str">
        <x:v>Small Scale</x:v>
      </x:c>
      <x:c r="H435" s="83" t="str">
        <x:v>Small-scale 2h</x:v>
      </x:c>
      <x:c r="I435" s="83" t="str">
        <x:v>battery</x:v>
      </x:c>
      <x:c r="J435" s="83" t="str">
        <x:v>Store + Links</x:v>
      </x:c>
      <x:c r="K435" s="83" t="str">
        <x:v>e_nom</x:v>
      </x:c>
      <x:c r="L435" s="279" t="n">
        <x:v>7.6</x:v>
      </x:c>
      <x:c r="M435" s="279" t="str">
        <x:v>GWh</x:v>
      </x:c>
      <x:c r="N435" s="279" t="n">
        <x:f>IF(L435="","",IF(M435="GW",L435*1000,IF(M435="GWh",L435*1000,IF(M435="TWh",L435*1000000,L435))))</x:f>
        <x:v>7600</x:v>
      </x:c>
      <x:c r="O435" s="83" t="str">
        <x:f>IF(L435="","",IF(M435="GW","MW",IF(OR(M435="GWh",M435="TWh"),"MWh",M435)))</x:f>
        <x:v>MWh</x:v>
      </x:c>
      <x:c r="P435" s="83" t="str"/>
      <x:c r="Q435" s="349"/>
      <x:c r="R435" s="349" t="str">
        <x:f>IF(L435="","",IF(Q435&lt;&gt;"",L435*Q435,IF(OR(ISNUMBER(SEARCH("EUR2025",M435&amp;"")),P435=2025,P435="2025"),L435,"")))</x:f>
      </x:c>
      <x:c r="S435" s="83" t="str">
        <x:v>C — Distributed assumption</x:v>
      </x:c>
      <x:c r="T435" s="83" t="str">
        <x:v>Split direct zonal energy 67%/33% between 2h/4h classes; p_nom=e_nom/2.</x:v>
      </x:c>
      <x:c r="U435" s="83" t="str">
        <x:v>S09 / S01</x:v>
      </x:c>
      <x:c r="V435" s="83" t="str">
        <x:v>DDS Table 16; 2025 observed portfolio duration</x:v>
      </x:c>
      <x:c r="W435" s="120"/>
      <x:c r="X435" s="83" t="str">
        <x:v>C — Assumed split</x:v>
      </x:c>
      <x:c r="Y435" s="83" t="str">
        <x:v>Proposed</x:v>
      </x:c>
      <x:c r="Z435" s="83" t="str">
        <x:v>Ready after user approval</x:v>
      </x:c>
      <x:c r="AA435" s="83" t="str">
        <x:v>Duration 2h; share derived from observed aggregate duration near 2.4h.</x:v>
      </x:c>
    </x:row>
    <x:row r="436">
      <x:c r="A436" s="83" t="str">
        <x:v>S4-00432</x:v>
      </x:c>
      <x:c r="B436" s="83" t="str">
        <x:v>IT2040_GRID_DELAY</x:v>
      </x:c>
      <x:c r="C436" s="83" t="n">
        <x:v>2040</x:v>
      </x:c>
      <x:c r="D436" s="83" t="str">
        <x:v>Storage power</x:v>
      </x:c>
      <x:c r="E436" s="83" t="str">
        <x:v>IT_NORD</x:v>
      </x:c>
      <x:c r="F436" s="83" t="str">
        <x:v>NORD</x:v>
      </x:c>
      <x:c r="G436" s="83" t="str">
        <x:v>Small Scale</x:v>
      </x:c>
      <x:c r="H436" s="83" t="str">
        <x:v>Small-scale 2h power</x:v>
      </x:c>
      <x:c r="I436" s="83" t="str">
        <x:v>battery</x:v>
      </x:c>
      <x:c r="J436" s="83" t="str">
        <x:v>Link</x:v>
      </x:c>
      <x:c r="K436" s="83" t="str">
        <x:v>p_nom</x:v>
      </x:c>
      <x:c r="L436" s="279" t="n">
        <x:v>3.8</x:v>
      </x:c>
      <x:c r="M436" s="279" t="str">
        <x:v>GW</x:v>
      </x:c>
      <x:c r="N436" s="279" t="n">
        <x:f>IF(L436="","",IF(M436="GW",L436*1000,IF(M436="GWh",L436*1000,IF(M436="TWh",L436*1000000,L436))))</x:f>
        <x:v>3800</x:v>
      </x:c>
      <x:c r="O436" s="83" t="str">
        <x:f>IF(L436="","",IF(M436="GW","MW",IF(OR(M436="GWh",M436="TWh"),"MWh",M436)))</x:f>
        <x:v>MW</x:v>
      </x:c>
      <x:c r="P436" s="83" t="str"/>
      <x:c r="Q436" s="349"/>
      <x:c r="R436" s="349" t="str">
        <x:f>IF(L436="","",IF(Q436&lt;&gt;"",L436*Q436,IF(OR(ISNUMBER(SEARCH("EUR2025",M436&amp;"")),P436=2025,P436="2025"),L436,"")))</x:f>
      </x:c>
      <x:c r="S436" s="83" t="str">
        <x:v>C — Derived</x:v>
      </x:c>
      <x:c r="T436" s="83" t="str">
        <x:v>Energy / 2 h.</x:v>
      </x:c>
      <x:c r="U436" s="83" t="str">
        <x:v>S09 / S01</x:v>
      </x:c>
      <x:c r="V436" s="83" t="str">
        <x:v>DDS Table 16 + harmonisation</x:v>
      </x:c>
      <x:c r="W436" s="120"/>
      <x:c r="X436" s="83" t="str">
        <x:v>C — Derived</x:v>
      </x:c>
      <x:c r="Y436" s="83" t="str">
        <x:v>Proposed</x:v>
      </x:c>
      <x:c r="Z436" s="83" t="str">
        <x:v>Ready after user approval</x:v>
      </x:c>
      <x:c r="AA436" s="83"/>
    </x:row>
    <x:row r="437">
      <x:c r="A437" s="83" t="str">
        <x:v>S4-00433</x:v>
      </x:c>
      <x:c r="B437" s="83" t="str">
        <x:v>IT2040_GRID_DELAY</x:v>
      </x:c>
      <x:c r="C437" s="83" t="n">
        <x:v>2040</x:v>
      </x:c>
      <x:c r="D437" s="83" t="str">
        <x:v>Storage</x:v>
      </x:c>
      <x:c r="E437" s="83" t="str">
        <x:v>IT_NORD</x:v>
      </x:c>
      <x:c r="F437" s="83" t="str">
        <x:v>NORD</x:v>
      </x:c>
      <x:c r="G437" s="83" t="str">
        <x:v>Small Scale</x:v>
      </x:c>
      <x:c r="H437" s="83" t="str">
        <x:v>Small-scale 4h</x:v>
      </x:c>
      <x:c r="I437" s="83" t="str">
        <x:v>battery</x:v>
      </x:c>
      <x:c r="J437" s="83" t="str">
        <x:v>Store + Links</x:v>
      </x:c>
      <x:c r="K437" s="83" t="str">
        <x:v>e_nom</x:v>
      </x:c>
      <x:c r="L437" s="279" t="n">
        <x:v>3.8</x:v>
      </x:c>
      <x:c r="M437" s="279" t="str">
        <x:v>GWh</x:v>
      </x:c>
      <x:c r="N437" s="279" t="n">
        <x:f>IF(L437="","",IF(M437="GW",L437*1000,IF(M437="GWh",L437*1000,IF(M437="TWh",L437*1000000,L437))))</x:f>
        <x:v>3800</x:v>
      </x:c>
      <x:c r="O437" s="83" t="str">
        <x:f>IF(L437="","",IF(M437="GW","MW",IF(OR(M437="GWh",M437="TWh"),"MWh",M437)))</x:f>
        <x:v>MWh</x:v>
      </x:c>
      <x:c r="P437" s="83" t="str"/>
      <x:c r="Q437" s="349"/>
      <x:c r="R437" s="349" t="str">
        <x:f>IF(L437="","",IF(Q437&lt;&gt;"",L437*Q437,IF(OR(ISNUMBER(SEARCH("EUR2025",M437&amp;"")),P437=2025,P437="2025"),L437,"")))</x:f>
      </x:c>
      <x:c r="S437" s="83" t="str">
        <x:v>C — Distributed assumption</x:v>
      </x:c>
      <x:c r="T437" s="83" t="str">
        <x:v>Split direct zonal energy 67%/33% between 2h/4h classes; p_nom=e_nom/4.</x:v>
      </x:c>
      <x:c r="U437" s="83" t="str">
        <x:v>S09 / S01</x:v>
      </x:c>
      <x:c r="V437" s="83" t="str">
        <x:v>DDS Table 16; 2025 observed portfolio duration</x:v>
      </x:c>
      <x:c r="W437" s="120"/>
      <x:c r="X437" s="83" t="str">
        <x:v>C — Assumed split</x:v>
      </x:c>
      <x:c r="Y437" s="83" t="str">
        <x:v>Proposed</x:v>
      </x:c>
      <x:c r="Z437" s="83" t="str">
        <x:v>Ready after user approval</x:v>
      </x:c>
      <x:c r="AA437" s="83" t="str">
        <x:v>Duration 4h; share derived from observed aggregate duration near 2.4h.</x:v>
      </x:c>
    </x:row>
    <x:row r="438">
      <x:c r="A438" s="83" t="str">
        <x:v>S4-00434</x:v>
      </x:c>
      <x:c r="B438" s="83" t="str">
        <x:v>IT2040_GRID_DELAY</x:v>
      </x:c>
      <x:c r="C438" s="83" t="n">
        <x:v>2040</x:v>
      </x:c>
      <x:c r="D438" s="83" t="str">
        <x:v>Storage power</x:v>
      </x:c>
      <x:c r="E438" s="83" t="str">
        <x:v>IT_NORD</x:v>
      </x:c>
      <x:c r="F438" s="83" t="str">
        <x:v>NORD</x:v>
      </x:c>
      <x:c r="G438" s="83" t="str">
        <x:v>Small Scale</x:v>
      </x:c>
      <x:c r="H438" s="83" t="str">
        <x:v>Small-scale 4h power</x:v>
      </x:c>
      <x:c r="I438" s="83" t="str">
        <x:v>battery</x:v>
      </x:c>
      <x:c r="J438" s="83" t="str">
        <x:v>Link</x:v>
      </x:c>
      <x:c r="K438" s="83" t="str">
        <x:v>p_nom</x:v>
      </x:c>
      <x:c r="L438" s="279" t="n">
        <x:v>0.95</x:v>
      </x:c>
      <x:c r="M438" s="279" t="str">
        <x:v>GW</x:v>
      </x:c>
      <x:c r="N438" s="279" t="n">
        <x:f>IF(L438="","",IF(M438="GW",L438*1000,IF(M438="GWh",L438*1000,IF(M438="TWh",L438*1000000,L438))))</x:f>
        <x:v>950</x:v>
      </x:c>
      <x:c r="O438" s="83" t="str">
        <x:f>IF(L438="","",IF(M438="GW","MW",IF(OR(M438="GWh",M438="TWh"),"MWh",M438)))</x:f>
        <x:v>MW</x:v>
      </x:c>
      <x:c r="P438" s="83" t="str"/>
      <x:c r="Q438" s="349"/>
      <x:c r="R438" s="349" t="str">
        <x:f>IF(L438="","",IF(Q438&lt;&gt;"",L438*Q438,IF(OR(ISNUMBER(SEARCH("EUR2025",M438&amp;"")),P438=2025,P438="2025"),L438,"")))</x:f>
      </x:c>
      <x:c r="S438" s="83" t="str">
        <x:v>C — Derived</x:v>
      </x:c>
      <x:c r="T438" s="83" t="str">
        <x:v>Energy / 4 h.</x:v>
      </x:c>
      <x:c r="U438" s="83" t="str">
        <x:v>S09 / S01</x:v>
      </x:c>
      <x:c r="V438" s="83" t="str">
        <x:v>DDS Table 16 + harmonisation</x:v>
      </x:c>
      <x:c r="W438" s="120"/>
      <x:c r="X438" s="83" t="str">
        <x:v>C — Derived</x:v>
      </x:c>
      <x:c r="Y438" s="83" t="str">
        <x:v>Proposed</x:v>
      </x:c>
      <x:c r="Z438" s="83" t="str">
        <x:v>Ready after user approval</x:v>
      </x:c>
      <x:c r="AA438" s="83"/>
    </x:row>
    <x:row r="439">
      <x:c r="A439" s="83" t="str">
        <x:v>S4-00435</x:v>
      </x:c>
      <x:c r="B439" s="83" t="str">
        <x:v>IT2040_GRID_DELAY</x:v>
      </x:c>
      <x:c r="C439" s="83" t="n">
        <x:v>2040</x:v>
      </x:c>
      <x:c r="D439" s="83" t="str">
        <x:v>Storage</x:v>
      </x:c>
      <x:c r="E439" s="83" t="str">
        <x:v>IT_NORD</x:v>
      </x:c>
      <x:c r="F439" s="83" t="str">
        <x:v>NORD</x:v>
      </x:c>
      <x:c r="G439" s="83" t="str">
        <x:v>Utility Scale incl. MACSE</x:v>
      </x:c>
      <x:c r="H439" s="83" t="str">
        <x:v>Battery utility 8h</x:v>
      </x:c>
      <x:c r="I439" s="83" t="str">
        <x:v>battery</x:v>
      </x:c>
      <x:c r="J439" s="83" t="str">
        <x:v>Store + Links</x:v>
      </x:c>
      <x:c r="K439" s="83" t="str">
        <x:v>e_nom</x:v>
      </x:c>
      <x:c r="L439" s="279" t="n">
        <x:v>0</x:v>
      </x:c>
      <x:c r="M439" s="279" t="str">
        <x:v>GWh</x:v>
      </x:c>
      <x:c r="N439" s="279" t="str">
        <x:f>IF(L439="","",IF(M439="GW",L439*1000,IF(M439="GWh",L439*1000,IF(M439="TWh",L439*1000000,L439))))</x:f>
      </x:c>
      <x:c r="O439" s="83" t="str">
        <x:f>IF(L439="","",IF(M439="GW","MW",IF(OR(M439="GWh",M439="TWh"),"MWh",M439)))</x:f>
      </x:c>
      <x:c r="P439" s="83" t="str"/>
      <x:c r="Q439" s="349"/>
      <x:c r="R439" s="349" t="str">
        <x:f>IF(L439="","",IF(Q439&lt;&gt;"",L439*Q439,IF(OR(ISNUMBER(SEARCH("EUR2025",M439&amp;"")),P439=2025,P439="2025"),L439,"")))</x:f>
      </x:c>
      <x:c r="S439" s="83" t="str">
        <x:v>A/C — Direct total; procurement subset identified</x:v>
      </x:c>
      <x:c r="T439" s="83" t="str">
        <x:v>DDS utility-scale total retained. A 42 GWh MACSE procurement portfolio is identified inside this total and is not added again.</x:v>
      </x:c>
      <x:c r="U439" s="83" t="str">
        <x:v>S09 + TERNA_MACSE_2028 + TERNA_MACSE_2029 + USER_DECISION</x:v>
      </x:c>
      <x:c r="V439" s="83" t="str">
        <x:v>DDS Table 16; 10 GWh MACSE 2028; 16 GWh 2029; 32 GWh available across the next two auctions</x:v>
      </x:c>
      <x:c r="W439" s="120" t="str">
        <x:v>https://www.terna.it/it/media/comunicati-stampa/dettaglio/conclusa-prima-asta-macse; https://download.terna.it/terna/Fabbisogno_di_nuova_capacita_di_stoccaggio_al_2029_8debcba830a85f3.pdf</x:v>
      </x:c>
      <x:c r="X439" s="83" t="str">
        <x:v>B/C — 26 GWh official; final 16 GWh planning tranche revisable</x:v>
      </x:c>
      <x:c r="Y439" s="83" t="str">
        <x:v>APPROVED total with MACSE subset</x:v>
      </x:c>
      <x:c r="Z439" s="83" t="str">
        <x:v>Ready when profiles/base network are available</x:v>
      </x:c>
      <x:c r="AA439" s="83" t="str">
        <x:v>MACSE path: 10 + 16 + 16 = 42 GWh. The final 16 GWh is an explicit scenario assumption based on Terna's 32 GWh quantity for the next two auctions.</x:v>
      </x:c>
    </x:row>
    <x:row r="440">
      <x:c r="A440" s="83" t="str">
        <x:v>S4-00436</x:v>
      </x:c>
      <x:c r="B440" s="83" t="str">
        <x:v>IT2040_GRID_DELAY</x:v>
      </x:c>
      <x:c r="C440" s="83" t="n">
        <x:v>2040</x:v>
      </x:c>
      <x:c r="D440" s="83" t="str">
        <x:v>Storage power</x:v>
      </x:c>
      <x:c r="E440" s="83" t="str">
        <x:v>IT_NORD</x:v>
      </x:c>
      <x:c r="F440" s="83" t="str">
        <x:v>NORD</x:v>
      </x:c>
      <x:c r="G440" s="83" t="str">
        <x:v>Utility Scale incl. MACSE</x:v>
      </x:c>
      <x:c r="H440" s="83" t="str">
        <x:v>Battery utility 8h power</x:v>
      </x:c>
      <x:c r="I440" s="83" t="str">
        <x:v>battery</x:v>
      </x:c>
      <x:c r="J440" s="83" t="str">
        <x:v>Link</x:v>
      </x:c>
      <x:c r="K440" s="83" t="str">
        <x:v>p_nom</x:v>
      </x:c>
      <x:c r="L440" s="279" t="n">
        <x:v>0</x:v>
      </x:c>
      <x:c r="M440" s="279" t="str">
        <x:v>GW</x:v>
      </x:c>
      <x:c r="N440" s="279" t="str">
        <x:f>IF(L440="","",IF(M440="GW",L440*1000,IF(M440="GWh",L440*1000,IF(M440="TWh",L440*1000000,L440))))</x:f>
      </x:c>
      <x:c r="O440" s="83" t="str">
        <x:f>IF(L440="","",IF(M440="GW","MW",IF(OR(M440="GWh",M440="TWh"),"MWh",M440)))</x:f>
      </x:c>
      <x:c r="P440" s="83" t="str"/>
      <x:c r="Q440" s="349"/>
      <x:c r="R440" s="349" t="str">
        <x:f>IF(L440="","",IF(Q440&lt;&gt;"",L440*Q440,IF(OR(ISNUMBER(SEARCH("EUR2025",M440&amp;"")),P440=2025,P440="2025"),L440,"")))</x:f>
      </x:c>
      <x:c r="S440" s="83" t="str">
        <x:v>B — Derived</x:v>
      </x:c>
      <x:c r="T440" s="83" t="str">
        <x:v>e_nom / 8h.</x:v>
      </x:c>
      <x:c r="U440" s="83" t="str">
        <x:v>S09 + TERNA_MACSE + USER_DECISION</x:v>
      </x:c>
      <x:c r="V440" s="83" t="str">
        <x:v>Utility-scale 8h duration; MACSE subset 42 GWh / 5.25 GW</x:v>
      </x:c>
      <x:c r="W440" s="120" t="str">
        <x:v>https://www.terna.it/it/media/comunicati-stampa/dettaglio/conclusa-prima-asta-macse; https://download.terna.it/terna/Fabbisogno_di_nuova_capacita_di_stoccaggio_al_2029_8debcba830a85f3.pdf</x:v>
      </x:c>
      <x:c r="X440" s="83" t="str">
        <x:v>B — Derived</x:v>
      </x:c>
      <x:c r="Y440" s="83" t="str">
        <x:v>APPROVED total with MACSE subset</x:v>
      </x:c>
      <x:c r="Z440" s="83" t="str">
        <x:v>Ready when profiles/base network are available</x:v>
      </x:c>
      <x:c r="AA440" s="83" t="str">
        <x:v>The 42 GWh MACSE subset corresponds to 5.25 GW at 8h and remains embedded within total utility-scale power.</x:v>
      </x:c>
    </x:row>
    <x:row r="441">
      <x:c r="A441" s="83" t="str">
        <x:v>S4-00437</x:v>
      </x:c>
      <x:c r="B441" s="83" t="str">
        <x:v>IT2040_GRID_DELAY</x:v>
      </x:c>
      <x:c r="C441" s="83" t="n">
        <x:v>2040</x:v>
      </x:c>
      <x:c r="D441" s="83" t="str">
        <x:v>Storage</x:v>
      </x:c>
      <x:c r="E441" s="83" t="str">
        <x:v>IT_NORD</x:v>
      </x:c>
      <x:c r="F441" s="83" t="str">
        <x:v>NORD</x:v>
      </x:c>
      <x:c r="G441" s="83" t="str">
        <x:v>CM</x:v>
      </x:c>
      <x:c r="H441" s="83" t="str">
        <x:v>Capacity Market battery</x:v>
      </x:c>
      <x:c r="I441" s="83" t="str">
        <x:v>battery</x:v>
      </x:c>
      <x:c r="J441" s="83" t="str">
        <x:v>Store + Links</x:v>
      </x:c>
      <x:c r="K441" s="83" t="str">
        <x:v>e_nom</x:v>
      </x:c>
      <x:c r="L441" s="279" t="n">
        <x:v>3.1</x:v>
      </x:c>
      <x:c r="M441" s="279" t="str">
        <x:v>GWh</x:v>
      </x:c>
      <x:c r="N441" s="279" t="n">
        <x:f>IF(L441="","",IF(M441="GW",L441*1000,IF(M441="GWh",L441*1000,IF(M441="TWh",L441*1000000,L441))))</x:f>
        <x:v>3100</x:v>
      </x:c>
      <x:c r="O441" s="83" t="str">
        <x:f>IF(L441="","",IF(M441="GW","MW",IF(OR(M441="GWh",M441="TWh"),"MWh",M441)))</x:f>
        <x:v>MWh</x:v>
      </x:c>
      <x:c r="P441" s="83" t="str"/>
      <x:c r="Q441" s="349"/>
      <x:c r="R441" s="349" t="str">
        <x:f>IF(L441="","",IF(Q441&lt;&gt;"",L441*Q441,IF(OR(ISNUMBER(SEARCH("EUR2025",M441&amp;"")),P441=2025,P441="2025"),L441,"")))</x:f>
      </x:c>
      <x:c r="S441" s="83" t="str">
        <x:v>A — Direct</x:v>
      </x:c>
      <x:c r="T441" s="83" t="str">
        <x:v>Direct zonal energy; duration harmonised separately.</x:v>
      </x:c>
      <x:c r="U441" s="83" t="str">
        <x:v>S09</x:v>
      </x:c>
      <x:c r="V441" s="83" t="str">
        <x:v>DDS Tabella 16</x:v>
      </x:c>
      <x:c r="W441" s="120"/>
      <x:c r="X441" s="83" t="str">
        <x:v>A — Direct</x:v>
      </x:c>
      <x:c r="Y441" s="83" t="str">
        <x:v>APPROVED direct energy; separate from MACSE</x:v>
      </x:c>
      <x:c r="Z441" s="83" t="str">
        <x:v>Ready when profiles/base network are available</x:v>
      </x:c>
      <x:c r="AA441" s="83" t="str">
        <x:v>Capacity Market energy retained from DDS. It is not the 42 GWh MACSE portfolio.</x:v>
      </x:c>
    </x:row>
    <x:row r="442">
      <x:c r="A442" s="83" t="str">
        <x:v>S4-00438</x:v>
      </x:c>
      <x:c r="B442" s="83" t="str">
        <x:v>IT2040_GRID_DELAY</x:v>
      </x:c>
      <x:c r="C442" s="83" t="n">
        <x:v>2040</x:v>
      </x:c>
      <x:c r="D442" s="83" t="str">
        <x:v>Storage power</x:v>
      </x:c>
      <x:c r="E442" s="83" t="str">
        <x:v>IT_NORD</x:v>
      </x:c>
      <x:c r="F442" s="83" t="str">
        <x:v>NORD</x:v>
      </x:c>
      <x:c r="G442" s="83" t="str">
        <x:v>CM</x:v>
      </x:c>
      <x:c r="H442" s="83" t="str">
        <x:v>Capacity Market battery power</x:v>
      </x:c>
      <x:c r="I442" s="83" t="str">
        <x:v>battery</x:v>
      </x:c>
      <x:c r="J442" s="83" t="str">
        <x:v>Link</x:v>
      </x:c>
      <x:c r="K442" s="83" t="str">
        <x:v>p_nom</x:v>
      </x:c>
      <x:c r="L442" s="279" t="n">
        <x:v>0.775</x:v>
      </x:c>
      <x:c r="M442" s="279" t="str">
        <x:v>GW</x:v>
      </x:c>
      <x:c r="N442" s="279" t="n">
        <x:f>IF(L442="","",IF(M442="GW",L442*1000,IF(M442="GWh",L442*1000,IF(M442="TWh",L442*1000000,L442))))</x:f>
        <x:v>775</x:v>
      </x:c>
      <x:c r="O442" s="83" t="str">
        <x:f>IF(L442="","",IF(M442="GW","MW",IF(OR(M442="GWh",M442="TWh"),"MWh",M442)))</x:f>
        <x:v>MW</x:v>
      </x:c>
      <x:c r="P442" s="83" t="str"/>
      <x:c r="Q442" s="349"/>
      <x:c r="R442" s="349" t="str">
        <x:f>IF(L442="","",IF(Q442&lt;&gt;"",L442*Q442,IF(OR(ISNUMBER(SEARCH("EUR2025",M442&amp;"")),P442=2025,P442="2025"),L442,"")))</x:f>
      </x:c>
      <x:c r="S442" s="83" t="str">
        <x:v>C — Assumed</x:v>
      </x:c>
      <x:c r="T442" s="83" t="str">
        <x:v>Capacity Market energy divided by the approved 4-hour duration.</x:v>
      </x:c>
      <x:c r="U442" s="83" t="str">
        <x:v>S09 + TERNA_RAI2025 + USER_DECISION</x:v>
      </x:c>
      <x:c r="V442" s="83" t="str">
        <x:v>DDS Table 16; Terna RAI 2025 §2.1.4</x:v>
      </x:c>
      <x:c r="W442" s="120" t="str">
        <x:v>https://download.terna.it/terna/Rapporto_Adeguatezza_Italia_2025_8de802607202dd6.pdf</x:v>
      </x:c>
      <x:c r="X442" s="83" t="str">
        <x:v>C — Assumed</x:v>
      </x:c>
      <x:c r="Y442" s="83" t="str">
        <x:v>APPROVED 4h derivation</x:v>
      </x:c>
      <x:c r="Z442" s="83" t="str">
        <x:v>Ready after user approval</x:v>
      </x:c>
      <x:c r="AA442" s="83" t="str">
        <x:v>Capacity Market remains a separate 4h class; no MACSE reclassification.</x:v>
      </x:c>
    </x:row>
    <x:row r="443">
      <x:c r="A443" s="83" t="str">
        <x:v>S4-00439</x:v>
      </x:c>
      <x:c r="B443" s="83" t="str">
        <x:v>IT2040_GRID_DELAY</x:v>
      </x:c>
      <x:c r="C443" s="83" t="n">
        <x:v>2040</x:v>
      </x:c>
      <x:c r="D443" s="83" t="str">
        <x:v>Storage</x:v>
      </x:c>
      <x:c r="E443" s="83" t="str">
        <x:v>IT_CNOR</x:v>
      </x:c>
      <x:c r="F443" s="83" t="str">
        <x:v>CNOR</x:v>
      </x:c>
      <x:c r="G443" s="83" t="str">
        <x:v>Small Scale</x:v>
      </x:c>
      <x:c r="H443" s="83" t="str">
        <x:v>Small-scale 2h</x:v>
      </x:c>
      <x:c r="I443" s="83" t="str">
        <x:v>battery</x:v>
      </x:c>
      <x:c r="J443" s="83" t="str">
        <x:v>Store + Links</x:v>
      </x:c>
      <x:c r="K443" s="83" t="str">
        <x:v>e_nom</x:v>
      </x:c>
      <x:c r="L443" s="279" t="n">
        <x:v>1.1333333333333333</x:v>
      </x:c>
      <x:c r="M443" s="279" t="str">
        <x:v>GWh</x:v>
      </x:c>
      <x:c r="N443" s="279" t="n">
        <x:f>IF(L443="","",IF(M443="GW",L443*1000,IF(M443="GWh",L443*1000,IF(M443="TWh",L443*1000000,L443))))</x:f>
        <x:v>1133.3333333333333</x:v>
      </x:c>
      <x:c r="O443" s="83" t="str">
        <x:f>IF(L443="","",IF(M443="GW","MW",IF(OR(M443="GWh",M443="TWh"),"MWh",M443)))</x:f>
        <x:v>MWh</x:v>
      </x:c>
      <x:c r="P443" s="83" t="str"/>
      <x:c r="Q443" s="349"/>
      <x:c r="R443" s="349" t="str">
        <x:f>IF(L443="","",IF(Q443&lt;&gt;"",L443*Q443,IF(OR(ISNUMBER(SEARCH("EUR2025",M443&amp;"")),P443=2025,P443="2025"),L443,"")))</x:f>
      </x:c>
      <x:c r="S443" s="83" t="str">
        <x:v>C — Distributed assumption</x:v>
      </x:c>
      <x:c r="T443" s="83" t="str">
        <x:v>Split direct zonal energy 67%/33% between 2h/4h classes; p_nom=e_nom/2.</x:v>
      </x:c>
      <x:c r="U443" s="83" t="str">
        <x:v>S09 / S01</x:v>
      </x:c>
      <x:c r="V443" s="83" t="str">
        <x:v>DDS Table 16; 2025 observed portfolio duration</x:v>
      </x:c>
      <x:c r="W443" s="120"/>
      <x:c r="X443" s="83" t="str">
        <x:v>C — Assumed split</x:v>
      </x:c>
      <x:c r="Y443" s="83" t="str">
        <x:v>Proposed</x:v>
      </x:c>
      <x:c r="Z443" s="83" t="str">
        <x:v>Ready after user approval</x:v>
      </x:c>
      <x:c r="AA443" s="83" t="str">
        <x:v>Duration 2h; share derived from observed aggregate duration near 2.4h.</x:v>
      </x:c>
    </x:row>
    <x:row r="444">
      <x:c r="A444" s="83" t="str">
        <x:v>S4-00440</x:v>
      </x:c>
      <x:c r="B444" s="83" t="str">
        <x:v>IT2040_GRID_DELAY</x:v>
      </x:c>
      <x:c r="C444" s="83" t="n">
        <x:v>2040</x:v>
      </x:c>
      <x:c r="D444" s="83" t="str">
        <x:v>Storage power</x:v>
      </x:c>
      <x:c r="E444" s="83" t="str">
        <x:v>IT_CNOR</x:v>
      </x:c>
      <x:c r="F444" s="83" t="str">
        <x:v>CNOR</x:v>
      </x:c>
      <x:c r="G444" s="83" t="str">
        <x:v>Small Scale</x:v>
      </x:c>
      <x:c r="H444" s="83" t="str">
        <x:v>Small-scale 2h power</x:v>
      </x:c>
      <x:c r="I444" s="83" t="str">
        <x:v>battery</x:v>
      </x:c>
      <x:c r="J444" s="83" t="str">
        <x:v>Link</x:v>
      </x:c>
      <x:c r="K444" s="83" t="str">
        <x:v>p_nom</x:v>
      </x:c>
      <x:c r="L444" s="279" t="n">
        <x:v>0.5666666666666667</x:v>
      </x:c>
      <x:c r="M444" s="279" t="str">
        <x:v>GW</x:v>
      </x:c>
      <x:c r="N444" s="279" t="n">
        <x:f>IF(L444="","",IF(M444="GW",L444*1000,IF(M444="GWh",L444*1000,IF(M444="TWh",L444*1000000,L444))))</x:f>
        <x:v>566.6666666666666</x:v>
      </x:c>
      <x:c r="O444" s="83" t="str">
        <x:f>IF(L444="","",IF(M444="GW","MW",IF(OR(M444="GWh",M444="TWh"),"MWh",M444)))</x:f>
        <x:v>MW</x:v>
      </x:c>
      <x:c r="P444" s="83" t="str"/>
      <x:c r="Q444" s="349"/>
      <x:c r="R444" s="349" t="str">
        <x:f>IF(L444="","",IF(Q444&lt;&gt;"",L444*Q444,IF(OR(ISNUMBER(SEARCH("EUR2025",M444&amp;"")),P444=2025,P444="2025"),L444,"")))</x:f>
      </x:c>
      <x:c r="S444" s="83" t="str">
        <x:v>C — Derived</x:v>
      </x:c>
      <x:c r="T444" s="83" t="str">
        <x:v>Energy / 2 h.</x:v>
      </x:c>
      <x:c r="U444" s="83" t="str">
        <x:v>S09 / S01</x:v>
      </x:c>
      <x:c r="V444" s="83" t="str">
        <x:v>DDS Table 16 + harmonisation</x:v>
      </x:c>
      <x:c r="W444" s="120"/>
      <x:c r="X444" s="83" t="str">
        <x:v>C — Derived</x:v>
      </x:c>
      <x:c r="Y444" s="83" t="str">
        <x:v>Proposed</x:v>
      </x:c>
      <x:c r="Z444" s="83" t="str">
        <x:v>Ready after user approval</x:v>
      </x:c>
      <x:c r="AA444" s="83"/>
    </x:row>
    <x:row r="445">
      <x:c r="A445" s="83" t="str">
        <x:v>S4-00441</x:v>
      </x:c>
      <x:c r="B445" s="83" t="str">
        <x:v>IT2040_GRID_DELAY</x:v>
      </x:c>
      <x:c r="C445" s="83" t="n">
        <x:v>2040</x:v>
      </x:c>
      <x:c r="D445" s="83" t="str">
        <x:v>Storage</x:v>
      </x:c>
      <x:c r="E445" s="83" t="str">
        <x:v>IT_CNOR</x:v>
      </x:c>
      <x:c r="F445" s="83" t="str">
        <x:v>CNOR</x:v>
      </x:c>
      <x:c r="G445" s="83" t="str">
        <x:v>Small Scale</x:v>
      </x:c>
      <x:c r="H445" s="83" t="str">
        <x:v>Small-scale 4h</x:v>
      </x:c>
      <x:c r="I445" s="83" t="str">
        <x:v>battery</x:v>
      </x:c>
      <x:c r="J445" s="83" t="str">
        <x:v>Store + Links</x:v>
      </x:c>
      <x:c r="K445" s="83" t="str">
        <x:v>e_nom</x:v>
      </x:c>
      <x:c r="L445" s="279" t="n">
        <x:v>0.5666666666666667</x:v>
      </x:c>
      <x:c r="M445" s="279" t="str">
        <x:v>GWh</x:v>
      </x:c>
      <x:c r="N445" s="279" t="n">
        <x:f>IF(L445="","",IF(M445="GW",L445*1000,IF(M445="GWh",L445*1000,IF(M445="TWh",L445*1000000,L445))))</x:f>
        <x:v>566.6666666666666</x:v>
      </x:c>
      <x:c r="O445" s="83" t="str">
        <x:f>IF(L445="","",IF(M445="GW","MW",IF(OR(M445="GWh",M445="TWh"),"MWh",M445)))</x:f>
        <x:v>MWh</x:v>
      </x:c>
      <x:c r="P445" s="83" t="str"/>
      <x:c r="Q445" s="349"/>
      <x:c r="R445" s="349" t="str">
        <x:f>IF(L445="","",IF(Q445&lt;&gt;"",L445*Q445,IF(OR(ISNUMBER(SEARCH("EUR2025",M445&amp;"")),P445=2025,P445="2025"),L445,"")))</x:f>
      </x:c>
      <x:c r="S445" s="83" t="str">
        <x:v>C — Distributed assumption</x:v>
      </x:c>
      <x:c r="T445" s="83" t="str">
        <x:v>Split direct zonal energy 67%/33% between 2h/4h classes; p_nom=e_nom/4.</x:v>
      </x:c>
      <x:c r="U445" s="83" t="str">
        <x:v>S09 / S01</x:v>
      </x:c>
      <x:c r="V445" s="83" t="str">
        <x:v>DDS Table 16; 2025 observed portfolio duration</x:v>
      </x:c>
      <x:c r="W445" s="120"/>
      <x:c r="X445" s="83" t="str">
        <x:v>C — Assumed split</x:v>
      </x:c>
      <x:c r="Y445" s="83" t="str">
        <x:v>Proposed</x:v>
      </x:c>
      <x:c r="Z445" s="83" t="str">
        <x:v>Ready after user approval</x:v>
      </x:c>
      <x:c r="AA445" s="83" t="str">
        <x:v>Duration 4h; share derived from observed aggregate duration near 2.4h.</x:v>
      </x:c>
    </x:row>
    <x:row r="446">
      <x:c r="A446" s="83" t="str">
        <x:v>S4-00442</x:v>
      </x:c>
      <x:c r="B446" s="83" t="str">
        <x:v>IT2040_GRID_DELAY</x:v>
      </x:c>
      <x:c r="C446" s="83" t="n">
        <x:v>2040</x:v>
      </x:c>
      <x:c r="D446" s="83" t="str">
        <x:v>Storage power</x:v>
      </x:c>
      <x:c r="E446" s="83" t="str">
        <x:v>IT_CNOR</x:v>
      </x:c>
      <x:c r="F446" s="83" t="str">
        <x:v>CNOR</x:v>
      </x:c>
      <x:c r="G446" s="83" t="str">
        <x:v>Small Scale</x:v>
      </x:c>
      <x:c r="H446" s="83" t="str">
        <x:v>Small-scale 4h power</x:v>
      </x:c>
      <x:c r="I446" s="83" t="str">
        <x:v>battery</x:v>
      </x:c>
      <x:c r="J446" s="83" t="str">
        <x:v>Link</x:v>
      </x:c>
      <x:c r="K446" s="83" t="str">
        <x:v>p_nom</x:v>
      </x:c>
      <x:c r="L446" s="279" t="n">
        <x:v>0.14166666666666666</x:v>
      </x:c>
      <x:c r="M446" s="279" t="str">
        <x:v>GW</x:v>
      </x:c>
      <x:c r="N446" s="279" t="n">
        <x:f>IF(L446="","",IF(M446="GW",L446*1000,IF(M446="GWh",L446*1000,IF(M446="TWh",L446*1000000,L446))))</x:f>
        <x:v>141.66666666666666</x:v>
      </x:c>
      <x:c r="O446" s="83" t="str">
        <x:f>IF(L446="","",IF(M446="GW","MW",IF(OR(M446="GWh",M446="TWh"),"MWh",M446)))</x:f>
        <x:v>MW</x:v>
      </x:c>
      <x:c r="P446" s="83" t="str"/>
      <x:c r="Q446" s="349"/>
      <x:c r="R446" s="349" t="str">
        <x:f>IF(L446="","",IF(Q446&lt;&gt;"",L446*Q446,IF(OR(ISNUMBER(SEARCH("EUR2025",M446&amp;"")),P446=2025,P446="2025"),L446,"")))</x:f>
      </x:c>
      <x:c r="S446" s="83" t="str">
        <x:v>C — Derived</x:v>
      </x:c>
      <x:c r="T446" s="83" t="str">
        <x:v>Energy / 4 h.</x:v>
      </x:c>
      <x:c r="U446" s="83" t="str">
        <x:v>S09 / S01</x:v>
      </x:c>
      <x:c r="V446" s="83" t="str">
        <x:v>DDS Table 16 + harmonisation</x:v>
      </x:c>
      <x:c r="W446" s="120"/>
      <x:c r="X446" s="83" t="str">
        <x:v>C — Derived</x:v>
      </x:c>
      <x:c r="Y446" s="83" t="str">
        <x:v>Proposed</x:v>
      </x:c>
      <x:c r="Z446" s="83" t="str">
        <x:v>Ready after user approval</x:v>
      </x:c>
      <x:c r="AA446" s="83"/>
    </x:row>
    <x:row r="447">
      <x:c r="A447" s="83" t="str">
        <x:v>S4-00443</x:v>
      </x:c>
      <x:c r="B447" s="83" t="str">
        <x:v>IT2040_GRID_DELAY</x:v>
      </x:c>
      <x:c r="C447" s="83" t="n">
        <x:v>2040</x:v>
      </x:c>
      <x:c r="D447" s="83" t="str">
        <x:v>Storage</x:v>
      </x:c>
      <x:c r="E447" s="83" t="str">
        <x:v>IT_CNOR</x:v>
      </x:c>
      <x:c r="F447" s="83" t="str">
        <x:v>CNOR</x:v>
      </x:c>
      <x:c r="G447" s="83" t="str">
        <x:v>Utility Scale incl. MACSE</x:v>
      </x:c>
      <x:c r="H447" s="83" t="str">
        <x:v>Battery utility 8h</x:v>
      </x:c>
      <x:c r="I447" s="83" t="str">
        <x:v>battery</x:v>
      </x:c>
      <x:c r="J447" s="83" t="str">
        <x:v>Store + Links</x:v>
      </x:c>
      <x:c r="K447" s="83" t="str">
        <x:v>e_nom</x:v>
      </x:c>
      <x:c r="L447" s="279" t="n">
        <x:v>3.2</x:v>
      </x:c>
      <x:c r="M447" s="279" t="str">
        <x:v>GWh</x:v>
      </x:c>
      <x:c r="N447" s="279" t="n">
        <x:f>IF(L447="","",IF(M447="GW",L447*1000,IF(M447="GWh",L447*1000,IF(M447="TWh",L447*1000000,L447))))</x:f>
        <x:v>3200</x:v>
      </x:c>
      <x:c r="O447" s="83" t="str">
        <x:f>IF(L447="","",IF(M447="GW","MW",IF(OR(M447="GWh",M447="TWh"),"MWh",M447)))</x:f>
        <x:v>MWh</x:v>
      </x:c>
      <x:c r="P447" s="83" t="str"/>
      <x:c r="Q447" s="349"/>
      <x:c r="R447" s="349" t="str">
        <x:f>IF(L447="","",IF(Q447&lt;&gt;"",L447*Q447,IF(OR(ISNUMBER(SEARCH("EUR2025",M447&amp;"")),P447=2025,P447="2025"),L447,"")))</x:f>
      </x:c>
      <x:c r="S447" s="83" t="str">
        <x:v>A/C — Direct total; procurement subset identified</x:v>
      </x:c>
      <x:c r="T447" s="83" t="str">
        <x:v>DDS utility-scale total retained. A 42 GWh MACSE procurement portfolio is identified inside this total and is not added again.</x:v>
      </x:c>
      <x:c r="U447" s="83" t="str">
        <x:v>S09 + TERNA_MACSE_2028 + TERNA_MACSE_2029 + USER_DECISION</x:v>
      </x:c>
      <x:c r="V447" s="83" t="str">
        <x:v>DDS Table 16; 10 GWh MACSE 2028; 16 GWh 2029; 32 GWh available across the next two auctions</x:v>
      </x:c>
      <x:c r="W447" s="120" t="str">
        <x:v>https://www.terna.it/it/media/comunicati-stampa/dettaglio/conclusa-prima-asta-macse; https://download.terna.it/terna/Fabbisogno_di_nuova_capacita_di_stoccaggio_al_2029_8debcba830a85f3.pdf</x:v>
      </x:c>
      <x:c r="X447" s="83" t="str">
        <x:v>B/C — 26 GWh official; final 16 GWh planning tranche revisable</x:v>
      </x:c>
      <x:c r="Y447" s="83" t="str">
        <x:v>APPROVED total with MACSE subset</x:v>
      </x:c>
      <x:c r="Z447" s="83" t="str">
        <x:v>Ready when profiles/base network are available</x:v>
      </x:c>
      <x:c r="AA447" s="83" t="str">
        <x:v>MACSE path: 10 + 16 + 16 = 42 GWh. The final 16 GWh is an explicit scenario assumption based on Terna's 32 GWh quantity for the next two auctions.</x:v>
      </x:c>
    </x:row>
    <x:row r="448">
      <x:c r="A448" s="83" t="str">
        <x:v>S4-00444</x:v>
      </x:c>
      <x:c r="B448" s="83" t="str">
        <x:v>IT2040_GRID_DELAY</x:v>
      </x:c>
      <x:c r="C448" s="83" t="n">
        <x:v>2040</x:v>
      </x:c>
      <x:c r="D448" s="83" t="str">
        <x:v>Storage power</x:v>
      </x:c>
      <x:c r="E448" s="83" t="str">
        <x:v>IT_CNOR</x:v>
      </x:c>
      <x:c r="F448" s="83" t="str">
        <x:v>CNOR</x:v>
      </x:c>
      <x:c r="G448" s="83" t="str">
        <x:v>Utility Scale incl. MACSE</x:v>
      </x:c>
      <x:c r="H448" s="83" t="str">
        <x:v>Battery utility 8h power</x:v>
      </x:c>
      <x:c r="I448" s="83" t="str">
        <x:v>battery</x:v>
      </x:c>
      <x:c r="J448" s="83" t="str">
        <x:v>Link</x:v>
      </x:c>
      <x:c r="K448" s="83" t="str">
        <x:v>p_nom</x:v>
      </x:c>
      <x:c r="L448" s="279" t="n">
        <x:v>0.4</x:v>
      </x:c>
      <x:c r="M448" s="279" t="str">
        <x:v>GW</x:v>
      </x:c>
      <x:c r="N448" s="279" t="n">
        <x:f>IF(L448="","",IF(M448="GW",L448*1000,IF(M448="GWh",L448*1000,IF(M448="TWh",L448*1000000,L448))))</x:f>
        <x:v>400</x:v>
      </x:c>
      <x:c r="O448" s="83" t="str">
        <x:f>IF(L448="","",IF(M448="GW","MW",IF(OR(M448="GWh",M448="TWh"),"MWh",M448)))</x:f>
        <x:v>MW</x:v>
      </x:c>
      <x:c r="P448" s="83" t="str"/>
      <x:c r="Q448" s="349"/>
      <x:c r="R448" s="349" t="str">
        <x:f>IF(L448="","",IF(Q448&lt;&gt;"",L448*Q448,IF(OR(ISNUMBER(SEARCH("EUR2025",M448&amp;"")),P448=2025,P448="2025"),L448,"")))</x:f>
      </x:c>
      <x:c r="S448" s="83" t="str">
        <x:v>B — Derived</x:v>
      </x:c>
      <x:c r="T448" s="83" t="str">
        <x:v>e_nom / 8h.</x:v>
      </x:c>
      <x:c r="U448" s="83" t="str">
        <x:v>S09 + TERNA_MACSE + USER_DECISION</x:v>
      </x:c>
      <x:c r="V448" s="83" t="str">
        <x:v>Utility-scale 8h duration; MACSE subset 42 GWh / 5.25 GW</x:v>
      </x:c>
      <x:c r="W448" s="120" t="str">
        <x:v>https://www.terna.it/it/media/comunicati-stampa/dettaglio/conclusa-prima-asta-macse; https://download.terna.it/terna/Fabbisogno_di_nuova_capacita_di_stoccaggio_al_2029_8debcba830a85f3.pdf</x:v>
      </x:c>
      <x:c r="X448" s="83" t="str">
        <x:v>B — Derived</x:v>
      </x:c>
      <x:c r="Y448" s="83" t="str">
        <x:v>APPROVED total with MACSE subset</x:v>
      </x:c>
      <x:c r="Z448" s="83" t="str">
        <x:v>Ready when profiles/base network are available</x:v>
      </x:c>
      <x:c r="AA448" s="83" t="str">
        <x:v>The 42 GWh MACSE subset corresponds to 5.25 GW at 8h and remains embedded within total utility-scale power.</x:v>
      </x:c>
    </x:row>
    <x:row r="449">
      <x:c r="A449" s="83" t="str">
        <x:v>S4-00445</x:v>
      </x:c>
      <x:c r="B449" s="83" t="str">
        <x:v>IT2040_GRID_DELAY</x:v>
      </x:c>
      <x:c r="C449" s="83" t="n">
        <x:v>2040</x:v>
      </x:c>
      <x:c r="D449" s="83" t="str">
        <x:v>Storage</x:v>
      </x:c>
      <x:c r="E449" s="83" t="str">
        <x:v>IT_CNOR</x:v>
      </x:c>
      <x:c r="F449" s="83" t="str">
        <x:v>CNOR</x:v>
      </x:c>
      <x:c r="G449" s="83" t="str">
        <x:v>CM</x:v>
      </x:c>
      <x:c r="H449" s="83" t="str">
        <x:v>Capacity Market battery</x:v>
      </x:c>
      <x:c r="I449" s="83" t="str">
        <x:v>battery</x:v>
      </x:c>
      <x:c r="J449" s="83" t="str">
        <x:v>Store + Links</x:v>
      </x:c>
      <x:c r="K449" s="83" t="str">
        <x:v>e_nom</x:v>
      </x:c>
      <x:c r="L449" s="279" t="n">
        <x:v>0.1</x:v>
      </x:c>
      <x:c r="M449" s="279" t="str">
        <x:v>GWh</x:v>
      </x:c>
      <x:c r="N449" s="279" t="n">
        <x:f>IF(L449="","",IF(M449="GW",L449*1000,IF(M449="GWh",L449*1000,IF(M449="TWh",L449*1000000,L449))))</x:f>
        <x:v>100</x:v>
      </x:c>
      <x:c r="O449" s="83" t="str">
        <x:f>IF(L449="","",IF(M449="GW","MW",IF(OR(M449="GWh",M449="TWh"),"MWh",M449)))</x:f>
        <x:v>MWh</x:v>
      </x:c>
      <x:c r="P449" s="83" t="str"/>
      <x:c r="Q449" s="349"/>
      <x:c r="R449" s="349" t="str">
        <x:f>IF(L449="","",IF(Q449&lt;&gt;"",L449*Q449,IF(OR(ISNUMBER(SEARCH("EUR2025",M449&amp;"")),P449=2025,P449="2025"),L449,"")))</x:f>
      </x:c>
      <x:c r="S449" s="83" t="str">
        <x:v>A — Direct</x:v>
      </x:c>
      <x:c r="T449" s="83" t="str">
        <x:v>Direct zonal energy; duration harmonised separately.</x:v>
      </x:c>
      <x:c r="U449" s="83" t="str">
        <x:v>S09</x:v>
      </x:c>
      <x:c r="V449" s="83" t="str">
        <x:v>DDS Tabella 16</x:v>
      </x:c>
      <x:c r="W449" s="120"/>
      <x:c r="X449" s="83" t="str">
        <x:v>A — Direct</x:v>
      </x:c>
      <x:c r="Y449" s="83" t="str">
        <x:v>APPROVED direct energy; separate from MACSE</x:v>
      </x:c>
      <x:c r="Z449" s="83" t="str">
        <x:v>Ready when profiles/base network are available</x:v>
      </x:c>
      <x:c r="AA449" s="83" t="str">
        <x:v>Capacity Market energy retained from DDS. It is not the 42 GWh MACSE portfolio.</x:v>
      </x:c>
    </x:row>
    <x:row r="450">
      <x:c r="A450" s="83" t="str">
        <x:v>S4-00446</x:v>
      </x:c>
      <x:c r="B450" s="83" t="str">
        <x:v>IT2040_GRID_DELAY</x:v>
      </x:c>
      <x:c r="C450" s="83" t="n">
        <x:v>2040</x:v>
      </x:c>
      <x:c r="D450" s="83" t="str">
        <x:v>Storage power</x:v>
      </x:c>
      <x:c r="E450" s="83" t="str">
        <x:v>IT_CNOR</x:v>
      </x:c>
      <x:c r="F450" s="83" t="str">
        <x:v>CNOR</x:v>
      </x:c>
      <x:c r="G450" s="83" t="str">
        <x:v>CM</x:v>
      </x:c>
      <x:c r="H450" s="83" t="str">
        <x:v>Capacity Market battery power</x:v>
      </x:c>
      <x:c r="I450" s="83" t="str">
        <x:v>battery</x:v>
      </x:c>
      <x:c r="J450" s="83" t="str">
        <x:v>Link</x:v>
      </x:c>
      <x:c r="K450" s="83" t="str">
        <x:v>p_nom</x:v>
      </x:c>
      <x:c r="L450" s="279" t="n">
        <x:v>0.025</x:v>
      </x:c>
      <x:c r="M450" s="279" t="str">
        <x:v>GW</x:v>
      </x:c>
      <x:c r="N450" s="279" t="n">
        <x:f>IF(L450="","",IF(M450="GW",L450*1000,IF(M450="GWh",L450*1000,IF(M450="TWh",L450*1000000,L450))))</x:f>
        <x:v>25</x:v>
      </x:c>
      <x:c r="O450" s="83" t="str">
        <x:f>IF(L450="","",IF(M450="GW","MW",IF(OR(M450="GWh",M450="TWh"),"MWh",M450)))</x:f>
        <x:v>MW</x:v>
      </x:c>
      <x:c r="P450" s="83" t="str"/>
      <x:c r="Q450" s="349"/>
      <x:c r="R450" s="349" t="str">
        <x:f>IF(L450="","",IF(Q450&lt;&gt;"",L450*Q450,IF(OR(ISNUMBER(SEARCH("EUR2025",M450&amp;"")),P450=2025,P450="2025"),L450,"")))</x:f>
      </x:c>
      <x:c r="S450" s="83" t="str">
        <x:v>C — Assumed</x:v>
      </x:c>
      <x:c r="T450" s="83" t="str">
        <x:v>Capacity Market energy divided by the approved 4-hour duration.</x:v>
      </x:c>
      <x:c r="U450" s="83" t="str">
        <x:v>S09 + TERNA_RAI2025 + USER_DECISION</x:v>
      </x:c>
      <x:c r="V450" s="83" t="str">
        <x:v>DDS Table 16; Terna RAI 2025 §2.1.4</x:v>
      </x:c>
      <x:c r="W450" s="120" t="str">
        <x:v>https://download.terna.it/terna/Rapporto_Adeguatezza_Italia_2025_8de802607202dd6.pdf</x:v>
      </x:c>
      <x:c r="X450" s="83" t="str">
        <x:v>C — Assumed</x:v>
      </x:c>
      <x:c r="Y450" s="83" t="str">
        <x:v>APPROVED 4h derivation</x:v>
      </x:c>
      <x:c r="Z450" s="83" t="str">
        <x:v>Ready after user approval</x:v>
      </x:c>
      <x:c r="AA450" s="83" t="str">
        <x:v>Capacity Market remains a separate 4h class; no MACSE reclassification.</x:v>
      </x:c>
    </x:row>
    <x:row r="451">
      <x:c r="A451" s="83" t="str">
        <x:v>S4-00447</x:v>
      </x:c>
      <x:c r="B451" s="83" t="str">
        <x:v>IT2040_GRID_DELAY</x:v>
      </x:c>
      <x:c r="C451" s="83" t="n">
        <x:v>2040</x:v>
      </x:c>
      <x:c r="D451" s="83" t="str">
        <x:v>Storage</x:v>
      </x:c>
      <x:c r="E451" s="83" t="str">
        <x:v>IT_CSUD</x:v>
      </x:c>
      <x:c r="F451" s="83" t="str">
        <x:v>CSUD</x:v>
      </x:c>
      <x:c r="G451" s="83" t="str">
        <x:v>Small Scale</x:v>
      </x:c>
      <x:c r="H451" s="83" t="str">
        <x:v>Small-scale 2h</x:v>
      </x:c>
      <x:c r="I451" s="83" t="str">
        <x:v>battery</x:v>
      </x:c>
      <x:c r="J451" s="83" t="str">
        <x:v>Store + Links</x:v>
      </x:c>
      <x:c r="K451" s="83" t="str">
        <x:v>e_nom</x:v>
      </x:c>
      <x:c r="L451" s="279" t="n">
        <x:v>1.9333333333333331</x:v>
      </x:c>
      <x:c r="M451" s="279" t="str">
        <x:v>GWh</x:v>
      </x:c>
      <x:c r="N451" s="279" t="n">
        <x:f>IF(L451="","",IF(M451="GW",L451*1000,IF(M451="GWh",L451*1000,IF(M451="TWh",L451*1000000,L451))))</x:f>
        <x:v>1933.333333333333</x:v>
      </x:c>
      <x:c r="O451" s="83" t="str">
        <x:f>IF(L451="","",IF(M451="GW","MW",IF(OR(M451="GWh",M451="TWh"),"MWh",M451)))</x:f>
        <x:v>MWh</x:v>
      </x:c>
      <x:c r="P451" s="83" t="str"/>
      <x:c r="Q451" s="349"/>
      <x:c r="R451" s="349" t="str">
        <x:f>IF(L451="","",IF(Q451&lt;&gt;"",L451*Q451,IF(OR(ISNUMBER(SEARCH("EUR2025",M451&amp;"")),P451=2025,P451="2025"),L451,"")))</x:f>
      </x:c>
      <x:c r="S451" s="83" t="str">
        <x:v>C — Distributed assumption</x:v>
      </x:c>
      <x:c r="T451" s="83" t="str">
        <x:v>Split direct zonal energy 67%/33% between 2h/4h classes; p_nom=e_nom/2.</x:v>
      </x:c>
      <x:c r="U451" s="83" t="str">
        <x:v>S09 / S01</x:v>
      </x:c>
      <x:c r="V451" s="83" t="str">
        <x:v>DDS Table 16; 2025 observed portfolio duration</x:v>
      </x:c>
      <x:c r="W451" s="120"/>
      <x:c r="X451" s="83" t="str">
        <x:v>C — Assumed split</x:v>
      </x:c>
      <x:c r="Y451" s="83" t="str">
        <x:v>Proposed</x:v>
      </x:c>
      <x:c r="Z451" s="83" t="str">
        <x:v>Ready after user approval</x:v>
      </x:c>
      <x:c r="AA451" s="83" t="str">
        <x:v>Duration 2h; share derived from observed aggregate duration near 2.4h.</x:v>
      </x:c>
    </x:row>
    <x:row r="452">
      <x:c r="A452" s="83" t="str">
        <x:v>S4-00448</x:v>
      </x:c>
      <x:c r="B452" s="83" t="str">
        <x:v>IT2040_GRID_DELAY</x:v>
      </x:c>
      <x:c r="C452" s="83" t="n">
        <x:v>2040</x:v>
      </x:c>
      <x:c r="D452" s="83" t="str">
        <x:v>Storage power</x:v>
      </x:c>
      <x:c r="E452" s="83" t="str">
        <x:v>IT_CSUD</x:v>
      </x:c>
      <x:c r="F452" s="83" t="str">
        <x:v>CSUD</x:v>
      </x:c>
      <x:c r="G452" s="83" t="str">
        <x:v>Small Scale</x:v>
      </x:c>
      <x:c r="H452" s="83" t="str">
        <x:v>Small-scale 2h power</x:v>
      </x:c>
      <x:c r="I452" s="83" t="str">
        <x:v>battery</x:v>
      </x:c>
      <x:c r="J452" s="83" t="str">
        <x:v>Link</x:v>
      </x:c>
      <x:c r="K452" s="83" t="str">
        <x:v>p_nom</x:v>
      </x:c>
      <x:c r="L452" s="279" t="n">
        <x:v>0.9666666666666666</x:v>
      </x:c>
      <x:c r="M452" s="279" t="str">
        <x:v>GW</x:v>
      </x:c>
      <x:c r="N452" s="279" t="n">
        <x:f>IF(L452="","",IF(M452="GW",L452*1000,IF(M452="GWh",L452*1000,IF(M452="TWh",L452*1000000,L452))))</x:f>
        <x:v>966.6666666666665</x:v>
      </x:c>
      <x:c r="O452" s="83" t="str">
        <x:f>IF(L452="","",IF(M452="GW","MW",IF(OR(M452="GWh",M452="TWh"),"MWh",M452)))</x:f>
        <x:v>MW</x:v>
      </x:c>
      <x:c r="P452" s="83" t="str"/>
      <x:c r="Q452" s="349"/>
      <x:c r="R452" s="349" t="str">
        <x:f>IF(L452="","",IF(Q452&lt;&gt;"",L452*Q452,IF(OR(ISNUMBER(SEARCH("EUR2025",M452&amp;"")),P452=2025,P452="2025"),L452,"")))</x:f>
      </x:c>
      <x:c r="S452" s="83" t="str">
        <x:v>C — Derived</x:v>
      </x:c>
      <x:c r="T452" s="83" t="str">
        <x:v>Energy / 2 h.</x:v>
      </x:c>
      <x:c r="U452" s="83" t="str">
        <x:v>S09 / S01</x:v>
      </x:c>
      <x:c r="V452" s="83" t="str">
        <x:v>DDS Table 16 + harmonisation</x:v>
      </x:c>
      <x:c r="W452" s="120"/>
      <x:c r="X452" s="83" t="str">
        <x:v>C — Derived</x:v>
      </x:c>
      <x:c r="Y452" s="83" t="str">
        <x:v>Proposed</x:v>
      </x:c>
      <x:c r="Z452" s="83" t="str">
        <x:v>Ready after user approval</x:v>
      </x:c>
      <x:c r="AA452" s="83"/>
    </x:row>
    <x:row r="453">
      <x:c r="A453" s="83" t="str">
        <x:v>S4-00449</x:v>
      </x:c>
      <x:c r="B453" s="83" t="str">
        <x:v>IT2040_GRID_DELAY</x:v>
      </x:c>
      <x:c r="C453" s="83" t="n">
        <x:v>2040</x:v>
      </x:c>
      <x:c r="D453" s="83" t="str">
        <x:v>Storage</x:v>
      </x:c>
      <x:c r="E453" s="83" t="str">
        <x:v>IT_CSUD</x:v>
      </x:c>
      <x:c r="F453" s="83" t="str">
        <x:v>CSUD</x:v>
      </x:c>
      <x:c r="G453" s="83" t="str">
        <x:v>Small Scale</x:v>
      </x:c>
      <x:c r="H453" s="83" t="str">
        <x:v>Small-scale 4h</x:v>
      </x:c>
      <x:c r="I453" s="83" t="str">
        <x:v>battery</x:v>
      </x:c>
      <x:c r="J453" s="83" t="str">
        <x:v>Store + Links</x:v>
      </x:c>
      <x:c r="K453" s="83" t="str">
        <x:v>e_nom</x:v>
      </x:c>
      <x:c r="L453" s="279" t="n">
        <x:v>0.9666666666666666</x:v>
      </x:c>
      <x:c r="M453" s="279" t="str">
        <x:v>GWh</x:v>
      </x:c>
      <x:c r="N453" s="279" t="n">
        <x:f>IF(L453="","",IF(M453="GW",L453*1000,IF(M453="GWh",L453*1000,IF(M453="TWh",L453*1000000,L453))))</x:f>
        <x:v>966.6666666666665</x:v>
      </x:c>
      <x:c r="O453" s="83" t="str">
        <x:f>IF(L453="","",IF(M453="GW","MW",IF(OR(M453="GWh",M453="TWh"),"MWh",M453)))</x:f>
        <x:v>MWh</x:v>
      </x:c>
      <x:c r="P453" s="83" t="str"/>
      <x:c r="Q453" s="349"/>
      <x:c r="R453" s="349" t="str">
        <x:f>IF(L453="","",IF(Q453&lt;&gt;"",L453*Q453,IF(OR(ISNUMBER(SEARCH("EUR2025",M453&amp;"")),P453=2025,P453="2025"),L453,"")))</x:f>
      </x:c>
      <x:c r="S453" s="83" t="str">
        <x:v>C — Distributed assumption</x:v>
      </x:c>
      <x:c r="T453" s="83" t="str">
        <x:v>Split direct zonal energy 67%/33% between 2h/4h classes; p_nom=e_nom/4.</x:v>
      </x:c>
      <x:c r="U453" s="83" t="str">
        <x:v>S09 / S01</x:v>
      </x:c>
      <x:c r="V453" s="83" t="str">
        <x:v>DDS Table 16; 2025 observed portfolio duration</x:v>
      </x:c>
      <x:c r="W453" s="120"/>
      <x:c r="X453" s="83" t="str">
        <x:v>C — Assumed split</x:v>
      </x:c>
      <x:c r="Y453" s="83" t="str">
        <x:v>Proposed</x:v>
      </x:c>
      <x:c r="Z453" s="83" t="str">
        <x:v>Ready after user approval</x:v>
      </x:c>
      <x:c r="AA453" s="83" t="str">
        <x:v>Duration 4h; share derived from observed aggregate duration near 2.4h.</x:v>
      </x:c>
    </x:row>
    <x:row r="454">
      <x:c r="A454" s="83" t="str">
        <x:v>S4-00450</x:v>
      </x:c>
      <x:c r="B454" s="83" t="str">
        <x:v>IT2040_GRID_DELAY</x:v>
      </x:c>
      <x:c r="C454" s="83" t="n">
        <x:v>2040</x:v>
      </x:c>
      <x:c r="D454" s="83" t="str">
        <x:v>Storage power</x:v>
      </x:c>
      <x:c r="E454" s="83" t="str">
        <x:v>IT_CSUD</x:v>
      </x:c>
      <x:c r="F454" s="83" t="str">
        <x:v>CSUD</x:v>
      </x:c>
      <x:c r="G454" s="83" t="str">
        <x:v>Small Scale</x:v>
      </x:c>
      <x:c r="H454" s="83" t="str">
        <x:v>Small-scale 4h power</x:v>
      </x:c>
      <x:c r="I454" s="83" t="str">
        <x:v>battery</x:v>
      </x:c>
      <x:c r="J454" s="83" t="str">
        <x:v>Link</x:v>
      </x:c>
      <x:c r="K454" s="83" t="str">
        <x:v>p_nom</x:v>
      </x:c>
      <x:c r="L454" s="279" t="n">
        <x:v>0.24166666666666664</x:v>
      </x:c>
      <x:c r="M454" s="279" t="str">
        <x:v>GW</x:v>
      </x:c>
      <x:c r="N454" s="279" t="n">
        <x:f>IF(L454="","",IF(M454="GW",L454*1000,IF(M454="GWh",L454*1000,IF(M454="TWh",L454*1000000,L454))))</x:f>
        <x:v>241.66666666666663</x:v>
      </x:c>
      <x:c r="O454" s="83" t="str">
        <x:f>IF(L454="","",IF(M454="GW","MW",IF(OR(M454="GWh",M454="TWh"),"MWh",M454)))</x:f>
        <x:v>MW</x:v>
      </x:c>
      <x:c r="P454" s="83" t="str"/>
      <x:c r="Q454" s="349"/>
      <x:c r="R454" s="349" t="str">
        <x:f>IF(L454="","",IF(Q454&lt;&gt;"",L454*Q454,IF(OR(ISNUMBER(SEARCH("EUR2025",M454&amp;"")),P454=2025,P454="2025"),L454,"")))</x:f>
      </x:c>
      <x:c r="S454" s="83" t="str">
        <x:v>C — Derived</x:v>
      </x:c>
      <x:c r="T454" s="83" t="str">
        <x:v>Energy / 4 h.</x:v>
      </x:c>
      <x:c r="U454" s="83" t="str">
        <x:v>S09 / S01</x:v>
      </x:c>
      <x:c r="V454" s="83" t="str">
        <x:v>DDS Table 16 + harmonisation</x:v>
      </x:c>
      <x:c r="W454" s="120"/>
      <x:c r="X454" s="83" t="str">
        <x:v>C — Derived</x:v>
      </x:c>
      <x:c r="Y454" s="83" t="str">
        <x:v>Proposed</x:v>
      </x:c>
      <x:c r="Z454" s="83" t="str">
        <x:v>Ready after user approval</x:v>
      </x:c>
      <x:c r="AA454" s="83"/>
    </x:row>
    <x:row r="455">
      <x:c r="A455" s="83" t="str">
        <x:v>S4-00451</x:v>
      </x:c>
      <x:c r="B455" s="83" t="str">
        <x:v>IT2040_GRID_DELAY</x:v>
      </x:c>
      <x:c r="C455" s="83" t="n">
        <x:v>2040</x:v>
      </x:c>
      <x:c r="D455" s="83" t="str">
        <x:v>Storage</x:v>
      </x:c>
      <x:c r="E455" s="83" t="str">
        <x:v>IT_CSUD</x:v>
      </x:c>
      <x:c r="F455" s="83" t="str">
        <x:v>CSUD</x:v>
      </x:c>
      <x:c r="G455" s="83" t="str">
        <x:v>Utility Scale incl. MACSE</x:v>
      </x:c>
      <x:c r="H455" s="83" t="str">
        <x:v>Battery utility 8h</x:v>
      </x:c>
      <x:c r="I455" s="83" t="str">
        <x:v>battery</x:v>
      </x:c>
      <x:c r="J455" s="83" t="str">
        <x:v>Store + Links</x:v>
      </x:c>
      <x:c r="K455" s="83" t="str">
        <x:v>e_nom</x:v>
      </x:c>
      <x:c r="L455" s="279" t="n">
        <x:v>22.3</x:v>
      </x:c>
      <x:c r="M455" s="279" t="str">
        <x:v>GWh</x:v>
      </x:c>
      <x:c r="N455" s="279" t="n">
        <x:f>IF(L455="","",IF(M455="GW",L455*1000,IF(M455="GWh",L455*1000,IF(M455="TWh",L455*1000000,L455))))</x:f>
        <x:v>22300</x:v>
      </x:c>
      <x:c r="O455" s="83" t="str">
        <x:f>IF(L455="","",IF(M455="GW","MW",IF(OR(M455="GWh",M455="TWh"),"MWh",M455)))</x:f>
        <x:v>MWh</x:v>
      </x:c>
      <x:c r="P455" s="83" t="str"/>
      <x:c r="Q455" s="349"/>
      <x:c r="R455" s="349" t="str">
        <x:f>IF(L455="","",IF(Q455&lt;&gt;"",L455*Q455,IF(OR(ISNUMBER(SEARCH("EUR2025",M455&amp;"")),P455=2025,P455="2025"),L455,"")))</x:f>
      </x:c>
      <x:c r="S455" s="83" t="str">
        <x:v>A/C — Direct total; procurement subset identified</x:v>
      </x:c>
      <x:c r="T455" s="83" t="str">
        <x:v>DDS utility-scale total retained. A 42 GWh MACSE procurement portfolio is identified inside this total and is not added again.</x:v>
      </x:c>
      <x:c r="U455" s="83" t="str">
        <x:v>S09 + TERNA_MACSE_2028 + TERNA_MACSE_2029 + USER_DECISION</x:v>
      </x:c>
      <x:c r="V455" s="83" t="str">
        <x:v>DDS Table 16; 10 GWh MACSE 2028; 16 GWh 2029; 32 GWh available across the next two auctions</x:v>
      </x:c>
      <x:c r="W455" s="120" t="str">
        <x:v>https://www.terna.it/it/media/comunicati-stampa/dettaglio/conclusa-prima-asta-macse; https://download.terna.it/terna/Fabbisogno_di_nuova_capacita_di_stoccaggio_al_2029_8debcba830a85f3.pdf</x:v>
      </x:c>
      <x:c r="X455" s="83" t="str">
        <x:v>B/C — 26 GWh official; final 16 GWh planning tranche revisable</x:v>
      </x:c>
      <x:c r="Y455" s="83" t="str">
        <x:v>APPROVED total with MACSE subset</x:v>
      </x:c>
      <x:c r="Z455" s="83" t="str">
        <x:v>Ready when profiles/base network are available</x:v>
      </x:c>
      <x:c r="AA455" s="83" t="str">
        <x:v>MACSE path: 10 + 16 + 16 = 42 GWh. The final 16 GWh is an explicit scenario assumption based on Terna's 32 GWh quantity for the next two auctions.</x:v>
      </x:c>
    </x:row>
    <x:row r="456">
      <x:c r="A456" s="83" t="str">
        <x:v>S4-00452</x:v>
      </x:c>
      <x:c r="B456" s="83" t="str">
        <x:v>IT2040_GRID_DELAY</x:v>
      </x:c>
      <x:c r="C456" s="83" t="n">
        <x:v>2040</x:v>
      </x:c>
      <x:c r="D456" s="83" t="str">
        <x:v>Storage power</x:v>
      </x:c>
      <x:c r="E456" s="83" t="str">
        <x:v>IT_CSUD</x:v>
      </x:c>
      <x:c r="F456" s="83" t="str">
        <x:v>CSUD</x:v>
      </x:c>
      <x:c r="G456" s="83" t="str">
        <x:v>Utility Scale incl. MACSE</x:v>
      </x:c>
      <x:c r="H456" s="83" t="str">
        <x:v>Battery utility 8h power</x:v>
      </x:c>
      <x:c r="I456" s="83" t="str">
        <x:v>battery</x:v>
      </x:c>
      <x:c r="J456" s="83" t="str">
        <x:v>Link</x:v>
      </x:c>
      <x:c r="K456" s="83" t="str">
        <x:v>p_nom</x:v>
      </x:c>
      <x:c r="L456" s="279" t="n">
        <x:v>2.7875</x:v>
      </x:c>
      <x:c r="M456" s="279" t="str">
        <x:v>GW</x:v>
      </x:c>
      <x:c r="N456" s="279" t="n">
        <x:f>IF(L456="","",IF(M456="GW",L456*1000,IF(M456="GWh",L456*1000,IF(M456="TWh",L456*1000000,L456))))</x:f>
        <x:v>2787.5</x:v>
      </x:c>
      <x:c r="O456" s="83" t="str">
        <x:f>IF(L456="","",IF(M456="GW","MW",IF(OR(M456="GWh",M456="TWh"),"MWh",M456)))</x:f>
        <x:v>MW</x:v>
      </x:c>
      <x:c r="P456" s="83" t="str"/>
      <x:c r="Q456" s="349"/>
      <x:c r="R456" s="349" t="str">
        <x:f>IF(L456="","",IF(Q456&lt;&gt;"",L456*Q456,IF(OR(ISNUMBER(SEARCH("EUR2025",M456&amp;"")),P456=2025,P456="2025"),L456,"")))</x:f>
      </x:c>
      <x:c r="S456" s="83" t="str">
        <x:v>B — Derived</x:v>
      </x:c>
      <x:c r="T456" s="83" t="str">
        <x:v>e_nom / 8h.</x:v>
      </x:c>
      <x:c r="U456" s="83" t="str">
        <x:v>S09 + TERNA_MACSE + USER_DECISION</x:v>
      </x:c>
      <x:c r="V456" s="83" t="str">
        <x:v>Utility-scale 8h duration; MACSE subset 42 GWh / 5.25 GW</x:v>
      </x:c>
      <x:c r="W456" s="120" t="str">
        <x:v>https://www.terna.it/it/media/comunicati-stampa/dettaglio/conclusa-prima-asta-macse; https://download.terna.it/terna/Fabbisogno_di_nuova_capacita_di_stoccaggio_al_2029_8debcba830a85f3.pdf</x:v>
      </x:c>
      <x:c r="X456" s="83" t="str">
        <x:v>B — Derived</x:v>
      </x:c>
      <x:c r="Y456" s="83" t="str">
        <x:v>APPROVED total with MACSE subset</x:v>
      </x:c>
      <x:c r="Z456" s="83" t="str">
        <x:v>Ready when profiles/base network are available</x:v>
      </x:c>
      <x:c r="AA456" s="83" t="str">
        <x:v>The 42 GWh MACSE subset corresponds to 5.25 GW at 8h and remains embedded within total utility-scale power.</x:v>
      </x:c>
    </x:row>
    <x:row r="457">
      <x:c r="A457" s="83" t="str">
        <x:v>S4-00453</x:v>
      </x:c>
      <x:c r="B457" s="83" t="str">
        <x:v>IT2040_GRID_DELAY</x:v>
      </x:c>
      <x:c r="C457" s="83" t="n">
        <x:v>2040</x:v>
      </x:c>
      <x:c r="D457" s="83" t="str">
        <x:v>Storage</x:v>
      </x:c>
      <x:c r="E457" s="83" t="str">
        <x:v>IT_CSUD</x:v>
      </x:c>
      <x:c r="F457" s="83" t="str">
        <x:v>CSUD</x:v>
      </x:c>
      <x:c r="G457" s="83" t="str">
        <x:v>CM</x:v>
      </x:c>
      <x:c r="H457" s="83" t="str">
        <x:v>Capacity Market battery</x:v>
      </x:c>
      <x:c r="I457" s="83" t="str">
        <x:v>battery</x:v>
      </x:c>
      <x:c r="J457" s="83" t="str">
        <x:v>Store + Links</x:v>
      </x:c>
      <x:c r="K457" s="83" t="str">
        <x:v>e_nom</x:v>
      </x:c>
      <x:c r="L457" s="279" t="n">
        <x:v>0.9</x:v>
      </x:c>
      <x:c r="M457" s="279" t="str">
        <x:v>GWh</x:v>
      </x:c>
      <x:c r="N457" s="279" t="n">
        <x:f>IF(L457="","",IF(M457="GW",L457*1000,IF(M457="GWh",L457*1000,IF(M457="TWh",L457*1000000,L457))))</x:f>
        <x:v>900</x:v>
      </x:c>
      <x:c r="O457" s="83" t="str">
        <x:f>IF(L457="","",IF(M457="GW","MW",IF(OR(M457="GWh",M457="TWh"),"MWh",M457)))</x:f>
        <x:v>MWh</x:v>
      </x:c>
      <x:c r="P457" s="83" t="str"/>
      <x:c r="Q457" s="349"/>
      <x:c r="R457" s="349" t="str">
        <x:f>IF(L457="","",IF(Q457&lt;&gt;"",L457*Q457,IF(OR(ISNUMBER(SEARCH("EUR2025",M457&amp;"")),P457=2025,P457="2025"),L457,"")))</x:f>
      </x:c>
      <x:c r="S457" s="83" t="str">
        <x:v>A — Direct</x:v>
      </x:c>
      <x:c r="T457" s="83" t="str">
        <x:v>Direct zonal energy; duration harmonised separately.</x:v>
      </x:c>
      <x:c r="U457" s="83" t="str">
        <x:v>S09</x:v>
      </x:c>
      <x:c r="V457" s="83" t="str">
        <x:v>DDS Tabella 16</x:v>
      </x:c>
      <x:c r="W457" s="120"/>
      <x:c r="X457" s="83" t="str">
        <x:v>A — Direct</x:v>
      </x:c>
      <x:c r="Y457" s="83" t="str">
        <x:v>APPROVED direct energy; separate from MACSE</x:v>
      </x:c>
      <x:c r="Z457" s="83" t="str">
        <x:v>Ready when profiles/base network are available</x:v>
      </x:c>
      <x:c r="AA457" s="83" t="str">
        <x:v>Capacity Market energy retained from DDS. It is not the 42 GWh MACSE portfolio.</x:v>
      </x:c>
    </x:row>
    <x:row r="458">
      <x:c r="A458" s="83" t="str">
        <x:v>S4-00454</x:v>
      </x:c>
      <x:c r="B458" s="83" t="str">
        <x:v>IT2040_GRID_DELAY</x:v>
      </x:c>
      <x:c r="C458" s="83" t="n">
        <x:v>2040</x:v>
      </x:c>
      <x:c r="D458" s="83" t="str">
        <x:v>Storage power</x:v>
      </x:c>
      <x:c r="E458" s="83" t="str">
        <x:v>IT_CSUD</x:v>
      </x:c>
      <x:c r="F458" s="83" t="str">
        <x:v>CSUD</x:v>
      </x:c>
      <x:c r="G458" s="83" t="str">
        <x:v>CM</x:v>
      </x:c>
      <x:c r="H458" s="83" t="str">
        <x:v>Capacity Market battery power</x:v>
      </x:c>
      <x:c r="I458" s="83" t="str">
        <x:v>battery</x:v>
      </x:c>
      <x:c r="J458" s="83" t="str">
        <x:v>Link</x:v>
      </x:c>
      <x:c r="K458" s="83" t="str">
        <x:v>p_nom</x:v>
      </x:c>
      <x:c r="L458" s="279" t="n">
        <x:v>0.225</x:v>
      </x:c>
      <x:c r="M458" s="279" t="str">
        <x:v>GW</x:v>
      </x:c>
      <x:c r="N458" s="279" t="n">
        <x:f>IF(L458="","",IF(M458="GW",L458*1000,IF(M458="GWh",L458*1000,IF(M458="TWh",L458*1000000,L458))))</x:f>
        <x:v>225</x:v>
      </x:c>
      <x:c r="O458" s="83" t="str">
        <x:f>IF(L458="","",IF(M458="GW","MW",IF(OR(M458="GWh",M458="TWh"),"MWh",M458)))</x:f>
        <x:v>MW</x:v>
      </x:c>
      <x:c r="P458" s="83" t="str"/>
      <x:c r="Q458" s="349"/>
      <x:c r="R458" s="349" t="str">
        <x:f>IF(L458="","",IF(Q458&lt;&gt;"",L458*Q458,IF(OR(ISNUMBER(SEARCH("EUR2025",M458&amp;"")),P458=2025,P458="2025"),L458,"")))</x:f>
      </x:c>
      <x:c r="S458" s="83" t="str">
        <x:v>C — Assumed</x:v>
      </x:c>
      <x:c r="T458" s="83" t="str">
        <x:v>Capacity Market energy divided by the approved 4-hour duration.</x:v>
      </x:c>
      <x:c r="U458" s="83" t="str">
        <x:v>S09 + TERNA_RAI2025 + USER_DECISION</x:v>
      </x:c>
      <x:c r="V458" s="83" t="str">
        <x:v>DDS Table 16; Terna RAI 2025 §2.1.4</x:v>
      </x:c>
      <x:c r="W458" s="120" t="str">
        <x:v>https://download.terna.it/terna/Rapporto_Adeguatezza_Italia_2025_8de802607202dd6.pdf</x:v>
      </x:c>
      <x:c r="X458" s="83" t="str">
        <x:v>C — Assumed</x:v>
      </x:c>
      <x:c r="Y458" s="83" t="str">
        <x:v>APPROVED 4h derivation</x:v>
      </x:c>
      <x:c r="Z458" s="83" t="str">
        <x:v>Ready after user approval</x:v>
      </x:c>
      <x:c r="AA458" s="83" t="str">
        <x:v>Capacity Market remains a separate 4h class; no MACSE reclassification.</x:v>
      </x:c>
    </x:row>
    <x:row r="459">
      <x:c r="A459" s="83" t="str">
        <x:v>S4-00455</x:v>
      </x:c>
      <x:c r="B459" s="83" t="str">
        <x:v>IT2040_GRID_DELAY</x:v>
      </x:c>
      <x:c r="C459" s="83" t="n">
        <x:v>2040</x:v>
      </x:c>
      <x:c r="D459" s="83" t="str">
        <x:v>Storage</x:v>
      </x:c>
      <x:c r="E459" s="83" t="str">
        <x:v>IT_SUD</x:v>
      </x:c>
      <x:c r="F459" s="83" t="str">
        <x:v>SUD</x:v>
      </x:c>
      <x:c r="G459" s="83" t="str">
        <x:v>Small Scale</x:v>
      </x:c>
      <x:c r="H459" s="83" t="str">
        <x:v>Small-scale 2h</x:v>
      </x:c>
      <x:c r="I459" s="83" t="str">
        <x:v>battery</x:v>
      </x:c>
      <x:c r="J459" s="83" t="str">
        <x:v>Store + Links</x:v>
      </x:c>
      <x:c r="K459" s="83" t="str">
        <x:v>e_nom</x:v>
      </x:c>
      <x:c r="L459" s="279" t="n">
        <x:v>0.6</x:v>
      </x:c>
      <x:c r="M459" s="279" t="str">
        <x:v>GWh</x:v>
      </x:c>
      <x:c r="N459" s="279" t="n">
        <x:f>IF(L459="","",IF(M459="GW",L459*1000,IF(M459="GWh",L459*1000,IF(M459="TWh",L459*1000000,L459))))</x:f>
        <x:v>600</x:v>
      </x:c>
      <x:c r="O459" s="83" t="str">
        <x:f>IF(L459="","",IF(M459="GW","MW",IF(OR(M459="GWh",M459="TWh"),"MWh",M459)))</x:f>
        <x:v>MWh</x:v>
      </x:c>
      <x:c r="P459" s="83" t="str"/>
      <x:c r="Q459" s="349"/>
      <x:c r="R459" s="349" t="str">
        <x:f>IF(L459="","",IF(Q459&lt;&gt;"",L459*Q459,IF(OR(ISNUMBER(SEARCH("EUR2025",M459&amp;"")),P459=2025,P459="2025"),L459,"")))</x:f>
      </x:c>
      <x:c r="S459" s="83" t="str">
        <x:v>C — Distributed assumption</x:v>
      </x:c>
      <x:c r="T459" s="83" t="str">
        <x:v>Split direct zonal energy 67%/33% between 2h/4h classes; p_nom=e_nom/2.</x:v>
      </x:c>
      <x:c r="U459" s="83" t="str">
        <x:v>S09 / S01</x:v>
      </x:c>
      <x:c r="V459" s="83" t="str">
        <x:v>DDS Table 16; 2025 observed portfolio duration</x:v>
      </x:c>
      <x:c r="W459" s="120"/>
      <x:c r="X459" s="83" t="str">
        <x:v>C — Assumed split</x:v>
      </x:c>
      <x:c r="Y459" s="83" t="str">
        <x:v>Proposed</x:v>
      </x:c>
      <x:c r="Z459" s="83" t="str">
        <x:v>Ready after user approval</x:v>
      </x:c>
      <x:c r="AA459" s="83" t="str">
        <x:v>Duration 2h; share derived from observed aggregate duration near 2.4h.</x:v>
      </x:c>
    </x:row>
    <x:row r="460">
      <x:c r="A460" s="83" t="str">
        <x:v>S4-00456</x:v>
      </x:c>
      <x:c r="B460" s="83" t="str">
        <x:v>IT2040_GRID_DELAY</x:v>
      </x:c>
      <x:c r="C460" s="83" t="n">
        <x:v>2040</x:v>
      </x:c>
      <x:c r="D460" s="83" t="str">
        <x:v>Storage power</x:v>
      </x:c>
      <x:c r="E460" s="83" t="str">
        <x:v>IT_SUD</x:v>
      </x:c>
      <x:c r="F460" s="83" t="str">
        <x:v>SUD</x:v>
      </x:c>
      <x:c r="G460" s="83" t="str">
        <x:v>Small Scale</x:v>
      </x:c>
      <x:c r="H460" s="83" t="str">
        <x:v>Small-scale 2h power</x:v>
      </x:c>
      <x:c r="I460" s="83" t="str">
        <x:v>battery</x:v>
      </x:c>
      <x:c r="J460" s="83" t="str">
        <x:v>Link</x:v>
      </x:c>
      <x:c r="K460" s="83" t="str">
        <x:v>p_nom</x:v>
      </x:c>
      <x:c r="L460" s="279" t="n">
        <x:v>0.3</x:v>
      </x:c>
      <x:c r="M460" s="279" t="str">
        <x:v>GW</x:v>
      </x:c>
      <x:c r="N460" s="279" t="n">
        <x:f>IF(L460="","",IF(M460="GW",L460*1000,IF(M460="GWh",L460*1000,IF(M460="TWh",L460*1000000,L460))))</x:f>
        <x:v>300</x:v>
      </x:c>
      <x:c r="O460" s="83" t="str">
        <x:f>IF(L460="","",IF(M460="GW","MW",IF(OR(M460="GWh",M460="TWh"),"MWh",M460)))</x:f>
        <x:v>MW</x:v>
      </x:c>
      <x:c r="P460" s="83" t="str"/>
      <x:c r="Q460" s="349"/>
      <x:c r="R460" s="349" t="str">
        <x:f>IF(L460="","",IF(Q460&lt;&gt;"",L460*Q460,IF(OR(ISNUMBER(SEARCH("EUR2025",M460&amp;"")),P460=2025,P460="2025"),L460,"")))</x:f>
      </x:c>
      <x:c r="S460" s="83" t="str">
        <x:v>C — Derived</x:v>
      </x:c>
      <x:c r="T460" s="83" t="str">
        <x:v>Energy / 2 h.</x:v>
      </x:c>
      <x:c r="U460" s="83" t="str">
        <x:v>S09 / S01</x:v>
      </x:c>
      <x:c r="V460" s="83" t="str">
        <x:v>DDS Table 16 + harmonisation</x:v>
      </x:c>
      <x:c r="W460" s="120"/>
      <x:c r="X460" s="83" t="str">
        <x:v>C — Derived</x:v>
      </x:c>
      <x:c r="Y460" s="83" t="str">
        <x:v>Proposed</x:v>
      </x:c>
      <x:c r="Z460" s="83" t="str">
        <x:v>Ready after user approval</x:v>
      </x:c>
      <x:c r="AA460" s="83"/>
    </x:row>
    <x:row r="461">
      <x:c r="A461" s="83" t="str">
        <x:v>S4-00457</x:v>
      </x:c>
      <x:c r="B461" s="83" t="str">
        <x:v>IT2040_GRID_DELAY</x:v>
      </x:c>
      <x:c r="C461" s="83" t="n">
        <x:v>2040</x:v>
      </x:c>
      <x:c r="D461" s="83" t="str">
        <x:v>Storage</x:v>
      </x:c>
      <x:c r="E461" s="83" t="str">
        <x:v>IT_SUD</x:v>
      </x:c>
      <x:c r="F461" s="83" t="str">
        <x:v>SUD</x:v>
      </x:c>
      <x:c r="G461" s="83" t="str">
        <x:v>Small Scale</x:v>
      </x:c>
      <x:c r="H461" s="83" t="str">
        <x:v>Small-scale 4h</x:v>
      </x:c>
      <x:c r="I461" s="83" t="str">
        <x:v>battery</x:v>
      </x:c>
      <x:c r="J461" s="83" t="str">
        <x:v>Store + Links</x:v>
      </x:c>
      <x:c r="K461" s="83" t="str">
        <x:v>e_nom</x:v>
      </x:c>
      <x:c r="L461" s="279" t="n">
        <x:v>0.3</x:v>
      </x:c>
      <x:c r="M461" s="279" t="str">
        <x:v>GWh</x:v>
      </x:c>
      <x:c r="N461" s="279" t="n">
        <x:f>IF(L461="","",IF(M461="GW",L461*1000,IF(M461="GWh",L461*1000,IF(M461="TWh",L461*1000000,L461))))</x:f>
        <x:v>300</x:v>
      </x:c>
      <x:c r="O461" s="83" t="str">
        <x:f>IF(L461="","",IF(M461="GW","MW",IF(OR(M461="GWh",M461="TWh"),"MWh",M461)))</x:f>
        <x:v>MWh</x:v>
      </x:c>
      <x:c r="P461" s="83" t="str"/>
      <x:c r="Q461" s="349"/>
      <x:c r="R461" s="349" t="str">
        <x:f>IF(L461="","",IF(Q461&lt;&gt;"",L461*Q461,IF(OR(ISNUMBER(SEARCH("EUR2025",M461&amp;"")),P461=2025,P461="2025"),L461,"")))</x:f>
      </x:c>
      <x:c r="S461" s="83" t="str">
        <x:v>C — Distributed assumption</x:v>
      </x:c>
      <x:c r="T461" s="83" t="str">
        <x:v>Split direct zonal energy 67%/33% between 2h/4h classes; p_nom=e_nom/4.</x:v>
      </x:c>
      <x:c r="U461" s="83" t="str">
        <x:v>S09 / S01</x:v>
      </x:c>
      <x:c r="V461" s="83" t="str">
        <x:v>DDS Table 16; 2025 observed portfolio duration</x:v>
      </x:c>
      <x:c r="W461" s="120"/>
      <x:c r="X461" s="83" t="str">
        <x:v>C — Assumed split</x:v>
      </x:c>
      <x:c r="Y461" s="83" t="str">
        <x:v>Proposed</x:v>
      </x:c>
      <x:c r="Z461" s="83" t="str">
        <x:v>Ready after user approval</x:v>
      </x:c>
      <x:c r="AA461" s="83" t="str">
        <x:v>Duration 4h; share derived from observed aggregate duration near 2.4h.</x:v>
      </x:c>
    </x:row>
    <x:row r="462">
      <x:c r="A462" s="83" t="str">
        <x:v>S4-00458</x:v>
      </x:c>
      <x:c r="B462" s="83" t="str">
        <x:v>IT2040_GRID_DELAY</x:v>
      </x:c>
      <x:c r="C462" s="83" t="n">
        <x:v>2040</x:v>
      </x:c>
      <x:c r="D462" s="83" t="str">
        <x:v>Storage power</x:v>
      </x:c>
      <x:c r="E462" s="83" t="str">
        <x:v>IT_SUD</x:v>
      </x:c>
      <x:c r="F462" s="83" t="str">
        <x:v>SUD</x:v>
      </x:c>
      <x:c r="G462" s="83" t="str">
        <x:v>Small Scale</x:v>
      </x:c>
      <x:c r="H462" s="83" t="str">
        <x:v>Small-scale 4h power</x:v>
      </x:c>
      <x:c r="I462" s="83" t="str">
        <x:v>battery</x:v>
      </x:c>
      <x:c r="J462" s="83" t="str">
        <x:v>Link</x:v>
      </x:c>
      <x:c r="K462" s="83" t="str">
        <x:v>p_nom</x:v>
      </x:c>
      <x:c r="L462" s="279" t="n">
        <x:v>0.075</x:v>
      </x:c>
      <x:c r="M462" s="279" t="str">
        <x:v>GW</x:v>
      </x:c>
      <x:c r="N462" s="279" t="n">
        <x:f>IF(L462="","",IF(M462="GW",L462*1000,IF(M462="GWh",L462*1000,IF(M462="TWh",L462*1000000,L462))))</x:f>
        <x:v>75</x:v>
      </x:c>
      <x:c r="O462" s="83" t="str">
        <x:f>IF(L462="","",IF(M462="GW","MW",IF(OR(M462="GWh",M462="TWh"),"MWh",M462)))</x:f>
        <x:v>MW</x:v>
      </x:c>
      <x:c r="P462" s="83" t="str"/>
      <x:c r="Q462" s="349"/>
      <x:c r="R462" s="349" t="str">
        <x:f>IF(L462="","",IF(Q462&lt;&gt;"",L462*Q462,IF(OR(ISNUMBER(SEARCH("EUR2025",M462&amp;"")),P462=2025,P462="2025"),L462,"")))</x:f>
      </x:c>
      <x:c r="S462" s="83" t="str">
        <x:v>C — Derived</x:v>
      </x:c>
      <x:c r="T462" s="83" t="str">
        <x:v>Energy / 4 h.</x:v>
      </x:c>
      <x:c r="U462" s="83" t="str">
        <x:v>S09 / S01</x:v>
      </x:c>
      <x:c r="V462" s="83" t="str">
        <x:v>DDS Table 16 + harmonisation</x:v>
      </x:c>
      <x:c r="W462" s="120"/>
      <x:c r="X462" s="83" t="str">
        <x:v>C — Derived</x:v>
      </x:c>
      <x:c r="Y462" s="83" t="str">
        <x:v>Proposed</x:v>
      </x:c>
      <x:c r="Z462" s="83" t="str">
        <x:v>Ready after user approval</x:v>
      </x:c>
      <x:c r="AA462" s="83"/>
    </x:row>
    <x:row r="463">
      <x:c r="A463" s="83" t="str">
        <x:v>S4-00459</x:v>
      </x:c>
      <x:c r="B463" s="83" t="str">
        <x:v>IT2040_GRID_DELAY</x:v>
      </x:c>
      <x:c r="C463" s="83" t="n">
        <x:v>2040</x:v>
      </x:c>
      <x:c r="D463" s="83" t="str">
        <x:v>Storage</x:v>
      </x:c>
      <x:c r="E463" s="83" t="str">
        <x:v>IT_SUD</x:v>
      </x:c>
      <x:c r="F463" s="83" t="str">
        <x:v>SUD</x:v>
      </x:c>
      <x:c r="G463" s="83" t="str">
        <x:v>Utility Scale incl. MACSE</x:v>
      </x:c>
      <x:c r="H463" s="83" t="str">
        <x:v>Battery utility 8h</x:v>
      </x:c>
      <x:c r="I463" s="83" t="str">
        <x:v>battery</x:v>
      </x:c>
      <x:c r="J463" s="83" t="str">
        <x:v>Store + Links</x:v>
      </x:c>
      <x:c r="K463" s="83" t="str">
        <x:v>e_nom</x:v>
      </x:c>
      <x:c r="L463" s="279" t="n">
        <x:v>47.7</x:v>
      </x:c>
      <x:c r="M463" s="279" t="str">
        <x:v>GWh</x:v>
      </x:c>
      <x:c r="N463" s="279" t="n">
        <x:f>IF(L463="","",IF(M463="GW",L463*1000,IF(M463="GWh",L463*1000,IF(M463="TWh",L463*1000000,L463))))</x:f>
        <x:v>47700</x:v>
      </x:c>
      <x:c r="O463" s="83" t="str">
        <x:f>IF(L463="","",IF(M463="GW","MW",IF(OR(M463="GWh",M463="TWh"),"MWh",M463)))</x:f>
        <x:v>MWh</x:v>
      </x:c>
      <x:c r="P463" s="83" t="str"/>
      <x:c r="Q463" s="349"/>
      <x:c r="R463" s="349" t="str">
        <x:f>IF(L463="","",IF(Q463&lt;&gt;"",L463*Q463,IF(OR(ISNUMBER(SEARCH("EUR2025",M463&amp;"")),P463=2025,P463="2025"),L463,"")))</x:f>
      </x:c>
      <x:c r="S463" s="83" t="str">
        <x:v>A/C — Direct total; procurement subset identified</x:v>
      </x:c>
      <x:c r="T463" s="83" t="str">
        <x:v>DDS utility-scale total retained. A 42 GWh MACSE procurement portfolio is identified inside this total and is not added again.</x:v>
      </x:c>
      <x:c r="U463" s="83" t="str">
        <x:v>S09 + TERNA_MACSE_2028 + TERNA_MACSE_2029 + USER_DECISION</x:v>
      </x:c>
      <x:c r="V463" s="83" t="str">
        <x:v>DDS Table 16; 10 GWh MACSE 2028; 16 GWh 2029; 32 GWh available across the next two auctions</x:v>
      </x:c>
      <x:c r="W463" s="120" t="str">
        <x:v>https://www.terna.it/it/media/comunicati-stampa/dettaglio/conclusa-prima-asta-macse; https://download.terna.it/terna/Fabbisogno_di_nuova_capacita_di_stoccaggio_al_2029_8debcba830a85f3.pdf</x:v>
      </x:c>
      <x:c r="X463" s="83" t="str">
        <x:v>B/C — 26 GWh official; final 16 GWh planning tranche revisable</x:v>
      </x:c>
      <x:c r="Y463" s="83" t="str">
        <x:v>APPROVED total with MACSE subset</x:v>
      </x:c>
      <x:c r="Z463" s="83" t="str">
        <x:v>Ready when profiles/base network are available</x:v>
      </x:c>
      <x:c r="AA463" s="83" t="str">
        <x:v>MACSE path: 10 + 16 + 16 = 42 GWh. The final 16 GWh is an explicit scenario assumption based on Terna's 32 GWh quantity for the next two auctions.</x:v>
      </x:c>
    </x:row>
    <x:row r="464">
      <x:c r="A464" s="83" t="str">
        <x:v>S4-00460</x:v>
      </x:c>
      <x:c r="B464" s="83" t="str">
        <x:v>IT2040_GRID_DELAY</x:v>
      </x:c>
      <x:c r="C464" s="83" t="n">
        <x:v>2040</x:v>
      </x:c>
      <x:c r="D464" s="83" t="str">
        <x:v>Storage power</x:v>
      </x:c>
      <x:c r="E464" s="83" t="str">
        <x:v>IT_SUD</x:v>
      </x:c>
      <x:c r="F464" s="83" t="str">
        <x:v>SUD</x:v>
      </x:c>
      <x:c r="G464" s="83" t="str">
        <x:v>Utility Scale incl. MACSE</x:v>
      </x:c>
      <x:c r="H464" s="83" t="str">
        <x:v>Battery utility 8h power</x:v>
      </x:c>
      <x:c r="I464" s="83" t="str">
        <x:v>battery</x:v>
      </x:c>
      <x:c r="J464" s="83" t="str">
        <x:v>Link</x:v>
      </x:c>
      <x:c r="K464" s="83" t="str">
        <x:v>p_nom</x:v>
      </x:c>
      <x:c r="L464" s="279" t="n">
        <x:v>5.9625</x:v>
      </x:c>
      <x:c r="M464" s="279" t="str">
        <x:v>GW</x:v>
      </x:c>
      <x:c r="N464" s="279" t="n">
        <x:f>IF(L464="","",IF(M464="GW",L464*1000,IF(M464="GWh",L464*1000,IF(M464="TWh",L464*1000000,L464))))</x:f>
        <x:v>5962.5</x:v>
      </x:c>
      <x:c r="O464" s="83" t="str">
        <x:f>IF(L464="","",IF(M464="GW","MW",IF(OR(M464="GWh",M464="TWh"),"MWh",M464)))</x:f>
        <x:v>MW</x:v>
      </x:c>
      <x:c r="P464" s="83" t="str"/>
      <x:c r="Q464" s="349"/>
      <x:c r="R464" s="349" t="str">
        <x:f>IF(L464="","",IF(Q464&lt;&gt;"",L464*Q464,IF(OR(ISNUMBER(SEARCH("EUR2025",M464&amp;"")),P464=2025,P464="2025"),L464,"")))</x:f>
      </x:c>
      <x:c r="S464" s="83" t="str">
        <x:v>B — Derived</x:v>
      </x:c>
      <x:c r="T464" s="83" t="str">
        <x:v>e_nom / 8h.</x:v>
      </x:c>
      <x:c r="U464" s="83" t="str">
        <x:v>S09 + TERNA_MACSE + USER_DECISION</x:v>
      </x:c>
      <x:c r="V464" s="83" t="str">
        <x:v>Utility-scale 8h duration; MACSE subset 42 GWh / 5.25 GW</x:v>
      </x:c>
      <x:c r="W464" s="120" t="str">
        <x:v>https://www.terna.it/it/media/comunicati-stampa/dettaglio/conclusa-prima-asta-macse; https://download.terna.it/terna/Fabbisogno_di_nuova_capacita_di_stoccaggio_al_2029_8debcba830a85f3.pdf</x:v>
      </x:c>
      <x:c r="X464" s="83" t="str">
        <x:v>B — Derived</x:v>
      </x:c>
      <x:c r="Y464" s="83" t="str">
        <x:v>APPROVED total with MACSE subset</x:v>
      </x:c>
      <x:c r="Z464" s="83" t="str">
        <x:v>Ready when profiles/base network are available</x:v>
      </x:c>
      <x:c r="AA464" s="83" t="str">
        <x:v>The 42 GWh MACSE subset corresponds to 5.25 GW at 8h and remains embedded within total utility-scale power.</x:v>
      </x:c>
    </x:row>
    <x:row r="465">
      <x:c r="A465" s="83" t="str">
        <x:v>S4-00461</x:v>
      </x:c>
      <x:c r="B465" s="83" t="str">
        <x:v>IT2040_GRID_DELAY</x:v>
      </x:c>
      <x:c r="C465" s="83" t="n">
        <x:v>2040</x:v>
      </x:c>
      <x:c r="D465" s="83" t="str">
        <x:v>Storage</x:v>
      </x:c>
      <x:c r="E465" s="83" t="str">
        <x:v>IT_SUD</x:v>
      </x:c>
      <x:c r="F465" s="83" t="str">
        <x:v>SUD</x:v>
      </x:c>
      <x:c r="G465" s="83" t="str">
        <x:v>CM</x:v>
      </x:c>
      <x:c r="H465" s="83" t="str">
        <x:v>Capacity Market battery</x:v>
      </x:c>
      <x:c r="I465" s="83" t="str">
        <x:v>battery</x:v>
      </x:c>
      <x:c r="J465" s="83" t="str">
        <x:v>Store + Links</x:v>
      </x:c>
      <x:c r="K465" s="83" t="str">
        <x:v>e_nom</x:v>
      </x:c>
      <x:c r="L465" s="279" t="n">
        <x:v>0.1</x:v>
      </x:c>
      <x:c r="M465" s="279" t="str">
        <x:v>GWh</x:v>
      </x:c>
      <x:c r="N465" s="279" t="n">
        <x:f>IF(L465="","",IF(M465="GW",L465*1000,IF(M465="GWh",L465*1000,IF(M465="TWh",L465*1000000,L465))))</x:f>
        <x:v>100</x:v>
      </x:c>
      <x:c r="O465" s="83" t="str">
        <x:f>IF(L465="","",IF(M465="GW","MW",IF(OR(M465="GWh",M465="TWh"),"MWh",M465)))</x:f>
        <x:v>MWh</x:v>
      </x:c>
      <x:c r="P465" s="83" t="str"/>
      <x:c r="Q465" s="349"/>
      <x:c r="R465" s="349" t="str">
        <x:f>IF(L465="","",IF(Q465&lt;&gt;"",L465*Q465,IF(OR(ISNUMBER(SEARCH("EUR2025",M465&amp;"")),P465=2025,P465="2025"),L465,"")))</x:f>
      </x:c>
      <x:c r="S465" s="83" t="str">
        <x:v>A — Direct</x:v>
      </x:c>
      <x:c r="T465" s="83" t="str">
        <x:v>Direct zonal energy; duration harmonised separately.</x:v>
      </x:c>
      <x:c r="U465" s="83" t="str">
        <x:v>S09</x:v>
      </x:c>
      <x:c r="V465" s="83" t="str">
        <x:v>DDS Tabella 16</x:v>
      </x:c>
      <x:c r="W465" s="120"/>
      <x:c r="X465" s="83" t="str">
        <x:v>A — Direct</x:v>
      </x:c>
      <x:c r="Y465" s="83" t="str">
        <x:v>APPROVED direct energy; separate from MACSE</x:v>
      </x:c>
      <x:c r="Z465" s="83" t="str">
        <x:v>Ready when profiles/base network are available</x:v>
      </x:c>
      <x:c r="AA465" s="83" t="str">
        <x:v>Capacity Market energy retained from DDS. It is not the 42 GWh MACSE portfolio.</x:v>
      </x:c>
    </x:row>
    <x:row r="466">
      <x:c r="A466" s="83" t="str">
        <x:v>S4-00462</x:v>
      </x:c>
      <x:c r="B466" s="83" t="str">
        <x:v>IT2040_GRID_DELAY</x:v>
      </x:c>
      <x:c r="C466" s="83" t="n">
        <x:v>2040</x:v>
      </x:c>
      <x:c r="D466" s="83" t="str">
        <x:v>Storage power</x:v>
      </x:c>
      <x:c r="E466" s="83" t="str">
        <x:v>IT_SUD</x:v>
      </x:c>
      <x:c r="F466" s="83" t="str">
        <x:v>SUD</x:v>
      </x:c>
      <x:c r="G466" s="83" t="str">
        <x:v>CM</x:v>
      </x:c>
      <x:c r="H466" s="83" t="str">
        <x:v>Capacity Market battery power</x:v>
      </x:c>
      <x:c r="I466" s="83" t="str">
        <x:v>battery</x:v>
      </x:c>
      <x:c r="J466" s="83" t="str">
        <x:v>Link</x:v>
      </x:c>
      <x:c r="K466" s="83" t="str">
        <x:v>p_nom</x:v>
      </x:c>
      <x:c r="L466" s="279" t="n">
        <x:v>0.025</x:v>
      </x:c>
      <x:c r="M466" s="279" t="str">
        <x:v>GW</x:v>
      </x:c>
      <x:c r="N466" s="279" t="n">
        <x:f>IF(L466="","",IF(M466="GW",L466*1000,IF(M466="GWh",L466*1000,IF(M466="TWh",L466*1000000,L466))))</x:f>
        <x:v>25</x:v>
      </x:c>
      <x:c r="O466" s="83" t="str">
        <x:f>IF(L466="","",IF(M466="GW","MW",IF(OR(M466="GWh",M466="TWh"),"MWh",M466)))</x:f>
        <x:v>MW</x:v>
      </x:c>
      <x:c r="P466" s="83" t="str"/>
      <x:c r="Q466" s="349"/>
      <x:c r="R466" s="349" t="str">
        <x:f>IF(L466="","",IF(Q466&lt;&gt;"",L466*Q466,IF(OR(ISNUMBER(SEARCH("EUR2025",M466&amp;"")),P466=2025,P466="2025"),L466,"")))</x:f>
      </x:c>
      <x:c r="S466" s="83" t="str">
        <x:v>C — Assumed</x:v>
      </x:c>
      <x:c r="T466" s="83" t="str">
        <x:v>Capacity Market energy divided by the approved 4-hour duration.</x:v>
      </x:c>
      <x:c r="U466" s="83" t="str">
        <x:v>S09 + TERNA_RAI2025 + USER_DECISION</x:v>
      </x:c>
      <x:c r="V466" s="83" t="str">
        <x:v>DDS Table 16; Terna RAI 2025 §2.1.4</x:v>
      </x:c>
      <x:c r="W466" s="120" t="str">
        <x:v>https://download.terna.it/terna/Rapporto_Adeguatezza_Italia_2025_8de802607202dd6.pdf</x:v>
      </x:c>
      <x:c r="X466" s="83" t="str">
        <x:v>C — Assumed</x:v>
      </x:c>
      <x:c r="Y466" s="83" t="str">
        <x:v>APPROVED 4h derivation</x:v>
      </x:c>
      <x:c r="Z466" s="83" t="str">
        <x:v>Ready after user approval</x:v>
      </x:c>
      <x:c r="AA466" s="83" t="str">
        <x:v>Capacity Market remains a separate 4h class; no MACSE reclassification.</x:v>
      </x:c>
    </x:row>
    <x:row r="467">
      <x:c r="A467" s="83" t="str">
        <x:v>S4-00463</x:v>
      </x:c>
      <x:c r="B467" s="83" t="str">
        <x:v>IT2040_GRID_DELAY</x:v>
      </x:c>
      <x:c r="C467" s="83" t="n">
        <x:v>2040</x:v>
      </x:c>
      <x:c r="D467" s="83" t="str">
        <x:v>Storage</x:v>
      </x:c>
      <x:c r="E467" s="83" t="str">
        <x:v>IT_CALA</x:v>
      </x:c>
      <x:c r="F467" s="83" t="str">
        <x:v>CALA</x:v>
      </x:c>
      <x:c r="G467" s="83" t="str">
        <x:v>Small Scale</x:v>
      </x:c>
      <x:c r="H467" s="83" t="str">
        <x:v>Small-scale 2h</x:v>
      </x:c>
      <x:c r="I467" s="83" t="str">
        <x:v>battery</x:v>
      </x:c>
      <x:c r="J467" s="83" t="str">
        <x:v>Store + Links</x:v>
      </x:c>
      <x:c r="K467" s="83" t="str">
        <x:v>e_nom</x:v>
      </x:c>
      <x:c r="L467" s="279" t="n">
        <x:v>0.26666666666666666</x:v>
      </x:c>
      <x:c r="M467" s="279" t="str">
        <x:v>GWh</x:v>
      </x:c>
      <x:c r="N467" s="279" t="n">
        <x:f>IF(L467="","",IF(M467="GW",L467*1000,IF(M467="GWh",L467*1000,IF(M467="TWh",L467*1000000,L467))))</x:f>
        <x:v>266.6666666666667</x:v>
      </x:c>
      <x:c r="O467" s="83" t="str">
        <x:f>IF(L467="","",IF(M467="GW","MW",IF(OR(M467="GWh",M467="TWh"),"MWh",M467)))</x:f>
        <x:v>MWh</x:v>
      </x:c>
      <x:c r="P467" s="83" t="str"/>
      <x:c r="Q467" s="349"/>
      <x:c r="R467" s="349" t="str">
        <x:f>IF(L467="","",IF(Q467&lt;&gt;"",L467*Q467,IF(OR(ISNUMBER(SEARCH("EUR2025",M467&amp;"")),P467=2025,P467="2025"),L467,"")))</x:f>
      </x:c>
      <x:c r="S467" s="83" t="str">
        <x:v>C — Distributed assumption</x:v>
      </x:c>
      <x:c r="T467" s="83" t="str">
        <x:v>Split direct zonal energy 67%/33% between 2h/4h classes; p_nom=e_nom/2.</x:v>
      </x:c>
      <x:c r="U467" s="83" t="str">
        <x:v>S09 / S01</x:v>
      </x:c>
      <x:c r="V467" s="83" t="str">
        <x:v>DDS Table 16; 2025 observed portfolio duration</x:v>
      </x:c>
      <x:c r="W467" s="120"/>
      <x:c r="X467" s="83" t="str">
        <x:v>C — Assumed split</x:v>
      </x:c>
      <x:c r="Y467" s="83" t="str">
        <x:v>Proposed</x:v>
      </x:c>
      <x:c r="Z467" s="83" t="str">
        <x:v>Ready after user approval</x:v>
      </x:c>
      <x:c r="AA467" s="83" t="str">
        <x:v>Duration 2h; share derived from observed aggregate duration near 2.4h.</x:v>
      </x:c>
    </x:row>
    <x:row r="468">
      <x:c r="A468" s="83" t="str">
        <x:v>S4-00464</x:v>
      </x:c>
      <x:c r="B468" s="83" t="str">
        <x:v>IT2040_GRID_DELAY</x:v>
      </x:c>
      <x:c r="C468" s="83" t="n">
        <x:v>2040</x:v>
      </x:c>
      <x:c r="D468" s="83" t="str">
        <x:v>Storage power</x:v>
      </x:c>
      <x:c r="E468" s="83" t="str">
        <x:v>IT_CALA</x:v>
      </x:c>
      <x:c r="F468" s="83" t="str">
        <x:v>CALA</x:v>
      </x:c>
      <x:c r="G468" s="83" t="str">
        <x:v>Small Scale</x:v>
      </x:c>
      <x:c r="H468" s="83" t="str">
        <x:v>Small-scale 2h power</x:v>
      </x:c>
      <x:c r="I468" s="83" t="str">
        <x:v>battery</x:v>
      </x:c>
      <x:c r="J468" s="83" t="str">
        <x:v>Link</x:v>
      </x:c>
      <x:c r="K468" s="83" t="str">
        <x:v>p_nom</x:v>
      </x:c>
      <x:c r="L468" s="279" t="n">
        <x:v>0.13333333333333333</x:v>
      </x:c>
      <x:c r="M468" s="279" t="str">
        <x:v>GW</x:v>
      </x:c>
      <x:c r="N468" s="279" t="n">
        <x:f>IF(L468="","",IF(M468="GW",L468*1000,IF(M468="GWh",L468*1000,IF(M468="TWh",L468*1000000,L468))))</x:f>
        <x:v>133.33333333333334</x:v>
      </x:c>
      <x:c r="O468" s="83" t="str">
        <x:f>IF(L468="","",IF(M468="GW","MW",IF(OR(M468="GWh",M468="TWh"),"MWh",M468)))</x:f>
        <x:v>MW</x:v>
      </x:c>
      <x:c r="P468" s="83" t="str"/>
      <x:c r="Q468" s="349"/>
      <x:c r="R468" s="349" t="str">
        <x:f>IF(L468="","",IF(Q468&lt;&gt;"",L468*Q468,IF(OR(ISNUMBER(SEARCH("EUR2025",M468&amp;"")),P468=2025,P468="2025"),L468,"")))</x:f>
      </x:c>
      <x:c r="S468" s="83" t="str">
        <x:v>C — Derived</x:v>
      </x:c>
      <x:c r="T468" s="83" t="str">
        <x:v>Energy / 2 h.</x:v>
      </x:c>
      <x:c r="U468" s="83" t="str">
        <x:v>S09 / S01</x:v>
      </x:c>
      <x:c r="V468" s="83" t="str">
        <x:v>DDS Table 16 + harmonisation</x:v>
      </x:c>
      <x:c r="W468" s="120"/>
      <x:c r="X468" s="83" t="str">
        <x:v>C — Derived</x:v>
      </x:c>
      <x:c r="Y468" s="83" t="str">
        <x:v>Proposed</x:v>
      </x:c>
      <x:c r="Z468" s="83" t="str">
        <x:v>Ready after user approval</x:v>
      </x:c>
      <x:c r="AA468" s="83"/>
    </x:row>
    <x:row r="469">
      <x:c r="A469" s="83" t="str">
        <x:v>S4-00465</x:v>
      </x:c>
      <x:c r="B469" s="83" t="str">
        <x:v>IT2040_GRID_DELAY</x:v>
      </x:c>
      <x:c r="C469" s="83" t="n">
        <x:v>2040</x:v>
      </x:c>
      <x:c r="D469" s="83" t="str">
        <x:v>Storage</x:v>
      </x:c>
      <x:c r="E469" s="83" t="str">
        <x:v>IT_CALA</x:v>
      </x:c>
      <x:c r="F469" s="83" t="str">
        <x:v>CALA</x:v>
      </x:c>
      <x:c r="G469" s="83" t="str">
        <x:v>Small Scale</x:v>
      </x:c>
      <x:c r="H469" s="83" t="str">
        <x:v>Small-scale 4h</x:v>
      </x:c>
      <x:c r="I469" s="83" t="str">
        <x:v>battery</x:v>
      </x:c>
      <x:c r="J469" s="83" t="str">
        <x:v>Store + Links</x:v>
      </x:c>
      <x:c r="K469" s="83" t="str">
        <x:v>e_nom</x:v>
      </x:c>
      <x:c r="L469" s="279" t="n">
        <x:v>0.13333333333333333</x:v>
      </x:c>
      <x:c r="M469" s="279" t="str">
        <x:v>GWh</x:v>
      </x:c>
      <x:c r="N469" s="279" t="n">
        <x:f>IF(L469="","",IF(M469="GW",L469*1000,IF(M469="GWh",L469*1000,IF(M469="TWh",L469*1000000,L469))))</x:f>
        <x:v>133.33333333333334</x:v>
      </x:c>
      <x:c r="O469" s="83" t="str">
        <x:f>IF(L469="","",IF(M469="GW","MW",IF(OR(M469="GWh",M469="TWh"),"MWh",M469)))</x:f>
        <x:v>MWh</x:v>
      </x:c>
      <x:c r="P469" s="83" t="str"/>
      <x:c r="Q469" s="349"/>
      <x:c r="R469" s="349" t="str">
        <x:f>IF(L469="","",IF(Q469&lt;&gt;"",L469*Q469,IF(OR(ISNUMBER(SEARCH("EUR2025",M469&amp;"")),P469=2025,P469="2025"),L469,"")))</x:f>
      </x:c>
      <x:c r="S469" s="83" t="str">
        <x:v>C — Distributed assumption</x:v>
      </x:c>
      <x:c r="T469" s="83" t="str">
        <x:v>Split direct zonal energy 67%/33% between 2h/4h classes; p_nom=e_nom/4.</x:v>
      </x:c>
      <x:c r="U469" s="83" t="str">
        <x:v>S09 / S01</x:v>
      </x:c>
      <x:c r="V469" s="83" t="str">
        <x:v>DDS Table 16; 2025 observed portfolio duration</x:v>
      </x:c>
      <x:c r="W469" s="120"/>
      <x:c r="X469" s="83" t="str">
        <x:v>C — Assumed split</x:v>
      </x:c>
      <x:c r="Y469" s="83" t="str">
        <x:v>Proposed</x:v>
      </x:c>
      <x:c r="Z469" s="83" t="str">
        <x:v>Ready after user approval</x:v>
      </x:c>
      <x:c r="AA469" s="83" t="str">
        <x:v>Duration 4h; share derived from observed aggregate duration near 2.4h.</x:v>
      </x:c>
    </x:row>
    <x:row r="470">
      <x:c r="A470" s="83" t="str">
        <x:v>S4-00466</x:v>
      </x:c>
      <x:c r="B470" s="83" t="str">
        <x:v>IT2040_GRID_DELAY</x:v>
      </x:c>
      <x:c r="C470" s="83" t="n">
        <x:v>2040</x:v>
      </x:c>
      <x:c r="D470" s="83" t="str">
        <x:v>Storage power</x:v>
      </x:c>
      <x:c r="E470" s="83" t="str">
        <x:v>IT_CALA</x:v>
      </x:c>
      <x:c r="F470" s="83" t="str">
        <x:v>CALA</x:v>
      </x:c>
      <x:c r="G470" s="83" t="str">
        <x:v>Small Scale</x:v>
      </x:c>
      <x:c r="H470" s="83" t="str">
        <x:v>Small-scale 4h power</x:v>
      </x:c>
      <x:c r="I470" s="83" t="str">
        <x:v>battery</x:v>
      </x:c>
      <x:c r="J470" s="83" t="str">
        <x:v>Link</x:v>
      </x:c>
      <x:c r="K470" s="83" t="str">
        <x:v>p_nom</x:v>
      </x:c>
      <x:c r="L470" s="279" t="n">
        <x:v>0.03333333333333333</x:v>
      </x:c>
      <x:c r="M470" s="279" t="str">
        <x:v>GW</x:v>
      </x:c>
      <x:c r="N470" s="279" t="n">
        <x:f>IF(L470="","",IF(M470="GW",L470*1000,IF(M470="GWh",L470*1000,IF(M470="TWh",L470*1000000,L470))))</x:f>
        <x:v>33.333333333333336</x:v>
      </x:c>
      <x:c r="O470" s="83" t="str">
        <x:f>IF(L470="","",IF(M470="GW","MW",IF(OR(M470="GWh",M470="TWh"),"MWh",M470)))</x:f>
        <x:v>MW</x:v>
      </x:c>
      <x:c r="P470" s="83" t="str"/>
      <x:c r="Q470" s="349"/>
      <x:c r="R470" s="349" t="str">
        <x:f>IF(L470="","",IF(Q470&lt;&gt;"",L470*Q470,IF(OR(ISNUMBER(SEARCH("EUR2025",M470&amp;"")),P470=2025,P470="2025"),L470,"")))</x:f>
      </x:c>
      <x:c r="S470" s="83" t="str">
        <x:v>C — Derived</x:v>
      </x:c>
      <x:c r="T470" s="83" t="str">
        <x:v>Energy / 4 h.</x:v>
      </x:c>
      <x:c r="U470" s="83" t="str">
        <x:v>S09 / S01</x:v>
      </x:c>
      <x:c r="V470" s="83" t="str">
        <x:v>DDS Table 16 + harmonisation</x:v>
      </x:c>
      <x:c r="W470" s="120"/>
      <x:c r="X470" s="83" t="str">
        <x:v>C — Derived</x:v>
      </x:c>
      <x:c r="Y470" s="83" t="str">
        <x:v>Proposed</x:v>
      </x:c>
      <x:c r="Z470" s="83" t="str">
        <x:v>Ready after user approval</x:v>
      </x:c>
      <x:c r="AA470" s="83"/>
    </x:row>
    <x:row r="471">
      <x:c r="A471" s="83" t="str">
        <x:v>S4-00467</x:v>
      </x:c>
      <x:c r="B471" s="83" t="str">
        <x:v>IT2040_GRID_DELAY</x:v>
      </x:c>
      <x:c r="C471" s="83" t="n">
        <x:v>2040</x:v>
      </x:c>
      <x:c r="D471" s="83" t="str">
        <x:v>Storage</x:v>
      </x:c>
      <x:c r="E471" s="83" t="str">
        <x:v>IT_CALA</x:v>
      </x:c>
      <x:c r="F471" s="83" t="str">
        <x:v>CALA</x:v>
      </x:c>
      <x:c r="G471" s="83" t="str">
        <x:v>Utility Scale incl. MACSE</x:v>
      </x:c>
      <x:c r="H471" s="83" t="str">
        <x:v>Battery utility 8h</x:v>
      </x:c>
      <x:c r="I471" s="83" t="str">
        <x:v>battery</x:v>
      </x:c>
      <x:c r="J471" s="83" t="str">
        <x:v>Store + Links</x:v>
      </x:c>
      <x:c r="K471" s="83" t="str">
        <x:v>e_nom</x:v>
      </x:c>
      <x:c r="L471" s="279" t="n">
        <x:v>10.4</x:v>
      </x:c>
      <x:c r="M471" s="279" t="str">
        <x:v>GWh</x:v>
      </x:c>
      <x:c r="N471" s="279" t="n">
        <x:f>IF(L471="","",IF(M471="GW",L471*1000,IF(M471="GWh",L471*1000,IF(M471="TWh",L471*1000000,L471))))</x:f>
        <x:v>10400</x:v>
      </x:c>
      <x:c r="O471" s="83" t="str">
        <x:f>IF(L471="","",IF(M471="GW","MW",IF(OR(M471="GWh",M471="TWh"),"MWh",M471)))</x:f>
        <x:v>MWh</x:v>
      </x:c>
      <x:c r="P471" s="83" t="str"/>
      <x:c r="Q471" s="349"/>
      <x:c r="R471" s="349" t="str">
        <x:f>IF(L471="","",IF(Q471&lt;&gt;"",L471*Q471,IF(OR(ISNUMBER(SEARCH("EUR2025",M471&amp;"")),P471=2025,P471="2025"),L471,"")))</x:f>
      </x:c>
      <x:c r="S471" s="83" t="str">
        <x:v>A/C — Direct total; procurement subset identified</x:v>
      </x:c>
      <x:c r="T471" s="83" t="str">
        <x:v>DDS utility-scale total retained. A 42 GWh MACSE procurement portfolio is identified inside this total and is not added again.</x:v>
      </x:c>
      <x:c r="U471" s="83" t="str">
        <x:v>S09 + TERNA_MACSE_2028 + TERNA_MACSE_2029 + USER_DECISION</x:v>
      </x:c>
      <x:c r="V471" s="83" t="str">
        <x:v>DDS Table 16; 10 GWh MACSE 2028; 16 GWh 2029; 32 GWh available across the next two auctions</x:v>
      </x:c>
      <x:c r="W471" s="120" t="str">
        <x:v>https://www.terna.it/it/media/comunicati-stampa/dettaglio/conclusa-prima-asta-macse; https://download.terna.it/terna/Fabbisogno_di_nuova_capacita_di_stoccaggio_al_2029_8debcba830a85f3.pdf</x:v>
      </x:c>
      <x:c r="X471" s="83" t="str">
        <x:v>B/C — 26 GWh official; final 16 GWh planning tranche revisable</x:v>
      </x:c>
      <x:c r="Y471" s="83" t="str">
        <x:v>APPROVED total with MACSE subset</x:v>
      </x:c>
      <x:c r="Z471" s="83" t="str">
        <x:v>Ready when profiles/base network are available</x:v>
      </x:c>
      <x:c r="AA471" s="83" t="str">
        <x:v>MACSE path: 10 + 16 + 16 = 42 GWh. The final 16 GWh is an explicit scenario assumption based on Terna's 32 GWh quantity for the next two auctions.</x:v>
      </x:c>
    </x:row>
    <x:row r="472">
      <x:c r="A472" s="83" t="str">
        <x:v>S4-00468</x:v>
      </x:c>
      <x:c r="B472" s="83" t="str">
        <x:v>IT2040_GRID_DELAY</x:v>
      </x:c>
      <x:c r="C472" s="83" t="n">
        <x:v>2040</x:v>
      </x:c>
      <x:c r="D472" s="83" t="str">
        <x:v>Storage power</x:v>
      </x:c>
      <x:c r="E472" s="83" t="str">
        <x:v>IT_CALA</x:v>
      </x:c>
      <x:c r="F472" s="83" t="str">
        <x:v>CALA</x:v>
      </x:c>
      <x:c r="G472" s="83" t="str">
        <x:v>Utility Scale incl. MACSE</x:v>
      </x:c>
      <x:c r="H472" s="83" t="str">
        <x:v>Battery utility 8h power</x:v>
      </x:c>
      <x:c r="I472" s="83" t="str">
        <x:v>battery</x:v>
      </x:c>
      <x:c r="J472" s="83" t="str">
        <x:v>Link</x:v>
      </x:c>
      <x:c r="K472" s="83" t="str">
        <x:v>p_nom</x:v>
      </x:c>
      <x:c r="L472" s="279" t="n">
        <x:v>1.3</x:v>
      </x:c>
      <x:c r="M472" s="279" t="str">
        <x:v>GW</x:v>
      </x:c>
      <x:c r="N472" s="279" t="n">
        <x:f>IF(L472="","",IF(M472="GW",L472*1000,IF(M472="GWh",L472*1000,IF(M472="TWh",L472*1000000,L472))))</x:f>
        <x:v>1300</x:v>
      </x:c>
      <x:c r="O472" s="83" t="str">
        <x:f>IF(L472="","",IF(M472="GW","MW",IF(OR(M472="GWh",M472="TWh"),"MWh",M472)))</x:f>
        <x:v>MW</x:v>
      </x:c>
      <x:c r="P472" s="83" t="str"/>
      <x:c r="Q472" s="349"/>
      <x:c r="R472" s="349" t="str">
        <x:f>IF(L472="","",IF(Q472&lt;&gt;"",L472*Q472,IF(OR(ISNUMBER(SEARCH("EUR2025",M472&amp;"")),P472=2025,P472="2025"),L472,"")))</x:f>
      </x:c>
      <x:c r="S472" s="83" t="str">
        <x:v>B — Derived</x:v>
      </x:c>
      <x:c r="T472" s="83" t="str">
        <x:v>e_nom / 8h.</x:v>
      </x:c>
      <x:c r="U472" s="83" t="str">
        <x:v>S09 + TERNA_MACSE + USER_DECISION</x:v>
      </x:c>
      <x:c r="V472" s="83" t="str">
        <x:v>Utility-scale 8h duration; MACSE subset 42 GWh / 5.25 GW</x:v>
      </x:c>
      <x:c r="W472" s="120" t="str">
        <x:v>https://www.terna.it/it/media/comunicati-stampa/dettaglio/conclusa-prima-asta-macse; https://download.terna.it/terna/Fabbisogno_di_nuova_capacita_di_stoccaggio_al_2029_8debcba830a85f3.pdf</x:v>
      </x:c>
      <x:c r="X472" s="83" t="str">
        <x:v>B — Derived</x:v>
      </x:c>
      <x:c r="Y472" s="83" t="str">
        <x:v>APPROVED total with MACSE subset</x:v>
      </x:c>
      <x:c r="Z472" s="83" t="str">
        <x:v>Ready when profiles/base network are available</x:v>
      </x:c>
      <x:c r="AA472" s="83" t="str">
        <x:v>The 42 GWh MACSE subset corresponds to 5.25 GW at 8h and remains embedded within total utility-scale power.</x:v>
      </x:c>
    </x:row>
    <x:row r="473">
      <x:c r="A473" s="83" t="str">
        <x:v>S4-00469</x:v>
      </x:c>
      <x:c r="B473" s="83" t="str">
        <x:v>IT2040_GRID_DELAY</x:v>
      </x:c>
      <x:c r="C473" s="83" t="n">
        <x:v>2040</x:v>
      </x:c>
      <x:c r="D473" s="83" t="str">
        <x:v>Storage</x:v>
      </x:c>
      <x:c r="E473" s="83" t="str">
        <x:v>IT_CALA</x:v>
      </x:c>
      <x:c r="F473" s="83" t="str">
        <x:v>CALA</x:v>
      </x:c>
      <x:c r="G473" s="83" t="str">
        <x:v>CM</x:v>
      </x:c>
      <x:c r="H473" s="83" t="str">
        <x:v>Capacity Market battery</x:v>
      </x:c>
      <x:c r="I473" s="83" t="str">
        <x:v>battery</x:v>
      </x:c>
      <x:c r="J473" s="83" t="str">
        <x:v>Store + Links</x:v>
      </x:c>
      <x:c r="K473" s="83" t="str">
        <x:v>e_nom</x:v>
      </x:c>
      <x:c r="L473" s="279" t="n">
        <x:v>0</x:v>
      </x:c>
      <x:c r="M473" s="279" t="str">
        <x:v>GWh</x:v>
      </x:c>
      <x:c r="N473" s="279" t="str">
        <x:f>IF(L473="","",IF(M473="GW",L473*1000,IF(M473="GWh",L473*1000,IF(M473="TWh",L473*1000000,L473))))</x:f>
      </x:c>
      <x:c r="O473" s="83" t="str">
        <x:f>IF(L473="","",IF(M473="GW","MW",IF(OR(M473="GWh",M473="TWh"),"MWh",M473)))</x:f>
      </x:c>
      <x:c r="P473" s="83" t="str"/>
      <x:c r="Q473" s="349"/>
      <x:c r="R473" s="349" t="str">
        <x:f>IF(L473="","",IF(Q473&lt;&gt;"",L473*Q473,IF(OR(ISNUMBER(SEARCH("EUR2025",M473&amp;"")),P473=2025,P473="2025"),L473,"")))</x:f>
      </x:c>
      <x:c r="S473" s="83" t="str">
        <x:v>A — Direct</x:v>
      </x:c>
      <x:c r="T473" s="83" t="str">
        <x:v>Direct zonal energy; duration harmonised separately.</x:v>
      </x:c>
      <x:c r="U473" s="83" t="str">
        <x:v>S09</x:v>
      </x:c>
      <x:c r="V473" s="83" t="str">
        <x:v>DDS Tabella 16</x:v>
      </x:c>
      <x:c r="W473" s="120"/>
      <x:c r="X473" s="83" t="str">
        <x:v>A — Direct</x:v>
      </x:c>
      <x:c r="Y473" s="83" t="str">
        <x:v>APPROVED direct energy; separate from MACSE</x:v>
      </x:c>
      <x:c r="Z473" s="83" t="str">
        <x:v>Ready when profiles/base network are available</x:v>
      </x:c>
      <x:c r="AA473" s="83" t="str">
        <x:v>Capacity Market energy retained from DDS. It is not the 42 GWh MACSE portfolio.</x:v>
      </x:c>
    </x:row>
    <x:row r="474">
      <x:c r="A474" s="83" t="str">
        <x:v>S4-00470</x:v>
      </x:c>
      <x:c r="B474" s="83" t="str">
        <x:v>IT2040_GRID_DELAY</x:v>
      </x:c>
      <x:c r="C474" s="83" t="n">
        <x:v>2040</x:v>
      </x:c>
      <x:c r="D474" s="83" t="str">
        <x:v>Storage power</x:v>
      </x:c>
      <x:c r="E474" s="83" t="str">
        <x:v>IT_CALA</x:v>
      </x:c>
      <x:c r="F474" s="83" t="str">
        <x:v>CALA</x:v>
      </x:c>
      <x:c r="G474" s="83" t="str">
        <x:v>CM</x:v>
      </x:c>
      <x:c r="H474" s="83" t="str">
        <x:v>Capacity Market battery power</x:v>
      </x:c>
      <x:c r="I474" s="83" t="str">
        <x:v>battery</x:v>
      </x:c>
      <x:c r="J474" s="83" t="str">
        <x:v>Link</x:v>
      </x:c>
      <x:c r="K474" s="83" t="str">
        <x:v>p_nom</x:v>
      </x:c>
      <x:c r="L474" s="279" t="n">
        <x:v>0</x:v>
      </x:c>
      <x:c r="M474" s="279" t="str">
        <x:v>GW</x:v>
      </x:c>
      <x:c r="N474" s="279" t="str">
        <x:f>IF(L474="","",IF(M474="GW",L474*1000,IF(M474="GWh",L474*1000,IF(M474="TWh",L474*1000000,L474))))</x:f>
      </x:c>
      <x:c r="O474" s="83" t="str">
        <x:f>IF(L474="","",IF(M474="GW","MW",IF(OR(M474="GWh",M474="TWh"),"MWh",M474)))</x:f>
      </x:c>
      <x:c r="P474" s="83" t="str"/>
      <x:c r="Q474" s="349"/>
      <x:c r="R474" s="349" t="str">
        <x:f>IF(L474="","",IF(Q474&lt;&gt;"",L474*Q474,IF(OR(ISNUMBER(SEARCH("EUR2025",M474&amp;"")),P474=2025,P474="2025"),L474,"")))</x:f>
      </x:c>
      <x:c r="S474" s="83" t="str">
        <x:v>C — Assumed</x:v>
      </x:c>
      <x:c r="T474" s="83" t="str">
        <x:v>Capacity Market energy divided by the approved 4-hour duration.</x:v>
      </x:c>
      <x:c r="U474" s="83" t="str">
        <x:v>S09 + TERNA_RAI2025 + USER_DECISION</x:v>
      </x:c>
      <x:c r="V474" s="83" t="str">
        <x:v>DDS Table 16; Terna RAI 2025 §2.1.4</x:v>
      </x:c>
      <x:c r="W474" s="120" t="str">
        <x:v>https://download.terna.it/terna/Rapporto_Adeguatezza_Italia_2025_8de802607202dd6.pdf</x:v>
      </x:c>
      <x:c r="X474" s="83" t="str">
        <x:v>C — Assumed</x:v>
      </x:c>
      <x:c r="Y474" s="83" t="str">
        <x:v>APPROVED 4h derivation</x:v>
      </x:c>
      <x:c r="Z474" s="83" t="str">
        <x:v>Ready after user approval</x:v>
      </x:c>
      <x:c r="AA474" s="83" t="str">
        <x:v>Capacity Market remains a separate 4h class; no MACSE reclassification.</x:v>
      </x:c>
    </x:row>
    <x:row r="475">
      <x:c r="A475" s="83" t="str">
        <x:v>S4-00471</x:v>
      </x:c>
      <x:c r="B475" s="83" t="str">
        <x:v>IT2040_GRID_DELAY</x:v>
      </x:c>
      <x:c r="C475" s="83" t="n">
        <x:v>2040</x:v>
      </x:c>
      <x:c r="D475" s="83" t="str">
        <x:v>Storage</x:v>
      </x:c>
      <x:c r="E475" s="83" t="str">
        <x:v>IT_SICI</x:v>
      </x:c>
      <x:c r="F475" s="83" t="str">
        <x:v>SICI</x:v>
      </x:c>
      <x:c r="G475" s="83" t="str">
        <x:v>Small Scale</x:v>
      </x:c>
      <x:c r="H475" s="83" t="str">
        <x:v>Small-scale 2h</x:v>
      </x:c>
      <x:c r="I475" s="83" t="str">
        <x:v>battery</x:v>
      </x:c>
      <x:c r="J475" s="83" t="str">
        <x:v>Store + Links</x:v>
      </x:c>
      <x:c r="K475" s="83" t="str">
        <x:v>e_nom</x:v>
      </x:c>
      <x:c r="L475" s="279" t="n">
        <x:v>0.7333333333333334</x:v>
      </x:c>
      <x:c r="M475" s="279" t="str">
        <x:v>GWh</x:v>
      </x:c>
      <x:c r="N475" s="279" t="n">
        <x:f>IF(L475="","",IF(M475="GW",L475*1000,IF(M475="GWh",L475*1000,IF(M475="TWh",L475*1000000,L475))))</x:f>
        <x:v>733.3333333333334</x:v>
      </x:c>
      <x:c r="O475" s="83" t="str">
        <x:f>IF(L475="","",IF(M475="GW","MW",IF(OR(M475="GWh",M475="TWh"),"MWh",M475)))</x:f>
        <x:v>MWh</x:v>
      </x:c>
      <x:c r="P475" s="83" t="str"/>
      <x:c r="Q475" s="349"/>
      <x:c r="R475" s="349" t="str">
        <x:f>IF(L475="","",IF(Q475&lt;&gt;"",L475*Q475,IF(OR(ISNUMBER(SEARCH("EUR2025",M475&amp;"")),P475=2025,P475="2025"),L475,"")))</x:f>
      </x:c>
      <x:c r="S475" s="83" t="str">
        <x:v>C — Distributed assumption</x:v>
      </x:c>
      <x:c r="T475" s="83" t="str">
        <x:v>Split direct zonal energy 67%/33% between 2h/4h classes; p_nom=e_nom/2.</x:v>
      </x:c>
      <x:c r="U475" s="83" t="str">
        <x:v>S09 / S01</x:v>
      </x:c>
      <x:c r="V475" s="83" t="str">
        <x:v>DDS Table 16; 2025 observed portfolio duration</x:v>
      </x:c>
      <x:c r="W475" s="120"/>
      <x:c r="X475" s="83" t="str">
        <x:v>C — Assumed split</x:v>
      </x:c>
      <x:c r="Y475" s="83" t="str">
        <x:v>Proposed</x:v>
      </x:c>
      <x:c r="Z475" s="83" t="str">
        <x:v>Ready after user approval</x:v>
      </x:c>
      <x:c r="AA475" s="83" t="str">
        <x:v>Duration 2h; share derived from observed aggregate duration near 2.4h.</x:v>
      </x:c>
    </x:row>
    <x:row r="476">
      <x:c r="A476" s="83" t="str">
        <x:v>S4-00472</x:v>
      </x:c>
      <x:c r="B476" s="83" t="str">
        <x:v>IT2040_GRID_DELAY</x:v>
      </x:c>
      <x:c r="C476" s="83" t="n">
        <x:v>2040</x:v>
      </x:c>
      <x:c r="D476" s="83" t="str">
        <x:v>Storage power</x:v>
      </x:c>
      <x:c r="E476" s="83" t="str">
        <x:v>IT_SICI</x:v>
      </x:c>
      <x:c r="F476" s="83" t="str">
        <x:v>SICI</x:v>
      </x:c>
      <x:c r="G476" s="83" t="str">
        <x:v>Small Scale</x:v>
      </x:c>
      <x:c r="H476" s="83" t="str">
        <x:v>Small-scale 2h power</x:v>
      </x:c>
      <x:c r="I476" s="83" t="str">
        <x:v>battery</x:v>
      </x:c>
      <x:c r="J476" s="83" t="str">
        <x:v>Link</x:v>
      </x:c>
      <x:c r="K476" s="83" t="str">
        <x:v>p_nom</x:v>
      </x:c>
      <x:c r="L476" s="279" t="n">
        <x:v>0.3666666666666667</x:v>
      </x:c>
      <x:c r="M476" s="279" t="str">
        <x:v>GW</x:v>
      </x:c>
      <x:c r="N476" s="279" t="n">
        <x:f>IF(L476="","",IF(M476="GW",L476*1000,IF(M476="GWh",L476*1000,IF(M476="TWh",L476*1000000,L476))))</x:f>
        <x:v>366.6666666666667</x:v>
      </x:c>
      <x:c r="O476" s="83" t="str">
        <x:f>IF(L476="","",IF(M476="GW","MW",IF(OR(M476="GWh",M476="TWh"),"MWh",M476)))</x:f>
        <x:v>MW</x:v>
      </x:c>
      <x:c r="P476" s="83" t="str"/>
      <x:c r="Q476" s="349"/>
      <x:c r="R476" s="349" t="str">
        <x:f>IF(L476="","",IF(Q476&lt;&gt;"",L476*Q476,IF(OR(ISNUMBER(SEARCH("EUR2025",M476&amp;"")),P476=2025,P476="2025"),L476,"")))</x:f>
      </x:c>
      <x:c r="S476" s="83" t="str">
        <x:v>C — Derived</x:v>
      </x:c>
      <x:c r="T476" s="83" t="str">
        <x:v>Energy / 2 h.</x:v>
      </x:c>
      <x:c r="U476" s="83" t="str">
        <x:v>S09 / S01</x:v>
      </x:c>
      <x:c r="V476" s="83" t="str">
        <x:v>DDS Table 16 + harmonisation</x:v>
      </x:c>
      <x:c r="W476" s="120"/>
      <x:c r="X476" s="83" t="str">
        <x:v>C — Derived</x:v>
      </x:c>
      <x:c r="Y476" s="83" t="str">
        <x:v>Proposed</x:v>
      </x:c>
      <x:c r="Z476" s="83" t="str">
        <x:v>Ready after user approval</x:v>
      </x:c>
      <x:c r="AA476" s="83"/>
    </x:row>
    <x:row r="477">
      <x:c r="A477" s="83" t="str">
        <x:v>S4-00473</x:v>
      </x:c>
      <x:c r="B477" s="83" t="str">
        <x:v>IT2040_GRID_DELAY</x:v>
      </x:c>
      <x:c r="C477" s="83" t="n">
        <x:v>2040</x:v>
      </x:c>
      <x:c r="D477" s="83" t="str">
        <x:v>Storage</x:v>
      </x:c>
      <x:c r="E477" s="83" t="str">
        <x:v>IT_SICI</x:v>
      </x:c>
      <x:c r="F477" s="83" t="str">
        <x:v>SICI</x:v>
      </x:c>
      <x:c r="G477" s="83" t="str">
        <x:v>Small Scale</x:v>
      </x:c>
      <x:c r="H477" s="83" t="str">
        <x:v>Small-scale 4h</x:v>
      </x:c>
      <x:c r="I477" s="83" t="str">
        <x:v>battery</x:v>
      </x:c>
      <x:c r="J477" s="83" t="str">
        <x:v>Store + Links</x:v>
      </x:c>
      <x:c r="K477" s="83" t="str">
        <x:v>e_nom</x:v>
      </x:c>
      <x:c r="L477" s="279" t="n">
        <x:v>0.3666666666666667</x:v>
      </x:c>
      <x:c r="M477" s="279" t="str">
        <x:v>GWh</x:v>
      </x:c>
      <x:c r="N477" s="279" t="n">
        <x:f>IF(L477="","",IF(M477="GW",L477*1000,IF(M477="GWh",L477*1000,IF(M477="TWh",L477*1000000,L477))))</x:f>
        <x:v>366.6666666666667</x:v>
      </x:c>
      <x:c r="O477" s="83" t="str">
        <x:f>IF(L477="","",IF(M477="GW","MW",IF(OR(M477="GWh",M477="TWh"),"MWh",M477)))</x:f>
        <x:v>MWh</x:v>
      </x:c>
      <x:c r="P477" s="83" t="str"/>
      <x:c r="Q477" s="349"/>
      <x:c r="R477" s="349" t="str">
        <x:f>IF(L477="","",IF(Q477&lt;&gt;"",L477*Q477,IF(OR(ISNUMBER(SEARCH("EUR2025",M477&amp;"")),P477=2025,P477="2025"),L477,"")))</x:f>
      </x:c>
      <x:c r="S477" s="83" t="str">
        <x:v>C — Distributed assumption</x:v>
      </x:c>
      <x:c r="T477" s="83" t="str">
        <x:v>Split direct zonal energy 67%/33% between 2h/4h classes; p_nom=e_nom/4.</x:v>
      </x:c>
      <x:c r="U477" s="83" t="str">
        <x:v>S09 / S01</x:v>
      </x:c>
      <x:c r="V477" s="83" t="str">
        <x:v>DDS Table 16; 2025 observed portfolio duration</x:v>
      </x:c>
      <x:c r="W477" s="120"/>
      <x:c r="X477" s="83" t="str">
        <x:v>C — Assumed split</x:v>
      </x:c>
      <x:c r="Y477" s="83" t="str">
        <x:v>Proposed</x:v>
      </x:c>
      <x:c r="Z477" s="83" t="str">
        <x:v>Ready after user approval</x:v>
      </x:c>
      <x:c r="AA477" s="83" t="str">
        <x:v>Duration 4h; share derived from observed aggregate duration near 2.4h.</x:v>
      </x:c>
    </x:row>
    <x:row r="478">
      <x:c r="A478" s="83" t="str">
        <x:v>S4-00474</x:v>
      </x:c>
      <x:c r="B478" s="83" t="str">
        <x:v>IT2040_GRID_DELAY</x:v>
      </x:c>
      <x:c r="C478" s="83" t="n">
        <x:v>2040</x:v>
      </x:c>
      <x:c r="D478" s="83" t="str">
        <x:v>Storage power</x:v>
      </x:c>
      <x:c r="E478" s="83" t="str">
        <x:v>IT_SICI</x:v>
      </x:c>
      <x:c r="F478" s="83" t="str">
        <x:v>SICI</x:v>
      </x:c>
      <x:c r="G478" s="83" t="str">
        <x:v>Small Scale</x:v>
      </x:c>
      <x:c r="H478" s="83" t="str">
        <x:v>Small-scale 4h power</x:v>
      </x:c>
      <x:c r="I478" s="83" t="str">
        <x:v>battery</x:v>
      </x:c>
      <x:c r="J478" s="83" t="str">
        <x:v>Link</x:v>
      </x:c>
      <x:c r="K478" s="83" t="str">
        <x:v>p_nom</x:v>
      </x:c>
      <x:c r="L478" s="279" t="n">
        <x:v>0.09166666666666667</x:v>
      </x:c>
      <x:c r="M478" s="279" t="str">
        <x:v>GW</x:v>
      </x:c>
      <x:c r="N478" s="279" t="n">
        <x:f>IF(L478="","",IF(M478="GW",L478*1000,IF(M478="GWh",L478*1000,IF(M478="TWh",L478*1000000,L478))))</x:f>
        <x:v>91.66666666666667</x:v>
      </x:c>
      <x:c r="O478" s="83" t="str">
        <x:f>IF(L478="","",IF(M478="GW","MW",IF(OR(M478="GWh",M478="TWh"),"MWh",M478)))</x:f>
        <x:v>MW</x:v>
      </x:c>
      <x:c r="P478" s="83" t="str"/>
      <x:c r="Q478" s="349"/>
      <x:c r="R478" s="349" t="str">
        <x:f>IF(L478="","",IF(Q478&lt;&gt;"",L478*Q478,IF(OR(ISNUMBER(SEARCH("EUR2025",M478&amp;"")),P478=2025,P478="2025"),L478,"")))</x:f>
      </x:c>
      <x:c r="S478" s="83" t="str">
        <x:v>C — Derived</x:v>
      </x:c>
      <x:c r="T478" s="83" t="str">
        <x:v>Energy / 4 h.</x:v>
      </x:c>
      <x:c r="U478" s="83" t="str">
        <x:v>S09 / S01</x:v>
      </x:c>
      <x:c r="V478" s="83" t="str">
        <x:v>DDS Table 16 + harmonisation</x:v>
      </x:c>
      <x:c r="W478" s="120"/>
      <x:c r="X478" s="83" t="str">
        <x:v>C — Derived</x:v>
      </x:c>
      <x:c r="Y478" s="83" t="str">
        <x:v>Proposed</x:v>
      </x:c>
      <x:c r="Z478" s="83" t="str">
        <x:v>Ready after user approval</x:v>
      </x:c>
      <x:c r="AA478" s="83"/>
    </x:row>
    <x:row r="479">
      <x:c r="A479" s="83" t="str">
        <x:v>S4-00475</x:v>
      </x:c>
      <x:c r="B479" s="83" t="str">
        <x:v>IT2040_GRID_DELAY</x:v>
      </x:c>
      <x:c r="C479" s="83" t="n">
        <x:v>2040</x:v>
      </x:c>
      <x:c r="D479" s="83" t="str">
        <x:v>Storage</x:v>
      </x:c>
      <x:c r="E479" s="83" t="str">
        <x:v>IT_SICI</x:v>
      </x:c>
      <x:c r="F479" s="83" t="str">
        <x:v>SICI</x:v>
      </x:c>
      <x:c r="G479" s="83" t="str">
        <x:v>Utility Scale incl. MACSE</x:v>
      </x:c>
      <x:c r="H479" s="83" t="str">
        <x:v>Battery utility 8h</x:v>
      </x:c>
      <x:c r="I479" s="83" t="str">
        <x:v>battery</x:v>
      </x:c>
      <x:c r="J479" s="83" t="str">
        <x:v>Store + Links</x:v>
      </x:c>
      <x:c r="K479" s="83" t="str">
        <x:v>e_nom</x:v>
      </x:c>
      <x:c r="L479" s="279" t="n">
        <x:v>36.1</x:v>
      </x:c>
      <x:c r="M479" s="279" t="str">
        <x:v>GWh</x:v>
      </x:c>
      <x:c r="N479" s="279" t="n">
        <x:f>IF(L479="","",IF(M479="GW",L479*1000,IF(M479="GWh",L479*1000,IF(M479="TWh",L479*1000000,L479))))</x:f>
        <x:v>36100</x:v>
      </x:c>
      <x:c r="O479" s="83" t="str">
        <x:f>IF(L479="","",IF(M479="GW","MW",IF(OR(M479="GWh",M479="TWh"),"MWh",M479)))</x:f>
        <x:v>MWh</x:v>
      </x:c>
      <x:c r="P479" s="83" t="str"/>
      <x:c r="Q479" s="349"/>
      <x:c r="R479" s="349" t="str">
        <x:f>IF(L479="","",IF(Q479&lt;&gt;"",L479*Q479,IF(OR(ISNUMBER(SEARCH("EUR2025",M479&amp;"")),P479=2025,P479="2025"),L479,"")))</x:f>
      </x:c>
      <x:c r="S479" s="83" t="str">
        <x:v>A/C — Direct total; procurement subset identified</x:v>
      </x:c>
      <x:c r="T479" s="83" t="str">
        <x:v>DDS utility-scale total retained. A 42 GWh MACSE procurement portfolio is identified inside this total and is not added again.</x:v>
      </x:c>
      <x:c r="U479" s="83" t="str">
        <x:v>S09 + TERNA_MACSE_2028 + TERNA_MACSE_2029 + USER_DECISION</x:v>
      </x:c>
      <x:c r="V479" s="83" t="str">
        <x:v>DDS Table 16; 10 GWh MACSE 2028; 16 GWh 2029; 32 GWh available across the next two auctions</x:v>
      </x:c>
      <x:c r="W479" s="120" t="str">
        <x:v>https://www.terna.it/it/media/comunicati-stampa/dettaglio/conclusa-prima-asta-macse; https://download.terna.it/terna/Fabbisogno_di_nuova_capacita_di_stoccaggio_al_2029_8debcba830a85f3.pdf</x:v>
      </x:c>
      <x:c r="X479" s="83" t="str">
        <x:v>B/C — 26 GWh official; final 16 GWh planning tranche revisable</x:v>
      </x:c>
      <x:c r="Y479" s="83" t="str">
        <x:v>APPROVED total with MACSE subset</x:v>
      </x:c>
      <x:c r="Z479" s="83" t="str">
        <x:v>Ready when profiles/base network are available</x:v>
      </x:c>
      <x:c r="AA479" s="83" t="str">
        <x:v>MACSE path: 10 + 16 + 16 = 42 GWh. The final 16 GWh is an explicit scenario assumption based on Terna's 32 GWh quantity for the next two auctions.</x:v>
      </x:c>
    </x:row>
    <x:row r="480">
      <x:c r="A480" s="83" t="str">
        <x:v>S4-00476</x:v>
      </x:c>
      <x:c r="B480" s="83" t="str">
        <x:v>IT2040_GRID_DELAY</x:v>
      </x:c>
      <x:c r="C480" s="83" t="n">
        <x:v>2040</x:v>
      </x:c>
      <x:c r="D480" s="83" t="str">
        <x:v>Storage power</x:v>
      </x:c>
      <x:c r="E480" s="83" t="str">
        <x:v>IT_SICI</x:v>
      </x:c>
      <x:c r="F480" s="83" t="str">
        <x:v>SICI</x:v>
      </x:c>
      <x:c r="G480" s="83" t="str">
        <x:v>Utility Scale incl. MACSE</x:v>
      </x:c>
      <x:c r="H480" s="83" t="str">
        <x:v>Battery utility 8h power</x:v>
      </x:c>
      <x:c r="I480" s="83" t="str">
        <x:v>battery</x:v>
      </x:c>
      <x:c r="J480" s="83" t="str">
        <x:v>Link</x:v>
      </x:c>
      <x:c r="K480" s="83" t="str">
        <x:v>p_nom</x:v>
      </x:c>
      <x:c r="L480" s="279" t="n">
        <x:v>4.5125</x:v>
      </x:c>
      <x:c r="M480" s="279" t="str">
        <x:v>GW</x:v>
      </x:c>
      <x:c r="N480" s="279" t="n">
        <x:f>IF(L480="","",IF(M480="GW",L480*1000,IF(M480="GWh",L480*1000,IF(M480="TWh",L480*1000000,L480))))</x:f>
        <x:v>4512.5</x:v>
      </x:c>
      <x:c r="O480" s="83" t="str">
        <x:f>IF(L480="","",IF(M480="GW","MW",IF(OR(M480="GWh",M480="TWh"),"MWh",M480)))</x:f>
        <x:v>MW</x:v>
      </x:c>
      <x:c r="P480" s="83" t="str"/>
      <x:c r="Q480" s="349"/>
      <x:c r="R480" s="349" t="str">
        <x:f>IF(L480="","",IF(Q480&lt;&gt;"",L480*Q480,IF(OR(ISNUMBER(SEARCH("EUR2025",M480&amp;"")),P480=2025,P480="2025"),L480,"")))</x:f>
      </x:c>
      <x:c r="S480" s="83" t="str">
        <x:v>B — Derived</x:v>
      </x:c>
      <x:c r="T480" s="83" t="str">
        <x:v>e_nom / 8h.</x:v>
      </x:c>
      <x:c r="U480" s="83" t="str">
        <x:v>S09 + TERNA_MACSE + USER_DECISION</x:v>
      </x:c>
      <x:c r="V480" s="83" t="str">
        <x:v>Utility-scale 8h duration; MACSE subset 42 GWh / 5.25 GW</x:v>
      </x:c>
      <x:c r="W480" s="120" t="str">
        <x:v>https://www.terna.it/it/media/comunicati-stampa/dettaglio/conclusa-prima-asta-macse; https://download.terna.it/terna/Fabbisogno_di_nuova_capacita_di_stoccaggio_al_2029_8debcba830a85f3.pdf</x:v>
      </x:c>
      <x:c r="X480" s="83" t="str">
        <x:v>B — Derived</x:v>
      </x:c>
      <x:c r="Y480" s="83" t="str">
        <x:v>APPROVED total with MACSE subset</x:v>
      </x:c>
      <x:c r="Z480" s="83" t="str">
        <x:v>Ready when profiles/base network are available</x:v>
      </x:c>
      <x:c r="AA480" s="83" t="str">
        <x:v>The 42 GWh MACSE subset corresponds to 5.25 GW at 8h and remains embedded within total utility-scale power.</x:v>
      </x:c>
    </x:row>
    <x:row r="481">
      <x:c r="A481" s="83" t="str">
        <x:v>S4-00477</x:v>
      </x:c>
      <x:c r="B481" s="83" t="str">
        <x:v>IT2040_GRID_DELAY</x:v>
      </x:c>
      <x:c r="C481" s="83" t="n">
        <x:v>2040</x:v>
      </x:c>
      <x:c r="D481" s="83" t="str">
        <x:v>Storage</x:v>
      </x:c>
      <x:c r="E481" s="83" t="str">
        <x:v>IT_SICI</x:v>
      </x:c>
      <x:c r="F481" s="83" t="str">
        <x:v>SICI</x:v>
      </x:c>
      <x:c r="G481" s="83" t="str">
        <x:v>CM</x:v>
      </x:c>
      <x:c r="H481" s="83" t="str">
        <x:v>Capacity Market battery</x:v>
      </x:c>
      <x:c r="I481" s="83" t="str">
        <x:v>battery</x:v>
      </x:c>
      <x:c r="J481" s="83" t="str">
        <x:v>Store + Links</x:v>
      </x:c>
      <x:c r="K481" s="83" t="str">
        <x:v>e_nom</x:v>
      </x:c>
      <x:c r="L481" s="279" t="n">
        <x:v>0</x:v>
      </x:c>
      <x:c r="M481" s="279" t="str">
        <x:v>GWh</x:v>
      </x:c>
      <x:c r="N481" s="279" t="str">
        <x:f>IF(L481="","",IF(M481="GW",L481*1000,IF(M481="GWh",L481*1000,IF(M481="TWh",L481*1000000,L481))))</x:f>
      </x:c>
      <x:c r="O481" s="83" t="str">
        <x:f>IF(L481="","",IF(M481="GW","MW",IF(OR(M481="GWh",M481="TWh"),"MWh",M481)))</x:f>
      </x:c>
      <x:c r="P481" s="83" t="str"/>
      <x:c r="Q481" s="349"/>
      <x:c r="R481" s="349" t="str">
        <x:f>IF(L481="","",IF(Q481&lt;&gt;"",L481*Q481,IF(OR(ISNUMBER(SEARCH("EUR2025",M481&amp;"")),P481=2025,P481="2025"),L481,"")))</x:f>
      </x:c>
      <x:c r="S481" s="83" t="str">
        <x:v>A — Direct</x:v>
      </x:c>
      <x:c r="T481" s="83" t="str">
        <x:v>Direct zonal energy; duration harmonised separately.</x:v>
      </x:c>
      <x:c r="U481" s="83" t="str">
        <x:v>S09</x:v>
      </x:c>
      <x:c r="V481" s="83" t="str">
        <x:v>DDS Tabella 16</x:v>
      </x:c>
      <x:c r="W481" s="120"/>
      <x:c r="X481" s="83" t="str">
        <x:v>A — Direct</x:v>
      </x:c>
      <x:c r="Y481" s="83" t="str">
        <x:v>APPROVED direct energy; separate from MACSE</x:v>
      </x:c>
      <x:c r="Z481" s="83" t="str">
        <x:v>Ready when profiles/base network are available</x:v>
      </x:c>
      <x:c r="AA481" s="83" t="str">
        <x:v>Capacity Market energy retained from DDS. It is not the 42 GWh MACSE portfolio.</x:v>
      </x:c>
    </x:row>
    <x:row r="482">
      <x:c r="A482" s="83" t="str">
        <x:v>S4-00478</x:v>
      </x:c>
      <x:c r="B482" s="83" t="str">
        <x:v>IT2040_GRID_DELAY</x:v>
      </x:c>
      <x:c r="C482" s="83" t="n">
        <x:v>2040</x:v>
      </x:c>
      <x:c r="D482" s="83" t="str">
        <x:v>Storage power</x:v>
      </x:c>
      <x:c r="E482" s="83" t="str">
        <x:v>IT_SICI</x:v>
      </x:c>
      <x:c r="F482" s="83" t="str">
        <x:v>SICI</x:v>
      </x:c>
      <x:c r="G482" s="83" t="str">
        <x:v>CM</x:v>
      </x:c>
      <x:c r="H482" s="83" t="str">
        <x:v>Capacity Market battery power</x:v>
      </x:c>
      <x:c r="I482" s="83" t="str">
        <x:v>battery</x:v>
      </x:c>
      <x:c r="J482" s="83" t="str">
        <x:v>Link</x:v>
      </x:c>
      <x:c r="K482" s="83" t="str">
        <x:v>p_nom</x:v>
      </x:c>
      <x:c r="L482" s="279" t="n">
        <x:v>0</x:v>
      </x:c>
      <x:c r="M482" s="279" t="str">
        <x:v>GW</x:v>
      </x:c>
      <x:c r="N482" s="279" t="str">
        <x:f>IF(L482="","",IF(M482="GW",L482*1000,IF(M482="GWh",L482*1000,IF(M482="TWh",L482*1000000,L482))))</x:f>
      </x:c>
      <x:c r="O482" s="83" t="str">
        <x:f>IF(L482="","",IF(M482="GW","MW",IF(OR(M482="GWh",M482="TWh"),"MWh",M482)))</x:f>
      </x:c>
      <x:c r="P482" s="83" t="str"/>
      <x:c r="Q482" s="349"/>
      <x:c r="R482" s="349" t="str">
        <x:f>IF(L482="","",IF(Q482&lt;&gt;"",L482*Q482,IF(OR(ISNUMBER(SEARCH("EUR2025",M482&amp;"")),P482=2025,P482="2025"),L482,"")))</x:f>
      </x:c>
      <x:c r="S482" s="83" t="str">
        <x:v>C — Assumed</x:v>
      </x:c>
      <x:c r="T482" s="83" t="str">
        <x:v>Capacity Market energy divided by the approved 4-hour duration.</x:v>
      </x:c>
      <x:c r="U482" s="83" t="str">
        <x:v>S09 + TERNA_RAI2025 + USER_DECISION</x:v>
      </x:c>
      <x:c r="V482" s="83" t="str">
        <x:v>DDS Table 16; Terna RAI 2025 §2.1.4</x:v>
      </x:c>
      <x:c r="W482" s="120" t="str">
        <x:v>https://download.terna.it/terna/Rapporto_Adeguatezza_Italia_2025_8de802607202dd6.pdf</x:v>
      </x:c>
      <x:c r="X482" s="83" t="str">
        <x:v>C — Assumed</x:v>
      </x:c>
      <x:c r="Y482" s="83" t="str">
        <x:v>APPROVED 4h derivation</x:v>
      </x:c>
      <x:c r="Z482" s="83" t="str">
        <x:v>Ready after user approval</x:v>
      </x:c>
      <x:c r="AA482" s="83" t="str">
        <x:v>Capacity Market remains a separate 4h class; no MACSE reclassification.</x:v>
      </x:c>
    </x:row>
    <x:row r="483">
      <x:c r="A483" s="83" t="str">
        <x:v>S4-00479</x:v>
      </x:c>
      <x:c r="B483" s="83" t="str">
        <x:v>IT2040_GRID_DELAY</x:v>
      </x:c>
      <x:c r="C483" s="83" t="n">
        <x:v>2040</x:v>
      </x:c>
      <x:c r="D483" s="83" t="str">
        <x:v>Storage</x:v>
      </x:c>
      <x:c r="E483" s="83" t="str">
        <x:v>IT_SARD</x:v>
      </x:c>
      <x:c r="F483" s="83" t="str">
        <x:v>SARD</x:v>
      </x:c>
      <x:c r="G483" s="83" t="str">
        <x:v>Small Scale</x:v>
      </x:c>
      <x:c r="H483" s="83" t="str">
        <x:v>Small-scale 2h</x:v>
      </x:c>
      <x:c r="I483" s="83" t="str">
        <x:v>battery</x:v>
      </x:c>
      <x:c r="J483" s="83" t="str">
        <x:v>Store + Links</x:v>
      </x:c>
      <x:c r="K483" s="83" t="str">
        <x:v>e_nom</x:v>
      </x:c>
      <x:c r="L483" s="279" t="n">
        <x:v>0.39999999999999997</x:v>
      </x:c>
      <x:c r="M483" s="279" t="str">
        <x:v>GWh</x:v>
      </x:c>
      <x:c r="N483" s="279" t="n">
        <x:f>IF(L483="","",IF(M483="GW",L483*1000,IF(M483="GWh",L483*1000,IF(M483="TWh",L483*1000000,L483))))</x:f>
        <x:v>399.99999999999994</x:v>
      </x:c>
      <x:c r="O483" s="83" t="str">
        <x:f>IF(L483="","",IF(M483="GW","MW",IF(OR(M483="GWh",M483="TWh"),"MWh",M483)))</x:f>
        <x:v>MWh</x:v>
      </x:c>
      <x:c r="P483" s="83" t="str"/>
      <x:c r="Q483" s="349"/>
      <x:c r="R483" s="349" t="str">
        <x:f>IF(L483="","",IF(Q483&lt;&gt;"",L483*Q483,IF(OR(ISNUMBER(SEARCH("EUR2025",M483&amp;"")),P483=2025,P483="2025"),L483,"")))</x:f>
      </x:c>
      <x:c r="S483" s="83" t="str">
        <x:v>C — Distributed assumption</x:v>
      </x:c>
      <x:c r="T483" s="83" t="str">
        <x:v>Split direct zonal energy 67%/33% between 2h/4h classes; p_nom=e_nom/2.</x:v>
      </x:c>
      <x:c r="U483" s="83" t="str">
        <x:v>S09 / S01</x:v>
      </x:c>
      <x:c r="V483" s="83" t="str">
        <x:v>DDS Table 16; 2025 observed portfolio duration</x:v>
      </x:c>
      <x:c r="W483" s="120"/>
      <x:c r="X483" s="83" t="str">
        <x:v>C — Assumed split</x:v>
      </x:c>
      <x:c r="Y483" s="83" t="str">
        <x:v>Proposed</x:v>
      </x:c>
      <x:c r="Z483" s="83" t="str">
        <x:v>Ready after user approval</x:v>
      </x:c>
      <x:c r="AA483" s="83" t="str">
        <x:v>Duration 2h; share derived from observed aggregate duration near 2.4h.</x:v>
      </x:c>
    </x:row>
    <x:row r="484">
      <x:c r="A484" s="83" t="str">
        <x:v>S4-00480</x:v>
      </x:c>
      <x:c r="B484" s="83" t="str">
        <x:v>IT2040_GRID_DELAY</x:v>
      </x:c>
      <x:c r="C484" s="83" t="n">
        <x:v>2040</x:v>
      </x:c>
      <x:c r="D484" s="83" t="str">
        <x:v>Storage power</x:v>
      </x:c>
      <x:c r="E484" s="83" t="str">
        <x:v>IT_SARD</x:v>
      </x:c>
      <x:c r="F484" s="83" t="str">
        <x:v>SARD</x:v>
      </x:c>
      <x:c r="G484" s="83" t="str">
        <x:v>Small Scale</x:v>
      </x:c>
      <x:c r="H484" s="83" t="str">
        <x:v>Small-scale 2h power</x:v>
      </x:c>
      <x:c r="I484" s="83" t="str">
        <x:v>battery</x:v>
      </x:c>
      <x:c r="J484" s="83" t="str">
        <x:v>Link</x:v>
      </x:c>
      <x:c r="K484" s="83" t="str">
        <x:v>p_nom</x:v>
      </x:c>
      <x:c r="L484" s="279" t="n">
        <x:v>0.19999999999999998</x:v>
      </x:c>
      <x:c r="M484" s="279" t="str">
        <x:v>GW</x:v>
      </x:c>
      <x:c r="N484" s="279" t="n">
        <x:f>IF(L484="","",IF(M484="GW",L484*1000,IF(M484="GWh",L484*1000,IF(M484="TWh",L484*1000000,L484))))</x:f>
        <x:v>199.99999999999997</x:v>
      </x:c>
      <x:c r="O484" s="83" t="str">
        <x:f>IF(L484="","",IF(M484="GW","MW",IF(OR(M484="GWh",M484="TWh"),"MWh",M484)))</x:f>
        <x:v>MW</x:v>
      </x:c>
      <x:c r="P484" s="83" t="str"/>
      <x:c r="Q484" s="349"/>
      <x:c r="R484" s="349" t="str">
        <x:f>IF(L484="","",IF(Q484&lt;&gt;"",L484*Q484,IF(OR(ISNUMBER(SEARCH("EUR2025",M484&amp;"")),P484=2025,P484="2025"),L484,"")))</x:f>
      </x:c>
      <x:c r="S484" s="83" t="str">
        <x:v>C — Derived</x:v>
      </x:c>
      <x:c r="T484" s="83" t="str">
        <x:v>Energy / 2 h.</x:v>
      </x:c>
      <x:c r="U484" s="83" t="str">
        <x:v>S09 / S01</x:v>
      </x:c>
      <x:c r="V484" s="83" t="str">
        <x:v>DDS Table 16 + harmonisation</x:v>
      </x:c>
      <x:c r="W484" s="120"/>
      <x:c r="X484" s="83" t="str">
        <x:v>C — Derived</x:v>
      </x:c>
      <x:c r="Y484" s="83" t="str">
        <x:v>Proposed</x:v>
      </x:c>
      <x:c r="Z484" s="83" t="str">
        <x:v>Ready after user approval</x:v>
      </x:c>
      <x:c r="AA484" s="83"/>
    </x:row>
    <x:row r="485">
      <x:c r="A485" s="83" t="str">
        <x:v>S4-00481</x:v>
      </x:c>
      <x:c r="B485" s="83" t="str">
        <x:v>IT2040_GRID_DELAY</x:v>
      </x:c>
      <x:c r="C485" s="83" t="n">
        <x:v>2040</x:v>
      </x:c>
      <x:c r="D485" s="83" t="str">
        <x:v>Storage</x:v>
      </x:c>
      <x:c r="E485" s="83" t="str">
        <x:v>IT_SARD</x:v>
      </x:c>
      <x:c r="F485" s="83" t="str">
        <x:v>SARD</x:v>
      </x:c>
      <x:c r="G485" s="83" t="str">
        <x:v>Small Scale</x:v>
      </x:c>
      <x:c r="H485" s="83" t="str">
        <x:v>Small-scale 4h</x:v>
      </x:c>
      <x:c r="I485" s="83" t="str">
        <x:v>battery</x:v>
      </x:c>
      <x:c r="J485" s="83" t="str">
        <x:v>Store + Links</x:v>
      </x:c>
      <x:c r="K485" s="83" t="str">
        <x:v>e_nom</x:v>
      </x:c>
      <x:c r="L485" s="279" t="n">
        <x:v>0.19999999999999998</x:v>
      </x:c>
      <x:c r="M485" s="279" t="str">
        <x:v>GWh</x:v>
      </x:c>
      <x:c r="N485" s="279" t="n">
        <x:f>IF(L485="","",IF(M485="GW",L485*1000,IF(M485="GWh",L485*1000,IF(M485="TWh",L485*1000000,L485))))</x:f>
        <x:v>199.99999999999997</x:v>
      </x:c>
      <x:c r="O485" s="83" t="str">
        <x:f>IF(L485="","",IF(M485="GW","MW",IF(OR(M485="GWh",M485="TWh"),"MWh",M485)))</x:f>
        <x:v>MWh</x:v>
      </x:c>
      <x:c r="P485" s="83" t="str"/>
      <x:c r="Q485" s="349"/>
      <x:c r="R485" s="349" t="str">
        <x:f>IF(L485="","",IF(Q485&lt;&gt;"",L485*Q485,IF(OR(ISNUMBER(SEARCH("EUR2025",M485&amp;"")),P485=2025,P485="2025"),L485,"")))</x:f>
      </x:c>
      <x:c r="S485" s="83" t="str">
        <x:v>C — Distributed assumption</x:v>
      </x:c>
      <x:c r="T485" s="83" t="str">
        <x:v>Split direct zonal energy 67%/33% between 2h/4h classes; p_nom=e_nom/4.</x:v>
      </x:c>
      <x:c r="U485" s="83" t="str">
        <x:v>S09 / S01</x:v>
      </x:c>
      <x:c r="V485" s="83" t="str">
        <x:v>DDS Table 16; 2025 observed portfolio duration</x:v>
      </x:c>
      <x:c r="W485" s="120"/>
      <x:c r="X485" s="83" t="str">
        <x:v>C — Assumed split</x:v>
      </x:c>
      <x:c r="Y485" s="83" t="str">
        <x:v>Proposed</x:v>
      </x:c>
      <x:c r="Z485" s="83" t="str">
        <x:v>Ready after user approval</x:v>
      </x:c>
      <x:c r="AA485" s="83" t="str">
        <x:v>Duration 4h; share derived from observed aggregate duration near 2.4h.</x:v>
      </x:c>
    </x:row>
    <x:row r="486">
      <x:c r="A486" s="83" t="str">
        <x:v>S4-00482</x:v>
      </x:c>
      <x:c r="B486" s="83" t="str">
        <x:v>IT2040_GRID_DELAY</x:v>
      </x:c>
      <x:c r="C486" s="83" t="n">
        <x:v>2040</x:v>
      </x:c>
      <x:c r="D486" s="83" t="str">
        <x:v>Storage power</x:v>
      </x:c>
      <x:c r="E486" s="83" t="str">
        <x:v>IT_SARD</x:v>
      </x:c>
      <x:c r="F486" s="83" t="str">
        <x:v>SARD</x:v>
      </x:c>
      <x:c r="G486" s="83" t="str">
        <x:v>Small Scale</x:v>
      </x:c>
      <x:c r="H486" s="83" t="str">
        <x:v>Small-scale 4h power</x:v>
      </x:c>
      <x:c r="I486" s="83" t="str">
        <x:v>battery</x:v>
      </x:c>
      <x:c r="J486" s="83" t="str">
        <x:v>Link</x:v>
      </x:c>
      <x:c r="K486" s="83" t="str">
        <x:v>p_nom</x:v>
      </x:c>
      <x:c r="L486" s="279" t="n">
        <x:v>0.049999999999999996</x:v>
      </x:c>
      <x:c r="M486" s="279" t="str">
        <x:v>GW</x:v>
      </x:c>
      <x:c r="N486" s="279" t="n">
        <x:f>IF(L486="","",IF(M486="GW",L486*1000,IF(M486="GWh",L486*1000,IF(M486="TWh",L486*1000000,L486))))</x:f>
        <x:v>49.99999999999999</x:v>
      </x:c>
      <x:c r="O486" s="83" t="str">
        <x:f>IF(L486="","",IF(M486="GW","MW",IF(OR(M486="GWh",M486="TWh"),"MWh",M486)))</x:f>
        <x:v>MW</x:v>
      </x:c>
      <x:c r="P486" s="83" t="str"/>
      <x:c r="Q486" s="349"/>
      <x:c r="R486" s="349" t="str">
        <x:f>IF(L486="","",IF(Q486&lt;&gt;"",L486*Q486,IF(OR(ISNUMBER(SEARCH("EUR2025",M486&amp;"")),P486=2025,P486="2025"),L486,"")))</x:f>
      </x:c>
      <x:c r="S486" s="83" t="str">
        <x:v>C — Derived</x:v>
      </x:c>
      <x:c r="T486" s="83" t="str">
        <x:v>Energy / 4 h.</x:v>
      </x:c>
      <x:c r="U486" s="83" t="str">
        <x:v>S09 / S01</x:v>
      </x:c>
      <x:c r="V486" s="83" t="str">
        <x:v>DDS Table 16 + harmonisation</x:v>
      </x:c>
      <x:c r="W486" s="120"/>
      <x:c r="X486" s="83" t="str">
        <x:v>C — Derived</x:v>
      </x:c>
      <x:c r="Y486" s="83" t="str">
        <x:v>Proposed</x:v>
      </x:c>
      <x:c r="Z486" s="83" t="str">
        <x:v>Ready after user approval</x:v>
      </x:c>
      <x:c r="AA486" s="83"/>
    </x:row>
    <x:row r="487">
      <x:c r="A487" s="83" t="str">
        <x:v>S4-00483</x:v>
      </x:c>
      <x:c r="B487" s="83" t="str">
        <x:v>IT2040_GRID_DELAY</x:v>
      </x:c>
      <x:c r="C487" s="83" t="n">
        <x:v>2040</x:v>
      </x:c>
      <x:c r="D487" s="83" t="str">
        <x:v>Storage</x:v>
      </x:c>
      <x:c r="E487" s="83" t="str">
        <x:v>IT_SARD</x:v>
      </x:c>
      <x:c r="F487" s="83" t="str">
        <x:v>SARD</x:v>
      </x:c>
      <x:c r="G487" s="83" t="str">
        <x:v>Utility Scale incl. MACSE</x:v>
      </x:c>
      <x:c r="H487" s="83" t="str">
        <x:v>Battery utility 8h</x:v>
      </x:c>
      <x:c r="I487" s="83" t="str">
        <x:v>battery</x:v>
      </x:c>
      <x:c r="J487" s="83" t="str">
        <x:v>Store + Links</x:v>
      </x:c>
      <x:c r="K487" s="83" t="str">
        <x:v>e_nom</x:v>
      </x:c>
      <x:c r="L487" s="279" t="n">
        <x:v>20.3</x:v>
      </x:c>
      <x:c r="M487" s="279" t="str">
        <x:v>GWh</x:v>
      </x:c>
      <x:c r="N487" s="279" t="n">
        <x:f>IF(L487="","",IF(M487="GW",L487*1000,IF(M487="GWh",L487*1000,IF(M487="TWh",L487*1000000,L487))))</x:f>
        <x:v>20300</x:v>
      </x:c>
      <x:c r="O487" s="83" t="str">
        <x:f>IF(L487="","",IF(M487="GW","MW",IF(OR(M487="GWh",M487="TWh"),"MWh",M487)))</x:f>
        <x:v>MWh</x:v>
      </x:c>
      <x:c r="P487" s="83" t="str"/>
      <x:c r="Q487" s="349"/>
      <x:c r="R487" s="349" t="str">
        <x:f>IF(L487="","",IF(Q487&lt;&gt;"",L487*Q487,IF(OR(ISNUMBER(SEARCH("EUR2025",M487&amp;"")),P487=2025,P487="2025"),L487,"")))</x:f>
      </x:c>
      <x:c r="S487" s="83" t="str">
        <x:v>A/C — Direct total; procurement subset identified</x:v>
      </x:c>
      <x:c r="T487" s="83" t="str">
        <x:v>DDS utility-scale total retained. A 42 GWh MACSE procurement portfolio is identified inside this total and is not added again.</x:v>
      </x:c>
      <x:c r="U487" s="83" t="str">
        <x:v>S09 + TERNA_MACSE_2028 + TERNA_MACSE_2029 + USER_DECISION</x:v>
      </x:c>
      <x:c r="V487" s="83" t="str">
        <x:v>DDS Table 16; 10 GWh MACSE 2028; 16 GWh 2029; 32 GWh available across the next two auctions</x:v>
      </x:c>
      <x:c r="W487" s="120" t="str">
        <x:v>https://www.terna.it/it/media/comunicati-stampa/dettaglio/conclusa-prima-asta-macse; https://download.terna.it/terna/Fabbisogno_di_nuova_capacita_di_stoccaggio_al_2029_8debcba830a85f3.pdf</x:v>
      </x:c>
      <x:c r="X487" s="83" t="str">
        <x:v>B/C — 26 GWh official; final 16 GWh planning tranche revisable</x:v>
      </x:c>
      <x:c r="Y487" s="83" t="str">
        <x:v>APPROVED total with MACSE subset</x:v>
      </x:c>
      <x:c r="Z487" s="83" t="str">
        <x:v>Ready when profiles/base network are available</x:v>
      </x:c>
      <x:c r="AA487" s="83" t="str">
        <x:v>MACSE path: 10 + 16 + 16 = 42 GWh. The final 16 GWh is an explicit scenario assumption based on Terna's 32 GWh quantity for the next two auctions.</x:v>
      </x:c>
    </x:row>
    <x:row r="488">
      <x:c r="A488" s="83" t="str">
        <x:v>S4-00484</x:v>
      </x:c>
      <x:c r="B488" s="83" t="str">
        <x:v>IT2040_GRID_DELAY</x:v>
      </x:c>
      <x:c r="C488" s="83" t="n">
        <x:v>2040</x:v>
      </x:c>
      <x:c r="D488" s="83" t="str">
        <x:v>Storage power</x:v>
      </x:c>
      <x:c r="E488" s="83" t="str">
        <x:v>IT_SARD</x:v>
      </x:c>
      <x:c r="F488" s="83" t="str">
        <x:v>SARD</x:v>
      </x:c>
      <x:c r="G488" s="83" t="str">
        <x:v>Utility Scale incl. MACSE</x:v>
      </x:c>
      <x:c r="H488" s="83" t="str">
        <x:v>Battery utility 8h power</x:v>
      </x:c>
      <x:c r="I488" s="83" t="str">
        <x:v>battery</x:v>
      </x:c>
      <x:c r="J488" s="83" t="str">
        <x:v>Link</x:v>
      </x:c>
      <x:c r="K488" s="83" t="str">
        <x:v>p_nom</x:v>
      </x:c>
      <x:c r="L488" s="279" t="n">
        <x:v>2.5375</x:v>
      </x:c>
      <x:c r="M488" s="279" t="str">
        <x:v>GW</x:v>
      </x:c>
      <x:c r="N488" s="279" t="n">
        <x:f>IF(L488="","",IF(M488="GW",L488*1000,IF(M488="GWh",L488*1000,IF(M488="TWh",L488*1000000,L488))))</x:f>
        <x:v>2537.5</x:v>
      </x:c>
      <x:c r="O488" s="83" t="str">
        <x:f>IF(L488="","",IF(M488="GW","MW",IF(OR(M488="GWh",M488="TWh"),"MWh",M488)))</x:f>
        <x:v>MW</x:v>
      </x:c>
      <x:c r="P488" s="83" t="str"/>
      <x:c r="Q488" s="349"/>
      <x:c r="R488" s="349" t="str">
        <x:f>IF(L488="","",IF(Q488&lt;&gt;"",L488*Q488,IF(OR(ISNUMBER(SEARCH("EUR2025",M488&amp;"")),P488=2025,P488="2025"),L488,"")))</x:f>
      </x:c>
      <x:c r="S488" s="83" t="str">
        <x:v>B — Derived</x:v>
      </x:c>
      <x:c r="T488" s="83" t="str">
        <x:v>e_nom / 8h.</x:v>
      </x:c>
      <x:c r="U488" s="83" t="str">
        <x:v>S09 + TERNA_MACSE + USER_DECISION</x:v>
      </x:c>
      <x:c r="V488" s="83" t="str">
        <x:v>Utility-scale 8h duration; MACSE subset 42 GWh / 5.25 GW</x:v>
      </x:c>
      <x:c r="W488" s="120" t="str">
        <x:v>https://www.terna.it/it/media/comunicati-stampa/dettaglio/conclusa-prima-asta-macse; https://download.terna.it/terna/Fabbisogno_di_nuova_capacita_di_stoccaggio_al_2029_8debcba830a85f3.pdf</x:v>
      </x:c>
      <x:c r="X488" s="83" t="str">
        <x:v>B — Derived</x:v>
      </x:c>
      <x:c r="Y488" s="83" t="str">
        <x:v>APPROVED total with MACSE subset</x:v>
      </x:c>
      <x:c r="Z488" s="83" t="str">
        <x:v>Ready when profiles/base network are available</x:v>
      </x:c>
      <x:c r="AA488" s="83" t="str">
        <x:v>The 42 GWh MACSE subset corresponds to 5.25 GW at 8h and remains embedded within total utility-scale power.</x:v>
      </x:c>
    </x:row>
    <x:row r="489">
      <x:c r="A489" s="83" t="str">
        <x:v>S4-00485</x:v>
      </x:c>
      <x:c r="B489" s="83" t="str">
        <x:v>IT2040_GRID_DELAY</x:v>
      </x:c>
      <x:c r="C489" s="83" t="n">
        <x:v>2040</x:v>
      </x:c>
      <x:c r="D489" s="83" t="str">
        <x:v>Storage</x:v>
      </x:c>
      <x:c r="E489" s="83" t="str">
        <x:v>IT_SARD</x:v>
      </x:c>
      <x:c r="F489" s="83" t="str">
        <x:v>SARD</x:v>
      </x:c>
      <x:c r="G489" s="83" t="str">
        <x:v>CM</x:v>
      </x:c>
      <x:c r="H489" s="83" t="str">
        <x:v>Capacity Market battery</x:v>
      </x:c>
      <x:c r="I489" s="83" t="str">
        <x:v>battery</x:v>
      </x:c>
      <x:c r="J489" s="83" t="str">
        <x:v>Store + Links</x:v>
      </x:c>
      <x:c r="K489" s="83" t="str">
        <x:v>e_nom</x:v>
      </x:c>
      <x:c r="L489" s="279" t="n">
        <x:v>3.2</x:v>
      </x:c>
      <x:c r="M489" s="279" t="str">
        <x:v>GWh</x:v>
      </x:c>
      <x:c r="N489" s="279" t="n">
        <x:f>IF(L489="","",IF(M489="GW",L489*1000,IF(M489="GWh",L489*1000,IF(M489="TWh",L489*1000000,L489))))</x:f>
        <x:v>3200</x:v>
      </x:c>
      <x:c r="O489" s="83" t="str">
        <x:f>IF(L489="","",IF(M489="GW","MW",IF(OR(M489="GWh",M489="TWh"),"MWh",M489)))</x:f>
        <x:v>MWh</x:v>
      </x:c>
      <x:c r="P489" s="83" t="str"/>
      <x:c r="Q489" s="349"/>
      <x:c r="R489" s="349" t="str">
        <x:f>IF(L489="","",IF(Q489&lt;&gt;"",L489*Q489,IF(OR(ISNUMBER(SEARCH("EUR2025",M489&amp;"")),P489=2025,P489="2025"),L489,"")))</x:f>
      </x:c>
      <x:c r="S489" s="83" t="str">
        <x:v>A — Direct</x:v>
      </x:c>
      <x:c r="T489" s="83" t="str">
        <x:v>Direct zonal energy; duration harmonised separately.</x:v>
      </x:c>
      <x:c r="U489" s="83" t="str">
        <x:v>S09</x:v>
      </x:c>
      <x:c r="V489" s="83" t="str">
        <x:v>DDS Tabella 16</x:v>
      </x:c>
      <x:c r="W489" s="120"/>
      <x:c r="X489" s="83" t="str">
        <x:v>A — Direct</x:v>
      </x:c>
      <x:c r="Y489" s="83" t="str">
        <x:v>APPROVED direct energy; separate from MACSE</x:v>
      </x:c>
      <x:c r="Z489" s="83" t="str">
        <x:v>Ready when profiles/base network are available</x:v>
      </x:c>
      <x:c r="AA489" s="83" t="str">
        <x:v>Capacity Market energy retained from DDS. It is not the 42 GWh MACSE portfolio.</x:v>
      </x:c>
    </x:row>
    <x:row r="490">
      <x:c r="A490" s="83" t="str">
        <x:v>S4-00486</x:v>
      </x:c>
      <x:c r="B490" s="83" t="str">
        <x:v>IT2040_GRID_DELAY</x:v>
      </x:c>
      <x:c r="C490" s="83" t="n">
        <x:v>2040</x:v>
      </x:c>
      <x:c r="D490" s="83" t="str">
        <x:v>Storage power</x:v>
      </x:c>
      <x:c r="E490" s="83" t="str">
        <x:v>IT_SARD</x:v>
      </x:c>
      <x:c r="F490" s="83" t="str">
        <x:v>SARD</x:v>
      </x:c>
      <x:c r="G490" s="83" t="str">
        <x:v>CM</x:v>
      </x:c>
      <x:c r="H490" s="83" t="str">
        <x:v>Capacity Market battery power</x:v>
      </x:c>
      <x:c r="I490" s="83" t="str">
        <x:v>battery</x:v>
      </x:c>
      <x:c r="J490" s="83" t="str">
        <x:v>Link</x:v>
      </x:c>
      <x:c r="K490" s="83" t="str">
        <x:v>p_nom</x:v>
      </x:c>
      <x:c r="L490" s="279" t="n">
        <x:v>0.8</x:v>
      </x:c>
      <x:c r="M490" s="279" t="str">
        <x:v>GW</x:v>
      </x:c>
      <x:c r="N490" s="279" t="n">
        <x:f>IF(L490="","",IF(M490="GW",L490*1000,IF(M490="GWh",L490*1000,IF(M490="TWh",L490*1000000,L490))))</x:f>
        <x:v>800</x:v>
      </x:c>
      <x:c r="O490" s="83" t="str">
        <x:f>IF(L490="","",IF(M490="GW","MW",IF(OR(M490="GWh",M490="TWh"),"MWh",M490)))</x:f>
        <x:v>MW</x:v>
      </x:c>
      <x:c r="P490" s="83" t="str"/>
      <x:c r="Q490" s="349"/>
      <x:c r="R490" s="349" t="str">
        <x:f>IF(L490="","",IF(Q490&lt;&gt;"",L490*Q490,IF(OR(ISNUMBER(SEARCH("EUR2025",M490&amp;"")),P490=2025,P490="2025"),L490,"")))</x:f>
      </x:c>
      <x:c r="S490" s="83" t="str">
        <x:v>C — Assumed</x:v>
      </x:c>
      <x:c r="T490" s="83" t="str">
        <x:v>Capacity Market energy divided by the approved 4-hour duration.</x:v>
      </x:c>
      <x:c r="U490" s="83" t="str">
        <x:v>S09 + TERNA_RAI2025 + USER_DECISION</x:v>
      </x:c>
      <x:c r="V490" s="83" t="str">
        <x:v>DDS Table 16; Terna RAI 2025 §2.1.4</x:v>
      </x:c>
      <x:c r="W490" s="120" t="str">
        <x:v>https://download.terna.it/terna/Rapporto_Adeguatezza_Italia_2025_8de802607202dd6.pdf</x:v>
      </x:c>
      <x:c r="X490" s="83" t="str">
        <x:v>C — Assumed</x:v>
      </x:c>
      <x:c r="Y490" s="83" t="str">
        <x:v>APPROVED 4h derivation</x:v>
      </x:c>
      <x:c r="Z490" s="83" t="str">
        <x:v>Ready after user approval</x:v>
      </x:c>
      <x:c r="AA490" s="83" t="str">
        <x:v>Capacity Market remains a separate 4h class; no MACSE reclassification.</x:v>
      </x:c>
    </x:row>
    <x:row r="491">
      <x:c r="A491" s="83" t="str">
        <x:v>S4-00487</x:v>
      </x:c>
      <x:c r="B491" s="83" t="str">
        <x:v>IT2040_GRID_DELAY</x:v>
      </x:c>
      <x:c r="C491" s="83" t="n">
        <x:v>2040</x:v>
      </x:c>
      <x:c r="D491" s="83" t="str">
        <x:v>Storage</x:v>
      </x:c>
      <x:c r="E491" s="83" t="str">
        <x:v>PyPSA-Eur existing sites</x:v>
      </x:c>
      <x:c r="F491" s="83"/>
      <x:c r="G491" s="83" t="str">
        <x:v>Pompaggi esistenti</x:v>
      </x:c>
      <x:c r="H491" s="83" t="str">
        <x:v>Pumped hydro energy</x:v>
      </x:c>
      <x:c r="I491" s="83" t="str">
        <x:v>PHS</x:v>
      </x:c>
      <x:c r="J491" s="83" t="str">
        <x:v>Store + Links</x:v>
      </x:c>
      <x:c r="K491" s="83" t="str">
        <x:v>e_nom</x:v>
      </x:c>
      <x:c r="L491" s="279" t="n">
        <x:v>53</x:v>
      </x:c>
      <x:c r="M491" s="279" t="str">
        <x:v>GWh</x:v>
      </x:c>
      <x:c r="N491" s="279" t="n">
        <x:f>IF(L491="","",IF(M491="GW",L491*1000,IF(M491="GWh",L491*1000,IF(M491="TWh",L491*1000000,L491))))</x:f>
        <x:v>53000</x:v>
      </x:c>
      <x:c r="O491" s="83" t="str">
        <x:f>IF(L491="","",IF(M491="GW","MW",IF(OR(M491="GWh",M491="TWh"),"MWh",M491)))</x:f>
        <x:v>MWh</x:v>
      </x:c>
      <x:c r="P491" s="83" t="str"/>
      <x:c r="Q491" s="349"/>
      <x:c r="R491" s="349" t="str">
        <x:f>IF(L491="","",IF(Q491&lt;&gt;"",L491*Q491,IF(OR(ISNUMBER(SEARCH("EUR2025",M491&amp;"")),P491=2025,P491="2025"),L491,"")))</x:f>
      </x:c>
      <x:c r="S491" s="83" t="str">
        <x:v>A — Direct</x:v>
      </x:c>
      <x:c r="T491" s="83" t="str">
        <x:v>Retain existing plant geography; 53 GWh physical stock.</x:v>
      </x:c>
      <x:c r="U491" s="83" t="str">
        <x:v>S01</x:v>
      </x:c>
      <x:c r="V491" s="83" t="str">
        <x:v>Pumped-hydro stock</x:v>
      </x:c>
      <x:c r="W491" s="120"/>
      <x:c r="X491" s="83" t="str">
        <x:v>A — Direct</x:v>
      </x:c>
      <x:c r="Y491" s="83" t="str">
        <x:v>Adopted physical stock</x:v>
      </x:c>
      <x:c r="Z491" s="83" t="str">
        <x:v>Conditional on plant mapping</x:v>
      </x:c>
      <x:c r="AA491" s="83"/>
    </x:row>
    <x:row r="492">
      <x:c r="A492" s="83" t="str">
        <x:v>S4-00488</x:v>
      </x:c>
      <x:c r="B492" s="83" t="str">
        <x:v>IT2040_GRID_DELAY</x:v>
      </x:c>
      <x:c r="C492" s="83" t="n">
        <x:v>2040</x:v>
      </x:c>
      <x:c r="D492" s="83" t="str">
        <x:v>Storage power</x:v>
      </x:c>
      <x:c r="E492" s="83" t="str">
        <x:v>PyPSA-Eur existing sites</x:v>
      </x:c>
      <x:c r="F492" s="83"/>
      <x:c r="G492" s="83" t="str">
        <x:v>Pompaggi esistenti</x:v>
      </x:c>
      <x:c r="H492" s="83" t="str">
        <x:v>Pumped hydro charge power</x:v>
      </x:c>
      <x:c r="I492" s="83" t="str">
        <x:v>PHS</x:v>
      </x:c>
      <x:c r="J492" s="83" t="str">
        <x:v>Link</x:v>
      </x:c>
      <x:c r="K492" s="83" t="str">
        <x:v>p_nom</x:v>
      </x:c>
      <x:c r="L492" s="279" t="n">
        <x:v>6.4</x:v>
      </x:c>
      <x:c r="M492" s="279" t="str">
        <x:v>GW</x:v>
      </x:c>
      <x:c r="N492" s="279" t="n">
        <x:f>IF(L492="","",IF(M492="GW",L492*1000,IF(M492="GWh",L492*1000,IF(M492="TWh",L492*1000000,L492))))</x:f>
        <x:v>6400</x:v>
      </x:c>
      <x:c r="O492" s="83" t="str">
        <x:f>IF(L492="","",IF(M492="GW","MW",IF(OR(M492="GWh",M492="TWh"),"MWh",M492)))</x:f>
        <x:v>MW</x:v>
      </x:c>
      <x:c r="P492" s="83" t="str"/>
      <x:c r="Q492" s="349"/>
      <x:c r="R492" s="349" t="str">
        <x:f>IF(L492="","",IF(Q492&lt;&gt;"",L492*Q492,IF(OR(ISNUMBER(SEARCH("EUR2025",M492&amp;"")),P492=2025,P492="2025"),L492,"")))</x:f>
      </x:c>
      <x:c r="S492" s="83" t="str">
        <x:v>A — Direct</x:v>
      </x:c>
      <x:c r="T492" s="83" t="str">
        <x:v>Retain existing plant geography.</x:v>
      </x:c>
      <x:c r="U492" s="83" t="str">
        <x:v>S01</x:v>
      </x:c>
      <x:c r="V492" s="83" t="str">
        <x:v>Pumped-hydro stock</x:v>
      </x:c>
      <x:c r="W492" s="120"/>
      <x:c r="X492" s="83" t="str">
        <x:v>A — Direct</x:v>
      </x:c>
      <x:c r="Y492" s="83" t="str">
        <x:v>Adopted</x:v>
      </x:c>
      <x:c r="Z492" s="83" t="str">
        <x:v>Ready when profiles/base network are available</x:v>
      </x:c>
      <x:c r="AA492" s="83"/>
    </x:row>
    <x:row r="493">
      <x:c r="A493" s="83" t="str">
        <x:v>S4-00489</x:v>
      </x:c>
      <x:c r="B493" s="83" t="str">
        <x:v>IT2040_GRID_DELAY</x:v>
      </x:c>
      <x:c r="C493" s="83" t="n">
        <x:v>2040</x:v>
      </x:c>
      <x:c r="D493" s="83" t="str">
        <x:v>Storage power</x:v>
      </x:c>
      <x:c r="E493" s="83" t="str">
        <x:v>PyPSA-Eur existing sites</x:v>
      </x:c>
      <x:c r="F493" s="83"/>
      <x:c r="G493" s="83" t="str">
        <x:v>Pompaggi esistenti</x:v>
      </x:c>
      <x:c r="H493" s="83" t="str">
        <x:v>Pumped hydro discharge power</x:v>
      </x:c>
      <x:c r="I493" s="83" t="str">
        <x:v>PHS</x:v>
      </x:c>
      <x:c r="J493" s="83" t="str">
        <x:v>Link</x:v>
      </x:c>
      <x:c r="K493" s="83" t="str">
        <x:v>p_nom</x:v>
      </x:c>
      <x:c r="L493" s="279" t="n">
        <x:v>7.3</x:v>
      </x:c>
      <x:c r="M493" s="279" t="str">
        <x:v>GW</x:v>
      </x:c>
      <x:c r="N493" s="279" t="n">
        <x:f>IF(L493="","",IF(M493="GW",L493*1000,IF(M493="GWh",L493*1000,IF(M493="TWh",L493*1000000,L493))))</x:f>
        <x:v>7300</x:v>
      </x:c>
      <x:c r="O493" s="83" t="str">
        <x:f>IF(L493="","",IF(M493="GW","MW",IF(OR(M493="GWh",M493="TWh"),"MWh",M493)))</x:f>
        <x:v>MW</x:v>
      </x:c>
      <x:c r="P493" s="83" t="str"/>
      <x:c r="Q493" s="349"/>
      <x:c r="R493" s="349" t="str">
        <x:f>IF(L493="","",IF(Q493&lt;&gt;"",L493*Q493,IF(OR(ISNUMBER(SEARCH("EUR2025",M493&amp;"")),P493=2025,P493="2025"),L493,"")))</x:f>
      </x:c>
      <x:c r="S493" s="83" t="str">
        <x:v>A — Direct</x:v>
      </x:c>
      <x:c r="T493" s="83" t="str">
        <x:v>Retain existing plant geography.</x:v>
      </x:c>
      <x:c r="U493" s="83" t="str">
        <x:v>S01</x:v>
      </x:c>
      <x:c r="V493" s="83" t="str">
        <x:v>Pumped-hydro stock</x:v>
      </x:c>
      <x:c r="W493" s="120"/>
      <x:c r="X493" s="83" t="str">
        <x:v>A — Direct</x:v>
      </x:c>
      <x:c r="Y493" s="83" t="str">
        <x:v>Adopted</x:v>
      </x:c>
      <x:c r="Z493" s="83" t="str">
        <x:v>Ready when profiles/base network are available</x:v>
      </x:c>
      <x:c r="AA493" s="83"/>
    </x:row>
    <x:row r="494">
      <x:c r="A494" s="83" t="str">
        <x:v>S4-00490</x:v>
      </x:c>
      <x:c r="B494" s="83" t="str">
        <x:v>IT2040_GRID_DELAY</x:v>
      </x:c>
      <x:c r="C494" s="83" t="n">
        <x:v>2040</x:v>
      </x:c>
      <x:c r="D494" s="83" t="str">
        <x:v>Transmission</x:v>
      </x:c>
      <x:c r="E494" s="83" t="str">
        <x:v>NORD-&gt;CNOR</x:v>
      </x:c>
      <x:c r="F494" s="83" t="str">
        <x:v>NORD</x:v>
      </x:c>
      <x:c r="G494" s="83" t="str">
        <x:v>Capacità di scambio</x:v>
      </x:c>
      <x:c r="H494" s="83" t="str">
        <x:v>Directional interzonal link</x:v>
      </x:c>
      <x:c r="I494" s="83" t="str">
        <x:v>electricity</x:v>
      </x:c>
      <x:c r="J494" s="83" t="str">
        <x:v>Link</x:v>
      </x:c>
      <x:c r="K494" s="83" t="str">
        <x:v>p_nom</x:v>
      </x:c>
      <x:c r="L494" s="279" t="n">
        <x:v>6100</x:v>
      </x:c>
      <x:c r="M494" s="279" t="str">
        <x:v>MW</x:v>
      </x:c>
      <x:c r="N494" s="279" t="n">
        <x:f>IF(L494="","",IF(M494="GW",L494*1000,IF(M494="GWh",L494*1000,IF(M494="TWh",L494*1000000,L494))))</x:f>
        <x:v>6100</x:v>
      </x:c>
      <x:c r="O494" s="83" t="str">
        <x:f>IF(L494="","",IF(M494="GW","MW",IF(OR(M494="GWh",M494="TWh"),"MWh",M494)))</x:f>
        <x:v>MW</x:v>
      </x:c>
      <x:c r="P494" s="83" t="str"/>
      <x:c r="Q494" s="349"/>
      <x:c r="R494" s="349" t="str">
        <x:f>IF(L494="","",IF(Q494&lt;&gt;"",L494*Q494,IF(OR(ISNUMBER(SEARCH("EUR2025",M494&amp;"")),P494=2025,P494="2025"),L494,"")))</x:f>
      </x:c>
      <x:c r="S494" s="83" t="str">
        <x:v>A — Direct</x:v>
      </x:c>
      <x:c r="T494" s="83" t="str">
        <x:v>Direct directional market-transfer capacity.</x:v>
      </x:c>
      <x:c r="U494" s="83" t="str">
        <x:v>S03</x:v>
      </x:c>
      <x:c r="V494" s="83" t="str">
        <x:v>S03 Figure 3 horizon 2035</x:v>
      </x:c>
      <x:c r="W494" s="120"/>
      <x:c r="X494" s="83" t="str">
        <x:v>A — Direct</x:v>
      </x:c>
      <x:c r="Y494" s="83" t="str">
        <x:v>Adopted</x:v>
      </x:c>
      <x:c r="Z494" s="83" t="str">
        <x:v>Ready when profiles/base network are available</x:v>
      </x:c>
      <x:c r="AA494" s="83" t="str">
        <x:v>Use endogenous PyPSA-Eur borders where available; otherwise DDS 2030 totals plus separately approved project overlays</x:v>
      </x:c>
    </x:row>
    <x:row r="495">
      <x:c r="A495" s="83" t="str">
        <x:v>S4-00491</x:v>
      </x:c>
      <x:c r="B495" s="83" t="str">
        <x:v>IT2040_GRID_DELAY</x:v>
      </x:c>
      <x:c r="C495" s="83" t="n">
        <x:v>2040</x:v>
      </x:c>
      <x:c r="D495" s="83" t="str">
        <x:v>Transmission</x:v>
      </x:c>
      <x:c r="E495" s="83" t="str">
        <x:v>CNOR-&gt;NORD</x:v>
      </x:c>
      <x:c r="F495" s="83" t="str">
        <x:v>CNOR</x:v>
      </x:c>
      <x:c r="G495" s="83" t="str">
        <x:v>Capacità di scambio</x:v>
      </x:c>
      <x:c r="H495" s="83" t="str">
        <x:v>Directional interzonal link</x:v>
      </x:c>
      <x:c r="I495" s="83" t="str">
        <x:v>electricity</x:v>
      </x:c>
      <x:c r="J495" s="83" t="str">
        <x:v>Link</x:v>
      </x:c>
      <x:c r="K495" s="83" t="str">
        <x:v>p_nom</x:v>
      </x:c>
      <x:c r="L495" s="279" t="n">
        <x:v>5300</x:v>
      </x:c>
      <x:c r="M495" s="279" t="str">
        <x:v>MW</x:v>
      </x:c>
      <x:c r="N495" s="279" t="n">
        <x:f>IF(L495="","",IF(M495="GW",L495*1000,IF(M495="GWh",L495*1000,IF(M495="TWh",L495*1000000,L495))))</x:f>
        <x:v>5300</x:v>
      </x:c>
      <x:c r="O495" s="83" t="str">
        <x:f>IF(L495="","",IF(M495="GW","MW",IF(OR(M495="GWh",M495="TWh"),"MWh",M495)))</x:f>
        <x:v>MW</x:v>
      </x:c>
      <x:c r="P495" s="83" t="str"/>
      <x:c r="Q495" s="349"/>
      <x:c r="R495" s="349" t="str">
        <x:f>IF(L495="","",IF(Q495&lt;&gt;"",L495*Q495,IF(OR(ISNUMBER(SEARCH("EUR2025",M495&amp;"")),P495=2025,P495="2025"),L495,"")))</x:f>
      </x:c>
      <x:c r="S495" s="83" t="str">
        <x:v>A — Direct</x:v>
      </x:c>
      <x:c r="T495" s="83" t="str">
        <x:v>Direct directional market-transfer capacity.</x:v>
      </x:c>
      <x:c r="U495" s="83" t="str">
        <x:v>S03</x:v>
      </x:c>
      <x:c r="V495" s="83" t="str">
        <x:v>S03 Figure 3 horizon 2035</x:v>
      </x:c>
      <x:c r="W495" s="120"/>
      <x:c r="X495" s="83" t="str">
        <x:v>A — Direct</x:v>
      </x:c>
      <x:c r="Y495" s="83" t="str">
        <x:v>Adopted</x:v>
      </x:c>
      <x:c r="Z495" s="83" t="str">
        <x:v>Ready when profiles/base network are available</x:v>
      </x:c>
      <x:c r="AA495" s="83" t="str">
        <x:v>Use endogenous PyPSA-Eur borders where available; otherwise DDS 2030 totals plus separately approved project overlays</x:v>
      </x:c>
    </x:row>
    <x:row r="496">
      <x:c r="A496" s="83" t="str">
        <x:v>S4-00492</x:v>
      </x:c>
      <x:c r="B496" s="83" t="str">
        <x:v>IT2040_GRID_DELAY</x:v>
      </x:c>
      <x:c r="C496" s="83" t="n">
        <x:v>2040</x:v>
      </x:c>
      <x:c r="D496" s="83" t="str">
        <x:v>Transmission</x:v>
      </x:c>
      <x:c r="E496" s="83" t="str">
        <x:v>CNOR-&gt;CSUD</x:v>
      </x:c>
      <x:c r="F496" s="83" t="str">
        <x:v>CNOR</x:v>
      </x:c>
      <x:c r="G496" s="83" t="str">
        <x:v>Capacità di scambio</x:v>
      </x:c>
      <x:c r="H496" s="83" t="str">
        <x:v>Directional interzonal link</x:v>
      </x:c>
      <x:c r="I496" s="83" t="str">
        <x:v>electricity</x:v>
      </x:c>
      <x:c r="J496" s="83" t="str">
        <x:v>Link</x:v>
      </x:c>
      <x:c r="K496" s="83" t="str">
        <x:v>p_nom</x:v>
      </x:c>
      <x:c r="L496" s="279" t="n">
        <x:v>5200</x:v>
      </x:c>
      <x:c r="M496" s="279" t="str">
        <x:v>MW</x:v>
      </x:c>
      <x:c r="N496" s="279" t="n">
        <x:f>IF(L496="","",IF(M496="GW",L496*1000,IF(M496="GWh",L496*1000,IF(M496="TWh",L496*1000000,L496))))</x:f>
        <x:v>5200</x:v>
      </x:c>
      <x:c r="O496" s="83" t="str">
        <x:f>IF(L496="","",IF(M496="GW","MW",IF(OR(M496="GWh",M496="TWh"),"MWh",M496)))</x:f>
        <x:v>MW</x:v>
      </x:c>
      <x:c r="P496" s="83" t="str"/>
      <x:c r="Q496" s="349"/>
      <x:c r="R496" s="349" t="str">
        <x:f>IF(L496="","",IF(Q496&lt;&gt;"",L496*Q496,IF(OR(ISNUMBER(SEARCH("EUR2025",M496&amp;"")),P496=2025,P496="2025"),L496,"")))</x:f>
      </x:c>
      <x:c r="S496" s="83" t="str">
        <x:v>A — Direct</x:v>
      </x:c>
      <x:c r="T496" s="83" t="str">
        <x:v>Direct directional market-transfer capacity.</x:v>
      </x:c>
      <x:c r="U496" s="83" t="str">
        <x:v>S03</x:v>
      </x:c>
      <x:c r="V496" s="83" t="str">
        <x:v>S03 Figure 3 horizon 2035</x:v>
      </x:c>
      <x:c r="W496" s="120"/>
      <x:c r="X496" s="83" t="str">
        <x:v>A — Direct</x:v>
      </x:c>
      <x:c r="Y496" s="83" t="str">
        <x:v>Adopted</x:v>
      </x:c>
      <x:c r="Z496" s="83" t="str">
        <x:v>Ready when profiles/base network are available</x:v>
      </x:c>
      <x:c r="AA496" s="83" t="str">
        <x:v>Use endogenous PyPSA-Eur borders where available; otherwise DDS 2030 totals plus separately approved project overlays</x:v>
      </x:c>
    </x:row>
    <x:row r="497">
      <x:c r="A497" s="83" t="str">
        <x:v>S4-00493</x:v>
      </x:c>
      <x:c r="B497" s="83" t="str">
        <x:v>IT2040_GRID_DELAY</x:v>
      </x:c>
      <x:c r="C497" s="83" t="n">
        <x:v>2040</x:v>
      </x:c>
      <x:c r="D497" s="83" t="str">
        <x:v>Transmission</x:v>
      </x:c>
      <x:c r="E497" s="83" t="str">
        <x:v>CSUD-&gt;CNOR</x:v>
      </x:c>
      <x:c r="F497" s="83" t="str">
        <x:v>CSUD</x:v>
      </x:c>
      <x:c r="G497" s="83" t="str">
        <x:v>Capacità di scambio</x:v>
      </x:c>
      <x:c r="H497" s="83" t="str">
        <x:v>Directional interzonal link</x:v>
      </x:c>
      <x:c r="I497" s="83" t="str">
        <x:v>electricity</x:v>
      </x:c>
      <x:c r="J497" s="83" t="str">
        <x:v>Link</x:v>
      </x:c>
      <x:c r="K497" s="83" t="str">
        <x:v>p_nom</x:v>
      </x:c>
      <x:c r="L497" s="279" t="n">
        <x:v>5900</x:v>
      </x:c>
      <x:c r="M497" s="279" t="str">
        <x:v>MW</x:v>
      </x:c>
      <x:c r="N497" s="279" t="n">
        <x:f>IF(L497="","",IF(M497="GW",L497*1000,IF(M497="GWh",L497*1000,IF(M497="TWh",L497*1000000,L497))))</x:f>
        <x:v>5900</x:v>
      </x:c>
      <x:c r="O497" s="83" t="str">
        <x:f>IF(L497="","",IF(M497="GW","MW",IF(OR(M497="GWh",M497="TWh"),"MWh",M497)))</x:f>
        <x:v>MW</x:v>
      </x:c>
      <x:c r="P497" s="83" t="str"/>
      <x:c r="Q497" s="349"/>
      <x:c r="R497" s="349" t="str">
        <x:f>IF(L497="","",IF(Q497&lt;&gt;"",L497*Q497,IF(OR(ISNUMBER(SEARCH("EUR2025",M497&amp;"")),P497=2025,P497="2025"),L497,"")))</x:f>
      </x:c>
      <x:c r="S497" s="83" t="str">
        <x:v>A — Direct</x:v>
      </x:c>
      <x:c r="T497" s="83" t="str">
        <x:v>Direct directional market-transfer capacity.</x:v>
      </x:c>
      <x:c r="U497" s="83" t="str">
        <x:v>S03</x:v>
      </x:c>
      <x:c r="V497" s="83" t="str">
        <x:v>S03 Figure 3 horizon 2035</x:v>
      </x:c>
      <x:c r="W497" s="120"/>
      <x:c r="X497" s="83" t="str">
        <x:v>A — Direct</x:v>
      </x:c>
      <x:c r="Y497" s="83" t="str">
        <x:v>Adopted</x:v>
      </x:c>
      <x:c r="Z497" s="83" t="str">
        <x:v>Ready when profiles/base network are available</x:v>
      </x:c>
      <x:c r="AA497" s="83" t="str">
        <x:v>Use endogenous PyPSA-Eur borders where available; otherwise DDS 2030 totals plus separately approved project overlays</x:v>
      </x:c>
    </x:row>
    <x:row r="498">
      <x:c r="A498" s="83" t="str">
        <x:v>S4-00494</x:v>
      </x:c>
      <x:c r="B498" s="83" t="str">
        <x:v>IT2040_GRID_DELAY</x:v>
      </x:c>
      <x:c r="C498" s="83" t="n">
        <x:v>2040</x:v>
      </x:c>
      <x:c r="D498" s="83" t="str">
        <x:v>Transmission</x:v>
      </x:c>
      <x:c r="E498" s="83" t="str">
        <x:v>CSUD-&gt;SUD</x:v>
      </x:c>
      <x:c r="F498" s="83" t="str">
        <x:v>CSUD</x:v>
      </x:c>
      <x:c r="G498" s="83" t="str">
        <x:v>Capacità di scambio</x:v>
      </x:c>
      <x:c r="H498" s="83" t="str">
        <x:v>Directional interzonal link</x:v>
      </x:c>
      <x:c r="I498" s="83" t="str">
        <x:v>electricity</x:v>
      </x:c>
      <x:c r="J498" s="83" t="str">
        <x:v>Link</x:v>
      </x:c>
      <x:c r="K498" s="83" t="str">
        <x:v>p_nom</x:v>
      </x:c>
      <x:c r="L498" s="279" t="n">
        <x:v>3900</x:v>
      </x:c>
      <x:c r="M498" s="279" t="str">
        <x:v>MW</x:v>
      </x:c>
      <x:c r="N498" s="279" t="n">
        <x:f>IF(L498="","",IF(M498="GW",L498*1000,IF(M498="GWh",L498*1000,IF(M498="TWh",L498*1000000,L498))))</x:f>
        <x:v>3900</x:v>
      </x:c>
      <x:c r="O498" s="83" t="str">
        <x:f>IF(L498="","",IF(M498="GW","MW",IF(OR(M498="GWh",M498="TWh"),"MWh",M498)))</x:f>
        <x:v>MW</x:v>
      </x:c>
      <x:c r="P498" s="83" t="str"/>
      <x:c r="Q498" s="349"/>
      <x:c r="R498" s="349" t="str">
        <x:f>IF(L498="","",IF(Q498&lt;&gt;"",L498*Q498,IF(OR(ISNUMBER(SEARCH("EUR2025",M498&amp;"")),P498=2025,P498="2025"),L498,"")))</x:f>
      </x:c>
      <x:c r="S498" s="83" t="str">
        <x:v>A — Direct</x:v>
      </x:c>
      <x:c r="T498" s="83" t="str">
        <x:v>Direct directional market-transfer capacity.</x:v>
      </x:c>
      <x:c r="U498" s="83" t="str">
        <x:v>S03</x:v>
      </x:c>
      <x:c r="V498" s="83" t="str">
        <x:v>S03 Figure 3 horizon 2035</x:v>
      </x:c>
      <x:c r="W498" s="120"/>
      <x:c r="X498" s="83" t="str">
        <x:v>A — Direct</x:v>
      </x:c>
      <x:c r="Y498" s="83" t="str">
        <x:v>Adopted</x:v>
      </x:c>
      <x:c r="Z498" s="83" t="str">
        <x:v>Ready when profiles/base network are available</x:v>
      </x:c>
      <x:c r="AA498" s="83" t="str">
        <x:v>Use endogenous PyPSA-Eur borders where available; otherwise DDS 2030 totals plus separately approved project overlays</x:v>
      </x:c>
    </x:row>
    <x:row r="499">
      <x:c r="A499" s="83" t="str">
        <x:v>S4-00495</x:v>
      </x:c>
      <x:c r="B499" s="83" t="str">
        <x:v>IT2040_GRID_DELAY</x:v>
      </x:c>
      <x:c r="C499" s="83" t="n">
        <x:v>2040</x:v>
      </x:c>
      <x:c r="D499" s="83" t="str">
        <x:v>Transmission</x:v>
      </x:c>
      <x:c r="E499" s="83" t="str">
        <x:v>SUD-&gt;CSUD</x:v>
      </x:c>
      <x:c r="F499" s="83" t="str">
        <x:v>SUD</x:v>
      </x:c>
      <x:c r="G499" s="83" t="str">
        <x:v>Capacità di scambio</x:v>
      </x:c>
      <x:c r="H499" s="83" t="str">
        <x:v>Directional interzonal link</x:v>
      </x:c>
      <x:c r="I499" s="83" t="str">
        <x:v>electricity</x:v>
      </x:c>
      <x:c r="J499" s="83" t="str">
        <x:v>Link</x:v>
      </x:c>
      <x:c r="K499" s="83" t="str">
        <x:v>p_nom</x:v>
      </x:c>
      <x:c r="L499" s="279" t="n">
        <x:v>6700</x:v>
      </x:c>
      <x:c r="M499" s="279" t="str">
        <x:v>MW</x:v>
      </x:c>
      <x:c r="N499" s="279" t="n">
        <x:f>IF(L499="","",IF(M499="GW",L499*1000,IF(M499="GWh",L499*1000,IF(M499="TWh",L499*1000000,L499))))</x:f>
        <x:v>6700</x:v>
      </x:c>
      <x:c r="O499" s="83" t="str">
        <x:f>IF(L499="","",IF(M499="GW","MW",IF(OR(M499="GWh",M499="TWh"),"MWh",M499)))</x:f>
        <x:v>MW</x:v>
      </x:c>
      <x:c r="P499" s="83" t="str"/>
      <x:c r="Q499" s="349"/>
      <x:c r="R499" s="349" t="str">
        <x:f>IF(L499="","",IF(Q499&lt;&gt;"",L499*Q499,IF(OR(ISNUMBER(SEARCH("EUR2025",M499&amp;"")),P499=2025,P499="2025"),L499,"")))</x:f>
      </x:c>
      <x:c r="S499" s="83" t="str">
        <x:v>A — Direct</x:v>
      </x:c>
      <x:c r="T499" s="83" t="str">
        <x:v>Direct directional market-transfer capacity.</x:v>
      </x:c>
      <x:c r="U499" s="83" t="str">
        <x:v>S03</x:v>
      </x:c>
      <x:c r="V499" s="83" t="str">
        <x:v>S03 Figure 3 horizon 2035</x:v>
      </x:c>
      <x:c r="W499" s="120"/>
      <x:c r="X499" s="83" t="str">
        <x:v>A — Direct</x:v>
      </x:c>
      <x:c r="Y499" s="83" t="str">
        <x:v>Adopted</x:v>
      </x:c>
      <x:c r="Z499" s="83" t="str">
        <x:v>Ready when profiles/base network are available</x:v>
      </x:c>
      <x:c r="AA499" s="83" t="str">
        <x:v>Use endogenous PyPSA-Eur borders where available; otherwise DDS 2030 totals plus separately approved project overlays</x:v>
      </x:c>
    </x:row>
    <x:row r="500">
      <x:c r="A500" s="83" t="str">
        <x:v>S4-00496</x:v>
      </x:c>
      <x:c r="B500" s="83" t="str">
        <x:v>IT2040_GRID_DELAY</x:v>
      </x:c>
      <x:c r="C500" s="83" t="n">
        <x:v>2040</x:v>
      </x:c>
      <x:c r="D500" s="83" t="str">
        <x:v>Transmission</x:v>
      </x:c>
      <x:c r="E500" s="83" t="str">
        <x:v>SUD-&gt;CALA</x:v>
      </x:c>
      <x:c r="F500" s="83" t="str">
        <x:v>SUD</x:v>
      </x:c>
      <x:c r="G500" s="83" t="str">
        <x:v>Capacità di scambio</x:v>
      </x:c>
      <x:c r="H500" s="83" t="str">
        <x:v>Directional interzonal link</x:v>
      </x:c>
      <x:c r="I500" s="83" t="str">
        <x:v>electricity</x:v>
      </x:c>
      <x:c r="J500" s="83" t="str">
        <x:v>Link</x:v>
      </x:c>
      <x:c r="K500" s="83" t="str">
        <x:v>p_nom</x:v>
      </x:c>
      <x:c r="L500" s="279" t="n">
        <x:v>2000</x:v>
      </x:c>
      <x:c r="M500" s="279" t="str">
        <x:v>MW</x:v>
      </x:c>
      <x:c r="N500" s="279" t="n">
        <x:f>IF(L500="","",IF(M500="GW",L500*1000,IF(M500="GWh",L500*1000,IF(M500="TWh",L500*1000000,L500))))</x:f>
        <x:v>2000</x:v>
      </x:c>
      <x:c r="O500" s="83" t="str">
        <x:f>IF(L500="","",IF(M500="GW","MW",IF(OR(M500="GWh",M500="TWh"),"MWh",M500)))</x:f>
        <x:v>MW</x:v>
      </x:c>
      <x:c r="P500" s="83" t="str"/>
      <x:c r="Q500" s="349"/>
      <x:c r="R500" s="349" t="str">
        <x:f>IF(L500="","",IF(Q500&lt;&gt;"",L500*Q500,IF(OR(ISNUMBER(SEARCH("EUR2025",M500&amp;"")),P500=2025,P500="2025"),L500,"")))</x:f>
      </x:c>
      <x:c r="S500" s="83" t="str">
        <x:v>A — Direct</x:v>
      </x:c>
      <x:c r="T500" s="83" t="str">
        <x:v>Direct directional market-transfer capacity.</x:v>
      </x:c>
      <x:c r="U500" s="83" t="str">
        <x:v>S03</x:v>
      </x:c>
      <x:c r="V500" s="83" t="str">
        <x:v>S03 Figure 3 horizon 2035</x:v>
      </x:c>
      <x:c r="W500" s="120"/>
      <x:c r="X500" s="83" t="str">
        <x:v>A — Direct</x:v>
      </x:c>
      <x:c r="Y500" s="83" t="str">
        <x:v>Adopted</x:v>
      </x:c>
      <x:c r="Z500" s="83" t="str">
        <x:v>Ready when profiles/base network are available</x:v>
      </x:c>
      <x:c r="AA500" s="83" t="str">
        <x:v>Use endogenous PyPSA-Eur borders where available; otherwise DDS 2030 totals plus separately approved project overlays</x:v>
      </x:c>
    </x:row>
    <x:row r="501">
      <x:c r="A501" s="83" t="str">
        <x:v>S4-00497</x:v>
      </x:c>
      <x:c r="B501" s="83" t="str">
        <x:v>IT2040_GRID_DELAY</x:v>
      </x:c>
      <x:c r="C501" s="83" t="n">
        <x:v>2040</x:v>
      </x:c>
      <x:c r="D501" s="83" t="str">
        <x:v>Transmission</x:v>
      </x:c>
      <x:c r="E501" s="83" t="str">
        <x:v>CALA-&gt;SUD</x:v>
      </x:c>
      <x:c r="F501" s="83" t="str">
        <x:v>CALA</x:v>
      </x:c>
      <x:c r="G501" s="83" t="str">
        <x:v>Capacità di scambio</x:v>
      </x:c>
      <x:c r="H501" s="83" t="str">
        <x:v>Directional interzonal link</x:v>
      </x:c>
      <x:c r="I501" s="83" t="str">
        <x:v>electricity</x:v>
      </x:c>
      <x:c r="J501" s="83" t="str">
        <x:v>Link</x:v>
      </x:c>
      <x:c r="K501" s="83" t="str">
        <x:v>p_nom</x:v>
      </x:c>
      <x:c r="L501" s="279" t="n">
        <x:v>3250</x:v>
      </x:c>
      <x:c r="M501" s="279" t="str">
        <x:v>MW</x:v>
      </x:c>
      <x:c r="N501" s="279" t="n">
        <x:f>IF(L501="","",IF(M501="GW",L501*1000,IF(M501="GWh",L501*1000,IF(M501="TWh",L501*1000000,L501))))</x:f>
        <x:v>3250</x:v>
      </x:c>
      <x:c r="O501" s="83" t="str">
        <x:f>IF(L501="","",IF(M501="GW","MW",IF(OR(M501="GWh",M501="TWh"),"MWh",M501)))</x:f>
        <x:v>MW</x:v>
      </x:c>
      <x:c r="P501" s="83" t="str"/>
      <x:c r="Q501" s="349"/>
      <x:c r="R501" s="349" t="str">
        <x:f>IF(L501="","",IF(Q501&lt;&gt;"",L501*Q501,IF(OR(ISNUMBER(SEARCH("EUR2025",M501&amp;"")),P501=2025,P501="2025"),L501,"")))</x:f>
      </x:c>
      <x:c r="S501" s="83" t="str">
        <x:v>A — Direct</x:v>
      </x:c>
      <x:c r="T501" s="83" t="str">
        <x:v>Direct directional market-transfer capacity.</x:v>
      </x:c>
      <x:c r="U501" s="83" t="str">
        <x:v>S03</x:v>
      </x:c>
      <x:c r="V501" s="83" t="str">
        <x:v>S03 Figure 3 horizon 2035</x:v>
      </x:c>
      <x:c r="W501" s="120"/>
      <x:c r="X501" s="83" t="str">
        <x:v>A — Direct</x:v>
      </x:c>
      <x:c r="Y501" s="83" t="str">
        <x:v>Adopted</x:v>
      </x:c>
      <x:c r="Z501" s="83" t="str">
        <x:v>Ready when profiles/base network are available</x:v>
      </x:c>
      <x:c r="AA501" s="83" t="str">
        <x:v>Use endogenous PyPSA-Eur borders where available; otherwise DDS 2030 totals plus separately approved project overlays</x:v>
      </x:c>
    </x:row>
    <x:row r="502">
      <x:c r="A502" s="83" t="str">
        <x:v>S4-00498</x:v>
      </x:c>
      <x:c r="B502" s="83" t="str">
        <x:v>IT2040_GRID_DELAY</x:v>
      </x:c>
      <x:c r="C502" s="83" t="n">
        <x:v>2040</x:v>
      </x:c>
      <x:c r="D502" s="83" t="str">
        <x:v>Transmission</x:v>
      </x:c>
      <x:c r="E502" s="83" t="str">
        <x:v>CALA-&gt;SICI</x:v>
      </x:c>
      <x:c r="F502" s="83" t="str">
        <x:v>CALA</x:v>
      </x:c>
      <x:c r="G502" s="83" t="str">
        <x:v>Capacità di scambio</x:v>
      </x:c>
      <x:c r="H502" s="83" t="str">
        <x:v>Directional interzonal link</x:v>
      </x:c>
      <x:c r="I502" s="83" t="str">
        <x:v>electricity</x:v>
      </x:c>
      <x:c r="J502" s="83" t="str">
        <x:v>Link</x:v>
      </x:c>
      <x:c r="K502" s="83" t="str">
        <x:v>p_nom</x:v>
      </x:c>
      <x:c r="L502" s="279" t="n">
        <x:v>2050</x:v>
      </x:c>
      <x:c r="M502" s="279" t="str">
        <x:v>MW</x:v>
      </x:c>
      <x:c r="N502" s="279" t="n">
        <x:f>IF(L502="","",IF(M502="GW",L502*1000,IF(M502="GWh",L502*1000,IF(M502="TWh",L502*1000000,L502))))</x:f>
        <x:v>2050</x:v>
      </x:c>
      <x:c r="O502" s="83" t="str">
        <x:f>IF(L502="","",IF(M502="GW","MW",IF(OR(M502="GWh",M502="TWh"),"MWh",M502)))</x:f>
        <x:v>MW</x:v>
      </x:c>
      <x:c r="P502" s="83" t="str"/>
      <x:c r="Q502" s="349"/>
      <x:c r="R502" s="349" t="str">
        <x:f>IF(L502="","",IF(Q502&lt;&gt;"",L502*Q502,IF(OR(ISNUMBER(SEARCH("EUR2025",M502&amp;"")),P502=2025,P502="2025"),L502,"")))</x:f>
      </x:c>
      <x:c r="S502" s="83" t="str">
        <x:v>A — Direct</x:v>
      </x:c>
      <x:c r="T502" s="83" t="str">
        <x:v>Direct directional market-transfer capacity.</x:v>
      </x:c>
      <x:c r="U502" s="83" t="str">
        <x:v>S03</x:v>
      </x:c>
      <x:c r="V502" s="83" t="str">
        <x:v>S03 Figure 3 horizon 2035</x:v>
      </x:c>
      <x:c r="W502" s="120"/>
      <x:c r="X502" s="83" t="str">
        <x:v>A — Direct</x:v>
      </x:c>
      <x:c r="Y502" s="83" t="str">
        <x:v>Adopted</x:v>
      </x:c>
      <x:c r="Z502" s="83" t="str">
        <x:v>Ready when profiles/base network are available</x:v>
      </x:c>
      <x:c r="AA502" s="83" t="str">
        <x:v>Use endogenous PyPSA-Eur borders where available; otherwise DDS 2030 totals plus separately approved project overlays</x:v>
      </x:c>
    </x:row>
    <x:row r="503">
      <x:c r="A503" s="83" t="str">
        <x:v>S4-00499</x:v>
      </x:c>
      <x:c r="B503" s="83" t="str">
        <x:v>IT2040_GRID_DELAY</x:v>
      </x:c>
      <x:c r="C503" s="83" t="n">
        <x:v>2040</x:v>
      </x:c>
      <x:c r="D503" s="83" t="str">
        <x:v>Transmission</x:v>
      </x:c>
      <x:c r="E503" s="83" t="str">
        <x:v>SICI-&gt;CALA</x:v>
      </x:c>
      <x:c r="F503" s="83" t="str">
        <x:v>SICI</x:v>
      </x:c>
      <x:c r="G503" s="83" t="str">
        <x:v>Capacità di scambio</x:v>
      </x:c>
      <x:c r="H503" s="83" t="str">
        <x:v>Directional interzonal link</x:v>
      </x:c>
      <x:c r="I503" s="83" t="str">
        <x:v>electricity</x:v>
      </x:c>
      <x:c r="J503" s="83" t="str">
        <x:v>Link</x:v>
      </x:c>
      <x:c r="K503" s="83" t="str">
        <x:v>p_nom</x:v>
      </x:c>
      <x:c r="L503" s="279" t="n">
        <x:v>2000</x:v>
      </x:c>
      <x:c r="M503" s="279" t="str">
        <x:v>MW</x:v>
      </x:c>
      <x:c r="N503" s="279" t="n">
        <x:f>IF(L503="","",IF(M503="GW",L503*1000,IF(M503="GWh",L503*1000,IF(M503="TWh",L503*1000000,L503))))</x:f>
        <x:v>2000</x:v>
      </x:c>
      <x:c r="O503" s="83" t="str">
        <x:f>IF(L503="","",IF(M503="GW","MW",IF(OR(M503="GWh",M503="TWh"),"MWh",M503)))</x:f>
        <x:v>MW</x:v>
      </x:c>
      <x:c r="P503" s="83" t="str"/>
      <x:c r="Q503" s="349"/>
      <x:c r="R503" s="349" t="str">
        <x:f>IF(L503="","",IF(Q503&lt;&gt;"",L503*Q503,IF(OR(ISNUMBER(SEARCH("EUR2025",M503&amp;"")),P503=2025,P503="2025"),L503,"")))</x:f>
      </x:c>
      <x:c r="S503" s="83" t="str">
        <x:v>A — Direct</x:v>
      </x:c>
      <x:c r="T503" s="83" t="str">
        <x:v>Direct directional market-transfer capacity.</x:v>
      </x:c>
      <x:c r="U503" s="83" t="str">
        <x:v>S03</x:v>
      </x:c>
      <x:c r="V503" s="83" t="str">
        <x:v>S03 Figure 3 horizon 2035</x:v>
      </x:c>
      <x:c r="W503" s="120"/>
      <x:c r="X503" s="83" t="str">
        <x:v>A — Direct</x:v>
      </x:c>
      <x:c r="Y503" s="83" t="str">
        <x:v>Adopted</x:v>
      </x:c>
      <x:c r="Z503" s="83" t="str">
        <x:v>Ready when profiles/base network are available</x:v>
      </x:c>
      <x:c r="AA503" s="83" t="str">
        <x:v>Use endogenous PyPSA-Eur borders where available; otherwise DDS 2030 totals plus separately approved project overlays</x:v>
      </x:c>
    </x:row>
    <x:row r="504">
      <x:c r="A504" s="83" t="str">
        <x:v>S4-00500</x:v>
      </x:c>
      <x:c r="B504" s="83" t="str">
        <x:v>IT2040_GRID_DELAY</x:v>
      </x:c>
      <x:c r="C504" s="83" t="n">
        <x:v>2040</x:v>
      </x:c>
      <x:c r="D504" s="83" t="str">
        <x:v>Transmission</x:v>
      </x:c>
      <x:c r="E504" s="83" t="str">
        <x:v>CSUD-&gt;SARD</x:v>
      </x:c>
      <x:c r="F504" s="83" t="str">
        <x:v>CSUD</x:v>
      </x:c>
      <x:c r="G504" s="83" t="str">
        <x:v>Capacità di scambio</x:v>
      </x:c>
      <x:c r="H504" s="83" t="str">
        <x:v>Directional interzonal link</x:v>
      </x:c>
      <x:c r="I504" s="83" t="str">
        <x:v>electricity</x:v>
      </x:c>
      <x:c r="J504" s="83" t="str">
        <x:v>Link</x:v>
      </x:c>
      <x:c r="K504" s="83" t="str">
        <x:v>p_nom</x:v>
      </x:c>
      <x:c r="L504" s="279" t="n">
        <x:v>720</x:v>
      </x:c>
      <x:c r="M504" s="279" t="str">
        <x:v>MW</x:v>
      </x:c>
      <x:c r="N504" s="279" t="n">
        <x:f>IF(L504="","",IF(M504="GW",L504*1000,IF(M504="GWh",L504*1000,IF(M504="TWh",L504*1000000,L504))))</x:f>
        <x:v>720</x:v>
      </x:c>
      <x:c r="O504" s="83" t="str">
        <x:f>IF(L504="","",IF(M504="GW","MW",IF(OR(M504="GWh",M504="TWh"),"MWh",M504)))</x:f>
        <x:v>MW</x:v>
      </x:c>
      <x:c r="P504" s="83" t="str"/>
      <x:c r="Q504" s="349"/>
      <x:c r="R504" s="349" t="str">
        <x:f>IF(L504="","",IF(Q504&lt;&gt;"",L504*Q504,IF(OR(ISNUMBER(SEARCH("EUR2025",M504&amp;"")),P504=2025,P504="2025"),L504,"")))</x:f>
      </x:c>
      <x:c r="S504" s="83" t="str">
        <x:v>A — Direct</x:v>
      </x:c>
      <x:c r="T504" s="83" t="str">
        <x:v>Direct directional market-transfer capacity.</x:v>
      </x:c>
      <x:c r="U504" s="83" t="str">
        <x:v>S03</x:v>
      </x:c>
      <x:c r="V504" s="83" t="str">
        <x:v>S03 Figure 3 horizon 2035</x:v>
      </x:c>
      <x:c r="W504" s="120"/>
      <x:c r="X504" s="83" t="str">
        <x:v>A — Direct</x:v>
      </x:c>
      <x:c r="Y504" s="83" t="str">
        <x:v>Adopted</x:v>
      </x:c>
      <x:c r="Z504" s="83" t="str">
        <x:v>Ready when profiles/base network are available</x:v>
      </x:c>
      <x:c r="AA504" s="83" t="str">
        <x:v>Use endogenous PyPSA-Eur borders where available; otherwise DDS 2030 totals plus separately approved project overlays</x:v>
      </x:c>
    </x:row>
    <x:row r="505">
      <x:c r="A505" s="83" t="str">
        <x:v>S4-00501</x:v>
      </x:c>
      <x:c r="B505" s="83" t="str">
        <x:v>IT2040_GRID_DELAY</x:v>
      </x:c>
      <x:c r="C505" s="83" t="n">
        <x:v>2040</x:v>
      </x:c>
      <x:c r="D505" s="83" t="str">
        <x:v>Transmission</x:v>
      </x:c>
      <x:c r="E505" s="83" t="str">
        <x:v>SARD-&gt;CSUD</x:v>
      </x:c>
      <x:c r="F505" s="83" t="str">
        <x:v>SARD</x:v>
      </x:c>
      <x:c r="G505" s="83" t="str">
        <x:v>Capacità di scambio</x:v>
      </x:c>
      <x:c r="H505" s="83" t="str">
        <x:v>Directional interzonal link</x:v>
      </x:c>
      <x:c r="I505" s="83" t="str">
        <x:v>electricity</x:v>
      </x:c>
      <x:c r="J505" s="83" t="str">
        <x:v>Link</x:v>
      </x:c>
      <x:c r="K505" s="83" t="str">
        <x:v>p_nom</x:v>
      </x:c>
      <x:c r="L505" s="279" t="n">
        <x:v>900</x:v>
      </x:c>
      <x:c r="M505" s="279" t="str">
        <x:v>MW</x:v>
      </x:c>
      <x:c r="N505" s="279" t="n">
        <x:f>IF(L505="","",IF(M505="GW",L505*1000,IF(M505="GWh",L505*1000,IF(M505="TWh",L505*1000000,L505))))</x:f>
        <x:v>900</x:v>
      </x:c>
      <x:c r="O505" s="83" t="str">
        <x:f>IF(L505="","",IF(M505="GW","MW",IF(OR(M505="GWh",M505="TWh"),"MWh",M505)))</x:f>
        <x:v>MW</x:v>
      </x:c>
      <x:c r="P505" s="83" t="str"/>
      <x:c r="Q505" s="349"/>
      <x:c r="R505" s="349" t="str">
        <x:f>IF(L505="","",IF(Q505&lt;&gt;"",L505*Q505,IF(OR(ISNUMBER(SEARCH("EUR2025",M505&amp;"")),P505=2025,P505="2025"),L505,"")))</x:f>
      </x:c>
      <x:c r="S505" s="83" t="str">
        <x:v>A — Direct</x:v>
      </x:c>
      <x:c r="T505" s="83" t="str">
        <x:v>Direct directional market-transfer capacity.</x:v>
      </x:c>
      <x:c r="U505" s="83" t="str">
        <x:v>S03</x:v>
      </x:c>
      <x:c r="V505" s="83" t="str">
        <x:v>S03 Figure 3 horizon 2035</x:v>
      </x:c>
      <x:c r="W505" s="120"/>
      <x:c r="X505" s="83" t="str">
        <x:v>A — Direct</x:v>
      </x:c>
      <x:c r="Y505" s="83" t="str">
        <x:v>Adopted</x:v>
      </x:c>
      <x:c r="Z505" s="83" t="str">
        <x:v>Ready when profiles/base network are available</x:v>
      </x:c>
      <x:c r="AA505" s="83" t="str">
        <x:v>Use endogenous PyPSA-Eur borders where available; otherwise DDS 2030 totals plus separately approved project overlays</x:v>
      </x:c>
    </x:row>
    <x:row r="506">
      <x:c r="A506" s="83" t="str">
        <x:v>S4-00502</x:v>
      </x:c>
      <x:c r="B506" s="83" t="str">
        <x:v>IT2040_GRID_DELAY</x:v>
      </x:c>
      <x:c r="C506" s="83" t="n">
        <x:v>2040</x:v>
      </x:c>
      <x:c r="D506" s="83" t="str">
        <x:v>Transmission</x:v>
      </x:c>
      <x:c r="E506" s="83" t="str">
        <x:v>CNOR-&gt;CORS</x:v>
      </x:c>
      <x:c r="F506" s="83" t="str">
        <x:v>CNOR</x:v>
      </x:c>
      <x:c r="G506" s="83" t="str">
        <x:v>Capacità di scambio</x:v>
      </x:c>
      <x:c r="H506" s="83" t="str">
        <x:v>Directional interzonal link</x:v>
      </x:c>
      <x:c r="I506" s="83" t="str">
        <x:v>electricity</x:v>
      </x:c>
      <x:c r="J506" s="83" t="str">
        <x:v>Link</x:v>
      </x:c>
      <x:c r="K506" s="83" t="str">
        <x:v>p_nom</x:v>
      </x:c>
      <x:c r="L506" s="279" t="n">
        <x:v>400</x:v>
      </x:c>
      <x:c r="M506" s="279" t="str">
        <x:v>MW</x:v>
      </x:c>
      <x:c r="N506" s="279" t="n">
        <x:f>IF(L506="","",IF(M506="GW",L506*1000,IF(M506="GWh",L506*1000,IF(M506="TWh",L506*1000000,L506))))</x:f>
        <x:v>400</x:v>
      </x:c>
      <x:c r="O506" s="83" t="str">
        <x:f>IF(L506="","",IF(M506="GW","MW",IF(OR(M506="GWh",M506="TWh"),"MWh",M506)))</x:f>
        <x:v>MW</x:v>
      </x:c>
      <x:c r="P506" s="83" t="str"/>
      <x:c r="Q506" s="349"/>
      <x:c r="R506" s="349" t="str">
        <x:f>IF(L506="","",IF(Q506&lt;&gt;"",L506*Q506,IF(OR(ISNUMBER(SEARCH("EUR2025",M506&amp;"")),P506=2025,P506="2025"),L506,"")))</x:f>
      </x:c>
      <x:c r="S506" s="83" t="str">
        <x:v>A — Direct</x:v>
      </x:c>
      <x:c r="T506" s="83" t="str">
        <x:v>Direct directional market-transfer capacity.</x:v>
      </x:c>
      <x:c r="U506" s="83" t="str">
        <x:v>S03</x:v>
      </x:c>
      <x:c r="V506" s="83" t="str">
        <x:v>S03 Figure 3 horizon 2035</x:v>
      </x:c>
      <x:c r="W506" s="120"/>
      <x:c r="X506" s="83" t="str">
        <x:v>A — Direct</x:v>
      </x:c>
      <x:c r="Y506" s="83" t="str">
        <x:v>Adopted</x:v>
      </x:c>
      <x:c r="Z506" s="83" t="str">
        <x:v>Ready when profiles/base network are available</x:v>
      </x:c>
      <x:c r="AA506" s="83" t="str">
        <x:v>Use endogenous PyPSA-Eur borders where available; otherwise DDS 2030 totals plus separately approved project overlays</x:v>
      </x:c>
    </x:row>
    <x:row r="507">
      <x:c r="A507" s="83" t="str">
        <x:v>S4-00503</x:v>
      </x:c>
      <x:c r="B507" s="83" t="str">
        <x:v>IT2040_GRID_DELAY</x:v>
      </x:c>
      <x:c r="C507" s="83" t="n">
        <x:v>2040</x:v>
      </x:c>
      <x:c r="D507" s="83" t="str">
        <x:v>Transmission</x:v>
      </x:c>
      <x:c r="E507" s="83" t="str">
        <x:v>CORS-&gt;CNOR</x:v>
      </x:c>
      <x:c r="F507" s="83" t="str">
        <x:v>CORS</x:v>
      </x:c>
      <x:c r="G507" s="83" t="str">
        <x:v>Capacità di scambio</x:v>
      </x:c>
      <x:c r="H507" s="83" t="str">
        <x:v>Directional interzonal link</x:v>
      </x:c>
      <x:c r="I507" s="83" t="str">
        <x:v>electricity</x:v>
      </x:c>
      <x:c r="J507" s="83" t="str">
        <x:v>Link</x:v>
      </x:c>
      <x:c r="K507" s="83" t="str">
        <x:v>p_nom</x:v>
      </x:c>
      <x:c r="L507" s="279" t="n">
        <x:v>400</x:v>
      </x:c>
      <x:c r="M507" s="279" t="str">
        <x:v>MW</x:v>
      </x:c>
      <x:c r="N507" s="279" t="n">
        <x:f>IF(L507="","",IF(M507="GW",L507*1000,IF(M507="GWh",L507*1000,IF(M507="TWh",L507*1000000,L507))))</x:f>
        <x:v>400</x:v>
      </x:c>
      <x:c r="O507" s="83" t="str">
        <x:f>IF(L507="","",IF(M507="GW","MW",IF(OR(M507="GWh",M507="TWh"),"MWh",M507)))</x:f>
        <x:v>MW</x:v>
      </x:c>
      <x:c r="P507" s="83" t="str"/>
      <x:c r="Q507" s="349"/>
      <x:c r="R507" s="349" t="str">
        <x:f>IF(L507="","",IF(Q507&lt;&gt;"",L507*Q507,IF(OR(ISNUMBER(SEARCH("EUR2025",M507&amp;"")),P507=2025,P507="2025"),L507,"")))</x:f>
      </x:c>
      <x:c r="S507" s="83" t="str">
        <x:v>A — Direct</x:v>
      </x:c>
      <x:c r="T507" s="83" t="str">
        <x:v>Direct directional market-transfer capacity.</x:v>
      </x:c>
      <x:c r="U507" s="83" t="str">
        <x:v>S03</x:v>
      </x:c>
      <x:c r="V507" s="83" t="str">
        <x:v>S03 Figure 3 horizon 2035</x:v>
      </x:c>
      <x:c r="W507" s="120"/>
      <x:c r="X507" s="83" t="str">
        <x:v>A — Direct</x:v>
      </x:c>
      <x:c r="Y507" s="83" t="str">
        <x:v>Adopted</x:v>
      </x:c>
      <x:c r="Z507" s="83" t="str">
        <x:v>Ready when profiles/base network are available</x:v>
      </x:c>
      <x:c r="AA507" s="83" t="str">
        <x:v>Use endogenous PyPSA-Eur borders where available; otherwise DDS 2030 totals plus separately approved project overlays</x:v>
      </x:c>
    </x:row>
    <x:row r="508">
      <x:c r="A508" s="83" t="str">
        <x:v>S4-00504</x:v>
      </x:c>
      <x:c r="B508" s="83" t="str">
        <x:v>IT2040_GRID_DELAY</x:v>
      </x:c>
      <x:c r="C508" s="83" t="n">
        <x:v>2040</x:v>
      </x:c>
      <x:c r="D508" s="83" t="str">
        <x:v>Transmission</x:v>
      </x:c>
      <x:c r="E508" s="83" t="str">
        <x:v>CORS-&gt;SARD</x:v>
      </x:c>
      <x:c r="F508" s="83" t="str">
        <x:v>CORS</x:v>
      </x:c>
      <x:c r="G508" s="83" t="str">
        <x:v>Capacità di scambio</x:v>
      </x:c>
      <x:c r="H508" s="83" t="str">
        <x:v>Directional interzonal link</x:v>
      </x:c>
      <x:c r="I508" s="83" t="str">
        <x:v>electricity</x:v>
      </x:c>
      <x:c r="J508" s="83" t="str">
        <x:v>Link</x:v>
      </x:c>
      <x:c r="K508" s="83" t="str">
        <x:v>p_nom</x:v>
      </x:c>
      <x:c r="L508" s="279" t="n">
        <x:v>400</x:v>
      </x:c>
      <x:c r="M508" s="279" t="str">
        <x:v>MW</x:v>
      </x:c>
      <x:c r="N508" s="279" t="n">
        <x:f>IF(L508="","",IF(M508="GW",L508*1000,IF(M508="GWh",L508*1000,IF(M508="TWh",L508*1000000,L508))))</x:f>
        <x:v>400</x:v>
      </x:c>
      <x:c r="O508" s="83" t="str">
        <x:f>IF(L508="","",IF(M508="GW","MW",IF(OR(M508="GWh",M508="TWh"),"MWh",M508)))</x:f>
        <x:v>MW</x:v>
      </x:c>
      <x:c r="P508" s="83" t="str"/>
      <x:c r="Q508" s="349"/>
      <x:c r="R508" s="349" t="str">
        <x:f>IF(L508="","",IF(Q508&lt;&gt;"",L508*Q508,IF(OR(ISNUMBER(SEARCH("EUR2025",M508&amp;"")),P508=2025,P508="2025"),L508,"")))</x:f>
      </x:c>
      <x:c r="S508" s="83" t="str">
        <x:v>A — Direct</x:v>
      </x:c>
      <x:c r="T508" s="83" t="str">
        <x:v>Direct directional market-transfer capacity.</x:v>
      </x:c>
      <x:c r="U508" s="83" t="str">
        <x:v>S03</x:v>
      </x:c>
      <x:c r="V508" s="83" t="str">
        <x:v>S03 Figure 3 horizon 2035</x:v>
      </x:c>
      <x:c r="W508" s="120"/>
      <x:c r="X508" s="83" t="str">
        <x:v>A — Direct</x:v>
      </x:c>
      <x:c r="Y508" s="83" t="str">
        <x:v>Adopted</x:v>
      </x:c>
      <x:c r="Z508" s="83" t="str">
        <x:v>Ready when profiles/base network are available</x:v>
      </x:c>
      <x:c r="AA508" s="83" t="str">
        <x:v>Use endogenous PyPSA-Eur borders where available; otherwise DDS 2030 totals plus separately approved project overlays</x:v>
      </x:c>
    </x:row>
    <x:row r="509">
      <x:c r="A509" s="83" t="str">
        <x:v>S4-00505</x:v>
      </x:c>
      <x:c r="B509" s="83" t="str">
        <x:v>IT2040_GRID_DELAY</x:v>
      </x:c>
      <x:c r="C509" s="83" t="n">
        <x:v>2040</x:v>
      </x:c>
      <x:c r="D509" s="83" t="str">
        <x:v>Transmission</x:v>
      </x:c>
      <x:c r="E509" s="83" t="str">
        <x:v>SARD-&gt;CORS</x:v>
      </x:c>
      <x:c r="F509" s="83" t="str">
        <x:v>SARD</x:v>
      </x:c>
      <x:c r="G509" s="83" t="str">
        <x:v>Capacità di scambio</x:v>
      </x:c>
      <x:c r="H509" s="83" t="str">
        <x:v>Directional interzonal link</x:v>
      </x:c>
      <x:c r="I509" s="83" t="str">
        <x:v>electricity</x:v>
      </x:c>
      <x:c r="J509" s="83" t="str">
        <x:v>Link</x:v>
      </x:c>
      <x:c r="K509" s="83" t="str">
        <x:v>p_nom</x:v>
      </x:c>
      <x:c r="L509" s="279" t="n">
        <x:v>400</x:v>
      </x:c>
      <x:c r="M509" s="279" t="str">
        <x:v>MW</x:v>
      </x:c>
      <x:c r="N509" s="279" t="n">
        <x:f>IF(L509="","",IF(M509="GW",L509*1000,IF(M509="GWh",L509*1000,IF(M509="TWh",L509*1000000,L509))))</x:f>
        <x:v>400</x:v>
      </x:c>
      <x:c r="O509" s="83" t="str">
        <x:f>IF(L509="","",IF(M509="GW","MW",IF(OR(M509="GWh",M509="TWh"),"MWh",M509)))</x:f>
        <x:v>MW</x:v>
      </x:c>
      <x:c r="P509" s="83" t="str"/>
      <x:c r="Q509" s="349"/>
      <x:c r="R509" s="349" t="str">
        <x:f>IF(L509="","",IF(Q509&lt;&gt;"",L509*Q509,IF(OR(ISNUMBER(SEARCH("EUR2025",M509&amp;"")),P509=2025,P509="2025"),L509,"")))</x:f>
      </x:c>
      <x:c r="S509" s="83" t="str">
        <x:v>A — Direct</x:v>
      </x:c>
      <x:c r="T509" s="83" t="str">
        <x:v>Direct directional market-transfer capacity.</x:v>
      </x:c>
      <x:c r="U509" s="83" t="str">
        <x:v>S03</x:v>
      </x:c>
      <x:c r="V509" s="83" t="str">
        <x:v>S03 Figure 3 horizon 2035</x:v>
      </x:c>
      <x:c r="W509" s="120"/>
      <x:c r="X509" s="83" t="str">
        <x:v>A — Direct</x:v>
      </x:c>
      <x:c r="Y509" s="83" t="str">
        <x:v>Adopted</x:v>
      </x:c>
      <x:c r="Z509" s="83" t="str">
        <x:v>Ready when profiles/base network are available</x:v>
      </x:c>
      <x:c r="AA509" s="83" t="str">
        <x:v>Use endogenous PyPSA-Eur borders where available; otherwise DDS 2030 totals plus separately approved project overlays</x:v>
      </x:c>
    </x:row>
    <x:row r="510">
      <x:c r="A510" s="83" t="str">
        <x:v>S4-00506</x:v>
      </x:c>
      <x:c r="B510" s="83" t="str">
        <x:v>IT2040_GRID_DELAY</x:v>
      </x:c>
      <x:c r="C510" s="83" t="n">
        <x:v>2040</x:v>
      </x:c>
      <x:c r="D510" s="83" t="str">
        <x:v>Transmission</x:v>
      </x:c>
      <x:c r="E510" s="83" t="str">
        <x:v>NORD-&gt;SUD</x:v>
      </x:c>
      <x:c r="F510" s="83" t="str">
        <x:v>NORD</x:v>
      </x:c>
      <x:c r="G510" s="83" t="str">
        <x:v>Capacità di scambio</x:v>
      </x:c>
      <x:c r="H510" s="83" t="str">
        <x:v>Directional interzonal link</x:v>
      </x:c>
      <x:c r="I510" s="83" t="str">
        <x:v>electricity</x:v>
      </x:c>
      <x:c r="J510" s="83" t="str">
        <x:v>Link</x:v>
      </x:c>
      <x:c r="K510" s="83" t="str">
        <x:v>p_nom</x:v>
      </x:c>
      <x:c r="L510" s="279" t="n">
        <x:v>2100</x:v>
      </x:c>
      <x:c r="M510" s="279" t="str">
        <x:v>MW</x:v>
      </x:c>
      <x:c r="N510" s="279" t="n">
        <x:f>IF(L510="","",IF(M510="GW",L510*1000,IF(M510="GWh",L510*1000,IF(M510="TWh",L510*1000000,L510))))</x:f>
        <x:v>2100</x:v>
      </x:c>
      <x:c r="O510" s="83" t="str">
        <x:f>IF(L510="","",IF(M510="GW","MW",IF(OR(M510="GWh",M510="TWh"),"MWh",M510)))</x:f>
        <x:v>MW</x:v>
      </x:c>
      <x:c r="P510" s="83" t="str"/>
      <x:c r="Q510" s="349"/>
      <x:c r="R510" s="349" t="str">
        <x:f>IF(L510="","",IF(Q510&lt;&gt;"",L510*Q510,IF(OR(ISNUMBER(SEARCH("EUR2025",M510&amp;"")),P510=2025,P510="2025"),L510,"")))</x:f>
      </x:c>
      <x:c r="S510" s="83" t="str">
        <x:v>A — Direct</x:v>
      </x:c>
      <x:c r="T510" s="83" t="str">
        <x:v>Direct directional market-transfer capacity.</x:v>
      </x:c>
      <x:c r="U510" s="83" t="str">
        <x:v>S03</x:v>
      </x:c>
      <x:c r="V510" s="83" t="str">
        <x:v>S03 Figure 3 horizon 2035</x:v>
      </x:c>
      <x:c r="W510" s="120"/>
      <x:c r="X510" s="83" t="str">
        <x:v>A — Direct</x:v>
      </x:c>
      <x:c r="Y510" s="83" t="str">
        <x:v>Adopted</x:v>
      </x:c>
      <x:c r="Z510" s="83" t="str">
        <x:v>Ready when profiles/base network are available</x:v>
      </x:c>
      <x:c r="AA510" s="83" t="str">
        <x:v>Use endogenous PyPSA-Eur borders where available; otherwise DDS 2030 totals plus separately approved project overlays</x:v>
      </x:c>
    </x:row>
    <x:row r="511">
      <x:c r="A511" s="83" t="str">
        <x:v>S4-00507</x:v>
      </x:c>
      <x:c r="B511" s="83" t="str">
        <x:v>IT2040_GRID_DELAY</x:v>
      </x:c>
      <x:c r="C511" s="83" t="n">
        <x:v>2040</x:v>
      </x:c>
      <x:c r="D511" s="83" t="str">
        <x:v>Transmission</x:v>
      </x:c>
      <x:c r="E511" s="83" t="str">
        <x:v>SUD-&gt;NORD</x:v>
      </x:c>
      <x:c r="F511" s="83" t="str">
        <x:v>SUD</x:v>
      </x:c>
      <x:c r="G511" s="83" t="str">
        <x:v>Capacità di scambio</x:v>
      </x:c>
      <x:c r="H511" s="83" t="str">
        <x:v>Directional interzonal link</x:v>
      </x:c>
      <x:c r="I511" s="83" t="str">
        <x:v>electricity</x:v>
      </x:c>
      <x:c r="J511" s="83" t="str">
        <x:v>Link</x:v>
      </x:c>
      <x:c r="K511" s="83" t="str">
        <x:v>p_nom</x:v>
      </x:c>
      <x:c r="L511" s="279" t="n">
        <x:v>2100</x:v>
      </x:c>
      <x:c r="M511" s="279" t="str">
        <x:v>MW</x:v>
      </x:c>
      <x:c r="N511" s="279" t="n">
        <x:f>IF(L511="","",IF(M511="GW",L511*1000,IF(M511="GWh",L511*1000,IF(M511="TWh",L511*1000000,L511))))</x:f>
        <x:v>2100</x:v>
      </x:c>
      <x:c r="O511" s="83" t="str">
        <x:f>IF(L511="","",IF(M511="GW","MW",IF(OR(M511="GWh",M511="TWh"),"MWh",M511)))</x:f>
        <x:v>MW</x:v>
      </x:c>
      <x:c r="P511" s="83" t="str"/>
      <x:c r="Q511" s="349"/>
      <x:c r="R511" s="349" t="str">
        <x:f>IF(L511="","",IF(Q511&lt;&gt;"",L511*Q511,IF(OR(ISNUMBER(SEARCH("EUR2025",M511&amp;"")),P511=2025,P511="2025"),L511,"")))</x:f>
      </x:c>
      <x:c r="S511" s="83" t="str">
        <x:v>A — Direct</x:v>
      </x:c>
      <x:c r="T511" s="83" t="str">
        <x:v>Direct directional market-transfer capacity.</x:v>
      </x:c>
      <x:c r="U511" s="83" t="str">
        <x:v>S03</x:v>
      </x:c>
      <x:c r="V511" s="83" t="str">
        <x:v>S03 Figure 3 horizon 2035</x:v>
      </x:c>
      <x:c r="W511" s="120"/>
      <x:c r="X511" s="83" t="str">
        <x:v>A — Direct</x:v>
      </x:c>
      <x:c r="Y511" s="83" t="str">
        <x:v>Adopted</x:v>
      </x:c>
      <x:c r="Z511" s="83" t="str">
        <x:v>Ready when profiles/base network are available</x:v>
      </x:c>
      <x:c r="AA511" s="83" t="str">
        <x:v>Use endogenous PyPSA-Eur borders where available; otherwise DDS 2030 totals plus separately approved project overlays</x:v>
      </x:c>
    </x:row>
    <x:row r="512">
      <x:c r="A512" s="83" t="str">
        <x:v>S4-00508</x:v>
      </x:c>
      <x:c r="B512" s="83" t="str">
        <x:v>IT2040_GRID_DELAY</x:v>
      </x:c>
      <x:c r="C512" s="83" t="n">
        <x:v>2040</x:v>
      </x:c>
      <x:c r="D512" s="83" t="str">
        <x:v>Transmission</x:v>
      </x:c>
      <x:c r="E512" s="83" t="str">
        <x:v>NORD-&gt;CSUD</x:v>
      </x:c>
      <x:c r="F512" s="83" t="str">
        <x:v>NORD</x:v>
      </x:c>
      <x:c r="G512" s="83" t="str">
        <x:v>Capacità di scambio</x:v>
      </x:c>
      <x:c r="H512" s="83" t="str">
        <x:v>Directional interzonal link</x:v>
      </x:c>
      <x:c r="I512" s="83" t="str">
        <x:v>electricity</x:v>
      </x:c>
      <x:c r="J512" s="83" t="str">
        <x:v>Link</x:v>
      </x:c>
      <x:c r="K512" s="83" t="str">
        <x:v>p_nom</x:v>
      </x:c>
      <x:c r="L512" s="279" t="n">
        <x:v>2100</x:v>
      </x:c>
      <x:c r="M512" s="279" t="str">
        <x:v>MW</x:v>
      </x:c>
      <x:c r="N512" s="279" t="n">
        <x:f>IF(L512="","",IF(M512="GW",L512*1000,IF(M512="GWh",L512*1000,IF(M512="TWh",L512*1000000,L512))))</x:f>
        <x:v>2100</x:v>
      </x:c>
      <x:c r="O512" s="83" t="str">
        <x:f>IF(L512="","",IF(M512="GW","MW",IF(OR(M512="GWh",M512="TWh"),"MWh",M512)))</x:f>
        <x:v>MW</x:v>
      </x:c>
      <x:c r="P512" s="83" t="str"/>
      <x:c r="Q512" s="349"/>
      <x:c r="R512" s="349" t="str">
        <x:f>IF(L512="","",IF(Q512&lt;&gt;"",L512*Q512,IF(OR(ISNUMBER(SEARCH("EUR2025",M512&amp;"")),P512=2025,P512="2025"),L512,"")))</x:f>
      </x:c>
      <x:c r="S512" s="83" t="str">
        <x:v>A — Direct</x:v>
      </x:c>
      <x:c r="T512" s="83" t="str">
        <x:v>Direct directional market-transfer capacity.</x:v>
      </x:c>
      <x:c r="U512" s="83" t="str">
        <x:v>S03</x:v>
      </x:c>
      <x:c r="V512" s="83" t="str">
        <x:v>S03 Figure 3 horizon 2035</x:v>
      </x:c>
      <x:c r="W512" s="120"/>
      <x:c r="X512" s="83" t="str">
        <x:v>A — Direct</x:v>
      </x:c>
      <x:c r="Y512" s="83" t="str">
        <x:v>Adopted</x:v>
      </x:c>
      <x:c r="Z512" s="83" t="str">
        <x:v>Ready when profiles/base network are available</x:v>
      </x:c>
      <x:c r="AA512" s="83" t="str">
        <x:v>Use endogenous PyPSA-Eur borders where available; otherwise DDS 2030 totals plus separately approved project overlays</x:v>
      </x:c>
    </x:row>
    <x:row r="513">
      <x:c r="A513" s="83" t="str">
        <x:v>S4-00509</x:v>
      </x:c>
      <x:c r="B513" s="83" t="str">
        <x:v>IT2040_GRID_DELAY</x:v>
      </x:c>
      <x:c r="C513" s="83" t="n">
        <x:v>2040</x:v>
      </x:c>
      <x:c r="D513" s="83" t="str">
        <x:v>Transmission</x:v>
      </x:c>
      <x:c r="E513" s="83" t="str">
        <x:v>CSUD-&gt;NORD</x:v>
      </x:c>
      <x:c r="F513" s="83" t="str">
        <x:v>CSUD</x:v>
      </x:c>
      <x:c r="G513" s="83" t="str">
        <x:v>Capacità di scambio</x:v>
      </x:c>
      <x:c r="H513" s="83" t="str">
        <x:v>Directional interzonal link</x:v>
      </x:c>
      <x:c r="I513" s="83" t="str">
        <x:v>electricity</x:v>
      </x:c>
      <x:c r="J513" s="83" t="str">
        <x:v>Link</x:v>
      </x:c>
      <x:c r="K513" s="83" t="str">
        <x:v>p_nom</x:v>
      </x:c>
      <x:c r="L513" s="279" t="n">
        <x:v>2100</x:v>
      </x:c>
      <x:c r="M513" s="279" t="str">
        <x:v>MW</x:v>
      </x:c>
      <x:c r="N513" s="279" t="n">
        <x:f>IF(L513="","",IF(M513="GW",L513*1000,IF(M513="GWh",L513*1000,IF(M513="TWh",L513*1000000,L513))))</x:f>
        <x:v>2100</x:v>
      </x:c>
      <x:c r="O513" s="83" t="str">
        <x:f>IF(L513="","",IF(M513="GW","MW",IF(OR(M513="GWh",M513="TWh"),"MWh",M513)))</x:f>
        <x:v>MW</x:v>
      </x:c>
      <x:c r="P513" s="83" t="str"/>
      <x:c r="Q513" s="349"/>
      <x:c r="R513" s="349" t="str">
        <x:f>IF(L513="","",IF(Q513&lt;&gt;"",L513*Q513,IF(OR(ISNUMBER(SEARCH("EUR2025",M513&amp;"")),P513=2025,P513="2025"),L513,"")))</x:f>
      </x:c>
      <x:c r="S513" s="83" t="str">
        <x:v>A — Direct</x:v>
      </x:c>
      <x:c r="T513" s="83" t="str">
        <x:v>Direct directional market-transfer capacity.</x:v>
      </x:c>
      <x:c r="U513" s="83" t="str">
        <x:v>S03</x:v>
      </x:c>
      <x:c r="V513" s="83" t="str">
        <x:v>S03 Figure 3 horizon 2035</x:v>
      </x:c>
      <x:c r="W513" s="120"/>
      <x:c r="X513" s="83" t="str">
        <x:v>A — Direct</x:v>
      </x:c>
      <x:c r="Y513" s="83" t="str">
        <x:v>Adopted</x:v>
      </x:c>
      <x:c r="Z513" s="83" t="str">
        <x:v>Ready when profiles/base network are available</x:v>
      </x:c>
      <x:c r="AA513" s="83" t="str">
        <x:v>Use endogenous PyPSA-Eur borders where available; otherwise DDS 2030 totals plus separately approved project overlays</x:v>
      </x:c>
    </x:row>
    <x:row r="514">
      <x:c r="A514" s="83" t="str">
        <x:v>S4-00510</x:v>
      </x:c>
      <x:c r="B514" s="83" t="str">
        <x:v>IT2040_GRID_DELAY</x:v>
      </x:c>
      <x:c r="C514" s="83" t="n">
        <x:v>2040</x:v>
      </x:c>
      <x:c r="D514" s="83" t="str">
        <x:v>Transmission</x:v>
      </x:c>
      <x:c r="E514" s="83" t="str">
        <x:v>CSUD-&gt;SICI</x:v>
      </x:c>
      <x:c r="F514" s="83" t="str">
        <x:v>CSUD</x:v>
      </x:c>
      <x:c r="G514" s="83" t="str">
        <x:v>Capacità di scambio</x:v>
      </x:c>
      <x:c r="H514" s="83" t="str">
        <x:v>Directional interzonal link</x:v>
      </x:c>
      <x:c r="I514" s="83" t="str">
        <x:v>electricity</x:v>
      </x:c>
      <x:c r="J514" s="83" t="str">
        <x:v>Link</x:v>
      </x:c>
      <x:c r="K514" s="83" t="str">
        <x:v>p_nom</x:v>
      </x:c>
      <x:c r="L514" s="279" t="n">
        <x:v>1000</x:v>
      </x:c>
      <x:c r="M514" s="279" t="str">
        <x:v>MW</x:v>
      </x:c>
      <x:c r="N514" s="279" t="n">
        <x:f>IF(L514="","",IF(M514="GW",L514*1000,IF(M514="GWh",L514*1000,IF(M514="TWh",L514*1000000,L514))))</x:f>
        <x:v>1000</x:v>
      </x:c>
      <x:c r="O514" s="83" t="str">
        <x:f>IF(L514="","",IF(M514="GW","MW",IF(OR(M514="GWh",M514="TWh"),"MWh",M514)))</x:f>
        <x:v>MW</x:v>
      </x:c>
      <x:c r="P514" s="83" t="str"/>
      <x:c r="Q514" s="349"/>
      <x:c r="R514" s="349" t="str">
        <x:f>IF(L514="","",IF(Q514&lt;&gt;"",L514*Q514,IF(OR(ISNUMBER(SEARCH("EUR2025",M514&amp;"")),P514=2025,P514="2025"),L514,"")))</x:f>
      </x:c>
      <x:c r="S514" s="83" t="str">
        <x:v>A — Direct</x:v>
      </x:c>
      <x:c r="T514" s="83" t="str">
        <x:v>Direct directional market-transfer capacity.</x:v>
      </x:c>
      <x:c r="U514" s="83" t="str">
        <x:v>S03</x:v>
      </x:c>
      <x:c r="V514" s="83" t="str">
        <x:v>S03 Figure 3 horizon 2035</x:v>
      </x:c>
      <x:c r="W514" s="120"/>
      <x:c r="X514" s="83" t="str">
        <x:v>A — Direct</x:v>
      </x:c>
      <x:c r="Y514" s="83" t="str">
        <x:v>Adopted</x:v>
      </x:c>
      <x:c r="Z514" s="83" t="str">
        <x:v>Ready when profiles/base network are available</x:v>
      </x:c>
      <x:c r="AA514" s="83" t="str">
        <x:v>Use endogenous PyPSA-Eur borders where available; otherwise DDS 2030 totals plus separately approved project overlays</x:v>
      </x:c>
    </x:row>
    <x:row r="515">
      <x:c r="A515" s="83" t="str">
        <x:v>S4-00511</x:v>
      </x:c>
      <x:c r="B515" s="83" t="str">
        <x:v>IT2040_GRID_DELAY</x:v>
      </x:c>
      <x:c r="C515" s="83" t="n">
        <x:v>2040</x:v>
      </x:c>
      <x:c r="D515" s="83" t="str">
        <x:v>Transmission</x:v>
      </x:c>
      <x:c r="E515" s="83" t="str">
        <x:v>SICI-&gt;CSUD</x:v>
      </x:c>
      <x:c r="F515" s="83" t="str">
        <x:v>SICI</x:v>
      </x:c>
      <x:c r="G515" s="83" t="str">
        <x:v>Capacità di scambio</x:v>
      </x:c>
      <x:c r="H515" s="83" t="str">
        <x:v>Directional interzonal link</x:v>
      </x:c>
      <x:c r="I515" s="83" t="str">
        <x:v>electricity</x:v>
      </x:c>
      <x:c r="J515" s="83" t="str">
        <x:v>Link</x:v>
      </x:c>
      <x:c r="K515" s="83" t="str">
        <x:v>p_nom</x:v>
      </x:c>
      <x:c r="L515" s="279" t="n">
        <x:v>1000</x:v>
      </x:c>
      <x:c r="M515" s="279" t="str">
        <x:v>MW</x:v>
      </x:c>
      <x:c r="N515" s="279" t="n">
        <x:f>IF(L515="","",IF(M515="GW",L515*1000,IF(M515="GWh",L515*1000,IF(M515="TWh",L515*1000000,L515))))</x:f>
        <x:v>1000</x:v>
      </x:c>
      <x:c r="O515" s="83" t="str">
        <x:f>IF(L515="","",IF(M515="GW","MW",IF(OR(M515="GWh",M515="TWh"),"MWh",M515)))</x:f>
        <x:v>MW</x:v>
      </x:c>
      <x:c r="P515" s="83" t="str"/>
      <x:c r="Q515" s="349"/>
      <x:c r="R515" s="349" t="str">
        <x:f>IF(L515="","",IF(Q515&lt;&gt;"",L515*Q515,IF(OR(ISNUMBER(SEARCH("EUR2025",M515&amp;"")),P515=2025,P515="2025"),L515,"")))</x:f>
      </x:c>
      <x:c r="S515" s="83" t="str">
        <x:v>A — Direct</x:v>
      </x:c>
      <x:c r="T515" s="83" t="str">
        <x:v>Direct directional market-transfer capacity.</x:v>
      </x:c>
      <x:c r="U515" s="83" t="str">
        <x:v>S03</x:v>
      </x:c>
      <x:c r="V515" s="83" t="str">
        <x:v>S03 Figure 3 horizon 2035</x:v>
      </x:c>
      <x:c r="W515" s="120"/>
      <x:c r="X515" s="83" t="str">
        <x:v>A — Direct</x:v>
      </x:c>
      <x:c r="Y515" s="83" t="str">
        <x:v>Adopted</x:v>
      </x:c>
      <x:c r="Z515" s="83" t="str">
        <x:v>Ready when profiles/base network are available</x:v>
      </x:c>
      <x:c r="AA515" s="83" t="str">
        <x:v>Use endogenous PyPSA-Eur borders where available; otherwise DDS 2030 totals plus separately approved project overlays</x:v>
      </x:c>
    </x:row>
    <x:row r="516">
      <x:c r="A516" s="83" t="str">
        <x:v>S4-00512</x:v>
      </x:c>
      <x:c r="B516" s="83" t="str">
        <x:v>IT2040_GRID_DELAY</x:v>
      </x:c>
      <x:c r="C516" s="83" t="n">
        <x:v>2040</x:v>
      </x:c>
      <x:c r="D516" s="83" t="str">
        <x:v>Transmission</x:v>
      </x:c>
      <x:c r="E516" s="83" t="str">
        <x:v>SARD-&gt;SICI</x:v>
      </x:c>
      <x:c r="F516" s="83" t="str">
        <x:v>SARD</x:v>
      </x:c>
      <x:c r="G516" s="83" t="str">
        <x:v>Capacità di scambio</x:v>
      </x:c>
      <x:c r="H516" s="83" t="str">
        <x:v>Directional interzonal link</x:v>
      </x:c>
      <x:c r="I516" s="83" t="str">
        <x:v>electricity</x:v>
      </x:c>
      <x:c r="J516" s="83" t="str">
        <x:v>Link</x:v>
      </x:c>
      <x:c r="K516" s="83" t="str">
        <x:v>p_nom</x:v>
      </x:c>
      <x:c r="L516" s="279" t="n">
        <x:v>1000</x:v>
      </x:c>
      <x:c r="M516" s="279" t="str">
        <x:v>MW</x:v>
      </x:c>
      <x:c r="N516" s="279" t="n">
        <x:f>IF(L516="","",IF(M516="GW",L516*1000,IF(M516="GWh",L516*1000,IF(M516="TWh",L516*1000000,L516))))</x:f>
        <x:v>1000</x:v>
      </x:c>
      <x:c r="O516" s="83" t="str">
        <x:f>IF(L516="","",IF(M516="GW","MW",IF(OR(M516="GWh",M516="TWh"),"MWh",M516)))</x:f>
        <x:v>MW</x:v>
      </x:c>
      <x:c r="P516" s="83" t="str"/>
      <x:c r="Q516" s="349"/>
      <x:c r="R516" s="349" t="str">
        <x:f>IF(L516="","",IF(Q516&lt;&gt;"",L516*Q516,IF(OR(ISNUMBER(SEARCH("EUR2025",M516&amp;"")),P516=2025,P516="2025"),L516,"")))</x:f>
      </x:c>
      <x:c r="S516" s="83" t="str">
        <x:v>A — Direct</x:v>
      </x:c>
      <x:c r="T516" s="83" t="str">
        <x:v>Direct directional market-transfer capacity.</x:v>
      </x:c>
      <x:c r="U516" s="83" t="str">
        <x:v>S03</x:v>
      </x:c>
      <x:c r="V516" s="83" t="str">
        <x:v>S03 Figure 3 horizon 2035</x:v>
      </x:c>
      <x:c r="W516" s="120"/>
      <x:c r="X516" s="83" t="str">
        <x:v>A — Direct</x:v>
      </x:c>
      <x:c r="Y516" s="83" t="str">
        <x:v>Adopted</x:v>
      </x:c>
      <x:c r="Z516" s="83" t="str">
        <x:v>Ready when profiles/base network are available</x:v>
      </x:c>
      <x:c r="AA516" s="83" t="str">
        <x:v>Use endogenous PyPSA-Eur borders where available; otherwise DDS 2030 totals plus separately approved project overlays</x:v>
      </x:c>
    </x:row>
    <x:row r="517">
      <x:c r="A517" s="83" t="str">
        <x:v>S4-00513</x:v>
      </x:c>
      <x:c r="B517" s="83" t="str">
        <x:v>IT2040_GRID_DELAY</x:v>
      </x:c>
      <x:c r="C517" s="83" t="n">
        <x:v>2040</x:v>
      </x:c>
      <x:c r="D517" s="83" t="str">
        <x:v>Transmission</x:v>
      </x:c>
      <x:c r="E517" s="83" t="str">
        <x:v>SICI-&gt;SARD</x:v>
      </x:c>
      <x:c r="F517" s="83" t="str">
        <x:v>SICI</x:v>
      </x:c>
      <x:c r="G517" s="83" t="str">
        <x:v>Capacità di scambio</x:v>
      </x:c>
      <x:c r="H517" s="83" t="str">
        <x:v>Directional interzonal link</x:v>
      </x:c>
      <x:c r="I517" s="83" t="str">
        <x:v>electricity</x:v>
      </x:c>
      <x:c r="J517" s="83" t="str">
        <x:v>Link</x:v>
      </x:c>
      <x:c r="K517" s="83" t="str">
        <x:v>p_nom</x:v>
      </x:c>
      <x:c r="L517" s="279" t="n">
        <x:v>1000</x:v>
      </x:c>
      <x:c r="M517" s="279" t="str">
        <x:v>MW</x:v>
      </x:c>
      <x:c r="N517" s="279" t="n">
        <x:f>IF(L517="","",IF(M517="GW",L517*1000,IF(M517="GWh",L517*1000,IF(M517="TWh",L517*1000000,L517))))</x:f>
        <x:v>1000</x:v>
      </x:c>
      <x:c r="O517" s="83" t="str">
        <x:f>IF(L517="","",IF(M517="GW","MW",IF(OR(M517="GWh",M517="TWh"),"MWh",M517)))</x:f>
        <x:v>MW</x:v>
      </x:c>
      <x:c r="P517" s="83" t="str"/>
      <x:c r="Q517" s="349"/>
      <x:c r="R517" s="349" t="str">
        <x:f>IF(L517="","",IF(Q517&lt;&gt;"",L517*Q517,IF(OR(ISNUMBER(SEARCH("EUR2025",M517&amp;"")),P517=2025,P517="2025"),L517,"")))</x:f>
      </x:c>
      <x:c r="S517" s="83" t="str">
        <x:v>A — Direct</x:v>
      </x:c>
      <x:c r="T517" s="83" t="str">
        <x:v>Direct directional market-transfer capacity.</x:v>
      </x:c>
      <x:c r="U517" s="83" t="str">
        <x:v>S03</x:v>
      </x:c>
      <x:c r="V517" s="83" t="str">
        <x:v>S03 Figure 3 horizon 2035</x:v>
      </x:c>
      <x:c r="W517" s="120"/>
      <x:c r="X517" s="83" t="str">
        <x:v>A — Direct</x:v>
      </x:c>
      <x:c r="Y517" s="83" t="str">
        <x:v>Adopted</x:v>
      </x:c>
      <x:c r="Z517" s="83" t="str">
        <x:v>Ready when profiles/base network are available</x:v>
      </x:c>
      <x:c r="AA517" s="83" t="str">
        <x:v>Use endogenous PyPSA-Eur borders where available; otherwise DDS 2030 totals plus separately approved project overlays</x:v>
      </x:c>
    </x:row>
    <x:row r="518">
      <x:c r="A518" s="83" t="str">
        <x:v>S4-00514</x:v>
      </x:c>
      <x:c r="B518" s="83" t="str">
        <x:v>IT2040_GRID_DELAY</x:v>
      </x:c>
      <x:c r="C518" s="83" t="n">
        <x:v>2040</x:v>
      </x:c>
      <x:c r="D518" s="83" t="str">
        <x:v>Fuel and CO2</x:v>
      </x:c>
      <x:c r="E518" s="83" t="str">
        <x:v>Italy</x:v>
      </x:c>
      <x:c r="F518" s="83"/>
      <x:c r="G518" s="83" t="str">
        <x:v>Gas naturale</x:v>
      </x:c>
      <x:c r="H518" s="83" t="str">
        <x:v>Natural gas fuel price</x:v>
      </x:c>
      <x:c r="I518" s="83" t="str">
        <x:v>gas</x:v>
      </x:c>
      <x:c r="J518" s="83" t="str">
        <x:v>Carrier/Generator</x:v>
      </x:c>
      <x:c r="K518" s="83" t="str">
        <x:v>fuel_cost</x:v>
      </x:c>
      <x:c r="L518" s="279" t="n">
        <x:v>36.4</x:v>
      </x:c>
      <x:c r="M518" s="279" t="str">
        <x:v>EUR2023/MWh_th</x:v>
      </x:c>
      <x:c r="N518" s="279" t="n">
        <x:f>IF(L518="","",IF(M518="GW",L518*1000,IF(M518="GWh",L518*1000,IF(M518="TWh",L518*1000000,L518))))</x:f>
        <x:v>36.4</x:v>
      </x:c>
      <x:c r="O518" s="83" t="str">
        <x:f>IF(L518="","",IF(M518="GW","MW",IF(OR(M518="GWh",M518="TWh"),"MWh",M518)))</x:f>
        <x:v>EUR2023/MWh_th</x:v>
      </x:c>
      <x:c r="P518" s="83" t="n">
        <x:v>2023</x:v>
      </x:c>
      <x:c r="Q518" s="349" t="n">
        <x:v>1.045504</x:v>
      </x:c>
      <x:c r="R518" s="349" t="n">
        <x:f>IF(L518="","",IF(Q518&lt;&gt;"",L518*Q518,IF(OR(ISNUMBER(SEARCH("EUR2025",M518&amp;"")),P518=2025,P518="2025"),L518,"")))</x:f>
        <x:v>38.0563456</x:v>
      </x:c>
      <x:c r="S518" s="83" t="str">
        <x:v>A — Direct</x:v>
      </x:c>
      <x:c r="T518" s="83" t="str">
        <x:v>Inflate to EUR2025 using euro-area annual HICP rates 2024 and 2025.</x:v>
      </x:c>
      <x:c r="U518" s="83" t="str">
        <x:v>S01 / S09</x:v>
      </x:c>
      <x:c r="V518" s="83" t="str">
        <x:v>Commodity tables</x:v>
      </x:c>
      <x:c r="W518" s="120" t="str">
        <x:v>https://www.ecb.europa.eu/stats/ecb_surveys/survey_of_professional_forecasters/html/ecb.spf2025q4.en.html</x:v>
      </x:c>
      <x:c r="X518" s="83" t="str">
        <x:v>A — Direct</x:v>
      </x:c>
      <x:c r="Y518" s="83" t="str">
        <x:v>Adopted scenario override</x:v>
      </x:c>
      <x:c r="Z518" s="83" t="str">
        <x:v>Ready when profiles/base network are available</x:v>
      </x:c>
      <x:c r="AA518" s="83"/>
    </x:row>
    <x:row r="519">
      <x:c r="A519" s="83" t="str">
        <x:v>S4-00515</x:v>
      </x:c>
      <x:c r="B519" s="83" t="str">
        <x:v>IT2040_GRID_DELAY</x:v>
      </x:c>
      <x:c r="C519" s="83" t="n">
        <x:v>2040</x:v>
      </x:c>
      <x:c r="D519" s="83" t="str">
        <x:v>Fuel and CO2</x:v>
      </x:c>
      <x:c r="E519" s="83" t="str">
        <x:v>Italy</x:v>
      </x:c>
      <x:c r="F519" s="83"/>
      <x:c r="G519" s="83" t="str">
        <x:v>CO2 ETS</x:v>
      </x:c>
      <x:c r="H519" s="83" t="str">
        <x:v>CO2 allowance price</x:v>
      </x:c>
      <x:c r="I519" s="83" t="str">
        <x:v>co2</x:v>
      </x:c>
      <x:c r="J519" s="83" t="str">
        <x:v>Carrier/Generator</x:v>
      </x:c>
      <x:c r="K519" s="83" t="str">
        <x:v>marginal_cost build</x:v>
      </x:c>
      <x:c r="L519" s="279" t="n">
        <x:v>100</x:v>
      </x:c>
      <x:c r="M519" s="279" t="str">
        <x:v>EUR2023/tCO2</x:v>
      </x:c>
      <x:c r="N519" s="279" t="n">
        <x:f>IF(L519="","",IF(M519="GW",L519*1000,IF(M519="GWh",L519*1000,IF(M519="TWh",L519*1000000,L519))))</x:f>
        <x:v>100</x:v>
      </x:c>
      <x:c r="O519" s="83" t="str">
        <x:f>IF(L519="","",IF(M519="GW","MW",IF(OR(M519="GWh",M519="TWh"),"MWh",M519)))</x:f>
        <x:v>EUR2023/tCO2</x:v>
      </x:c>
      <x:c r="P519" s="83" t="n">
        <x:v>2023</x:v>
      </x:c>
      <x:c r="Q519" s="349" t="n">
        <x:v>1.045504</x:v>
      </x:c>
      <x:c r="R519" s="349" t="n">
        <x:f>IF(L519="","",IF(Q519&lt;&gt;"",L519*Q519,IF(OR(ISNUMBER(SEARCH("EUR2025",M519&amp;"")),P519=2025,P519="2025"),L519,"")))</x:f>
        <x:v>104.5504</x:v>
      </x:c>
      <x:c r="S519" s="83" t="str">
        <x:v>A — Direct</x:v>
      </x:c>
      <x:c r="T519" s="83" t="str">
        <x:v>Inflate to EUR2025 using euro-area annual HICP rates 2024 and 2025.</x:v>
      </x:c>
      <x:c r="U519" s="83" t="str">
        <x:v>S01 / S09</x:v>
      </x:c>
      <x:c r="V519" s="83" t="str">
        <x:v>Commodity tables</x:v>
      </x:c>
      <x:c r="W519" s="120" t="str">
        <x:v>https://www.ecb.europa.eu/stats/ecb_surveys/survey_of_professional_forecasters/html/ecb.spf2025q4.en.html</x:v>
      </x:c>
      <x:c r="X519" s="83" t="str">
        <x:v>A — Direct</x:v>
      </x:c>
      <x:c r="Y519" s="83" t="str">
        <x:v>Adopted scenario override</x:v>
      </x:c>
      <x:c r="Z519" s="83" t="str">
        <x:v>Ready when profiles/base network are available</x:v>
      </x:c>
      <x:c r="AA519" s="83"/>
    </x:row>
    <x:row r="520">
      <x:c r="A520" s="83" t="str">
        <x:v>S4-00516</x:v>
      </x:c>
      <x:c r="B520" s="83" t="str">
        <x:v>IT2040_GRID_DELAY</x:v>
      </x:c>
      <x:c r="C520" s="83" t="n">
        <x:v>2040</x:v>
      </x:c>
      <x:c r="D520" s="83" t="str">
        <x:v>Technical parameters</x:v>
      </x:c>
      <x:c r="E520" s="83" t="str">
        <x:v>National technology class</x:v>
      </x:c>
      <x:c r="F520" s="83"/>
      <x:c r="G520" s="83" t="str">
        <x:v>CCGT</x:v>
      </x:c>
      <x:c r="H520" s="83" t="str">
        <x:v>CCGT efficiency</x:v>
      </x:c>
      <x:c r="I520" s="83" t="str">
        <x:v>ccgt</x:v>
      </x:c>
      <x:c r="J520" s="83" t="str">
        <x:v>Generator/Carrier</x:v>
      </x:c>
      <x:c r="K520" s="83" t="str">
        <x:v>efficiency</x:v>
      </x:c>
      <x:c r="L520" s="279" t="n">
        <x:v>0.59</x:v>
      </x:c>
      <x:c r="M520" s="279" t="str">
        <x:v>per unit</x:v>
      </x:c>
      <x:c r="N520" s="279" t="n">
        <x:f>IF(L520="","",IF(M520="GW",L520*1000,IF(M520="GWh",L520*1000,IF(M520="TWh",L520*1000000,L520))))</x:f>
        <x:v>0.59</x:v>
      </x:c>
      <x:c r="O520" s="83" t="str">
        <x:f>IF(L520="","",IF(M520="GW","MW",IF(OR(M520="GWh",M520="TWh"),"MWh",M520)))</x:f>
        <x:v>per unit</x:v>
      </x:c>
      <x:c r="P520" s="83" t="str">
        <x:v>2015.0</x:v>
      </x:c>
      <x:c r="Q520" s="349"/>
      <x:c r="R520" s="349" t="str">
        <x:f>IF(L520="","",IF(Q520&lt;&gt;"",L520*Q520,IF(OR(ISNUMBER(SEARCH("EUR2025",M520&amp;"")),P520=2025,P520="2025"),L520,"")))</x:f>
      </x:c>
      <x:c r="S520" s="83" t="str">
        <x:v>C — External candidate</x:v>
      </x:c>
      <x:c r="T520" s="83" t="str">
        <x:v>Use v0.15.0 provisionally; actual CLI release/commit overrides.</x:v>
      </x:c>
      <x:c r="U520" s="83" t="str">
        <x:v>EXT-TD</x:v>
      </x:c>
      <x:c r="V520" s="83" t="str">
        <x:v>PyPSA technology-data v0.15.0 2040</x:v>
      </x:c>
      <x:c r="W520" s="120" t="str">
        <x:v>https://github.com/PyPSA/technology-data/releases/tag/v0.15.0</x:v>
      </x:c>
      <x:c r="X520" s="83" t="str">
        <x:v>C — Provisional</x:v>
      </x:c>
      <x:c r="Y520" s="83" t="str">
        <x:v>Provisional</x:v>
      </x:c>
      <x:c r="Z520" s="83" t="str">
        <x:v>Blocked until CLI pin/cohort mapping</x:v>
      </x:c>
      <x:c r="AA520" s="83"/>
    </x:row>
    <x:row r="521">
      <x:c r="A521" s="83" t="str">
        <x:v>S4-00517</x:v>
      </x:c>
      <x:c r="B521" s="83" t="str">
        <x:v>IT2040_GRID_DELAY</x:v>
      </x:c>
      <x:c r="C521" s="83" t="n">
        <x:v>2040</x:v>
      </x:c>
      <x:c r="D521" s="83" t="str">
        <x:v>Technical parameters</x:v>
      </x:c>
      <x:c r="E521" s="83" t="str">
        <x:v>National technology class</x:v>
      </x:c>
      <x:c r="F521" s="83"/>
      <x:c r="G521" s="83" t="str">
        <x:v>CCGT</x:v>
      </x:c>
      <x:c r="H521" s="83" t="str">
        <x:v>CCGT VOM</x:v>
      </x:c>
      <x:c r="I521" s="83" t="str">
        <x:v>ccgt</x:v>
      </x:c>
      <x:c r="J521" s="83" t="str">
        <x:v>Generator/Carrier</x:v>
      </x:c>
      <x:c r="K521" s="83" t="str">
        <x:v>marginal_cost/VOM</x:v>
      </x:c>
      <x:c r="L521" s="279" t="n">
        <x:v>5.4768</x:v>
      </x:c>
      <x:c r="M521" s="279" t="str">
        <x:v>EUR/MWh</x:v>
      </x:c>
      <x:c r="N521" s="279" t="n">
        <x:f>IF(L521="","",IF(M521="GW",L521*1000,IF(M521="GWh",L521*1000,IF(M521="TWh",L521*1000000,L521))))</x:f>
        <x:v>5.4768</x:v>
      </x:c>
      <x:c r="O521" s="83" t="str">
        <x:f>IF(L521="","",IF(M521="GW","MW",IF(OR(M521="GWh",M521="TWh"),"MWh",M521)))</x:f>
        <x:v>EUR/MWh</x:v>
      </x:c>
      <x:c r="P521" s="83" t="str">
        <x:v>2025.0</x:v>
      </x:c>
      <x:c r="Q521" s="349"/>
      <x:c r="R521" s="349" t="n">
        <x:f>IF(L521="","",IF(Q521&lt;&gt;"",L521*Q521,IF(OR(ISNUMBER(SEARCH("EUR2025",M521&amp;"")),P521=2025,P521="2025"),L521,"")))</x:f>
        <x:v>5.4768</x:v>
      </x:c>
      <x:c r="S521" s="83" t="str">
        <x:v>C — External candidate</x:v>
      </x:c>
      <x:c r="T521" s="83" t="str">
        <x:v>Use v0.15.0 provisionally; actual CLI release/commit overrides.</x:v>
      </x:c>
      <x:c r="U521" s="83" t="str">
        <x:v>EXT-TD</x:v>
      </x:c>
      <x:c r="V521" s="83" t="str">
        <x:v>PyPSA technology-data v0.15.0 2040</x:v>
      </x:c>
      <x:c r="W521" s="120" t="str">
        <x:v>https://github.com/PyPSA/technology-data/releases/tag/v0.15.0</x:v>
      </x:c>
      <x:c r="X521" s="83" t="str">
        <x:v>C — Provisional</x:v>
      </x:c>
      <x:c r="Y521" s="83" t="str">
        <x:v>Provisional</x:v>
      </x:c>
      <x:c r="Z521" s="83" t="str">
        <x:v>Blocked until CLI pin/cohort mapping</x:v>
      </x:c>
      <x:c r="AA521" s="83"/>
    </x:row>
    <x:row r="522">
      <x:c r="A522" s="83" t="str">
        <x:v>S4-00518</x:v>
      </x:c>
      <x:c r="B522" s="83" t="str">
        <x:v>IT2040_GRID_DELAY</x:v>
      </x:c>
      <x:c r="C522" s="83" t="n">
        <x:v>2040</x:v>
      </x:c>
      <x:c r="D522" s="83" t="str">
        <x:v>Technical parameters</x:v>
      </x:c>
      <x:c r="E522" s="83" t="str">
        <x:v>National technology class</x:v>
      </x:c>
      <x:c r="F522" s="83"/>
      <x:c r="G522" s="83" t="str">
        <x:v>OCGT</x:v>
      </x:c>
      <x:c r="H522" s="83" t="str">
        <x:v>OCGT efficiency</x:v>
      </x:c>
      <x:c r="I522" s="83" t="str">
        <x:v>ocgt</x:v>
      </x:c>
      <x:c r="J522" s="83" t="str">
        <x:v>Generator/Carrier</x:v>
      </x:c>
      <x:c r="K522" s="83" t="str">
        <x:v>efficiency</x:v>
      </x:c>
      <x:c r="L522" s="279" t="n">
        <x:v>0.42</x:v>
      </x:c>
      <x:c r="M522" s="279" t="str">
        <x:v>per unit</x:v>
      </x:c>
      <x:c r="N522" s="279" t="n">
        <x:f>IF(L522="","",IF(M522="GW",L522*1000,IF(M522="GWh",L522*1000,IF(M522="TWh",L522*1000000,L522))))</x:f>
        <x:v>0.42</x:v>
      </x:c>
      <x:c r="O522" s="83" t="str">
        <x:f>IF(L522="","",IF(M522="GW","MW",IF(OR(M522="GWh",M522="TWh"),"MWh",M522)))</x:f>
        <x:v>per unit</x:v>
      </x:c>
      <x:c r="P522" s="83" t="str">
        <x:v>2015.0</x:v>
      </x:c>
      <x:c r="Q522" s="349"/>
      <x:c r="R522" s="349" t="str">
        <x:f>IF(L522="","",IF(Q522&lt;&gt;"",L522*Q522,IF(OR(ISNUMBER(SEARCH("EUR2025",M522&amp;"")),P522=2025,P522="2025"),L522,"")))</x:f>
      </x:c>
      <x:c r="S522" s="83" t="str">
        <x:v>C — External candidate</x:v>
      </x:c>
      <x:c r="T522" s="83" t="str">
        <x:v>Use v0.15.0 provisionally; actual CLI release/commit overrides.</x:v>
      </x:c>
      <x:c r="U522" s="83" t="str">
        <x:v>EXT-TD</x:v>
      </x:c>
      <x:c r="V522" s="83" t="str">
        <x:v>PyPSA technology-data v0.15.0 2040</x:v>
      </x:c>
      <x:c r="W522" s="120" t="str">
        <x:v>https://github.com/PyPSA/technology-data/releases/tag/v0.15.0</x:v>
      </x:c>
      <x:c r="X522" s="83" t="str">
        <x:v>C — Provisional</x:v>
      </x:c>
      <x:c r="Y522" s="83" t="str">
        <x:v>Provisional</x:v>
      </x:c>
      <x:c r="Z522" s="83" t="str">
        <x:v>Blocked until CLI pin/cohort mapping</x:v>
      </x:c>
      <x:c r="AA522" s="83"/>
    </x:row>
    <x:row r="523">
      <x:c r="A523" s="83" t="str">
        <x:v>S4-00519</x:v>
      </x:c>
      <x:c r="B523" s="83" t="str">
        <x:v>IT2040_GRID_DELAY</x:v>
      </x:c>
      <x:c r="C523" s="83" t="n">
        <x:v>2040</x:v>
      </x:c>
      <x:c r="D523" s="83" t="str">
        <x:v>Technical parameters</x:v>
      </x:c>
      <x:c r="E523" s="83" t="str">
        <x:v>National technology class</x:v>
      </x:c>
      <x:c r="F523" s="83"/>
      <x:c r="G523" s="83" t="str">
        <x:v>OCGT</x:v>
      </x:c>
      <x:c r="H523" s="83" t="str">
        <x:v>OCGT VOM</x:v>
      </x:c>
      <x:c r="I523" s="83" t="str">
        <x:v>ocgt</x:v>
      </x:c>
      <x:c r="J523" s="83" t="str">
        <x:v>Generator/Carrier</x:v>
      </x:c>
      <x:c r="K523" s="83" t="str">
        <x:v>marginal_cost/VOM</x:v>
      </x:c>
      <x:c r="L523" s="279" t="n">
        <x:v>6.0111</x:v>
      </x:c>
      <x:c r="M523" s="279" t="str">
        <x:v>EUR/MWh</x:v>
      </x:c>
      <x:c r="N523" s="279" t="n">
        <x:f>IF(L523="","",IF(M523="GW",L523*1000,IF(M523="GWh",L523*1000,IF(M523="TWh",L523*1000000,L523))))</x:f>
        <x:v>6.0111</x:v>
      </x:c>
      <x:c r="O523" s="83" t="str">
        <x:f>IF(L523="","",IF(M523="GW","MW",IF(OR(M523="GWh",M523="TWh"),"MWh",M523)))</x:f>
        <x:v>EUR/MWh</x:v>
      </x:c>
      <x:c r="P523" s="83" t="str">
        <x:v>2025.0</x:v>
      </x:c>
      <x:c r="Q523" s="349"/>
      <x:c r="R523" s="349" t="n">
        <x:f>IF(L523="","",IF(Q523&lt;&gt;"",L523*Q523,IF(OR(ISNUMBER(SEARCH("EUR2025",M523&amp;"")),P523=2025,P523="2025"),L523,"")))</x:f>
        <x:v>6.0111</x:v>
      </x:c>
      <x:c r="S523" s="83" t="str">
        <x:v>C — External candidate</x:v>
      </x:c>
      <x:c r="T523" s="83" t="str">
        <x:v>Use v0.15.0 provisionally; actual CLI release/commit overrides.</x:v>
      </x:c>
      <x:c r="U523" s="83" t="str">
        <x:v>EXT-TD</x:v>
      </x:c>
      <x:c r="V523" s="83" t="str">
        <x:v>PyPSA technology-data v0.15.0 2040</x:v>
      </x:c>
      <x:c r="W523" s="120" t="str">
        <x:v>https://github.com/PyPSA/technology-data/releases/tag/v0.15.0</x:v>
      </x:c>
      <x:c r="X523" s="83" t="str">
        <x:v>C — Provisional</x:v>
      </x:c>
      <x:c r="Y523" s="83" t="str">
        <x:v>Provisional</x:v>
      </x:c>
      <x:c r="Z523" s="83" t="str">
        <x:v>Blocked until CLI pin/cohort mapping</x:v>
      </x:c>
      <x:c r="AA523" s="83"/>
    </x:row>
    <x:row r="524">
      <x:c r="A524" s="83" t="str">
        <x:v>S4-00520</x:v>
      </x:c>
      <x:c r="B524" s="83" t="str">
        <x:v>IT2040_GRID_DELAY</x:v>
      </x:c>
      <x:c r="C524" s="83" t="n">
        <x:v>2040</x:v>
      </x:c>
      <x:c r="D524" s="83" t="str">
        <x:v>Technical parameters</x:v>
      </x:c>
      <x:c r="E524" s="83" t="str">
        <x:v>National technology class</x:v>
      </x:c>
      <x:c r="F524" s="83"/>
      <x:c r="G524" s="83" t="str">
        <x:v>gas</x:v>
      </x:c>
      <x:c r="H524" s="83" t="str">
        <x:v>gas CO2 intensity</x:v>
      </x:c>
      <x:c r="I524" s="83" t="str">
        <x:v>gas</x:v>
      </x:c>
      <x:c r="J524" s="83" t="str">
        <x:v>Generator/Carrier</x:v>
      </x:c>
      <x:c r="K524" s="83" t="str">
        <x:v>co2_emissions</x:v>
      </x:c>
      <x:c r="L524" s="279" t="n">
        <x:v>0.198</x:v>
      </x:c>
      <x:c r="M524" s="279" t="str">
        <x:v>tCO2/MWh_th</x:v>
      </x:c>
      <x:c r="N524" s="279" t="n">
        <x:f>IF(L524="","",IF(M524="GW",L524*1000,IF(M524="GWh",L524*1000,IF(M524="TWh",L524*1000000,L524))))</x:f>
        <x:v>0.198</x:v>
      </x:c>
      <x:c r="O524" s="83" t="str">
        <x:f>IF(L524="","",IF(M524="GW","MW",IF(OR(M524="GWh",M524="TWh"),"MWh",M524)))</x:f>
        <x:v>tCO2/MWh_th</x:v>
      </x:c>
      <x:c r="P524" s="83" t="str"/>
      <x:c r="Q524" s="349"/>
      <x:c r="R524" s="349" t="str">
        <x:f>IF(L524="","",IF(Q524&lt;&gt;"",L524*Q524,IF(OR(ISNUMBER(SEARCH("EUR2025",M524&amp;"")),P524=2025,P524="2025"),L524,"")))</x:f>
      </x:c>
      <x:c r="S524" s="83" t="str">
        <x:v>C — External candidate</x:v>
      </x:c>
      <x:c r="T524" s="83" t="str">
        <x:v>Use v0.15.0 provisionally; actual CLI release/commit overrides.</x:v>
      </x:c>
      <x:c r="U524" s="83" t="str">
        <x:v>EXT-TD</x:v>
      </x:c>
      <x:c r="V524" s="83" t="str">
        <x:v>PyPSA technology-data v0.15.0 2040</x:v>
      </x:c>
      <x:c r="W524" s="120" t="str">
        <x:v>https://github.com/PyPSA/technology-data/releases/tag/v0.15.0</x:v>
      </x:c>
      <x:c r="X524" s="83" t="str">
        <x:v>C — Provisional</x:v>
      </x:c>
      <x:c r="Y524" s="83" t="str">
        <x:v>Provisional</x:v>
      </x:c>
      <x:c r="Z524" s="83" t="str">
        <x:v>Blocked until CLI pin/cohort mapping</x:v>
      </x:c>
      <x:c r="AA524" s="83"/>
    </x:row>
    <x:row r="525">
      <x:c r="A525" s="83" t="str">
        <x:v>S4-00521</x:v>
      </x:c>
      <x:c r="B525" s="83" t="str">
        <x:v>IT2040_GRID_DELAY</x:v>
      </x:c>
      <x:c r="C525" s="83" t="n">
        <x:v>2040</x:v>
      </x:c>
      <x:c r="D525" s="83" t="str">
        <x:v>Technical parameters</x:v>
      </x:c>
      <x:c r="E525" s="83" t="str">
        <x:v>All zones</x:v>
      </x:c>
      <x:c r="F525" s="83"/>
      <x:c r="G525" s="83" t="str">
        <x:v>solar-rooftop</x:v>
      </x:c>
      <x:c r="H525" s="83" t="str">
        <x:v>solar-rooftop marginal cost</x:v>
      </x:c>
      <x:c r="I525" s="83" t="str">
        <x:v>solar-rooftop</x:v>
      </x:c>
      <x:c r="J525" s="83" t="str">
        <x:v>Generator</x:v>
      </x:c>
      <x:c r="K525" s="83" t="str">
        <x:v>marginal_cost</x:v>
      </x:c>
      <x:c r="L525" s="279" t="n">
        <x:v>0</x:v>
      </x:c>
      <x:c r="M525" s="279" t="str">
        <x:v>EUR2025/MWh</x:v>
      </x:c>
      <x:c r="N525" s="279" t="str">
        <x:f>IF(L525="","",IF(M525="GW",L525*1000,IF(M525="GWh",L525*1000,IF(M525="TWh",L525*1000000,L525))))</x:f>
      </x:c>
      <x:c r="O525" s="83" t="str">
        <x:f>IF(L525="","",IF(M525="GW","MW",IF(OR(M525="GWh",M525="TWh"),"MWh",M525)))</x:f>
      </x:c>
      <x:c r="P525" s="83" t="str"/>
      <x:c r="Q525" s="349"/>
      <x:c r="R525" s="349" t="str">
        <x:f>IF(L525="","",IF(Q525&lt;&gt;"",L525*Q525,IF(OR(ISNUMBER(SEARCH("EUR2025",M525&amp;"")),P525=2025,P525="2025"),L525,"")))</x:f>
      </x:c>
      <x:c r="S525" s="83" t="str">
        <x:v>C — Harmonisation rule</x:v>
      </x:c>
      <x:c r="T525" s="83" t="str">
        <x:v>Zero marginal cost in base; negative-bid sensitivity separate.</x:v>
      </x:c>
      <x:c r="U525" s="83" t="str">
        <x:v>ASSUMPTION</x:v>
      </x:c>
      <x:c r="V525" s="83" t="str">
        <x:v>Phase 4 dispatch boundary</x:v>
      </x:c>
      <x:c r="W525" s="120"/>
      <x:c r="X525" s="83" t="str">
        <x:v>A — Direct</x:v>
      </x:c>
      <x:c r="Y525" s="83" t="str">
        <x:v>Proposed</x:v>
      </x:c>
      <x:c r="Z525" s="83" t="str">
        <x:v>Ready when profiles/base network are available</x:v>
      </x:c>
      <x:c r="AA525" s="83"/>
    </x:row>
    <x:row r="526">
      <x:c r="A526" s="83" t="str">
        <x:v>S4-00522</x:v>
      </x:c>
      <x:c r="B526" s="83" t="str">
        <x:v>IT2040_GRID_DELAY</x:v>
      </x:c>
      <x:c r="C526" s="83" t="n">
        <x:v>2040</x:v>
      </x:c>
      <x:c r="D526" s="83" t="str">
        <x:v>Technical parameters</x:v>
      </x:c>
      <x:c r="E526" s="83" t="str">
        <x:v>All zones</x:v>
      </x:c>
      <x:c r="F526" s="83"/>
      <x:c r="G526" s="83" t="str">
        <x:v>solar-utility</x:v>
      </x:c>
      <x:c r="H526" s="83" t="str">
        <x:v>solar-utility marginal cost</x:v>
      </x:c>
      <x:c r="I526" s="83" t="str">
        <x:v>solar-utility</x:v>
      </x:c>
      <x:c r="J526" s="83" t="str">
        <x:v>Generator</x:v>
      </x:c>
      <x:c r="K526" s="83" t="str">
        <x:v>marginal_cost</x:v>
      </x:c>
      <x:c r="L526" s="279" t="n">
        <x:v>0</x:v>
      </x:c>
      <x:c r="M526" s="279" t="str">
        <x:v>EUR2025/MWh</x:v>
      </x:c>
      <x:c r="N526" s="279" t="str">
        <x:f>IF(L526="","",IF(M526="GW",L526*1000,IF(M526="GWh",L526*1000,IF(M526="TWh",L526*1000000,L526))))</x:f>
      </x:c>
      <x:c r="O526" s="83" t="str">
        <x:f>IF(L526="","",IF(M526="GW","MW",IF(OR(M526="GWh",M526="TWh"),"MWh",M526)))</x:f>
      </x:c>
      <x:c r="P526" s="83" t="str"/>
      <x:c r="Q526" s="349"/>
      <x:c r="R526" s="349" t="str">
        <x:f>IF(L526="","",IF(Q526&lt;&gt;"",L526*Q526,IF(OR(ISNUMBER(SEARCH("EUR2025",M526&amp;"")),P526=2025,P526="2025"),L526,"")))</x:f>
      </x:c>
      <x:c r="S526" s="83" t="str">
        <x:v>C — Harmonisation rule</x:v>
      </x:c>
      <x:c r="T526" s="83" t="str">
        <x:v>Zero marginal cost in base; negative-bid sensitivity separate.</x:v>
      </x:c>
      <x:c r="U526" s="83" t="str">
        <x:v>ASSUMPTION</x:v>
      </x:c>
      <x:c r="V526" s="83" t="str">
        <x:v>Phase 4 dispatch boundary</x:v>
      </x:c>
      <x:c r="W526" s="120"/>
      <x:c r="X526" s="83" t="str">
        <x:v>A — Direct</x:v>
      </x:c>
      <x:c r="Y526" s="83" t="str">
        <x:v>Proposed</x:v>
      </x:c>
      <x:c r="Z526" s="83" t="str">
        <x:v>Ready when profiles/base network are available</x:v>
      </x:c>
      <x:c r="AA526" s="83"/>
    </x:row>
    <x:row r="527">
      <x:c r="A527" s="83" t="str">
        <x:v>S4-00523</x:v>
      </x:c>
      <x:c r="B527" s="83" t="str">
        <x:v>IT2040_GRID_DELAY</x:v>
      </x:c>
      <x:c r="C527" s="83" t="n">
        <x:v>2040</x:v>
      </x:c>
      <x:c r="D527" s="83" t="str">
        <x:v>Technical parameters</x:v>
      </x:c>
      <x:c r="E527" s="83" t="str">
        <x:v>All zones</x:v>
      </x:c>
      <x:c r="F527" s="83"/>
      <x:c r="G527" s="83" t="str">
        <x:v>onwind</x:v>
      </x:c>
      <x:c r="H527" s="83" t="str">
        <x:v>onwind marginal cost</x:v>
      </x:c>
      <x:c r="I527" s="83" t="str">
        <x:v>onwind</x:v>
      </x:c>
      <x:c r="J527" s="83" t="str">
        <x:v>Generator</x:v>
      </x:c>
      <x:c r="K527" s="83" t="str">
        <x:v>marginal_cost</x:v>
      </x:c>
      <x:c r="L527" s="279" t="n">
        <x:v>0</x:v>
      </x:c>
      <x:c r="M527" s="279" t="str">
        <x:v>EUR2025/MWh</x:v>
      </x:c>
      <x:c r="N527" s="279" t="str">
        <x:f>IF(L527="","",IF(M527="GW",L527*1000,IF(M527="GWh",L527*1000,IF(M527="TWh",L527*1000000,L527))))</x:f>
      </x:c>
      <x:c r="O527" s="83" t="str">
        <x:f>IF(L527="","",IF(M527="GW","MW",IF(OR(M527="GWh",M527="TWh"),"MWh",M527)))</x:f>
      </x:c>
      <x:c r="P527" s="83" t="str"/>
      <x:c r="Q527" s="349"/>
      <x:c r="R527" s="349" t="str">
        <x:f>IF(L527="","",IF(Q527&lt;&gt;"",L527*Q527,IF(OR(ISNUMBER(SEARCH("EUR2025",M527&amp;"")),P527=2025,P527="2025"),L527,"")))</x:f>
      </x:c>
      <x:c r="S527" s="83" t="str">
        <x:v>C — Harmonisation rule</x:v>
      </x:c>
      <x:c r="T527" s="83" t="str">
        <x:v>Zero marginal cost in base; negative-bid sensitivity separate.</x:v>
      </x:c>
      <x:c r="U527" s="83" t="str">
        <x:v>ASSUMPTION</x:v>
      </x:c>
      <x:c r="V527" s="83" t="str">
        <x:v>Phase 4 dispatch boundary</x:v>
      </x:c>
      <x:c r="W527" s="120"/>
      <x:c r="X527" s="83" t="str">
        <x:v>A — Direct</x:v>
      </x:c>
      <x:c r="Y527" s="83" t="str">
        <x:v>Proposed</x:v>
      </x:c>
      <x:c r="Z527" s="83" t="str">
        <x:v>Ready when profiles/base network are available</x:v>
      </x:c>
      <x:c r="AA527" s="83"/>
    </x:row>
    <x:row r="528">
      <x:c r="A528" s="83" t="str">
        <x:v>S4-00524</x:v>
      </x:c>
      <x:c r="B528" s="83" t="str">
        <x:v>IT2040_GRID_DELAY</x:v>
      </x:c>
      <x:c r="C528" s="83" t="n">
        <x:v>2040</x:v>
      </x:c>
      <x:c r="D528" s="83" t="str">
        <x:v>Technical parameters</x:v>
      </x:c>
      <x:c r="E528" s="83" t="str">
        <x:v>All zones</x:v>
      </x:c>
      <x:c r="F528" s="83"/>
      <x:c r="G528" s="83" t="str">
        <x:v>offwind</x:v>
      </x:c>
      <x:c r="H528" s="83" t="str">
        <x:v>offwind marginal cost</x:v>
      </x:c>
      <x:c r="I528" s="83" t="str">
        <x:v>offwind</x:v>
      </x:c>
      <x:c r="J528" s="83" t="str">
        <x:v>Generator</x:v>
      </x:c>
      <x:c r="K528" s="83" t="str">
        <x:v>marginal_cost</x:v>
      </x:c>
      <x:c r="L528" s="279" t="n">
        <x:v>0</x:v>
      </x:c>
      <x:c r="M528" s="279" t="str">
        <x:v>EUR2025/MWh</x:v>
      </x:c>
      <x:c r="N528" s="279" t="str">
        <x:f>IF(L528="","",IF(M528="GW",L528*1000,IF(M528="GWh",L528*1000,IF(M528="TWh",L528*1000000,L528))))</x:f>
      </x:c>
      <x:c r="O528" s="83" t="str">
        <x:f>IF(L528="","",IF(M528="GW","MW",IF(OR(M528="GWh",M528="TWh"),"MWh",M528)))</x:f>
      </x:c>
      <x:c r="P528" s="83" t="str"/>
      <x:c r="Q528" s="349"/>
      <x:c r="R528" s="349" t="str">
        <x:f>IF(L528="","",IF(Q528&lt;&gt;"",L528*Q528,IF(OR(ISNUMBER(SEARCH("EUR2025",M528&amp;"")),P528=2025,P528="2025"),L528,"")))</x:f>
      </x:c>
      <x:c r="S528" s="83" t="str">
        <x:v>C — Harmonisation rule</x:v>
      </x:c>
      <x:c r="T528" s="83" t="str">
        <x:v>Zero marginal cost in base; negative-bid sensitivity separate.</x:v>
      </x:c>
      <x:c r="U528" s="83" t="str">
        <x:v>ASSUMPTION</x:v>
      </x:c>
      <x:c r="V528" s="83" t="str">
        <x:v>Phase 4 dispatch boundary</x:v>
      </x:c>
      <x:c r="W528" s="120"/>
      <x:c r="X528" s="83" t="str">
        <x:v>A — Direct</x:v>
      </x:c>
      <x:c r="Y528" s="83" t="str">
        <x:v>Proposed</x:v>
      </x:c>
      <x:c r="Z528" s="83" t="str">
        <x:v>Ready when profiles/base network are available</x:v>
      </x:c>
      <x:c r="AA528" s="83"/>
    </x:row>
    <x:row r="529">
      <x:c r="A529" s="83" t="str">
        <x:v>S4-00525</x:v>
      </x:c>
      <x:c r="B529" s="83" t="str">
        <x:v>IT2040_GRID_DELAY</x:v>
      </x:c>
      <x:c r="C529" s="83" t="n">
        <x:v>2040</x:v>
      </x:c>
      <x:c r="D529" s="83" t="str">
        <x:v>Technical parameters</x:v>
      </x:c>
      <x:c r="E529" s="83" t="str">
        <x:v>All zones</x:v>
      </x:c>
      <x:c r="F529" s="83"/>
      <x:c r="G529" s="83" t="str">
        <x:v>Li-ion battery</x:v>
      </x:c>
      <x:c r="H529" s="83" t="str">
        <x:v>Battery one-way efficiency</x:v>
      </x:c>
      <x:c r="I529" s="83" t="str">
        <x:v>battery</x:v>
      </x:c>
      <x:c r="J529" s="83" t="str">
        <x:v>Link</x:v>
      </x:c>
      <x:c r="K529" s="83" t="str">
        <x:v>efficiency</x:v>
      </x:c>
      <x:c r="L529" s="279" t="n">
        <x:v>0.9486832980505138</x:v>
      </x:c>
      <x:c r="M529" s="279" t="str">
        <x:v>p.u.</x:v>
      </x:c>
      <x:c r="N529" s="279" t="n">
        <x:f>IF(L529="","",IF(M529="GW",L529*1000,IF(M529="GWh",L529*1000,IF(M529="TWh",L529*1000000,L529))))</x:f>
        <x:v>0.9486832980505138</x:v>
      </x:c>
      <x:c r="O529" s="83" t="str">
        <x:f>IF(L529="","",IF(M529="GW","MW",IF(OR(M529="GWh",M529="TWh"),"MWh",M529)))</x:f>
        <x:v>p.u.</x:v>
      </x:c>
      <x:c r="P529" s="83" t="str"/>
      <x:c r="Q529" s="349"/>
      <x:c r="R529" s="349" t="str">
        <x:f>IF(L529="","",IF(Q529&lt;&gt;"",L529*Q529,IF(OR(ISNUMBER(SEARCH("EUR2025",M529&amp;"")),P529=2025,P529="2025"),L529,"")))</x:f>
      </x:c>
      <x:c r="S529" s="83" t="str">
        <x:v>B — Derived</x:v>
      </x:c>
      <x:c r="T529" s="83" t="str">
        <x:v>sqrt(0.90 round-trip), symmetric charge/discharge.</x:v>
      </x:c>
      <x:c r="U529" s="83" t="str">
        <x:v>S07 / EXT-TD</x:v>
      </x:c>
      <x:c r="V529" s="83" t="str">
        <x:v>Terna 90% RTE; technology-data inverter 96%</x:v>
      </x:c>
      <x:c r="W529" s="120"/>
      <x:c r="X529" s="83" t="str">
        <x:v>B — Derived</x:v>
      </x:c>
      <x:c r="Y529" s="83" t="str">
        <x:v>Proposed</x:v>
      </x:c>
      <x:c r="Z529" s="83" t="str">
        <x:v>Ready when profiles/base network are available</x:v>
      </x:c>
      <x:c r="AA529" s="83"/>
    </x:row>
    <x:row r="530">
      <x:c r="A530" s="83" t="str">
        <x:v>S4-00526</x:v>
      </x:c>
      <x:c r="B530" s="83" t="str">
        <x:v>IT2040_GRID_DELAY</x:v>
      </x:c>
      <x:c r="C530" s="83" t="n">
        <x:v>2040</x:v>
      </x:c>
      <x:c r="D530" s="83" t="str">
        <x:v>Technical parameters</x:v>
      </x:c>
      <x:c r="E530" s="83" t="str">
        <x:v>Existing PHS sites</x:v>
      </x:c>
      <x:c r="F530" s="83"/>
      <x:c r="G530" s="83" t="str">
        <x:v>PHS</x:v>
      </x:c>
      <x:c r="H530" s="83" t="str">
        <x:v>PHS one-way efficiency</x:v>
      </x:c>
      <x:c r="I530" s="83" t="str">
        <x:v>PHS</x:v>
      </x:c>
      <x:c r="J530" s="83" t="str">
        <x:v>Link</x:v>
      </x:c>
      <x:c r="K530" s="83" t="str">
        <x:v>efficiency</x:v>
      </x:c>
      <x:c r="L530" s="279" t="n">
        <x:v>0.8660254037844386</x:v>
      </x:c>
      <x:c r="M530" s="279" t="str">
        <x:v>p.u.</x:v>
      </x:c>
      <x:c r="N530" s="279" t="n">
        <x:f>IF(L530="","",IF(M530="GW",L530*1000,IF(M530="GWh",L530*1000,IF(M530="TWh",L530*1000000,L530))))</x:f>
        <x:v>0.8660254037844386</x:v>
      </x:c>
      <x:c r="O530" s="83" t="str">
        <x:f>IF(L530="","",IF(M530="GW","MW",IF(OR(M530="GWh",M530="TWh"),"MWh",M530)))</x:f>
        <x:v>p.u.</x:v>
      </x:c>
      <x:c r="P530" s="83" t="str"/>
      <x:c r="Q530" s="349"/>
      <x:c r="R530" s="349" t="str">
        <x:f>IF(L530="","",IF(Q530&lt;&gt;"",L530*Q530,IF(OR(ISNUMBER(SEARCH("EUR2025",M530&amp;"")),P530=2025,P530="2025"),L530,"")))</x:f>
      </x:c>
      <x:c r="S530" s="83" t="str">
        <x:v>C — External candidate</x:v>
      </x:c>
      <x:c r="T530" s="83" t="str">
        <x:v>sqrt(0.75 round-trip), symmetric split.</x:v>
      </x:c>
      <x:c r="U530" s="83" t="str">
        <x:v>EXT-TD</x:v>
      </x:c>
      <x:c r="V530" s="83" t="str">
        <x:v>technology-data v0.15.0</x:v>
      </x:c>
      <x:c r="W530" s="120" t="str">
        <x:v>https://github.com/PyPSA/technology-data/releases/tag/v0.15.0</x:v>
      </x:c>
      <x:c r="X530" s="83" t="str">
        <x:v>C — Provisional</x:v>
      </x:c>
      <x:c r="Y530" s="83" t="str">
        <x:v>Proposed</x:v>
      </x:c>
      <x:c r="Z530" s="83" t="str">
        <x:v>Ready when profiles/base network are available</x:v>
      </x:c>
      <x:c r="AA530" s="83"/>
    </x:row>
    <x:row r="531">
      <x:c r="A531" s="83" t="str">
        <x:v>S4-00527</x:v>
      </x:c>
      <x:c r="B531" s="83" t="str">
        <x:v>IT2040_GRID_DELAY</x:v>
      </x:c>
      <x:c r="C531" s="83" t="n">
        <x:v>2040</x:v>
      </x:c>
      <x:c r="D531" s="83" t="str">
        <x:v>Model setting</x:v>
      </x:c>
      <x:c r="E531" s="83" t="str">
        <x:v>System</x:v>
      </x:c>
      <x:c r="F531" s="83"/>
      <x:c r="G531" s="83" t="str">
        <x:v>Capacity expansion</x:v>
      </x:c>
      <x:c r="H531" s="83" t="str">
        <x:v>Fixed capacities</x:v>
      </x:c>
      <x:c r="I531" s="83" t="str">
        <x:v>model</x:v>
      </x:c>
      <x:c r="J531" s="83" t="str">
        <x:v>Network</x:v>
      </x:c>
      <x:c r="K531" s="83" t="str">
        <x:v>p_nom_extendable</x:v>
      </x:c>
      <x:c r="L531" s="279" t="n">
        <x:v>0</x:v>
      </x:c>
      <x:c r="M531" s="279" t="str">
        <x:v>boolean</x:v>
      </x:c>
      <x:c r="N531" s="279" t="str">
        <x:f>IF(L531="","",IF(M531="GW",L531*1000,IF(M531="GWh",L531*1000,IF(M531="TWh",L531*1000000,L531))))</x:f>
      </x:c>
      <x:c r="O531" s="83" t="str">
        <x:f>IF(L531="","",IF(M531="GW","MW",IF(OR(M531="GWh",M531="TWh"),"MWh",M531)))</x:f>
      </x:c>
      <x:c r="P531" s="83" t="str"/>
      <x:c r="Q531" s="349"/>
      <x:c r="R531" s="349" t="str">
        <x:f>IF(L531="","",IF(Q531&lt;&gt;"",L531*Q531,IF(OR(ISNUMBER(SEARCH("EUR2025",M531&amp;"")),P531=2025,P531="2025"),L531,"")))</x:f>
      </x:c>
      <x:c r="S531" s="83" t="str">
        <x:v>Project decision</x:v>
      </x:c>
      <x:c r="T531" s="83" t="str">
        <x:v>All capacities fixed; dispatch-only.</x:v>
      </x:c>
      <x:c r="U531" s="83" t="str">
        <x:v>PLAN</x:v>
      </x:c>
      <x:c r="V531" s="83" t="str">
        <x:v>Phase 2 decision</x:v>
      </x:c>
      <x:c r="W531" s="120"/>
      <x:c r="X531" s="83" t="str">
        <x:v>A — Direct</x:v>
      </x:c>
      <x:c r="Y531" s="83" t="str">
        <x:v>Adopted</x:v>
      </x:c>
      <x:c r="Z531" s="83" t="str">
        <x:v>Ready when profiles/base network are available</x:v>
      </x:c>
      <x:c r="AA531" s="83"/>
    </x:row>
    <x:row r="532">
      <x:c r="A532" s="83" t="str">
        <x:v>S4-00528</x:v>
      </x:c>
      <x:c r="B532" s="83" t="str">
        <x:v>IT2040_GRID_DELAY</x:v>
      </x:c>
      <x:c r="C532" s="83" t="n">
        <x:v>2040</x:v>
      </x:c>
      <x:c r="D532" s="83" t="str">
        <x:v>Model setting</x:v>
      </x:c>
      <x:c r="E532" s="83" t="str">
        <x:v>System</x:v>
      </x:c>
      <x:c r="F532" s="83"/>
      <x:c r="G532" s="83" t="str">
        <x:v>Unit commitment</x:v>
      </x:c>
      <x:c r="H532" s="83" t="str">
        <x:v>Linear dispatch base</x:v>
      </x:c>
      <x:c r="I532" s="83" t="str">
        <x:v>model</x:v>
      </x:c>
      <x:c r="J532" s="83" t="str">
        <x:v>Generator</x:v>
      </x:c>
      <x:c r="K532" s="83" t="str">
        <x:v>committable</x:v>
      </x:c>
      <x:c r="L532" s="279" t="n">
        <x:v>0</x:v>
      </x:c>
      <x:c r="M532" s="279" t="str">
        <x:v>boolean</x:v>
      </x:c>
      <x:c r="N532" s="279" t="str">
        <x:f>IF(L532="","",IF(M532="GW",L532*1000,IF(M532="GWh",L532*1000,IF(M532="TWh",L532*1000000,L532))))</x:f>
      </x:c>
      <x:c r="O532" s="83" t="str">
        <x:f>IF(L532="","",IF(M532="GW","MW",IF(OR(M532="GWh",M532="TWh"),"MWh",M532)))</x:f>
      </x:c>
      <x:c r="P532" s="83" t="str"/>
      <x:c r="Q532" s="349"/>
      <x:c r="R532" s="349" t="str">
        <x:f>IF(L532="","",IF(Q532&lt;&gt;"",L532*Q532,IF(OR(ISNUMBER(SEARCH("EUR2025",M532&amp;"")),P532=2025,P532="2025"),L532,"")))</x:f>
      </x:c>
      <x:c r="S532" s="83" t="str">
        <x:v>Project decision</x:v>
      </x:c>
      <x:c r="T532" s="83" t="str">
        <x:v>Unit commitment only as sensitivity.</x:v>
      </x:c>
      <x:c r="U532" s="83" t="str">
        <x:v>PLAN</x:v>
      </x:c>
      <x:c r="V532" s="83" t="str">
        <x:v>Phase 2/3D decision</x:v>
      </x:c>
      <x:c r="W532" s="120"/>
      <x:c r="X532" s="83" t="str">
        <x:v>A — Direct</x:v>
      </x:c>
      <x:c r="Y532" s="83" t="str">
        <x:v>Adopted</x:v>
      </x:c>
      <x:c r="Z532" s="83" t="str">
        <x:v>Ready when profiles/base network are available</x:v>
      </x:c>
      <x:c r="AA532" s="83"/>
    </x:row>
  </x:sheetData>
  <x:mergeCells>
    <x:mergeCell ref="A1:AA1"/>
    <x:mergeCell ref="A2:AA2"/>
  </x:mergeCells>
  <x:conditionalFormatting sqref="S5:S532">
    <x:cfRule type="expression" dxfId="87" priority="1">
      <x:formula>LEFT(S5,1)="A"</x:formula>
    </x:cfRule>
    <x:cfRule type="expression" dxfId="88" priority="2">
      <x:formula>OR(LEFT(S5,1)="C",LEFT(S5,1)="D")</x:formula>
    </x:cfRule>
  </x:conditionalFormatting>
  <x:conditionalFormatting sqref="Y5:Y532">
    <x:cfRule type="expression" dxfId="89" priority="3">
      <x:formula>ISNUMBER(SEARCH("Adopted",Y5))</x:formula>
    </x:cfRule>
  </x:conditionalFormatting>
  <x:conditionalFormatting sqref="Z5:Z532">
    <x:cfRule type="expression" dxfId="90" priority="4">
      <x:formula>ISNUMBER(SEARCH("Blocked",Z5))</x:formula>
    </x:cfRule>
    <x:cfRule type="expression" dxfId="91" priority="5">
      <x:formula>ISNUMBER(SEARCH("Conditional",Z5))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8f51c9b6be481d"/>
  </x:tableParts>
</x:worksheet>
</file>

<file path=xl/worksheets/sheet5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2" hidden="0" customWidth="1"/>
    <x:col min="4" max="4" width="24" hidden="0" customWidth="1"/>
    <x:col min="5" max="5" width="18" hidden="0" customWidth="1"/>
    <x:col min="6" max="6" width="16" hidden="0" customWidth="1"/>
    <x:col min="7" max="7" width="38" hidden="0" customWidth="1"/>
    <x:col min="8" max="8" width="38" hidden="0" customWidth="1"/>
    <x:col min="9" max="9" width="20" hidden="0" customWidth="1"/>
    <x:col min="10" max="10" width="24" hidden="0" customWidth="1"/>
    <x:col min="11" max="11" width="36" hidden="0" customWidth="1"/>
    <x:col min="12" max="12" width="16" hidden="0" customWidth="1"/>
    <x:col min="13" max="13" width="22" hidden="0" customWidth="1"/>
    <x:col min="14" max="14" width="18" hidden="0" customWidth="1"/>
    <x:col min="15" max="15" width="22" hidden="0" customWidth="1"/>
    <x:col min="16" max="16" width="20" hidden="0" customWidth="1"/>
    <x:col min="17" max="17" width="17" hidden="0" customWidth="1"/>
    <x:col min="18" max="18" width="18" hidden="0" customWidth="1"/>
    <x:col min="19" max="19" width="24" hidden="0" customWidth="1"/>
    <x:col min="20" max="20" width="64" hidden="0" customWidth="1"/>
    <x:col min="21" max="21" width="14" hidden="0" customWidth="1"/>
    <x:col min="22" max="22" width="42" hidden="0" customWidth="1"/>
    <x:col min="23" max="23" width="54" hidden="0" customWidth="1"/>
    <x:col min="24" max="24" width="22" hidden="0" customWidth="1"/>
    <x:col min="25" max="25" width="34" hidden="0" customWidth="1"/>
    <x:col min="26" max="26" width="48" hidden="0" customWidth="1"/>
    <x:col min="27" max="27" width="64" hidden="0" customWidth="1"/>
  </x:cols>
  <x:sheetData>
    <x:row r="1" ht="34" customHeight="1">
      <x:c r="A1" s="340" t="str">
        <x:v>Scenario modellistici 2050</x:v>
      </x:c>
      <x:c r="B1" s="340"/>
      <x:c r="C1" s="340"/>
      <x:c r="D1" s="340"/>
      <x:c r="E1" s="340"/>
      <x:c r="F1" s="340"/>
      <x:c r="G1" s="340"/>
      <x:c r="H1" s="340"/>
      <x:c r="I1" s="340"/>
      <x:c r="J1" s="340"/>
      <x:c r="K1" s="340"/>
      <x:c r="L1" s="340"/>
      <x:c r="M1" s="340"/>
      <x:c r="N1" s="340"/>
      <x:c r="O1" s="340"/>
      <x:c r="P1" s="340"/>
      <x:c r="Q1" s="340"/>
      <x:c r="R1" s="340"/>
      <x:c r="S1" s="340"/>
      <x:c r="T1" s="340"/>
      <x:c r="U1" s="340"/>
      <x:c r="V1" s="340"/>
      <x:c r="W1" s="340"/>
      <x:c r="X1" s="340"/>
      <x:c r="Y1" s="340"/>
      <x:c r="Z1" s="340"/>
      <x:c r="AA1" s="340"/>
    </x:row>
    <x:row r="2" ht="30" customHeight="1">
      <x:c r="A2" s="344" t="str">
        <x:v>Dati originali conservati; unità fisiche ed economiche normalizzate tramite formule auditabili</x:v>
      </x:c>
      <x:c r="B2" s="344"/>
      <x:c r="C2" s="344"/>
      <x:c r="D2" s="344"/>
      <x:c r="E2" s="344"/>
      <x:c r="F2" s="344"/>
      <x:c r="G2" s="344"/>
      <x:c r="H2" s="344"/>
      <x:c r="I2" s="344"/>
      <x:c r="J2" s="344"/>
      <x:c r="K2" s="344"/>
      <x:c r="L2" s="344"/>
      <x:c r="M2" s="344"/>
      <x:c r="N2" s="344"/>
      <x:c r="O2" s="344"/>
      <x:c r="P2" s="344"/>
      <x:c r="Q2" s="344"/>
      <x:c r="R2" s="344"/>
      <x:c r="S2" s="344"/>
      <x:c r="T2" s="344"/>
      <x:c r="U2" s="344"/>
      <x:c r="V2" s="344"/>
      <x:c r="W2" s="344"/>
      <x:c r="X2" s="344"/>
      <x:c r="Y2" s="344"/>
      <x:c r="Z2" s="344"/>
      <x:c r="AA2" s="344"/>
    </x:row>
    <x:row r="4" ht="42" customHeight="1">
      <x:c r="A4" s="348" t="str">
        <x:v>Record ID</x:v>
      </x:c>
      <x:c r="B4" s="348" t="str">
        <x:v>Scenario ID</x:v>
      </x:c>
      <x:c r="C4" s="348" t="str">
        <x:v>Anno modello</x:v>
      </x:c>
      <x:c r="D4" s="348" t="str">
        <x:v>Blocco input</x:v>
      </x:c>
      <x:c r="E4" s="348" t="str">
        <x:v>Geografia</x:v>
      </x:c>
      <x:c r="F4" s="348" t="str">
        <x:v>Zona</x:v>
      </x:c>
      <x:c r="G4" s="348" t="str">
        <x:v>Tecnologia fonte</x:v>
      </x:c>
      <x:c r="H4" s="348" t="str">
        <x:v>Tecnologia standard</x:v>
      </x:c>
      <x:c r="I4" s="348" t="str">
        <x:v>Carrier</x:v>
      </x:c>
      <x:c r="J4" s="348" t="str">
        <x:v>Componente PyPSA</x:v>
      </x:c>
      <x:c r="K4" s="348" t="str">
        <x:v>Campo PyPSA</x:v>
      </x:c>
      <x:c r="L4" s="348" t="str">
        <x:v>Valore originale</x:v>
      </x:c>
      <x:c r="M4" s="348" t="str">
        <x:v>Unità originale</x:v>
      </x:c>
      <x:c r="N4" s="348" t="str">
        <x:v>Valore normalizzato</x:v>
      </x:c>
      <x:c r="O4" s="348" t="str">
        <x:v>Unità normalizzata</x:v>
      </x:c>
      <x:c r="P4" s="348" t="str">
        <x:v>Anno monetario originale</x:v>
      </x:c>
      <x:c r="Q4" s="348" t="str">
        <x:v>Deflatore a EUR2025</x:v>
      </x:c>
      <x:c r="R4" s="348" t="str">
        <x:v>Valore EUR2025</x:v>
      </x:c>
      <x:c r="S4" s="348" t="str">
        <x:v>Classe evidenza</x:v>
      </x:c>
      <x:c r="T4" s="348" t="str">
        <x:v>Trasformazione</x:v>
      </x:c>
      <x:c r="U4" s="348" t="str">
        <x:v>Fonte</x:v>
      </x:c>
      <x:c r="V4" s="348" t="str">
        <x:v>Riferimento fonte</x:v>
      </x:c>
      <x:c r="W4" s="348" t="str">
        <x:v>URL fonte</x:v>
      </x:c>
      <x:c r="X4" s="348" t="str">
        <x:v>Affidabilità</x:v>
      </x:c>
      <x:c r="Y4" s="348" t="str">
        <x:v>Status adozione</x:v>
      </x:c>
      <x:c r="Z4" s="348" t="str">
        <x:v>Status esecuzione</x:v>
      </x:c>
      <x:c r="AA4" s="348" t="str">
        <x:v>Note</x:v>
      </x:c>
    </x:row>
    <x:row r="5">
      <x:c r="A5" s="83" t="str">
        <x:v>S4-00529</x:v>
      </x:c>
      <x:c r="B5" s="83" t="str">
        <x:v>IT2050_SENS_NO_NUCLEAR</x:v>
      </x:c>
      <x:c r="C5" s="83" t="n">
        <x:v>2050</x:v>
      </x:c>
      <x:c r="D5" s="83" t="str">
        <x:v>Demand</x:v>
      </x:c>
      <x:c r="E5" s="83" t="str">
        <x:v>Italy</x:v>
      </x:c>
      <x:c r="F5" s="83"/>
      <x:c r="G5" s="83" t="str">
        <x:v>Terna total demand less scaled PNIEC P2X</x:v>
      </x:c>
      <x:c r="H5" s="83" t="str">
        <x:v>Rigid electricity load</x:v>
      </x:c>
      <x:c r="I5" s="83" t="str">
        <x:v>electricity</x:v>
      </x:c>
      <x:c r="J5" s="83" t="str">
        <x:v>Load</x:v>
      </x:c>
      <x:c r="K5" s="83" t="str">
        <x:v>p_set annual target</x:v>
      </x:c>
      <x:c r="L5" s="279" t="n">
        <x:v>502.89958310676093</x:v>
      </x:c>
      <x:c r="M5" s="279" t="str">
        <x:v>TWh</x:v>
      </x:c>
      <x:c r="N5" s="279" t="n">
        <x:f>IF(L5="","",IF(M5="GW",L5*1000,IF(M5="GWh",L5*1000,IF(M5="TWh",L5*1000000,L5))))</x:f>
        <x:v>502899583.1067609</x:v>
      </x:c>
      <x:c r="O5" s="83" t="str">
        <x:f>IF(L5="","",IF(M5="GW","MW",IF(OR(M5="GWh",M5="TWh"),"MWh",M5)))</x:f>
        <x:v>MWh</x:v>
      </x:c>
      <x:c r="P5" s="83" t="str"/>
      <x:c r="Q5" s="349"/>
      <x:c r="R5" s="349" t="str">
        <x:f>IF(L5="","",IF(Q5&lt;&gt;"",L5*Q5,IF(OR(ISNUMBER(SEARCH("EUR2025",M5&amp;"")),P5=2025,P5="2025"),L5,"")))</x:f>
      </x:c>
      <x:c r="S5" s="83" t="str">
        <x:v>C — Reconciled</x:v>
      </x:c>
      <x:c r="T5" s="83" t="str">
        <x:v>Terna total 583.0 TWh less PNIEC branch P2X scaled by 1.05673.</x:v>
      </x:c>
      <x:c r="U5" s="83" t="str">
        <x:v>S07 / S08</x:v>
      </x:c>
      <x:c r="V5" s="83" t="str">
        <x:v>Terna 2050 demand + PNIEC demand composition</x:v>
      </x:c>
      <x:c r="W5" s="120"/>
      <x:c r="X5" s="83" t="str">
        <x:v>C — Reconciled</x:v>
      </x:c>
      <x:c r="Y5" s="83" t="str">
        <x:v>APPROVED sensitivity</x:v>
      </x:c>
      <x:c r="Z5" s="83" t="str">
        <x:v>CONDITIONAL SENSITIVITY — CO2 price, programmable fleet composition and inferred BESS power remain open</x:v>
      </x:c>
      <x:c r="AA5" s="83" t="str">
        <x:v>Losses within source perimeter approximately 23.78 TWh; do not add twice. Retained as the no-nuclear counterfactual.</x:v>
      </x:c>
    </x:row>
    <x:row r="6">
      <x:c r="A6" s="83" t="str">
        <x:v>S4-00530</x:v>
      </x:c>
      <x:c r="B6" s="83" t="str">
        <x:v>IT2050_SENS_NO_NUCLEAR</x:v>
      </x:c>
      <x:c r="C6" s="83" t="n">
        <x:v>2050</x:v>
      </x:c>
      <x:c r="D6" s="83" t="str">
        <x:v>Flexible demand</x:v>
      </x:c>
      <x:c r="E6" s="83" t="str">
        <x:v>Italy</x:v>
      </x:c>
      <x:c r="F6" s="83"/>
      <x:c r="G6" s="83" t="str">
        <x:v>Power-to-X scaled from PNIEC branch</x:v>
      </x:c>
      <x:c r="H6" s="83" t="str">
        <x:v>Power-to-X flexible electricity</x:v>
      </x:c>
      <x:c r="I6" s="83" t="str">
        <x:v>electricity</x:v>
      </x:c>
      <x:c r="J6" s="83" t="str">
        <x:v>Link or flexible Load</x:v>
      </x:c>
      <x:c r="K6" s="83" t="str">
        <x:v>annual electricity target</x:v>
      </x:c>
      <x:c r="L6" s="279" t="n">
        <x:v>80.10041689323907</x:v>
      </x:c>
      <x:c r="M6" s="279" t="str">
        <x:v>TWh</x:v>
      </x:c>
      <x:c r="N6" s="279" t="n">
        <x:f>IF(L6="","",IF(M6="GW",L6*1000,IF(M6="GWh",L6*1000,IF(M6="TWh",L6*1000000,L6))))</x:f>
        <x:v>80100416.89323907</x:v>
      </x:c>
      <x:c r="O6" s="83" t="str">
        <x:f>IF(L6="","",IF(M6="GW","MW",IF(OR(M6="GWh",M6="TWh"),"MWh",M6)))</x:f>
        <x:v>MWh</x:v>
      </x:c>
      <x:c r="P6" s="83" t="str"/>
      <x:c r="Q6" s="349"/>
      <x:c r="R6" s="349" t="str">
        <x:f>IF(L6="","",IF(Q6&lt;&gt;"",L6*Q6,IF(OR(ISNUMBER(SEARCH("EUR2025",M6&amp;"")),P6=2025,P6="2025"),L6,"")))</x:f>
      </x:c>
      <x:c r="S6" s="83" t="str">
        <x:v>C — Reconciled</x:v>
      </x:c>
      <x:c r="T6" s="83" t="str">
        <x:v>Scale PNIEC branch P2X by Terna total / PNIEC total.</x:v>
      </x:c>
      <x:c r="U6" s="83" t="str">
        <x:v>S07 / S08</x:v>
      </x:c>
      <x:c r="V6" s="83" t="str">
        <x:v>Terna total + PNIEC branch composition</x:v>
      </x:c>
      <x:c r="W6" s="120"/>
      <x:c r="X6" s="83" t="str">
        <x:v>C — Reconciled</x:v>
      </x:c>
      <x:c r="Y6" s="83" t="str">
        <x:v>APPROVED sensitivity</x:v>
      </x:c>
      <x:c r="Z6" s="83" t="str">
        <x:v>CONDITIONAL SENSITIVITY — CO2 price, programmable fleet composition and inferred BESS power remain open</x:v>
      </x:c>
      <x:c r="AA6" s="83" t="str">
        <x:v>Retained as the no-nuclear counterfactual.</x:v>
      </x:c>
    </x:row>
    <x:row r="7">
      <x:c r="A7" s="83" t="str">
        <x:v>S4-00531</x:v>
      </x:c>
      <x:c r="B7" s="83" t="str">
        <x:v>IT2050_SENS_NO_NUCLEAR</x:v>
      </x:c>
      <x:c r="C7" s="83" t="n">
        <x:v>2050</x:v>
      </x:c>
      <x:c r="D7" s="83" t="str">
        <x:v>QA target</x:v>
      </x:c>
      <x:c r="E7" s="83" t="str">
        <x:v>Italy</x:v>
      </x:c>
      <x:c r="F7" s="83"/>
      <x:c r="G7" s="83" t="str">
        <x:v>Fabbisogno elettrico totale</x:v>
      </x:c>
      <x:c r="H7" s="83" t="str">
        <x:v>Total annual electricity requirement</x:v>
      </x:c>
      <x:c r="I7" s="83" t="str">
        <x:v>electricity</x:v>
      </x:c>
      <x:c r="J7" s="83" t="str">
        <x:v>QA</x:v>
      </x:c>
      <x:c r="K7" s="83" t="str">
        <x:v>annual balance</x:v>
      </x:c>
      <x:c r="L7" s="279" t="n">
        <x:v>583</x:v>
      </x:c>
      <x:c r="M7" s="279" t="str">
        <x:v>TWh</x:v>
      </x:c>
      <x:c r="N7" s="279" t="n">
        <x:f>IF(L7="","",IF(M7="GW",L7*1000,IF(M7="GWh",L7*1000,IF(M7="TWh",L7*1000000,L7))))</x:f>
        <x:v>583000000</x:v>
      </x:c>
      <x:c r="O7" s="83" t="str">
        <x:f>IF(L7="","",IF(M7="GW","MW",IF(OR(M7="GWh",M7="TWh"),"MWh",M7)))</x:f>
        <x:v>MWh</x:v>
      </x:c>
      <x:c r="P7" s="83" t="str"/>
      <x:c r="Q7" s="349"/>
      <x:c r="R7" s="349" t="str">
        <x:f>IF(L7="","",IF(Q7&lt;&gt;"",L7*Q7,IF(OR(ISNUMBER(SEARCH("EUR2025",M7&amp;"")),P7=2025,P7="2025"),L7,"")))</x:f>
      </x:c>
      <x:c r="S7" s="83" t="str">
        <x:v>A — Direct</x:v>
      </x:c>
      <x:c r="T7" s="83" t="str">
        <x:v>Control only.</x:v>
      </x:c>
      <x:c r="U7" s="83" t="str">
        <x:v>S07</x:v>
      </x:c>
      <x:c r="V7" s="83" t="str">
        <x:v>Terna 2050 technical scenario</x:v>
      </x:c>
      <x:c r="W7" s="120"/>
      <x:c r="X7" s="83" t="str">
        <x:v>A — Direct</x:v>
      </x:c>
      <x:c r="Y7" s="83" t="str">
        <x:v>APPROVED sensitivity</x:v>
      </x:c>
      <x:c r="Z7" s="83" t="str">
        <x:v>CONDITIONAL SENSITIVITY — CO2 price, programmable fleet composition and inferred BESS power remain open</x:v>
      </x:c>
      <x:c r="AA7" s="83" t="str">
        <x:v>Retained as the no-nuclear counterfactual.</x:v>
      </x:c>
    </x:row>
    <x:row r="8">
      <x:c r="A8" s="83" t="str">
        <x:v>S4-00532</x:v>
      </x:c>
      <x:c r="B8" s="83" t="str">
        <x:v>IT2050_SENS_NO_NUCLEAR</x:v>
      </x:c>
      <x:c r="C8" s="83" t="n">
        <x:v>2050</x:v>
      </x:c>
      <x:c r="D8" s="83" t="str">
        <x:v>Generation capacity</x:v>
      </x:c>
      <x:c r="E8" s="83" t="str">
        <x:v>IT_NORD</x:v>
      </x:c>
      <x:c r="F8" s="83" t="str">
        <x:v>NORD</x:v>
      </x:c>
      <x:c r="G8" s="83" t="str">
        <x:v>Solare distribuito</x:v>
      </x:c>
      <x:c r="H8" s="83" t="str">
        <x:v>Solar rooftop/distributed</x:v>
      </x:c>
      <x:c r="I8" s="83" t="str">
        <x:v>solar-rooftop</x:v>
      </x:c>
      <x:c r="J8" s="83" t="str">
        <x:v>Generator</x:v>
      </x:c>
      <x:c r="K8" s="83" t="str">
        <x:v>p_nom</x:v>
      </x:c>
      <x:c r="L8" s="279" t="n">
        <x:v>41.52191894127379</x:v>
      </x:c>
      <x:c r="M8" s="279" t="str">
        <x:v>GW</x:v>
      </x:c>
      <x:c r="N8" s="279" t="n">
        <x:f>IF(L8="","",IF(M8="GW",L8*1000,IF(M8="GWh",L8*1000,IF(M8="TWh",L8*1000000,L8))))</x:f>
        <x:v>41521.91894127379</x:v>
      </x:c>
      <x:c r="O8" s="83" t="str">
        <x:f>IF(L8="","",IF(M8="GW","MW",IF(OR(M8="GWh",M8="TWh"),"MWh",M8)))</x:f>
        <x:v>MW</x:v>
      </x:c>
      <x:c r="P8" s="83" t="str"/>
      <x:c r="Q8" s="349"/>
      <x:c r="R8" s="349" t="str">
        <x:f>IF(L8="","",IF(Q8&lt;&gt;"",L8*Q8,IF(OR(ISNUMBER(SEARCH("EUR2025",M8&amp;"")),P8=2025,P8="2025"),L8,"")))</x:f>
      </x:c>
      <x:c r="S8" s="83" t="str">
        <x:v>C — Distributed proxy</x:v>
      </x:c>
      <x:c r="T8" s="83" t="str">
        <x:v>Scale DE-IT 2040 zonal/category share (0.601918) to Terna 2050 national Solare distribuito target.</x:v>
      </x:c>
      <x:c r="U8" s="83" t="str">
        <x:v>S07 / S09</x:v>
      </x:c>
      <x:c r="V8" s="83" t="str">
        <x:v>Terna 2050 national capacity + DDS 2040 zonal shares</x:v>
      </x:c>
      <x:c r="W8" s="120"/>
      <x:c r="X8" s="83" t="str">
        <x:v>C — Distributed</x:v>
      </x:c>
      <x:c r="Y8" s="83" t="str">
        <x:v>APPROVED sensitivity</x:v>
      </x:c>
      <x:c r="Z8" s="83" t="str">
        <x:v>CONDITIONAL SENSITIVITY — CO2 price, programmable fleet composition and inferred BESS power remain open</x:v>
      </x:c>
      <x:c r="AA8" s="83" t="str">
        <x:v>2050 has no direct zonal allocation in the corpus. Retained as the no-nuclear counterfactual.</x:v>
      </x:c>
    </x:row>
    <x:row r="9">
      <x:c r="A9" s="83" t="str">
        <x:v>S4-00533</x:v>
      </x:c>
      <x:c r="B9" s="83" t="str">
        <x:v>IT2050_SENS_NO_NUCLEAR</x:v>
      </x:c>
      <x:c r="C9" s="83" t="n">
        <x:v>2050</x:v>
      </x:c>
      <x:c r="D9" s="83" t="str">
        <x:v>Generation capacity</x:v>
      </x:c>
      <x:c r="E9" s="83" t="str">
        <x:v>IT_NORD</x:v>
      </x:c>
      <x:c r="F9" s="83" t="str">
        <x:v>NORD</x:v>
      </x:c>
      <x:c r="G9" s="83" t="str">
        <x:v>Solare utility</x:v>
      </x:c>
      <x:c r="H9" s="83" t="str">
        <x:v>Solar utility</x:v>
      </x:c>
      <x:c r="I9" s="83" t="str">
        <x:v>solar-utility</x:v>
      </x:c>
      <x:c r="J9" s="83" t="str">
        <x:v>Generator</x:v>
      </x:c>
      <x:c r="K9" s="83" t="str">
        <x:v>p_nom</x:v>
      </x:c>
      <x:c r="L9" s="279" t="n">
        <x:v>28.618693134822163</x:v>
      </x:c>
      <x:c r="M9" s="279" t="str">
        <x:v>GW</x:v>
      </x:c>
      <x:c r="N9" s="279" t="n">
        <x:f>IF(L9="","",IF(M9="GW",L9*1000,IF(M9="GWh",L9*1000,IF(M9="TWh",L9*1000000,L9))))</x:f>
        <x:v>28618.693134822162</x:v>
      </x:c>
      <x:c r="O9" s="83" t="str">
        <x:f>IF(L9="","",IF(M9="GW","MW",IF(OR(M9="GWh",M9="TWh"),"MWh",M9)))</x:f>
        <x:v>MW</x:v>
      </x:c>
      <x:c r="P9" s="83" t="str"/>
      <x:c r="Q9" s="349"/>
      <x:c r="R9" s="349" t="str">
        <x:f>IF(L9="","",IF(Q9&lt;&gt;"",L9*Q9,IF(OR(ISNUMBER(SEARCH("EUR2025",M9&amp;"")),P9=2025,P9="2025"),L9,"")))</x:f>
      </x:c>
      <x:c r="S9" s="83" t="str">
        <x:v>C — Distributed proxy</x:v>
      </x:c>
      <x:c r="T9" s="83" t="str">
        <x:v>Scale DE-IT 2040 zonal/category share (0.218434) to Terna 2050 national Solare utility target.</x:v>
      </x:c>
      <x:c r="U9" s="83" t="str">
        <x:v>S07 / S09</x:v>
      </x:c>
      <x:c r="V9" s="83" t="str">
        <x:v>Terna 2050 national capacity + DDS 2040 zonal shares</x:v>
      </x:c>
      <x:c r="W9" s="120"/>
      <x:c r="X9" s="83" t="str">
        <x:v>C — Distributed</x:v>
      </x:c>
      <x:c r="Y9" s="83" t="str">
        <x:v>APPROVED sensitivity</x:v>
      </x:c>
      <x:c r="Z9" s="83" t="str">
        <x:v>CONDITIONAL SENSITIVITY — CO2 price, programmable fleet composition and inferred BESS power remain open</x:v>
      </x:c>
      <x:c r="AA9" s="83" t="str">
        <x:v>2050 has no direct zonal allocation in the corpus. Retained as the no-nuclear counterfactual.</x:v>
      </x:c>
    </x:row>
    <x:row r="10">
      <x:c r="A10" s="83" t="str">
        <x:v>S4-00534</x:v>
      </x:c>
      <x:c r="B10" s="83" t="str">
        <x:v>IT2050_SENS_NO_NUCLEAR</x:v>
      </x:c>
      <x:c r="C10" s="83" t="n">
        <x:v>2050</x:v>
      </x:c>
      <x:c r="D10" s="83" t="str">
        <x:v>Generation capacity</x:v>
      </x:c>
      <x:c r="E10" s="83" t="str">
        <x:v>IT_CNOR</x:v>
      </x:c>
      <x:c r="F10" s="83" t="str">
        <x:v>CNOR</x:v>
      </x:c>
      <x:c r="G10" s="83" t="str">
        <x:v>Solare distribuito</x:v>
      </x:c>
      <x:c r="H10" s="83" t="str">
        <x:v>Solar rooftop/distributed</x:v>
      </x:c>
      <x:c r="I10" s="83" t="str">
        <x:v>solar-rooftop</x:v>
      </x:c>
      <x:c r="J10" s="83" t="str">
        <x:v>Generator</x:v>
      </x:c>
      <x:c r="K10" s="83" t="str">
        <x:v>p_nom</x:v>
      </x:c>
      <x:c r="L10" s="279" t="n">
        <x:v>5.459057071960298</x:v>
      </x:c>
      <x:c r="M10" s="279" t="str">
        <x:v>GW</x:v>
      </x:c>
      <x:c r="N10" s="279" t="n">
        <x:f>IF(L10="","",IF(M10="GW",L10*1000,IF(M10="GWh",L10*1000,IF(M10="TWh",L10*1000000,L10))))</x:f>
        <x:v>5459.057071960297</x:v>
      </x:c>
      <x:c r="O10" s="83" t="str">
        <x:f>IF(L10="","",IF(M10="GW","MW",IF(OR(M10="GWh",M10="TWh"),"MWh",M10)))</x:f>
        <x:v>MW</x:v>
      </x:c>
      <x:c r="P10" s="83" t="str"/>
      <x:c r="Q10" s="349"/>
      <x:c r="R10" s="349" t="str">
        <x:f>IF(L10="","",IF(Q10&lt;&gt;"",L10*Q10,IF(OR(ISNUMBER(SEARCH("EUR2025",M10&amp;"")),P10=2025,P10="2025"),L10,"")))</x:f>
      </x:c>
      <x:c r="S10" s="83" t="str">
        <x:v>C — Distributed proxy</x:v>
      </x:c>
      <x:c r="T10" s="83" t="str">
        <x:v>Scale DE-IT 2040 zonal/category share (0.079137) to Terna 2050 national Solare distribuito target.</x:v>
      </x:c>
      <x:c r="U10" s="83" t="str">
        <x:v>S07 / S09</x:v>
      </x:c>
      <x:c r="V10" s="83" t="str">
        <x:v>Terna 2050 national capacity + DDS 2040 zonal shares</x:v>
      </x:c>
      <x:c r="W10" s="120"/>
      <x:c r="X10" s="83" t="str">
        <x:v>C — Distributed</x:v>
      </x:c>
      <x:c r="Y10" s="83" t="str">
        <x:v>APPROVED sensitivity</x:v>
      </x:c>
      <x:c r="Z10" s="83" t="str">
        <x:v>CONDITIONAL SENSITIVITY — CO2 price, programmable fleet composition and inferred BESS power remain open</x:v>
      </x:c>
      <x:c r="AA10" s="83" t="str">
        <x:v>2050 has no direct zonal allocation in the corpus. Retained as the no-nuclear counterfactual.</x:v>
      </x:c>
    </x:row>
    <x:row r="11">
      <x:c r="A11" s="83" t="str">
        <x:v>S4-00535</x:v>
      </x:c>
      <x:c r="B11" s="83" t="str">
        <x:v>IT2050_SENS_NO_NUCLEAR</x:v>
      </x:c>
      <x:c r="C11" s="83" t="n">
        <x:v>2050</x:v>
      </x:c>
      <x:c r="D11" s="83" t="str">
        <x:v>Generation capacity</x:v>
      </x:c>
      <x:c r="E11" s="83" t="str">
        <x:v>IT_CNOR</x:v>
      </x:c>
      <x:c r="F11" s="83" t="str">
        <x:v>CNOR</x:v>
      </x:c>
      <x:c r="G11" s="83" t="str">
        <x:v>Solare utility</x:v>
      </x:c>
      <x:c r="H11" s="83" t="str">
        <x:v>Solar utility</x:v>
      </x:c>
      <x:c r="I11" s="83" t="str">
        <x:v>solar-utility</x:v>
      </x:c>
      <x:c r="J11" s="83" t="str">
        <x:v>Generator</x:v>
      </x:c>
      <x:c r="K11" s="83" t="str">
        <x:v>p_nom</x:v>
      </x:c>
      <x:c r="L11" s="279" t="n">
        <x:v>10.421836228287841</x:v>
      </x:c>
      <x:c r="M11" s="279" t="str">
        <x:v>GW</x:v>
      </x:c>
      <x:c r="N11" s="279" t="n">
        <x:f>IF(L11="","",IF(M11="GW",L11*1000,IF(M11="GWh",L11*1000,IF(M11="TWh",L11*1000000,L11))))</x:f>
        <x:v>10421.83622828784</x:v>
      </x:c>
      <x:c r="O11" s="83" t="str">
        <x:f>IF(L11="","",IF(M11="GW","MW",IF(OR(M11="GWh",M11="TWh"),"MWh",M11)))</x:f>
        <x:v>MW</x:v>
      </x:c>
      <x:c r="P11" s="83" t="str"/>
      <x:c r="Q11" s="349"/>
      <x:c r="R11" s="349" t="str">
        <x:f>IF(L11="","",IF(Q11&lt;&gt;"",L11*Q11,IF(OR(ISNUMBER(SEARCH("EUR2025",M11&amp;"")),P11=2025,P11="2025"),L11,"")))</x:f>
      </x:c>
      <x:c r="S11" s="83" t="str">
        <x:v>C — Distributed proxy</x:v>
      </x:c>
      <x:c r="T11" s="83" t="str">
        <x:v>Scale DE-IT 2040 zonal/category share (0.079545) to Terna 2050 national Solare utility target.</x:v>
      </x:c>
      <x:c r="U11" s="83" t="str">
        <x:v>S07 / S09</x:v>
      </x:c>
      <x:c r="V11" s="83" t="str">
        <x:v>Terna 2050 national capacity + DDS 2040 zonal shares</x:v>
      </x:c>
      <x:c r="W11" s="120"/>
      <x:c r="X11" s="83" t="str">
        <x:v>C — Distributed</x:v>
      </x:c>
      <x:c r="Y11" s="83" t="str">
        <x:v>APPROVED sensitivity</x:v>
      </x:c>
      <x:c r="Z11" s="83" t="str">
        <x:v>CONDITIONAL SENSITIVITY — CO2 price, programmable fleet composition and inferred BESS power remain open</x:v>
      </x:c>
      <x:c r="AA11" s="83" t="str">
        <x:v>2050 has no direct zonal allocation in the corpus. Retained as the no-nuclear counterfactual.</x:v>
      </x:c>
    </x:row>
    <x:row r="12">
      <x:c r="A12" s="83" t="str">
        <x:v>S4-00536</x:v>
      </x:c>
      <x:c r="B12" s="83" t="str">
        <x:v>IT2050_SENS_NO_NUCLEAR</x:v>
      </x:c>
      <x:c r="C12" s="83" t="n">
        <x:v>2050</x:v>
      </x:c>
      <x:c r="D12" s="83" t="str">
        <x:v>Generation capacity</x:v>
      </x:c>
      <x:c r="E12" s="83" t="str">
        <x:v>IT_CSUD</x:v>
      </x:c>
      <x:c r="F12" s="83" t="str">
        <x:v>CSUD</x:v>
      </x:c>
      <x:c r="G12" s="83" t="str">
        <x:v>Solare distribuito</x:v>
      </x:c>
      <x:c r="H12" s="83" t="str">
        <x:v>Solar rooftop/distributed</x:v>
      </x:c>
      <x:c r="I12" s="83" t="str">
        <x:v>solar-rooftop</x:v>
      </x:c>
      <x:c r="J12" s="83" t="str">
        <x:v>Generator</x:v>
      </x:c>
      <x:c r="K12" s="83" t="str">
        <x:v>p_nom</x:v>
      </x:c>
      <x:c r="L12" s="279" t="n">
        <x:v>9.098428453267163</x:v>
      </x:c>
      <x:c r="M12" s="279" t="str">
        <x:v>GW</x:v>
      </x:c>
      <x:c r="N12" s="279" t="n">
        <x:f>IF(L12="","",IF(M12="GW",L12*1000,IF(M12="GWh",L12*1000,IF(M12="TWh",L12*1000000,L12))))</x:f>
        <x:v>9098.428453267163</x:v>
      </x:c>
      <x:c r="O12" s="83" t="str">
        <x:f>IF(L12="","",IF(M12="GW","MW",IF(OR(M12="GWh",M12="TWh"),"MWh",M12)))</x:f>
        <x:v>MW</x:v>
      </x:c>
      <x:c r="P12" s="83" t="str"/>
      <x:c r="Q12" s="349"/>
      <x:c r="R12" s="349" t="str">
        <x:f>IF(L12="","",IF(Q12&lt;&gt;"",L12*Q12,IF(OR(ISNUMBER(SEARCH("EUR2025",M12&amp;"")),P12=2025,P12="2025"),L12,"")))</x:f>
      </x:c>
      <x:c r="S12" s="83" t="str">
        <x:v>C — Distributed proxy</x:v>
      </x:c>
      <x:c r="T12" s="83" t="str">
        <x:v>Scale DE-IT 2040 zonal/category share (0.131894) to Terna 2050 national Solare distribuito target.</x:v>
      </x:c>
      <x:c r="U12" s="83" t="str">
        <x:v>S07 / S09</x:v>
      </x:c>
      <x:c r="V12" s="83" t="str">
        <x:v>Terna 2050 national capacity + DDS 2040 zonal shares</x:v>
      </x:c>
      <x:c r="W12" s="120"/>
      <x:c r="X12" s="83" t="str">
        <x:v>C — Distributed</x:v>
      </x:c>
      <x:c r="Y12" s="83" t="str">
        <x:v>APPROVED sensitivity</x:v>
      </x:c>
      <x:c r="Z12" s="83" t="str">
        <x:v>CONDITIONAL SENSITIVITY — CO2 price, programmable fleet composition and inferred BESS power remain open</x:v>
      </x:c>
      <x:c r="AA12" s="83" t="str">
        <x:v>2050 has no direct zonal allocation in the corpus. Retained as the no-nuclear counterfactual.</x:v>
      </x:c>
    </x:row>
    <x:row r="13">
      <x:c r="A13" s="83" t="str">
        <x:v>S4-00537</x:v>
      </x:c>
      <x:c r="B13" s="83" t="str">
        <x:v>IT2050_SENS_NO_NUCLEAR</x:v>
      </x:c>
      <x:c r="C13" s="83" t="n">
        <x:v>2050</x:v>
      </x:c>
      <x:c r="D13" s="83" t="str">
        <x:v>Generation capacity</x:v>
      </x:c>
      <x:c r="E13" s="83" t="str">
        <x:v>IT_CSUD</x:v>
      </x:c>
      <x:c r="F13" s="83" t="str">
        <x:v>CSUD</x:v>
      </x:c>
      <x:c r="G13" s="83" t="str">
        <x:v>Solare utility</x:v>
      </x:c>
      <x:c r="H13" s="83" t="str">
        <x:v>Solar utility</x:v>
      </x:c>
      <x:c r="I13" s="83" t="str">
        <x:v>solar-utility</x:v>
      </x:c>
      <x:c r="J13" s="83" t="str">
        <x:v>Generator</x:v>
      </x:c>
      <x:c r="K13" s="83" t="str">
        <x:v>p_nom</x:v>
      </x:c>
      <x:c r="L13" s="279" t="n">
        <x:v>24.152191894127377</x:v>
      </x:c>
      <x:c r="M13" s="279" t="str">
        <x:v>GW</x:v>
      </x:c>
      <x:c r="N13" s="279" t="n">
        <x:f>IF(L13="","",IF(M13="GW",L13*1000,IF(M13="GWh",L13*1000,IF(M13="TWh",L13*1000000,L13))))</x:f>
        <x:v>24152.191894127376</x:v>
      </x:c>
      <x:c r="O13" s="83" t="str">
        <x:f>IF(L13="","",IF(M13="GW","MW",IF(OR(M13="GWh",M13="TWh"),"MWh",M13)))</x:f>
        <x:v>MW</x:v>
      </x:c>
      <x:c r="P13" s="83" t="str"/>
      <x:c r="Q13" s="349"/>
      <x:c r="R13" s="349" t="str">
        <x:f>IF(L13="","",IF(Q13&lt;&gt;"",L13*Q13,IF(OR(ISNUMBER(SEARCH("EUR2025",M13&amp;"")),P13=2025,P13="2025"),L13,"")))</x:f>
      </x:c>
      <x:c r="S13" s="83" t="str">
        <x:v>C — Distributed proxy</x:v>
      </x:c>
      <x:c r="T13" s="83" t="str">
        <x:v>Scale DE-IT 2040 zonal/category share (0.184343) to Terna 2050 national Solare utility target.</x:v>
      </x:c>
      <x:c r="U13" s="83" t="str">
        <x:v>S07 / S09</x:v>
      </x:c>
      <x:c r="V13" s="83" t="str">
        <x:v>Terna 2050 national capacity + DDS 2040 zonal shares</x:v>
      </x:c>
      <x:c r="W13" s="120"/>
      <x:c r="X13" s="83" t="str">
        <x:v>C — Distributed</x:v>
      </x:c>
      <x:c r="Y13" s="83" t="str">
        <x:v>APPROVED sensitivity</x:v>
      </x:c>
      <x:c r="Z13" s="83" t="str">
        <x:v>CONDITIONAL SENSITIVITY — CO2 price, programmable fleet composition and inferred BESS power remain open</x:v>
      </x:c>
      <x:c r="AA13" s="83" t="str">
        <x:v>2050 has no direct zonal allocation in the corpus. Retained as the no-nuclear counterfactual.</x:v>
      </x:c>
    </x:row>
    <x:row r="14">
      <x:c r="A14" s="83" t="str">
        <x:v>S4-00538</x:v>
      </x:c>
      <x:c r="B14" s="83" t="str">
        <x:v>IT2050_SENS_NO_NUCLEAR</x:v>
      </x:c>
      <x:c r="C14" s="83" t="n">
        <x:v>2050</x:v>
      </x:c>
      <x:c r="D14" s="83" t="str">
        <x:v>Generation capacity</x:v>
      </x:c>
      <x:c r="E14" s="83" t="str">
        <x:v>IT_SUD</x:v>
      </x:c>
      <x:c r="F14" s="83" t="str">
        <x:v>SUD</x:v>
      </x:c>
      <x:c r="G14" s="83" t="str">
        <x:v>Solare distribuito</x:v>
      </x:c>
      <x:c r="H14" s="83" t="str">
        <x:v>Solar rooftop/distributed</x:v>
      </x:c>
      <x:c r="I14" s="83" t="str">
        <x:v>solar-rooftop</x:v>
      </x:c>
      <x:c r="J14" s="83" t="str">
        <x:v>Generator</x:v>
      </x:c>
      <x:c r="K14" s="83" t="str">
        <x:v>p_nom</x:v>
      </x:c>
      <x:c r="L14" s="279" t="n">
        <x:v>2.8122415219189416</x:v>
      </x:c>
      <x:c r="M14" s="279" t="str">
        <x:v>GW</x:v>
      </x:c>
      <x:c r="N14" s="279" t="n">
        <x:f>IF(L14="","",IF(M14="GW",L14*1000,IF(M14="GWh",L14*1000,IF(M14="TWh",L14*1000000,L14))))</x:f>
        <x:v>2812.2415219189415</x:v>
      </x:c>
      <x:c r="O14" s="83" t="str">
        <x:f>IF(L14="","",IF(M14="GW","MW",IF(OR(M14="GWh",M14="TWh"),"MWh",M14)))</x:f>
        <x:v>MW</x:v>
      </x:c>
      <x:c r="P14" s="83" t="str"/>
      <x:c r="Q14" s="349"/>
      <x:c r="R14" s="349" t="str">
        <x:f>IF(L14="","",IF(Q14&lt;&gt;"",L14*Q14,IF(OR(ISNUMBER(SEARCH("EUR2025",M14&amp;"")),P14=2025,P14="2025"),L14,"")))</x:f>
      </x:c>
      <x:c r="S14" s="83" t="str">
        <x:v>C — Distributed proxy</x:v>
      </x:c>
      <x:c r="T14" s="83" t="str">
        <x:v>Scale DE-IT 2040 zonal/category share (0.040767) to Terna 2050 national Solare distribuito target.</x:v>
      </x:c>
      <x:c r="U14" s="83" t="str">
        <x:v>S07 / S09</x:v>
      </x:c>
      <x:c r="V14" s="83" t="str">
        <x:v>Terna 2050 national capacity + DDS 2040 zonal shares</x:v>
      </x:c>
      <x:c r="W14" s="120"/>
      <x:c r="X14" s="83" t="str">
        <x:v>C — Distributed</x:v>
      </x:c>
      <x:c r="Y14" s="83" t="str">
        <x:v>APPROVED sensitivity</x:v>
      </x:c>
      <x:c r="Z14" s="83" t="str">
        <x:v>CONDITIONAL SENSITIVITY — CO2 price, programmable fleet composition and inferred BESS power remain open</x:v>
      </x:c>
      <x:c r="AA14" s="83" t="str">
        <x:v>2050 has no direct zonal allocation in the corpus. Retained as the no-nuclear counterfactual.</x:v>
      </x:c>
    </x:row>
    <x:row r="15">
      <x:c r="A15" s="83" t="str">
        <x:v>S4-00539</x:v>
      </x:c>
      <x:c r="B15" s="83" t="str">
        <x:v>IT2050_SENS_NO_NUCLEAR</x:v>
      </x:c>
      <x:c r="C15" s="83" t="n">
        <x:v>2050</x:v>
      </x:c>
      <x:c r="D15" s="83" t="str">
        <x:v>Generation capacity</x:v>
      </x:c>
      <x:c r="E15" s="83" t="str">
        <x:v>IT_SUD</x:v>
      </x:c>
      <x:c r="F15" s="83" t="str">
        <x:v>SUD</x:v>
      </x:c>
      <x:c r="G15" s="83" t="str">
        <x:v>Solare utility</x:v>
      </x:c>
      <x:c r="H15" s="83" t="str">
        <x:v>Solar utility</x:v>
      </x:c>
      <x:c r="I15" s="83" t="str">
        <x:v>solar-utility</x:v>
      </x:c>
      <x:c r="J15" s="83" t="str">
        <x:v>Generator</x:v>
      </x:c>
      <x:c r="K15" s="83" t="str">
        <x:v>p_nom</x:v>
      </x:c>
      <x:c r="L15" s="279" t="n">
        <x:v>31.927212572373858</x:v>
      </x:c>
      <x:c r="M15" s="279" t="str">
        <x:v>GW</x:v>
      </x:c>
      <x:c r="N15" s="279" t="n">
        <x:f>IF(L15="","",IF(M15="GW",L15*1000,IF(M15="GWh",L15*1000,IF(M15="TWh",L15*1000000,L15))))</x:f>
        <x:v>31927.212572373857</x:v>
      </x:c>
      <x:c r="O15" s="83" t="str">
        <x:f>IF(L15="","",IF(M15="GW","MW",IF(OR(M15="GWh",M15="TWh"),"MWh",M15)))</x:f>
        <x:v>MW</x:v>
      </x:c>
      <x:c r="P15" s="83" t="str"/>
      <x:c r="Q15" s="349"/>
      <x:c r="R15" s="349" t="str">
        <x:f>IF(L15="","",IF(Q15&lt;&gt;"",L15*Q15,IF(OR(ISNUMBER(SEARCH("EUR2025",M15&amp;"")),P15=2025,P15="2025"),L15,"")))</x:f>
      </x:c>
      <x:c r="S15" s="83" t="str">
        <x:v>C — Distributed proxy</x:v>
      </x:c>
      <x:c r="T15" s="83" t="str">
        <x:v>Scale DE-IT 2040 zonal/category share (0.243687) to Terna 2050 national Solare utility target.</x:v>
      </x:c>
      <x:c r="U15" s="83" t="str">
        <x:v>S07 / S09</x:v>
      </x:c>
      <x:c r="V15" s="83" t="str">
        <x:v>Terna 2050 national capacity + DDS 2040 zonal shares</x:v>
      </x:c>
      <x:c r="W15" s="120"/>
      <x:c r="X15" s="83" t="str">
        <x:v>C — Distributed</x:v>
      </x:c>
      <x:c r="Y15" s="83" t="str">
        <x:v>APPROVED sensitivity</x:v>
      </x:c>
      <x:c r="Z15" s="83" t="str">
        <x:v>CONDITIONAL SENSITIVITY — CO2 price, programmable fleet composition and inferred BESS power remain open</x:v>
      </x:c>
      <x:c r="AA15" s="83" t="str">
        <x:v>2050 has no direct zonal allocation in the corpus. Retained as the no-nuclear counterfactual.</x:v>
      </x:c>
    </x:row>
    <x:row r="16">
      <x:c r="A16" s="83" t="str">
        <x:v>S4-00540</x:v>
      </x:c>
      <x:c r="B16" s="83" t="str">
        <x:v>IT2050_SENS_NO_NUCLEAR</x:v>
      </x:c>
      <x:c r="C16" s="83" t="n">
        <x:v>2050</x:v>
      </x:c>
      <x:c r="D16" s="83" t="str">
        <x:v>Generation capacity</x:v>
      </x:c>
      <x:c r="E16" s="83" t="str">
        <x:v>IT_CALA</x:v>
      </x:c>
      <x:c r="F16" s="83" t="str">
        <x:v>CALA</x:v>
      </x:c>
      <x:c r="G16" s="83" t="str">
        <x:v>Solare distribuito</x:v>
      </x:c>
      <x:c r="H16" s="83" t="str">
        <x:v>Solar rooftop/distributed</x:v>
      </x:c>
      <x:c r="I16" s="83" t="str">
        <x:v>solar-rooftop</x:v>
      </x:c>
      <x:c r="J16" s="83" t="str">
        <x:v>Generator</x:v>
      </x:c>
      <x:c r="K16" s="83" t="str">
        <x:v>p_nom</x:v>
      </x:c>
      <x:c r="L16" s="279" t="n">
        <x:v>1.8196856906534329</x:v>
      </x:c>
      <x:c r="M16" s="279" t="str">
        <x:v>GW</x:v>
      </x:c>
      <x:c r="N16" s="279" t="n">
        <x:f>IF(L16="","",IF(M16="GW",L16*1000,IF(M16="GWh",L16*1000,IF(M16="TWh",L16*1000000,L16))))</x:f>
        <x:v>1819.6856906534329</x:v>
      </x:c>
      <x:c r="O16" s="83" t="str">
        <x:f>IF(L16="","",IF(M16="GW","MW",IF(OR(M16="GWh",M16="TWh"),"MWh",M16)))</x:f>
        <x:v>MW</x:v>
      </x:c>
      <x:c r="P16" s="83" t="str"/>
      <x:c r="Q16" s="349"/>
      <x:c r="R16" s="349" t="str">
        <x:f>IF(L16="","",IF(Q16&lt;&gt;"",L16*Q16,IF(OR(ISNUMBER(SEARCH("EUR2025",M16&amp;"")),P16=2025,P16="2025"),L16,"")))</x:f>
      </x:c>
      <x:c r="S16" s="83" t="str">
        <x:v>C — Distributed proxy</x:v>
      </x:c>
      <x:c r="T16" s="83" t="str">
        <x:v>Scale DE-IT 2040 zonal/category share (0.026379) to Terna 2050 national Solare distribuito target.</x:v>
      </x:c>
      <x:c r="U16" s="83" t="str">
        <x:v>S07 / S09</x:v>
      </x:c>
      <x:c r="V16" s="83" t="str">
        <x:v>Terna 2050 national capacity + DDS 2040 zonal shares</x:v>
      </x:c>
      <x:c r="W16" s="120"/>
      <x:c r="X16" s="83" t="str">
        <x:v>C — Distributed</x:v>
      </x:c>
      <x:c r="Y16" s="83" t="str">
        <x:v>APPROVED sensitivity</x:v>
      </x:c>
      <x:c r="Z16" s="83" t="str">
        <x:v>CONDITIONAL SENSITIVITY — CO2 price, programmable fleet composition and inferred BESS power remain open</x:v>
      </x:c>
      <x:c r="AA16" s="83" t="str">
        <x:v>2050 has no direct zonal allocation in the corpus. Retained as the no-nuclear counterfactual.</x:v>
      </x:c>
    </x:row>
    <x:row r="17">
      <x:c r="A17" s="83" t="str">
        <x:v>S4-00541</x:v>
      </x:c>
      <x:c r="B17" s="83" t="str">
        <x:v>IT2050_SENS_NO_NUCLEAR</x:v>
      </x:c>
      <x:c r="C17" s="83" t="n">
        <x:v>2050</x:v>
      </x:c>
      <x:c r="D17" s="83" t="str">
        <x:v>Generation capacity</x:v>
      </x:c>
      <x:c r="E17" s="83" t="str">
        <x:v>IT_CALA</x:v>
      </x:c>
      <x:c r="F17" s="83" t="str">
        <x:v>CALA</x:v>
      </x:c>
      <x:c r="G17" s="83" t="str">
        <x:v>Solare utility</x:v>
      </x:c>
      <x:c r="H17" s="83" t="str">
        <x:v>Solar utility</x:v>
      </x:c>
      <x:c r="I17" s="83" t="str">
        <x:v>solar-utility</x:v>
      </x:c>
      <x:c r="J17" s="83" t="str">
        <x:v>Generator</x:v>
      </x:c>
      <x:c r="K17" s="83" t="str">
        <x:v>p_nom</x:v>
      </x:c>
      <x:c r="L17" s="279" t="n">
        <x:v>4.1356492969396195</x:v>
      </x:c>
      <x:c r="M17" s="279" t="str">
        <x:v>GW</x:v>
      </x:c>
      <x:c r="N17" s="279" t="n">
        <x:f>IF(L17="","",IF(M17="GW",L17*1000,IF(M17="GWh",L17*1000,IF(M17="TWh",L17*1000000,L17))))</x:f>
        <x:v>4135.6492969396195</x:v>
      </x:c>
      <x:c r="O17" s="83" t="str">
        <x:f>IF(L17="","",IF(M17="GW","MW",IF(OR(M17="GWh",M17="TWh"),"MWh",M17)))</x:f>
        <x:v>MW</x:v>
      </x:c>
      <x:c r="P17" s="83" t="str"/>
      <x:c r="Q17" s="349"/>
      <x:c r="R17" s="349" t="str">
        <x:f>IF(L17="","",IF(Q17&lt;&gt;"",L17*Q17,IF(OR(ISNUMBER(SEARCH("EUR2025",M17&amp;"")),P17=2025,P17="2025"),L17,"")))</x:f>
      </x:c>
      <x:c r="S17" s="83" t="str">
        <x:v>C — Distributed proxy</x:v>
      </x:c>
      <x:c r="T17" s="83" t="str">
        <x:v>Scale DE-IT 2040 zonal/category share (0.031566) to Terna 2050 national Solare utility target.</x:v>
      </x:c>
      <x:c r="U17" s="83" t="str">
        <x:v>S07 / S09</x:v>
      </x:c>
      <x:c r="V17" s="83" t="str">
        <x:v>Terna 2050 national capacity + DDS 2040 zonal shares</x:v>
      </x:c>
      <x:c r="W17" s="120"/>
      <x:c r="X17" s="83" t="str">
        <x:v>C — Distributed</x:v>
      </x:c>
      <x:c r="Y17" s="83" t="str">
        <x:v>APPROVED sensitivity</x:v>
      </x:c>
      <x:c r="Z17" s="83" t="str">
        <x:v>CONDITIONAL SENSITIVITY — CO2 price, programmable fleet composition and inferred BESS power remain open</x:v>
      </x:c>
      <x:c r="AA17" s="83" t="str">
        <x:v>2050 has no direct zonal allocation in the corpus. Retained as the no-nuclear counterfactual.</x:v>
      </x:c>
    </x:row>
    <x:row r="18">
      <x:c r="A18" s="83" t="str">
        <x:v>S4-00542</x:v>
      </x:c>
      <x:c r="B18" s="83" t="str">
        <x:v>IT2050_SENS_NO_NUCLEAR</x:v>
      </x:c>
      <x:c r="C18" s="83" t="n">
        <x:v>2050</x:v>
      </x:c>
      <x:c r="D18" s="83" t="str">
        <x:v>Generation capacity</x:v>
      </x:c>
      <x:c r="E18" s="83" t="str">
        <x:v>IT_SICI</x:v>
      </x:c>
      <x:c r="F18" s="83" t="str">
        <x:v>SICI</x:v>
      </x:c>
      <x:c r="G18" s="83" t="str">
        <x:v>Solare distribuito</x:v>
      </x:c>
      <x:c r="H18" s="83" t="str">
        <x:v>Solar rooftop/distributed</x:v>
      </x:c>
      <x:c r="I18" s="83" t="str">
        <x:v>solar-rooftop</x:v>
      </x:c>
      <x:c r="J18" s="83" t="str">
        <x:v>Generator</x:v>
      </x:c>
      <x:c r="K18" s="83" t="str">
        <x:v>p_nom</x:v>
      </x:c>
      <x:c r="L18" s="279" t="n">
        <x:v>5.459057071960298</x:v>
      </x:c>
      <x:c r="M18" s="279" t="str">
        <x:v>GW</x:v>
      </x:c>
      <x:c r="N18" s="279" t="n">
        <x:f>IF(L18="","",IF(M18="GW",L18*1000,IF(M18="GWh",L18*1000,IF(M18="TWh",L18*1000000,L18))))</x:f>
        <x:v>5459.057071960297</x:v>
      </x:c>
      <x:c r="O18" s="83" t="str">
        <x:f>IF(L18="","",IF(M18="GW","MW",IF(OR(M18="GWh",M18="TWh"),"MWh",M18)))</x:f>
        <x:v>MW</x:v>
      </x:c>
      <x:c r="P18" s="83" t="str"/>
      <x:c r="Q18" s="349"/>
      <x:c r="R18" s="349" t="str">
        <x:f>IF(L18="","",IF(Q18&lt;&gt;"",L18*Q18,IF(OR(ISNUMBER(SEARCH("EUR2025",M18&amp;"")),P18=2025,P18="2025"),L18,"")))</x:f>
      </x:c>
      <x:c r="S18" s="83" t="str">
        <x:v>C — Distributed proxy</x:v>
      </x:c>
      <x:c r="T18" s="83" t="str">
        <x:v>Scale DE-IT 2040 zonal/category share (0.079137) to Terna 2050 national Solare distribuito target.</x:v>
      </x:c>
      <x:c r="U18" s="83" t="str">
        <x:v>S07 / S09</x:v>
      </x:c>
      <x:c r="V18" s="83" t="str">
        <x:v>Terna 2050 national capacity + DDS 2040 zonal shares</x:v>
      </x:c>
      <x:c r="W18" s="120"/>
      <x:c r="X18" s="83" t="str">
        <x:v>C — Distributed</x:v>
      </x:c>
      <x:c r="Y18" s="83" t="str">
        <x:v>APPROVED sensitivity</x:v>
      </x:c>
      <x:c r="Z18" s="83" t="str">
        <x:v>CONDITIONAL SENSITIVITY — CO2 price, programmable fleet composition and inferred BESS power remain open</x:v>
      </x:c>
      <x:c r="AA18" s="83" t="str">
        <x:v>2050 has no direct zonal allocation in the corpus. Retained as the no-nuclear counterfactual.</x:v>
      </x:c>
    </x:row>
    <x:row r="19">
      <x:c r="A19" s="83" t="str">
        <x:v>S4-00543</x:v>
      </x:c>
      <x:c r="B19" s="83" t="str">
        <x:v>IT2050_SENS_NO_NUCLEAR</x:v>
      </x:c>
      <x:c r="C19" s="83" t="n">
        <x:v>2050</x:v>
      </x:c>
      <x:c r="D19" s="83" t="str">
        <x:v>Generation capacity</x:v>
      </x:c>
      <x:c r="E19" s="83" t="str">
        <x:v>IT_SICI</x:v>
      </x:c>
      <x:c r="F19" s="83" t="str">
        <x:v>SICI</x:v>
      </x:c>
      <x:c r="G19" s="83" t="str">
        <x:v>Solare utility</x:v>
      </x:c>
      <x:c r="H19" s="83" t="str">
        <x:v>Solar utility</x:v>
      </x:c>
      <x:c r="I19" s="83" t="str">
        <x:v>solar-utility</x:v>
      </x:c>
      <x:c r="J19" s="83" t="str">
        <x:v>Generator</x:v>
      </x:c>
      <x:c r="K19" s="83" t="str">
        <x:v>p_nom</x:v>
      </x:c>
      <x:c r="L19" s="279" t="n">
        <x:v>19.02398676592225</x:v>
      </x:c>
      <x:c r="M19" s="279" t="str">
        <x:v>GW</x:v>
      </x:c>
      <x:c r="N19" s="279" t="n">
        <x:f>IF(L19="","",IF(M19="GW",L19*1000,IF(M19="GWh",L19*1000,IF(M19="TWh",L19*1000000,L19))))</x:f>
        <x:v>19023.986765922247</x:v>
      </x:c>
      <x:c r="O19" s="83" t="str">
        <x:f>IF(L19="","",IF(M19="GW","MW",IF(OR(M19="GWh",M19="TWh"),"MWh",M19)))</x:f>
        <x:v>MW</x:v>
      </x:c>
      <x:c r="P19" s="83" t="str"/>
      <x:c r="Q19" s="349"/>
      <x:c r="R19" s="349" t="str">
        <x:f>IF(L19="","",IF(Q19&lt;&gt;"",L19*Q19,IF(OR(ISNUMBER(SEARCH("EUR2025",M19&amp;"")),P19=2025,P19="2025"),L19,"")))</x:f>
      </x:c>
      <x:c r="S19" s="83" t="str">
        <x:v>C — Distributed proxy</x:v>
      </x:c>
      <x:c r="T19" s="83" t="str">
        <x:v>Scale DE-IT 2040 zonal/category share (0.145202) to Terna 2050 national Solare utility target.</x:v>
      </x:c>
      <x:c r="U19" s="83" t="str">
        <x:v>S07 / S09</x:v>
      </x:c>
      <x:c r="V19" s="83" t="str">
        <x:v>Terna 2050 national capacity + DDS 2040 zonal shares</x:v>
      </x:c>
      <x:c r="W19" s="120"/>
      <x:c r="X19" s="83" t="str">
        <x:v>C — Distributed</x:v>
      </x:c>
      <x:c r="Y19" s="83" t="str">
        <x:v>APPROVED sensitivity</x:v>
      </x:c>
      <x:c r="Z19" s="83" t="str">
        <x:v>CONDITIONAL SENSITIVITY — CO2 price, programmable fleet composition and inferred BESS power remain open</x:v>
      </x:c>
      <x:c r="AA19" s="83" t="str">
        <x:v>2050 has no direct zonal allocation in the corpus. Retained as the no-nuclear counterfactual.</x:v>
      </x:c>
    </x:row>
    <x:row r="20">
      <x:c r="A20" s="83" t="str">
        <x:v>S4-00544</x:v>
      </x:c>
      <x:c r="B20" s="83" t="str">
        <x:v>IT2050_SENS_NO_NUCLEAR</x:v>
      </x:c>
      <x:c r="C20" s="83" t="n">
        <x:v>2050</x:v>
      </x:c>
      <x:c r="D20" s="83" t="str">
        <x:v>Generation capacity</x:v>
      </x:c>
      <x:c r="E20" s="83" t="str">
        <x:v>IT_SARD</x:v>
      </x:c>
      <x:c r="F20" s="83" t="str">
        <x:v>SARD</x:v>
      </x:c>
      <x:c r="G20" s="83" t="str">
        <x:v>Solare distribuito</x:v>
      </x:c>
      <x:c r="H20" s="83" t="str">
        <x:v>Solar rooftop/distributed</x:v>
      </x:c>
      <x:c r="I20" s="83" t="str">
        <x:v>solar-rooftop</x:v>
      </x:c>
      <x:c r="J20" s="83" t="str">
        <x:v>Generator</x:v>
      </x:c>
      <x:c r="K20" s="83" t="str">
        <x:v>p_nom</x:v>
      </x:c>
      <x:c r="L20" s="279" t="n">
        <x:v>2.8122415219189416</x:v>
      </x:c>
      <x:c r="M20" s="279" t="str">
        <x:v>GW</x:v>
      </x:c>
      <x:c r="N20" s="279" t="n">
        <x:f>IF(L20="","",IF(M20="GW",L20*1000,IF(M20="GWh",L20*1000,IF(M20="TWh",L20*1000000,L20))))</x:f>
        <x:v>2812.2415219189415</x:v>
      </x:c>
      <x:c r="O20" s="83" t="str">
        <x:f>IF(L20="","",IF(M20="GW","MW",IF(OR(M20="GWh",M20="TWh"),"MWh",M20)))</x:f>
        <x:v>MW</x:v>
      </x:c>
      <x:c r="P20" s="83" t="str"/>
      <x:c r="Q20" s="349"/>
      <x:c r="R20" s="349" t="str">
        <x:f>IF(L20="","",IF(Q20&lt;&gt;"",L20*Q20,IF(OR(ISNUMBER(SEARCH("EUR2025",M20&amp;"")),P20=2025,P20="2025"),L20,"")))</x:f>
      </x:c>
      <x:c r="S20" s="83" t="str">
        <x:v>C — Distributed proxy</x:v>
      </x:c>
      <x:c r="T20" s="83" t="str">
        <x:v>Scale DE-IT 2040 zonal/category share (0.040767) to Terna 2050 national Solare distribuito target.</x:v>
      </x:c>
      <x:c r="U20" s="83" t="str">
        <x:v>S07 / S09</x:v>
      </x:c>
      <x:c r="V20" s="83" t="str">
        <x:v>Terna 2050 national capacity + DDS 2040 zonal shares</x:v>
      </x:c>
      <x:c r="W20" s="120"/>
      <x:c r="X20" s="83" t="str">
        <x:v>C — Distributed</x:v>
      </x:c>
      <x:c r="Y20" s="83" t="str">
        <x:v>APPROVED sensitivity</x:v>
      </x:c>
      <x:c r="Z20" s="83" t="str">
        <x:v>CONDITIONAL SENSITIVITY — CO2 price, programmable fleet composition and inferred BESS power remain open</x:v>
      </x:c>
      <x:c r="AA20" s="83" t="str">
        <x:v>2050 has no direct zonal allocation in the corpus. Retained as the no-nuclear counterfactual.</x:v>
      </x:c>
    </x:row>
    <x:row r="21">
      <x:c r="A21" s="83" t="str">
        <x:v>S4-00545</x:v>
      </x:c>
      <x:c r="B21" s="83" t="str">
        <x:v>IT2050_SENS_NO_NUCLEAR</x:v>
      </x:c>
      <x:c r="C21" s="83" t="n">
        <x:v>2050</x:v>
      </x:c>
      <x:c r="D21" s="83" t="str">
        <x:v>Generation capacity</x:v>
      </x:c>
      <x:c r="E21" s="83" t="str">
        <x:v>IT_SARD</x:v>
      </x:c>
      <x:c r="F21" s="83" t="str">
        <x:v>SARD</x:v>
      </x:c>
      <x:c r="G21" s="83" t="str">
        <x:v>Solare utility</x:v>
      </x:c>
      <x:c r="H21" s="83" t="str">
        <x:v>Solar utility</x:v>
      </x:c>
      <x:c r="I21" s="83" t="str">
        <x:v>solar-utility</x:v>
      </x:c>
      <x:c r="J21" s="83" t="str">
        <x:v>Generator</x:v>
      </x:c>
      <x:c r="K21" s="83" t="str">
        <x:v>p_nom</x:v>
      </x:c>
      <x:c r="L21" s="279" t="n">
        <x:v>12.737799834574028</x:v>
      </x:c>
      <x:c r="M21" s="279" t="str">
        <x:v>GW</x:v>
      </x:c>
      <x:c r="N21" s="279" t="n">
        <x:f>IF(L21="","",IF(M21="GW",L21*1000,IF(M21="GWh",L21*1000,IF(M21="TWh",L21*1000000,L21))))</x:f>
        <x:v>12737.799834574029</x:v>
      </x:c>
      <x:c r="O21" s="83" t="str">
        <x:f>IF(L21="","",IF(M21="GW","MW",IF(OR(M21="GWh",M21="TWh"),"MWh",M21)))</x:f>
        <x:v>MW</x:v>
      </x:c>
      <x:c r="P21" s="83" t="str"/>
      <x:c r="Q21" s="349"/>
      <x:c r="R21" s="349" t="str">
        <x:f>IF(L21="","",IF(Q21&lt;&gt;"",L21*Q21,IF(OR(ISNUMBER(SEARCH("EUR2025",M21&amp;"")),P21=2025,P21="2025"),L21,"")))</x:f>
      </x:c>
      <x:c r="S21" s="83" t="str">
        <x:v>C — Distributed proxy</x:v>
      </x:c>
      <x:c r="T21" s="83" t="str">
        <x:v>Scale DE-IT 2040 zonal/category share (0.097222) to Terna 2050 national Solare utility target.</x:v>
      </x:c>
      <x:c r="U21" s="83" t="str">
        <x:v>S07 / S09</x:v>
      </x:c>
      <x:c r="V21" s="83" t="str">
        <x:v>Terna 2050 national capacity + DDS 2040 zonal shares</x:v>
      </x:c>
      <x:c r="W21" s="120"/>
      <x:c r="X21" s="83" t="str">
        <x:v>C — Distributed</x:v>
      </x:c>
      <x:c r="Y21" s="83" t="str">
        <x:v>APPROVED sensitivity</x:v>
      </x:c>
      <x:c r="Z21" s="83" t="str">
        <x:v>CONDITIONAL SENSITIVITY — CO2 price, programmable fleet composition and inferred BESS power remain open</x:v>
      </x:c>
      <x:c r="AA21" s="83" t="str">
        <x:v>2050 has no direct zonal allocation in the corpus. Retained as the no-nuclear counterfactual.</x:v>
      </x:c>
    </x:row>
    <x:row r="22">
      <x:c r="A22" s="83" t="str">
        <x:v>S4-00546</x:v>
      </x:c>
      <x:c r="B22" s="83" t="str">
        <x:v>IT2050_SENS_NO_NUCLEAR</x:v>
      </x:c>
      <x:c r="C22" s="83" t="n">
        <x:v>2050</x:v>
      </x:c>
      <x:c r="D22" s="83" t="str">
        <x:v>Generation capacity</x:v>
      </x:c>
      <x:c r="E22" s="83" t="str">
        <x:v>IT_NORD</x:v>
      </x:c>
      <x:c r="F22" s="83" t="str">
        <x:v>NORD</x:v>
      </x:c>
      <x:c r="G22" s="83" t="str">
        <x:v>Eolico onshore</x:v>
      </x:c>
      <x:c r="H22" s="83" t="str">
        <x:v>Wind onshore</x:v>
      </x:c>
      <x:c r="I22" s="83" t="str">
        <x:v>onwind</x:v>
      </x:c>
      <x:c r="J22" s="83" t="str">
        <x:v>Generator</x:v>
      </x:c>
      <x:c r="K22" s="83" t="str">
        <x:v>p_nom</x:v>
      </x:c>
      <x:c r="L22" s="279" t="n">
        <x:v>0.879765395894428</x:v>
      </x:c>
      <x:c r="M22" s="279" t="str">
        <x:v>GW</x:v>
      </x:c>
      <x:c r="N22" s="279" t="n">
        <x:f>IF(L22="","",IF(M22="GW",L22*1000,IF(M22="GWh",L22*1000,IF(M22="TWh",L22*1000000,L22))))</x:f>
        <x:v>879.765395894428</x:v>
      </x:c>
      <x:c r="O22" s="83" t="str">
        <x:f>IF(L22="","",IF(M22="GW","MW",IF(OR(M22="GWh",M22="TWh"),"MWh",M22)))</x:f>
        <x:v>MW</x:v>
      </x:c>
      <x:c r="P22" s="83" t="str"/>
      <x:c r="Q22" s="349"/>
      <x:c r="R22" s="349" t="str">
        <x:f>IF(L22="","",IF(Q22&lt;&gt;"",L22*Q22,IF(OR(ISNUMBER(SEARCH("EUR2025",M22&amp;"")),P22=2025,P22="2025"),L22,"")))</x:f>
      </x:c>
      <x:c r="S22" s="83" t="str">
        <x:v>C — Distributed proxy</x:v>
      </x:c>
      <x:c r="T22" s="83" t="str">
        <x:v>Scale DE-IT 2040 zonal/category share (0.017595) to Terna 2050 national Eolico onshore target.</x:v>
      </x:c>
      <x:c r="U22" s="83" t="str">
        <x:v>S07 / S09</x:v>
      </x:c>
      <x:c r="V22" s="83" t="str">
        <x:v>Terna 2050 national capacity + DDS 2040 zonal shares</x:v>
      </x:c>
      <x:c r="W22" s="120"/>
      <x:c r="X22" s="83" t="str">
        <x:v>C — Distributed</x:v>
      </x:c>
      <x:c r="Y22" s="83" t="str">
        <x:v>APPROVED sensitivity</x:v>
      </x:c>
      <x:c r="Z22" s="83" t="str">
        <x:v>CONDITIONAL SENSITIVITY — CO2 price, programmable fleet composition and inferred BESS power remain open</x:v>
      </x:c>
      <x:c r="AA22" s="83" t="str">
        <x:v>2050 has no direct zonal allocation in the corpus. Retained as the no-nuclear counterfactual.</x:v>
      </x:c>
    </x:row>
    <x:row r="23">
      <x:c r="A23" s="83" t="str">
        <x:v>S4-00547</x:v>
      </x:c>
      <x:c r="B23" s="83" t="str">
        <x:v>IT2050_SENS_NO_NUCLEAR</x:v>
      </x:c>
      <x:c r="C23" s="83" t="n">
        <x:v>2050</x:v>
      </x:c>
      <x:c r="D23" s="83" t="str">
        <x:v>Generation capacity</x:v>
      </x:c>
      <x:c r="E23" s="83" t="str">
        <x:v>IT_NORD</x:v>
      </x:c>
      <x:c r="F23" s="83" t="str">
        <x:v>NORD</x:v>
      </x:c>
      <x:c r="G23" s="83" t="str">
        <x:v>Eolico offshore</x:v>
      </x:c>
      <x:c r="H23" s="83" t="str">
        <x:v>Wind offshore unspecified</x:v>
      </x:c>
      <x:c r="I23" s="83" t="str">
        <x:v>offwind</x:v>
      </x:c>
      <x:c r="J23" s="83" t="str">
        <x:v>Generator</x:v>
      </x:c>
      <x:c r="K23" s="83" t="str">
        <x:v>p_nom</x:v>
      </x:c>
      <x:c r="L23" s="279" t="n">
        <x:v>1.973684210526316</x:v>
      </x:c>
      <x:c r="M23" s="279" t="str">
        <x:v>GW</x:v>
      </x:c>
      <x:c r="N23" s="279" t="n">
        <x:f>IF(L23="","",IF(M23="GW",L23*1000,IF(M23="GWh",L23*1000,IF(M23="TWh",L23*1000000,L23))))</x:f>
        <x:v>1973.6842105263158</x:v>
      </x:c>
      <x:c r="O23" s="83" t="str">
        <x:f>IF(L23="","",IF(M23="GW","MW",IF(OR(M23="GWh",M23="TWh"),"MWh",M23)))</x:f>
        <x:v>MW</x:v>
      </x:c>
      <x:c r="P23" s="83" t="str"/>
      <x:c r="Q23" s="349"/>
      <x:c r="R23" s="349" t="str">
        <x:f>IF(L23="","",IF(Q23&lt;&gt;"",L23*Q23,IF(OR(ISNUMBER(SEARCH("EUR2025",M23&amp;"")),P23=2025,P23="2025"),L23,"")))</x:f>
      </x:c>
      <x:c r="S23" s="83" t="str">
        <x:v>C — Distributed proxy</x:v>
      </x:c>
      <x:c r="T23" s="83" t="str">
        <x:v>Scale DE-IT 2040 zonal/category share (0.098684) to Terna 2050 national Eolico offshore target.</x:v>
      </x:c>
      <x:c r="U23" s="83" t="str">
        <x:v>S07 / S09</x:v>
      </x:c>
      <x:c r="V23" s="83" t="str">
        <x:v>Terna 2050 national capacity + DDS 2040 zonal shares</x:v>
      </x:c>
      <x:c r="W23" s="120"/>
      <x:c r="X23" s="83" t="str">
        <x:v>C — Distributed</x:v>
      </x:c>
      <x:c r="Y23" s="83" t="str">
        <x:v>APPROVED sensitivity</x:v>
      </x:c>
      <x:c r="Z23" s="83" t="str">
        <x:v>CONDITIONAL SENSITIVITY — CO2 price, programmable fleet composition and inferred BESS power remain open</x:v>
      </x:c>
      <x:c r="AA23" s="83" t="str">
        <x:v>2050 has no direct zonal allocation in the corpus. Retained as the no-nuclear counterfactual.</x:v>
      </x:c>
    </x:row>
    <x:row r="24">
      <x:c r="A24" s="83" t="str">
        <x:v>S4-00548</x:v>
      </x:c>
      <x:c r="B24" s="83" t="str">
        <x:v>IT2050_SENS_NO_NUCLEAR</x:v>
      </x:c>
      <x:c r="C24" s="83" t="n">
        <x:v>2050</x:v>
      </x:c>
      <x:c r="D24" s="83" t="str">
        <x:v>Generation capacity</x:v>
      </x:c>
      <x:c r="E24" s="83" t="str">
        <x:v>IT_CNOR</x:v>
      </x:c>
      <x:c r="F24" s="83" t="str">
        <x:v>CNOR</x:v>
      </x:c>
      <x:c r="G24" s="83" t="str">
        <x:v>Eolico onshore</x:v>
      </x:c>
      <x:c r="H24" s="83" t="str">
        <x:v>Wind onshore</x:v>
      </x:c>
      <x:c r="I24" s="83" t="str">
        <x:v>onwind</x:v>
      </x:c>
      <x:c r="J24" s="83" t="str">
        <x:v>Generator</x:v>
      </x:c>
      <x:c r="K24" s="83" t="str">
        <x:v>p_nom</x:v>
      </x:c>
      <x:c r="L24" s="279" t="n">
        <x:v>0.5865102639296188</x:v>
      </x:c>
      <x:c r="M24" s="279" t="str">
        <x:v>GW</x:v>
      </x:c>
      <x:c r="N24" s="279" t="n">
        <x:f>IF(L24="","",IF(M24="GW",L24*1000,IF(M24="GWh",L24*1000,IF(M24="TWh",L24*1000000,L24))))</x:f>
        <x:v>586.5102639296188</x:v>
      </x:c>
      <x:c r="O24" s="83" t="str">
        <x:f>IF(L24="","",IF(M24="GW","MW",IF(OR(M24="GWh",M24="TWh"),"MWh",M24)))</x:f>
        <x:v>MW</x:v>
      </x:c>
      <x:c r="P24" s="83" t="str"/>
      <x:c r="Q24" s="349"/>
      <x:c r="R24" s="349" t="str">
        <x:f>IF(L24="","",IF(Q24&lt;&gt;"",L24*Q24,IF(OR(ISNUMBER(SEARCH("EUR2025",M24&amp;"")),P24=2025,P24="2025"),L24,"")))</x:f>
      </x:c>
      <x:c r="S24" s="83" t="str">
        <x:v>C — Distributed proxy</x:v>
      </x:c>
      <x:c r="T24" s="83" t="str">
        <x:v>Scale DE-IT 2040 zonal/category share (0.011730) to Terna 2050 national Eolico onshore target.</x:v>
      </x:c>
      <x:c r="U24" s="83" t="str">
        <x:v>S07 / S09</x:v>
      </x:c>
      <x:c r="V24" s="83" t="str">
        <x:v>Terna 2050 national capacity + DDS 2040 zonal shares</x:v>
      </x:c>
      <x:c r="W24" s="120"/>
      <x:c r="X24" s="83" t="str">
        <x:v>C — Distributed</x:v>
      </x:c>
      <x:c r="Y24" s="83" t="str">
        <x:v>APPROVED sensitivity</x:v>
      </x:c>
      <x:c r="Z24" s="83" t="str">
        <x:v>CONDITIONAL SENSITIVITY — CO2 price, programmable fleet composition and inferred BESS power remain open</x:v>
      </x:c>
      <x:c r="AA24" s="83" t="str">
        <x:v>2050 has no direct zonal allocation in the corpus. Retained as the no-nuclear counterfactual.</x:v>
      </x:c>
    </x:row>
    <x:row r="25">
      <x:c r="A25" s="83" t="str">
        <x:v>S4-00549</x:v>
      </x:c>
      <x:c r="B25" s="83" t="str">
        <x:v>IT2050_SENS_NO_NUCLEAR</x:v>
      </x:c>
      <x:c r="C25" s="83" t="n">
        <x:v>2050</x:v>
      </x:c>
      <x:c r="D25" s="83" t="str">
        <x:v>Generation capacity</x:v>
      </x:c>
      <x:c r="E25" s="83" t="str">
        <x:v>IT_CNOR</x:v>
      </x:c>
      <x:c r="F25" s="83" t="str">
        <x:v>CNOR</x:v>
      </x:c>
      <x:c r="G25" s="83" t="str">
        <x:v>Eolico offshore</x:v>
      </x:c>
      <x:c r="H25" s="83" t="str">
        <x:v>Wind offshore unspecified</x:v>
      </x:c>
      <x:c r="I25" s="83" t="str">
        <x:v>offwind</x:v>
      </x:c>
      <x:c r="J25" s="83" t="str">
        <x:v>Generator</x:v>
      </x:c>
      <x:c r="K25" s="83" t="str">
        <x:v>p_nom</x:v>
      </x:c>
      <x:c r="L25" s="279" t="n">
        <x:v>1.0526315789473686</x:v>
      </x:c>
      <x:c r="M25" s="279" t="str">
        <x:v>GW</x:v>
      </x:c>
      <x:c r="N25" s="279" t="n">
        <x:f>IF(L25="","",IF(M25="GW",L25*1000,IF(M25="GWh",L25*1000,IF(M25="TWh",L25*1000000,L25))))</x:f>
        <x:v>1052.6315789473686</x:v>
      </x:c>
      <x:c r="O25" s="83" t="str">
        <x:f>IF(L25="","",IF(M25="GW","MW",IF(OR(M25="GWh",M25="TWh"),"MWh",M25)))</x:f>
        <x:v>MW</x:v>
      </x:c>
      <x:c r="P25" s="83" t="str"/>
      <x:c r="Q25" s="349"/>
      <x:c r="R25" s="349" t="str">
        <x:f>IF(L25="","",IF(Q25&lt;&gt;"",L25*Q25,IF(OR(ISNUMBER(SEARCH("EUR2025",M25&amp;"")),P25=2025,P25="2025"),L25,"")))</x:f>
      </x:c>
      <x:c r="S25" s="83" t="str">
        <x:v>C — Distributed proxy</x:v>
      </x:c>
      <x:c r="T25" s="83" t="str">
        <x:v>Scale DE-IT 2040 zonal/category share (0.052632) to Terna 2050 national Eolico offshore target.</x:v>
      </x:c>
      <x:c r="U25" s="83" t="str">
        <x:v>S07 / S09</x:v>
      </x:c>
      <x:c r="V25" s="83" t="str">
        <x:v>Terna 2050 national capacity + DDS 2040 zonal shares</x:v>
      </x:c>
      <x:c r="W25" s="120"/>
      <x:c r="X25" s="83" t="str">
        <x:v>C — Distributed</x:v>
      </x:c>
      <x:c r="Y25" s="83" t="str">
        <x:v>APPROVED sensitivity</x:v>
      </x:c>
      <x:c r="Z25" s="83" t="str">
        <x:v>CONDITIONAL SENSITIVITY — CO2 price, programmable fleet composition and inferred BESS power remain open</x:v>
      </x:c>
      <x:c r="AA25" s="83" t="str">
        <x:v>2050 has no direct zonal allocation in the corpus. Retained as the no-nuclear counterfactual.</x:v>
      </x:c>
    </x:row>
    <x:row r="26">
      <x:c r="A26" s="83" t="str">
        <x:v>S4-00550</x:v>
      </x:c>
      <x:c r="B26" s="83" t="str">
        <x:v>IT2050_SENS_NO_NUCLEAR</x:v>
      </x:c>
      <x:c r="C26" s="83" t="n">
        <x:v>2050</x:v>
      </x:c>
      <x:c r="D26" s="83" t="str">
        <x:v>Generation capacity</x:v>
      </x:c>
      <x:c r="E26" s="83" t="str">
        <x:v>IT_CSUD</x:v>
      </x:c>
      <x:c r="F26" s="83" t="str">
        <x:v>CSUD</x:v>
      </x:c>
      <x:c r="G26" s="83" t="str">
        <x:v>Eolico onshore</x:v>
      </x:c>
      <x:c r="H26" s="83" t="str">
        <x:v>Wind onshore</x:v>
      </x:c>
      <x:c r="I26" s="83" t="str">
        <x:v>onwind</x:v>
      </x:c>
      <x:c r="J26" s="83" t="str">
        <x:v>Generator</x:v>
      </x:c>
      <x:c r="K26" s="83" t="str">
        <x:v>p_nom</x:v>
      </x:c>
      <x:c r="L26" s="279" t="n">
        <x:v>9.970674486803519</x:v>
      </x:c>
      <x:c r="M26" s="279" t="str">
        <x:v>GW</x:v>
      </x:c>
      <x:c r="N26" s="279" t="n">
        <x:f>IF(L26="","",IF(M26="GW",L26*1000,IF(M26="GWh",L26*1000,IF(M26="TWh",L26*1000000,L26))))</x:f>
        <x:v>9970.674486803518</x:v>
      </x:c>
      <x:c r="O26" s="83" t="str">
        <x:f>IF(L26="","",IF(M26="GW","MW",IF(OR(M26="GWh",M26="TWh"),"MWh",M26)))</x:f>
        <x:v>MW</x:v>
      </x:c>
      <x:c r="P26" s="83" t="str"/>
      <x:c r="Q26" s="349"/>
      <x:c r="R26" s="349" t="str">
        <x:f>IF(L26="","",IF(Q26&lt;&gt;"",L26*Q26,IF(OR(ISNUMBER(SEARCH("EUR2025",M26&amp;"")),P26=2025,P26="2025"),L26,"")))</x:f>
      </x:c>
      <x:c r="S26" s="83" t="str">
        <x:v>C — Distributed proxy</x:v>
      </x:c>
      <x:c r="T26" s="83" t="str">
        <x:v>Scale DE-IT 2040 zonal/category share (0.199413) to Terna 2050 national Eolico onshore target.</x:v>
      </x:c>
      <x:c r="U26" s="83" t="str">
        <x:v>S07 / S09</x:v>
      </x:c>
      <x:c r="V26" s="83" t="str">
        <x:v>Terna 2050 national capacity + DDS 2040 zonal shares</x:v>
      </x:c>
      <x:c r="W26" s="120"/>
      <x:c r="X26" s="83" t="str">
        <x:v>C — Distributed</x:v>
      </x:c>
      <x:c r="Y26" s="83" t="str">
        <x:v>APPROVED sensitivity</x:v>
      </x:c>
      <x:c r="Z26" s="83" t="str">
        <x:v>CONDITIONAL SENSITIVITY — CO2 price, programmable fleet composition and inferred BESS power remain open</x:v>
      </x:c>
      <x:c r="AA26" s="83" t="str">
        <x:v>2050 has no direct zonal allocation in the corpus. Retained as the no-nuclear counterfactual.</x:v>
      </x:c>
    </x:row>
    <x:row r="27">
      <x:c r="A27" s="83" t="str">
        <x:v>S4-00551</x:v>
      </x:c>
      <x:c r="B27" s="83" t="str">
        <x:v>IT2050_SENS_NO_NUCLEAR</x:v>
      </x:c>
      <x:c r="C27" s="83" t="n">
        <x:v>2050</x:v>
      </x:c>
      <x:c r="D27" s="83" t="str">
        <x:v>Generation capacity</x:v>
      </x:c>
      <x:c r="E27" s="83" t="str">
        <x:v>IT_CSUD</x:v>
      </x:c>
      <x:c r="F27" s="83" t="str">
        <x:v>CSUD</x:v>
      </x:c>
      <x:c r="G27" s="83" t="str">
        <x:v>Eolico offshore</x:v>
      </x:c>
      <x:c r="H27" s="83" t="str">
        <x:v>Wind offshore unspecified</x:v>
      </x:c>
      <x:c r="I27" s="83" t="str">
        <x:v>offwind</x:v>
      </x:c>
      <x:c r="J27" s="83" t="str">
        <x:v>Generator</x:v>
      </x:c>
      <x:c r="K27" s="83" t="str">
        <x:v>p_nom</x:v>
      </x:c>
      <x:c r="L27" s="279" t="n">
        <x:v>2.105263157894737</x:v>
      </x:c>
      <x:c r="M27" s="279" t="str">
        <x:v>GW</x:v>
      </x:c>
      <x:c r="N27" s="279" t="n">
        <x:f>IF(L27="","",IF(M27="GW",L27*1000,IF(M27="GWh",L27*1000,IF(M27="TWh",L27*1000000,L27))))</x:f>
        <x:v>2105.263157894737</x:v>
      </x:c>
      <x:c r="O27" s="83" t="str">
        <x:f>IF(L27="","",IF(M27="GW","MW",IF(OR(M27="GWh",M27="TWh"),"MWh",M27)))</x:f>
        <x:v>MW</x:v>
      </x:c>
      <x:c r="P27" s="83" t="str"/>
      <x:c r="Q27" s="349"/>
      <x:c r="R27" s="349" t="str">
        <x:f>IF(L27="","",IF(Q27&lt;&gt;"",L27*Q27,IF(OR(ISNUMBER(SEARCH("EUR2025",M27&amp;"")),P27=2025,P27="2025"),L27,"")))</x:f>
      </x:c>
      <x:c r="S27" s="83" t="str">
        <x:v>C — Distributed proxy</x:v>
      </x:c>
      <x:c r="T27" s="83" t="str">
        <x:v>Scale DE-IT 2040 zonal/category share (0.105263) to Terna 2050 national Eolico offshore target.</x:v>
      </x:c>
      <x:c r="U27" s="83" t="str">
        <x:v>S07 / S09</x:v>
      </x:c>
      <x:c r="V27" s="83" t="str">
        <x:v>Terna 2050 national capacity + DDS 2040 zonal shares</x:v>
      </x:c>
      <x:c r="W27" s="120"/>
      <x:c r="X27" s="83" t="str">
        <x:v>C — Distributed</x:v>
      </x:c>
      <x:c r="Y27" s="83" t="str">
        <x:v>APPROVED sensitivity</x:v>
      </x:c>
      <x:c r="Z27" s="83" t="str">
        <x:v>CONDITIONAL SENSITIVITY — CO2 price, programmable fleet composition and inferred BESS power remain open</x:v>
      </x:c>
      <x:c r="AA27" s="83" t="str">
        <x:v>2050 has no direct zonal allocation in the corpus. Retained as the no-nuclear counterfactual.</x:v>
      </x:c>
    </x:row>
    <x:row r="28">
      <x:c r="A28" s="83" t="str">
        <x:v>S4-00552</x:v>
      </x:c>
      <x:c r="B28" s="83" t="str">
        <x:v>IT2050_SENS_NO_NUCLEAR</x:v>
      </x:c>
      <x:c r="C28" s="83" t="n">
        <x:v>2050</x:v>
      </x:c>
      <x:c r="D28" s="83" t="str">
        <x:v>Generation capacity</x:v>
      </x:c>
      <x:c r="E28" s="83" t="str">
        <x:v>IT_SUD</x:v>
      </x:c>
      <x:c r="F28" s="83" t="str">
        <x:v>SUD</x:v>
      </x:c>
      <x:c r="G28" s="83" t="str">
        <x:v>Eolico onshore</x:v>
      </x:c>
      <x:c r="H28" s="83" t="str">
        <x:v>Wind onshore</x:v>
      </x:c>
      <x:c r="I28" s="83" t="str">
        <x:v>onwind</x:v>
      </x:c>
      <x:c r="J28" s="83" t="str">
        <x:v>Generator</x:v>
      </x:c>
      <x:c r="K28" s="83" t="str">
        <x:v>p_nom</x:v>
      </x:c>
      <x:c r="L28" s="279" t="n">
        <x:v>19.35483870967742</x:v>
      </x:c>
      <x:c r="M28" s="279" t="str">
        <x:v>GW</x:v>
      </x:c>
      <x:c r="N28" s="279" t="n">
        <x:f>IF(L28="","",IF(M28="GW",L28*1000,IF(M28="GWh",L28*1000,IF(M28="TWh",L28*1000000,L28))))</x:f>
        <x:v>19354.83870967742</x:v>
      </x:c>
      <x:c r="O28" s="83" t="str">
        <x:f>IF(L28="","",IF(M28="GW","MW",IF(OR(M28="GWh",M28="TWh"),"MWh",M28)))</x:f>
        <x:v>MW</x:v>
      </x:c>
      <x:c r="P28" s="83" t="str"/>
      <x:c r="Q28" s="349"/>
      <x:c r="R28" s="349" t="str">
        <x:f>IF(L28="","",IF(Q28&lt;&gt;"",L28*Q28,IF(OR(ISNUMBER(SEARCH("EUR2025",M28&amp;"")),P28=2025,P28="2025"),L28,"")))</x:f>
      </x:c>
      <x:c r="S28" s="83" t="str">
        <x:v>C — Distributed proxy</x:v>
      </x:c>
      <x:c r="T28" s="83" t="str">
        <x:v>Scale DE-IT 2040 zonal/category share (0.387097) to Terna 2050 national Eolico onshore target.</x:v>
      </x:c>
      <x:c r="U28" s="83" t="str">
        <x:v>S07 / S09</x:v>
      </x:c>
      <x:c r="V28" s="83" t="str">
        <x:v>Terna 2050 national capacity + DDS 2040 zonal shares</x:v>
      </x:c>
      <x:c r="W28" s="120"/>
      <x:c r="X28" s="83" t="str">
        <x:v>C — Distributed</x:v>
      </x:c>
      <x:c r="Y28" s="83" t="str">
        <x:v>APPROVED sensitivity</x:v>
      </x:c>
      <x:c r="Z28" s="83" t="str">
        <x:v>CONDITIONAL SENSITIVITY — CO2 price, programmable fleet composition and inferred BESS power remain open</x:v>
      </x:c>
      <x:c r="AA28" s="83" t="str">
        <x:v>2050 has no direct zonal allocation in the corpus. Retained as the no-nuclear counterfactual.</x:v>
      </x:c>
    </x:row>
    <x:row r="29">
      <x:c r="A29" s="83" t="str">
        <x:v>S4-00553</x:v>
      </x:c>
      <x:c r="B29" s="83" t="str">
        <x:v>IT2050_SENS_NO_NUCLEAR</x:v>
      </x:c>
      <x:c r="C29" s="83" t="n">
        <x:v>2050</x:v>
      </x:c>
      <x:c r="D29" s="83" t="str">
        <x:v>Generation capacity</x:v>
      </x:c>
      <x:c r="E29" s="83" t="str">
        <x:v>IT_SUD</x:v>
      </x:c>
      <x:c r="F29" s="83" t="str">
        <x:v>SUD</x:v>
      </x:c>
      <x:c r="G29" s="83" t="str">
        <x:v>Eolico offshore</x:v>
      </x:c>
      <x:c r="H29" s="83" t="str">
        <x:v>Wind offshore unspecified</x:v>
      </x:c>
      <x:c r="I29" s="83" t="str">
        <x:v>offwind</x:v>
      </x:c>
      <x:c r="J29" s="83" t="str">
        <x:v>Generator</x:v>
      </x:c>
      <x:c r="K29" s="83" t="str">
        <x:v>p_nom</x:v>
      </x:c>
      <x:c r="L29" s="279" t="n">
        <x:v>6.184210526315789</x:v>
      </x:c>
      <x:c r="M29" s="279" t="str">
        <x:v>GW</x:v>
      </x:c>
      <x:c r="N29" s="279" t="n">
        <x:f>IF(L29="","",IF(M29="GW",L29*1000,IF(M29="GWh",L29*1000,IF(M29="TWh",L29*1000000,L29))))</x:f>
        <x:v>6184.210526315789</x:v>
      </x:c>
      <x:c r="O29" s="83" t="str">
        <x:f>IF(L29="","",IF(M29="GW","MW",IF(OR(M29="GWh",M29="TWh"),"MWh",M29)))</x:f>
        <x:v>MW</x:v>
      </x:c>
      <x:c r="P29" s="83" t="str"/>
      <x:c r="Q29" s="349"/>
      <x:c r="R29" s="349" t="str">
        <x:f>IF(L29="","",IF(Q29&lt;&gt;"",L29*Q29,IF(OR(ISNUMBER(SEARCH("EUR2025",M29&amp;"")),P29=2025,P29="2025"),L29,"")))</x:f>
      </x:c>
      <x:c r="S29" s="83" t="str">
        <x:v>C — Distributed proxy</x:v>
      </x:c>
      <x:c r="T29" s="83" t="str">
        <x:v>Scale DE-IT 2040 zonal/category share (0.309211) to Terna 2050 national Eolico offshore target.</x:v>
      </x:c>
      <x:c r="U29" s="83" t="str">
        <x:v>S07 / S09</x:v>
      </x:c>
      <x:c r="V29" s="83" t="str">
        <x:v>Terna 2050 national capacity + DDS 2040 zonal shares</x:v>
      </x:c>
      <x:c r="W29" s="120"/>
      <x:c r="X29" s="83" t="str">
        <x:v>C — Distributed</x:v>
      </x:c>
      <x:c r="Y29" s="83" t="str">
        <x:v>APPROVED sensitivity</x:v>
      </x:c>
      <x:c r="Z29" s="83" t="str">
        <x:v>CONDITIONAL SENSITIVITY — CO2 price, programmable fleet composition and inferred BESS power remain open</x:v>
      </x:c>
      <x:c r="AA29" s="83" t="str">
        <x:v>2050 has no direct zonal allocation in the corpus. Retained as the no-nuclear counterfactual.</x:v>
      </x:c>
    </x:row>
    <x:row r="30">
      <x:c r="A30" s="83" t="str">
        <x:v>S4-00554</x:v>
      </x:c>
      <x:c r="B30" s="83" t="str">
        <x:v>IT2050_SENS_NO_NUCLEAR</x:v>
      </x:c>
      <x:c r="C30" s="83" t="n">
        <x:v>2050</x:v>
      </x:c>
      <x:c r="D30" s="83" t="str">
        <x:v>Generation capacity</x:v>
      </x:c>
      <x:c r="E30" s="83" t="str">
        <x:v>IT_CALA</x:v>
      </x:c>
      <x:c r="F30" s="83" t="str">
        <x:v>CALA</x:v>
      </x:c>
      <x:c r="G30" s="83" t="str">
        <x:v>Eolico onshore</x:v>
      </x:c>
      <x:c r="H30" s="83" t="str">
        <x:v>Wind onshore</x:v>
      </x:c>
      <x:c r="I30" s="83" t="str">
        <x:v>onwind</x:v>
      </x:c>
      <x:c r="J30" s="83" t="str">
        <x:v>Generator</x:v>
      </x:c>
      <x:c r="K30" s="83" t="str">
        <x:v>p_nom</x:v>
      </x:c>
      <x:c r="L30" s="279" t="n">
        <x:v>4.838709677419355</x:v>
      </x:c>
      <x:c r="M30" s="279" t="str">
        <x:v>GW</x:v>
      </x:c>
      <x:c r="N30" s="279" t="n">
        <x:f>IF(L30="","",IF(M30="GW",L30*1000,IF(M30="GWh",L30*1000,IF(M30="TWh",L30*1000000,L30))))</x:f>
        <x:v>4838.709677419355</x:v>
      </x:c>
      <x:c r="O30" s="83" t="str">
        <x:f>IF(L30="","",IF(M30="GW","MW",IF(OR(M30="GWh",M30="TWh"),"MWh",M30)))</x:f>
        <x:v>MW</x:v>
      </x:c>
      <x:c r="P30" s="83" t="str"/>
      <x:c r="Q30" s="349"/>
      <x:c r="R30" s="349" t="str">
        <x:f>IF(L30="","",IF(Q30&lt;&gt;"",L30*Q30,IF(OR(ISNUMBER(SEARCH("EUR2025",M30&amp;"")),P30=2025,P30="2025"),L30,"")))</x:f>
      </x:c>
      <x:c r="S30" s="83" t="str">
        <x:v>C — Distributed proxy</x:v>
      </x:c>
      <x:c r="T30" s="83" t="str">
        <x:v>Scale DE-IT 2040 zonal/category share (0.096774) to Terna 2050 national Eolico onshore target.</x:v>
      </x:c>
      <x:c r="U30" s="83" t="str">
        <x:v>S07 / S09</x:v>
      </x:c>
      <x:c r="V30" s="83" t="str">
        <x:v>Terna 2050 national capacity + DDS 2040 zonal shares</x:v>
      </x:c>
      <x:c r="W30" s="120"/>
      <x:c r="X30" s="83" t="str">
        <x:v>C — Distributed</x:v>
      </x:c>
      <x:c r="Y30" s="83" t="str">
        <x:v>APPROVED sensitivity</x:v>
      </x:c>
      <x:c r="Z30" s="83" t="str">
        <x:v>CONDITIONAL SENSITIVITY — CO2 price, programmable fleet composition and inferred BESS power remain open</x:v>
      </x:c>
      <x:c r="AA30" s="83" t="str">
        <x:v>2050 has no direct zonal allocation in the corpus. Retained as the no-nuclear counterfactual.</x:v>
      </x:c>
    </x:row>
    <x:row r="31">
      <x:c r="A31" s="83" t="str">
        <x:v>S4-00555</x:v>
      </x:c>
      <x:c r="B31" s="83" t="str">
        <x:v>IT2050_SENS_NO_NUCLEAR</x:v>
      </x:c>
      <x:c r="C31" s="83" t="n">
        <x:v>2050</x:v>
      </x:c>
      <x:c r="D31" s="83" t="str">
        <x:v>Generation capacity</x:v>
      </x:c>
      <x:c r="E31" s="83" t="str">
        <x:v>IT_CALA</x:v>
      </x:c>
      <x:c r="F31" s="83" t="str">
        <x:v>CALA</x:v>
      </x:c>
      <x:c r="G31" s="83" t="str">
        <x:v>Eolico offshore</x:v>
      </x:c>
      <x:c r="H31" s="83" t="str">
        <x:v>Wind offshore unspecified</x:v>
      </x:c>
      <x:c r="I31" s="83" t="str">
        <x:v>offwind</x:v>
      </x:c>
      <x:c r="J31" s="83" t="str">
        <x:v>Generator</x:v>
      </x:c>
      <x:c r="K31" s="83" t="str">
        <x:v>p_nom</x:v>
      </x:c>
      <x:c r="L31" s="279" t="n">
        <x:v>0.7894736842105263</x:v>
      </x:c>
      <x:c r="M31" s="279" t="str">
        <x:v>GW</x:v>
      </x:c>
      <x:c r="N31" s="279" t="n">
        <x:f>IF(L31="","",IF(M31="GW",L31*1000,IF(M31="GWh",L31*1000,IF(M31="TWh",L31*1000000,L31))))</x:f>
        <x:v>789.4736842105264</x:v>
      </x:c>
      <x:c r="O31" s="83" t="str">
        <x:f>IF(L31="","",IF(M31="GW","MW",IF(OR(M31="GWh",M31="TWh"),"MWh",M31)))</x:f>
        <x:v>MW</x:v>
      </x:c>
      <x:c r="P31" s="83" t="str"/>
      <x:c r="Q31" s="349"/>
      <x:c r="R31" s="349" t="str">
        <x:f>IF(L31="","",IF(Q31&lt;&gt;"",L31*Q31,IF(OR(ISNUMBER(SEARCH("EUR2025",M31&amp;"")),P31=2025,P31="2025"),L31,"")))</x:f>
      </x:c>
      <x:c r="S31" s="83" t="str">
        <x:v>C — Distributed proxy</x:v>
      </x:c>
      <x:c r="T31" s="83" t="str">
        <x:v>Scale DE-IT 2040 zonal/category share (0.039474) to Terna 2050 national Eolico offshore target.</x:v>
      </x:c>
      <x:c r="U31" s="83" t="str">
        <x:v>S07 / S09</x:v>
      </x:c>
      <x:c r="V31" s="83" t="str">
        <x:v>Terna 2050 national capacity + DDS 2040 zonal shares</x:v>
      </x:c>
      <x:c r="W31" s="120"/>
      <x:c r="X31" s="83" t="str">
        <x:v>C — Distributed</x:v>
      </x:c>
      <x:c r="Y31" s="83" t="str">
        <x:v>APPROVED sensitivity</x:v>
      </x:c>
      <x:c r="Z31" s="83" t="str">
        <x:v>CONDITIONAL SENSITIVITY — CO2 price, programmable fleet composition and inferred BESS power remain open</x:v>
      </x:c>
      <x:c r="AA31" s="83" t="str">
        <x:v>2050 has no direct zonal allocation in the corpus. Retained as the no-nuclear counterfactual.</x:v>
      </x:c>
    </x:row>
    <x:row r="32">
      <x:c r="A32" s="83" t="str">
        <x:v>S4-00556</x:v>
      </x:c>
      <x:c r="B32" s="83" t="str">
        <x:v>IT2050_SENS_NO_NUCLEAR</x:v>
      </x:c>
      <x:c r="C32" s="83" t="n">
        <x:v>2050</x:v>
      </x:c>
      <x:c r="D32" s="83" t="str">
        <x:v>Generation capacity</x:v>
      </x:c>
      <x:c r="E32" s="83" t="str">
        <x:v>IT_SICI</x:v>
      </x:c>
      <x:c r="F32" s="83" t="str">
        <x:v>SICI</x:v>
      </x:c>
      <x:c r="G32" s="83" t="str">
        <x:v>Eolico onshore</x:v>
      </x:c>
      <x:c r="H32" s="83" t="str">
        <x:v>Wind onshore</x:v>
      </x:c>
      <x:c r="I32" s="83" t="str">
        <x:v>onwind</x:v>
      </x:c>
      <x:c r="J32" s="83" t="str">
        <x:v>Generator</x:v>
      </x:c>
      <x:c r="K32" s="83" t="str">
        <x:v>p_nom</x:v>
      </x:c>
      <x:c r="L32" s="279" t="n">
        <x:v>9.237536656891495</x:v>
      </x:c>
      <x:c r="M32" s="279" t="str">
        <x:v>GW</x:v>
      </x:c>
      <x:c r="N32" s="279" t="n">
        <x:f>IF(L32="","",IF(M32="GW",L32*1000,IF(M32="GWh",L32*1000,IF(M32="TWh",L32*1000000,L32))))</x:f>
        <x:v>9237.536656891494</x:v>
      </x:c>
      <x:c r="O32" s="83" t="str">
        <x:f>IF(L32="","",IF(M32="GW","MW",IF(OR(M32="GWh",M32="TWh"),"MWh",M32)))</x:f>
        <x:v>MW</x:v>
      </x:c>
      <x:c r="P32" s="83" t="str"/>
      <x:c r="Q32" s="349"/>
      <x:c r="R32" s="349" t="str">
        <x:f>IF(L32="","",IF(Q32&lt;&gt;"",L32*Q32,IF(OR(ISNUMBER(SEARCH("EUR2025",M32&amp;"")),P32=2025,P32="2025"),L32,"")))</x:f>
      </x:c>
      <x:c r="S32" s="83" t="str">
        <x:v>C — Distributed proxy</x:v>
      </x:c>
      <x:c r="T32" s="83" t="str">
        <x:v>Scale DE-IT 2040 zonal/category share (0.184751) to Terna 2050 national Eolico onshore target.</x:v>
      </x:c>
      <x:c r="U32" s="83" t="str">
        <x:v>S07 / S09</x:v>
      </x:c>
      <x:c r="V32" s="83" t="str">
        <x:v>Terna 2050 national capacity + DDS 2040 zonal shares</x:v>
      </x:c>
      <x:c r="W32" s="120"/>
      <x:c r="X32" s="83" t="str">
        <x:v>C — Distributed</x:v>
      </x:c>
      <x:c r="Y32" s="83" t="str">
        <x:v>APPROVED sensitivity</x:v>
      </x:c>
      <x:c r="Z32" s="83" t="str">
        <x:v>CONDITIONAL SENSITIVITY — CO2 price, programmable fleet composition and inferred BESS power remain open</x:v>
      </x:c>
      <x:c r="AA32" s="83" t="str">
        <x:v>2050 has no direct zonal allocation in the corpus. Retained as the no-nuclear counterfactual.</x:v>
      </x:c>
    </x:row>
    <x:row r="33">
      <x:c r="A33" s="83" t="str">
        <x:v>S4-00557</x:v>
      </x:c>
      <x:c r="B33" s="83" t="str">
        <x:v>IT2050_SENS_NO_NUCLEAR</x:v>
      </x:c>
      <x:c r="C33" s="83" t="n">
        <x:v>2050</x:v>
      </x:c>
      <x:c r="D33" s="83" t="str">
        <x:v>Generation capacity</x:v>
      </x:c>
      <x:c r="E33" s="83" t="str">
        <x:v>IT_SICI</x:v>
      </x:c>
      <x:c r="F33" s="83" t="str">
        <x:v>SICI</x:v>
      </x:c>
      <x:c r="G33" s="83" t="str">
        <x:v>Eolico offshore</x:v>
      </x:c>
      <x:c r="H33" s="83" t="str">
        <x:v>Wind offshore unspecified</x:v>
      </x:c>
      <x:c r="I33" s="83" t="str">
        <x:v>offwind</x:v>
      </x:c>
      <x:c r="J33" s="83" t="str">
        <x:v>Generator</x:v>
      </x:c>
      <x:c r="K33" s="83" t="str">
        <x:v>p_nom</x:v>
      </x:c>
      <x:c r="L33" s="279" t="n">
        <x:v>3.947368421052632</x:v>
      </x:c>
      <x:c r="M33" s="279" t="str">
        <x:v>GW</x:v>
      </x:c>
      <x:c r="N33" s="279" t="n">
        <x:f>IF(L33="","",IF(M33="GW",L33*1000,IF(M33="GWh",L33*1000,IF(M33="TWh",L33*1000000,L33))))</x:f>
        <x:v>3947.3684210526317</x:v>
      </x:c>
      <x:c r="O33" s="83" t="str">
        <x:f>IF(L33="","",IF(M33="GW","MW",IF(OR(M33="GWh",M33="TWh"),"MWh",M33)))</x:f>
        <x:v>MW</x:v>
      </x:c>
      <x:c r="P33" s="83" t="str"/>
      <x:c r="Q33" s="349"/>
      <x:c r="R33" s="349" t="str">
        <x:f>IF(L33="","",IF(Q33&lt;&gt;"",L33*Q33,IF(OR(ISNUMBER(SEARCH("EUR2025",M33&amp;"")),P33=2025,P33="2025"),L33,"")))</x:f>
      </x:c>
      <x:c r="S33" s="83" t="str">
        <x:v>C — Distributed proxy</x:v>
      </x:c>
      <x:c r="T33" s="83" t="str">
        <x:v>Scale DE-IT 2040 zonal/category share (0.197368) to Terna 2050 national Eolico offshore target.</x:v>
      </x:c>
      <x:c r="U33" s="83" t="str">
        <x:v>S07 / S09</x:v>
      </x:c>
      <x:c r="V33" s="83" t="str">
        <x:v>Terna 2050 national capacity + DDS 2040 zonal shares</x:v>
      </x:c>
      <x:c r="W33" s="120"/>
      <x:c r="X33" s="83" t="str">
        <x:v>C — Distributed</x:v>
      </x:c>
      <x:c r="Y33" s="83" t="str">
        <x:v>APPROVED sensitivity</x:v>
      </x:c>
      <x:c r="Z33" s="83" t="str">
        <x:v>CONDITIONAL SENSITIVITY — CO2 price, programmable fleet composition and inferred BESS power remain open</x:v>
      </x:c>
      <x:c r="AA33" s="83" t="str">
        <x:v>2050 has no direct zonal allocation in the corpus. Retained as the no-nuclear counterfactual.</x:v>
      </x:c>
    </x:row>
    <x:row r="34">
      <x:c r="A34" s="83" t="str">
        <x:v>S4-00558</x:v>
      </x:c>
      <x:c r="B34" s="83" t="str">
        <x:v>IT2050_SENS_NO_NUCLEAR</x:v>
      </x:c>
      <x:c r="C34" s="83" t="n">
        <x:v>2050</x:v>
      </x:c>
      <x:c r="D34" s="83" t="str">
        <x:v>Generation capacity</x:v>
      </x:c>
      <x:c r="E34" s="83" t="str">
        <x:v>IT_SARD</x:v>
      </x:c>
      <x:c r="F34" s="83" t="str">
        <x:v>SARD</x:v>
      </x:c>
      <x:c r="G34" s="83" t="str">
        <x:v>Eolico onshore</x:v>
      </x:c>
      <x:c r="H34" s="83" t="str">
        <x:v>Wind onshore</x:v>
      </x:c>
      <x:c r="I34" s="83" t="str">
        <x:v>onwind</x:v>
      </x:c>
      <x:c r="J34" s="83" t="str">
        <x:v>Generator</x:v>
      </x:c>
      <x:c r="K34" s="83" t="str">
        <x:v>p_nom</x:v>
      </x:c>
      <x:c r="L34" s="279" t="n">
        <x:v>5.131964809384164</x:v>
      </x:c>
      <x:c r="M34" s="279" t="str">
        <x:v>GW</x:v>
      </x:c>
      <x:c r="N34" s="279" t="n">
        <x:f>IF(L34="","",IF(M34="GW",L34*1000,IF(M34="GWh",L34*1000,IF(M34="TWh",L34*1000000,L34))))</x:f>
        <x:v>5131.964809384164</x:v>
      </x:c>
      <x:c r="O34" s="83" t="str">
        <x:f>IF(L34="","",IF(M34="GW","MW",IF(OR(M34="GWh",M34="TWh"),"MWh",M34)))</x:f>
        <x:v>MW</x:v>
      </x:c>
      <x:c r="P34" s="83" t="str"/>
      <x:c r="Q34" s="349"/>
      <x:c r="R34" s="349" t="str">
        <x:f>IF(L34="","",IF(Q34&lt;&gt;"",L34*Q34,IF(OR(ISNUMBER(SEARCH("EUR2025",M34&amp;"")),P34=2025,P34="2025"),L34,"")))</x:f>
      </x:c>
      <x:c r="S34" s="83" t="str">
        <x:v>C — Distributed proxy</x:v>
      </x:c>
      <x:c r="T34" s="83" t="str">
        <x:v>Scale DE-IT 2040 zonal/category share (0.102639) to Terna 2050 national Eolico onshore target.</x:v>
      </x:c>
      <x:c r="U34" s="83" t="str">
        <x:v>S07 / S09</x:v>
      </x:c>
      <x:c r="V34" s="83" t="str">
        <x:v>Terna 2050 national capacity + DDS 2040 zonal shares</x:v>
      </x:c>
      <x:c r="W34" s="120"/>
      <x:c r="X34" s="83" t="str">
        <x:v>C — Distributed</x:v>
      </x:c>
      <x:c r="Y34" s="83" t="str">
        <x:v>APPROVED sensitivity</x:v>
      </x:c>
      <x:c r="Z34" s="83" t="str">
        <x:v>CONDITIONAL SENSITIVITY — CO2 price, programmable fleet composition and inferred BESS power remain open</x:v>
      </x:c>
      <x:c r="AA34" s="83" t="str">
        <x:v>2050 has no direct zonal allocation in the corpus. Retained as the no-nuclear counterfactual.</x:v>
      </x:c>
    </x:row>
    <x:row r="35">
      <x:c r="A35" s="83" t="str">
        <x:v>S4-00559</x:v>
      </x:c>
      <x:c r="B35" s="83" t="str">
        <x:v>IT2050_SENS_NO_NUCLEAR</x:v>
      </x:c>
      <x:c r="C35" s="83" t="n">
        <x:v>2050</x:v>
      </x:c>
      <x:c r="D35" s="83" t="str">
        <x:v>Generation capacity</x:v>
      </x:c>
      <x:c r="E35" s="83" t="str">
        <x:v>IT_SARD</x:v>
      </x:c>
      <x:c r="F35" s="83" t="str">
        <x:v>SARD</x:v>
      </x:c>
      <x:c r="G35" s="83" t="str">
        <x:v>Eolico offshore</x:v>
      </x:c>
      <x:c r="H35" s="83" t="str">
        <x:v>Wind offshore unspecified</x:v>
      </x:c>
      <x:c r="I35" s="83" t="str">
        <x:v>offwind</x:v>
      </x:c>
      <x:c r="J35" s="83" t="str">
        <x:v>Generator</x:v>
      </x:c>
      <x:c r="K35" s="83" t="str">
        <x:v>p_nom</x:v>
      </x:c>
      <x:c r="L35" s="279" t="n">
        <x:v>3.947368421052632</x:v>
      </x:c>
      <x:c r="M35" s="279" t="str">
        <x:v>GW</x:v>
      </x:c>
      <x:c r="N35" s="279" t="n">
        <x:f>IF(L35="","",IF(M35="GW",L35*1000,IF(M35="GWh",L35*1000,IF(M35="TWh",L35*1000000,L35))))</x:f>
        <x:v>3947.3684210526317</x:v>
      </x:c>
      <x:c r="O35" s="83" t="str">
        <x:f>IF(L35="","",IF(M35="GW","MW",IF(OR(M35="GWh",M35="TWh"),"MWh",M35)))</x:f>
        <x:v>MW</x:v>
      </x:c>
      <x:c r="P35" s="83" t="str"/>
      <x:c r="Q35" s="349"/>
      <x:c r="R35" s="349" t="str">
        <x:f>IF(L35="","",IF(Q35&lt;&gt;"",L35*Q35,IF(OR(ISNUMBER(SEARCH("EUR2025",M35&amp;"")),P35=2025,P35="2025"),L35,"")))</x:f>
      </x:c>
      <x:c r="S35" s="83" t="str">
        <x:v>C — Distributed proxy</x:v>
      </x:c>
      <x:c r="T35" s="83" t="str">
        <x:v>Scale DE-IT 2040 zonal/category share (0.197368) to Terna 2050 national Eolico offshore target.</x:v>
      </x:c>
      <x:c r="U35" s="83" t="str">
        <x:v>S07 / S09</x:v>
      </x:c>
      <x:c r="V35" s="83" t="str">
        <x:v>Terna 2050 national capacity + DDS 2040 zonal shares</x:v>
      </x:c>
      <x:c r="W35" s="120"/>
      <x:c r="X35" s="83" t="str">
        <x:v>C — Distributed</x:v>
      </x:c>
      <x:c r="Y35" s="83" t="str">
        <x:v>APPROVED sensitivity</x:v>
      </x:c>
      <x:c r="Z35" s="83" t="str">
        <x:v>CONDITIONAL SENSITIVITY — CO2 price, programmable fleet composition and inferred BESS power remain open</x:v>
      </x:c>
      <x:c r="AA35" s="83" t="str">
        <x:v>2050 has no direct zonal allocation in the corpus. Retained as the no-nuclear counterfactual.</x:v>
      </x:c>
    </x:row>
    <x:row r="36">
      <x:c r="A36" s="83" t="str">
        <x:v>S4-00560</x:v>
      </x:c>
      <x:c r="B36" s="83" t="str">
        <x:v>IT2050_SENS_NO_NUCLEAR</x:v>
      </x:c>
      <x:c r="C36" s="83" t="n">
        <x:v>2050</x:v>
      </x:c>
      <x:c r="D36" s="83" t="str">
        <x:v>Generation capacity</x:v>
      </x:c>
      <x:c r="E36" s="83" t="str">
        <x:v>Italy / siting open</x:v>
      </x:c>
      <x:c r="F36" s="83"/>
      <x:c r="G36" s="83" t="str">
        <x:v>Nucleare</x:v>
      </x:c>
      <x:c r="H36" s="83" t="str">
        <x:v>New nuclear / SMR portfolio</x:v>
      </x:c>
      <x:c r="I36" s="83" t="str">
        <x:v>nuclear</x:v>
      </x:c>
      <x:c r="J36" s="83" t="str">
        <x:v>Generator</x:v>
      </x:c>
      <x:c r="K36" s="83" t="str">
        <x:v>p_nom</x:v>
      </x:c>
      <x:c r="L36" s="279" t="n">
        <x:v>0</x:v>
      </x:c>
      <x:c r="M36" s="279" t="str">
        <x:v>GW</x:v>
      </x:c>
      <x:c r="N36" s="279" t="str">
        <x:f>IF(L36="","",IF(M36="GW",L36*1000,IF(M36="GWh",L36*1000,IF(M36="TWh",L36*1000000,L36))))</x:f>
      </x:c>
      <x:c r="O36" s="83" t="str">
        <x:f>IF(L36="","",IF(M36="GW","MW",IF(OR(M36="GWh",M36="TWh"),"MWh",M36)))</x:f>
      </x:c>
      <x:c r="P36" s="83" t="str"/>
      <x:c r="Q36" s="349"/>
      <x:c r="R36" s="349" t="str">
        <x:f>IF(L36="","",IF(Q36&lt;&gt;"",L36*Q36,IF(OR(ISNUMBER(SEARCH("EUR2025",M36&amp;"")),P36=2025,P36="2025"),L36,"")))</x:f>
      </x:c>
      <x:c r="S36" s="83" t="str">
        <x:v>A — Direct national / E — siting gap</x:v>
      </x:c>
      <x:c r="T36" s="83" t="str">
        <x:v>National capacity direct; siting not assigned.</x:v>
      </x:c>
      <x:c r="U36" s="83" t="str">
        <x:v>S07</x:v>
      </x:c>
      <x:c r="V36" s="83" t="str">
        <x:v>Terna 2050 technical capacity</x:v>
      </x:c>
      <x:c r="W36" s="120"/>
      <x:c r="X36" s="83" t="str">
        <x:v>A/E</x:v>
      </x:c>
      <x:c r="Y36" s="83" t="str">
        <x:v>APPROVED sensitivity</x:v>
      </x:c>
      <x:c r="Z36" s="83" t="str">
        <x:v>CONDITIONAL SENSITIVITY — CO2 price, programmable fleet composition and inferred BESS power remain open</x:v>
      </x:c>
      <x:c r="AA36" s="83" t="str">
        <x:v>Retained as the no-nuclear counterfactual.</x:v>
      </x:c>
    </x:row>
    <x:row r="37">
      <x:c r="A37" s="83" t="str">
        <x:v>S4-00561</x:v>
      </x:c>
      <x:c r="B37" s="83" t="str">
        <x:v>IT2050_SENS_NO_NUCLEAR</x:v>
      </x:c>
      <x:c r="C37" s="83" t="n">
        <x:v>2050</x:v>
      </x:c>
      <x:c r="D37" s="83" t="str">
        <x:v>Programmable generation</x:v>
      </x:c>
      <x:c r="E37" s="83" t="str">
        <x:v>Italy</x:v>
      </x:c>
      <x:c r="F37" s="83"/>
      <x:c r="G37" s="83" t="str">
        <x:v>Altra produzione programmabile</x:v>
      </x:c>
      <x:c r="H37" s="83" t="str">
        <x:v>Programmable low-carbon/thermal portfolio</x:v>
      </x:c>
      <x:c r="I37" s="83" t="str">
        <x:v>programmable</x:v>
      </x:c>
      <x:c r="J37" s="83" t="str">
        <x:v>Generator portfolio</x:v>
      </x:c>
      <x:c r="K37" s="83" t="str">
        <x:v>annual generation QA</x:v>
      </x:c>
      <x:c r="L37" s="279" t="n">
        <x:v>66</x:v>
      </x:c>
      <x:c r="M37" s="279" t="str">
        <x:v>TWh</x:v>
      </x:c>
      <x:c r="N37" s="279" t="n">
        <x:f>IF(L37="","",IF(M37="GW",L37*1000,IF(M37="GWh",L37*1000,IF(M37="TWh",L37*1000000,L37))))</x:f>
        <x:v>66000000</x:v>
      </x:c>
      <x:c r="O37" s="83" t="str">
        <x:f>IF(L37="","",IF(M37="GW","MW",IF(OR(M37="GWh",M37="TWh"),"MWh",M37)))</x:f>
        <x:v>MWh</x:v>
      </x:c>
      <x:c r="P37" s="83" t="str"/>
      <x:c r="Q37" s="349"/>
      <x:c r="R37" s="349" t="str">
        <x:f>IF(L37="","",IF(Q37&lt;&gt;"",L37*Q37,IF(OR(ISNUMBER(SEARCH("EUR2025",M37&amp;"")),P37=2025,P37="2025"),L37,"")))</x:f>
      </x:c>
      <x:c r="S37" s="83" t="str">
        <x:v>A — Direct aggregate</x:v>
      </x:c>
      <x:c r="T37" s="83" t="str">
        <x:v>Use as annual output envelope; composition and capacity must be resolved from PNIEC/PyPSA-Eur plant classes.</x:v>
      </x:c>
      <x:c r="U37" s="83" t="str">
        <x:v>S07</x:v>
      </x:c>
      <x:c r="V37" s="83" t="str">
        <x:v>Terna 2050 annual balance</x:v>
      </x:c>
      <x:c r="W37" s="120"/>
      <x:c r="X37" s="83" t="str">
        <x:v>A aggregate / E disaggregation</x:v>
      </x:c>
      <x:c r="Y37" s="83" t="str">
        <x:v>APPROVED sensitivity</x:v>
      </x:c>
      <x:c r="Z37" s="83" t="str">
        <x:v>CONDITIONAL SENSITIVITY — CO2 price, programmable fleet composition and inferred BESS power remain open</x:v>
      </x:c>
      <x:c r="AA37" s="83" t="str">
        <x:v>Retained as the no-nuclear counterfactual.</x:v>
      </x:c>
    </x:row>
    <x:row r="38">
      <x:c r="A38" s="83" t="str">
        <x:v>S4-00562</x:v>
      </x:c>
      <x:c r="B38" s="83" t="str">
        <x:v>IT2050_SENS_NO_NUCLEAR</x:v>
      </x:c>
      <x:c r="C38" s="83" t="n">
        <x:v>2050</x:v>
      </x:c>
      <x:c r="D38" s="83" t="str">
        <x:v>Hydro</x:v>
      </x:c>
      <x:c r="E38" s="83" t="str">
        <x:v>PyPSA-Eur existing sites</x:v>
      </x:c>
      <x:c r="F38" s="83"/>
      <x:c r="G38" s="83" t="str">
        <x:v>Hydro/PHS stock</x:v>
      </x:c>
      <x:c r="H38" s="83" t="str">
        <x:v>Hydro fleet and inflows</x:v>
      </x:c>
      <x:c r="I38" s="83" t="str">
        <x:v>hydro</x:v>
      </x:c>
      <x:c r="J38" s="83" t="str">
        <x:v>Generator/StorageUnit</x:v>
      </x:c>
      <x:c r="K38" s="83" t="str">
        <x:v>existing capacities and p_max_pu</x:v>
      </x:c>
      <x:c r="L38" s="279" t="n">
        <x:v>23</x:v>
      </x:c>
      <x:c r="M38" s="279" t="str">
        <x:v>GW</x:v>
      </x:c>
      <x:c r="N38" s="279" t="n">
        <x:f>IF(L38="","",IF(M38="GW",L38*1000,IF(M38="GWh",L38*1000,IF(M38="TWh",L38*1000000,L38))))</x:f>
        <x:v>23000</x:v>
      </x:c>
      <x:c r="O38" s="83" t="str">
        <x:f>IF(L38="","",IF(M38="GW","MW",IF(OR(M38="GWh",M38="TWh"),"MWh",M38)))</x:f>
        <x:v>MW</x:v>
      </x:c>
      <x:c r="P38" s="83" t="str"/>
      <x:c r="Q38" s="349"/>
      <x:c r="R38" s="349" t="str">
        <x:f>IF(L38="","",IF(Q38&lt;&gt;"",L38*Q38,IF(OR(ISNUMBER(SEARCH("EUR2025",M38&amp;"")),P38=2025,P38="2025"),L38,"")))</x:f>
      </x:c>
      <x:c r="S38" s="83" t="str">
        <x:v>C — Source label / base-network mapping</x:v>
      </x:c>
      <x:c r="T38" s="83" t="str">
        <x:v>Retain base-network hydro and PHS geography; reconcile combined hydro+pumping capacity to ~23 GW.</x:v>
      </x:c>
      <x:c r="U38" s="83" t="str">
        <x:v>S07 / PyPSA-Eur</x:v>
      </x:c>
      <x:c r="V38" s="83" t="str">
        <x:v>Terna Figure 54 + base network</x:v>
      </x:c>
      <x:c r="W38" s="120" t="str">
        <x:v>https://github.com/PyPSA/pypsa-eur/releases/tag/v2026.02.0</x:v>
      </x:c>
      <x:c r="X38" s="83" t="str">
        <x:v>C</x:v>
      </x:c>
      <x:c r="Y38" s="83" t="str">
        <x:v>APPROVED sensitivity</x:v>
      </x:c>
      <x:c r="Z38" s="83" t="str">
        <x:v>CONDITIONAL SENSITIVITY — CO2 price, programmable fleet composition and inferred BESS power remain open</x:v>
      </x:c>
      <x:c r="AA38" s="83" t="str">
        <x:v>Solar+wind+hydro annual production QA is 474 TWh, but hydro-only 2050 is not separately published. Retained as the no-nuclear counterfactual.</x:v>
      </x:c>
    </x:row>
    <x:row r="39">
      <x:c r="A39" s="83" t="str">
        <x:v>S4-00563</x:v>
      </x:c>
      <x:c r="B39" s="83" t="str">
        <x:v>IT2050_SENS_NO_NUCLEAR</x:v>
      </x:c>
      <x:c r="C39" s="83" t="n">
        <x:v>2050</x:v>
      </x:c>
      <x:c r="D39" s="83" t="str">
        <x:v>Storage</x:v>
      </x:c>
      <x:c r="E39" s="83" t="str">
        <x:v>IT_NORD</x:v>
      </x:c>
      <x:c r="F39" s="83" t="str">
        <x:v>NORD</x:v>
      </x:c>
      <x:c r="G39" s="83" t="str">
        <x:v>Terna total electrochemical storage</x:v>
      </x:c>
      <x:c r="H39" s="83" t="str">
        <x:v>Battery portfolio energy</x:v>
      </x:c>
      <x:c r="I39" s="83" t="str">
        <x:v>battery</x:v>
      </x:c>
      <x:c r="J39" s="83" t="str">
        <x:v>Store + Links</x:v>
      </x:c>
      <x:c r="K39" s="83" t="str">
        <x:v>e_nom</x:v>
      </x:c>
      <x:c r="L39" s="279" t="n">
        <x:v>18.81081081081081</x:v>
      </x:c>
      <x:c r="M39" s="279" t="str">
        <x:v>GWh</x:v>
      </x:c>
      <x:c r="N39" s="279" t="n">
        <x:f>IF(L39="","",IF(M39="GW",L39*1000,IF(M39="GWh",L39*1000,IF(M39="TWh",L39*1000000,L39))))</x:f>
        <x:v>18810.81081081081</x:v>
      </x:c>
      <x:c r="O39" s="83" t="str">
        <x:f>IF(L39="","",IF(M39="GW","MW",IF(OR(M39="GWh",M39="TWh"),"MWh",M39)))</x:f>
        <x:v>MWh</x:v>
      </x:c>
      <x:c r="P39" s="83" t="str"/>
      <x:c r="Q39" s="349"/>
      <x:c r="R39" s="349" t="str">
        <x:f>IF(L39="","",IF(Q39&lt;&gt;"",L39*Q39,IF(OR(ISNUMBER(SEARCH("EUR2025",M39&amp;"")),P39=2025,P39="2025"),L39,"")))</x:f>
      </x:c>
      <x:c r="S39" s="83" t="str">
        <x:v>C — Distributed proxy</x:v>
      </x:c>
      <x:c r="T39" s="83" t="str">
        <x:v>Scale DE-IT 2040 total BESS zonal share 0.087087 to Terna 2050 total.</x:v>
      </x:c>
      <x:c r="U39" s="83" t="str">
        <x:v>S07 / S09</x:v>
      </x:c>
      <x:c r="V39" s="83" t="str">
        <x:v>Terna 2050 total + DDS 2040 zonal shares</x:v>
      </x:c>
      <x:c r="W39" s="120"/>
      <x:c r="X39" s="83" t="str">
        <x:v>C — Distributed</x:v>
      </x:c>
      <x:c r="Y39" s="83" t="str">
        <x:v>APPROVED sensitivity</x:v>
      </x:c>
      <x:c r="Z39" s="83" t="str">
        <x:v>CONDITIONAL SENSITIVITY — CO2 price, programmable fleet composition and inferred BESS power remain open</x:v>
      </x:c>
      <x:c r="AA39" s="83" t="str">
        <x:v>Retained as the no-nuclear counterfactual.</x:v>
      </x:c>
    </x:row>
    <x:row r="40">
      <x:c r="A40" s="83" t="str">
        <x:v>S4-00564</x:v>
      </x:c>
      <x:c r="B40" s="83" t="str">
        <x:v>IT2050_SENS_NO_NUCLEAR</x:v>
      </x:c>
      <x:c r="C40" s="83" t="n">
        <x:v>2050</x:v>
      </x:c>
      <x:c r="D40" s="83" t="str">
        <x:v>Storage power</x:v>
      </x:c>
      <x:c r="E40" s="83" t="str">
        <x:v>IT_NORD</x:v>
      </x:c>
      <x:c r="F40" s="83" t="str">
        <x:v>NORD</x:v>
      </x:c>
      <x:c r="G40" s="83" t="str">
        <x:v>Terna total electrochemical storage</x:v>
      </x:c>
      <x:c r="H40" s="83" t="str">
        <x:v>Battery portfolio discharge power</x:v>
      </x:c>
      <x:c r="I40" s="83" t="str">
        <x:v>battery</x:v>
      </x:c>
      <x:c r="J40" s="83" t="str">
        <x:v>Link</x:v>
      </x:c>
      <x:c r="K40" s="83" t="str">
        <x:v>p_nom</x:v>
      </x:c>
      <x:c r="L40" s="279" t="n">
        <x:v>3.4550468836183117</x:v>
      </x:c>
      <x:c r="M40" s="279" t="str">
        <x:v>GW</x:v>
      </x:c>
      <x:c r="N40" s="279" t="n">
        <x:f>IF(L40="","",IF(M40="GW",L40*1000,IF(M40="GWh",L40*1000,IF(M40="TWh",L40*1000000,L40))))</x:f>
        <x:v>3455.0468836183118</x:v>
      </x:c>
      <x:c r="O40" s="83" t="str">
        <x:f>IF(L40="","",IF(M40="GW","MW",IF(OR(M40="GWh",M40="TWh"),"MWh",M40)))</x:f>
        <x:v>MW</x:v>
      </x:c>
      <x:c r="P40" s="83" t="str"/>
      <x:c r="Q40" s="349"/>
      <x:c r="R40" s="349" t="str">
        <x:f>IF(L40="","",IF(Q40&lt;&gt;"",L40*Q40,IF(OR(ISNUMBER(SEARCH("EUR2025",M40&amp;"")),P40=2025,P40="2025"),L40,"")))</x:f>
      </x:c>
      <x:c r="S40" s="83" t="str">
        <x:v>C — Derived</x:v>
      </x:c>
      <x:c r="T40" s="83" t="str">
        <x:v>Infer power from nuclear-case aggregate duration 5.444444 h. Distribute with same energy share.</x:v>
      </x:c>
      <x:c r="U40" s="83" t="str">
        <x:v>S07 / S09</x:v>
      </x:c>
      <x:c r="V40" s="83" t="str">
        <x:v>Terna 2050 storage + DDS 2040 zonal shares</x:v>
      </x:c>
      <x:c r="W40" s="120"/>
      <x:c r="X40" s="83" t="str">
        <x:v>C — Derived</x:v>
      </x:c>
      <x:c r="Y40" s="83" t="str">
        <x:v>APPROVED sensitivity</x:v>
      </x:c>
      <x:c r="Z40" s="83" t="str">
        <x:v>CONDITIONAL SENSITIVITY — CO2 price, programmable fleet composition and inferred BESS power remain open</x:v>
      </x:c>
      <x:c r="AA40" s="83" t="str">
        <x:v>Retained as the no-nuclear counterfactual.</x:v>
      </x:c>
    </x:row>
    <x:row r="41">
      <x:c r="A41" s="83" t="str">
        <x:v>S4-00565</x:v>
      </x:c>
      <x:c r="B41" s="83" t="str">
        <x:v>IT2050_SENS_NO_NUCLEAR</x:v>
      </x:c>
      <x:c r="C41" s="83" t="n">
        <x:v>2050</x:v>
      </x:c>
      <x:c r="D41" s="83" t="str">
        <x:v>Storage</x:v>
      </x:c>
      <x:c r="E41" s="83" t="str">
        <x:v>IT_CNOR</x:v>
      </x:c>
      <x:c r="F41" s="83" t="str">
        <x:v>CNOR</x:v>
      </x:c>
      <x:c r="G41" s="83" t="str">
        <x:v>Terna total electrochemical storage</x:v>
      </x:c>
      <x:c r="H41" s="83" t="str">
        <x:v>Battery portfolio energy</x:v>
      </x:c>
      <x:c r="I41" s="83" t="str">
        <x:v>battery</x:v>
      </x:c>
      <x:c r="J41" s="83" t="str">
        <x:v>Store + Links</x:v>
      </x:c>
      <x:c r="K41" s="83" t="str">
        <x:v>e_nom</x:v>
      </x:c>
      <x:c r="L41" s="279" t="n">
        <x:v>6.486486486486487</x:v>
      </x:c>
      <x:c r="M41" s="279" t="str">
        <x:v>GWh</x:v>
      </x:c>
      <x:c r="N41" s="279" t="n">
        <x:f>IF(L41="","",IF(M41="GW",L41*1000,IF(M41="GWh",L41*1000,IF(M41="TWh",L41*1000000,L41))))</x:f>
        <x:v>6486.486486486487</x:v>
      </x:c>
      <x:c r="O41" s="83" t="str">
        <x:f>IF(L41="","",IF(M41="GW","MW",IF(OR(M41="GWh",M41="TWh"),"MWh",M41)))</x:f>
        <x:v>MWh</x:v>
      </x:c>
      <x:c r="P41" s="83" t="str"/>
      <x:c r="Q41" s="349"/>
      <x:c r="R41" s="349" t="str">
        <x:f>IF(L41="","",IF(Q41&lt;&gt;"",L41*Q41,IF(OR(ISNUMBER(SEARCH("EUR2025",M41&amp;"")),P41=2025,P41="2025"),L41,"")))</x:f>
      </x:c>
      <x:c r="S41" s="83" t="str">
        <x:v>C — Distributed proxy</x:v>
      </x:c>
      <x:c r="T41" s="83" t="str">
        <x:v>Scale DE-IT 2040 total BESS zonal share 0.030030 to Terna 2050 total.</x:v>
      </x:c>
      <x:c r="U41" s="83" t="str">
        <x:v>S07 / S09</x:v>
      </x:c>
      <x:c r="V41" s="83" t="str">
        <x:v>Terna 2050 total + DDS 2040 zonal shares</x:v>
      </x:c>
      <x:c r="W41" s="120"/>
      <x:c r="X41" s="83" t="str">
        <x:v>C — Distributed</x:v>
      </x:c>
      <x:c r="Y41" s="83" t="str">
        <x:v>APPROVED sensitivity</x:v>
      </x:c>
      <x:c r="Z41" s="83" t="str">
        <x:v>CONDITIONAL SENSITIVITY — CO2 price, programmable fleet composition and inferred BESS power remain open</x:v>
      </x:c>
      <x:c r="AA41" s="83" t="str">
        <x:v>Retained as the no-nuclear counterfactual.</x:v>
      </x:c>
    </x:row>
    <x:row r="42">
      <x:c r="A42" s="83" t="str">
        <x:v>S4-00566</x:v>
      </x:c>
      <x:c r="B42" s="83" t="str">
        <x:v>IT2050_SENS_NO_NUCLEAR</x:v>
      </x:c>
      <x:c r="C42" s="83" t="n">
        <x:v>2050</x:v>
      </x:c>
      <x:c r="D42" s="83" t="str">
        <x:v>Storage power</x:v>
      </x:c>
      <x:c r="E42" s="83" t="str">
        <x:v>IT_CNOR</x:v>
      </x:c>
      <x:c r="F42" s="83" t="str">
        <x:v>CNOR</x:v>
      </x:c>
      <x:c r="G42" s="83" t="str">
        <x:v>Terna total electrochemical storage</x:v>
      </x:c>
      <x:c r="H42" s="83" t="str">
        <x:v>Battery portfolio discharge power</x:v>
      </x:c>
      <x:c r="I42" s="83" t="str">
        <x:v>battery</x:v>
      </x:c>
      <x:c r="J42" s="83" t="str">
        <x:v>Link</x:v>
      </x:c>
      <x:c r="K42" s="83" t="str">
        <x:v>p_nom</x:v>
      </x:c>
      <x:c r="L42" s="279" t="n">
        <x:v>1.1913954771097628</x:v>
      </x:c>
      <x:c r="M42" s="279" t="str">
        <x:v>GW</x:v>
      </x:c>
      <x:c r="N42" s="279" t="n">
        <x:f>IF(L42="","",IF(M42="GW",L42*1000,IF(M42="GWh",L42*1000,IF(M42="TWh",L42*1000000,L42))))</x:f>
        <x:v>1191.3954771097629</x:v>
      </x:c>
      <x:c r="O42" s="83" t="str">
        <x:f>IF(L42="","",IF(M42="GW","MW",IF(OR(M42="GWh",M42="TWh"),"MWh",M42)))</x:f>
        <x:v>MW</x:v>
      </x:c>
      <x:c r="P42" s="83" t="str"/>
      <x:c r="Q42" s="349"/>
      <x:c r="R42" s="349" t="str">
        <x:f>IF(L42="","",IF(Q42&lt;&gt;"",L42*Q42,IF(OR(ISNUMBER(SEARCH("EUR2025",M42&amp;"")),P42=2025,P42="2025"),L42,"")))</x:f>
      </x:c>
      <x:c r="S42" s="83" t="str">
        <x:v>C — Derived</x:v>
      </x:c>
      <x:c r="T42" s="83" t="str">
        <x:v>Infer power from nuclear-case aggregate duration 5.444444 h. Distribute with same energy share.</x:v>
      </x:c>
      <x:c r="U42" s="83" t="str">
        <x:v>S07 / S09</x:v>
      </x:c>
      <x:c r="V42" s="83" t="str">
        <x:v>Terna 2050 storage + DDS 2040 zonal shares</x:v>
      </x:c>
      <x:c r="W42" s="120"/>
      <x:c r="X42" s="83" t="str">
        <x:v>C — Derived</x:v>
      </x:c>
      <x:c r="Y42" s="83" t="str">
        <x:v>APPROVED sensitivity</x:v>
      </x:c>
      <x:c r="Z42" s="83" t="str">
        <x:v>CONDITIONAL SENSITIVITY — CO2 price, programmable fleet composition and inferred BESS power remain open</x:v>
      </x:c>
      <x:c r="AA42" s="83" t="str">
        <x:v>Retained as the no-nuclear counterfactual.</x:v>
      </x:c>
    </x:row>
    <x:row r="43">
      <x:c r="A43" s="83" t="str">
        <x:v>S4-00567</x:v>
      </x:c>
      <x:c r="B43" s="83" t="str">
        <x:v>IT2050_SENS_NO_NUCLEAR</x:v>
      </x:c>
      <x:c r="C43" s="83" t="n">
        <x:v>2050</x:v>
      </x:c>
      <x:c r="D43" s="83" t="str">
        <x:v>Storage</x:v>
      </x:c>
      <x:c r="E43" s="83" t="str">
        <x:v>IT_CSUD</x:v>
      </x:c>
      <x:c r="F43" s="83" t="str">
        <x:v>CSUD</x:v>
      </x:c>
      <x:c r="G43" s="83" t="str">
        <x:v>Terna total electrochemical storage</x:v>
      </x:c>
      <x:c r="H43" s="83" t="str">
        <x:v>Battery portfolio energy</x:v>
      </x:c>
      <x:c r="I43" s="83" t="str">
        <x:v>battery</x:v>
      </x:c>
      <x:c r="J43" s="83" t="str">
        <x:v>Store + Links</x:v>
      </x:c>
      <x:c r="K43" s="83" t="str">
        <x:v>e_nom</x:v>
      </x:c>
      <x:c r="L43" s="279" t="n">
        <x:v>33.98918918918918</x:v>
      </x:c>
      <x:c r="M43" s="279" t="str">
        <x:v>GWh</x:v>
      </x:c>
      <x:c r="N43" s="279" t="n">
        <x:f>IF(L43="","",IF(M43="GW",L43*1000,IF(M43="GWh",L43*1000,IF(M43="TWh",L43*1000000,L43))))</x:f>
        <x:v>33989.18918918919</x:v>
      </x:c>
      <x:c r="O43" s="83" t="str">
        <x:f>IF(L43="","",IF(M43="GW","MW",IF(OR(M43="GWh",M43="TWh"),"MWh",M43)))</x:f>
        <x:v>MWh</x:v>
      </x:c>
      <x:c r="P43" s="83" t="str"/>
      <x:c r="Q43" s="349"/>
      <x:c r="R43" s="349" t="str">
        <x:f>IF(L43="","",IF(Q43&lt;&gt;"",L43*Q43,IF(OR(ISNUMBER(SEARCH("EUR2025",M43&amp;"")),P43=2025,P43="2025"),L43,"")))</x:f>
      </x:c>
      <x:c r="S43" s="83" t="str">
        <x:v>C — Distributed proxy</x:v>
      </x:c>
      <x:c r="T43" s="83" t="str">
        <x:v>Scale DE-IT 2040 total BESS zonal share 0.157357 to Terna 2050 total.</x:v>
      </x:c>
      <x:c r="U43" s="83" t="str">
        <x:v>S07 / S09</x:v>
      </x:c>
      <x:c r="V43" s="83" t="str">
        <x:v>Terna 2050 total + DDS 2040 zonal shares</x:v>
      </x:c>
      <x:c r="W43" s="120"/>
      <x:c r="X43" s="83" t="str">
        <x:v>C — Distributed</x:v>
      </x:c>
      <x:c r="Y43" s="83" t="str">
        <x:v>APPROVED sensitivity</x:v>
      </x:c>
      <x:c r="Z43" s="83" t="str">
        <x:v>CONDITIONAL SENSITIVITY — CO2 price, programmable fleet composition and inferred BESS power remain open</x:v>
      </x:c>
      <x:c r="AA43" s="83" t="str">
        <x:v>Retained as the no-nuclear counterfactual.</x:v>
      </x:c>
    </x:row>
    <x:row r="44">
      <x:c r="A44" s="83" t="str">
        <x:v>S4-00568</x:v>
      </x:c>
      <x:c r="B44" s="83" t="str">
        <x:v>IT2050_SENS_NO_NUCLEAR</x:v>
      </x:c>
      <x:c r="C44" s="83" t="n">
        <x:v>2050</x:v>
      </x:c>
      <x:c r="D44" s="83" t="str">
        <x:v>Storage power</x:v>
      </x:c>
      <x:c r="E44" s="83" t="str">
        <x:v>IT_CSUD</x:v>
      </x:c>
      <x:c r="F44" s="83" t="str">
        <x:v>CSUD</x:v>
      </x:c>
      <x:c r="G44" s="83" t="str">
        <x:v>Terna total electrochemical storage</x:v>
      </x:c>
      <x:c r="H44" s="83" t="str">
        <x:v>Battery portfolio discharge power</x:v>
      </x:c>
      <x:c r="I44" s="83" t="str">
        <x:v>battery</x:v>
      </x:c>
      <x:c r="J44" s="83" t="str">
        <x:v>Link</x:v>
      </x:c>
      <x:c r="K44" s="83" t="str">
        <x:v>p_nom</x:v>
      </x:c>
      <x:c r="L44" s="279" t="n">
        <x:v>6.242912300055156</x:v>
      </x:c>
      <x:c r="M44" s="279" t="str">
        <x:v>GW</x:v>
      </x:c>
      <x:c r="N44" s="279" t="n">
        <x:f>IF(L44="","",IF(M44="GW",L44*1000,IF(M44="GWh",L44*1000,IF(M44="TWh",L44*1000000,L44))))</x:f>
        <x:v>6242.912300055156</x:v>
      </x:c>
      <x:c r="O44" s="83" t="str">
        <x:f>IF(L44="","",IF(M44="GW","MW",IF(OR(M44="GWh",M44="TWh"),"MWh",M44)))</x:f>
        <x:v>MW</x:v>
      </x:c>
      <x:c r="P44" s="83" t="str"/>
      <x:c r="Q44" s="349"/>
      <x:c r="R44" s="349" t="str">
        <x:f>IF(L44="","",IF(Q44&lt;&gt;"",L44*Q44,IF(OR(ISNUMBER(SEARCH("EUR2025",M44&amp;"")),P44=2025,P44="2025"),L44,"")))</x:f>
      </x:c>
      <x:c r="S44" s="83" t="str">
        <x:v>C — Derived</x:v>
      </x:c>
      <x:c r="T44" s="83" t="str">
        <x:v>Infer power from nuclear-case aggregate duration 5.444444 h. Distribute with same energy share.</x:v>
      </x:c>
      <x:c r="U44" s="83" t="str">
        <x:v>S07 / S09</x:v>
      </x:c>
      <x:c r="V44" s="83" t="str">
        <x:v>Terna 2050 storage + DDS 2040 zonal shares</x:v>
      </x:c>
      <x:c r="W44" s="120"/>
      <x:c r="X44" s="83" t="str">
        <x:v>C — Derived</x:v>
      </x:c>
      <x:c r="Y44" s="83" t="str">
        <x:v>APPROVED sensitivity</x:v>
      </x:c>
      <x:c r="Z44" s="83" t="str">
        <x:v>CONDITIONAL SENSITIVITY — CO2 price, programmable fleet composition and inferred BESS power remain open</x:v>
      </x:c>
      <x:c r="AA44" s="83" t="str">
        <x:v>Retained as the no-nuclear counterfactual.</x:v>
      </x:c>
    </x:row>
    <x:row r="45">
      <x:c r="A45" s="83" t="str">
        <x:v>S4-00569</x:v>
      </x:c>
      <x:c r="B45" s="83" t="str">
        <x:v>IT2050_SENS_NO_NUCLEAR</x:v>
      </x:c>
      <x:c r="C45" s="83" t="n">
        <x:v>2050</x:v>
      </x:c>
      <x:c r="D45" s="83" t="str">
        <x:v>Storage</x:v>
      </x:c>
      <x:c r="E45" s="83" t="str">
        <x:v>IT_SUD</x:v>
      </x:c>
      <x:c r="F45" s="83" t="str">
        <x:v>SUD</x:v>
      </x:c>
      <x:c r="G45" s="83" t="str">
        <x:v>Terna total electrochemical storage</x:v>
      </x:c>
      <x:c r="H45" s="83" t="str">
        <x:v>Battery portfolio energy</x:v>
      </x:c>
      <x:c r="I45" s="83" t="str">
        <x:v>battery</x:v>
      </x:c>
      <x:c r="J45" s="83" t="str">
        <x:v>Store + Links</x:v>
      </x:c>
      <x:c r="K45" s="83" t="str">
        <x:v>e_nom</x:v>
      </x:c>
      <x:c r="L45" s="279" t="n">
        <x:v>63.178378378378376</x:v>
      </x:c>
      <x:c r="M45" s="279" t="str">
        <x:v>GWh</x:v>
      </x:c>
      <x:c r="N45" s="279" t="n">
        <x:f>IF(L45="","",IF(M45="GW",L45*1000,IF(M45="GWh",L45*1000,IF(M45="TWh",L45*1000000,L45))))</x:f>
        <x:v>63178.37837837837</x:v>
      </x:c>
      <x:c r="O45" s="83" t="str">
        <x:f>IF(L45="","",IF(M45="GW","MW",IF(OR(M45="GWh",M45="TWh"),"MWh",M45)))</x:f>
        <x:v>MWh</x:v>
      </x:c>
      <x:c r="P45" s="83" t="str"/>
      <x:c r="Q45" s="349"/>
      <x:c r="R45" s="349" t="str">
        <x:f>IF(L45="","",IF(Q45&lt;&gt;"",L45*Q45,IF(OR(ISNUMBER(SEARCH("EUR2025",M45&amp;"")),P45=2025,P45="2025"),L45,"")))</x:f>
      </x:c>
      <x:c r="S45" s="83" t="str">
        <x:v>C — Distributed proxy</x:v>
      </x:c>
      <x:c r="T45" s="83" t="str">
        <x:v>Scale DE-IT 2040 total BESS zonal share 0.292492 to Terna 2050 total.</x:v>
      </x:c>
      <x:c r="U45" s="83" t="str">
        <x:v>S07 / S09</x:v>
      </x:c>
      <x:c r="V45" s="83" t="str">
        <x:v>Terna 2050 total + DDS 2040 zonal shares</x:v>
      </x:c>
      <x:c r="W45" s="120"/>
      <x:c r="X45" s="83" t="str">
        <x:v>C — Distributed</x:v>
      </x:c>
      <x:c r="Y45" s="83" t="str">
        <x:v>APPROVED sensitivity</x:v>
      </x:c>
      <x:c r="Z45" s="83" t="str">
        <x:v>CONDITIONAL SENSITIVITY — CO2 price, programmable fleet composition and inferred BESS power remain open</x:v>
      </x:c>
      <x:c r="AA45" s="83" t="str">
        <x:v>Retained as the no-nuclear counterfactual.</x:v>
      </x:c>
    </x:row>
    <x:row r="46">
      <x:c r="A46" s="83" t="str">
        <x:v>S4-00570</x:v>
      </x:c>
      <x:c r="B46" s="83" t="str">
        <x:v>IT2050_SENS_NO_NUCLEAR</x:v>
      </x:c>
      <x:c r="C46" s="83" t="n">
        <x:v>2050</x:v>
      </x:c>
      <x:c r="D46" s="83" t="str">
        <x:v>Storage power</x:v>
      </x:c>
      <x:c r="E46" s="83" t="str">
        <x:v>IT_SUD</x:v>
      </x:c>
      <x:c r="F46" s="83" t="str">
        <x:v>SUD</x:v>
      </x:c>
      <x:c r="G46" s="83" t="str">
        <x:v>Terna total electrochemical storage</x:v>
      </x:c>
      <x:c r="H46" s="83" t="str">
        <x:v>Battery portfolio discharge power</x:v>
      </x:c>
      <x:c r="I46" s="83" t="str">
        <x:v>battery</x:v>
      </x:c>
      <x:c r="J46" s="83" t="str">
        <x:v>Link</x:v>
      </x:c>
      <x:c r="K46" s="83" t="str">
        <x:v>p_nom</x:v>
      </x:c>
      <x:c r="L46" s="279" t="n">
        <x:v>11.604191947049088</x:v>
      </x:c>
      <x:c r="M46" s="279" t="str">
        <x:v>GW</x:v>
      </x:c>
      <x:c r="N46" s="279" t="n">
        <x:f>IF(L46="","",IF(M46="GW",L46*1000,IF(M46="GWh",L46*1000,IF(M46="TWh",L46*1000000,L46))))</x:f>
        <x:v>11604.191947049088</x:v>
      </x:c>
      <x:c r="O46" s="83" t="str">
        <x:f>IF(L46="","",IF(M46="GW","MW",IF(OR(M46="GWh",M46="TWh"),"MWh",M46)))</x:f>
        <x:v>MW</x:v>
      </x:c>
      <x:c r="P46" s="83" t="str"/>
      <x:c r="Q46" s="349"/>
      <x:c r="R46" s="349" t="str">
        <x:f>IF(L46="","",IF(Q46&lt;&gt;"",L46*Q46,IF(OR(ISNUMBER(SEARCH("EUR2025",M46&amp;"")),P46=2025,P46="2025"),L46,"")))</x:f>
      </x:c>
      <x:c r="S46" s="83" t="str">
        <x:v>C — Derived</x:v>
      </x:c>
      <x:c r="T46" s="83" t="str">
        <x:v>Infer power from nuclear-case aggregate duration 5.444444 h. Distribute with same energy share.</x:v>
      </x:c>
      <x:c r="U46" s="83" t="str">
        <x:v>S07 / S09</x:v>
      </x:c>
      <x:c r="V46" s="83" t="str">
        <x:v>Terna 2050 storage + DDS 2040 zonal shares</x:v>
      </x:c>
      <x:c r="W46" s="120"/>
      <x:c r="X46" s="83" t="str">
        <x:v>C — Derived</x:v>
      </x:c>
      <x:c r="Y46" s="83" t="str">
        <x:v>APPROVED sensitivity</x:v>
      </x:c>
      <x:c r="Z46" s="83" t="str">
        <x:v>CONDITIONAL SENSITIVITY — CO2 price, programmable fleet composition and inferred BESS power remain open</x:v>
      </x:c>
      <x:c r="AA46" s="83" t="str">
        <x:v>Retained as the no-nuclear counterfactual.</x:v>
      </x:c>
    </x:row>
    <x:row r="47">
      <x:c r="A47" s="83" t="str">
        <x:v>S4-00571</x:v>
      </x:c>
      <x:c r="B47" s="83" t="str">
        <x:v>IT2050_SENS_NO_NUCLEAR</x:v>
      </x:c>
      <x:c r="C47" s="83" t="n">
        <x:v>2050</x:v>
      </x:c>
      <x:c r="D47" s="83" t="str">
        <x:v>Storage</x:v>
      </x:c>
      <x:c r="E47" s="83" t="str">
        <x:v>IT_CALA</x:v>
      </x:c>
      <x:c r="F47" s="83" t="str">
        <x:v>CALA</x:v>
      </x:c>
      <x:c r="G47" s="83" t="str">
        <x:v>Terna total electrochemical storage</x:v>
      </x:c>
      <x:c r="H47" s="83" t="str">
        <x:v>Battery portfolio energy</x:v>
      </x:c>
      <x:c r="I47" s="83" t="str">
        <x:v>battery</x:v>
      </x:c>
      <x:c r="J47" s="83" t="str">
        <x:v>Store + Links</x:v>
      </x:c>
      <x:c r="K47" s="83" t="str">
        <x:v>e_nom</x:v>
      </x:c>
      <x:c r="L47" s="279" t="n">
        <x:v>14.010810810810812</x:v>
      </x:c>
      <x:c r="M47" s="279" t="str">
        <x:v>GWh</x:v>
      </x:c>
      <x:c r="N47" s="279" t="n">
        <x:f>IF(L47="","",IF(M47="GW",L47*1000,IF(M47="GWh",L47*1000,IF(M47="TWh",L47*1000000,L47))))</x:f>
        <x:v>14010.810810810812</x:v>
      </x:c>
      <x:c r="O47" s="83" t="str">
        <x:f>IF(L47="","",IF(M47="GW","MW",IF(OR(M47="GWh",M47="TWh"),"MWh",M47)))</x:f>
        <x:v>MWh</x:v>
      </x:c>
      <x:c r="P47" s="83" t="str"/>
      <x:c r="Q47" s="349"/>
      <x:c r="R47" s="349" t="str">
        <x:f>IF(L47="","",IF(Q47&lt;&gt;"",L47*Q47,IF(OR(ISNUMBER(SEARCH("EUR2025",M47&amp;"")),P47=2025,P47="2025"),L47,"")))</x:f>
      </x:c>
      <x:c r="S47" s="83" t="str">
        <x:v>C — Distributed proxy</x:v>
      </x:c>
      <x:c r="T47" s="83" t="str">
        <x:v>Scale DE-IT 2040 total BESS zonal share 0.064865 to Terna 2050 total.</x:v>
      </x:c>
      <x:c r="U47" s="83" t="str">
        <x:v>S07 / S09</x:v>
      </x:c>
      <x:c r="V47" s="83" t="str">
        <x:v>Terna 2050 total + DDS 2040 zonal shares</x:v>
      </x:c>
      <x:c r="W47" s="120"/>
      <x:c r="X47" s="83" t="str">
        <x:v>C — Distributed</x:v>
      </x:c>
      <x:c r="Y47" s="83" t="str">
        <x:v>APPROVED sensitivity</x:v>
      </x:c>
      <x:c r="Z47" s="83" t="str">
        <x:v>CONDITIONAL SENSITIVITY — CO2 price, programmable fleet composition and inferred BESS power remain open</x:v>
      </x:c>
      <x:c r="AA47" s="83" t="str">
        <x:v>Retained as the no-nuclear counterfactual.</x:v>
      </x:c>
    </x:row>
    <x:row r="48">
      <x:c r="A48" s="83" t="str">
        <x:v>S4-00572</x:v>
      </x:c>
      <x:c r="B48" s="83" t="str">
        <x:v>IT2050_SENS_NO_NUCLEAR</x:v>
      </x:c>
      <x:c r="C48" s="83" t="n">
        <x:v>2050</x:v>
      </x:c>
      <x:c r="D48" s="83" t="str">
        <x:v>Storage power</x:v>
      </x:c>
      <x:c r="E48" s="83" t="str">
        <x:v>IT_CALA</x:v>
      </x:c>
      <x:c r="F48" s="83" t="str">
        <x:v>CALA</x:v>
      </x:c>
      <x:c r="G48" s="83" t="str">
        <x:v>Terna total electrochemical storage</x:v>
      </x:c>
      <x:c r="H48" s="83" t="str">
        <x:v>Battery portfolio discharge power</x:v>
      </x:c>
      <x:c r="I48" s="83" t="str">
        <x:v>battery</x:v>
      </x:c>
      <x:c r="J48" s="83" t="str">
        <x:v>Link</x:v>
      </x:c>
      <x:c r="K48" s="83" t="str">
        <x:v>p_nom</x:v>
      </x:c>
      <x:c r="L48" s="279" t="n">
        <x:v>2.5734142305570877</x:v>
      </x:c>
      <x:c r="M48" s="279" t="str">
        <x:v>GW</x:v>
      </x:c>
      <x:c r="N48" s="279" t="n">
        <x:f>IF(L48="","",IF(M48="GW",L48*1000,IF(M48="GWh",L48*1000,IF(M48="TWh",L48*1000000,L48))))</x:f>
        <x:v>2573.4142305570876</x:v>
      </x:c>
      <x:c r="O48" s="83" t="str">
        <x:f>IF(L48="","",IF(M48="GW","MW",IF(OR(M48="GWh",M48="TWh"),"MWh",M48)))</x:f>
        <x:v>MW</x:v>
      </x:c>
      <x:c r="P48" s="83" t="str"/>
      <x:c r="Q48" s="349"/>
      <x:c r="R48" s="349" t="str">
        <x:f>IF(L48="","",IF(Q48&lt;&gt;"",L48*Q48,IF(OR(ISNUMBER(SEARCH("EUR2025",M48&amp;"")),P48=2025,P48="2025"),L48,"")))</x:f>
      </x:c>
      <x:c r="S48" s="83" t="str">
        <x:v>C — Derived</x:v>
      </x:c>
      <x:c r="T48" s="83" t="str">
        <x:v>Infer power from nuclear-case aggregate duration 5.444444 h. Distribute with same energy share.</x:v>
      </x:c>
      <x:c r="U48" s="83" t="str">
        <x:v>S07 / S09</x:v>
      </x:c>
      <x:c r="V48" s="83" t="str">
        <x:v>Terna 2050 storage + DDS 2040 zonal shares</x:v>
      </x:c>
      <x:c r="W48" s="120"/>
      <x:c r="X48" s="83" t="str">
        <x:v>C — Derived</x:v>
      </x:c>
      <x:c r="Y48" s="83" t="str">
        <x:v>APPROVED sensitivity</x:v>
      </x:c>
      <x:c r="Z48" s="83" t="str">
        <x:v>CONDITIONAL SENSITIVITY — CO2 price, programmable fleet composition and inferred BESS power remain open</x:v>
      </x:c>
      <x:c r="AA48" s="83" t="str">
        <x:v>Retained as the no-nuclear counterfactual.</x:v>
      </x:c>
    </x:row>
    <x:row r="49">
      <x:c r="A49" s="83" t="str">
        <x:v>S4-00573</x:v>
      </x:c>
      <x:c r="B49" s="83" t="str">
        <x:v>IT2050_SENS_NO_NUCLEAR</x:v>
      </x:c>
      <x:c r="C49" s="83" t="n">
        <x:v>2050</x:v>
      </x:c>
      <x:c r="D49" s="83" t="str">
        <x:v>Storage</x:v>
      </x:c>
      <x:c r="E49" s="83" t="str">
        <x:v>IT_SICI</x:v>
      </x:c>
      <x:c r="F49" s="83" t="str">
        <x:v>SICI</x:v>
      </x:c>
      <x:c r="G49" s="83" t="str">
        <x:v>Terna total electrochemical storage</x:v>
      </x:c>
      <x:c r="H49" s="83" t="str">
        <x:v>Battery portfolio energy</x:v>
      </x:c>
      <x:c r="I49" s="83" t="str">
        <x:v>battery</x:v>
      </x:c>
      <x:c r="J49" s="83" t="str">
        <x:v>Store + Links</x:v>
      </x:c>
      <x:c r="K49" s="83" t="str">
        <x:v>e_nom</x:v>
      </x:c>
      <x:c r="L49" s="279" t="n">
        <x:v>48.259459459459464</x:v>
      </x:c>
      <x:c r="M49" s="279" t="str">
        <x:v>GWh</x:v>
      </x:c>
      <x:c r="N49" s="279" t="n">
        <x:f>IF(L49="","",IF(M49="GW",L49*1000,IF(M49="GWh",L49*1000,IF(M49="TWh",L49*1000000,L49))))</x:f>
        <x:v>48259.45945945947</x:v>
      </x:c>
      <x:c r="O49" s="83" t="str">
        <x:f>IF(L49="","",IF(M49="GW","MW",IF(OR(M49="GWh",M49="TWh"),"MWh",M49)))</x:f>
        <x:v>MWh</x:v>
      </x:c>
      <x:c r="P49" s="83" t="str"/>
      <x:c r="Q49" s="349"/>
      <x:c r="R49" s="349" t="str">
        <x:f>IF(L49="","",IF(Q49&lt;&gt;"",L49*Q49,IF(OR(ISNUMBER(SEARCH("EUR2025",M49&amp;"")),P49=2025,P49="2025"),L49,"")))</x:f>
      </x:c>
      <x:c r="S49" s="83" t="str">
        <x:v>C — Distributed proxy</x:v>
      </x:c>
      <x:c r="T49" s="83" t="str">
        <x:v>Scale DE-IT 2040 total BESS zonal share 0.223423 to Terna 2050 total.</x:v>
      </x:c>
      <x:c r="U49" s="83" t="str">
        <x:v>S07 / S09</x:v>
      </x:c>
      <x:c r="V49" s="83" t="str">
        <x:v>Terna 2050 total + DDS 2040 zonal shares</x:v>
      </x:c>
      <x:c r="W49" s="120"/>
      <x:c r="X49" s="83" t="str">
        <x:v>C — Distributed</x:v>
      </x:c>
      <x:c r="Y49" s="83" t="str">
        <x:v>APPROVED sensitivity</x:v>
      </x:c>
      <x:c r="Z49" s="83" t="str">
        <x:v>CONDITIONAL SENSITIVITY — CO2 price, programmable fleet composition and inferred BESS power remain open</x:v>
      </x:c>
      <x:c r="AA49" s="83" t="str">
        <x:v>Retained as the no-nuclear counterfactual.</x:v>
      </x:c>
    </x:row>
    <x:row r="50">
      <x:c r="A50" s="83" t="str">
        <x:v>S4-00574</x:v>
      </x:c>
      <x:c r="B50" s="83" t="str">
        <x:v>IT2050_SENS_NO_NUCLEAR</x:v>
      </x:c>
      <x:c r="C50" s="83" t="n">
        <x:v>2050</x:v>
      </x:c>
      <x:c r="D50" s="83" t="str">
        <x:v>Storage power</x:v>
      </x:c>
      <x:c r="E50" s="83" t="str">
        <x:v>IT_SICI</x:v>
      </x:c>
      <x:c r="F50" s="83" t="str">
        <x:v>SICI</x:v>
      </x:c>
      <x:c r="G50" s="83" t="str">
        <x:v>Terna total electrochemical storage</x:v>
      </x:c>
      <x:c r="H50" s="83" t="str">
        <x:v>Battery portfolio discharge power</x:v>
      </x:c>
      <x:c r="I50" s="83" t="str">
        <x:v>battery</x:v>
      </x:c>
      <x:c r="J50" s="83" t="str">
        <x:v>Link</x:v>
      </x:c>
      <x:c r="K50" s="83" t="str">
        <x:v>p_nom</x:v>
      </x:c>
      <x:c r="L50" s="279" t="n">
        <x:v>8.863982349696636</x:v>
      </x:c>
      <x:c r="M50" s="279" t="str">
        <x:v>GW</x:v>
      </x:c>
      <x:c r="N50" s="279" t="n">
        <x:f>IF(L50="","",IF(M50="GW",L50*1000,IF(M50="GWh",L50*1000,IF(M50="TWh",L50*1000000,L50))))</x:f>
        <x:v>8863.982349696636</x:v>
      </x:c>
      <x:c r="O50" s="83" t="str">
        <x:f>IF(L50="","",IF(M50="GW","MW",IF(OR(M50="GWh",M50="TWh"),"MWh",M50)))</x:f>
        <x:v>MW</x:v>
      </x:c>
      <x:c r="P50" s="83" t="str"/>
      <x:c r="Q50" s="349"/>
      <x:c r="R50" s="349" t="str">
        <x:f>IF(L50="","",IF(Q50&lt;&gt;"",L50*Q50,IF(OR(ISNUMBER(SEARCH("EUR2025",M50&amp;"")),P50=2025,P50="2025"),L50,"")))</x:f>
      </x:c>
      <x:c r="S50" s="83" t="str">
        <x:v>C — Derived</x:v>
      </x:c>
      <x:c r="T50" s="83" t="str">
        <x:v>Infer power from nuclear-case aggregate duration 5.444444 h. Distribute with same energy share.</x:v>
      </x:c>
      <x:c r="U50" s="83" t="str">
        <x:v>S07 / S09</x:v>
      </x:c>
      <x:c r="V50" s="83" t="str">
        <x:v>Terna 2050 storage + DDS 2040 zonal shares</x:v>
      </x:c>
      <x:c r="W50" s="120"/>
      <x:c r="X50" s="83" t="str">
        <x:v>C — Derived</x:v>
      </x:c>
      <x:c r="Y50" s="83" t="str">
        <x:v>APPROVED sensitivity</x:v>
      </x:c>
      <x:c r="Z50" s="83" t="str">
        <x:v>CONDITIONAL SENSITIVITY — CO2 price, programmable fleet composition and inferred BESS power remain open</x:v>
      </x:c>
      <x:c r="AA50" s="83" t="str">
        <x:v>Retained as the no-nuclear counterfactual.</x:v>
      </x:c>
    </x:row>
    <x:row r="51">
      <x:c r="A51" s="83" t="str">
        <x:v>S4-00575</x:v>
      </x:c>
      <x:c r="B51" s="83" t="str">
        <x:v>IT2050_SENS_NO_NUCLEAR</x:v>
      </x:c>
      <x:c r="C51" s="83" t="n">
        <x:v>2050</x:v>
      </x:c>
      <x:c r="D51" s="83" t="str">
        <x:v>Storage</x:v>
      </x:c>
      <x:c r="E51" s="83" t="str">
        <x:v>IT_SARD</x:v>
      </x:c>
      <x:c r="F51" s="83" t="str">
        <x:v>SARD</x:v>
      </x:c>
      <x:c r="G51" s="83" t="str">
        <x:v>Terna total electrochemical storage</x:v>
      </x:c>
      <x:c r="H51" s="83" t="str">
        <x:v>Battery portfolio energy</x:v>
      </x:c>
      <x:c r="I51" s="83" t="str">
        <x:v>battery</x:v>
      </x:c>
      <x:c r="J51" s="83" t="str">
        <x:v>Store + Links</x:v>
      </x:c>
      <x:c r="K51" s="83" t="str">
        <x:v>e_nom</x:v>
      </x:c>
      <x:c r="L51" s="279" t="n">
        <x:v>31.264864864864865</x:v>
      </x:c>
      <x:c r="M51" s="279" t="str">
        <x:v>GWh</x:v>
      </x:c>
      <x:c r="N51" s="279" t="n">
        <x:f>IF(L51="","",IF(M51="GW",L51*1000,IF(M51="GWh",L51*1000,IF(M51="TWh",L51*1000000,L51))))</x:f>
        <x:v>31264.864864864867</x:v>
      </x:c>
      <x:c r="O51" s="83" t="str">
        <x:f>IF(L51="","",IF(M51="GW","MW",IF(OR(M51="GWh",M51="TWh"),"MWh",M51)))</x:f>
        <x:v>MWh</x:v>
      </x:c>
      <x:c r="P51" s="83" t="str"/>
      <x:c r="Q51" s="349"/>
      <x:c r="R51" s="349" t="str">
        <x:f>IF(L51="","",IF(Q51&lt;&gt;"",L51*Q51,IF(OR(ISNUMBER(SEARCH("EUR2025",M51&amp;"")),P51=2025,P51="2025"),L51,"")))</x:f>
      </x:c>
      <x:c r="S51" s="83" t="str">
        <x:v>C — Distributed proxy</x:v>
      </x:c>
      <x:c r="T51" s="83" t="str">
        <x:v>Scale DE-IT 2040 total BESS zonal share 0.144745 to Terna 2050 total.</x:v>
      </x:c>
      <x:c r="U51" s="83" t="str">
        <x:v>S07 / S09</x:v>
      </x:c>
      <x:c r="V51" s="83" t="str">
        <x:v>Terna 2050 total + DDS 2040 zonal shares</x:v>
      </x:c>
      <x:c r="W51" s="120"/>
      <x:c r="X51" s="83" t="str">
        <x:v>C — Distributed</x:v>
      </x:c>
      <x:c r="Y51" s="83" t="str">
        <x:v>APPROVED sensitivity</x:v>
      </x:c>
      <x:c r="Z51" s="83" t="str">
        <x:v>CONDITIONAL SENSITIVITY — CO2 price, programmable fleet composition and inferred BESS power remain open</x:v>
      </x:c>
      <x:c r="AA51" s="83" t="str">
        <x:v>Retained as the no-nuclear counterfactual.</x:v>
      </x:c>
    </x:row>
    <x:row r="52">
      <x:c r="A52" s="83" t="str">
        <x:v>S4-00576</x:v>
      </x:c>
      <x:c r="B52" s="83" t="str">
        <x:v>IT2050_SENS_NO_NUCLEAR</x:v>
      </x:c>
      <x:c r="C52" s="83" t="n">
        <x:v>2050</x:v>
      </x:c>
      <x:c r="D52" s="83" t="str">
        <x:v>Storage power</x:v>
      </x:c>
      <x:c r="E52" s="83" t="str">
        <x:v>IT_SARD</x:v>
      </x:c>
      <x:c r="F52" s="83" t="str">
        <x:v>SARD</x:v>
      </x:c>
      <x:c r="G52" s="83" t="str">
        <x:v>Terna total electrochemical storage</x:v>
      </x:c>
      <x:c r="H52" s="83" t="str">
        <x:v>Battery portfolio discharge power</x:v>
      </x:c>
      <x:c r="I52" s="83" t="str">
        <x:v>battery</x:v>
      </x:c>
      <x:c r="J52" s="83" t="str">
        <x:v>Link</x:v>
      </x:c>
      <x:c r="K52" s="83" t="str">
        <x:v>p_nom</x:v>
      </x:c>
      <x:c r="L52" s="279" t="n">
        <x:v>5.742526199669056</x:v>
      </x:c>
      <x:c r="M52" s="279" t="str">
        <x:v>GW</x:v>
      </x:c>
      <x:c r="N52" s="279" t="n">
        <x:f>IF(L52="","",IF(M52="GW",L52*1000,IF(M52="GWh",L52*1000,IF(M52="TWh",L52*1000000,L52))))</x:f>
        <x:v>5742.526199669056</x:v>
      </x:c>
      <x:c r="O52" s="83" t="str">
        <x:f>IF(L52="","",IF(M52="GW","MW",IF(OR(M52="GWh",M52="TWh"),"MWh",M52)))</x:f>
        <x:v>MW</x:v>
      </x:c>
      <x:c r="P52" s="83" t="str"/>
      <x:c r="Q52" s="349"/>
      <x:c r="R52" s="349" t="str">
        <x:f>IF(L52="","",IF(Q52&lt;&gt;"",L52*Q52,IF(OR(ISNUMBER(SEARCH("EUR2025",M52&amp;"")),P52=2025,P52="2025"),L52,"")))</x:f>
      </x:c>
      <x:c r="S52" s="83" t="str">
        <x:v>C — Derived</x:v>
      </x:c>
      <x:c r="T52" s="83" t="str">
        <x:v>Infer power from nuclear-case aggregate duration 5.444444 h. Distribute with same energy share.</x:v>
      </x:c>
      <x:c r="U52" s="83" t="str">
        <x:v>S07 / S09</x:v>
      </x:c>
      <x:c r="V52" s="83" t="str">
        <x:v>Terna 2050 storage + DDS 2040 zonal shares</x:v>
      </x:c>
      <x:c r="W52" s="120"/>
      <x:c r="X52" s="83" t="str">
        <x:v>C — Derived</x:v>
      </x:c>
      <x:c r="Y52" s="83" t="str">
        <x:v>APPROVED sensitivity</x:v>
      </x:c>
      <x:c r="Z52" s="83" t="str">
        <x:v>CONDITIONAL SENSITIVITY — CO2 price, programmable fleet composition and inferred BESS power remain open</x:v>
      </x:c>
      <x:c r="AA52" s="83" t="str">
        <x:v>Retained as the no-nuclear counterfactual.</x:v>
      </x:c>
    </x:row>
    <x:row r="53">
      <x:c r="A53" s="83" t="str">
        <x:v>S4-00577</x:v>
      </x:c>
      <x:c r="B53" s="83" t="str">
        <x:v>IT2050_SENS_NO_NUCLEAR</x:v>
      </x:c>
      <x:c r="C53" s="83" t="n">
        <x:v>2050</x:v>
      </x:c>
      <x:c r="D53" s="83" t="str">
        <x:v>Storage</x:v>
      </x:c>
      <x:c r="E53" s="83" t="str">
        <x:v>PyPSA-Eur existing sites</x:v>
      </x:c>
      <x:c r="F53" s="83"/>
      <x:c r="G53" s="83" t="str">
        <x:v>Pompaggi esistenti</x:v>
      </x:c>
      <x:c r="H53" s="83" t="str">
        <x:v>Pumped hydro energy</x:v>
      </x:c>
      <x:c r="I53" s="83" t="str">
        <x:v>PHS</x:v>
      </x:c>
      <x:c r="J53" s="83" t="str">
        <x:v>Store + Links</x:v>
      </x:c>
      <x:c r="K53" s="83" t="str">
        <x:v>e_nom</x:v>
      </x:c>
      <x:c r="L53" s="279" t="n">
        <x:v>53</x:v>
      </x:c>
      <x:c r="M53" s="279" t="str">
        <x:v>GWh</x:v>
      </x:c>
      <x:c r="N53" s="279" t="n">
        <x:f>IF(L53="","",IF(M53="GW",L53*1000,IF(M53="GWh",L53*1000,IF(M53="TWh",L53*1000000,L53))))</x:f>
        <x:v>53000</x:v>
      </x:c>
      <x:c r="O53" s="83" t="str">
        <x:f>IF(L53="","",IF(M53="GW","MW",IF(OR(M53="GWh",M53="TWh"),"MWh",M53)))</x:f>
        <x:v>MWh</x:v>
      </x:c>
      <x:c r="P53" s="83" t="str"/>
      <x:c r="Q53" s="349"/>
      <x:c r="R53" s="349" t="str">
        <x:f>IF(L53="","",IF(Q53&lt;&gt;"",L53*Q53,IF(OR(ISNUMBER(SEARCH("EUR2025",M53&amp;"")),P53=2025,P53="2025"),L53,"")))</x:f>
      </x:c>
      <x:c r="S53" s="83" t="str">
        <x:v>A — Direct</x:v>
      </x:c>
      <x:c r="T53" s="83" t="str">
        <x:v>Retain existing sites and physical stock.</x:v>
      </x:c>
      <x:c r="U53" s="83" t="str">
        <x:v>S01</x:v>
      </x:c>
      <x:c r="V53" s="83" t="str">
        <x:v>Pumped-hydro stock</x:v>
      </x:c>
      <x:c r="W53" s="120"/>
      <x:c r="X53" s="83" t="str">
        <x:v>A — Direct</x:v>
      </x:c>
      <x:c r="Y53" s="83" t="str">
        <x:v>APPROVED sensitivity</x:v>
      </x:c>
      <x:c r="Z53" s="83" t="str">
        <x:v>CONDITIONAL SENSITIVITY — CO2 price, programmable fleet composition and inferred BESS power remain open</x:v>
      </x:c>
      <x:c r="AA53" s="83" t="str">
        <x:v>Retained as the no-nuclear counterfactual.</x:v>
      </x:c>
    </x:row>
    <x:row r="54">
      <x:c r="A54" s="83" t="str">
        <x:v>S4-00578</x:v>
      </x:c>
      <x:c r="B54" s="83" t="str">
        <x:v>IT2050_SENS_NO_NUCLEAR</x:v>
      </x:c>
      <x:c r="C54" s="83" t="n">
        <x:v>2050</x:v>
      </x:c>
      <x:c r="D54" s="83" t="str">
        <x:v>Storage</x:v>
      </x:c>
      <x:c r="E54" s="83" t="str">
        <x:v>PyPSA-Eur existing sites</x:v>
      </x:c>
      <x:c r="F54" s="83"/>
      <x:c r="G54" s="83" t="str">
        <x:v>Pompaggi esistenti</x:v>
      </x:c>
      <x:c r="H54" s="83" t="str">
        <x:v>Pumped hydro charge power</x:v>
      </x:c>
      <x:c r="I54" s="83" t="str">
        <x:v>PHS</x:v>
      </x:c>
      <x:c r="J54" s="83" t="str">
        <x:v>Link</x:v>
      </x:c>
      <x:c r="K54" s="83" t="str">
        <x:v>p_nom</x:v>
      </x:c>
      <x:c r="L54" s="279" t="n">
        <x:v>6.4</x:v>
      </x:c>
      <x:c r="M54" s="279" t="str">
        <x:v>GW</x:v>
      </x:c>
      <x:c r="N54" s="279" t="n">
        <x:f>IF(L54="","",IF(M54="GW",L54*1000,IF(M54="GWh",L54*1000,IF(M54="TWh",L54*1000000,L54))))</x:f>
        <x:v>6400</x:v>
      </x:c>
      <x:c r="O54" s="83" t="str">
        <x:f>IF(L54="","",IF(M54="GW","MW",IF(OR(M54="GWh",M54="TWh"),"MWh",M54)))</x:f>
        <x:v>MW</x:v>
      </x:c>
      <x:c r="P54" s="83" t="str"/>
      <x:c r="Q54" s="349"/>
      <x:c r="R54" s="349" t="str">
        <x:f>IF(L54="","",IF(Q54&lt;&gt;"",L54*Q54,IF(OR(ISNUMBER(SEARCH("EUR2025",M54&amp;"")),P54=2025,P54="2025"),L54,"")))</x:f>
      </x:c>
      <x:c r="S54" s="83" t="str">
        <x:v>A — Direct</x:v>
      </x:c>
      <x:c r="T54" s="83" t="str">
        <x:v>Retain existing sites and physical stock.</x:v>
      </x:c>
      <x:c r="U54" s="83" t="str">
        <x:v>S01</x:v>
      </x:c>
      <x:c r="V54" s="83" t="str">
        <x:v>Pumped-hydro stock</x:v>
      </x:c>
      <x:c r="W54" s="120"/>
      <x:c r="X54" s="83" t="str">
        <x:v>A — Direct</x:v>
      </x:c>
      <x:c r="Y54" s="83" t="str">
        <x:v>APPROVED sensitivity</x:v>
      </x:c>
      <x:c r="Z54" s="83" t="str">
        <x:v>CONDITIONAL SENSITIVITY — CO2 price, programmable fleet composition and inferred BESS power remain open</x:v>
      </x:c>
      <x:c r="AA54" s="83" t="str">
        <x:v>Retained as the no-nuclear counterfactual.</x:v>
      </x:c>
    </x:row>
    <x:row r="55">
      <x:c r="A55" s="83" t="str">
        <x:v>S4-00579</x:v>
      </x:c>
      <x:c r="B55" s="83" t="str">
        <x:v>IT2050_SENS_NO_NUCLEAR</x:v>
      </x:c>
      <x:c r="C55" s="83" t="n">
        <x:v>2050</x:v>
      </x:c>
      <x:c r="D55" s="83" t="str">
        <x:v>Storage</x:v>
      </x:c>
      <x:c r="E55" s="83" t="str">
        <x:v>PyPSA-Eur existing sites</x:v>
      </x:c>
      <x:c r="F55" s="83"/>
      <x:c r="G55" s="83" t="str">
        <x:v>Pompaggi esistenti</x:v>
      </x:c>
      <x:c r="H55" s="83" t="str">
        <x:v>Pumped hydro discharge power</x:v>
      </x:c>
      <x:c r="I55" s="83" t="str">
        <x:v>PHS</x:v>
      </x:c>
      <x:c r="J55" s="83" t="str">
        <x:v>Link</x:v>
      </x:c>
      <x:c r="K55" s="83" t="str">
        <x:v>p_nom</x:v>
      </x:c>
      <x:c r="L55" s="279" t="n">
        <x:v>7.3</x:v>
      </x:c>
      <x:c r="M55" s="279" t="str">
        <x:v>GW</x:v>
      </x:c>
      <x:c r="N55" s="279" t="n">
        <x:f>IF(L55="","",IF(M55="GW",L55*1000,IF(M55="GWh",L55*1000,IF(M55="TWh",L55*1000000,L55))))</x:f>
        <x:v>7300</x:v>
      </x:c>
      <x:c r="O55" s="83" t="str">
        <x:f>IF(L55="","",IF(M55="GW","MW",IF(OR(M55="GWh",M55="TWh"),"MWh",M55)))</x:f>
        <x:v>MW</x:v>
      </x:c>
      <x:c r="P55" s="83" t="str"/>
      <x:c r="Q55" s="349"/>
      <x:c r="R55" s="349" t="str">
        <x:f>IF(L55="","",IF(Q55&lt;&gt;"",L55*Q55,IF(OR(ISNUMBER(SEARCH("EUR2025",M55&amp;"")),P55=2025,P55="2025"),L55,"")))</x:f>
      </x:c>
      <x:c r="S55" s="83" t="str">
        <x:v>A — Direct</x:v>
      </x:c>
      <x:c r="T55" s="83" t="str">
        <x:v>Retain existing sites and physical stock.</x:v>
      </x:c>
      <x:c r="U55" s="83" t="str">
        <x:v>S01</x:v>
      </x:c>
      <x:c r="V55" s="83" t="str">
        <x:v>Pumped-hydro stock</x:v>
      </x:c>
      <x:c r="W55" s="120"/>
      <x:c r="X55" s="83" t="str">
        <x:v>A — Direct</x:v>
      </x:c>
      <x:c r="Y55" s="83" t="str">
        <x:v>APPROVED sensitivity</x:v>
      </x:c>
      <x:c r="Z55" s="83" t="str">
        <x:v>CONDITIONAL SENSITIVITY — CO2 price, programmable fleet composition and inferred BESS power remain open</x:v>
      </x:c>
      <x:c r="AA55" s="83" t="str">
        <x:v>Retained as the no-nuclear counterfactual.</x:v>
      </x:c>
    </x:row>
    <x:row r="56">
      <x:c r="A56" s="83" t="str">
        <x:v>S4-00580</x:v>
      </x:c>
      <x:c r="B56" s="83" t="str">
        <x:v>IT2050_SENS_NO_NUCLEAR</x:v>
      </x:c>
      <x:c r="C56" s="83" t="n">
        <x:v>2050</x:v>
      </x:c>
      <x:c r="D56" s="83" t="str">
        <x:v>Transmission</x:v>
      </x:c>
      <x:c r="E56" s="83" t="str">
        <x:v>NORD-&gt;CNOR</x:v>
      </x:c>
      <x:c r="F56" s="83" t="str">
        <x:v>NORD</x:v>
      </x:c>
      <x:c r="G56" s="83" t="str">
        <x:v>2040 PDS floor</x:v>
      </x:c>
      <x:c r="H56" s="83" t="str">
        <x:v>Directional interzonal link</x:v>
      </x:c>
      <x:c r="I56" s="83" t="str">
        <x:v>electricity</x:v>
      </x:c>
      <x:c r="J56" s="83" t="str">
        <x:v>Link</x:v>
      </x:c>
      <x:c r="K56" s="83" t="str">
        <x:v>p_nom</x:v>
      </x:c>
      <x:c r="L56" s="279" t="n">
        <x:v>6100</x:v>
      </x:c>
      <x:c r="M56" s="279" t="str">
        <x:v>MW</x:v>
      </x:c>
      <x:c r="N56" s="279" t="n">
        <x:f>IF(L56="","",IF(M56="GW",L56*1000,IF(M56="GWh",L56*1000,IF(M56="TWh",L56*1000000,L56))))</x:f>
        <x:v>6100</x:v>
      </x:c>
      <x:c r="O56" s="83" t="str">
        <x:f>IF(L56="","",IF(M56="GW","MW",IF(OR(M56="GWh",M56="TWh"),"MWh",M56)))</x:f>
        <x:v>MW</x:v>
      </x:c>
      <x:c r="P56" s="83" t="str"/>
      <x:c r="Q56" s="349"/>
      <x:c r="R56" s="349" t="str">
        <x:f>IF(L56="","",IF(Q56&lt;&gt;"",L56*Q56,IF(OR(ISNUMBER(SEARCH("EUR2025",M56&amp;"")),P56=2025,P56="2025"),L56,"")))</x:f>
      </x:c>
      <x:c r="S56" s="83" t="str">
        <x:v>C — Proxy/floor</x:v>
      </x:c>
      <x:c r="T56" s="83" t="str">
        <x:v>Use PDS 2040 capacity as documented 2050 floor; not an official 2050 target.</x:v>
      </x:c>
      <x:c r="U56" s="83" t="str">
        <x:v>S03 / assumption</x:v>
      </x:c>
      <x:c r="V56" s="83" t="str">
        <x:v>S03 Figure 3 floor</x:v>
      </x:c>
      <x:c r="W56" s="120"/>
      <x:c r="X56" s="83" t="str">
        <x:v>C — Proxy</x:v>
      </x:c>
      <x:c r="Y56" s="83" t="str">
        <x:v>APPROVED sensitivity</x:v>
      </x:c>
      <x:c r="Z56" s="83" t="str">
        <x:v>CONDITIONAL SENSITIVITY — CO2 price, programmable fleet composition and inferred BESS power remain open</x:v>
      </x:c>
      <x:c r="AA56" s="83" t="str">
        <x:v>Retained as the no-nuclear counterfactual.</x:v>
      </x:c>
    </x:row>
    <x:row r="57">
      <x:c r="A57" s="83" t="str">
        <x:v>S4-00581</x:v>
      </x:c>
      <x:c r="B57" s="83" t="str">
        <x:v>IT2050_SENS_NO_NUCLEAR</x:v>
      </x:c>
      <x:c r="C57" s="83" t="n">
        <x:v>2050</x:v>
      </x:c>
      <x:c r="D57" s="83" t="str">
        <x:v>Transmission</x:v>
      </x:c>
      <x:c r="E57" s="83" t="str">
        <x:v>CNOR-&gt;NORD</x:v>
      </x:c>
      <x:c r="F57" s="83" t="str">
        <x:v>CNOR</x:v>
      </x:c>
      <x:c r="G57" s="83" t="str">
        <x:v>2040 PDS floor</x:v>
      </x:c>
      <x:c r="H57" s="83" t="str">
        <x:v>Directional interzonal link</x:v>
      </x:c>
      <x:c r="I57" s="83" t="str">
        <x:v>electricity</x:v>
      </x:c>
      <x:c r="J57" s="83" t="str">
        <x:v>Link</x:v>
      </x:c>
      <x:c r="K57" s="83" t="str">
        <x:v>p_nom</x:v>
      </x:c>
      <x:c r="L57" s="279" t="n">
        <x:v>5300</x:v>
      </x:c>
      <x:c r="M57" s="279" t="str">
        <x:v>MW</x:v>
      </x:c>
      <x:c r="N57" s="279" t="n">
        <x:f>IF(L57="","",IF(M57="GW",L57*1000,IF(M57="GWh",L57*1000,IF(M57="TWh",L57*1000000,L57))))</x:f>
        <x:v>5300</x:v>
      </x:c>
      <x:c r="O57" s="83" t="str">
        <x:f>IF(L57="","",IF(M57="GW","MW",IF(OR(M57="GWh",M57="TWh"),"MWh",M57)))</x:f>
        <x:v>MW</x:v>
      </x:c>
      <x:c r="P57" s="83" t="str"/>
      <x:c r="Q57" s="349"/>
      <x:c r="R57" s="349" t="str">
        <x:f>IF(L57="","",IF(Q57&lt;&gt;"",L57*Q57,IF(OR(ISNUMBER(SEARCH("EUR2025",M57&amp;"")),P57=2025,P57="2025"),L57,"")))</x:f>
      </x:c>
      <x:c r="S57" s="83" t="str">
        <x:v>C — Proxy/floor</x:v>
      </x:c>
      <x:c r="T57" s="83" t="str">
        <x:v>Use PDS 2040 capacity as documented 2050 floor; not an official 2050 target.</x:v>
      </x:c>
      <x:c r="U57" s="83" t="str">
        <x:v>S03 / assumption</x:v>
      </x:c>
      <x:c r="V57" s="83" t="str">
        <x:v>S03 Figure 3 floor</x:v>
      </x:c>
      <x:c r="W57" s="120"/>
      <x:c r="X57" s="83" t="str">
        <x:v>C — Proxy</x:v>
      </x:c>
      <x:c r="Y57" s="83" t="str">
        <x:v>APPROVED sensitivity</x:v>
      </x:c>
      <x:c r="Z57" s="83" t="str">
        <x:v>CONDITIONAL SENSITIVITY — CO2 price, programmable fleet composition and inferred BESS power remain open</x:v>
      </x:c>
      <x:c r="AA57" s="83" t="str">
        <x:v>Retained as the no-nuclear counterfactual.</x:v>
      </x:c>
    </x:row>
    <x:row r="58">
      <x:c r="A58" s="83" t="str">
        <x:v>S4-00582</x:v>
      </x:c>
      <x:c r="B58" s="83" t="str">
        <x:v>IT2050_SENS_NO_NUCLEAR</x:v>
      </x:c>
      <x:c r="C58" s="83" t="n">
        <x:v>2050</x:v>
      </x:c>
      <x:c r="D58" s="83" t="str">
        <x:v>Transmission</x:v>
      </x:c>
      <x:c r="E58" s="83" t="str">
        <x:v>CNOR-&gt;CSUD</x:v>
      </x:c>
      <x:c r="F58" s="83" t="str">
        <x:v>CNOR</x:v>
      </x:c>
      <x:c r="G58" s="83" t="str">
        <x:v>2040 PDS floor</x:v>
      </x:c>
      <x:c r="H58" s="83" t="str">
        <x:v>Directional interzonal link</x:v>
      </x:c>
      <x:c r="I58" s="83" t="str">
        <x:v>electricity</x:v>
      </x:c>
      <x:c r="J58" s="83" t="str">
        <x:v>Link</x:v>
      </x:c>
      <x:c r="K58" s="83" t="str">
        <x:v>p_nom</x:v>
      </x:c>
      <x:c r="L58" s="279" t="n">
        <x:v>5400</x:v>
      </x:c>
      <x:c r="M58" s="279" t="str">
        <x:v>MW</x:v>
      </x:c>
      <x:c r="N58" s="279" t="n">
        <x:f>IF(L58="","",IF(M58="GW",L58*1000,IF(M58="GWh",L58*1000,IF(M58="TWh",L58*1000000,L58))))</x:f>
        <x:v>5400</x:v>
      </x:c>
      <x:c r="O58" s="83" t="str">
        <x:f>IF(L58="","",IF(M58="GW","MW",IF(OR(M58="GWh",M58="TWh"),"MWh",M58)))</x:f>
        <x:v>MW</x:v>
      </x:c>
      <x:c r="P58" s="83" t="str"/>
      <x:c r="Q58" s="349"/>
      <x:c r="R58" s="349" t="str">
        <x:f>IF(L58="","",IF(Q58&lt;&gt;"",L58*Q58,IF(OR(ISNUMBER(SEARCH("EUR2025",M58&amp;"")),P58=2025,P58="2025"),L58,"")))</x:f>
      </x:c>
      <x:c r="S58" s="83" t="str">
        <x:v>C — Proxy/floor</x:v>
      </x:c>
      <x:c r="T58" s="83" t="str">
        <x:v>Use PDS 2040 capacity as documented 2050 floor; not an official 2050 target.</x:v>
      </x:c>
      <x:c r="U58" s="83" t="str">
        <x:v>S03 / assumption</x:v>
      </x:c>
      <x:c r="V58" s="83" t="str">
        <x:v>S03 Figure 3 floor</x:v>
      </x:c>
      <x:c r="W58" s="120"/>
      <x:c r="X58" s="83" t="str">
        <x:v>C — Proxy</x:v>
      </x:c>
      <x:c r="Y58" s="83" t="str">
        <x:v>APPROVED sensitivity</x:v>
      </x:c>
      <x:c r="Z58" s="83" t="str">
        <x:v>CONDITIONAL SENSITIVITY — CO2 price, programmable fleet composition and inferred BESS power remain open</x:v>
      </x:c>
      <x:c r="AA58" s="83" t="str">
        <x:v>Retained as the no-nuclear counterfactual.</x:v>
      </x:c>
    </x:row>
    <x:row r="59">
      <x:c r="A59" s="83" t="str">
        <x:v>S4-00583</x:v>
      </x:c>
      <x:c r="B59" s="83" t="str">
        <x:v>IT2050_SENS_NO_NUCLEAR</x:v>
      </x:c>
      <x:c r="C59" s="83" t="n">
        <x:v>2050</x:v>
      </x:c>
      <x:c r="D59" s="83" t="str">
        <x:v>Transmission</x:v>
      </x:c>
      <x:c r="E59" s="83" t="str">
        <x:v>CSUD-&gt;CNOR</x:v>
      </x:c>
      <x:c r="F59" s="83" t="str">
        <x:v>CSUD</x:v>
      </x:c>
      <x:c r="G59" s="83" t="str">
        <x:v>2040 PDS floor</x:v>
      </x:c>
      <x:c r="H59" s="83" t="str">
        <x:v>Directional interzonal link</x:v>
      </x:c>
      <x:c r="I59" s="83" t="str">
        <x:v>electricity</x:v>
      </x:c>
      <x:c r="J59" s="83" t="str">
        <x:v>Link</x:v>
      </x:c>
      <x:c r="K59" s="83" t="str">
        <x:v>p_nom</x:v>
      </x:c>
      <x:c r="L59" s="279" t="n">
        <x:v>6100</x:v>
      </x:c>
      <x:c r="M59" s="279" t="str">
        <x:v>MW</x:v>
      </x:c>
      <x:c r="N59" s="279" t="n">
        <x:f>IF(L59="","",IF(M59="GW",L59*1000,IF(M59="GWh",L59*1000,IF(M59="TWh",L59*1000000,L59))))</x:f>
        <x:v>6100</x:v>
      </x:c>
      <x:c r="O59" s="83" t="str">
        <x:f>IF(L59="","",IF(M59="GW","MW",IF(OR(M59="GWh",M59="TWh"),"MWh",M59)))</x:f>
        <x:v>MW</x:v>
      </x:c>
      <x:c r="P59" s="83" t="str"/>
      <x:c r="Q59" s="349"/>
      <x:c r="R59" s="349" t="str">
        <x:f>IF(L59="","",IF(Q59&lt;&gt;"",L59*Q59,IF(OR(ISNUMBER(SEARCH("EUR2025",M59&amp;"")),P59=2025,P59="2025"),L59,"")))</x:f>
      </x:c>
      <x:c r="S59" s="83" t="str">
        <x:v>C — Proxy/floor</x:v>
      </x:c>
      <x:c r="T59" s="83" t="str">
        <x:v>Use PDS 2040 capacity as documented 2050 floor; not an official 2050 target.</x:v>
      </x:c>
      <x:c r="U59" s="83" t="str">
        <x:v>S03 / assumption</x:v>
      </x:c>
      <x:c r="V59" s="83" t="str">
        <x:v>S03 Figure 3 floor</x:v>
      </x:c>
      <x:c r="W59" s="120"/>
      <x:c r="X59" s="83" t="str">
        <x:v>C — Proxy</x:v>
      </x:c>
      <x:c r="Y59" s="83" t="str">
        <x:v>APPROVED sensitivity</x:v>
      </x:c>
      <x:c r="Z59" s="83" t="str">
        <x:v>CONDITIONAL SENSITIVITY — CO2 price, programmable fleet composition and inferred BESS power remain open</x:v>
      </x:c>
      <x:c r="AA59" s="83" t="str">
        <x:v>Retained as the no-nuclear counterfactual.</x:v>
      </x:c>
    </x:row>
    <x:row r="60">
      <x:c r="A60" s="83" t="str">
        <x:v>S4-00584</x:v>
      </x:c>
      <x:c r="B60" s="83" t="str">
        <x:v>IT2050_SENS_NO_NUCLEAR</x:v>
      </x:c>
      <x:c r="C60" s="83" t="n">
        <x:v>2050</x:v>
      </x:c>
      <x:c r="D60" s="83" t="str">
        <x:v>Transmission</x:v>
      </x:c>
      <x:c r="E60" s="83" t="str">
        <x:v>CSUD-&gt;SUD</x:v>
      </x:c>
      <x:c r="F60" s="83" t="str">
        <x:v>CSUD</x:v>
      </x:c>
      <x:c r="G60" s="83" t="str">
        <x:v>2040 PDS floor</x:v>
      </x:c>
      <x:c r="H60" s="83" t="str">
        <x:v>Directional interzonal link</x:v>
      </x:c>
      <x:c r="I60" s="83" t="str">
        <x:v>electricity</x:v>
      </x:c>
      <x:c r="J60" s="83" t="str">
        <x:v>Link</x:v>
      </x:c>
      <x:c r="K60" s="83" t="str">
        <x:v>p_nom</x:v>
      </x:c>
      <x:c r="L60" s="279" t="n">
        <x:v>6300</x:v>
      </x:c>
      <x:c r="M60" s="279" t="str">
        <x:v>MW</x:v>
      </x:c>
      <x:c r="N60" s="279" t="n">
        <x:f>IF(L60="","",IF(M60="GW",L60*1000,IF(M60="GWh",L60*1000,IF(M60="TWh",L60*1000000,L60))))</x:f>
        <x:v>6300</x:v>
      </x:c>
      <x:c r="O60" s="83" t="str">
        <x:f>IF(L60="","",IF(M60="GW","MW",IF(OR(M60="GWh",M60="TWh"),"MWh",M60)))</x:f>
        <x:v>MW</x:v>
      </x:c>
      <x:c r="P60" s="83" t="str"/>
      <x:c r="Q60" s="349"/>
      <x:c r="R60" s="349" t="str">
        <x:f>IF(L60="","",IF(Q60&lt;&gt;"",L60*Q60,IF(OR(ISNUMBER(SEARCH("EUR2025",M60&amp;"")),P60=2025,P60="2025"),L60,"")))</x:f>
      </x:c>
      <x:c r="S60" s="83" t="str">
        <x:v>C — Proxy/floor</x:v>
      </x:c>
      <x:c r="T60" s="83" t="str">
        <x:v>Use PDS 2040 capacity as documented 2050 floor; not an official 2050 target.</x:v>
      </x:c>
      <x:c r="U60" s="83" t="str">
        <x:v>S03 / assumption</x:v>
      </x:c>
      <x:c r="V60" s="83" t="str">
        <x:v>S03 Figure 3 floor</x:v>
      </x:c>
      <x:c r="W60" s="120"/>
      <x:c r="X60" s="83" t="str">
        <x:v>C — Proxy</x:v>
      </x:c>
      <x:c r="Y60" s="83" t="str">
        <x:v>APPROVED sensitivity</x:v>
      </x:c>
      <x:c r="Z60" s="83" t="str">
        <x:v>CONDITIONAL SENSITIVITY — CO2 price, programmable fleet composition and inferred BESS power remain open</x:v>
      </x:c>
      <x:c r="AA60" s="83" t="str">
        <x:v>Retained as the no-nuclear counterfactual.</x:v>
      </x:c>
    </x:row>
    <x:row r="61">
      <x:c r="A61" s="83" t="str">
        <x:v>S4-00585</x:v>
      </x:c>
      <x:c r="B61" s="83" t="str">
        <x:v>IT2050_SENS_NO_NUCLEAR</x:v>
      </x:c>
      <x:c r="C61" s="83" t="n">
        <x:v>2050</x:v>
      </x:c>
      <x:c r="D61" s="83" t="str">
        <x:v>Transmission</x:v>
      </x:c>
      <x:c r="E61" s="83" t="str">
        <x:v>SUD-&gt;CSUD</x:v>
      </x:c>
      <x:c r="F61" s="83" t="str">
        <x:v>SUD</x:v>
      </x:c>
      <x:c r="G61" s="83" t="str">
        <x:v>2040 PDS floor</x:v>
      </x:c>
      <x:c r="H61" s="83" t="str">
        <x:v>Directional interzonal link</x:v>
      </x:c>
      <x:c r="I61" s="83" t="str">
        <x:v>electricity</x:v>
      </x:c>
      <x:c r="J61" s="83" t="str">
        <x:v>Link</x:v>
      </x:c>
      <x:c r="K61" s="83" t="str">
        <x:v>p_nom</x:v>
      </x:c>
      <x:c r="L61" s="279" t="n">
        <x:v>9100</x:v>
      </x:c>
      <x:c r="M61" s="279" t="str">
        <x:v>MW</x:v>
      </x:c>
      <x:c r="N61" s="279" t="n">
        <x:f>IF(L61="","",IF(M61="GW",L61*1000,IF(M61="GWh",L61*1000,IF(M61="TWh",L61*1000000,L61))))</x:f>
        <x:v>9100</x:v>
      </x:c>
      <x:c r="O61" s="83" t="str">
        <x:f>IF(L61="","",IF(M61="GW","MW",IF(OR(M61="GWh",M61="TWh"),"MWh",M61)))</x:f>
        <x:v>MW</x:v>
      </x:c>
      <x:c r="P61" s="83" t="str"/>
      <x:c r="Q61" s="349"/>
      <x:c r="R61" s="349" t="str">
        <x:f>IF(L61="","",IF(Q61&lt;&gt;"",L61*Q61,IF(OR(ISNUMBER(SEARCH("EUR2025",M61&amp;"")),P61=2025,P61="2025"),L61,"")))</x:f>
      </x:c>
      <x:c r="S61" s="83" t="str">
        <x:v>C — Proxy/floor</x:v>
      </x:c>
      <x:c r="T61" s="83" t="str">
        <x:v>Use PDS 2040 capacity as documented 2050 floor; not an official 2050 target.</x:v>
      </x:c>
      <x:c r="U61" s="83" t="str">
        <x:v>S03 / assumption</x:v>
      </x:c>
      <x:c r="V61" s="83" t="str">
        <x:v>S03 Figure 3 floor</x:v>
      </x:c>
      <x:c r="W61" s="120"/>
      <x:c r="X61" s="83" t="str">
        <x:v>C — Proxy</x:v>
      </x:c>
      <x:c r="Y61" s="83" t="str">
        <x:v>APPROVED sensitivity</x:v>
      </x:c>
      <x:c r="Z61" s="83" t="str">
        <x:v>CONDITIONAL SENSITIVITY — CO2 price, programmable fleet composition and inferred BESS power remain open</x:v>
      </x:c>
      <x:c r="AA61" s="83" t="str">
        <x:v>Retained as the no-nuclear counterfactual.</x:v>
      </x:c>
    </x:row>
    <x:row r="62">
      <x:c r="A62" s="83" t="str">
        <x:v>S4-00586</x:v>
      </x:c>
      <x:c r="B62" s="83" t="str">
        <x:v>IT2050_SENS_NO_NUCLEAR</x:v>
      </x:c>
      <x:c r="C62" s="83" t="n">
        <x:v>2050</x:v>
      </x:c>
      <x:c r="D62" s="83" t="str">
        <x:v>Transmission</x:v>
      </x:c>
      <x:c r="E62" s="83" t="str">
        <x:v>SUD-&gt;CALA</x:v>
      </x:c>
      <x:c r="F62" s="83" t="str">
        <x:v>SUD</x:v>
      </x:c>
      <x:c r="G62" s="83" t="str">
        <x:v>2040 PDS floor</x:v>
      </x:c>
      <x:c r="H62" s="83" t="str">
        <x:v>Directional interzonal link</x:v>
      </x:c>
      <x:c r="I62" s="83" t="str">
        <x:v>electricity</x:v>
      </x:c>
      <x:c r="J62" s="83" t="str">
        <x:v>Link</x:v>
      </x:c>
      <x:c r="K62" s="83" t="str">
        <x:v>p_nom</x:v>
      </x:c>
      <x:c r="L62" s="279" t="n">
        <x:v>4100</x:v>
      </x:c>
      <x:c r="M62" s="279" t="str">
        <x:v>MW</x:v>
      </x:c>
      <x:c r="N62" s="279" t="n">
        <x:f>IF(L62="","",IF(M62="GW",L62*1000,IF(M62="GWh",L62*1000,IF(M62="TWh",L62*1000000,L62))))</x:f>
        <x:v>4100</x:v>
      </x:c>
      <x:c r="O62" s="83" t="str">
        <x:f>IF(L62="","",IF(M62="GW","MW",IF(OR(M62="GWh",M62="TWh"),"MWh",M62)))</x:f>
        <x:v>MW</x:v>
      </x:c>
      <x:c r="P62" s="83" t="str"/>
      <x:c r="Q62" s="349"/>
      <x:c r="R62" s="349" t="str">
        <x:f>IF(L62="","",IF(Q62&lt;&gt;"",L62*Q62,IF(OR(ISNUMBER(SEARCH("EUR2025",M62&amp;"")),P62=2025,P62="2025"),L62,"")))</x:f>
      </x:c>
      <x:c r="S62" s="83" t="str">
        <x:v>C — Proxy/floor</x:v>
      </x:c>
      <x:c r="T62" s="83" t="str">
        <x:v>Use PDS 2040 capacity as documented 2050 floor; not an official 2050 target.</x:v>
      </x:c>
      <x:c r="U62" s="83" t="str">
        <x:v>S03 / assumption</x:v>
      </x:c>
      <x:c r="V62" s="83" t="str">
        <x:v>S03 Figure 3 floor</x:v>
      </x:c>
      <x:c r="W62" s="120"/>
      <x:c r="X62" s="83" t="str">
        <x:v>C — Proxy</x:v>
      </x:c>
      <x:c r="Y62" s="83" t="str">
        <x:v>APPROVED sensitivity</x:v>
      </x:c>
      <x:c r="Z62" s="83" t="str">
        <x:v>CONDITIONAL SENSITIVITY — CO2 price, programmable fleet composition and inferred BESS power remain open</x:v>
      </x:c>
      <x:c r="AA62" s="83" t="str">
        <x:v>Retained as the no-nuclear counterfactual.</x:v>
      </x:c>
    </x:row>
    <x:row r="63">
      <x:c r="A63" s="83" t="str">
        <x:v>S4-00587</x:v>
      </x:c>
      <x:c r="B63" s="83" t="str">
        <x:v>IT2050_SENS_NO_NUCLEAR</x:v>
      </x:c>
      <x:c r="C63" s="83" t="n">
        <x:v>2050</x:v>
      </x:c>
      <x:c r="D63" s="83" t="str">
        <x:v>Transmission</x:v>
      </x:c>
      <x:c r="E63" s="83" t="str">
        <x:v>CALA-&gt;SUD</x:v>
      </x:c>
      <x:c r="F63" s="83" t="str">
        <x:v>CALA</x:v>
      </x:c>
      <x:c r="G63" s="83" t="str">
        <x:v>2040 PDS floor</x:v>
      </x:c>
      <x:c r="H63" s="83" t="str">
        <x:v>Directional interzonal link</x:v>
      </x:c>
      <x:c r="I63" s="83" t="str">
        <x:v>electricity</x:v>
      </x:c>
      <x:c r="J63" s="83" t="str">
        <x:v>Link</x:v>
      </x:c>
      <x:c r="K63" s="83" t="str">
        <x:v>p_nom</x:v>
      </x:c>
      <x:c r="L63" s="279" t="n">
        <x:v>5350</x:v>
      </x:c>
      <x:c r="M63" s="279" t="str">
        <x:v>MW</x:v>
      </x:c>
      <x:c r="N63" s="279" t="n">
        <x:f>IF(L63="","",IF(M63="GW",L63*1000,IF(M63="GWh",L63*1000,IF(M63="TWh",L63*1000000,L63))))</x:f>
        <x:v>5350</x:v>
      </x:c>
      <x:c r="O63" s="83" t="str">
        <x:f>IF(L63="","",IF(M63="GW","MW",IF(OR(M63="GWh",M63="TWh"),"MWh",M63)))</x:f>
        <x:v>MW</x:v>
      </x:c>
      <x:c r="P63" s="83" t="str"/>
      <x:c r="Q63" s="349"/>
      <x:c r="R63" s="349" t="str">
        <x:f>IF(L63="","",IF(Q63&lt;&gt;"",L63*Q63,IF(OR(ISNUMBER(SEARCH("EUR2025",M63&amp;"")),P63=2025,P63="2025"),L63,"")))</x:f>
      </x:c>
      <x:c r="S63" s="83" t="str">
        <x:v>C — Proxy/floor</x:v>
      </x:c>
      <x:c r="T63" s="83" t="str">
        <x:v>Use PDS 2040 capacity as documented 2050 floor; not an official 2050 target.</x:v>
      </x:c>
      <x:c r="U63" s="83" t="str">
        <x:v>S03 / assumption</x:v>
      </x:c>
      <x:c r="V63" s="83" t="str">
        <x:v>S03 Figure 3 floor</x:v>
      </x:c>
      <x:c r="W63" s="120"/>
      <x:c r="X63" s="83" t="str">
        <x:v>C — Proxy</x:v>
      </x:c>
      <x:c r="Y63" s="83" t="str">
        <x:v>APPROVED sensitivity</x:v>
      </x:c>
      <x:c r="Z63" s="83" t="str">
        <x:v>CONDITIONAL SENSITIVITY — CO2 price, programmable fleet composition and inferred BESS power remain open</x:v>
      </x:c>
      <x:c r="AA63" s="83" t="str">
        <x:v>Retained as the no-nuclear counterfactual.</x:v>
      </x:c>
    </x:row>
    <x:row r="64">
      <x:c r="A64" s="83" t="str">
        <x:v>S4-00588</x:v>
      </x:c>
      <x:c r="B64" s="83" t="str">
        <x:v>IT2050_SENS_NO_NUCLEAR</x:v>
      </x:c>
      <x:c r="C64" s="83" t="n">
        <x:v>2050</x:v>
      </x:c>
      <x:c r="D64" s="83" t="str">
        <x:v>Transmission</x:v>
      </x:c>
      <x:c r="E64" s="83" t="str">
        <x:v>CALA-&gt;SICI</x:v>
      </x:c>
      <x:c r="F64" s="83" t="str">
        <x:v>CALA</x:v>
      </x:c>
      <x:c r="G64" s="83" t="str">
        <x:v>2040 PDS floor</x:v>
      </x:c>
      <x:c r="H64" s="83" t="str">
        <x:v>Directional interzonal link</x:v>
      </x:c>
      <x:c r="I64" s="83" t="str">
        <x:v>electricity</x:v>
      </x:c>
      <x:c r="J64" s="83" t="str">
        <x:v>Link</x:v>
      </x:c>
      <x:c r="K64" s="83" t="str">
        <x:v>p_nom</x:v>
      </x:c>
      <x:c r="L64" s="279" t="n">
        <x:v>4150</x:v>
      </x:c>
      <x:c r="M64" s="279" t="str">
        <x:v>MW</x:v>
      </x:c>
      <x:c r="N64" s="279" t="n">
        <x:f>IF(L64="","",IF(M64="GW",L64*1000,IF(M64="GWh",L64*1000,IF(M64="TWh",L64*1000000,L64))))</x:f>
        <x:v>4150</x:v>
      </x:c>
      <x:c r="O64" s="83" t="str">
        <x:f>IF(L64="","",IF(M64="GW","MW",IF(OR(M64="GWh",M64="TWh"),"MWh",M64)))</x:f>
        <x:v>MW</x:v>
      </x:c>
      <x:c r="P64" s="83" t="str"/>
      <x:c r="Q64" s="349"/>
      <x:c r="R64" s="349" t="str">
        <x:f>IF(L64="","",IF(Q64&lt;&gt;"",L64*Q64,IF(OR(ISNUMBER(SEARCH("EUR2025",M64&amp;"")),P64=2025,P64="2025"),L64,"")))</x:f>
      </x:c>
      <x:c r="S64" s="83" t="str">
        <x:v>C — Proxy/floor</x:v>
      </x:c>
      <x:c r="T64" s="83" t="str">
        <x:v>Use PDS 2040 capacity as documented 2050 floor; not an official 2050 target.</x:v>
      </x:c>
      <x:c r="U64" s="83" t="str">
        <x:v>S03 / assumption</x:v>
      </x:c>
      <x:c r="V64" s="83" t="str">
        <x:v>S03 Figure 3 floor</x:v>
      </x:c>
      <x:c r="W64" s="120"/>
      <x:c r="X64" s="83" t="str">
        <x:v>C — Proxy</x:v>
      </x:c>
      <x:c r="Y64" s="83" t="str">
        <x:v>APPROVED sensitivity</x:v>
      </x:c>
      <x:c r="Z64" s="83" t="str">
        <x:v>CONDITIONAL SENSITIVITY — CO2 price, programmable fleet composition and inferred BESS power remain open</x:v>
      </x:c>
      <x:c r="AA64" s="83" t="str">
        <x:v>Retained as the no-nuclear counterfactual.</x:v>
      </x:c>
    </x:row>
    <x:row r="65">
      <x:c r="A65" s="83" t="str">
        <x:v>S4-00589</x:v>
      </x:c>
      <x:c r="B65" s="83" t="str">
        <x:v>IT2050_SENS_NO_NUCLEAR</x:v>
      </x:c>
      <x:c r="C65" s="83" t="n">
        <x:v>2050</x:v>
      </x:c>
      <x:c r="D65" s="83" t="str">
        <x:v>Transmission</x:v>
      </x:c>
      <x:c r="E65" s="83" t="str">
        <x:v>SICI-&gt;CALA</x:v>
      </x:c>
      <x:c r="F65" s="83" t="str">
        <x:v>SICI</x:v>
      </x:c>
      <x:c r="G65" s="83" t="str">
        <x:v>2040 PDS floor</x:v>
      </x:c>
      <x:c r="H65" s="83" t="str">
        <x:v>Directional interzonal link</x:v>
      </x:c>
      <x:c r="I65" s="83" t="str">
        <x:v>electricity</x:v>
      </x:c>
      <x:c r="J65" s="83" t="str">
        <x:v>Link</x:v>
      </x:c>
      <x:c r="K65" s="83" t="str">
        <x:v>p_nom</x:v>
      </x:c>
      <x:c r="L65" s="279" t="n">
        <x:v>4100</x:v>
      </x:c>
      <x:c r="M65" s="279" t="str">
        <x:v>MW</x:v>
      </x:c>
      <x:c r="N65" s="279" t="n">
        <x:f>IF(L65="","",IF(M65="GW",L65*1000,IF(M65="GWh",L65*1000,IF(M65="TWh",L65*1000000,L65))))</x:f>
        <x:v>4100</x:v>
      </x:c>
      <x:c r="O65" s="83" t="str">
        <x:f>IF(L65="","",IF(M65="GW","MW",IF(OR(M65="GWh",M65="TWh"),"MWh",M65)))</x:f>
        <x:v>MW</x:v>
      </x:c>
      <x:c r="P65" s="83" t="str"/>
      <x:c r="Q65" s="349"/>
      <x:c r="R65" s="349" t="str">
        <x:f>IF(L65="","",IF(Q65&lt;&gt;"",L65*Q65,IF(OR(ISNUMBER(SEARCH("EUR2025",M65&amp;"")),P65=2025,P65="2025"),L65,"")))</x:f>
      </x:c>
      <x:c r="S65" s="83" t="str">
        <x:v>C — Proxy/floor</x:v>
      </x:c>
      <x:c r="T65" s="83" t="str">
        <x:v>Use PDS 2040 capacity as documented 2050 floor; not an official 2050 target.</x:v>
      </x:c>
      <x:c r="U65" s="83" t="str">
        <x:v>S03 / assumption</x:v>
      </x:c>
      <x:c r="V65" s="83" t="str">
        <x:v>S03 Figure 3 floor</x:v>
      </x:c>
      <x:c r="W65" s="120"/>
      <x:c r="X65" s="83" t="str">
        <x:v>C — Proxy</x:v>
      </x:c>
      <x:c r="Y65" s="83" t="str">
        <x:v>APPROVED sensitivity</x:v>
      </x:c>
      <x:c r="Z65" s="83" t="str">
        <x:v>CONDITIONAL SENSITIVITY — CO2 price, programmable fleet composition and inferred BESS power remain open</x:v>
      </x:c>
      <x:c r="AA65" s="83" t="str">
        <x:v>Retained as the no-nuclear counterfactual.</x:v>
      </x:c>
    </x:row>
    <x:row r="66">
      <x:c r="A66" s="83" t="str">
        <x:v>S4-00590</x:v>
      </x:c>
      <x:c r="B66" s="83" t="str">
        <x:v>IT2050_SENS_NO_NUCLEAR</x:v>
      </x:c>
      <x:c r="C66" s="83" t="n">
        <x:v>2050</x:v>
      </x:c>
      <x:c r="D66" s="83" t="str">
        <x:v>Transmission</x:v>
      </x:c>
      <x:c r="E66" s="83" t="str">
        <x:v>CSUD-&gt;SARD</x:v>
      </x:c>
      <x:c r="F66" s="83" t="str">
        <x:v>CSUD</x:v>
      </x:c>
      <x:c r="G66" s="83" t="str">
        <x:v>2040 PDS floor</x:v>
      </x:c>
      <x:c r="H66" s="83" t="str">
        <x:v>Directional interzonal link</x:v>
      </x:c>
      <x:c r="I66" s="83" t="str">
        <x:v>electricity</x:v>
      </x:c>
      <x:c r="J66" s="83" t="str">
        <x:v>Link</x:v>
      </x:c>
      <x:c r="K66" s="83" t="str">
        <x:v>p_nom</x:v>
      </x:c>
      <x:c r="L66" s="279" t="n">
        <x:v>1720</x:v>
      </x:c>
      <x:c r="M66" s="279" t="str">
        <x:v>MW</x:v>
      </x:c>
      <x:c r="N66" s="279" t="n">
        <x:f>IF(L66="","",IF(M66="GW",L66*1000,IF(M66="GWh",L66*1000,IF(M66="TWh",L66*1000000,L66))))</x:f>
        <x:v>1720</x:v>
      </x:c>
      <x:c r="O66" s="83" t="str">
        <x:f>IF(L66="","",IF(M66="GW","MW",IF(OR(M66="GWh",M66="TWh"),"MWh",M66)))</x:f>
        <x:v>MW</x:v>
      </x:c>
      <x:c r="P66" s="83" t="str"/>
      <x:c r="Q66" s="349"/>
      <x:c r="R66" s="349" t="str">
        <x:f>IF(L66="","",IF(Q66&lt;&gt;"",L66*Q66,IF(OR(ISNUMBER(SEARCH("EUR2025",M66&amp;"")),P66=2025,P66="2025"),L66,"")))</x:f>
      </x:c>
      <x:c r="S66" s="83" t="str">
        <x:v>C — Proxy/floor</x:v>
      </x:c>
      <x:c r="T66" s="83" t="str">
        <x:v>Use PDS 2040 capacity as documented 2050 floor; not an official 2050 target.</x:v>
      </x:c>
      <x:c r="U66" s="83" t="str">
        <x:v>S03 / assumption</x:v>
      </x:c>
      <x:c r="V66" s="83" t="str">
        <x:v>S03 Figure 3 floor</x:v>
      </x:c>
      <x:c r="W66" s="120"/>
      <x:c r="X66" s="83" t="str">
        <x:v>C — Proxy</x:v>
      </x:c>
      <x:c r="Y66" s="83" t="str">
        <x:v>APPROVED sensitivity</x:v>
      </x:c>
      <x:c r="Z66" s="83" t="str">
        <x:v>CONDITIONAL SENSITIVITY — CO2 price, programmable fleet composition and inferred BESS power remain open</x:v>
      </x:c>
      <x:c r="AA66" s="83" t="str">
        <x:v>Retained as the no-nuclear counterfactual.</x:v>
      </x:c>
    </x:row>
    <x:row r="67">
      <x:c r="A67" s="83" t="str">
        <x:v>S4-00591</x:v>
      </x:c>
      <x:c r="B67" s="83" t="str">
        <x:v>IT2050_SENS_NO_NUCLEAR</x:v>
      </x:c>
      <x:c r="C67" s="83" t="n">
        <x:v>2050</x:v>
      </x:c>
      <x:c r="D67" s="83" t="str">
        <x:v>Transmission</x:v>
      </x:c>
      <x:c r="E67" s="83" t="str">
        <x:v>SARD-&gt;CSUD</x:v>
      </x:c>
      <x:c r="F67" s="83" t="str">
        <x:v>SARD</x:v>
      </x:c>
      <x:c r="G67" s="83" t="str">
        <x:v>2040 PDS floor</x:v>
      </x:c>
      <x:c r="H67" s="83" t="str">
        <x:v>Directional interzonal link</x:v>
      </x:c>
      <x:c r="I67" s="83" t="str">
        <x:v>electricity</x:v>
      </x:c>
      <x:c r="J67" s="83" t="str">
        <x:v>Link</x:v>
      </x:c>
      <x:c r="K67" s="83" t="str">
        <x:v>p_nom</x:v>
      </x:c>
      <x:c r="L67" s="279" t="n">
        <x:v>1900</x:v>
      </x:c>
      <x:c r="M67" s="279" t="str">
        <x:v>MW</x:v>
      </x:c>
      <x:c r="N67" s="279" t="n">
        <x:f>IF(L67="","",IF(M67="GW",L67*1000,IF(M67="GWh",L67*1000,IF(M67="TWh",L67*1000000,L67))))</x:f>
        <x:v>1900</x:v>
      </x:c>
      <x:c r="O67" s="83" t="str">
        <x:f>IF(L67="","",IF(M67="GW","MW",IF(OR(M67="GWh",M67="TWh"),"MWh",M67)))</x:f>
        <x:v>MW</x:v>
      </x:c>
      <x:c r="P67" s="83" t="str"/>
      <x:c r="Q67" s="349"/>
      <x:c r="R67" s="349" t="str">
        <x:f>IF(L67="","",IF(Q67&lt;&gt;"",L67*Q67,IF(OR(ISNUMBER(SEARCH("EUR2025",M67&amp;"")),P67=2025,P67="2025"),L67,"")))</x:f>
      </x:c>
      <x:c r="S67" s="83" t="str">
        <x:v>C — Proxy/floor</x:v>
      </x:c>
      <x:c r="T67" s="83" t="str">
        <x:v>Use PDS 2040 capacity as documented 2050 floor; not an official 2050 target.</x:v>
      </x:c>
      <x:c r="U67" s="83" t="str">
        <x:v>S03 / assumption</x:v>
      </x:c>
      <x:c r="V67" s="83" t="str">
        <x:v>S03 Figure 3 floor</x:v>
      </x:c>
      <x:c r="W67" s="120"/>
      <x:c r="X67" s="83" t="str">
        <x:v>C — Proxy</x:v>
      </x:c>
      <x:c r="Y67" s="83" t="str">
        <x:v>APPROVED sensitivity</x:v>
      </x:c>
      <x:c r="Z67" s="83" t="str">
        <x:v>CONDITIONAL SENSITIVITY — CO2 price, programmable fleet composition and inferred BESS power remain open</x:v>
      </x:c>
      <x:c r="AA67" s="83" t="str">
        <x:v>Retained as the no-nuclear counterfactual.</x:v>
      </x:c>
    </x:row>
    <x:row r="68">
      <x:c r="A68" s="83" t="str">
        <x:v>S4-00592</x:v>
      </x:c>
      <x:c r="B68" s="83" t="str">
        <x:v>IT2050_SENS_NO_NUCLEAR</x:v>
      </x:c>
      <x:c r="C68" s="83" t="n">
        <x:v>2050</x:v>
      </x:c>
      <x:c r="D68" s="83" t="str">
        <x:v>Transmission</x:v>
      </x:c>
      <x:c r="E68" s="83" t="str">
        <x:v>CNOR-&gt;CORS</x:v>
      </x:c>
      <x:c r="F68" s="83" t="str">
        <x:v>CNOR</x:v>
      </x:c>
      <x:c r="G68" s="83" t="str">
        <x:v>2040 PDS floor</x:v>
      </x:c>
      <x:c r="H68" s="83" t="str">
        <x:v>Directional interzonal link</x:v>
      </x:c>
      <x:c r="I68" s="83" t="str">
        <x:v>electricity</x:v>
      </x:c>
      <x:c r="J68" s="83" t="str">
        <x:v>Link</x:v>
      </x:c>
      <x:c r="K68" s="83" t="str">
        <x:v>p_nom</x:v>
      </x:c>
      <x:c r="L68" s="279" t="n">
        <x:v>400</x:v>
      </x:c>
      <x:c r="M68" s="279" t="str">
        <x:v>MW</x:v>
      </x:c>
      <x:c r="N68" s="279" t="n">
        <x:f>IF(L68="","",IF(M68="GW",L68*1000,IF(M68="GWh",L68*1000,IF(M68="TWh",L68*1000000,L68))))</x:f>
        <x:v>400</x:v>
      </x:c>
      <x:c r="O68" s="83" t="str">
        <x:f>IF(L68="","",IF(M68="GW","MW",IF(OR(M68="GWh",M68="TWh"),"MWh",M68)))</x:f>
        <x:v>MW</x:v>
      </x:c>
      <x:c r="P68" s="83" t="str"/>
      <x:c r="Q68" s="349"/>
      <x:c r="R68" s="349" t="str">
        <x:f>IF(L68="","",IF(Q68&lt;&gt;"",L68*Q68,IF(OR(ISNUMBER(SEARCH("EUR2025",M68&amp;"")),P68=2025,P68="2025"),L68,"")))</x:f>
      </x:c>
      <x:c r="S68" s="83" t="str">
        <x:v>C — Proxy/floor</x:v>
      </x:c>
      <x:c r="T68" s="83" t="str">
        <x:v>Use PDS 2040 capacity as documented 2050 floor; not an official 2050 target.</x:v>
      </x:c>
      <x:c r="U68" s="83" t="str">
        <x:v>S03 / assumption</x:v>
      </x:c>
      <x:c r="V68" s="83" t="str">
        <x:v>S03 Figure 3 floor</x:v>
      </x:c>
      <x:c r="W68" s="120"/>
      <x:c r="X68" s="83" t="str">
        <x:v>C — Proxy</x:v>
      </x:c>
      <x:c r="Y68" s="83" t="str">
        <x:v>APPROVED sensitivity</x:v>
      </x:c>
      <x:c r="Z68" s="83" t="str">
        <x:v>CONDITIONAL SENSITIVITY — CO2 price, programmable fleet composition and inferred BESS power remain open</x:v>
      </x:c>
      <x:c r="AA68" s="83" t="str">
        <x:v>Retained as the no-nuclear counterfactual.</x:v>
      </x:c>
    </x:row>
    <x:row r="69">
      <x:c r="A69" s="83" t="str">
        <x:v>S4-00593</x:v>
      </x:c>
      <x:c r="B69" s="83" t="str">
        <x:v>IT2050_SENS_NO_NUCLEAR</x:v>
      </x:c>
      <x:c r="C69" s="83" t="n">
        <x:v>2050</x:v>
      </x:c>
      <x:c r="D69" s="83" t="str">
        <x:v>Transmission</x:v>
      </x:c>
      <x:c r="E69" s="83" t="str">
        <x:v>CORS-&gt;CNOR</x:v>
      </x:c>
      <x:c r="F69" s="83" t="str">
        <x:v>CORS</x:v>
      </x:c>
      <x:c r="G69" s="83" t="str">
        <x:v>2040 PDS floor</x:v>
      </x:c>
      <x:c r="H69" s="83" t="str">
        <x:v>Directional interzonal link</x:v>
      </x:c>
      <x:c r="I69" s="83" t="str">
        <x:v>electricity</x:v>
      </x:c>
      <x:c r="J69" s="83" t="str">
        <x:v>Link</x:v>
      </x:c>
      <x:c r="K69" s="83" t="str">
        <x:v>p_nom</x:v>
      </x:c>
      <x:c r="L69" s="279" t="n">
        <x:v>400</x:v>
      </x:c>
      <x:c r="M69" s="279" t="str">
        <x:v>MW</x:v>
      </x:c>
      <x:c r="N69" s="279" t="n">
        <x:f>IF(L69="","",IF(M69="GW",L69*1000,IF(M69="GWh",L69*1000,IF(M69="TWh",L69*1000000,L69))))</x:f>
        <x:v>400</x:v>
      </x:c>
      <x:c r="O69" s="83" t="str">
        <x:f>IF(L69="","",IF(M69="GW","MW",IF(OR(M69="GWh",M69="TWh"),"MWh",M69)))</x:f>
        <x:v>MW</x:v>
      </x:c>
      <x:c r="P69" s="83" t="str"/>
      <x:c r="Q69" s="349"/>
      <x:c r="R69" s="349" t="str">
        <x:f>IF(L69="","",IF(Q69&lt;&gt;"",L69*Q69,IF(OR(ISNUMBER(SEARCH("EUR2025",M69&amp;"")),P69=2025,P69="2025"),L69,"")))</x:f>
      </x:c>
      <x:c r="S69" s="83" t="str">
        <x:v>C — Proxy/floor</x:v>
      </x:c>
      <x:c r="T69" s="83" t="str">
        <x:v>Use PDS 2040 capacity as documented 2050 floor; not an official 2050 target.</x:v>
      </x:c>
      <x:c r="U69" s="83" t="str">
        <x:v>S03 / assumption</x:v>
      </x:c>
      <x:c r="V69" s="83" t="str">
        <x:v>S03 Figure 3 floor</x:v>
      </x:c>
      <x:c r="W69" s="120"/>
      <x:c r="X69" s="83" t="str">
        <x:v>C — Proxy</x:v>
      </x:c>
      <x:c r="Y69" s="83" t="str">
        <x:v>APPROVED sensitivity</x:v>
      </x:c>
      <x:c r="Z69" s="83" t="str">
        <x:v>CONDITIONAL SENSITIVITY — CO2 price, programmable fleet composition and inferred BESS power remain open</x:v>
      </x:c>
      <x:c r="AA69" s="83" t="str">
        <x:v>Retained as the no-nuclear counterfactual.</x:v>
      </x:c>
    </x:row>
    <x:row r="70">
      <x:c r="A70" s="83" t="str">
        <x:v>S4-00594</x:v>
      </x:c>
      <x:c r="B70" s="83" t="str">
        <x:v>IT2050_SENS_NO_NUCLEAR</x:v>
      </x:c>
      <x:c r="C70" s="83" t="n">
        <x:v>2050</x:v>
      </x:c>
      <x:c r="D70" s="83" t="str">
        <x:v>Transmission</x:v>
      </x:c>
      <x:c r="E70" s="83" t="str">
        <x:v>CORS-&gt;SARD</x:v>
      </x:c>
      <x:c r="F70" s="83" t="str">
        <x:v>CORS</x:v>
      </x:c>
      <x:c r="G70" s="83" t="str">
        <x:v>2040 PDS floor</x:v>
      </x:c>
      <x:c r="H70" s="83" t="str">
        <x:v>Directional interzonal link</x:v>
      </x:c>
      <x:c r="I70" s="83" t="str">
        <x:v>electricity</x:v>
      </x:c>
      <x:c r="J70" s="83" t="str">
        <x:v>Link</x:v>
      </x:c>
      <x:c r="K70" s="83" t="str">
        <x:v>p_nom</x:v>
      </x:c>
      <x:c r="L70" s="279" t="n">
        <x:v>400</x:v>
      </x:c>
      <x:c r="M70" s="279" t="str">
        <x:v>MW</x:v>
      </x:c>
      <x:c r="N70" s="279" t="n">
        <x:f>IF(L70="","",IF(M70="GW",L70*1000,IF(M70="GWh",L70*1000,IF(M70="TWh",L70*1000000,L70))))</x:f>
        <x:v>400</x:v>
      </x:c>
      <x:c r="O70" s="83" t="str">
        <x:f>IF(L70="","",IF(M70="GW","MW",IF(OR(M70="GWh",M70="TWh"),"MWh",M70)))</x:f>
        <x:v>MW</x:v>
      </x:c>
      <x:c r="P70" s="83" t="str"/>
      <x:c r="Q70" s="349"/>
      <x:c r="R70" s="349" t="str">
        <x:f>IF(L70="","",IF(Q70&lt;&gt;"",L70*Q70,IF(OR(ISNUMBER(SEARCH("EUR2025",M70&amp;"")),P70=2025,P70="2025"),L70,"")))</x:f>
      </x:c>
      <x:c r="S70" s="83" t="str">
        <x:v>C — Proxy/floor</x:v>
      </x:c>
      <x:c r="T70" s="83" t="str">
        <x:v>Use PDS 2040 capacity as documented 2050 floor; not an official 2050 target.</x:v>
      </x:c>
      <x:c r="U70" s="83" t="str">
        <x:v>S03 / assumption</x:v>
      </x:c>
      <x:c r="V70" s="83" t="str">
        <x:v>S03 Figure 3 floor</x:v>
      </x:c>
      <x:c r="W70" s="120"/>
      <x:c r="X70" s="83" t="str">
        <x:v>C — Proxy</x:v>
      </x:c>
      <x:c r="Y70" s="83" t="str">
        <x:v>APPROVED sensitivity</x:v>
      </x:c>
      <x:c r="Z70" s="83" t="str">
        <x:v>CONDITIONAL SENSITIVITY — CO2 price, programmable fleet composition and inferred BESS power remain open</x:v>
      </x:c>
      <x:c r="AA70" s="83" t="str">
        <x:v>Retained as the no-nuclear counterfactual.</x:v>
      </x:c>
    </x:row>
    <x:row r="71">
      <x:c r="A71" s="83" t="str">
        <x:v>S4-00595</x:v>
      </x:c>
      <x:c r="B71" s="83" t="str">
        <x:v>IT2050_SENS_NO_NUCLEAR</x:v>
      </x:c>
      <x:c r="C71" s="83" t="n">
        <x:v>2050</x:v>
      </x:c>
      <x:c r="D71" s="83" t="str">
        <x:v>Transmission</x:v>
      </x:c>
      <x:c r="E71" s="83" t="str">
        <x:v>SARD-&gt;CORS</x:v>
      </x:c>
      <x:c r="F71" s="83" t="str">
        <x:v>SARD</x:v>
      </x:c>
      <x:c r="G71" s="83" t="str">
        <x:v>2040 PDS floor</x:v>
      </x:c>
      <x:c r="H71" s="83" t="str">
        <x:v>Directional interzonal link</x:v>
      </x:c>
      <x:c r="I71" s="83" t="str">
        <x:v>electricity</x:v>
      </x:c>
      <x:c r="J71" s="83" t="str">
        <x:v>Link</x:v>
      </x:c>
      <x:c r="K71" s="83" t="str">
        <x:v>p_nom</x:v>
      </x:c>
      <x:c r="L71" s="279" t="n">
        <x:v>400</x:v>
      </x:c>
      <x:c r="M71" s="279" t="str">
        <x:v>MW</x:v>
      </x:c>
      <x:c r="N71" s="279" t="n">
        <x:f>IF(L71="","",IF(M71="GW",L71*1000,IF(M71="GWh",L71*1000,IF(M71="TWh",L71*1000000,L71))))</x:f>
        <x:v>400</x:v>
      </x:c>
      <x:c r="O71" s="83" t="str">
        <x:f>IF(L71="","",IF(M71="GW","MW",IF(OR(M71="GWh",M71="TWh"),"MWh",M71)))</x:f>
        <x:v>MW</x:v>
      </x:c>
      <x:c r="P71" s="83" t="str"/>
      <x:c r="Q71" s="349"/>
      <x:c r="R71" s="349" t="str">
        <x:f>IF(L71="","",IF(Q71&lt;&gt;"",L71*Q71,IF(OR(ISNUMBER(SEARCH("EUR2025",M71&amp;"")),P71=2025,P71="2025"),L71,"")))</x:f>
      </x:c>
      <x:c r="S71" s="83" t="str">
        <x:v>C — Proxy/floor</x:v>
      </x:c>
      <x:c r="T71" s="83" t="str">
        <x:v>Use PDS 2040 capacity as documented 2050 floor; not an official 2050 target.</x:v>
      </x:c>
      <x:c r="U71" s="83" t="str">
        <x:v>S03 / assumption</x:v>
      </x:c>
      <x:c r="V71" s="83" t="str">
        <x:v>S03 Figure 3 floor</x:v>
      </x:c>
      <x:c r="W71" s="120"/>
      <x:c r="X71" s="83" t="str">
        <x:v>C — Proxy</x:v>
      </x:c>
      <x:c r="Y71" s="83" t="str">
        <x:v>APPROVED sensitivity</x:v>
      </x:c>
      <x:c r="Z71" s="83" t="str">
        <x:v>CONDITIONAL SENSITIVITY — CO2 price, programmable fleet composition and inferred BESS power remain open</x:v>
      </x:c>
      <x:c r="AA71" s="83" t="str">
        <x:v>Retained as the no-nuclear counterfactual.</x:v>
      </x:c>
    </x:row>
    <x:row r="72">
      <x:c r="A72" s="83" t="str">
        <x:v>S4-00596</x:v>
      </x:c>
      <x:c r="B72" s="83" t="str">
        <x:v>IT2050_SENS_NO_NUCLEAR</x:v>
      </x:c>
      <x:c r="C72" s="83" t="n">
        <x:v>2050</x:v>
      </x:c>
      <x:c r="D72" s="83" t="str">
        <x:v>Transmission</x:v>
      </x:c>
      <x:c r="E72" s="83" t="str">
        <x:v>NORD-&gt;SUD</x:v>
      </x:c>
      <x:c r="F72" s="83" t="str">
        <x:v>NORD</x:v>
      </x:c>
      <x:c r="G72" s="83" t="str">
        <x:v>2040 PDS floor</x:v>
      </x:c>
      <x:c r="H72" s="83" t="str">
        <x:v>Directional interzonal link</x:v>
      </x:c>
      <x:c r="I72" s="83" t="str">
        <x:v>electricity</x:v>
      </x:c>
      <x:c r="J72" s="83" t="str">
        <x:v>Link</x:v>
      </x:c>
      <x:c r="K72" s="83" t="str">
        <x:v>p_nom</x:v>
      </x:c>
      <x:c r="L72" s="279" t="n">
        <x:v>2100</x:v>
      </x:c>
      <x:c r="M72" s="279" t="str">
        <x:v>MW</x:v>
      </x:c>
      <x:c r="N72" s="279" t="n">
        <x:f>IF(L72="","",IF(M72="GW",L72*1000,IF(M72="GWh",L72*1000,IF(M72="TWh",L72*1000000,L72))))</x:f>
        <x:v>2100</x:v>
      </x:c>
      <x:c r="O72" s="83" t="str">
        <x:f>IF(L72="","",IF(M72="GW","MW",IF(OR(M72="GWh",M72="TWh"),"MWh",M72)))</x:f>
        <x:v>MW</x:v>
      </x:c>
      <x:c r="P72" s="83" t="str"/>
      <x:c r="Q72" s="349"/>
      <x:c r="R72" s="349" t="str">
        <x:f>IF(L72="","",IF(Q72&lt;&gt;"",L72*Q72,IF(OR(ISNUMBER(SEARCH("EUR2025",M72&amp;"")),P72=2025,P72="2025"),L72,"")))</x:f>
      </x:c>
      <x:c r="S72" s="83" t="str">
        <x:v>C — Proxy/floor</x:v>
      </x:c>
      <x:c r="T72" s="83" t="str">
        <x:v>Use PDS 2040 capacity as documented 2050 floor; not an official 2050 target.</x:v>
      </x:c>
      <x:c r="U72" s="83" t="str">
        <x:v>S03 / assumption</x:v>
      </x:c>
      <x:c r="V72" s="83" t="str">
        <x:v>S03 Figure 3 floor</x:v>
      </x:c>
      <x:c r="W72" s="120"/>
      <x:c r="X72" s="83" t="str">
        <x:v>C — Proxy</x:v>
      </x:c>
      <x:c r="Y72" s="83" t="str">
        <x:v>APPROVED sensitivity</x:v>
      </x:c>
      <x:c r="Z72" s="83" t="str">
        <x:v>CONDITIONAL SENSITIVITY — CO2 price, programmable fleet composition and inferred BESS power remain open</x:v>
      </x:c>
      <x:c r="AA72" s="83" t="str">
        <x:v>Retained as the no-nuclear counterfactual.</x:v>
      </x:c>
    </x:row>
    <x:row r="73">
      <x:c r="A73" s="83" t="str">
        <x:v>S4-00597</x:v>
      </x:c>
      <x:c r="B73" s="83" t="str">
        <x:v>IT2050_SENS_NO_NUCLEAR</x:v>
      </x:c>
      <x:c r="C73" s="83" t="n">
        <x:v>2050</x:v>
      </x:c>
      <x:c r="D73" s="83" t="str">
        <x:v>Transmission</x:v>
      </x:c>
      <x:c r="E73" s="83" t="str">
        <x:v>SUD-&gt;NORD</x:v>
      </x:c>
      <x:c r="F73" s="83" t="str">
        <x:v>SUD</x:v>
      </x:c>
      <x:c r="G73" s="83" t="str">
        <x:v>2040 PDS floor</x:v>
      </x:c>
      <x:c r="H73" s="83" t="str">
        <x:v>Directional interzonal link</x:v>
      </x:c>
      <x:c r="I73" s="83" t="str">
        <x:v>electricity</x:v>
      </x:c>
      <x:c r="J73" s="83" t="str">
        <x:v>Link</x:v>
      </x:c>
      <x:c r="K73" s="83" t="str">
        <x:v>p_nom</x:v>
      </x:c>
      <x:c r="L73" s="279" t="n">
        <x:v>2100</x:v>
      </x:c>
      <x:c r="M73" s="279" t="str">
        <x:v>MW</x:v>
      </x:c>
      <x:c r="N73" s="279" t="n">
        <x:f>IF(L73="","",IF(M73="GW",L73*1000,IF(M73="GWh",L73*1000,IF(M73="TWh",L73*1000000,L73))))</x:f>
        <x:v>2100</x:v>
      </x:c>
      <x:c r="O73" s="83" t="str">
        <x:f>IF(L73="","",IF(M73="GW","MW",IF(OR(M73="GWh",M73="TWh"),"MWh",M73)))</x:f>
        <x:v>MW</x:v>
      </x:c>
      <x:c r="P73" s="83" t="str"/>
      <x:c r="Q73" s="349"/>
      <x:c r="R73" s="349" t="str">
        <x:f>IF(L73="","",IF(Q73&lt;&gt;"",L73*Q73,IF(OR(ISNUMBER(SEARCH("EUR2025",M73&amp;"")),P73=2025,P73="2025"),L73,"")))</x:f>
      </x:c>
      <x:c r="S73" s="83" t="str">
        <x:v>C — Proxy/floor</x:v>
      </x:c>
      <x:c r="T73" s="83" t="str">
        <x:v>Use PDS 2040 capacity as documented 2050 floor; not an official 2050 target.</x:v>
      </x:c>
      <x:c r="U73" s="83" t="str">
        <x:v>S03 / assumption</x:v>
      </x:c>
      <x:c r="V73" s="83" t="str">
        <x:v>S03 Figure 3 floor</x:v>
      </x:c>
      <x:c r="W73" s="120"/>
      <x:c r="X73" s="83" t="str">
        <x:v>C — Proxy</x:v>
      </x:c>
      <x:c r="Y73" s="83" t="str">
        <x:v>APPROVED sensitivity</x:v>
      </x:c>
      <x:c r="Z73" s="83" t="str">
        <x:v>CONDITIONAL SENSITIVITY — CO2 price, programmable fleet composition and inferred BESS power remain open</x:v>
      </x:c>
      <x:c r="AA73" s="83" t="str">
        <x:v>Retained as the no-nuclear counterfactual.</x:v>
      </x:c>
    </x:row>
    <x:row r="74">
      <x:c r="A74" s="83" t="str">
        <x:v>S4-00598</x:v>
      </x:c>
      <x:c r="B74" s="83" t="str">
        <x:v>IT2050_SENS_NO_NUCLEAR</x:v>
      </x:c>
      <x:c r="C74" s="83" t="n">
        <x:v>2050</x:v>
      </x:c>
      <x:c r="D74" s="83" t="str">
        <x:v>Transmission</x:v>
      </x:c>
      <x:c r="E74" s="83" t="str">
        <x:v>NORD-&gt;CSUD</x:v>
      </x:c>
      <x:c r="F74" s="83" t="str">
        <x:v>NORD</x:v>
      </x:c>
      <x:c r="G74" s="83" t="str">
        <x:v>2040 PDS floor</x:v>
      </x:c>
      <x:c r="H74" s="83" t="str">
        <x:v>Directional interzonal link</x:v>
      </x:c>
      <x:c r="I74" s="83" t="str">
        <x:v>electricity</x:v>
      </x:c>
      <x:c r="J74" s="83" t="str">
        <x:v>Link</x:v>
      </x:c>
      <x:c r="K74" s="83" t="str">
        <x:v>p_nom</x:v>
      </x:c>
      <x:c r="L74" s="279" t="n">
        <x:v>2100</x:v>
      </x:c>
      <x:c r="M74" s="279" t="str">
        <x:v>MW</x:v>
      </x:c>
      <x:c r="N74" s="279" t="n">
        <x:f>IF(L74="","",IF(M74="GW",L74*1000,IF(M74="GWh",L74*1000,IF(M74="TWh",L74*1000000,L74))))</x:f>
        <x:v>2100</x:v>
      </x:c>
      <x:c r="O74" s="83" t="str">
        <x:f>IF(L74="","",IF(M74="GW","MW",IF(OR(M74="GWh",M74="TWh"),"MWh",M74)))</x:f>
        <x:v>MW</x:v>
      </x:c>
      <x:c r="P74" s="83" t="str"/>
      <x:c r="Q74" s="349"/>
      <x:c r="R74" s="349" t="str">
        <x:f>IF(L74="","",IF(Q74&lt;&gt;"",L74*Q74,IF(OR(ISNUMBER(SEARCH("EUR2025",M74&amp;"")),P74=2025,P74="2025"),L74,"")))</x:f>
      </x:c>
      <x:c r="S74" s="83" t="str">
        <x:v>C — Proxy/floor</x:v>
      </x:c>
      <x:c r="T74" s="83" t="str">
        <x:v>Use PDS 2040 capacity as documented 2050 floor; not an official 2050 target.</x:v>
      </x:c>
      <x:c r="U74" s="83" t="str">
        <x:v>S03 / assumption</x:v>
      </x:c>
      <x:c r="V74" s="83" t="str">
        <x:v>S03 Figure 3 floor</x:v>
      </x:c>
      <x:c r="W74" s="120"/>
      <x:c r="X74" s="83" t="str">
        <x:v>C — Proxy</x:v>
      </x:c>
      <x:c r="Y74" s="83" t="str">
        <x:v>APPROVED sensitivity</x:v>
      </x:c>
      <x:c r="Z74" s="83" t="str">
        <x:v>CONDITIONAL SENSITIVITY — CO2 price, programmable fleet composition and inferred BESS power remain open</x:v>
      </x:c>
      <x:c r="AA74" s="83" t="str">
        <x:v>Retained as the no-nuclear counterfactual.</x:v>
      </x:c>
    </x:row>
    <x:row r="75">
      <x:c r="A75" s="83" t="str">
        <x:v>S4-00599</x:v>
      </x:c>
      <x:c r="B75" s="83" t="str">
        <x:v>IT2050_SENS_NO_NUCLEAR</x:v>
      </x:c>
      <x:c r="C75" s="83" t="n">
        <x:v>2050</x:v>
      </x:c>
      <x:c r="D75" s="83" t="str">
        <x:v>Transmission</x:v>
      </x:c>
      <x:c r="E75" s="83" t="str">
        <x:v>CSUD-&gt;NORD</x:v>
      </x:c>
      <x:c r="F75" s="83" t="str">
        <x:v>CSUD</x:v>
      </x:c>
      <x:c r="G75" s="83" t="str">
        <x:v>2040 PDS floor</x:v>
      </x:c>
      <x:c r="H75" s="83" t="str">
        <x:v>Directional interzonal link</x:v>
      </x:c>
      <x:c r="I75" s="83" t="str">
        <x:v>electricity</x:v>
      </x:c>
      <x:c r="J75" s="83" t="str">
        <x:v>Link</x:v>
      </x:c>
      <x:c r="K75" s="83" t="str">
        <x:v>p_nom</x:v>
      </x:c>
      <x:c r="L75" s="279" t="n">
        <x:v>2100</x:v>
      </x:c>
      <x:c r="M75" s="279" t="str">
        <x:v>MW</x:v>
      </x:c>
      <x:c r="N75" s="279" t="n">
        <x:f>IF(L75="","",IF(M75="GW",L75*1000,IF(M75="GWh",L75*1000,IF(M75="TWh",L75*1000000,L75))))</x:f>
        <x:v>2100</x:v>
      </x:c>
      <x:c r="O75" s="83" t="str">
        <x:f>IF(L75="","",IF(M75="GW","MW",IF(OR(M75="GWh",M75="TWh"),"MWh",M75)))</x:f>
        <x:v>MW</x:v>
      </x:c>
      <x:c r="P75" s="83" t="str"/>
      <x:c r="Q75" s="349"/>
      <x:c r="R75" s="349" t="str">
        <x:f>IF(L75="","",IF(Q75&lt;&gt;"",L75*Q75,IF(OR(ISNUMBER(SEARCH("EUR2025",M75&amp;"")),P75=2025,P75="2025"),L75,"")))</x:f>
      </x:c>
      <x:c r="S75" s="83" t="str">
        <x:v>C — Proxy/floor</x:v>
      </x:c>
      <x:c r="T75" s="83" t="str">
        <x:v>Use PDS 2040 capacity as documented 2050 floor; not an official 2050 target.</x:v>
      </x:c>
      <x:c r="U75" s="83" t="str">
        <x:v>S03 / assumption</x:v>
      </x:c>
      <x:c r="V75" s="83" t="str">
        <x:v>S03 Figure 3 floor</x:v>
      </x:c>
      <x:c r="W75" s="120"/>
      <x:c r="X75" s="83" t="str">
        <x:v>C — Proxy</x:v>
      </x:c>
      <x:c r="Y75" s="83" t="str">
        <x:v>APPROVED sensitivity</x:v>
      </x:c>
      <x:c r="Z75" s="83" t="str">
        <x:v>CONDITIONAL SENSITIVITY — CO2 price, programmable fleet composition and inferred BESS power remain open</x:v>
      </x:c>
      <x:c r="AA75" s="83" t="str">
        <x:v>Retained as the no-nuclear counterfactual.</x:v>
      </x:c>
    </x:row>
    <x:row r="76">
      <x:c r="A76" s="83" t="str">
        <x:v>S4-00600</x:v>
      </x:c>
      <x:c r="B76" s="83" t="str">
        <x:v>IT2050_SENS_NO_NUCLEAR</x:v>
      </x:c>
      <x:c r="C76" s="83" t="n">
        <x:v>2050</x:v>
      </x:c>
      <x:c r="D76" s="83" t="str">
        <x:v>Transmission</x:v>
      </x:c>
      <x:c r="E76" s="83" t="str">
        <x:v>CSUD-&gt;SICI</x:v>
      </x:c>
      <x:c r="F76" s="83" t="str">
        <x:v>CSUD</x:v>
      </x:c>
      <x:c r="G76" s="83" t="str">
        <x:v>2040 PDS floor</x:v>
      </x:c>
      <x:c r="H76" s="83" t="str">
        <x:v>Directional interzonal link</x:v>
      </x:c>
      <x:c r="I76" s="83" t="str">
        <x:v>electricity</x:v>
      </x:c>
      <x:c r="J76" s="83" t="str">
        <x:v>Link</x:v>
      </x:c>
      <x:c r="K76" s="83" t="str">
        <x:v>p_nom</x:v>
      </x:c>
      <x:c r="L76" s="279" t="n">
        <x:v>1000</x:v>
      </x:c>
      <x:c r="M76" s="279" t="str">
        <x:v>MW</x:v>
      </x:c>
      <x:c r="N76" s="279" t="n">
        <x:f>IF(L76="","",IF(M76="GW",L76*1000,IF(M76="GWh",L76*1000,IF(M76="TWh",L76*1000000,L76))))</x:f>
        <x:v>1000</x:v>
      </x:c>
      <x:c r="O76" s="83" t="str">
        <x:f>IF(L76="","",IF(M76="GW","MW",IF(OR(M76="GWh",M76="TWh"),"MWh",M76)))</x:f>
        <x:v>MW</x:v>
      </x:c>
      <x:c r="P76" s="83" t="str"/>
      <x:c r="Q76" s="349"/>
      <x:c r="R76" s="349" t="str">
        <x:f>IF(L76="","",IF(Q76&lt;&gt;"",L76*Q76,IF(OR(ISNUMBER(SEARCH("EUR2025",M76&amp;"")),P76=2025,P76="2025"),L76,"")))</x:f>
      </x:c>
      <x:c r="S76" s="83" t="str">
        <x:v>C — Proxy/floor</x:v>
      </x:c>
      <x:c r="T76" s="83" t="str">
        <x:v>Use PDS 2040 capacity as documented 2050 floor; not an official 2050 target.</x:v>
      </x:c>
      <x:c r="U76" s="83" t="str">
        <x:v>S03 / assumption</x:v>
      </x:c>
      <x:c r="V76" s="83" t="str">
        <x:v>S03 Figure 3 floor</x:v>
      </x:c>
      <x:c r="W76" s="120"/>
      <x:c r="X76" s="83" t="str">
        <x:v>C — Proxy</x:v>
      </x:c>
      <x:c r="Y76" s="83" t="str">
        <x:v>APPROVED sensitivity</x:v>
      </x:c>
      <x:c r="Z76" s="83" t="str">
        <x:v>CONDITIONAL SENSITIVITY — CO2 price, programmable fleet composition and inferred BESS power remain open</x:v>
      </x:c>
      <x:c r="AA76" s="83" t="str">
        <x:v>Retained as the no-nuclear counterfactual.</x:v>
      </x:c>
    </x:row>
    <x:row r="77">
      <x:c r="A77" s="83" t="str">
        <x:v>S4-00601</x:v>
      </x:c>
      <x:c r="B77" s="83" t="str">
        <x:v>IT2050_SENS_NO_NUCLEAR</x:v>
      </x:c>
      <x:c r="C77" s="83" t="n">
        <x:v>2050</x:v>
      </x:c>
      <x:c r="D77" s="83" t="str">
        <x:v>Transmission</x:v>
      </x:c>
      <x:c r="E77" s="83" t="str">
        <x:v>SICI-&gt;CSUD</x:v>
      </x:c>
      <x:c r="F77" s="83" t="str">
        <x:v>SICI</x:v>
      </x:c>
      <x:c r="G77" s="83" t="str">
        <x:v>2040 PDS floor</x:v>
      </x:c>
      <x:c r="H77" s="83" t="str">
        <x:v>Directional interzonal link</x:v>
      </x:c>
      <x:c r="I77" s="83" t="str">
        <x:v>electricity</x:v>
      </x:c>
      <x:c r="J77" s="83" t="str">
        <x:v>Link</x:v>
      </x:c>
      <x:c r="K77" s="83" t="str">
        <x:v>p_nom</x:v>
      </x:c>
      <x:c r="L77" s="279" t="n">
        <x:v>1000</x:v>
      </x:c>
      <x:c r="M77" s="279" t="str">
        <x:v>MW</x:v>
      </x:c>
      <x:c r="N77" s="279" t="n">
        <x:f>IF(L77="","",IF(M77="GW",L77*1000,IF(M77="GWh",L77*1000,IF(M77="TWh",L77*1000000,L77))))</x:f>
        <x:v>1000</x:v>
      </x:c>
      <x:c r="O77" s="83" t="str">
        <x:f>IF(L77="","",IF(M77="GW","MW",IF(OR(M77="GWh",M77="TWh"),"MWh",M77)))</x:f>
        <x:v>MW</x:v>
      </x:c>
      <x:c r="P77" s="83" t="str"/>
      <x:c r="Q77" s="349"/>
      <x:c r="R77" s="349" t="str">
        <x:f>IF(L77="","",IF(Q77&lt;&gt;"",L77*Q77,IF(OR(ISNUMBER(SEARCH("EUR2025",M77&amp;"")),P77=2025,P77="2025"),L77,"")))</x:f>
      </x:c>
      <x:c r="S77" s="83" t="str">
        <x:v>C — Proxy/floor</x:v>
      </x:c>
      <x:c r="T77" s="83" t="str">
        <x:v>Use PDS 2040 capacity as documented 2050 floor; not an official 2050 target.</x:v>
      </x:c>
      <x:c r="U77" s="83" t="str">
        <x:v>S03 / assumption</x:v>
      </x:c>
      <x:c r="V77" s="83" t="str">
        <x:v>S03 Figure 3 floor</x:v>
      </x:c>
      <x:c r="W77" s="120"/>
      <x:c r="X77" s="83" t="str">
        <x:v>C — Proxy</x:v>
      </x:c>
      <x:c r="Y77" s="83" t="str">
        <x:v>APPROVED sensitivity</x:v>
      </x:c>
      <x:c r="Z77" s="83" t="str">
        <x:v>CONDITIONAL SENSITIVITY — CO2 price, programmable fleet composition and inferred BESS power remain open</x:v>
      </x:c>
      <x:c r="AA77" s="83" t="str">
        <x:v>Retained as the no-nuclear counterfactual.</x:v>
      </x:c>
    </x:row>
    <x:row r="78">
      <x:c r="A78" s="83" t="str">
        <x:v>S4-00602</x:v>
      </x:c>
      <x:c r="B78" s="83" t="str">
        <x:v>IT2050_SENS_NO_NUCLEAR</x:v>
      </x:c>
      <x:c r="C78" s="83" t="n">
        <x:v>2050</x:v>
      </x:c>
      <x:c r="D78" s="83" t="str">
        <x:v>Transmission</x:v>
      </x:c>
      <x:c r="E78" s="83" t="str">
        <x:v>SARD-&gt;SICI</x:v>
      </x:c>
      <x:c r="F78" s="83" t="str">
        <x:v>SARD</x:v>
      </x:c>
      <x:c r="G78" s="83" t="str">
        <x:v>2040 PDS floor</x:v>
      </x:c>
      <x:c r="H78" s="83" t="str">
        <x:v>Directional interzonal link</x:v>
      </x:c>
      <x:c r="I78" s="83" t="str">
        <x:v>electricity</x:v>
      </x:c>
      <x:c r="J78" s="83" t="str">
        <x:v>Link</x:v>
      </x:c>
      <x:c r="K78" s="83" t="str">
        <x:v>p_nom</x:v>
      </x:c>
      <x:c r="L78" s="279" t="n">
        <x:v>1000</x:v>
      </x:c>
      <x:c r="M78" s="279" t="str">
        <x:v>MW</x:v>
      </x:c>
      <x:c r="N78" s="279" t="n">
        <x:f>IF(L78="","",IF(M78="GW",L78*1000,IF(M78="GWh",L78*1000,IF(M78="TWh",L78*1000000,L78))))</x:f>
        <x:v>1000</x:v>
      </x:c>
      <x:c r="O78" s="83" t="str">
        <x:f>IF(L78="","",IF(M78="GW","MW",IF(OR(M78="GWh",M78="TWh"),"MWh",M78)))</x:f>
        <x:v>MW</x:v>
      </x:c>
      <x:c r="P78" s="83" t="str"/>
      <x:c r="Q78" s="349"/>
      <x:c r="R78" s="349" t="str">
        <x:f>IF(L78="","",IF(Q78&lt;&gt;"",L78*Q78,IF(OR(ISNUMBER(SEARCH("EUR2025",M78&amp;"")),P78=2025,P78="2025"),L78,"")))</x:f>
      </x:c>
      <x:c r="S78" s="83" t="str">
        <x:v>C — Proxy/floor</x:v>
      </x:c>
      <x:c r="T78" s="83" t="str">
        <x:v>Use PDS 2040 capacity as documented 2050 floor; not an official 2050 target.</x:v>
      </x:c>
      <x:c r="U78" s="83" t="str">
        <x:v>S03 / assumption</x:v>
      </x:c>
      <x:c r="V78" s="83" t="str">
        <x:v>S03 Figure 3 floor</x:v>
      </x:c>
      <x:c r="W78" s="120"/>
      <x:c r="X78" s="83" t="str">
        <x:v>C — Proxy</x:v>
      </x:c>
      <x:c r="Y78" s="83" t="str">
        <x:v>APPROVED sensitivity</x:v>
      </x:c>
      <x:c r="Z78" s="83" t="str">
        <x:v>CONDITIONAL SENSITIVITY — CO2 price, programmable fleet composition and inferred BESS power remain open</x:v>
      </x:c>
      <x:c r="AA78" s="83" t="str">
        <x:v>Retained as the no-nuclear counterfactual.</x:v>
      </x:c>
    </x:row>
    <x:row r="79">
      <x:c r="A79" s="83" t="str">
        <x:v>S4-00603</x:v>
      </x:c>
      <x:c r="B79" s="83" t="str">
        <x:v>IT2050_SENS_NO_NUCLEAR</x:v>
      </x:c>
      <x:c r="C79" s="83" t="n">
        <x:v>2050</x:v>
      </x:c>
      <x:c r="D79" s="83" t="str">
        <x:v>Transmission</x:v>
      </x:c>
      <x:c r="E79" s="83" t="str">
        <x:v>SICI-&gt;SARD</x:v>
      </x:c>
      <x:c r="F79" s="83" t="str">
        <x:v>SICI</x:v>
      </x:c>
      <x:c r="G79" s="83" t="str">
        <x:v>2040 PDS floor</x:v>
      </x:c>
      <x:c r="H79" s="83" t="str">
        <x:v>Directional interzonal link</x:v>
      </x:c>
      <x:c r="I79" s="83" t="str">
        <x:v>electricity</x:v>
      </x:c>
      <x:c r="J79" s="83" t="str">
        <x:v>Link</x:v>
      </x:c>
      <x:c r="K79" s="83" t="str">
        <x:v>p_nom</x:v>
      </x:c>
      <x:c r="L79" s="279" t="n">
        <x:v>1000</x:v>
      </x:c>
      <x:c r="M79" s="279" t="str">
        <x:v>MW</x:v>
      </x:c>
      <x:c r="N79" s="279" t="n">
        <x:f>IF(L79="","",IF(M79="GW",L79*1000,IF(M79="GWh",L79*1000,IF(M79="TWh",L79*1000000,L79))))</x:f>
        <x:v>1000</x:v>
      </x:c>
      <x:c r="O79" s="83" t="str">
        <x:f>IF(L79="","",IF(M79="GW","MW",IF(OR(M79="GWh",M79="TWh"),"MWh",M79)))</x:f>
        <x:v>MW</x:v>
      </x:c>
      <x:c r="P79" s="83" t="str"/>
      <x:c r="Q79" s="349"/>
      <x:c r="R79" s="349" t="str">
        <x:f>IF(L79="","",IF(Q79&lt;&gt;"",L79*Q79,IF(OR(ISNUMBER(SEARCH("EUR2025",M79&amp;"")),P79=2025,P79="2025"),L79,"")))</x:f>
      </x:c>
      <x:c r="S79" s="83" t="str">
        <x:v>C — Proxy/floor</x:v>
      </x:c>
      <x:c r="T79" s="83" t="str">
        <x:v>Use PDS 2040 capacity as documented 2050 floor; not an official 2050 target.</x:v>
      </x:c>
      <x:c r="U79" s="83" t="str">
        <x:v>S03 / assumption</x:v>
      </x:c>
      <x:c r="V79" s="83" t="str">
        <x:v>S03 Figure 3 floor</x:v>
      </x:c>
      <x:c r="W79" s="120"/>
      <x:c r="X79" s="83" t="str">
        <x:v>C — Proxy</x:v>
      </x:c>
      <x:c r="Y79" s="83" t="str">
        <x:v>APPROVED sensitivity</x:v>
      </x:c>
      <x:c r="Z79" s="83" t="str">
        <x:v>CONDITIONAL SENSITIVITY — CO2 price, programmable fleet composition and inferred BESS power remain open</x:v>
      </x:c>
      <x:c r="AA79" s="83" t="str">
        <x:v>Retained as the no-nuclear counterfactual.</x:v>
      </x:c>
    </x:row>
    <x:row r="80">
      <x:c r="A80" s="83" t="str">
        <x:v>S4-00604</x:v>
      </x:c>
      <x:c r="B80" s="83" t="str">
        <x:v>IT2050_SENS_NO_NUCLEAR</x:v>
      </x:c>
      <x:c r="C80" s="83" t="n">
        <x:v>2050</x:v>
      </x:c>
      <x:c r="D80" s="83" t="str">
        <x:v>Fuel and CO2</x:v>
      </x:c>
      <x:c r="E80" s="83" t="str">
        <x:v>Italy</x:v>
      </x:c>
      <x:c r="F80" s="83"/>
      <x:c r="G80" s="83" t="str">
        <x:v>Gas fuel candidate</x:v>
      </x:c>
      <x:c r="H80" s="83" t="str">
        <x:v>Natural gas fuel price</x:v>
      </x:c>
      <x:c r="I80" s="83" t="str">
        <x:v>gas</x:v>
      </x:c>
      <x:c r="J80" s="83" t="str">
        <x:v>Carrier/Generator</x:v>
      </x:c>
      <x:c r="K80" s="83" t="str">
        <x:v>fuel_cost</x:v>
      </x:c>
      <x:c r="L80" s="279" t="n">
        <x:v>22.7578</x:v>
      </x:c>
      <x:c r="M80" s="279" t="str">
        <x:v>EUR/MWh_th</x:v>
      </x:c>
      <x:c r="N80" s="279" t="n">
        <x:f>IF(L80="","",IF(M80="GW",L80*1000,IF(M80="GWh",L80*1000,IF(M80="TWh",L80*1000000,L80))))</x:f>
        <x:v>22.7578</x:v>
      </x:c>
      <x:c r="O80" s="83" t="str">
        <x:f>IF(L80="","",IF(M80="GW","MW",IF(OR(M80="GWh",M80="TWh"),"MWh",M80)))</x:f>
        <x:v>EUR/MWh_th</x:v>
      </x:c>
      <x:c r="P80" s="83" t="str">
        <x:v>2025.0</x:v>
      </x:c>
      <x:c r="Q80" s="349"/>
      <x:c r="R80" s="349" t="n">
        <x:f>IF(L80="","",IF(Q80&lt;&gt;"",L80*Q80,IF(OR(ISNUMBER(SEARCH("EUR2025",M80&amp;"")),P80=2025,P80="2025"),L80,"")))</x:f>
        <x:v>22.7578</x:v>
      </x:c>
      <x:c r="S80" s="83" t="str">
        <x:v>C — External candidate</x:v>
      </x:c>
      <x:c r="T80" s="83" t="str">
        <x:v>Use technology-data v0.15.0/TYNDP-linked fuel assumption provisionally.</x:v>
      </x:c>
      <x:c r="U80" s="83" t="str">
        <x:v>EXT-TD</x:v>
      </x:c>
      <x:c r="V80" s="83" t="str">
        <x:v>technology-data v0.15.0 2050</x:v>
      </x:c>
      <x:c r="W80" s="120" t="str">
        <x:v>https://github.com/PyPSA/technology-data/releases/tag/v0.15.0</x:v>
      </x:c>
      <x:c r="X80" s="83" t="str">
        <x:v>C — Provisional</x:v>
      </x:c>
      <x:c r="Y80" s="83" t="str">
        <x:v>APPROVED sensitivity</x:v>
      </x:c>
      <x:c r="Z80" s="83" t="str">
        <x:v>CONDITIONAL SENSITIVITY — CO2 price, programmable fleet composition and inferred BESS power remain open</x:v>
      </x:c>
      <x:c r="AA80" s="83" t="str">
        <x:v>Retained as the no-nuclear counterfactual.</x:v>
      </x:c>
    </x:row>
    <x:row r="81">
      <x:c r="A81" s="83" t="str">
        <x:v>S4-00605</x:v>
      </x:c>
      <x:c r="B81" s="83" t="str">
        <x:v>IT2050_SENS_NO_NUCLEAR</x:v>
      </x:c>
      <x:c r="C81" s="83" t="n">
        <x:v>2050</x:v>
      </x:c>
      <x:c r="D81" s="83" t="str">
        <x:v>Fuel and CO2</x:v>
      </x:c>
      <x:c r="E81" s="83" t="str">
        <x:v>Italy</x:v>
      </x:c>
      <x:c r="F81" s="83"/>
      <x:c r="G81" s="83" t="str">
        <x:v>CO2 ETS 2050</x:v>
      </x:c>
      <x:c r="H81" s="83" t="str">
        <x:v>CO2 allowance price</x:v>
      </x:c>
      <x:c r="I81" s="83" t="str">
        <x:v>co2</x:v>
      </x:c>
      <x:c r="J81" s="83" t="str">
        <x:v>Carrier/Generator</x:v>
      </x:c>
      <x:c r="K81" s="83" t="str">
        <x:v>marginal_cost build</x:v>
      </x:c>
      <x:c r="L81" s="279"/>
      <x:c r="M81" s="279" t="str">
        <x:v>EUR2025/tCO2</x:v>
      </x:c>
      <x:c r="N81" s="279" t="str">
        <x:f>IF(L81="","",IF(M81="GW",L81*1000,IF(M81="GWh",L81*1000,IF(M81="TWh",L81*1000000,L81))))</x:f>
      </x:c>
      <x:c r="O81" s="83" t="str">
        <x:f>IF(L81="","",IF(M81="GW","MW",IF(OR(M81="GWh",M81="TWh"),"MWh",M81)))</x:f>
      </x:c>
      <x:c r="P81" s="83" t="str"/>
      <x:c r="Q81" s="349"/>
      <x:c r="R81" s="349" t="str">
        <x:f>IF(L81="","",IF(Q81&lt;&gt;"",L81*Q81,IF(OR(ISNUMBER(SEARCH("EUR2025",M81&amp;"")),P81=2025,P81="2025"),L81,"")))</x:f>
      </x:c>
      <x:c r="S81" s="83" t="str">
        <x:v>E — Gap</x:v>
      </x:c>
      <x:c r="T81" s="83" t="str">
        <x:v>No value adopted; choose official 2050 scenario source.</x:v>
      </x:c>
      <x:c r="U81" s="83" t="str">
        <x:v>G3D-027</x:v>
      </x:c>
      <x:c r="V81" s="83" t="str">
        <x:v>External gap register</x:v>
      </x:c>
      <x:c r="W81" s="120"/>
      <x:c r="X81" s="83" t="str">
        <x:v>E — Gap</x:v>
      </x:c>
      <x:c r="Y81" s="83" t="str">
        <x:v>APPROVED sensitivity</x:v>
      </x:c>
      <x:c r="Z81" s="83" t="str">
        <x:v>CONDITIONAL SENSITIVITY — CO2 price, programmable fleet composition and inferred BESS power remain open</x:v>
      </x:c>
      <x:c r="AA81" s="83" t="str">
        <x:v>Retained as the no-nuclear counterfactual.</x:v>
      </x:c>
    </x:row>
    <x:row r="82">
      <x:c r="A82" s="83" t="str">
        <x:v>S4-00606</x:v>
      </x:c>
      <x:c r="B82" s="83" t="str">
        <x:v>IT2050_SENS_NO_NUCLEAR</x:v>
      </x:c>
      <x:c r="C82" s="83" t="n">
        <x:v>2050</x:v>
      </x:c>
      <x:c r="D82" s="83" t="str">
        <x:v>Technical parameters</x:v>
      </x:c>
      <x:c r="E82" s="83" t="str">
        <x:v>National technology class</x:v>
      </x:c>
      <x:c r="F82" s="83"/>
      <x:c r="G82" s="83" t="str">
        <x:v>CCGT</x:v>
      </x:c>
      <x:c r="H82" s="83" t="str">
        <x:v>CCGT efficiency</x:v>
      </x:c>
      <x:c r="I82" s="83" t="str">
        <x:v>ccgt</x:v>
      </x:c>
      <x:c r="J82" s="83" t="str">
        <x:v>Generator/Carrier</x:v>
      </x:c>
      <x:c r="K82" s="83" t="str">
        <x:v>efficiency</x:v>
      </x:c>
      <x:c r="L82" s="279" t="n">
        <x:v>0.6</x:v>
      </x:c>
      <x:c r="M82" s="279" t="str">
        <x:v>per unit</x:v>
      </x:c>
      <x:c r="N82" s="279" t="n">
        <x:f>IF(L82="","",IF(M82="GW",L82*1000,IF(M82="GWh",L82*1000,IF(M82="TWh",L82*1000000,L82))))</x:f>
        <x:v>0.6</x:v>
      </x:c>
      <x:c r="O82" s="83" t="str">
        <x:f>IF(L82="","",IF(M82="GW","MW",IF(OR(M82="GWh",M82="TWh"),"MWh",M82)))</x:f>
        <x:v>per unit</x:v>
      </x:c>
      <x:c r="P82" s="83" t="str">
        <x:v>2015.0</x:v>
      </x:c>
      <x:c r="Q82" s="349"/>
      <x:c r="R82" s="349" t="str">
        <x:f>IF(L82="","",IF(Q82&lt;&gt;"",L82*Q82,IF(OR(ISNUMBER(SEARCH("EUR2025",M82&amp;"")),P82=2025,P82="2025"),L82,"")))</x:f>
      </x:c>
      <x:c r="S82" s="83" t="str">
        <x:v>C — External candidate</x:v>
      </x:c>
      <x:c r="T82" s="83" t="str">
        <x:v>Use v0.15.0 provisionally; actual CLI release/commit overrides.</x:v>
      </x:c>
      <x:c r="U82" s="83" t="str">
        <x:v>EXT-TD</x:v>
      </x:c>
      <x:c r="V82" s="83" t="str">
        <x:v>technology-data v0.15.0 2050</x:v>
      </x:c>
      <x:c r="W82" s="120" t="str">
        <x:v>https://github.com/PyPSA/technology-data/releases/tag/v0.15.0</x:v>
      </x:c>
      <x:c r="X82" s="83" t="str">
        <x:v>C — Provisional</x:v>
      </x:c>
      <x:c r="Y82" s="83" t="str">
        <x:v>APPROVED sensitivity</x:v>
      </x:c>
      <x:c r="Z82" s="83" t="str">
        <x:v>CONDITIONAL SENSITIVITY — CO2 price, programmable fleet composition and inferred BESS power remain open</x:v>
      </x:c>
      <x:c r="AA82" s="83" t="str">
        <x:v>Retained as the no-nuclear counterfactual.</x:v>
      </x:c>
    </x:row>
    <x:row r="83">
      <x:c r="A83" s="83" t="str">
        <x:v>S4-00607</x:v>
      </x:c>
      <x:c r="B83" s="83" t="str">
        <x:v>IT2050_SENS_NO_NUCLEAR</x:v>
      </x:c>
      <x:c r="C83" s="83" t="n">
        <x:v>2050</x:v>
      </x:c>
      <x:c r="D83" s="83" t="str">
        <x:v>Technical parameters</x:v>
      </x:c>
      <x:c r="E83" s="83" t="str">
        <x:v>National technology class</x:v>
      </x:c>
      <x:c r="F83" s="83"/>
      <x:c r="G83" s="83" t="str">
        <x:v>CCGT</x:v>
      </x:c>
      <x:c r="H83" s="83" t="str">
        <x:v>CCGT VOM</x:v>
      </x:c>
      <x:c r="I83" s="83" t="str">
        <x:v>ccgt</x:v>
      </x:c>
      <x:c r="J83" s="83" t="str">
        <x:v>Generator/Carrier</x:v>
      </x:c>
      <x:c r="K83" s="83" t="str">
        <x:v>marginal_cost/VOM</x:v>
      </x:c>
      <x:c r="L83" s="279" t="n">
        <x:v>5.3432</x:v>
      </x:c>
      <x:c r="M83" s="279" t="str">
        <x:v>EUR/MWh</x:v>
      </x:c>
      <x:c r="N83" s="279" t="n">
        <x:f>IF(L83="","",IF(M83="GW",L83*1000,IF(M83="GWh",L83*1000,IF(M83="TWh",L83*1000000,L83))))</x:f>
        <x:v>5.3432</x:v>
      </x:c>
      <x:c r="O83" s="83" t="str">
        <x:f>IF(L83="","",IF(M83="GW","MW",IF(OR(M83="GWh",M83="TWh"),"MWh",M83)))</x:f>
        <x:v>EUR/MWh</x:v>
      </x:c>
      <x:c r="P83" s="83" t="str">
        <x:v>2025.0</x:v>
      </x:c>
      <x:c r="Q83" s="349"/>
      <x:c r="R83" s="349" t="n">
        <x:f>IF(L83="","",IF(Q83&lt;&gt;"",L83*Q83,IF(OR(ISNUMBER(SEARCH("EUR2025",M83&amp;"")),P83=2025,P83="2025"),L83,"")))</x:f>
        <x:v>5.3432</x:v>
      </x:c>
      <x:c r="S83" s="83" t="str">
        <x:v>C — External candidate</x:v>
      </x:c>
      <x:c r="T83" s="83" t="str">
        <x:v>Use v0.15.0 provisionally; actual CLI release/commit overrides.</x:v>
      </x:c>
      <x:c r="U83" s="83" t="str">
        <x:v>EXT-TD</x:v>
      </x:c>
      <x:c r="V83" s="83" t="str">
        <x:v>technology-data v0.15.0 2050</x:v>
      </x:c>
      <x:c r="W83" s="120" t="str">
        <x:v>https://github.com/PyPSA/technology-data/releases/tag/v0.15.0</x:v>
      </x:c>
      <x:c r="X83" s="83" t="str">
        <x:v>C — Provisional</x:v>
      </x:c>
      <x:c r="Y83" s="83" t="str">
        <x:v>APPROVED sensitivity</x:v>
      </x:c>
      <x:c r="Z83" s="83" t="str">
        <x:v>CONDITIONAL SENSITIVITY — CO2 price, programmable fleet composition and inferred BESS power remain open</x:v>
      </x:c>
      <x:c r="AA83" s="83" t="str">
        <x:v>Retained as the no-nuclear counterfactual.</x:v>
      </x:c>
    </x:row>
    <x:row r="84">
      <x:c r="A84" s="83" t="str">
        <x:v>S4-00608</x:v>
      </x:c>
      <x:c r="B84" s="83" t="str">
        <x:v>IT2050_SENS_NO_NUCLEAR</x:v>
      </x:c>
      <x:c r="C84" s="83" t="n">
        <x:v>2050</x:v>
      </x:c>
      <x:c r="D84" s="83" t="str">
        <x:v>Technical parameters</x:v>
      </x:c>
      <x:c r="E84" s="83" t="str">
        <x:v>National technology class</x:v>
      </x:c>
      <x:c r="F84" s="83"/>
      <x:c r="G84" s="83" t="str">
        <x:v>OCGT</x:v>
      </x:c>
      <x:c r="H84" s="83" t="str">
        <x:v>OCGT efficiency</x:v>
      </x:c>
      <x:c r="I84" s="83" t="str">
        <x:v>ocgt</x:v>
      </x:c>
      <x:c r="J84" s="83" t="str">
        <x:v>Generator/Carrier</x:v>
      </x:c>
      <x:c r="K84" s="83" t="str">
        <x:v>efficiency</x:v>
      </x:c>
      <x:c r="L84" s="279" t="n">
        <x:v>0.43</x:v>
      </x:c>
      <x:c r="M84" s="279" t="str">
        <x:v>per unit</x:v>
      </x:c>
      <x:c r="N84" s="279" t="n">
        <x:f>IF(L84="","",IF(M84="GW",L84*1000,IF(M84="GWh",L84*1000,IF(M84="TWh",L84*1000000,L84))))</x:f>
        <x:v>0.43</x:v>
      </x:c>
      <x:c r="O84" s="83" t="str">
        <x:f>IF(L84="","",IF(M84="GW","MW",IF(OR(M84="GWh",M84="TWh"),"MWh",M84)))</x:f>
        <x:v>per unit</x:v>
      </x:c>
      <x:c r="P84" s="83" t="str">
        <x:v>2015.0</x:v>
      </x:c>
      <x:c r="Q84" s="349"/>
      <x:c r="R84" s="349" t="str">
        <x:f>IF(L84="","",IF(Q84&lt;&gt;"",L84*Q84,IF(OR(ISNUMBER(SEARCH("EUR2025",M84&amp;"")),P84=2025,P84="2025"),L84,"")))</x:f>
      </x:c>
      <x:c r="S84" s="83" t="str">
        <x:v>C — External candidate</x:v>
      </x:c>
      <x:c r="T84" s="83" t="str">
        <x:v>Use v0.15.0 provisionally; actual CLI release/commit overrides.</x:v>
      </x:c>
      <x:c r="U84" s="83" t="str">
        <x:v>EXT-TD</x:v>
      </x:c>
      <x:c r="V84" s="83" t="str">
        <x:v>technology-data v0.15.0 2050</x:v>
      </x:c>
      <x:c r="W84" s="120" t="str">
        <x:v>https://github.com/PyPSA/technology-data/releases/tag/v0.15.0</x:v>
      </x:c>
      <x:c r="X84" s="83" t="str">
        <x:v>C — Provisional</x:v>
      </x:c>
      <x:c r="Y84" s="83" t="str">
        <x:v>APPROVED sensitivity</x:v>
      </x:c>
      <x:c r="Z84" s="83" t="str">
        <x:v>CONDITIONAL SENSITIVITY — CO2 price, programmable fleet composition and inferred BESS power remain open</x:v>
      </x:c>
      <x:c r="AA84" s="83" t="str">
        <x:v>Retained as the no-nuclear counterfactual.</x:v>
      </x:c>
    </x:row>
    <x:row r="85">
      <x:c r="A85" s="83" t="str">
        <x:v>S4-00609</x:v>
      </x:c>
      <x:c r="B85" s="83" t="str">
        <x:v>IT2050_SENS_NO_NUCLEAR</x:v>
      </x:c>
      <x:c r="C85" s="83" t="n">
        <x:v>2050</x:v>
      </x:c>
      <x:c r="D85" s="83" t="str">
        <x:v>Technical parameters</x:v>
      </x:c>
      <x:c r="E85" s="83" t="str">
        <x:v>National technology class</x:v>
      </x:c>
      <x:c r="F85" s="83"/>
      <x:c r="G85" s="83" t="str">
        <x:v>OCGT</x:v>
      </x:c>
      <x:c r="H85" s="83" t="str">
        <x:v>OCGT VOM</x:v>
      </x:c>
      <x:c r="I85" s="83" t="str">
        <x:v>ocgt</x:v>
      </x:c>
      <x:c r="J85" s="83" t="str">
        <x:v>Generator/Carrier</x:v>
      </x:c>
      <x:c r="K85" s="83" t="str">
        <x:v>marginal_cost/VOM</x:v>
      </x:c>
      <x:c r="L85" s="279" t="n">
        <x:v>6.0111</x:v>
      </x:c>
      <x:c r="M85" s="279" t="str">
        <x:v>EUR/MWh</x:v>
      </x:c>
      <x:c r="N85" s="279" t="n">
        <x:f>IF(L85="","",IF(M85="GW",L85*1000,IF(M85="GWh",L85*1000,IF(M85="TWh",L85*1000000,L85))))</x:f>
        <x:v>6.0111</x:v>
      </x:c>
      <x:c r="O85" s="83" t="str">
        <x:f>IF(L85="","",IF(M85="GW","MW",IF(OR(M85="GWh",M85="TWh"),"MWh",M85)))</x:f>
        <x:v>EUR/MWh</x:v>
      </x:c>
      <x:c r="P85" s="83" t="str">
        <x:v>2025.0</x:v>
      </x:c>
      <x:c r="Q85" s="349"/>
      <x:c r="R85" s="349" t="n">
        <x:f>IF(L85="","",IF(Q85&lt;&gt;"",L85*Q85,IF(OR(ISNUMBER(SEARCH("EUR2025",M85&amp;"")),P85=2025,P85="2025"),L85,"")))</x:f>
        <x:v>6.0111</x:v>
      </x:c>
      <x:c r="S85" s="83" t="str">
        <x:v>C — External candidate</x:v>
      </x:c>
      <x:c r="T85" s="83" t="str">
        <x:v>Use v0.15.0 provisionally; actual CLI release/commit overrides.</x:v>
      </x:c>
      <x:c r="U85" s="83" t="str">
        <x:v>EXT-TD</x:v>
      </x:c>
      <x:c r="V85" s="83" t="str">
        <x:v>technology-data v0.15.0 2050</x:v>
      </x:c>
      <x:c r="W85" s="120" t="str">
        <x:v>https://github.com/PyPSA/technology-data/releases/tag/v0.15.0</x:v>
      </x:c>
      <x:c r="X85" s="83" t="str">
        <x:v>C — Provisional</x:v>
      </x:c>
      <x:c r="Y85" s="83" t="str">
        <x:v>APPROVED sensitivity</x:v>
      </x:c>
      <x:c r="Z85" s="83" t="str">
        <x:v>CONDITIONAL SENSITIVITY — CO2 price, programmable fleet composition and inferred BESS power remain open</x:v>
      </x:c>
      <x:c r="AA85" s="83" t="str">
        <x:v>Retained as the no-nuclear counterfactual.</x:v>
      </x:c>
    </x:row>
    <x:row r="86">
      <x:c r="A86" s="83" t="str">
        <x:v>S4-00610</x:v>
      </x:c>
      <x:c r="B86" s="83" t="str">
        <x:v>IT2050_SENS_NO_NUCLEAR</x:v>
      </x:c>
      <x:c r="C86" s="83" t="n">
        <x:v>2050</x:v>
      </x:c>
      <x:c r="D86" s="83" t="str">
        <x:v>Technical parameters</x:v>
      </x:c>
      <x:c r="E86" s="83" t="str">
        <x:v>National technology class</x:v>
      </x:c>
      <x:c r="F86" s="83"/>
      <x:c r="G86" s="83" t="str">
        <x:v>gas</x:v>
      </x:c>
      <x:c r="H86" s="83" t="str">
        <x:v>gas CO2 intensity</x:v>
      </x:c>
      <x:c r="I86" s="83" t="str">
        <x:v>gas</x:v>
      </x:c>
      <x:c r="J86" s="83" t="str">
        <x:v>Generator/Carrier</x:v>
      </x:c>
      <x:c r="K86" s="83" t="str">
        <x:v>co2_emissions</x:v>
      </x:c>
      <x:c r="L86" s="279" t="n">
        <x:v>0.198</x:v>
      </x:c>
      <x:c r="M86" s="279" t="str">
        <x:v>tCO2/MWh_th</x:v>
      </x:c>
      <x:c r="N86" s="279" t="n">
        <x:f>IF(L86="","",IF(M86="GW",L86*1000,IF(M86="GWh",L86*1000,IF(M86="TWh",L86*1000000,L86))))</x:f>
        <x:v>0.198</x:v>
      </x:c>
      <x:c r="O86" s="83" t="str">
        <x:f>IF(L86="","",IF(M86="GW","MW",IF(OR(M86="GWh",M86="TWh"),"MWh",M86)))</x:f>
        <x:v>tCO2/MWh_th</x:v>
      </x:c>
      <x:c r="P86" s="83" t="str"/>
      <x:c r="Q86" s="349"/>
      <x:c r="R86" s="349" t="str">
        <x:f>IF(L86="","",IF(Q86&lt;&gt;"",L86*Q86,IF(OR(ISNUMBER(SEARCH("EUR2025",M86&amp;"")),P86=2025,P86="2025"),L86,"")))</x:f>
      </x:c>
      <x:c r="S86" s="83" t="str">
        <x:v>C — External candidate</x:v>
      </x:c>
      <x:c r="T86" s="83" t="str">
        <x:v>Use v0.15.0 provisionally; actual CLI release/commit overrides.</x:v>
      </x:c>
      <x:c r="U86" s="83" t="str">
        <x:v>EXT-TD</x:v>
      </x:c>
      <x:c r="V86" s="83" t="str">
        <x:v>technology-data v0.15.0 2050</x:v>
      </x:c>
      <x:c r="W86" s="120" t="str">
        <x:v>https://github.com/PyPSA/technology-data/releases/tag/v0.15.0</x:v>
      </x:c>
      <x:c r="X86" s="83" t="str">
        <x:v>C — Provisional</x:v>
      </x:c>
      <x:c r="Y86" s="83" t="str">
        <x:v>APPROVED sensitivity</x:v>
      </x:c>
      <x:c r="Z86" s="83" t="str">
        <x:v>CONDITIONAL SENSITIVITY — CO2 price, programmable fleet composition and inferred BESS power remain open</x:v>
      </x:c>
      <x:c r="AA86" s="83" t="str">
        <x:v>Retained as the no-nuclear counterfactual.</x:v>
      </x:c>
    </x:row>
    <x:row r="87">
      <x:c r="A87" s="83" t="str">
        <x:v>S4-00611</x:v>
      </x:c>
      <x:c r="B87" s="83" t="str">
        <x:v>IT2050_SENS_NO_NUCLEAR</x:v>
      </x:c>
      <x:c r="C87" s="83" t="n">
        <x:v>2050</x:v>
      </x:c>
      <x:c r="D87" s="83" t="str">
        <x:v>Technical parameters</x:v>
      </x:c>
      <x:c r="E87" s="83" t="str">
        <x:v>All zones</x:v>
      </x:c>
      <x:c r="F87" s="83"/>
      <x:c r="G87" s="83" t="str">
        <x:v>solar-rooftop</x:v>
      </x:c>
      <x:c r="H87" s="83" t="str">
        <x:v>solar-rooftop marginal cost</x:v>
      </x:c>
      <x:c r="I87" s="83" t="str">
        <x:v>solar-rooftop</x:v>
      </x:c>
      <x:c r="J87" s="83" t="str">
        <x:v>Generator</x:v>
      </x:c>
      <x:c r="K87" s="83" t="str">
        <x:v>marginal_cost</x:v>
      </x:c>
      <x:c r="L87" s="279" t="n">
        <x:v>0</x:v>
      </x:c>
      <x:c r="M87" s="279" t="str">
        <x:v>EUR2025/MWh</x:v>
      </x:c>
      <x:c r="N87" s="279" t="str">
        <x:f>IF(L87="","",IF(M87="GW",L87*1000,IF(M87="GWh",L87*1000,IF(M87="TWh",L87*1000000,L87))))</x:f>
      </x:c>
      <x:c r="O87" s="83" t="str">
        <x:f>IF(L87="","",IF(M87="GW","MW",IF(OR(M87="GWh",M87="TWh"),"MWh",M87)))</x:f>
      </x:c>
      <x:c r="P87" s="83" t="str"/>
      <x:c r="Q87" s="349"/>
      <x:c r="R87" s="349" t="str">
        <x:f>IF(L87="","",IF(Q87&lt;&gt;"",L87*Q87,IF(OR(ISNUMBER(SEARCH("EUR2025",M87&amp;"")),P87=2025,P87="2025"),L87,"")))</x:f>
      </x:c>
      <x:c r="S87" s="83" t="str">
        <x:v>C — Harmonisation rule</x:v>
      </x:c>
      <x:c r="T87" s="83" t="str">
        <x:v>Zero marginal cost in base.</x:v>
      </x:c>
      <x:c r="U87" s="83" t="str">
        <x:v>ASSUMPTION</x:v>
      </x:c>
      <x:c r="V87" s="83" t="str">
        <x:v>Phase 4 dispatch boundary</x:v>
      </x:c>
      <x:c r="W87" s="120"/>
      <x:c r="X87" s="83" t="str">
        <x:v>A — Direct</x:v>
      </x:c>
      <x:c r="Y87" s="83" t="str">
        <x:v>APPROVED sensitivity</x:v>
      </x:c>
      <x:c r="Z87" s="83" t="str">
        <x:v>CONDITIONAL SENSITIVITY — CO2 price, programmable fleet composition and inferred BESS power remain open</x:v>
      </x:c>
      <x:c r="AA87" s="83" t="str">
        <x:v>Retained as the no-nuclear counterfactual.</x:v>
      </x:c>
    </x:row>
    <x:row r="88">
      <x:c r="A88" s="83" t="str">
        <x:v>S4-00612</x:v>
      </x:c>
      <x:c r="B88" s="83" t="str">
        <x:v>IT2050_SENS_NO_NUCLEAR</x:v>
      </x:c>
      <x:c r="C88" s="83" t="n">
        <x:v>2050</x:v>
      </x:c>
      <x:c r="D88" s="83" t="str">
        <x:v>Technical parameters</x:v>
      </x:c>
      <x:c r="E88" s="83" t="str">
        <x:v>All zones</x:v>
      </x:c>
      <x:c r="F88" s="83"/>
      <x:c r="G88" s="83" t="str">
        <x:v>solar-utility</x:v>
      </x:c>
      <x:c r="H88" s="83" t="str">
        <x:v>solar-utility marginal cost</x:v>
      </x:c>
      <x:c r="I88" s="83" t="str">
        <x:v>solar-utility</x:v>
      </x:c>
      <x:c r="J88" s="83" t="str">
        <x:v>Generator</x:v>
      </x:c>
      <x:c r="K88" s="83" t="str">
        <x:v>marginal_cost</x:v>
      </x:c>
      <x:c r="L88" s="279" t="n">
        <x:v>0</x:v>
      </x:c>
      <x:c r="M88" s="279" t="str">
        <x:v>EUR2025/MWh</x:v>
      </x:c>
      <x:c r="N88" s="279" t="str">
        <x:f>IF(L88="","",IF(M88="GW",L88*1000,IF(M88="GWh",L88*1000,IF(M88="TWh",L88*1000000,L88))))</x:f>
      </x:c>
      <x:c r="O88" s="83" t="str">
        <x:f>IF(L88="","",IF(M88="GW","MW",IF(OR(M88="GWh",M88="TWh"),"MWh",M88)))</x:f>
      </x:c>
      <x:c r="P88" s="83" t="str"/>
      <x:c r="Q88" s="349"/>
      <x:c r="R88" s="349" t="str">
        <x:f>IF(L88="","",IF(Q88&lt;&gt;"",L88*Q88,IF(OR(ISNUMBER(SEARCH("EUR2025",M88&amp;"")),P88=2025,P88="2025"),L88,"")))</x:f>
      </x:c>
      <x:c r="S88" s="83" t="str">
        <x:v>C — Harmonisation rule</x:v>
      </x:c>
      <x:c r="T88" s="83" t="str">
        <x:v>Zero marginal cost in base.</x:v>
      </x:c>
      <x:c r="U88" s="83" t="str">
        <x:v>ASSUMPTION</x:v>
      </x:c>
      <x:c r="V88" s="83" t="str">
        <x:v>Phase 4 dispatch boundary</x:v>
      </x:c>
      <x:c r="W88" s="120"/>
      <x:c r="X88" s="83" t="str">
        <x:v>A — Direct</x:v>
      </x:c>
      <x:c r="Y88" s="83" t="str">
        <x:v>APPROVED sensitivity</x:v>
      </x:c>
      <x:c r="Z88" s="83" t="str">
        <x:v>CONDITIONAL SENSITIVITY — CO2 price, programmable fleet composition and inferred BESS power remain open</x:v>
      </x:c>
      <x:c r="AA88" s="83" t="str">
        <x:v>Retained as the no-nuclear counterfactual.</x:v>
      </x:c>
    </x:row>
    <x:row r="89">
      <x:c r="A89" s="83" t="str">
        <x:v>S4-00613</x:v>
      </x:c>
      <x:c r="B89" s="83" t="str">
        <x:v>IT2050_SENS_NO_NUCLEAR</x:v>
      </x:c>
      <x:c r="C89" s="83" t="n">
        <x:v>2050</x:v>
      </x:c>
      <x:c r="D89" s="83" t="str">
        <x:v>Technical parameters</x:v>
      </x:c>
      <x:c r="E89" s="83" t="str">
        <x:v>All zones</x:v>
      </x:c>
      <x:c r="F89" s="83"/>
      <x:c r="G89" s="83" t="str">
        <x:v>onwind</x:v>
      </x:c>
      <x:c r="H89" s="83" t="str">
        <x:v>onwind marginal cost</x:v>
      </x:c>
      <x:c r="I89" s="83" t="str">
        <x:v>onwind</x:v>
      </x:c>
      <x:c r="J89" s="83" t="str">
        <x:v>Generator</x:v>
      </x:c>
      <x:c r="K89" s="83" t="str">
        <x:v>marginal_cost</x:v>
      </x:c>
      <x:c r="L89" s="279" t="n">
        <x:v>0</x:v>
      </x:c>
      <x:c r="M89" s="279" t="str">
        <x:v>EUR2025/MWh</x:v>
      </x:c>
      <x:c r="N89" s="279" t="str">
        <x:f>IF(L89="","",IF(M89="GW",L89*1000,IF(M89="GWh",L89*1000,IF(M89="TWh",L89*1000000,L89))))</x:f>
      </x:c>
      <x:c r="O89" s="83" t="str">
        <x:f>IF(L89="","",IF(M89="GW","MW",IF(OR(M89="GWh",M89="TWh"),"MWh",M89)))</x:f>
      </x:c>
      <x:c r="P89" s="83" t="str"/>
      <x:c r="Q89" s="349"/>
      <x:c r="R89" s="349" t="str">
        <x:f>IF(L89="","",IF(Q89&lt;&gt;"",L89*Q89,IF(OR(ISNUMBER(SEARCH("EUR2025",M89&amp;"")),P89=2025,P89="2025"),L89,"")))</x:f>
      </x:c>
      <x:c r="S89" s="83" t="str">
        <x:v>C — Harmonisation rule</x:v>
      </x:c>
      <x:c r="T89" s="83" t="str">
        <x:v>Zero marginal cost in base.</x:v>
      </x:c>
      <x:c r="U89" s="83" t="str">
        <x:v>ASSUMPTION</x:v>
      </x:c>
      <x:c r="V89" s="83" t="str">
        <x:v>Phase 4 dispatch boundary</x:v>
      </x:c>
      <x:c r="W89" s="120"/>
      <x:c r="X89" s="83" t="str">
        <x:v>A — Direct</x:v>
      </x:c>
      <x:c r="Y89" s="83" t="str">
        <x:v>APPROVED sensitivity</x:v>
      </x:c>
      <x:c r="Z89" s="83" t="str">
        <x:v>CONDITIONAL SENSITIVITY — CO2 price, programmable fleet composition and inferred BESS power remain open</x:v>
      </x:c>
      <x:c r="AA89" s="83" t="str">
        <x:v>Retained as the no-nuclear counterfactual.</x:v>
      </x:c>
    </x:row>
    <x:row r="90">
      <x:c r="A90" s="83" t="str">
        <x:v>S4-00614</x:v>
      </x:c>
      <x:c r="B90" s="83" t="str">
        <x:v>IT2050_SENS_NO_NUCLEAR</x:v>
      </x:c>
      <x:c r="C90" s="83" t="n">
        <x:v>2050</x:v>
      </x:c>
      <x:c r="D90" s="83" t="str">
        <x:v>Technical parameters</x:v>
      </x:c>
      <x:c r="E90" s="83" t="str">
        <x:v>All zones</x:v>
      </x:c>
      <x:c r="F90" s="83"/>
      <x:c r="G90" s="83" t="str">
        <x:v>offwind</x:v>
      </x:c>
      <x:c r="H90" s="83" t="str">
        <x:v>offwind marginal cost</x:v>
      </x:c>
      <x:c r="I90" s="83" t="str">
        <x:v>offwind</x:v>
      </x:c>
      <x:c r="J90" s="83" t="str">
        <x:v>Generator</x:v>
      </x:c>
      <x:c r="K90" s="83" t="str">
        <x:v>marginal_cost</x:v>
      </x:c>
      <x:c r="L90" s="279" t="n">
        <x:v>0</x:v>
      </x:c>
      <x:c r="M90" s="279" t="str">
        <x:v>EUR2025/MWh</x:v>
      </x:c>
      <x:c r="N90" s="279" t="str">
        <x:f>IF(L90="","",IF(M90="GW",L90*1000,IF(M90="GWh",L90*1000,IF(M90="TWh",L90*1000000,L90))))</x:f>
      </x:c>
      <x:c r="O90" s="83" t="str">
        <x:f>IF(L90="","",IF(M90="GW","MW",IF(OR(M90="GWh",M90="TWh"),"MWh",M90)))</x:f>
      </x:c>
      <x:c r="P90" s="83" t="str"/>
      <x:c r="Q90" s="349"/>
      <x:c r="R90" s="349" t="str">
        <x:f>IF(L90="","",IF(Q90&lt;&gt;"",L90*Q90,IF(OR(ISNUMBER(SEARCH("EUR2025",M90&amp;"")),P90=2025,P90="2025"),L90,"")))</x:f>
      </x:c>
      <x:c r="S90" s="83" t="str">
        <x:v>C — Harmonisation rule</x:v>
      </x:c>
      <x:c r="T90" s="83" t="str">
        <x:v>Zero marginal cost in base.</x:v>
      </x:c>
      <x:c r="U90" s="83" t="str">
        <x:v>ASSUMPTION</x:v>
      </x:c>
      <x:c r="V90" s="83" t="str">
        <x:v>Phase 4 dispatch boundary</x:v>
      </x:c>
      <x:c r="W90" s="120"/>
      <x:c r="X90" s="83" t="str">
        <x:v>A — Direct</x:v>
      </x:c>
      <x:c r="Y90" s="83" t="str">
        <x:v>APPROVED sensitivity</x:v>
      </x:c>
      <x:c r="Z90" s="83" t="str">
        <x:v>CONDITIONAL SENSITIVITY — CO2 price, programmable fleet composition and inferred BESS power remain open</x:v>
      </x:c>
      <x:c r="AA90" s="83" t="str">
        <x:v>Retained as the no-nuclear counterfactual.</x:v>
      </x:c>
    </x:row>
    <x:row r="91">
      <x:c r="A91" s="83" t="str">
        <x:v>S4-00615</x:v>
      </x:c>
      <x:c r="B91" s="83" t="str">
        <x:v>IT2050_SENS_NO_NUCLEAR</x:v>
      </x:c>
      <x:c r="C91" s="83" t="n">
        <x:v>2050</x:v>
      </x:c>
      <x:c r="D91" s="83" t="str">
        <x:v>Technical parameters</x:v>
      </x:c>
      <x:c r="E91" s="83" t="str">
        <x:v>All zones</x:v>
      </x:c>
      <x:c r="F91" s="83"/>
      <x:c r="G91" s="83" t="str">
        <x:v>Li-ion battery</x:v>
      </x:c>
      <x:c r="H91" s="83" t="str">
        <x:v>Battery one-way efficiency</x:v>
      </x:c>
      <x:c r="I91" s="83" t="str">
        <x:v>battery</x:v>
      </x:c>
      <x:c r="J91" s="83" t="str">
        <x:v>Link</x:v>
      </x:c>
      <x:c r="K91" s="83" t="str">
        <x:v>efficiency</x:v>
      </x:c>
      <x:c r="L91" s="279" t="n">
        <x:v>0.9486832980505138</x:v>
      </x:c>
      <x:c r="M91" s="279" t="str">
        <x:v>p.u.</x:v>
      </x:c>
      <x:c r="N91" s="279" t="n">
        <x:f>IF(L91="","",IF(M91="GW",L91*1000,IF(M91="GWh",L91*1000,IF(M91="TWh",L91*1000000,L91))))</x:f>
        <x:v>0.9486832980505138</x:v>
      </x:c>
      <x:c r="O91" s="83" t="str">
        <x:f>IF(L91="","",IF(M91="GW","MW",IF(OR(M91="GWh",M91="TWh"),"MWh",M91)))</x:f>
        <x:v>p.u.</x:v>
      </x:c>
      <x:c r="P91" s="83" t="str"/>
      <x:c r="Q91" s="349"/>
      <x:c r="R91" s="349" t="str">
        <x:f>IF(L91="","",IF(Q91&lt;&gt;"",L91*Q91,IF(OR(ISNUMBER(SEARCH("EUR2025",M91&amp;"")),P91=2025,P91="2025"),L91,"")))</x:f>
      </x:c>
      <x:c r="S91" s="83" t="str">
        <x:v>B — Derived</x:v>
      </x:c>
      <x:c r="T91" s="83" t="str">
        <x:v>sqrt(0.90 round-trip), symmetric charge/discharge.</x:v>
      </x:c>
      <x:c r="U91" s="83" t="str">
        <x:v>S07 / EXT-TD</x:v>
      </x:c>
      <x:c r="V91" s="83" t="str">
        <x:v>Terna 90% RTE; technology-data inverter 96%</x:v>
      </x:c>
      <x:c r="W91" s="120"/>
      <x:c r="X91" s="83" t="str">
        <x:v>B — Derived</x:v>
      </x:c>
      <x:c r="Y91" s="83" t="str">
        <x:v>APPROVED sensitivity</x:v>
      </x:c>
      <x:c r="Z91" s="83" t="str">
        <x:v>CONDITIONAL SENSITIVITY — CO2 price, programmable fleet composition and inferred BESS power remain open</x:v>
      </x:c>
      <x:c r="AA91" s="83" t="str">
        <x:v>Retained as the no-nuclear counterfactual.</x:v>
      </x:c>
    </x:row>
    <x:row r="92">
      <x:c r="A92" s="83" t="str">
        <x:v>S4-00616</x:v>
      </x:c>
      <x:c r="B92" s="83" t="str">
        <x:v>IT2050_SENS_NO_NUCLEAR</x:v>
      </x:c>
      <x:c r="C92" s="83" t="n">
        <x:v>2050</x:v>
      </x:c>
      <x:c r="D92" s="83" t="str">
        <x:v>Technical parameters</x:v>
      </x:c>
      <x:c r="E92" s="83" t="str">
        <x:v>Existing PHS sites</x:v>
      </x:c>
      <x:c r="F92" s="83"/>
      <x:c r="G92" s="83" t="str">
        <x:v>PHS</x:v>
      </x:c>
      <x:c r="H92" s="83" t="str">
        <x:v>PHS one-way efficiency</x:v>
      </x:c>
      <x:c r="I92" s="83" t="str">
        <x:v>PHS</x:v>
      </x:c>
      <x:c r="J92" s="83" t="str">
        <x:v>Link</x:v>
      </x:c>
      <x:c r="K92" s="83" t="str">
        <x:v>efficiency</x:v>
      </x:c>
      <x:c r="L92" s="279" t="n">
        <x:v>0.8660254037844386</x:v>
      </x:c>
      <x:c r="M92" s="279" t="str">
        <x:v>p.u.</x:v>
      </x:c>
      <x:c r="N92" s="279" t="n">
        <x:f>IF(L92="","",IF(M92="GW",L92*1000,IF(M92="GWh",L92*1000,IF(M92="TWh",L92*1000000,L92))))</x:f>
        <x:v>0.8660254037844386</x:v>
      </x:c>
      <x:c r="O92" s="83" t="str">
        <x:f>IF(L92="","",IF(M92="GW","MW",IF(OR(M92="GWh",M92="TWh"),"MWh",M92)))</x:f>
        <x:v>p.u.</x:v>
      </x:c>
      <x:c r="P92" s="83" t="str"/>
      <x:c r="Q92" s="349"/>
      <x:c r="R92" s="349" t="str">
        <x:f>IF(L92="","",IF(Q92&lt;&gt;"",L92*Q92,IF(OR(ISNUMBER(SEARCH("EUR2025",M92&amp;"")),P92=2025,P92="2025"),L92,"")))</x:f>
      </x:c>
      <x:c r="S92" s="83" t="str">
        <x:v>C — External candidate</x:v>
      </x:c>
      <x:c r="T92" s="83" t="str">
        <x:v>sqrt(technology-data 0.75 round-trip).</x:v>
      </x:c>
      <x:c r="U92" s="83" t="str">
        <x:v>EXT-TD</x:v>
      </x:c>
      <x:c r="V92" s="83" t="str">
        <x:v>technology-data v0.15.0</x:v>
      </x:c>
      <x:c r="W92" s="120" t="str">
        <x:v>https://github.com/PyPSA/technology-data/releases/tag/v0.15.0</x:v>
      </x:c>
      <x:c r="X92" s="83" t="str">
        <x:v>C — Provisional</x:v>
      </x:c>
      <x:c r="Y92" s="83" t="str">
        <x:v>APPROVED sensitivity</x:v>
      </x:c>
      <x:c r="Z92" s="83" t="str">
        <x:v>CONDITIONAL SENSITIVITY — CO2 price, programmable fleet composition and inferred BESS power remain open</x:v>
      </x:c>
      <x:c r="AA92" s="83" t="str">
        <x:v>Retained as the no-nuclear counterfactual.</x:v>
      </x:c>
    </x:row>
    <x:row r="93">
      <x:c r="A93" s="83" t="str">
        <x:v>S4-00617</x:v>
      </x:c>
      <x:c r="B93" s="83" t="str">
        <x:v>IT2050_SENS_NO_NUCLEAR</x:v>
      </x:c>
      <x:c r="C93" s="83" t="n">
        <x:v>2050</x:v>
      </x:c>
      <x:c r="D93" s="83" t="str">
        <x:v>Policy status</x:v>
      </x:c>
      <x:c r="E93" s="83" t="str">
        <x:v>Italy</x:v>
      </x:c>
      <x:c r="F93" s="83"/>
      <x:c r="G93" s="83" t="str">
        <x:v>Nuclear enabling framework</x:v>
      </x:c>
      <x:c r="H93" s="83" t="str">
        <x:v>Nuclear policy status</x:v>
      </x:c>
      <x:c r="I93" s="83" t="str">
        <x:v>policy</x:v>
      </x:c>
      <x:c r="J93" s="83" t="str">
        <x:v>Metadata</x:v>
      </x:c>
      <x:c r="K93" s="83" t="str">
        <x:v>status</x:v>
      </x:c>
      <x:c r="L93" s="279" t="n">
        <x:v>0</x:v>
      </x:c>
      <x:c r="M93" s="279" t="str">
        <x:v>boolean</x:v>
      </x:c>
      <x:c r="N93" s="279" t="str">
        <x:f>IF(L93="","",IF(M93="GW",L93*1000,IF(M93="GWh",L93*1000,IF(M93="TWh",L93*1000000,L93))))</x:f>
      </x:c>
      <x:c r="O93" s="83" t="str">
        <x:f>IF(L93="","",IF(M93="GW","MW",IF(OR(M93="GWh",M93="TWh"),"MWh",M93)))</x:f>
      </x:c>
      <x:c r="P93" s="83" t="str"/>
      <x:c r="Q93" s="349"/>
      <x:c r="R93" s="349" t="str">
        <x:f>IF(L93="","",IF(Q93&lt;&gt;"",L93*Q93,IF(OR(ISNUMBER(SEARCH("EUR2025",M93&amp;"")),P93=2025,P93="2025"),L93,"")))</x:f>
      </x:c>
      <x:c r="S93" s="83" t="str">
        <x:v>A — Current official status</x:v>
      </x:c>
      <x:c r="T93" s="83" t="str">
        <x:v>Base choice uses no committed nuclear capacity while enabling bill remains under parliamentary examination.</x:v>
      </x:c>
      <x:c r="U93" s="83" t="str">
        <x:v>WEB-OFFICIAL</x:v>
      </x:c>
      <x:c r="V93" s="83" t="str">
        <x:v>Italian Senate bill status</x:v>
      </x:c>
      <x:c r="W93" s="120" t="str">
        <x:v>https://www.senato.it/leggi-e-documenti/disegni-di-legge/scheda-ddl?did=60187</x:v>
      </x:c>
      <x:c r="X93" s="83" t="str">
        <x:v>A — Official current status</x:v>
      </x:c>
      <x:c r="Y93" s="83" t="str">
        <x:v>APPROVED sensitivity</x:v>
      </x:c>
      <x:c r="Z93" s="83" t="str">
        <x:v>CONDITIONAL SENSITIVITY — CO2 price, programmable fleet composition and inferred BESS power remain open</x:v>
      </x:c>
      <x:c r="AA93" s="83" t="str">
        <x:v>Retained as the no-nuclear counterfactual.</x:v>
      </x:c>
    </x:row>
    <x:row r="94">
      <x:c r="A94" s="83" t="str">
        <x:v>S4-00618</x:v>
      </x:c>
      <x:c r="B94" s="83" t="str">
        <x:v>IT2050_SENS_NO_NUCLEAR</x:v>
      </x:c>
      <x:c r="C94" s="83" t="n">
        <x:v>2050</x:v>
      </x:c>
      <x:c r="D94" s="83" t="str">
        <x:v>Model setting</x:v>
      </x:c>
      <x:c r="E94" s="83" t="str">
        <x:v>System</x:v>
      </x:c>
      <x:c r="F94" s="83"/>
      <x:c r="G94" s="83" t="str">
        <x:v>Capacity expansion</x:v>
      </x:c>
      <x:c r="H94" s="83" t="str">
        <x:v>Fixed capacities</x:v>
      </x:c>
      <x:c r="I94" s="83" t="str">
        <x:v>model</x:v>
      </x:c>
      <x:c r="J94" s="83" t="str">
        <x:v>Network</x:v>
      </x:c>
      <x:c r="K94" s="83" t="str">
        <x:v>p_nom_extendable</x:v>
      </x:c>
      <x:c r="L94" s="279" t="n">
        <x:v>0</x:v>
      </x:c>
      <x:c r="M94" s="279" t="str">
        <x:v>boolean</x:v>
      </x:c>
      <x:c r="N94" s="279" t="str">
        <x:f>IF(L94="","",IF(M94="GW",L94*1000,IF(M94="GWh",L94*1000,IF(M94="TWh",L94*1000000,L94))))</x:f>
      </x:c>
      <x:c r="O94" s="83" t="str">
        <x:f>IF(L94="","",IF(M94="GW","MW",IF(OR(M94="GWh",M94="TWh"),"MWh",M94)))</x:f>
      </x:c>
      <x:c r="P94" s="83" t="str"/>
      <x:c r="Q94" s="349"/>
      <x:c r="R94" s="349" t="str">
        <x:f>IF(L94="","",IF(Q94&lt;&gt;"",L94*Q94,IF(OR(ISNUMBER(SEARCH("EUR2025",M94&amp;"")),P94=2025,P94="2025"),L94,"")))</x:f>
      </x:c>
      <x:c r="S94" s="83" t="str">
        <x:v>Project decision</x:v>
      </x:c>
      <x:c r="T94" s="83" t="str">
        <x:v>All capacities fixed; dispatch-only.</x:v>
      </x:c>
      <x:c r="U94" s="83" t="str">
        <x:v>PLAN</x:v>
      </x:c>
      <x:c r="V94" s="83" t="str">
        <x:v>Phase 2 decision</x:v>
      </x:c>
      <x:c r="W94" s="120"/>
      <x:c r="X94" s="83" t="str">
        <x:v>A — Direct</x:v>
      </x:c>
      <x:c r="Y94" s="83" t="str">
        <x:v>APPROVED sensitivity</x:v>
      </x:c>
      <x:c r="Z94" s="83" t="str">
        <x:v>CONDITIONAL SENSITIVITY — CO2 price, programmable fleet composition and inferred BESS power remain open</x:v>
      </x:c>
      <x:c r="AA94" s="83" t="str">
        <x:v>Retained as the no-nuclear counterfactual.</x:v>
      </x:c>
    </x:row>
    <x:row r="95">
      <x:c r="A95" s="83" t="str">
        <x:v>S4-00619</x:v>
      </x:c>
      <x:c r="B95" s="83" t="str">
        <x:v>IT2050_BASE_PNIEC_NUCLEAR_8GW</x:v>
      </x:c>
      <x:c r="C95" s="83" t="n">
        <x:v>2050</x:v>
      </x:c>
      <x:c r="D95" s="83" t="str">
        <x:v>Demand</x:v>
      </x:c>
      <x:c r="E95" s="83" t="str">
        <x:v>Italy</x:v>
      </x:c>
      <x:c r="F95" s="83"/>
      <x:c r="G95" s="83" t="str">
        <x:v>Terna total demand less scaled PNIEC P2X</x:v>
      </x:c>
      <x:c r="H95" s="83" t="str">
        <x:v>Rigid electricity load</x:v>
      </x:c>
      <x:c r="I95" s="83" t="str">
        <x:v>electricity</x:v>
      </x:c>
      <x:c r="J95" s="83" t="str">
        <x:v>Load</x:v>
      </x:c>
      <x:c r="K95" s="83" t="str">
        <x:v>p_set annual target</x:v>
      </x:c>
      <x:c r="L95" s="279" t="n">
        <x:v>501.6</x:v>
      </x:c>
      <x:c r="M95" s="279" t="str">
        <x:v>TWh</x:v>
      </x:c>
      <x:c r="N95" s="279" t="n">
        <x:f>IF(L95="","",IF(M95="GW",L95*1000,IF(M95="GWh",L95*1000,IF(M95="TWh",L95*1000000,L95))))</x:f>
        <x:v>501600000</x:v>
      </x:c>
      <x:c r="O95" s="83" t="str">
        <x:f>IF(L95="","",IF(M95="GW","MW",IF(OR(M95="GWh",M95="TWh"),"MWh",M95)))</x:f>
        <x:v>MWh</x:v>
      </x:c>
      <x:c r="P95" s="83" t="str"/>
      <x:c r="Q95" s="349"/>
      <x:c r="R95" s="349" t="str">
        <x:f>IF(L95="","",IF(Q95&lt;&gt;"",L95*Q95,IF(OR(ISNUMBER(SEARCH("EUR2025",M95&amp;"")),P95=2025,P95="2025"),L95,"")))</x:f>
      </x:c>
      <x:c r="S95" s="83" t="str">
        <x:v>B — Direct components / derived residual</x:v>
      </x:c>
      <x:c r="T95" s="83" t="str">
        <x:v>PNIEC total demand less direct Power-to-X demand.</x:v>
      </x:c>
      <x:c r="U95" s="83" t="str">
        <x:v>S08 / S07</x:v>
      </x:c>
      <x:c r="V95" s="83" t="str">
        <x:v>PNIEC 2024 Figures 7-8; Terna 2050 Table 3</x:v>
      </x:c>
      <x:c r="W95" s="120"/>
      <x:c r="X95" s="83" t="str">
        <x:v>A/B</x:v>
      </x:c>
      <x:c r="Y95" s="83" t="str">
        <x:v>APPROVED BASE PACKAGE</x:v>
      </x:c>
      <x:c r="Z95" s="83" t="str">
        <x:v>PHASE 5 READY — RUN BLOCKED pending nuclear siting/refuelling, hourly profiles, hydro inputs, 2050 CO2 price and final CLI pin</x:v>
      </x:c>
      <x:c r="AA95" s="83" t="str">
        <x:v>Includes final consumption and losses: 583.1 TWh less 81.5 TWh P2X.</x:v>
      </x:c>
    </x:row>
    <x:row r="96">
      <x:c r="A96" s="83" t="str">
        <x:v>S4-00620</x:v>
      </x:c>
      <x:c r="B96" s="83" t="str">
        <x:v>IT2050_BASE_PNIEC_NUCLEAR_8GW</x:v>
      </x:c>
      <x:c r="C96" s="83" t="n">
        <x:v>2050</x:v>
      </x:c>
      <x:c r="D96" s="83" t="str">
        <x:v>Flexible demand</x:v>
      </x:c>
      <x:c r="E96" s="83" t="str">
        <x:v>Italy</x:v>
      </x:c>
      <x:c r="F96" s="83"/>
      <x:c r="G96" s="83" t="str">
        <x:v>Power-to-X scaled from PNIEC branch</x:v>
      </x:c>
      <x:c r="H96" s="83" t="str">
        <x:v>Power-to-X flexible electricity</x:v>
      </x:c>
      <x:c r="I96" s="83" t="str">
        <x:v>electricity</x:v>
      </x:c>
      <x:c r="J96" s="83" t="str">
        <x:v>Link or flexible Load</x:v>
      </x:c>
      <x:c r="K96" s="83" t="str">
        <x:v>annual electricity target</x:v>
      </x:c>
      <x:c r="L96" s="279" t="n">
        <x:v>81.5</x:v>
      </x:c>
      <x:c r="M96" s="279" t="str">
        <x:v>TWh</x:v>
      </x:c>
      <x:c r="N96" s="279" t="n">
        <x:f>IF(L96="","",IF(M96="GW",L96*1000,IF(M96="GWh",L96*1000,IF(M96="TWh",L96*1000000,L96))))</x:f>
        <x:v>81500000</x:v>
      </x:c>
      <x:c r="O96" s="83" t="str">
        <x:f>IF(L96="","",IF(M96="GW","MW",IF(OR(M96="GWh",M96="TWh"),"MWh",M96)))</x:f>
        <x:v>MWh</x:v>
      </x:c>
      <x:c r="P96" s="83" t="str"/>
      <x:c r="Q96" s="349"/>
      <x:c r="R96" s="349" t="str">
        <x:f>IF(L96="","",IF(Q96&lt;&gt;"",L96*Q96,IF(OR(ISNUMBER(SEARCH("EUR2025",M96&amp;"")),P96=2025,P96="2025"),L96,"")))</x:f>
      </x:c>
      <x:c r="S96" s="83" t="str">
        <x:v>A — Direct</x:v>
      </x:c>
      <x:c r="T96" s="83" t="str">
        <x:v>Direct PNIEC 2050 nuclear-branch Power-to-X demand.</x:v>
      </x:c>
      <x:c r="U96" s="83" t="str">
        <x:v>S08 / S07</x:v>
      </x:c>
      <x:c r="V96" s="83" t="str">
        <x:v>PNIEC 2024 Figure 7; Terna 2050 Table 3</x:v>
      </x:c>
      <x:c r="W96" s="120"/>
      <x:c r="X96" s="83" t="str">
        <x:v>A — Direct</x:v>
      </x:c>
      <x:c r="Y96" s="83" t="str">
        <x:v>APPROVED BASE PACKAGE</x:v>
      </x:c>
      <x:c r="Z96" s="83" t="str">
        <x:v>PHASE 5 READY — RUN BLOCKED pending nuclear siting/refuelling, hourly profiles, hydro inputs, 2050 CO2 price and final CLI pin</x:v>
      </x:c>
      <x:c r="AA96" s="83" t="str"/>
    </x:row>
    <x:row r="97">
      <x:c r="A97" s="83" t="str">
        <x:v>S4-00621</x:v>
      </x:c>
      <x:c r="B97" s="83" t="str">
        <x:v>IT2050_BASE_PNIEC_NUCLEAR_8GW</x:v>
      </x:c>
      <x:c r="C97" s="83" t="n">
        <x:v>2050</x:v>
      </x:c>
      <x:c r="D97" s="83" t="str">
        <x:v>QA target</x:v>
      </x:c>
      <x:c r="E97" s="83" t="str">
        <x:v>Italy</x:v>
      </x:c>
      <x:c r="F97" s="83"/>
      <x:c r="G97" s="83" t="str">
        <x:v>Fabbisogno elettrico totale</x:v>
      </x:c>
      <x:c r="H97" s="83" t="str">
        <x:v>Total annual electricity requirement</x:v>
      </x:c>
      <x:c r="I97" s="83" t="str">
        <x:v>electricity</x:v>
      </x:c>
      <x:c r="J97" s="83" t="str">
        <x:v>QA</x:v>
      </x:c>
      <x:c r="K97" s="83" t="str">
        <x:v>annual balance</x:v>
      </x:c>
      <x:c r="L97" s="279" t="n">
        <x:v>583.1</x:v>
      </x:c>
      <x:c r="M97" s="279" t="str">
        <x:v>TWh</x:v>
      </x:c>
      <x:c r="N97" s="279" t="n">
        <x:f>IF(L97="","",IF(M97="GW",L97*1000,IF(M97="GWh",L97*1000,IF(M97="TWh",L97*1000000,L97))))</x:f>
        <x:v>583100000</x:v>
      </x:c>
      <x:c r="O97" s="83" t="str">
        <x:f>IF(L97="","",IF(M97="GW","MW",IF(OR(M97="GWh",M97="TWh"),"MWh",M97)))</x:f>
        <x:v>MWh</x:v>
      </x:c>
      <x:c r="P97" s="83" t="str"/>
      <x:c r="Q97" s="349"/>
      <x:c r="R97" s="349" t="str">
        <x:f>IF(L97="","",IF(Q97&lt;&gt;"",L97*Q97,IF(OR(ISNUMBER(SEARCH("EUR2025",M97&amp;"")),P97=2025,P97="2025"),L97,"")))</x:f>
      </x:c>
      <x:c r="S97" s="83" t="str">
        <x:v>A — Direct</x:v>
      </x:c>
      <x:c r="T97" s="83" t="str">
        <x:v>Direct PNIEC 2050 nuclear-branch total demand.</x:v>
      </x:c>
      <x:c r="U97" s="83" t="str">
        <x:v>S08 / S07</x:v>
      </x:c>
      <x:c r="V97" s="83" t="str">
        <x:v>PNIEC 2024 Figure 7; Terna 2050 Table 3</x:v>
      </x:c>
      <x:c r="W97" s="120"/>
      <x:c r="X97" s="83" t="str">
        <x:v>A — Direct</x:v>
      </x:c>
      <x:c r="Y97" s="83" t="str">
        <x:v>APPROVED BASE PACKAGE</x:v>
      </x:c>
      <x:c r="Z97" s="83" t="str">
        <x:v>PHASE 5 READY — RUN BLOCKED pending nuclear siting/refuelling, hourly profiles, hydro inputs, 2050 CO2 price and final CLI pin</x:v>
      </x:c>
      <x:c r="AA97" s="83"/>
    </x:row>
    <x:row r="98">
      <x:c r="A98" s="83" t="str">
        <x:v>S4-00622</x:v>
      </x:c>
      <x:c r="B98" s="83" t="str">
        <x:v>IT2050_BASE_PNIEC_NUCLEAR_8GW</x:v>
      </x:c>
      <x:c r="C98" s="83" t="n">
        <x:v>2050</x:v>
      </x:c>
      <x:c r="D98" s="83" t="str">
        <x:v>Generation capacity</x:v>
      </x:c>
      <x:c r="E98" s="83" t="str">
        <x:v>IT_NORD</x:v>
      </x:c>
      <x:c r="F98" s="83" t="str">
        <x:v>NORD</x:v>
      </x:c>
      <x:c r="G98" s="83" t="str">
        <x:v>Solare distribuito</x:v>
      </x:c>
      <x:c r="H98" s="83" t="str">
        <x:v>Solar rooftop/distributed</x:v>
      </x:c>
      <x:c r="I98" s="83" t="str">
        <x:v>solar-rooftop</x:v>
      </x:c>
      <x:c r="J98" s="83" t="str">
        <x:v>Generator</x:v>
      </x:c>
      <x:c r="K98" s="83" t="str">
        <x:v>p_nom</x:v>
      </x:c>
      <x:c r="L98" s="279" t="n">
        <x:v>50.86435070306039</x:v>
      </x:c>
      <x:c r="M98" s="279" t="str">
        <x:v>GW</x:v>
      </x:c>
      <x:c r="N98" s="279" t="n">
        <x:f>IF(L98="","",IF(M98="GW",L98*1000,IF(M98="GWh",L98*1000,IF(M98="TWh",L98*1000000,L98))))</x:f>
        <x:v>50864.35070306039</x:v>
      </x:c>
      <x:c r="O98" s="83" t="str">
        <x:f>IF(L98="","",IF(M98="GW","MW",IF(OR(M98="GWh",M98="TWh"),"MWh",M98)))</x:f>
        <x:v>MW</x:v>
      </x:c>
      <x:c r="P98" s="83" t="str"/>
      <x:c r="Q98" s="349"/>
      <x:c r="R98" s="349" t="str">
        <x:f>IF(L98="","",IF(Q98&lt;&gt;"",L98*Q98,IF(OR(ISNUMBER(SEARCH("EUR2025",M98&amp;"")),P98=2025,P98="2025"),L98,"")))</x:f>
      </x:c>
      <x:c r="S98" s="83" t="str">
        <x:v>C — Direct national / distributed proxy</x:v>
      </x:c>
      <x:c r="T98" s="83" t="str">
        <x:v>Scale DE-IT 2040 zonal and rooftop/utility shares to the direct PNIEC 245 GW solar total.</x:v>
      </x:c>
      <x:c r="U98" s="83" t="str">
        <x:v>S08 / S07 / S09</x:v>
      </x:c>
      <x:c r="V98" s="83" t="str">
        <x:v>PNIEC 2024 p.93; Terna 2050 Table 4; DDS 2040 zonal shares</x:v>
      </x:c>
      <x:c r="W98" s="120"/>
      <x:c r="X98" s="83" t="str">
        <x:v>A national / C zonal</x:v>
      </x:c>
      <x:c r="Y98" s="83" t="str">
        <x:v>APPROVED BASE PACKAGE</x:v>
      </x:c>
      <x:c r="Z98" s="83" t="str">
        <x:v>PHASE 5 READY — RUN BLOCKED pending nuclear siting/refuelling, hourly profiles, hydro inputs, 2050 CO2 price and final CLI pin</x:v>
      </x:c>
      <x:c r="AA98" s="83" t="str">
        <x:v>2050 has no direct zonal allocation in the corpus.</x:v>
      </x:c>
    </x:row>
    <x:row r="99">
      <x:c r="A99" s="83" t="str">
        <x:v>S4-00623</x:v>
      </x:c>
      <x:c r="B99" s="83" t="str">
        <x:v>IT2050_BASE_PNIEC_NUCLEAR_8GW</x:v>
      </x:c>
      <x:c r="C99" s="83" t="n">
        <x:v>2050</x:v>
      </x:c>
      <x:c r="D99" s="83" t="str">
        <x:v>Generation capacity</x:v>
      </x:c>
      <x:c r="E99" s="83" t="str">
        <x:v>IT_NORD</x:v>
      </x:c>
      <x:c r="F99" s="83" t="str">
        <x:v>NORD</x:v>
      </x:c>
      <x:c r="G99" s="83" t="str">
        <x:v>Solare utility</x:v>
      </x:c>
      <x:c r="H99" s="83" t="str">
        <x:v>Solar utility</x:v>
      </x:c>
      <x:c r="I99" s="83" t="str">
        <x:v>solar-utility</x:v>
      </x:c>
      <x:c r="J99" s="83" t="str">
        <x:v>Generator</x:v>
      </x:c>
      <x:c r="K99" s="83" t="str">
        <x:v>p_nom</x:v>
      </x:c>
      <x:c r="L99" s="279" t="n">
        <x:v>35.05789909015715</x:v>
      </x:c>
      <x:c r="M99" s="279" t="str">
        <x:v>GW</x:v>
      </x:c>
      <x:c r="N99" s="279" t="n">
        <x:f>IF(L99="","",IF(M99="GW",L99*1000,IF(M99="GWh",L99*1000,IF(M99="TWh",L99*1000000,L99))))</x:f>
        <x:v>35057.89909015715</x:v>
      </x:c>
      <x:c r="O99" s="83" t="str">
        <x:f>IF(L99="","",IF(M99="GW","MW",IF(OR(M99="GWh",M99="TWh"),"MWh",M99)))</x:f>
        <x:v>MW</x:v>
      </x:c>
      <x:c r="P99" s="83" t="str"/>
      <x:c r="Q99" s="349"/>
      <x:c r="R99" s="349" t="str">
        <x:f>IF(L99="","",IF(Q99&lt;&gt;"",L99*Q99,IF(OR(ISNUMBER(SEARCH("EUR2025",M99&amp;"")),P99=2025,P99="2025"),L99,"")))</x:f>
      </x:c>
      <x:c r="S99" s="83" t="str">
        <x:v>C — Direct national / distributed proxy</x:v>
      </x:c>
      <x:c r="T99" s="83" t="str">
        <x:v>Scale DE-IT 2040 zonal and rooftop/utility shares to the direct PNIEC 245 GW solar total.</x:v>
      </x:c>
      <x:c r="U99" s="83" t="str">
        <x:v>S08 / S07 / S09</x:v>
      </x:c>
      <x:c r="V99" s="83" t="str">
        <x:v>PNIEC 2024 p.93; Terna 2050 Table 4; DDS 2040 zonal shares</x:v>
      </x:c>
      <x:c r="W99" s="120"/>
      <x:c r="X99" s="83" t="str">
        <x:v>A national / C zonal</x:v>
      </x:c>
      <x:c r="Y99" s="83" t="str">
        <x:v>APPROVED BASE PACKAGE</x:v>
      </x:c>
      <x:c r="Z99" s="83" t="str">
        <x:v>PHASE 5 READY — RUN BLOCKED pending nuclear siting/refuelling, hourly profiles, hydro inputs, 2050 CO2 price and final CLI pin</x:v>
      </x:c>
      <x:c r="AA99" s="83" t="str">
        <x:v>2050 has no direct zonal allocation in the corpus.</x:v>
      </x:c>
    </x:row>
    <x:row r="100">
      <x:c r="A100" s="83" t="str">
        <x:v>S4-00624</x:v>
      </x:c>
      <x:c r="B100" s="83" t="str">
        <x:v>IT2050_BASE_PNIEC_NUCLEAR_8GW</x:v>
      </x:c>
      <x:c r="C100" s="83" t="n">
        <x:v>2050</x:v>
      </x:c>
      <x:c r="D100" s="83" t="str">
        <x:v>Generation capacity</x:v>
      </x:c>
      <x:c r="E100" s="83" t="str">
        <x:v>IT_CNOR</x:v>
      </x:c>
      <x:c r="F100" s="83" t="str">
        <x:v>CNOR</x:v>
      </x:c>
      <x:c r="G100" s="83" t="str">
        <x:v>Solare distribuito</x:v>
      </x:c>
      <x:c r="H100" s="83" t="str">
        <x:v>Solar rooftop/distributed</x:v>
      </x:c>
      <x:c r="I100" s="83" t="str">
        <x:v>solar-rooftop</x:v>
      </x:c>
      <x:c r="J100" s="83" t="str">
        <x:v>Generator</x:v>
      </x:c>
      <x:c r="K100" s="83" t="str">
        <x:v>p_nom</x:v>
      </x:c>
      <x:c r="L100" s="279" t="n">
        <x:v>6.687344913151364</x:v>
      </x:c>
      <x:c r="M100" s="279" t="str">
        <x:v>GW</x:v>
      </x:c>
      <x:c r="N100" s="279" t="n">
        <x:f>IF(L100="","",IF(M100="GW",L100*1000,IF(M100="GWh",L100*1000,IF(M100="TWh",L100*1000000,L100))))</x:f>
        <x:v>6687.3449131513635</x:v>
      </x:c>
      <x:c r="O100" s="83" t="str">
        <x:f>IF(L100="","",IF(M100="GW","MW",IF(OR(M100="GWh",M100="TWh"),"MWh",M100)))</x:f>
        <x:v>MW</x:v>
      </x:c>
      <x:c r="P100" s="83" t="str"/>
      <x:c r="Q100" s="349"/>
      <x:c r="R100" s="349" t="str">
        <x:f>IF(L100="","",IF(Q100&lt;&gt;"",L100*Q100,IF(OR(ISNUMBER(SEARCH("EUR2025",M100&amp;"")),P100=2025,P100="2025"),L100,"")))</x:f>
      </x:c>
      <x:c r="S100" s="83" t="str">
        <x:v>C — Direct national / distributed proxy</x:v>
      </x:c>
      <x:c r="T100" s="83" t="str">
        <x:v>Scale DE-IT 2040 zonal and rooftop/utility shares to the direct PNIEC 245 GW solar total.</x:v>
      </x:c>
      <x:c r="U100" s="83" t="str">
        <x:v>S08 / S07 / S09</x:v>
      </x:c>
      <x:c r="V100" s="83" t="str">
        <x:v>PNIEC 2024 p.93; Terna 2050 Table 4; DDS 2040 zonal shares</x:v>
      </x:c>
      <x:c r="W100" s="120"/>
      <x:c r="X100" s="83" t="str">
        <x:v>A national / C zonal</x:v>
      </x:c>
      <x:c r="Y100" s="83" t="str">
        <x:v>APPROVED BASE PACKAGE</x:v>
      </x:c>
      <x:c r="Z100" s="83" t="str">
        <x:v>PHASE 5 READY — RUN BLOCKED pending nuclear siting/refuelling, hourly profiles, hydro inputs, 2050 CO2 price and final CLI pin</x:v>
      </x:c>
      <x:c r="AA100" s="83" t="str">
        <x:v>2050 has no direct zonal allocation in the corpus.</x:v>
      </x:c>
    </x:row>
    <x:row r="101">
      <x:c r="A101" s="83" t="str">
        <x:v>S4-00625</x:v>
      </x:c>
      <x:c r="B101" s="83" t="str">
        <x:v>IT2050_BASE_PNIEC_NUCLEAR_8GW</x:v>
      </x:c>
      <x:c r="C101" s="83" t="n">
        <x:v>2050</x:v>
      </x:c>
      <x:c r="D101" s="83" t="str">
        <x:v>Generation capacity</x:v>
      </x:c>
      <x:c r="E101" s="83" t="str">
        <x:v>IT_CNOR</x:v>
      </x:c>
      <x:c r="F101" s="83" t="str">
        <x:v>CNOR</x:v>
      </x:c>
      <x:c r="G101" s="83" t="str">
        <x:v>Solare utility</x:v>
      </x:c>
      <x:c r="H101" s="83" t="str">
        <x:v>Solar utility</x:v>
      </x:c>
      <x:c r="I101" s="83" t="str">
        <x:v>solar-utility</x:v>
      </x:c>
      <x:c r="J101" s="83" t="str">
        <x:v>Generator</x:v>
      </x:c>
      <x:c r="K101" s="83" t="str">
        <x:v>p_nom</x:v>
      </x:c>
      <x:c r="L101" s="279" t="n">
        <x:v>12.766749379652607</x:v>
      </x:c>
      <x:c r="M101" s="279" t="str">
        <x:v>GW</x:v>
      </x:c>
      <x:c r="N101" s="279" t="n">
        <x:f>IF(L101="","",IF(M101="GW",L101*1000,IF(M101="GWh",L101*1000,IF(M101="TWh",L101*1000000,L101))))</x:f>
        <x:v>12766.749379652607</x:v>
      </x:c>
      <x:c r="O101" s="83" t="str">
        <x:f>IF(L101="","",IF(M101="GW","MW",IF(OR(M101="GWh",M101="TWh"),"MWh",M101)))</x:f>
        <x:v>MW</x:v>
      </x:c>
      <x:c r="P101" s="83" t="str"/>
      <x:c r="Q101" s="349"/>
      <x:c r="R101" s="349" t="str">
        <x:f>IF(L101="","",IF(Q101&lt;&gt;"",L101*Q101,IF(OR(ISNUMBER(SEARCH("EUR2025",M101&amp;"")),P101=2025,P101="2025"),L101,"")))</x:f>
      </x:c>
      <x:c r="S101" s="83" t="str">
        <x:v>C — Direct national / distributed proxy</x:v>
      </x:c>
      <x:c r="T101" s="83" t="str">
        <x:v>Scale DE-IT 2040 zonal and rooftop/utility shares to the direct PNIEC 245 GW solar total.</x:v>
      </x:c>
      <x:c r="U101" s="83" t="str">
        <x:v>S08 / S07 / S09</x:v>
      </x:c>
      <x:c r="V101" s="83" t="str">
        <x:v>PNIEC 2024 p.93; Terna 2050 Table 4; DDS 2040 zonal shares</x:v>
      </x:c>
      <x:c r="W101" s="120"/>
      <x:c r="X101" s="83" t="str">
        <x:v>A national / C zonal</x:v>
      </x:c>
      <x:c r="Y101" s="83" t="str">
        <x:v>APPROVED BASE PACKAGE</x:v>
      </x:c>
      <x:c r="Z101" s="83" t="str">
        <x:v>PHASE 5 READY — RUN BLOCKED pending nuclear siting/refuelling, hourly profiles, hydro inputs, 2050 CO2 price and final CLI pin</x:v>
      </x:c>
      <x:c r="AA101" s="83" t="str">
        <x:v>2050 has no direct zonal allocation in the corpus.</x:v>
      </x:c>
    </x:row>
    <x:row r="102">
      <x:c r="A102" s="83" t="str">
        <x:v>S4-00626</x:v>
      </x:c>
      <x:c r="B102" s="83" t="str">
        <x:v>IT2050_BASE_PNIEC_NUCLEAR_8GW</x:v>
      </x:c>
      <x:c r="C102" s="83" t="n">
        <x:v>2050</x:v>
      </x:c>
      <x:c r="D102" s="83" t="str">
        <x:v>Generation capacity</x:v>
      </x:c>
      <x:c r="E102" s="83" t="str">
        <x:v>IT_CSUD</x:v>
      </x:c>
      <x:c r="F102" s="83" t="str">
        <x:v>CSUD</x:v>
      </x:c>
      <x:c r="G102" s="83" t="str">
        <x:v>Solare distribuito</x:v>
      </x:c>
      <x:c r="H102" s="83" t="str">
        <x:v>Solar rooftop/distributed</x:v>
      </x:c>
      <x:c r="I102" s="83" t="str">
        <x:v>solar-rooftop</x:v>
      </x:c>
      <x:c r="J102" s="83" t="str">
        <x:v>Generator</x:v>
      </x:c>
      <x:c r="K102" s="83" t="str">
        <x:v>p_nom</x:v>
      </x:c>
      <x:c r="L102" s="279" t="n">
        <x:v>11.145574855252272</x:v>
      </x:c>
      <x:c r="M102" s="279" t="str">
        <x:v>GW</x:v>
      </x:c>
      <x:c r="N102" s="279" t="n">
        <x:f>IF(L102="","",IF(M102="GW",L102*1000,IF(M102="GWh",L102*1000,IF(M102="TWh",L102*1000000,L102))))</x:f>
        <x:v>11145.574855252273</x:v>
      </x:c>
      <x:c r="O102" s="83" t="str">
        <x:f>IF(L102="","",IF(M102="GW","MW",IF(OR(M102="GWh",M102="TWh"),"MWh",M102)))</x:f>
        <x:v>MW</x:v>
      </x:c>
      <x:c r="P102" s="83" t="str"/>
      <x:c r="Q102" s="349"/>
      <x:c r="R102" s="349" t="str">
        <x:f>IF(L102="","",IF(Q102&lt;&gt;"",L102*Q102,IF(OR(ISNUMBER(SEARCH("EUR2025",M102&amp;"")),P102=2025,P102="2025"),L102,"")))</x:f>
      </x:c>
      <x:c r="S102" s="83" t="str">
        <x:v>C — Direct national / distributed proxy</x:v>
      </x:c>
      <x:c r="T102" s="83" t="str">
        <x:v>Scale DE-IT 2040 zonal and rooftop/utility shares to the direct PNIEC 245 GW solar total.</x:v>
      </x:c>
      <x:c r="U102" s="83" t="str">
        <x:v>S08 / S07 / S09</x:v>
      </x:c>
      <x:c r="V102" s="83" t="str">
        <x:v>PNIEC 2024 p.93; Terna 2050 Table 4; DDS 2040 zonal shares</x:v>
      </x:c>
      <x:c r="W102" s="120"/>
      <x:c r="X102" s="83" t="str">
        <x:v>A national / C zonal</x:v>
      </x:c>
      <x:c r="Y102" s="83" t="str">
        <x:v>APPROVED BASE PACKAGE</x:v>
      </x:c>
      <x:c r="Z102" s="83" t="str">
        <x:v>PHASE 5 READY — RUN BLOCKED pending nuclear siting/refuelling, hourly profiles, hydro inputs, 2050 CO2 price and final CLI pin</x:v>
      </x:c>
      <x:c r="AA102" s="83" t="str">
        <x:v>2050 has no direct zonal allocation in the corpus.</x:v>
      </x:c>
    </x:row>
    <x:row r="103">
      <x:c r="A103" s="83" t="str">
        <x:v>S4-00627</x:v>
      </x:c>
      <x:c r="B103" s="83" t="str">
        <x:v>IT2050_BASE_PNIEC_NUCLEAR_8GW</x:v>
      </x:c>
      <x:c r="C103" s="83" t="n">
        <x:v>2050</x:v>
      </x:c>
      <x:c r="D103" s="83" t="str">
        <x:v>Generation capacity</x:v>
      </x:c>
      <x:c r="E103" s="83" t="str">
        <x:v>IT_CSUD</x:v>
      </x:c>
      <x:c r="F103" s="83" t="str">
        <x:v>CSUD</x:v>
      </x:c>
      <x:c r="G103" s="83" t="str">
        <x:v>Solare utility</x:v>
      </x:c>
      <x:c r="H103" s="83" t="str">
        <x:v>Solar utility</x:v>
      </x:c>
      <x:c r="I103" s="83" t="str">
        <x:v>solar-utility</x:v>
      </x:c>
      <x:c r="J103" s="83" t="str">
        <x:v>Generator</x:v>
      </x:c>
      <x:c r="K103" s="83" t="str">
        <x:v>p_nom</x:v>
      </x:c>
      <x:c r="L103" s="279" t="n">
        <x:v>29.586435070306038</x:v>
      </x:c>
      <x:c r="M103" s="279" t="str">
        <x:v>GW</x:v>
      </x:c>
      <x:c r="N103" s="279" t="n">
        <x:f>IF(L103="","",IF(M103="GW",L103*1000,IF(M103="GWh",L103*1000,IF(M103="TWh",L103*1000000,L103))))</x:f>
        <x:v>29586.435070306037</x:v>
      </x:c>
      <x:c r="O103" s="83" t="str">
        <x:f>IF(L103="","",IF(M103="GW","MW",IF(OR(M103="GWh",M103="TWh"),"MWh",M103)))</x:f>
        <x:v>MW</x:v>
      </x:c>
      <x:c r="P103" s="83" t="str"/>
      <x:c r="Q103" s="349"/>
      <x:c r="R103" s="349" t="str">
        <x:f>IF(L103="","",IF(Q103&lt;&gt;"",L103*Q103,IF(OR(ISNUMBER(SEARCH("EUR2025",M103&amp;"")),P103=2025,P103="2025"),L103,"")))</x:f>
      </x:c>
      <x:c r="S103" s="83" t="str">
        <x:v>C — Direct national / distributed proxy</x:v>
      </x:c>
      <x:c r="T103" s="83" t="str">
        <x:v>Scale DE-IT 2040 zonal and rooftop/utility shares to the direct PNIEC 245 GW solar total.</x:v>
      </x:c>
      <x:c r="U103" s="83" t="str">
        <x:v>S08 / S07 / S09</x:v>
      </x:c>
      <x:c r="V103" s="83" t="str">
        <x:v>PNIEC 2024 p.93; Terna 2050 Table 4; DDS 2040 zonal shares</x:v>
      </x:c>
      <x:c r="W103" s="120"/>
      <x:c r="X103" s="83" t="str">
        <x:v>A national / C zonal</x:v>
      </x:c>
      <x:c r="Y103" s="83" t="str">
        <x:v>APPROVED BASE PACKAGE</x:v>
      </x:c>
      <x:c r="Z103" s="83" t="str">
        <x:v>PHASE 5 READY — RUN BLOCKED pending nuclear siting/refuelling, hourly profiles, hydro inputs, 2050 CO2 price and final CLI pin</x:v>
      </x:c>
      <x:c r="AA103" s="83" t="str">
        <x:v>2050 has no direct zonal allocation in the corpus.</x:v>
      </x:c>
    </x:row>
    <x:row r="104">
      <x:c r="A104" s="83" t="str">
        <x:v>S4-00628</x:v>
      </x:c>
      <x:c r="B104" s="83" t="str">
        <x:v>IT2050_BASE_PNIEC_NUCLEAR_8GW</x:v>
      </x:c>
      <x:c r="C104" s="83" t="n">
        <x:v>2050</x:v>
      </x:c>
      <x:c r="D104" s="83" t="str">
        <x:v>Generation capacity</x:v>
      </x:c>
      <x:c r="E104" s="83" t="str">
        <x:v>IT_SUD</x:v>
      </x:c>
      <x:c r="F104" s="83" t="str">
        <x:v>SUD</x:v>
      </x:c>
      <x:c r="G104" s="83" t="str">
        <x:v>Solare distribuito</x:v>
      </x:c>
      <x:c r="H104" s="83" t="str">
        <x:v>Solar rooftop/distributed</x:v>
      </x:c>
      <x:c r="I104" s="83" t="str">
        <x:v>solar-rooftop</x:v>
      </x:c>
      <x:c r="J104" s="83" t="str">
        <x:v>Generator</x:v>
      </x:c>
      <x:c r="K104" s="83" t="str">
        <x:v>p_nom</x:v>
      </x:c>
      <x:c r="L104" s="279" t="n">
        <x:v>3.4449958643507035</x:v>
      </x:c>
      <x:c r="M104" s="279" t="str">
        <x:v>GW</x:v>
      </x:c>
      <x:c r="N104" s="279" t="n">
        <x:f>IF(L104="","",IF(M104="GW",L104*1000,IF(M104="GWh",L104*1000,IF(M104="TWh",L104*1000000,L104))))</x:f>
        <x:v>3444.9958643507034</x:v>
      </x:c>
      <x:c r="O104" s="83" t="str">
        <x:f>IF(L104="","",IF(M104="GW","MW",IF(OR(M104="GWh",M104="TWh"),"MWh",M104)))</x:f>
        <x:v>MW</x:v>
      </x:c>
      <x:c r="P104" s="83" t="str"/>
      <x:c r="Q104" s="349"/>
      <x:c r="R104" s="349" t="str">
        <x:f>IF(L104="","",IF(Q104&lt;&gt;"",L104*Q104,IF(OR(ISNUMBER(SEARCH("EUR2025",M104&amp;"")),P104=2025,P104="2025"),L104,"")))</x:f>
      </x:c>
      <x:c r="S104" s="83" t="str">
        <x:v>C — Direct national / distributed proxy</x:v>
      </x:c>
      <x:c r="T104" s="83" t="str">
        <x:v>Scale DE-IT 2040 zonal and rooftop/utility shares to the direct PNIEC 245 GW solar total.</x:v>
      </x:c>
      <x:c r="U104" s="83" t="str">
        <x:v>S08 / S07 / S09</x:v>
      </x:c>
      <x:c r="V104" s="83" t="str">
        <x:v>PNIEC 2024 p.93; Terna 2050 Table 4; DDS 2040 zonal shares</x:v>
      </x:c>
      <x:c r="W104" s="120"/>
      <x:c r="X104" s="83" t="str">
        <x:v>A national / C zonal</x:v>
      </x:c>
      <x:c r="Y104" s="83" t="str">
        <x:v>APPROVED BASE PACKAGE</x:v>
      </x:c>
      <x:c r="Z104" s="83" t="str">
        <x:v>PHASE 5 READY — RUN BLOCKED pending nuclear siting/refuelling, hourly profiles, hydro inputs, 2050 CO2 price and final CLI pin</x:v>
      </x:c>
      <x:c r="AA104" s="83" t="str">
        <x:v>2050 has no direct zonal allocation in the corpus.</x:v>
      </x:c>
    </x:row>
    <x:row r="105">
      <x:c r="A105" s="83" t="str">
        <x:v>S4-00629</x:v>
      </x:c>
      <x:c r="B105" s="83" t="str">
        <x:v>IT2050_BASE_PNIEC_NUCLEAR_8GW</x:v>
      </x:c>
      <x:c r="C105" s="83" t="n">
        <x:v>2050</x:v>
      </x:c>
      <x:c r="D105" s="83" t="str">
        <x:v>Generation capacity</x:v>
      </x:c>
      <x:c r="E105" s="83" t="str">
        <x:v>IT_SUD</x:v>
      </x:c>
      <x:c r="F105" s="83" t="str">
        <x:v>SUD</x:v>
      </x:c>
      <x:c r="G105" s="83" t="str">
        <x:v>Solare utility</x:v>
      </x:c>
      <x:c r="H105" s="83" t="str">
        <x:v>Solar utility</x:v>
      </x:c>
      <x:c r="I105" s="83" t="str">
        <x:v>solar-utility</x:v>
      </x:c>
      <x:c r="J105" s="83" t="str">
        <x:v>Generator</x:v>
      </x:c>
      <x:c r="K105" s="83" t="str">
        <x:v>p_nom</x:v>
      </x:c>
      <x:c r="L105" s="279" t="n">
        <x:v>39.11083540115798</x:v>
      </x:c>
      <x:c r="M105" s="279" t="str">
        <x:v>GW</x:v>
      </x:c>
      <x:c r="N105" s="279" t="n">
        <x:f>IF(L105="","",IF(M105="GW",L105*1000,IF(M105="GWh",L105*1000,IF(M105="TWh",L105*1000000,L105))))</x:f>
        <x:v>39110.83540115798</x:v>
      </x:c>
      <x:c r="O105" s="83" t="str">
        <x:f>IF(L105="","",IF(M105="GW","MW",IF(OR(M105="GWh",M105="TWh"),"MWh",M105)))</x:f>
        <x:v>MW</x:v>
      </x:c>
      <x:c r="P105" s="83" t="str"/>
      <x:c r="Q105" s="349"/>
      <x:c r="R105" s="349" t="str">
        <x:f>IF(L105="","",IF(Q105&lt;&gt;"",L105*Q105,IF(OR(ISNUMBER(SEARCH("EUR2025",M105&amp;"")),P105=2025,P105="2025"),L105,"")))</x:f>
      </x:c>
      <x:c r="S105" s="83" t="str">
        <x:v>C — Direct national / distributed proxy</x:v>
      </x:c>
      <x:c r="T105" s="83" t="str">
        <x:v>Scale DE-IT 2040 zonal and rooftop/utility shares to the direct PNIEC 245 GW solar total.</x:v>
      </x:c>
      <x:c r="U105" s="83" t="str">
        <x:v>S08 / S07 / S09</x:v>
      </x:c>
      <x:c r="V105" s="83" t="str">
        <x:v>PNIEC 2024 p.93; Terna 2050 Table 4; DDS 2040 zonal shares</x:v>
      </x:c>
      <x:c r="W105" s="120"/>
      <x:c r="X105" s="83" t="str">
        <x:v>A national / C zonal</x:v>
      </x:c>
      <x:c r="Y105" s="83" t="str">
        <x:v>APPROVED BASE PACKAGE</x:v>
      </x:c>
      <x:c r="Z105" s="83" t="str">
        <x:v>PHASE 5 READY — RUN BLOCKED pending nuclear siting/refuelling, hourly profiles, hydro inputs, 2050 CO2 price and final CLI pin</x:v>
      </x:c>
      <x:c r="AA105" s="83" t="str">
        <x:v>2050 has no direct zonal allocation in the corpus.</x:v>
      </x:c>
    </x:row>
    <x:row r="106">
      <x:c r="A106" s="83" t="str">
        <x:v>S4-00630</x:v>
      </x:c>
      <x:c r="B106" s="83" t="str">
        <x:v>IT2050_BASE_PNIEC_NUCLEAR_8GW</x:v>
      </x:c>
      <x:c r="C106" s="83" t="n">
        <x:v>2050</x:v>
      </x:c>
      <x:c r="D106" s="83" t="str">
        <x:v>Generation capacity</x:v>
      </x:c>
      <x:c r="E106" s="83" t="str">
        <x:v>IT_CALA</x:v>
      </x:c>
      <x:c r="F106" s="83" t="str">
        <x:v>CALA</x:v>
      </x:c>
      <x:c r="G106" s="83" t="str">
        <x:v>Solare distribuito</x:v>
      </x:c>
      <x:c r="H106" s="83" t="str">
        <x:v>Solar rooftop/distributed</x:v>
      </x:c>
      <x:c r="I106" s="83" t="str">
        <x:v>solar-rooftop</x:v>
      </x:c>
      <x:c r="J106" s="83" t="str">
        <x:v>Generator</x:v>
      </x:c>
      <x:c r="K106" s="83" t="str">
        <x:v>p_nom</x:v>
      </x:c>
      <x:c r="L106" s="279" t="n">
        <x:v>2.229114971050455</x:v>
      </x:c>
      <x:c r="M106" s="279" t="str">
        <x:v>GW</x:v>
      </x:c>
      <x:c r="N106" s="279" t="n">
        <x:f>IF(L106="","",IF(M106="GW",L106*1000,IF(M106="GWh",L106*1000,IF(M106="TWh",L106*1000000,L106))))</x:f>
        <x:v>2229.114971050455</x:v>
      </x:c>
      <x:c r="O106" s="83" t="str">
        <x:f>IF(L106="","",IF(M106="GW","MW",IF(OR(M106="GWh",M106="TWh"),"MWh",M106)))</x:f>
        <x:v>MW</x:v>
      </x:c>
      <x:c r="P106" s="83" t="str"/>
      <x:c r="Q106" s="349"/>
      <x:c r="R106" s="349" t="str">
        <x:f>IF(L106="","",IF(Q106&lt;&gt;"",L106*Q106,IF(OR(ISNUMBER(SEARCH("EUR2025",M106&amp;"")),P106=2025,P106="2025"),L106,"")))</x:f>
      </x:c>
      <x:c r="S106" s="83" t="str">
        <x:v>C — Direct national / distributed proxy</x:v>
      </x:c>
      <x:c r="T106" s="83" t="str">
        <x:v>Scale DE-IT 2040 zonal and rooftop/utility shares to the direct PNIEC 245 GW solar total.</x:v>
      </x:c>
      <x:c r="U106" s="83" t="str">
        <x:v>S08 / S07 / S09</x:v>
      </x:c>
      <x:c r="V106" s="83" t="str">
        <x:v>PNIEC 2024 p.93; Terna 2050 Table 4; DDS 2040 zonal shares</x:v>
      </x:c>
      <x:c r="W106" s="120"/>
      <x:c r="X106" s="83" t="str">
        <x:v>A national / C zonal</x:v>
      </x:c>
      <x:c r="Y106" s="83" t="str">
        <x:v>APPROVED BASE PACKAGE</x:v>
      </x:c>
      <x:c r="Z106" s="83" t="str">
        <x:v>PHASE 5 READY — RUN BLOCKED pending nuclear siting/refuelling, hourly profiles, hydro inputs, 2050 CO2 price and final CLI pin</x:v>
      </x:c>
      <x:c r="AA106" s="83" t="str">
        <x:v>2050 has no direct zonal allocation in the corpus.</x:v>
      </x:c>
    </x:row>
    <x:row r="107">
      <x:c r="A107" s="83" t="str">
        <x:v>S4-00631</x:v>
      </x:c>
      <x:c r="B107" s="83" t="str">
        <x:v>IT2050_BASE_PNIEC_NUCLEAR_8GW</x:v>
      </x:c>
      <x:c r="C107" s="83" t="n">
        <x:v>2050</x:v>
      </x:c>
      <x:c r="D107" s="83" t="str">
        <x:v>Generation capacity</x:v>
      </x:c>
      <x:c r="E107" s="83" t="str">
        <x:v>IT_CALA</x:v>
      </x:c>
      <x:c r="F107" s="83" t="str">
        <x:v>CALA</x:v>
      </x:c>
      <x:c r="G107" s="83" t="str">
        <x:v>Solare utility</x:v>
      </x:c>
      <x:c r="H107" s="83" t="str">
        <x:v>Solar utility</x:v>
      </x:c>
      <x:c r="I107" s="83" t="str">
        <x:v>solar-utility</x:v>
      </x:c>
      <x:c r="J107" s="83" t="str">
        <x:v>Generator</x:v>
      </x:c>
      <x:c r="K107" s="83" t="str">
        <x:v>p_nom</x:v>
      </x:c>
      <x:c r="L107" s="279" t="n">
        <x:v>5.066170388751034</x:v>
      </x:c>
      <x:c r="M107" s="279" t="str">
        <x:v>GW</x:v>
      </x:c>
      <x:c r="N107" s="279" t="n">
        <x:f>IF(L107="","",IF(M107="GW",L107*1000,IF(M107="GWh",L107*1000,IF(M107="TWh",L107*1000000,L107))))</x:f>
        <x:v>5066.170388751034</x:v>
      </x:c>
      <x:c r="O107" s="83" t="str">
        <x:f>IF(L107="","",IF(M107="GW","MW",IF(OR(M107="GWh",M107="TWh"),"MWh",M107)))</x:f>
        <x:v>MW</x:v>
      </x:c>
      <x:c r="P107" s="83" t="str"/>
      <x:c r="Q107" s="349"/>
      <x:c r="R107" s="349" t="str">
        <x:f>IF(L107="","",IF(Q107&lt;&gt;"",L107*Q107,IF(OR(ISNUMBER(SEARCH("EUR2025",M107&amp;"")),P107=2025,P107="2025"),L107,"")))</x:f>
      </x:c>
      <x:c r="S107" s="83" t="str">
        <x:v>C — Direct national / distributed proxy</x:v>
      </x:c>
      <x:c r="T107" s="83" t="str">
        <x:v>Scale DE-IT 2040 zonal and rooftop/utility shares to the direct PNIEC 245 GW solar total.</x:v>
      </x:c>
      <x:c r="U107" s="83" t="str">
        <x:v>S08 / S07 / S09</x:v>
      </x:c>
      <x:c r="V107" s="83" t="str">
        <x:v>PNIEC 2024 p.93; Terna 2050 Table 4; DDS 2040 zonal shares</x:v>
      </x:c>
      <x:c r="W107" s="120"/>
      <x:c r="X107" s="83" t="str">
        <x:v>A national / C zonal</x:v>
      </x:c>
      <x:c r="Y107" s="83" t="str">
        <x:v>APPROVED BASE PACKAGE</x:v>
      </x:c>
      <x:c r="Z107" s="83" t="str">
        <x:v>PHASE 5 READY — RUN BLOCKED pending nuclear siting/refuelling, hourly profiles, hydro inputs, 2050 CO2 price and final CLI pin</x:v>
      </x:c>
      <x:c r="AA107" s="83" t="str">
        <x:v>2050 has no direct zonal allocation in the corpus.</x:v>
      </x:c>
    </x:row>
    <x:row r="108">
      <x:c r="A108" s="83" t="str">
        <x:v>S4-00632</x:v>
      </x:c>
      <x:c r="B108" s="83" t="str">
        <x:v>IT2050_BASE_PNIEC_NUCLEAR_8GW</x:v>
      </x:c>
      <x:c r="C108" s="83" t="n">
        <x:v>2050</x:v>
      </x:c>
      <x:c r="D108" s="83" t="str">
        <x:v>Generation capacity</x:v>
      </x:c>
      <x:c r="E108" s="83" t="str">
        <x:v>IT_SICI</x:v>
      </x:c>
      <x:c r="F108" s="83" t="str">
        <x:v>SICI</x:v>
      </x:c>
      <x:c r="G108" s="83" t="str">
        <x:v>Solare distribuito</x:v>
      </x:c>
      <x:c r="H108" s="83" t="str">
        <x:v>Solar rooftop/distributed</x:v>
      </x:c>
      <x:c r="I108" s="83" t="str">
        <x:v>solar-rooftop</x:v>
      </x:c>
      <x:c r="J108" s="83" t="str">
        <x:v>Generator</x:v>
      </x:c>
      <x:c r="K108" s="83" t="str">
        <x:v>p_nom</x:v>
      </x:c>
      <x:c r="L108" s="279" t="n">
        <x:v>6.687344913151364</x:v>
      </x:c>
      <x:c r="M108" s="279" t="str">
        <x:v>GW</x:v>
      </x:c>
      <x:c r="N108" s="279" t="n">
        <x:f>IF(L108="","",IF(M108="GW",L108*1000,IF(M108="GWh",L108*1000,IF(M108="TWh",L108*1000000,L108))))</x:f>
        <x:v>6687.3449131513635</x:v>
      </x:c>
      <x:c r="O108" s="83" t="str">
        <x:f>IF(L108="","",IF(M108="GW","MW",IF(OR(M108="GWh",M108="TWh"),"MWh",M108)))</x:f>
        <x:v>MW</x:v>
      </x:c>
      <x:c r="P108" s="83" t="str"/>
      <x:c r="Q108" s="349"/>
      <x:c r="R108" s="349" t="str">
        <x:f>IF(L108="","",IF(Q108&lt;&gt;"",L108*Q108,IF(OR(ISNUMBER(SEARCH("EUR2025",M108&amp;"")),P108=2025,P108="2025"),L108,"")))</x:f>
      </x:c>
      <x:c r="S108" s="83" t="str">
        <x:v>C — Direct national / distributed proxy</x:v>
      </x:c>
      <x:c r="T108" s="83" t="str">
        <x:v>Scale DE-IT 2040 zonal and rooftop/utility shares to the direct PNIEC 245 GW solar total.</x:v>
      </x:c>
      <x:c r="U108" s="83" t="str">
        <x:v>S08 / S07 / S09</x:v>
      </x:c>
      <x:c r="V108" s="83" t="str">
        <x:v>PNIEC 2024 p.93; Terna 2050 Table 4; DDS 2040 zonal shares</x:v>
      </x:c>
      <x:c r="W108" s="120"/>
      <x:c r="X108" s="83" t="str">
        <x:v>A national / C zonal</x:v>
      </x:c>
      <x:c r="Y108" s="83" t="str">
        <x:v>APPROVED BASE PACKAGE</x:v>
      </x:c>
      <x:c r="Z108" s="83" t="str">
        <x:v>PHASE 5 READY — RUN BLOCKED pending nuclear siting/refuelling, hourly profiles, hydro inputs, 2050 CO2 price and final CLI pin</x:v>
      </x:c>
      <x:c r="AA108" s="83" t="str">
        <x:v>2050 has no direct zonal allocation in the corpus.</x:v>
      </x:c>
    </x:row>
    <x:row r="109">
      <x:c r="A109" s="83" t="str">
        <x:v>S4-00633</x:v>
      </x:c>
      <x:c r="B109" s="83" t="str">
        <x:v>IT2050_BASE_PNIEC_NUCLEAR_8GW</x:v>
      </x:c>
      <x:c r="C109" s="83" t="n">
        <x:v>2050</x:v>
      </x:c>
      <x:c r="D109" s="83" t="str">
        <x:v>Generation capacity</x:v>
      </x:c>
      <x:c r="E109" s="83" t="str">
        <x:v>IT_SICI</x:v>
      </x:c>
      <x:c r="F109" s="83" t="str">
        <x:v>SICI</x:v>
      </x:c>
      <x:c r="G109" s="83" t="str">
        <x:v>Solare utility</x:v>
      </x:c>
      <x:c r="H109" s="83" t="str">
        <x:v>Solar utility</x:v>
      </x:c>
      <x:c r="I109" s="83" t="str">
        <x:v>solar-utility</x:v>
      </x:c>
      <x:c r="J109" s="83" t="str">
        <x:v>Generator</x:v>
      </x:c>
      <x:c r="K109" s="83" t="str">
        <x:v>p_nom</x:v>
      </x:c>
      <x:c r="L109" s="279" t="n">
        <x:v>23.304383788254754</x:v>
      </x:c>
      <x:c r="M109" s="279" t="str">
        <x:v>GW</x:v>
      </x:c>
      <x:c r="N109" s="279" t="n">
        <x:f>IF(L109="","",IF(M109="GW",L109*1000,IF(M109="GWh",L109*1000,IF(M109="TWh",L109*1000000,L109))))</x:f>
        <x:v>23304.383788254752</x:v>
      </x:c>
      <x:c r="O109" s="83" t="str">
        <x:f>IF(L109="","",IF(M109="GW","MW",IF(OR(M109="GWh",M109="TWh"),"MWh",M109)))</x:f>
        <x:v>MW</x:v>
      </x:c>
      <x:c r="P109" s="83" t="str"/>
      <x:c r="Q109" s="349"/>
      <x:c r="R109" s="349" t="str">
        <x:f>IF(L109="","",IF(Q109&lt;&gt;"",L109*Q109,IF(OR(ISNUMBER(SEARCH("EUR2025",M109&amp;"")),P109=2025,P109="2025"),L109,"")))</x:f>
      </x:c>
      <x:c r="S109" s="83" t="str">
        <x:v>C — Direct national / distributed proxy</x:v>
      </x:c>
      <x:c r="T109" s="83" t="str">
        <x:v>Scale DE-IT 2040 zonal and rooftop/utility shares to the direct PNIEC 245 GW solar total.</x:v>
      </x:c>
      <x:c r="U109" s="83" t="str">
        <x:v>S08 / S07 / S09</x:v>
      </x:c>
      <x:c r="V109" s="83" t="str">
        <x:v>PNIEC 2024 p.93; Terna 2050 Table 4; DDS 2040 zonal shares</x:v>
      </x:c>
      <x:c r="W109" s="120"/>
      <x:c r="X109" s="83" t="str">
        <x:v>A national / C zonal</x:v>
      </x:c>
      <x:c r="Y109" s="83" t="str">
        <x:v>APPROVED BASE PACKAGE</x:v>
      </x:c>
      <x:c r="Z109" s="83" t="str">
        <x:v>PHASE 5 READY — RUN BLOCKED pending nuclear siting/refuelling, hourly profiles, hydro inputs, 2050 CO2 price and final CLI pin</x:v>
      </x:c>
      <x:c r="AA109" s="83" t="str">
        <x:v>2050 has no direct zonal allocation in the corpus.</x:v>
      </x:c>
    </x:row>
    <x:row r="110">
      <x:c r="A110" s="83" t="str">
        <x:v>S4-00634</x:v>
      </x:c>
      <x:c r="B110" s="83" t="str">
        <x:v>IT2050_BASE_PNIEC_NUCLEAR_8GW</x:v>
      </x:c>
      <x:c r="C110" s="83" t="n">
        <x:v>2050</x:v>
      </x:c>
      <x:c r="D110" s="83" t="str">
        <x:v>Generation capacity</x:v>
      </x:c>
      <x:c r="E110" s="83" t="str">
        <x:v>IT_SARD</x:v>
      </x:c>
      <x:c r="F110" s="83" t="str">
        <x:v>SARD</x:v>
      </x:c>
      <x:c r="G110" s="83" t="str">
        <x:v>Solare distribuito</x:v>
      </x:c>
      <x:c r="H110" s="83" t="str">
        <x:v>Solar rooftop/distributed</x:v>
      </x:c>
      <x:c r="I110" s="83" t="str">
        <x:v>solar-rooftop</x:v>
      </x:c>
      <x:c r="J110" s="83" t="str">
        <x:v>Generator</x:v>
      </x:c>
      <x:c r="K110" s="83" t="str">
        <x:v>p_nom</x:v>
      </x:c>
      <x:c r="L110" s="279" t="n">
        <x:v>3.4449958643507035</x:v>
      </x:c>
      <x:c r="M110" s="279" t="str">
        <x:v>GW</x:v>
      </x:c>
      <x:c r="N110" s="279" t="n">
        <x:f>IF(L110="","",IF(M110="GW",L110*1000,IF(M110="GWh",L110*1000,IF(M110="TWh",L110*1000000,L110))))</x:f>
        <x:v>3444.9958643507034</x:v>
      </x:c>
      <x:c r="O110" s="83" t="str">
        <x:f>IF(L110="","",IF(M110="GW","MW",IF(OR(M110="GWh",M110="TWh"),"MWh",M110)))</x:f>
        <x:v>MW</x:v>
      </x:c>
      <x:c r="P110" s="83" t="str"/>
      <x:c r="Q110" s="349"/>
      <x:c r="R110" s="349" t="str">
        <x:f>IF(L110="","",IF(Q110&lt;&gt;"",L110*Q110,IF(OR(ISNUMBER(SEARCH("EUR2025",M110&amp;"")),P110=2025,P110="2025"),L110,"")))</x:f>
      </x:c>
      <x:c r="S110" s="83" t="str">
        <x:v>C — Direct national / distributed proxy</x:v>
      </x:c>
      <x:c r="T110" s="83" t="str">
        <x:v>Scale DE-IT 2040 zonal and rooftop/utility shares to the direct PNIEC 245 GW solar total.</x:v>
      </x:c>
      <x:c r="U110" s="83" t="str">
        <x:v>S08 / S07 / S09</x:v>
      </x:c>
      <x:c r="V110" s="83" t="str">
        <x:v>PNIEC 2024 p.93; Terna 2050 Table 4; DDS 2040 zonal shares</x:v>
      </x:c>
      <x:c r="W110" s="120"/>
      <x:c r="X110" s="83" t="str">
        <x:v>A national / C zonal</x:v>
      </x:c>
      <x:c r="Y110" s="83" t="str">
        <x:v>APPROVED BASE PACKAGE</x:v>
      </x:c>
      <x:c r="Z110" s="83" t="str">
        <x:v>PHASE 5 READY — RUN BLOCKED pending nuclear siting/refuelling, hourly profiles, hydro inputs, 2050 CO2 price and final CLI pin</x:v>
      </x:c>
      <x:c r="AA110" s="83" t="str">
        <x:v>2050 has no direct zonal allocation in the corpus.</x:v>
      </x:c>
    </x:row>
    <x:row r="111">
      <x:c r="A111" s="83" t="str">
        <x:v>S4-00635</x:v>
      </x:c>
      <x:c r="B111" s="83" t="str">
        <x:v>IT2050_BASE_PNIEC_NUCLEAR_8GW</x:v>
      </x:c>
      <x:c r="C111" s="83" t="n">
        <x:v>2050</x:v>
      </x:c>
      <x:c r="D111" s="83" t="str">
        <x:v>Generation capacity</x:v>
      </x:c>
      <x:c r="E111" s="83" t="str">
        <x:v>IT_SARD</x:v>
      </x:c>
      <x:c r="F111" s="83" t="str">
        <x:v>SARD</x:v>
      </x:c>
      <x:c r="G111" s="83" t="str">
        <x:v>Solare utility</x:v>
      </x:c>
      <x:c r="H111" s="83" t="str">
        <x:v>Solar utility</x:v>
      </x:c>
      <x:c r="I111" s="83" t="str">
        <x:v>solar-utility</x:v>
      </x:c>
      <x:c r="J111" s="83" t="str">
        <x:v>Generator</x:v>
      </x:c>
      <x:c r="K111" s="83" t="str">
        <x:v>p_nom</x:v>
      </x:c>
      <x:c r="L111" s="279" t="n">
        <x:v>15.603804797353185</x:v>
      </x:c>
      <x:c r="M111" s="279" t="str">
        <x:v>GW</x:v>
      </x:c>
      <x:c r="N111" s="279" t="n">
        <x:f>IF(L111="","",IF(M111="GW",L111*1000,IF(M111="GWh",L111*1000,IF(M111="TWh",L111*1000000,L111))))</x:f>
        <x:v>15603.804797353185</x:v>
      </x:c>
      <x:c r="O111" s="83" t="str">
        <x:f>IF(L111="","",IF(M111="GW","MW",IF(OR(M111="GWh",M111="TWh"),"MWh",M111)))</x:f>
        <x:v>MW</x:v>
      </x:c>
      <x:c r="P111" s="83" t="str"/>
      <x:c r="Q111" s="349"/>
      <x:c r="R111" s="349" t="str">
        <x:f>IF(L111="","",IF(Q111&lt;&gt;"",L111*Q111,IF(OR(ISNUMBER(SEARCH("EUR2025",M111&amp;"")),P111=2025,P111="2025"),L111,"")))</x:f>
      </x:c>
      <x:c r="S111" s="83" t="str">
        <x:v>C — Direct national / distributed proxy</x:v>
      </x:c>
      <x:c r="T111" s="83" t="str">
        <x:v>Scale DE-IT 2040 zonal and rooftop/utility shares to the direct PNIEC 245 GW solar total.</x:v>
      </x:c>
      <x:c r="U111" s="83" t="str">
        <x:v>S08 / S07 / S09</x:v>
      </x:c>
      <x:c r="V111" s="83" t="str">
        <x:v>PNIEC 2024 p.93; Terna 2050 Table 4; DDS 2040 zonal shares</x:v>
      </x:c>
      <x:c r="W111" s="120"/>
      <x:c r="X111" s="83" t="str">
        <x:v>A national / C zonal</x:v>
      </x:c>
      <x:c r="Y111" s="83" t="str">
        <x:v>APPROVED BASE PACKAGE</x:v>
      </x:c>
      <x:c r="Z111" s="83" t="str">
        <x:v>PHASE 5 READY — RUN BLOCKED pending nuclear siting/refuelling, hourly profiles, hydro inputs, 2050 CO2 price and final CLI pin</x:v>
      </x:c>
      <x:c r="AA111" s="83" t="str">
        <x:v>2050 has no direct zonal allocation in the corpus.</x:v>
      </x:c>
    </x:row>
    <x:row r="112">
      <x:c r="A112" s="83" t="str">
        <x:v>S4-00636</x:v>
      </x:c>
      <x:c r="B112" s="83" t="str">
        <x:v>IT2050_BASE_PNIEC_NUCLEAR_8GW</x:v>
      </x:c>
      <x:c r="C112" s="83" t="n">
        <x:v>2050</x:v>
      </x:c>
      <x:c r="D112" s="83" t="str">
        <x:v>Generation capacity</x:v>
      </x:c>
      <x:c r="E112" s="83" t="str">
        <x:v>IT_NORD</x:v>
      </x:c>
      <x:c r="F112" s="83" t="str">
        <x:v>NORD</x:v>
      </x:c>
      <x:c r="G112" s="83" t="str">
        <x:v>Eolico onshore</x:v>
      </x:c>
      <x:c r="H112" s="83" t="str">
        <x:v>Wind onshore</x:v>
      </x:c>
      <x:c r="I112" s="83" t="str">
        <x:v>onwind</x:v>
      </x:c>
      <x:c r="J112" s="83" t="str">
        <x:v>Generator</x:v>
      </x:c>
      <x:c r="K112" s="83" t="str">
        <x:v>p_nom</x:v>
      </x:c>
      <x:c r="L112" s="279" t="n">
        <x:v>0.6334310850439883</x:v>
      </x:c>
      <x:c r="M112" s="279" t="str">
        <x:v>GW</x:v>
      </x:c>
      <x:c r="N112" s="279" t="n">
        <x:f>IF(L112="","",IF(M112="GW",L112*1000,IF(M112="GWh",L112*1000,IF(M112="TWh",L112*1000000,L112))))</x:f>
        <x:v>633.4310850439882</x:v>
      </x:c>
      <x:c r="O112" s="83" t="str">
        <x:f>IF(L112="","",IF(M112="GW","MW",IF(OR(M112="GWh",M112="TWh"),"MWh",M112)))</x:f>
        <x:v>MW</x:v>
      </x:c>
      <x:c r="P112" s="83" t="str"/>
      <x:c r="Q112" s="349"/>
      <x:c r="R112" s="349" t="str">
        <x:f>IF(L112="","",IF(Q112&lt;&gt;"",L112*Q112,IF(OR(ISNUMBER(SEARCH("EUR2025",M112&amp;"")),P112=2025,P112="2025"),L112,"")))</x:f>
      </x:c>
      <x:c r="S112" s="83" t="str">
        <x:v>C — Direct national / distributed proxy</x:v>
      </x:c>
      <x:c r="T112" s="83" t="str">
        <x:v>Scale DE-IT 2040 zonal shares to the direct PNIEC 36 GW onshore total.</x:v>
      </x:c>
      <x:c r="U112" s="83" t="str">
        <x:v>S08 / S07 / S09</x:v>
      </x:c>
      <x:c r="V112" s="83" t="str">
        <x:v>PNIEC 2024 p.93; Terna 2050 Table 4; DDS 2040 zonal shares</x:v>
      </x:c>
      <x:c r="W112" s="120"/>
      <x:c r="X112" s="83" t="str">
        <x:v>A national / C zonal</x:v>
      </x:c>
      <x:c r="Y112" s="83" t="str">
        <x:v>APPROVED BASE PACKAGE</x:v>
      </x:c>
      <x:c r="Z112" s="83" t="str">
        <x:v>PHASE 5 READY — RUN BLOCKED pending nuclear siting/refuelling, hourly profiles, hydro inputs, 2050 CO2 price and final CLI pin</x:v>
      </x:c>
      <x:c r="AA112" s="83" t="str">
        <x:v>2050 has no direct zonal allocation in the corpus.</x:v>
      </x:c>
    </x:row>
    <x:row r="113">
      <x:c r="A113" s="83" t="str">
        <x:v>S4-00637</x:v>
      </x:c>
      <x:c r="B113" s="83" t="str">
        <x:v>IT2050_BASE_PNIEC_NUCLEAR_8GW</x:v>
      </x:c>
      <x:c r="C113" s="83" t="n">
        <x:v>2050</x:v>
      </x:c>
      <x:c r="D113" s="83" t="str">
        <x:v>Generation capacity</x:v>
      </x:c>
      <x:c r="E113" s="83" t="str">
        <x:v>IT_NORD</x:v>
      </x:c>
      <x:c r="F113" s="83" t="str">
        <x:v>NORD</x:v>
      </x:c>
      <x:c r="G113" s="83" t="str">
        <x:v>Eolico offshore</x:v>
      </x:c>
      <x:c r="H113" s="83" t="str">
        <x:v>Wind offshore unspecified</x:v>
      </x:c>
      <x:c r="I113" s="83" t="str">
        <x:v>offwind</x:v>
      </x:c>
      <x:c r="J113" s="83" t="str">
        <x:v>Generator</x:v>
      </x:c>
      <x:c r="K113" s="83" t="str">
        <x:v>p_nom</x:v>
      </x:c>
      <x:c r="L113" s="279" t="n">
        <x:v>1.480263157894737</x:v>
      </x:c>
      <x:c r="M113" s="279" t="str">
        <x:v>GW</x:v>
      </x:c>
      <x:c r="N113" s="279" t="n">
        <x:f>IF(L113="","",IF(M113="GW",L113*1000,IF(M113="GWh",L113*1000,IF(M113="TWh",L113*1000000,L113))))</x:f>
        <x:v>1480.2631578947369</x:v>
      </x:c>
      <x:c r="O113" s="83" t="str">
        <x:f>IF(L113="","",IF(M113="GW","MW",IF(OR(M113="GWh",M113="TWh"),"MWh",M113)))</x:f>
        <x:v>MW</x:v>
      </x:c>
      <x:c r="P113" s="83" t="str"/>
      <x:c r="Q113" s="349"/>
      <x:c r="R113" s="349" t="str">
        <x:f>IF(L113="","",IF(Q113&lt;&gt;"",L113*Q113,IF(OR(ISNUMBER(SEARCH("EUR2025",M113&amp;"")),P113=2025,P113="2025"),L113,"")))</x:f>
      </x:c>
      <x:c r="S113" s="83" t="str">
        <x:v>C — Direct national / distributed proxy</x:v>
      </x:c>
      <x:c r="T113" s="83" t="str">
        <x:v>Scale DE-IT 2040 zonal shares to the direct PNIEC 15 GW offshore total.</x:v>
      </x:c>
      <x:c r="U113" s="83" t="str">
        <x:v>S08 / S07 / S09</x:v>
      </x:c>
      <x:c r="V113" s="83" t="str">
        <x:v>PNIEC 2024 p.93; Terna 2050 Table 4; DDS 2040 zonal shares</x:v>
      </x:c>
      <x:c r="W113" s="120"/>
      <x:c r="X113" s="83" t="str">
        <x:v>A national / C zonal</x:v>
      </x:c>
      <x:c r="Y113" s="83" t="str">
        <x:v>APPROVED BASE PACKAGE</x:v>
      </x:c>
      <x:c r="Z113" s="83" t="str">
        <x:v>PHASE 5 READY — RUN BLOCKED pending nuclear siting/refuelling, hourly profiles, hydro inputs, 2050 CO2 price and final CLI pin</x:v>
      </x:c>
      <x:c r="AA113" s="83" t="str">
        <x:v>2050 has no direct zonal allocation in the corpus.</x:v>
      </x:c>
    </x:row>
    <x:row r="114">
      <x:c r="A114" s="83" t="str">
        <x:v>S4-00638</x:v>
      </x:c>
      <x:c r="B114" s="83" t="str">
        <x:v>IT2050_BASE_PNIEC_NUCLEAR_8GW</x:v>
      </x:c>
      <x:c r="C114" s="83" t="n">
        <x:v>2050</x:v>
      </x:c>
      <x:c r="D114" s="83" t="str">
        <x:v>Generation capacity</x:v>
      </x:c>
      <x:c r="E114" s="83" t="str">
        <x:v>IT_CNOR</x:v>
      </x:c>
      <x:c r="F114" s="83" t="str">
        <x:v>CNOR</x:v>
      </x:c>
      <x:c r="G114" s="83" t="str">
        <x:v>Eolico onshore</x:v>
      </x:c>
      <x:c r="H114" s="83" t="str">
        <x:v>Wind onshore</x:v>
      </x:c>
      <x:c r="I114" s="83" t="str">
        <x:v>onwind</x:v>
      </x:c>
      <x:c r="J114" s="83" t="str">
        <x:v>Generator</x:v>
      </x:c>
      <x:c r="K114" s="83" t="str">
        <x:v>p_nom</x:v>
      </x:c>
      <x:c r="L114" s="279" t="n">
        <x:v>0.4222873900293255</x:v>
      </x:c>
      <x:c r="M114" s="279" t="str">
        <x:v>GW</x:v>
      </x:c>
      <x:c r="N114" s="279" t="n">
        <x:f>IF(L114="","",IF(M114="GW",L114*1000,IF(M114="GWh",L114*1000,IF(M114="TWh",L114*1000000,L114))))</x:f>
        <x:v>422.28739002932554</x:v>
      </x:c>
      <x:c r="O114" s="83" t="str">
        <x:f>IF(L114="","",IF(M114="GW","MW",IF(OR(M114="GWh",M114="TWh"),"MWh",M114)))</x:f>
        <x:v>MW</x:v>
      </x:c>
      <x:c r="P114" s="83" t="str"/>
      <x:c r="Q114" s="349"/>
      <x:c r="R114" s="349" t="str">
        <x:f>IF(L114="","",IF(Q114&lt;&gt;"",L114*Q114,IF(OR(ISNUMBER(SEARCH("EUR2025",M114&amp;"")),P114=2025,P114="2025"),L114,"")))</x:f>
      </x:c>
      <x:c r="S114" s="83" t="str">
        <x:v>C — Direct national / distributed proxy</x:v>
      </x:c>
      <x:c r="T114" s="83" t="str">
        <x:v>Scale DE-IT 2040 zonal shares to the direct PNIEC 36 GW onshore total.</x:v>
      </x:c>
      <x:c r="U114" s="83" t="str">
        <x:v>S08 / S07 / S09</x:v>
      </x:c>
      <x:c r="V114" s="83" t="str">
        <x:v>PNIEC 2024 p.93; Terna 2050 Table 4; DDS 2040 zonal shares</x:v>
      </x:c>
      <x:c r="W114" s="120"/>
      <x:c r="X114" s="83" t="str">
        <x:v>A national / C zonal</x:v>
      </x:c>
      <x:c r="Y114" s="83" t="str">
        <x:v>APPROVED BASE PACKAGE</x:v>
      </x:c>
      <x:c r="Z114" s="83" t="str">
        <x:v>PHASE 5 READY — RUN BLOCKED pending nuclear siting/refuelling, hourly profiles, hydro inputs, 2050 CO2 price and final CLI pin</x:v>
      </x:c>
      <x:c r="AA114" s="83" t="str">
        <x:v>2050 has no direct zonal allocation in the corpus.</x:v>
      </x:c>
    </x:row>
    <x:row r="115">
      <x:c r="A115" s="83" t="str">
        <x:v>S4-00639</x:v>
      </x:c>
      <x:c r="B115" s="83" t="str">
        <x:v>IT2050_BASE_PNIEC_NUCLEAR_8GW</x:v>
      </x:c>
      <x:c r="C115" s="83" t="n">
        <x:v>2050</x:v>
      </x:c>
      <x:c r="D115" s="83" t="str">
        <x:v>Generation capacity</x:v>
      </x:c>
      <x:c r="E115" s="83" t="str">
        <x:v>IT_CNOR</x:v>
      </x:c>
      <x:c r="F115" s="83" t="str">
        <x:v>CNOR</x:v>
      </x:c>
      <x:c r="G115" s="83" t="str">
        <x:v>Eolico offshore</x:v>
      </x:c>
      <x:c r="H115" s="83" t="str">
        <x:v>Wind offshore unspecified</x:v>
      </x:c>
      <x:c r="I115" s="83" t="str">
        <x:v>offwind</x:v>
      </x:c>
      <x:c r="J115" s="83" t="str">
        <x:v>Generator</x:v>
      </x:c>
      <x:c r="K115" s="83" t="str">
        <x:v>p_nom</x:v>
      </x:c>
      <x:c r="L115" s="279" t="n">
        <x:v>0.7894736842105264</x:v>
      </x:c>
      <x:c r="M115" s="279" t="str">
        <x:v>GW</x:v>
      </x:c>
      <x:c r="N115" s="279" t="n">
        <x:f>IF(L115="","",IF(M115="GW",L115*1000,IF(M115="GWh",L115*1000,IF(M115="TWh",L115*1000000,L115))))</x:f>
        <x:v>789.4736842105265</x:v>
      </x:c>
      <x:c r="O115" s="83" t="str">
        <x:f>IF(L115="","",IF(M115="GW","MW",IF(OR(M115="GWh",M115="TWh"),"MWh",M115)))</x:f>
        <x:v>MW</x:v>
      </x:c>
      <x:c r="P115" s="83" t="str"/>
      <x:c r="Q115" s="349"/>
      <x:c r="R115" s="349" t="str">
        <x:f>IF(L115="","",IF(Q115&lt;&gt;"",L115*Q115,IF(OR(ISNUMBER(SEARCH("EUR2025",M115&amp;"")),P115=2025,P115="2025"),L115,"")))</x:f>
      </x:c>
      <x:c r="S115" s="83" t="str">
        <x:v>C — Direct national / distributed proxy</x:v>
      </x:c>
      <x:c r="T115" s="83" t="str">
        <x:v>Scale DE-IT 2040 zonal shares to the direct PNIEC 15 GW offshore total.</x:v>
      </x:c>
      <x:c r="U115" s="83" t="str">
        <x:v>S08 / S07 / S09</x:v>
      </x:c>
      <x:c r="V115" s="83" t="str">
        <x:v>PNIEC 2024 p.93; Terna 2050 Table 4; DDS 2040 zonal shares</x:v>
      </x:c>
      <x:c r="W115" s="120"/>
      <x:c r="X115" s="83" t="str">
        <x:v>A national / C zonal</x:v>
      </x:c>
      <x:c r="Y115" s="83" t="str">
        <x:v>APPROVED BASE PACKAGE</x:v>
      </x:c>
      <x:c r="Z115" s="83" t="str">
        <x:v>PHASE 5 READY — RUN BLOCKED pending nuclear siting/refuelling, hourly profiles, hydro inputs, 2050 CO2 price and final CLI pin</x:v>
      </x:c>
      <x:c r="AA115" s="83" t="str">
        <x:v>2050 has no direct zonal allocation in the corpus.</x:v>
      </x:c>
    </x:row>
    <x:row r="116">
      <x:c r="A116" s="83" t="str">
        <x:v>S4-00640</x:v>
      </x:c>
      <x:c r="B116" s="83" t="str">
        <x:v>IT2050_BASE_PNIEC_NUCLEAR_8GW</x:v>
      </x:c>
      <x:c r="C116" s="83" t="n">
        <x:v>2050</x:v>
      </x:c>
      <x:c r="D116" s="83" t="str">
        <x:v>Generation capacity</x:v>
      </x:c>
      <x:c r="E116" s="83" t="str">
        <x:v>IT_CSUD</x:v>
      </x:c>
      <x:c r="F116" s="83" t="str">
        <x:v>CSUD</x:v>
      </x:c>
      <x:c r="G116" s="83" t="str">
        <x:v>Eolico onshore</x:v>
      </x:c>
      <x:c r="H116" s="83" t="str">
        <x:v>Wind onshore</x:v>
      </x:c>
      <x:c r="I116" s="83" t="str">
        <x:v>onwind</x:v>
      </x:c>
      <x:c r="J116" s="83" t="str">
        <x:v>Generator</x:v>
      </x:c>
      <x:c r="K116" s="83" t="str">
        <x:v>p_nom</x:v>
      </x:c>
      <x:c r="L116" s="279" t="n">
        <x:v>7.178885630498534</x:v>
      </x:c>
      <x:c r="M116" s="279" t="str">
        <x:v>GW</x:v>
      </x:c>
      <x:c r="N116" s="279" t="n">
        <x:f>IF(L116="","",IF(M116="GW",L116*1000,IF(M116="GWh",L116*1000,IF(M116="TWh",L116*1000000,L116))))</x:f>
        <x:v>7178.885630498534</x:v>
      </x:c>
      <x:c r="O116" s="83" t="str">
        <x:f>IF(L116="","",IF(M116="GW","MW",IF(OR(M116="GWh",M116="TWh"),"MWh",M116)))</x:f>
        <x:v>MW</x:v>
      </x:c>
      <x:c r="P116" s="83" t="str"/>
      <x:c r="Q116" s="349"/>
      <x:c r="R116" s="349" t="str">
        <x:f>IF(L116="","",IF(Q116&lt;&gt;"",L116*Q116,IF(OR(ISNUMBER(SEARCH("EUR2025",M116&amp;"")),P116=2025,P116="2025"),L116,"")))</x:f>
      </x:c>
      <x:c r="S116" s="83" t="str">
        <x:v>C — Direct national / distributed proxy</x:v>
      </x:c>
      <x:c r="T116" s="83" t="str">
        <x:v>Scale DE-IT 2040 zonal shares to the direct PNIEC 36 GW onshore total.</x:v>
      </x:c>
      <x:c r="U116" s="83" t="str">
        <x:v>S08 / S07 / S09</x:v>
      </x:c>
      <x:c r="V116" s="83" t="str">
        <x:v>PNIEC 2024 p.93; Terna 2050 Table 4; DDS 2040 zonal shares</x:v>
      </x:c>
      <x:c r="W116" s="120"/>
      <x:c r="X116" s="83" t="str">
        <x:v>A national / C zonal</x:v>
      </x:c>
      <x:c r="Y116" s="83" t="str">
        <x:v>APPROVED BASE PACKAGE</x:v>
      </x:c>
      <x:c r="Z116" s="83" t="str">
        <x:v>PHASE 5 READY — RUN BLOCKED pending nuclear siting/refuelling, hourly profiles, hydro inputs, 2050 CO2 price and final CLI pin</x:v>
      </x:c>
      <x:c r="AA116" s="83" t="str">
        <x:v>2050 has no direct zonal allocation in the corpus.</x:v>
      </x:c>
    </x:row>
    <x:row r="117">
      <x:c r="A117" s="83" t="str">
        <x:v>S4-00641</x:v>
      </x:c>
      <x:c r="B117" s="83" t="str">
        <x:v>IT2050_BASE_PNIEC_NUCLEAR_8GW</x:v>
      </x:c>
      <x:c r="C117" s="83" t="n">
        <x:v>2050</x:v>
      </x:c>
      <x:c r="D117" s="83" t="str">
        <x:v>Generation capacity</x:v>
      </x:c>
      <x:c r="E117" s="83" t="str">
        <x:v>IT_CSUD</x:v>
      </x:c>
      <x:c r="F117" s="83" t="str">
        <x:v>CSUD</x:v>
      </x:c>
      <x:c r="G117" s="83" t="str">
        <x:v>Eolico offshore</x:v>
      </x:c>
      <x:c r="H117" s="83" t="str">
        <x:v>Wind offshore unspecified</x:v>
      </x:c>
      <x:c r="I117" s="83" t="str">
        <x:v>offwind</x:v>
      </x:c>
      <x:c r="J117" s="83" t="str">
        <x:v>Generator</x:v>
      </x:c>
      <x:c r="K117" s="83" t="str">
        <x:v>p_nom</x:v>
      </x:c>
      <x:c r="L117" s="279" t="n">
        <x:v>1.5789473684210529</x:v>
      </x:c>
      <x:c r="M117" s="279" t="str">
        <x:v>GW</x:v>
      </x:c>
      <x:c r="N117" s="279" t="n">
        <x:f>IF(L117="","",IF(M117="GW",L117*1000,IF(M117="GWh",L117*1000,IF(M117="TWh",L117*1000000,L117))))</x:f>
        <x:v>1578.947368421053</x:v>
      </x:c>
      <x:c r="O117" s="83" t="str">
        <x:f>IF(L117="","",IF(M117="GW","MW",IF(OR(M117="GWh",M117="TWh"),"MWh",M117)))</x:f>
        <x:v>MW</x:v>
      </x:c>
      <x:c r="P117" s="83" t="str"/>
      <x:c r="Q117" s="349"/>
      <x:c r="R117" s="349" t="str">
        <x:f>IF(L117="","",IF(Q117&lt;&gt;"",L117*Q117,IF(OR(ISNUMBER(SEARCH("EUR2025",M117&amp;"")),P117=2025,P117="2025"),L117,"")))</x:f>
      </x:c>
      <x:c r="S117" s="83" t="str">
        <x:v>C — Direct national / distributed proxy</x:v>
      </x:c>
      <x:c r="T117" s="83" t="str">
        <x:v>Scale DE-IT 2040 zonal shares to the direct PNIEC 15 GW offshore total.</x:v>
      </x:c>
      <x:c r="U117" s="83" t="str">
        <x:v>S08 / S07 / S09</x:v>
      </x:c>
      <x:c r="V117" s="83" t="str">
        <x:v>PNIEC 2024 p.93; Terna 2050 Table 4; DDS 2040 zonal shares</x:v>
      </x:c>
      <x:c r="W117" s="120"/>
      <x:c r="X117" s="83" t="str">
        <x:v>A national / C zonal</x:v>
      </x:c>
      <x:c r="Y117" s="83" t="str">
        <x:v>APPROVED BASE PACKAGE</x:v>
      </x:c>
      <x:c r="Z117" s="83" t="str">
        <x:v>PHASE 5 READY — RUN BLOCKED pending nuclear siting/refuelling, hourly profiles, hydro inputs, 2050 CO2 price and final CLI pin</x:v>
      </x:c>
      <x:c r="AA117" s="83" t="str">
        <x:v>2050 has no direct zonal allocation in the corpus.</x:v>
      </x:c>
    </x:row>
    <x:row r="118">
      <x:c r="A118" s="83" t="str">
        <x:v>S4-00642</x:v>
      </x:c>
      <x:c r="B118" s="83" t="str">
        <x:v>IT2050_BASE_PNIEC_NUCLEAR_8GW</x:v>
      </x:c>
      <x:c r="C118" s="83" t="n">
        <x:v>2050</x:v>
      </x:c>
      <x:c r="D118" s="83" t="str">
        <x:v>Generation capacity</x:v>
      </x:c>
      <x:c r="E118" s="83" t="str">
        <x:v>IT_SUD</x:v>
      </x:c>
      <x:c r="F118" s="83" t="str">
        <x:v>SUD</x:v>
      </x:c>
      <x:c r="G118" s="83" t="str">
        <x:v>Eolico onshore</x:v>
      </x:c>
      <x:c r="H118" s="83" t="str">
        <x:v>Wind onshore</x:v>
      </x:c>
      <x:c r="I118" s="83" t="str">
        <x:v>onwind</x:v>
      </x:c>
      <x:c r="J118" s="83" t="str">
        <x:v>Generator</x:v>
      </x:c>
      <x:c r="K118" s="83" t="str">
        <x:v>p_nom</x:v>
      </x:c>
      <x:c r="L118" s="279" t="n">
        <x:v>13.935483870967742</x:v>
      </x:c>
      <x:c r="M118" s="279" t="str">
        <x:v>GW</x:v>
      </x:c>
      <x:c r="N118" s="279" t="n">
        <x:f>IF(L118="","",IF(M118="GW",L118*1000,IF(M118="GWh",L118*1000,IF(M118="TWh",L118*1000000,L118))))</x:f>
        <x:v>13935.483870967742</x:v>
      </x:c>
      <x:c r="O118" s="83" t="str">
        <x:f>IF(L118="","",IF(M118="GW","MW",IF(OR(M118="GWh",M118="TWh"),"MWh",M118)))</x:f>
        <x:v>MW</x:v>
      </x:c>
      <x:c r="P118" s="83" t="str"/>
      <x:c r="Q118" s="349"/>
      <x:c r="R118" s="349" t="str">
        <x:f>IF(L118="","",IF(Q118&lt;&gt;"",L118*Q118,IF(OR(ISNUMBER(SEARCH("EUR2025",M118&amp;"")),P118=2025,P118="2025"),L118,"")))</x:f>
      </x:c>
      <x:c r="S118" s="83" t="str">
        <x:v>C — Direct national / distributed proxy</x:v>
      </x:c>
      <x:c r="T118" s="83" t="str">
        <x:v>Scale DE-IT 2040 zonal shares to the direct PNIEC 36 GW onshore total.</x:v>
      </x:c>
      <x:c r="U118" s="83" t="str">
        <x:v>S08 / S07 / S09</x:v>
      </x:c>
      <x:c r="V118" s="83" t="str">
        <x:v>PNIEC 2024 p.93; Terna 2050 Table 4; DDS 2040 zonal shares</x:v>
      </x:c>
      <x:c r="W118" s="120"/>
      <x:c r="X118" s="83" t="str">
        <x:v>A national / C zonal</x:v>
      </x:c>
      <x:c r="Y118" s="83" t="str">
        <x:v>APPROVED BASE PACKAGE</x:v>
      </x:c>
      <x:c r="Z118" s="83" t="str">
        <x:v>PHASE 5 READY — RUN BLOCKED pending nuclear siting/refuelling, hourly profiles, hydro inputs, 2050 CO2 price and final CLI pin</x:v>
      </x:c>
      <x:c r="AA118" s="83" t="str">
        <x:v>2050 has no direct zonal allocation in the corpus.</x:v>
      </x:c>
    </x:row>
    <x:row r="119">
      <x:c r="A119" s="83" t="str">
        <x:v>S4-00643</x:v>
      </x:c>
      <x:c r="B119" s="83" t="str">
        <x:v>IT2050_BASE_PNIEC_NUCLEAR_8GW</x:v>
      </x:c>
      <x:c r="C119" s="83" t="n">
        <x:v>2050</x:v>
      </x:c>
      <x:c r="D119" s="83" t="str">
        <x:v>Generation capacity</x:v>
      </x:c>
      <x:c r="E119" s="83" t="str">
        <x:v>IT_SUD</x:v>
      </x:c>
      <x:c r="F119" s="83" t="str">
        <x:v>SUD</x:v>
      </x:c>
      <x:c r="G119" s="83" t="str">
        <x:v>Eolico offshore</x:v>
      </x:c>
      <x:c r="H119" s="83" t="str">
        <x:v>Wind offshore unspecified</x:v>
      </x:c>
      <x:c r="I119" s="83" t="str">
        <x:v>offwind</x:v>
      </x:c>
      <x:c r="J119" s="83" t="str">
        <x:v>Generator</x:v>
      </x:c>
      <x:c r="K119" s="83" t="str">
        <x:v>p_nom</x:v>
      </x:c>
      <x:c r="L119" s="279" t="n">
        <x:v>4.638157894736842</x:v>
      </x:c>
      <x:c r="M119" s="279" t="str">
        <x:v>GW</x:v>
      </x:c>
      <x:c r="N119" s="279" t="n">
        <x:f>IF(L119="","",IF(M119="GW",L119*1000,IF(M119="GWh",L119*1000,IF(M119="TWh",L119*1000000,L119))))</x:f>
        <x:v>4638.157894736842</x:v>
      </x:c>
      <x:c r="O119" s="83" t="str">
        <x:f>IF(L119="","",IF(M119="GW","MW",IF(OR(M119="GWh",M119="TWh"),"MWh",M119)))</x:f>
        <x:v>MW</x:v>
      </x:c>
      <x:c r="P119" s="83" t="str"/>
      <x:c r="Q119" s="349"/>
      <x:c r="R119" s="349" t="str">
        <x:f>IF(L119="","",IF(Q119&lt;&gt;"",L119*Q119,IF(OR(ISNUMBER(SEARCH("EUR2025",M119&amp;"")),P119=2025,P119="2025"),L119,"")))</x:f>
      </x:c>
      <x:c r="S119" s="83" t="str">
        <x:v>C — Direct national / distributed proxy</x:v>
      </x:c>
      <x:c r="T119" s="83" t="str">
        <x:v>Scale DE-IT 2040 zonal shares to the direct PNIEC 15 GW offshore total.</x:v>
      </x:c>
      <x:c r="U119" s="83" t="str">
        <x:v>S08 / S07 / S09</x:v>
      </x:c>
      <x:c r="V119" s="83" t="str">
        <x:v>PNIEC 2024 p.93; Terna 2050 Table 4; DDS 2040 zonal shares</x:v>
      </x:c>
      <x:c r="W119" s="120"/>
      <x:c r="X119" s="83" t="str">
        <x:v>A national / C zonal</x:v>
      </x:c>
      <x:c r="Y119" s="83" t="str">
        <x:v>APPROVED BASE PACKAGE</x:v>
      </x:c>
      <x:c r="Z119" s="83" t="str">
        <x:v>PHASE 5 READY — RUN BLOCKED pending nuclear siting/refuelling, hourly profiles, hydro inputs, 2050 CO2 price and final CLI pin</x:v>
      </x:c>
      <x:c r="AA119" s="83" t="str">
        <x:v>2050 has no direct zonal allocation in the corpus.</x:v>
      </x:c>
    </x:row>
    <x:row r="120">
      <x:c r="A120" s="83" t="str">
        <x:v>S4-00644</x:v>
      </x:c>
      <x:c r="B120" s="83" t="str">
        <x:v>IT2050_BASE_PNIEC_NUCLEAR_8GW</x:v>
      </x:c>
      <x:c r="C120" s="83" t="n">
        <x:v>2050</x:v>
      </x:c>
      <x:c r="D120" s="83" t="str">
        <x:v>Generation capacity</x:v>
      </x:c>
      <x:c r="E120" s="83" t="str">
        <x:v>IT_CALA</x:v>
      </x:c>
      <x:c r="F120" s="83" t="str">
        <x:v>CALA</x:v>
      </x:c>
      <x:c r="G120" s="83" t="str">
        <x:v>Eolico onshore</x:v>
      </x:c>
      <x:c r="H120" s="83" t="str">
        <x:v>Wind onshore</x:v>
      </x:c>
      <x:c r="I120" s="83" t="str">
        <x:v>onwind</x:v>
      </x:c>
      <x:c r="J120" s="83" t="str">
        <x:v>Generator</x:v>
      </x:c>
      <x:c r="K120" s="83" t="str">
        <x:v>p_nom</x:v>
      </x:c>
      <x:c r="L120" s="279" t="n">
        <x:v>3.4838709677419355</x:v>
      </x:c>
      <x:c r="M120" s="279" t="str">
        <x:v>GW</x:v>
      </x:c>
      <x:c r="N120" s="279" t="n">
        <x:f>IF(L120="","",IF(M120="GW",L120*1000,IF(M120="GWh",L120*1000,IF(M120="TWh",L120*1000000,L120))))</x:f>
        <x:v>3483.8709677419356</x:v>
      </x:c>
      <x:c r="O120" s="83" t="str">
        <x:f>IF(L120="","",IF(M120="GW","MW",IF(OR(M120="GWh",M120="TWh"),"MWh",M120)))</x:f>
        <x:v>MW</x:v>
      </x:c>
      <x:c r="P120" s="83" t="str"/>
      <x:c r="Q120" s="349"/>
      <x:c r="R120" s="349" t="str">
        <x:f>IF(L120="","",IF(Q120&lt;&gt;"",L120*Q120,IF(OR(ISNUMBER(SEARCH("EUR2025",M120&amp;"")),P120=2025,P120="2025"),L120,"")))</x:f>
      </x:c>
      <x:c r="S120" s="83" t="str">
        <x:v>C — Direct national / distributed proxy</x:v>
      </x:c>
      <x:c r="T120" s="83" t="str">
        <x:v>Scale DE-IT 2040 zonal shares to the direct PNIEC 36 GW onshore total.</x:v>
      </x:c>
      <x:c r="U120" s="83" t="str">
        <x:v>S08 / S07 / S09</x:v>
      </x:c>
      <x:c r="V120" s="83" t="str">
        <x:v>PNIEC 2024 p.93; Terna 2050 Table 4; DDS 2040 zonal shares</x:v>
      </x:c>
      <x:c r="W120" s="120"/>
      <x:c r="X120" s="83" t="str">
        <x:v>A national / C zonal</x:v>
      </x:c>
      <x:c r="Y120" s="83" t="str">
        <x:v>APPROVED BASE PACKAGE</x:v>
      </x:c>
      <x:c r="Z120" s="83" t="str">
        <x:v>PHASE 5 READY — RUN BLOCKED pending nuclear siting/refuelling, hourly profiles, hydro inputs, 2050 CO2 price and final CLI pin</x:v>
      </x:c>
      <x:c r="AA120" s="83" t="str">
        <x:v>2050 has no direct zonal allocation in the corpus.</x:v>
      </x:c>
    </x:row>
    <x:row r="121">
      <x:c r="A121" s="83" t="str">
        <x:v>S4-00645</x:v>
      </x:c>
      <x:c r="B121" s="83" t="str">
        <x:v>IT2050_BASE_PNIEC_NUCLEAR_8GW</x:v>
      </x:c>
      <x:c r="C121" s="83" t="n">
        <x:v>2050</x:v>
      </x:c>
      <x:c r="D121" s="83" t="str">
        <x:v>Generation capacity</x:v>
      </x:c>
      <x:c r="E121" s="83" t="str">
        <x:v>IT_CALA</x:v>
      </x:c>
      <x:c r="F121" s="83" t="str">
        <x:v>CALA</x:v>
      </x:c>
      <x:c r="G121" s="83" t="str">
        <x:v>Eolico offshore</x:v>
      </x:c>
      <x:c r="H121" s="83" t="str">
        <x:v>Wind offshore unspecified</x:v>
      </x:c>
      <x:c r="I121" s="83" t="str">
        <x:v>offwind</x:v>
      </x:c>
      <x:c r="J121" s="83" t="str">
        <x:v>Generator</x:v>
      </x:c>
      <x:c r="K121" s="83" t="str">
        <x:v>p_nom</x:v>
      </x:c>
      <x:c r="L121" s="279" t="n">
        <x:v>0.5921052631578948</x:v>
      </x:c>
      <x:c r="M121" s="279" t="str">
        <x:v>GW</x:v>
      </x:c>
      <x:c r="N121" s="279" t="n">
        <x:f>IF(L121="","",IF(M121="GW",L121*1000,IF(M121="GWh",L121*1000,IF(M121="TWh",L121*1000000,L121))))</x:f>
        <x:v>592.1052631578948</x:v>
      </x:c>
      <x:c r="O121" s="83" t="str">
        <x:f>IF(L121="","",IF(M121="GW","MW",IF(OR(M121="GWh",M121="TWh"),"MWh",M121)))</x:f>
        <x:v>MW</x:v>
      </x:c>
      <x:c r="P121" s="83" t="str"/>
      <x:c r="Q121" s="349"/>
      <x:c r="R121" s="349" t="str">
        <x:f>IF(L121="","",IF(Q121&lt;&gt;"",L121*Q121,IF(OR(ISNUMBER(SEARCH("EUR2025",M121&amp;"")),P121=2025,P121="2025"),L121,"")))</x:f>
      </x:c>
      <x:c r="S121" s="83" t="str">
        <x:v>C — Direct national / distributed proxy</x:v>
      </x:c>
      <x:c r="T121" s="83" t="str">
        <x:v>Scale DE-IT 2040 zonal shares to the direct PNIEC 15 GW offshore total.</x:v>
      </x:c>
      <x:c r="U121" s="83" t="str">
        <x:v>S08 / S07 / S09</x:v>
      </x:c>
      <x:c r="V121" s="83" t="str">
        <x:v>PNIEC 2024 p.93; Terna 2050 Table 4; DDS 2040 zonal shares</x:v>
      </x:c>
      <x:c r="W121" s="120"/>
      <x:c r="X121" s="83" t="str">
        <x:v>A national / C zonal</x:v>
      </x:c>
      <x:c r="Y121" s="83" t="str">
        <x:v>APPROVED BASE PACKAGE</x:v>
      </x:c>
      <x:c r="Z121" s="83" t="str">
        <x:v>PHASE 5 READY — RUN BLOCKED pending nuclear siting/refuelling, hourly profiles, hydro inputs, 2050 CO2 price and final CLI pin</x:v>
      </x:c>
      <x:c r="AA121" s="83" t="str">
        <x:v>2050 has no direct zonal allocation in the corpus.</x:v>
      </x:c>
    </x:row>
    <x:row r="122">
      <x:c r="A122" s="83" t="str">
        <x:v>S4-00646</x:v>
      </x:c>
      <x:c r="B122" s="83" t="str">
        <x:v>IT2050_BASE_PNIEC_NUCLEAR_8GW</x:v>
      </x:c>
      <x:c r="C122" s="83" t="n">
        <x:v>2050</x:v>
      </x:c>
      <x:c r="D122" s="83" t="str">
        <x:v>Generation capacity</x:v>
      </x:c>
      <x:c r="E122" s="83" t="str">
        <x:v>IT_SICI</x:v>
      </x:c>
      <x:c r="F122" s="83" t="str">
        <x:v>SICI</x:v>
      </x:c>
      <x:c r="G122" s="83" t="str">
        <x:v>Eolico onshore</x:v>
      </x:c>
      <x:c r="H122" s="83" t="str">
        <x:v>Wind onshore</x:v>
      </x:c>
      <x:c r="I122" s="83" t="str">
        <x:v>onwind</x:v>
      </x:c>
      <x:c r="J122" s="83" t="str">
        <x:v>Generator</x:v>
      </x:c>
      <x:c r="K122" s="83" t="str">
        <x:v>p_nom</x:v>
      </x:c>
      <x:c r="L122" s="279" t="n">
        <x:v>6.651026392961876</x:v>
      </x:c>
      <x:c r="M122" s="279" t="str">
        <x:v>GW</x:v>
      </x:c>
      <x:c r="N122" s="279" t="n">
        <x:f>IF(L122="","",IF(M122="GW",L122*1000,IF(M122="GWh",L122*1000,IF(M122="TWh",L122*1000000,L122))))</x:f>
        <x:v>6651.026392961876</x:v>
      </x:c>
      <x:c r="O122" s="83" t="str">
        <x:f>IF(L122="","",IF(M122="GW","MW",IF(OR(M122="GWh",M122="TWh"),"MWh",M122)))</x:f>
        <x:v>MW</x:v>
      </x:c>
      <x:c r="P122" s="83" t="str"/>
      <x:c r="Q122" s="349"/>
      <x:c r="R122" s="349" t="str">
        <x:f>IF(L122="","",IF(Q122&lt;&gt;"",L122*Q122,IF(OR(ISNUMBER(SEARCH("EUR2025",M122&amp;"")),P122=2025,P122="2025"),L122,"")))</x:f>
      </x:c>
      <x:c r="S122" s="83" t="str">
        <x:v>C — Direct national / distributed proxy</x:v>
      </x:c>
      <x:c r="T122" s="83" t="str">
        <x:v>Scale DE-IT 2040 zonal shares to the direct PNIEC 36 GW onshore total.</x:v>
      </x:c>
      <x:c r="U122" s="83" t="str">
        <x:v>S08 / S07 / S09</x:v>
      </x:c>
      <x:c r="V122" s="83" t="str">
        <x:v>PNIEC 2024 p.93; Terna 2050 Table 4; DDS 2040 zonal shares</x:v>
      </x:c>
      <x:c r="W122" s="120"/>
      <x:c r="X122" s="83" t="str">
        <x:v>A national / C zonal</x:v>
      </x:c>
      <x:c r="Y122" s="83" t="str">
        <x:v>APPROVED BASE PACKAGE</x:v>
      </x:c>
      <x:c r="Z122" s="83" t="str">
        <x:v>PHASE 5 READY — RUN BLOCKED pending nuclear siting/refuelling, hourly profiles, hydro inputs, 2050 CO2 price and final CLI pin</x:v>
      </x:c>
      <x:c r="AA122" s="83" t="str">
        <x:v>2050 has no direct zonal allocation in the corpus.</x:v>
      </x:c>
    </x:row>
    <x:row r="123">
      <x:c r="A123" s="83" t="str">
        <x:v>S4-00647</x:v>
      </x:c>
      <x:c r="B123" s="83" t="str">
        <x:v>IT2050_BASE_PNIEC_NUCLEAR_8GW</x:v>
      </x:c>
      <x:c r="C123" s="83" t="n">
        <x:v>2050</x:v>
      </x:c>
      <x:c r="D123" s="83" t="str">
        <x:v>Generation capacity</x:v>
      </x:c>
      <x:c r="E123" s="83" t="str">
        <x:v>IT_SICI</x:v>
      </x:c>
      <x:c r="F123" s="83" t="str">
        <x:v>SICI</x:v>
      </x:c>
      <x:c r="G123" s="83" t="str">
        <x:v>Eolico offshore</x:v>
      </x:c>
      <x:c r="H123" s="83" t="str">
        <x:v>Wind offshore unspecified</x:v>
      </x:c>
      <x:c r="I123" s="83" t="str">
        <x:v>offwind</x:v>
      </x:c>
      <x:c r="J123" s="83" t="str">
        <x:v>Generator</x:v>
      </x:c>
      <x:c r="K123" s="83" t="str">
        <x:v>p_nom</x:v>
      </x:c>
      <x:c r="L123" s="279" t="n">
        <x:v>2.960526315789474</x:v>
      </x:c>
      <x:c r="M123" s="279" t="str">
        <x:v>GW</x:v>
      </x:c>
      <x:c r="N123" s="279" t="n">
        <x:f>IF(L123="","",IF(M123="GW",L123*1000,IF(M123="GWh",L123*1000,IF(M123="TWh",L123*1000000,L123))))</x:f>
        <x:v>2960.5263157894738</x:v>
      </x:c>
      <x:c r="O123" s="83" t="str">
        <x:f>IF(L123="","",IF(M123="GW","MW",IF(OR(M123="GWh",M123="TWh"),"MWh",M123)))</x:f>
        <x:v>MW</x:v>
      </x:c>
      <x:c r="P123" s="83" t="str"/>
      <x:c r="Q123" s="349"/>
      <x:c r="R123" s="349" t="str">
        <x:f>IF(L123="","",IF(Q123&lt;&gt;"",L123*Q123,IF(OR(ISNUMBER(SEARCH("EUR2025",M123&amp;"")),P123=2025,P123="2025"),L123,"")))</x:f>
      </x:c>
      <x:c r="S123" s="83" t="str">
        <x:v>C — Direct national / distributed proxy</x:v>
      </x:c>
      <x:c r="T123" s="83" t="str">
        <x:v>Scale DE-IT 2040 zonal shares to the direct PNIEC 15 GW offshore total.</x:v>
      </x:c>
      <x:c r="U123" s="83" t="str">
        <x:v>S08 / S07 / S09</x:v>
      </x:c>
      <x:c r="V123" s="83" t="str">
        <x:v>PNIEC 2024 p.93; Terna 2050 Table 4; DDS 2040 zonal shares</x:v>
      </x:c>
      <x:c r="W123" s="120"/>
      <x:c r="X123" s="83" t="str">
        <x:v>A national / C zonal</x:v>
      </x:c>
      <x:c r="Y123" s="83" t="str">
        <x:v>APPROVED BASE PACKAGE</x:v>
      </x:c>
      <x:c r="Z123" s="83" t="str">
        <x:v>PHASE 5 READY — RUN BLOCKED pending nuclear siting/refuelling, hourly profiles, hydro inputs, 2050 CO2 price and final CLI pin</x:v>
      </x:c>
      <x:c r="AA123" s="83" t="str">
        <x:v>2050 has no direct zonal allocation in the corpus.</x:v>
      </x:c>
    </x:row>
    <x:row r="124">
      <x:c r="A124" s="83" t="str">
        <x:v>S4-00648</x:v>
      </x:c>
      <x:c r="B124" s="83" t="str">
        <x:v>IT2050_BASE_PNIEC_NUCLEAR_8GW</x:v>
      </x:c>
      <x:c r="C124" s="83" t="n">
        <x:v>2050</x:v>
      </x:c>
      <x:c r="D124" s="83" t="str">
        <x:v>Generation capacity</x:v>
      </x:c>
      <x:c r="E124" s="83" t="str">
        <x:v>IT_SARD</x:v>
      </x:c>
      <x:c r="F124" s="83" t="str">
        <x:v>SARD</x:v>
      </x:c>
      <x:c r="G124" s="83" t="str">
        <x:v>Eolico onshore</x:v>
      </x:c>
      <x:c r="H124" s="83" t="str">
        <x:v>Wind onshore</x:v>
      </x:c>
      <x:c r="I124" s="83" t="str">
        <x:v>onwind</x:v>
      </x:c>
      <x:c r="J124" s="83" t="str">
        <x:v>Generator</x:v>
      </x:c>
      <x:c r="K124" s="83" t="str">
        <x:v>p_nom</x:v>
      </x:c>
      <x:c r="L124" s="279" t="n">
        <x:v>3.6950146627565985</x:v>
      </x:c>
      <x:c r="M124" s="279" t="str">
        <x:v>GW</x:v>
      </x:c>
      <x:c r="N124" s="279" t="n">
        <x:f>IF(L124="","",IF(M124="GW",L124*1000,IF(M124="GWh",L124*1000,IF(M124="TWh",L124*1000000,L124))))</x:f>
        <x:v>3695.0146627565987</x:v>
      </x:c>
      <x:c r="O124" s="83" t="str">
        <x:f>IF(L124="","",IF(M124="GW","MW",IF(OR(M124="GWh",M124="TWh"),"MWh",M124)))</x:f>
        <x:v>MW</x:v>
      </x:c>
      <x:c r="P124" s="83" t="str"/>
      <x:c r="Q124" s="349"/>
      <x:c r="R124" s="349" t="str">
        <x:f>IF(L124="","",IF(Q124&lt;&gt;"",L124*Q124,IF(OR(ISNUMBER(SEARCH("EUR2025",M124&amp;"")),P124=2025,P124="2025"),L124,"")))</x:f>
      </x:c>
      <x:c r="S124" s="83" t="str">
        <x:v>C — Direct national / distributed proxy</x:v>
      </x:c>
      <x:c r="T124" s="83" t="str">
        <x:v>Scale DE-IT 2040 zonal shares to the direct PNIEC 36 GW onshore total.</x:v>
      </x:c>
      <x:c r="U124" s="83" t="str">
        <x:v>S08 / S07 / S09</x:v>
      </x:c>
      <x:c r="V124" s="83" t="str">
        <x:v>PNIEC 2024 p.93; Terna 2050 Table 4; DDS 2040 zonal shares</x:v>
      </x:c>
      <x:c r="W124" s="120"/>
      <x:c r="X124" s="83" t="str">
        <x:v>A national / C zonal</x:v>
      </x:c>
      <x:c r="Y124" s="83" t="str">
        <x:v>APPROVED BASE PACKAGE</x:v>
      </x:c>
      <x:c r="Z124" s="83" t="str">
        <x:v>PHASE 5 READY — RUN BLOCKED pending nuclear siting/refuelling, hourly profiles, hydro inputs, 2050 CO2 price and final CLI pin</x:v>
      </x:c>
      <x:c r="AA124" s="83" t="str">
        <x:v>2050 has no direct zonal allocation in the corpus.</x:v>
      </x:c>
    </x:row>
    <x:row r="125">
      <x:c r="A125" s="83" t="str">
        <x:v>S4-00649</x:v>
      </x:c>
      <x:c r="B125" s="83" t="str">
        <x:v>IT2050_BASE_PNIEC_NUCLEAR_8GW</x:v>
      </x:c>
      <x:c r="C125" s="83" t="n">
        <x:v>2050</x:v>
      </x:c>
      <x:c r="D125" s="83" t="str">
        <x:v>Generation capacity</x:v>
      </x:c>
      <x:c r="E125" s="83" t="str">
        <x:v>IT_SARD</x:v>
      </x:c>
      <x:c r="F125" s="83" t="str">
        <x:v>SARD</x:v>
      </x:c>
      <x:c r="G125" s="83" t="str">
        <x:v>Eolico offshore</x:v>
      </x:c>
      <x:c r="H125" s="83" t="str">
        <x:v>Wind offshore unspecified</x:v>
      </x:c>
      <x:c r="I125" s="83" t="str">
        <x:v>offwind</x:v>
      </x:c>
      <x:c r="J125" s="83" t="str">
        <x:v>Generator</x:v>
      </x:c>
      <x:c r="K125" s="83" t="str">
        <x:v>p_nom</x:v>
      </x:c>
      <x:c r="L125" s="279" t="n">
        <x:v>2.960526315789474</x:v>
      </x:c>
      <x:c r="M125" s="279" t="str">
        <x:v>GW</x:v>
      </x:c>
      <x:c r="N125" s="279" t="n">
        <x:f>IF(L125="","",IF(M125="GW",L125*1000,IF(M125="GWh",L125*1000,IF(M125="TWh",L125*1000000,L125))))</x:f>
        <x:v>2960.5263157894738</x:v>
      </x:c>
      <x:c r="O125" s="83" t="str">
        <x:f>IF(L125="","",IF(M125="GW","MW",IF(OR(M125="GWh",M125="TWh"),"MWh",M125)))</x:f>
        <x:v>MW</x:v>
      </x:c>
      <x:c r="P125" s="83" t="str"/>
      <x:c r="Q125" s="349"/>
      <x:c r="R125" s="349" t="str">
        <x:f>IF(L125="","",IF(Q125&lt;&gt;"",L125*Q125,IF(OR(ISNUMBER(SEARCH("EUR2025",M125&amp;"")),P125=2025,P125="2025"),L125,"")))</x:f>
      </x:c>
      <x:c r="S125" s="83" t="str">
        <x:v>C — Direct national / distributed proxy</x:v>
      </x:c>
      <x:c r="T125" s="83" t="str">
        <x:v>Scale DE-IT 2040 zonal shares to the direct PNIEC 15 GW offshore total.</x:v>
      </x:c>
      <x:c r="U125" s="83" t="str">
        <x:v>S08 / S07 / S09</x:v>
      </x:c>
      <x:c r="V125" s="83" t="str">
        <x:v>PNIEC 2024 p.93; Terna 2050 Table 4; DDS 2040 zonal shares</x:v>
      </x:c>
      <x:c r="W125" s="120"/>
      <x:c r="X125" s="83" t="str">
        <x:v>A national / C zonal</x:v>
      </x:c>
      <x:c r="Y125" s="83" t="str">
        <x:v>APPROVED BASE PACKAGE</x:v>
      </x:c>
      <x:c r="Z125" s="83" t="str">
        <x:v>PHASE 5 READY — RUN BLOCKED pending nuclear siting/refuelling, hourly profiles, hydro inputs, 2050 CO2 price and final CLI pin</x:v>
      </x:c>
      <x:c r="AA125" s="83" t="str">
        <x:v>2050 has no direct zonal allocation in the corpus.</x:v>
      </x:c>
    </x:row>
    <x:row r="126">
      <x:c r="A126" s="83" t="str">
        <x:v>S4-00650</x:v>
      </x:c>
      <x:c r="B126" s="83" t="str">
        <x:v>IT2050_BASE_PNIEC_NUCLEAR_8GW</x:v>
      </x:c>
      <x:c r="C126" s="83" t="n">
        <x:v>2050</x:v>
      </x:c>
      <x:c r="D126" s="83" t="str">
        <x:v>Generation capacity</x:v>
      </x:c>
      <x:c r="E126" s="83" t="str">
        <x:v>Italy / siting open</x:v>
      </x:c>
      <x:c r="F126" s="83"/>
      <x:c r="G126" s="83" t="str">
        <x:v>Nucleare</x:v>
      </x:c>
      <x:c r="H126" s="83" t="str">
        <x:v>New nuclear / SMR portfolio</x:v>
      </x:c>
      <x:c r="I126" s="83" t="str">
        <x:v>nuclear</x:v>
      </x:c>
      <x:c r="J126" s="83" t="str">
        <x:v>Generator</x:v>
      </x:c>
      <x:c r="K126" s="83" t="str">
        <x:v>p_nom</x:v>
      </x:c>
      <x:c r="L126" s="279" t="n">
        <x:v>8</x:v>
      </x:c>
      <x:c r="M126" s="279" t="str">
        <x:v>GW</x:v>
      </x:c>
      <x:c r="N126" s="279" t="n">
        <x:f>IF(L126="","",IF(M126="GW",L126*1000,IF(M126="GWh",L126*1000,IF(M126="TWh",L126*1000000,L126))))</x:f>
        <x:v>8000</x:v>
      </x:c>
      <x:c r="O126" s="83" t="str">
        <x:f>IF(L126="","",IF(M126="GW","MW",IF(OR(M126="GWh",M126="TWh"),"MWh",M126)))</x:f>
        <x:v>MW</x:v>
      </x:c>
      <x:c r="P126" s="83" t="str"/>
      <x:c r="Q126" s="349"/>
      <x:c r="R126" s="349" t="str">
        <x:f>IF(L126="","",IF(Q126&lt;&gt;"",L126*Q126,IF(OR(ISNUMBER(SEARCH("EUR2025",M126&amp;"")),P126=2025,P126="2025"),L126,"")))</x:f>
      </x:c>
      <x:c r="S126" s="83" t="str">
        <x:v>A — Direct national / E — siting gap</x:v>
      </x:c>
      <x:c r="T126" s="83" t="str">
        <x:v>Direct PNIEC mean capacity; siting remains open.</x:v>
      </x:c>
      <x:c r="U126" s="83" t="str">
        <x:v>S08</x:v>
      </x:c>
      <x:c r="V126" s="83" t="str">
        <x:v>PNIEC 2024 p.93; mean 8 GW, range 7.5-8.5 GW</x:v>
      </x:c>
      <x:c r="W126" s="120"/>
      <x:c r="X126" s="83" t="str">
        <x:v>A capacity / E siting</x:v>
      </x:c>
      <x:c r="Y126" s="83" t="str">
        <x:v>APPROVED BASE PACKAGE</x:v>
      </x:c>
      <x:c r="Z126" s="83" t="str">
        <x:v>PHASE 5 READY — RUN BLOCKED pending nuclear siting/refuelling, hourly profiles, hydro inputs, 2050 CO2 price and final CLI pin</x:v>
      </x:c>
      <x:c r="AA126" s="83" t="str">
        <x:v>8 GW direct PNIEC mean; about 1.3 GW is described as cogenerative.</x:v>
      </x:c>
    </x:row>
    <x:row r="127">
      <x:c r="A127" s="83" t="str">
        <x:v>S4-00651</x:v>
      </x:c>
      <x:c r="B127" s="83" t="str">
        <x:v>IT2050_BASE_PNIEC_NUCLEAR_8GW</x:v>
      </x:c>
      <x:c r="C127" s="83" t="n">
        <x:v>2050</x:v>
      </x:c>
      <x:c r="D127" s="83" t="str">
        <x:v>Programmable generation</x:v>
      </x:c>
      <x:c r="E127" s="83" t="str">
        <x:v>Italy</x:v>
      </x:c>
      <x:c r="F127" s="83"/>
      <x:c r="G127" s="83" t="str">
        <x:v>PNIEC non-nuclear programmable generation</x:v>
      </x:c>
      <x:c r="H127" s="83" t="str">
        <x:v>Programmable non-nuclear portfolio</x:v>
      </x:c>
      <x:c r="I127" s="83" t="str">
        <x:v>programmable</x:v>
      </x:c>
      <x:c r="J127" s="83" t="str">
        <x:v>Generator portfolio</x:v>
      </x:c>
      <x:c r="K127" s="83" t="str">
        <x:v>annual generation QA</x:v>
      </x:c>
      <x:c r="L127" s="279" t="n">
        <x:v>22.700000000000003</x:v>
      </x:c>
      <x:c r="M127" s="279" t="str">
        <x:v>TWh</x:v>
      </x:c>
      <x:c r="N127" s="279" t="n">
        <x:f>IF(L127="","",IF(M127="GW",L127*1000,IF(M127="GWh",L127*1000,IF(M127="TWh",L127*1000000,L127))))</x:f>
        <x:v>22700000.000000004</x:v>
      </x:c>
      <x:c r="O127" s="83" t="str">
        <x:f>IF(L127="","",IF(M127="GW","MW",IF(OR(M127="GWh",M127="TWh"),"MWh",M127)))</x:f>
        <x:v>MWh</x:v>
      </x:c>
      <x:c r="P127" s="83" t="str"/>
      <x:c r="Q127" s="349"/>
      <x:c r="R127" s="349" t="str">
        <x:f>IF(L127="","",IF(Q127&lt;&gt;"",L127*Q127,IF(OR(ISNUMBER(SEARCH("EUR2025",M127&amp;"")),P127=2025,P127="2025"),L127,"")))</x:f>
      </x:c>
      <x:c r="S127" s="83" t="str">
        <x:v>B — Direct categories summed</x:v>
      </x:c>
      <x:c r="T127" s="83" t="str">
        <x:v>Sum PNIEC bioenergy, bioenergy CCS, gas/fossil and gas CCS generation; nuclear excluded.</x:v>
      </x:c>
      <x:c r="U127" s="83" t="str">
        <x:v>S08 / S07</x:v>
      </x:c>
      <x:c r="V127" s="83" t="str">
        <x:v>PNIEC 2024 Figure 8; Terna 2050 Table 3</x:v>
      </x:c>
      <x:c r="W127" s="120"/>
      <x:c r="X127" s="83" t="str">
        <x:v>A components / B aggregate</x:v>
      </x:c>
      <x:c r="Y127" s="83" t="str">
        <x:v>APPROVED BASE PACKAGE</x:v>
      </x:c>
      <x:c r="Z127" s="83" t="str">
        <x:v>PHASE 5 READY — RUN BLOCKED pending nuclear siting/refuelling, hourly profiles, hydro inputs, 2050 CO2 price and final CLI pin</x:v>
      </x:c>
      <x:c r="AA127" s="83" t="str">
        <x:v>22.7 TWh excludes the separate 64.2 TWh nuclear generation target.</x:v>
      </x:c>
    </x:row>
    <x:row r="128">
      <x:c r="A128" s="83" t="str">
        <x:v>S4-00652</x:v>
      </x:c>
      <x:c r="B128" s="83" t="str">
        <x:v>IT2050_BASE_PNIEC_NUCLEAR_8GW</x:v>
      </x:c>
      <x:c r="C128" s="83" t="n">
        <x:v>2050</x:v>
      </x:c>
      <x:c r="D128" s="83" t="str">
        <x:v>Hydro</x:v>
      </x:c>
      <x:c r="E128" s="83" t="str">
        <x:v>PyPSA-Eur existing sites</x:v>
      </x:c>
      <x:c r="F128" s="83"/>
      <x:c r="G128" s="83" t="str">
        <x:v>Hydro/PHS stock</x:v>
      </x:c>
      <x:c r="H128" s="83" t="str">
        <x:v>Hydro fleet and inflows</x:v>
      </x:c>
      <x:c r="I128" s="83" t="str">
        <x:v>hydro</x:v>
      </x:c>
      <x:c r="J128" s="83" t="str">
        <x:v>Generator/StorageUnit</x:v>
      </x:c>
      <x:c r="K128" s="83" t="str">
        <x:v>existing capacities and p_max_pu</x:v>
      </x:c>
      <x:c r="L128" s="279" t="n">
        <x:v>23</x:v>
      </x:c>
      <x:c r="M128" s="279" t="str">
        <x:v>GW</x:v>
      </x:c>
      <x:c r="N128" s="279" t="n">
        <x:f>IF(L128="","",IF(M128="GW",L128*1000,IF(M128="GWh",L128*1000,IF(M128="TWh",L128*1000000,L128))))</x:f>
        <x:v>23000</x:v>
      </x:c>
      <x:c r="O128" s="83" t="str">
        <x:f>IF(L128="","",IF(M128="GW","MW",IF(OR(M128="GWh",M128="TWh"),"MWh",M128)))</x:f>
        <x:v>MW</x:v>
      </x:c>
      <x:c r="P128" s="83" t="str"/>
      <x:c r="Q128" s="349"/>
      <x:c r="R128" s="349" t="str">
        <x:f>IF(L128="","",IF(Q128&lt;&gt;"",L128*Q128,IF(OR(ISNUMBER(SEARCH("EUR2025",M128&amp;"")),P128=2025,P128="2025"),L128,"")))</x:f>
      </x:c>
      <x:c r="S128" s="83" t="str">
        <x:v>C — Source label / base-network mapping</x:v>
      </x:c>
      <x:c r="T128" s="83" t="str">
        <x:v>Retain base-network hydro and PHS geography; reconcile combined hydro+pumping capacity to ~23 GW.</x:v>
      </x:c>
      <x:c r="U128" s="83" t="str">
        <x:v>S07 / PyPSA-Eur</x:v>
      </x:c>
      <x:c r="V128" s="83" t="str">
        <x:v>Terna Figure 54 + base network</x:v>
      </x:c>
      <x:c r="W128" s="120" t="str">
        <x:v>https://github.com/PyPSA/pypsa-eur/releases/tag/v2026.02.0</x:v>
      </x:c>
      <x:c r="X128" s="83" t="str">
        <x:v>C</x:v>
      </x:c>
      <x:c r="Y128" s="83" t="str">
        <x:v>APPROVED BASE PACKAGE</x:v>
      </x:c>
      <x:c r="Z128" s="83" t="str">
        <x:v>PHASE 5 READY — RUN BLOCKED pending nuclear siting/refuelling, hourly profiles, hydro inputs, 2050 CO2 price and final CLI pin</x:v>
      </x:c>
      <x:c r="AA128" s="83" t="str">
        <x:v>Solar+wind+hydro annual production QA is 435 TWh, but hydro-only 2050 is not separately published.</x:v>
      </x:c>
    </x:row>
    <x:row r="129">
      <x:c r="A129" s="83" t="str">
        <x:v>S4-00653</x:v>
      </x:c>
      <x:c r="B129" s="83" t="str">
        <x:v>IT2050_BASE_PNIEC_NUCLEAR_8GW</x:v>
      </x:c>
      <x:c r="C129" s="83" t="n">
        <x:v>2050</x:v>
      </x:c>
      <x:c r="D129" s="83" t="str">
        <x:v>Storage</x:v>
      </x:c>
      <x:c r="E129" s="83" t="str">
        <x:v>IT_NORD</x:v>
      </x:c>
      <x:c r="F129" s="83" t="str">
        <x:v>NORD</x:v>
      </x:c>
      <x:c r="G129" s="83" t="str">
        <x:v>PNIEC storage envelope derived from Terna 2050</x:v>
      </x:c>
      <x:c r="H129" s="83" t="str">
        <x:v>Battery portfolio energy</x:v>
      </x:c>
      <x:c r="I129" s="83" t="str">
        <x:v>battery</x:v>
      </x:c>
      <x:c r="J129" s="83" t="str">
        <x:v>Store + Links</x:v>
      </x:c>
      <x:c r="K129" s="83" t="str">
        <x:v>e_nom</x:v>
      </x:c>
      <x:c r="L129" s="279" t="n">
        <x:v>20.697697697697695</x:v>
      </x:c>
      <x:c r="M129" s="279" t="str">
        <x:v>GWh</x:v>
      </x:c>
      <x:c r="N129" s="279" t="n">
        <x:f>IF(L129="","",IF(M129="GW",L129*1000,IF(M129="GWh",L129*1000,IF(M129="TWh",L129*1000000,L129))))</x:f>
        <x:v>20697.697697697695</x:v>
      </x:c>
      <x:c r="O129" s="83" t="str">
        <x:f>IF(L129="","",IF(M129="GW","MW",IF(OR(M129="GWh",M129="TWh"),"MWh",M129)))</x:f>
        <x:v>MWh</x:v>
      </x:c>
      <x:c r="P129" s="83" t="str"/>
      <x:c r="Q129" s="349"/>
      <x:c r="R129" s="349" t="str">
        <x:f>IF(L129="","",IF(Q129&lt;&gt;"",L129*Q129,IF(OR(ISNUMBER(SEARCH("EUR2025",M129&amp;"")),P129=2025,P129="2025"),L129,"")))</x:f>
      </x:c>
      <x:c r="S129" s="83" t="str">
        <x:v>D — Model-build bridge</x:v>
      </x:c>
      <x:c r="T129" s="83" t="str">
        <x:v>Extrapolate Terna's storage relationship from 196 GWh at 246 GW FRNP and 216 GWh at 270 GW FRNP to PNIEC's 296 GW FRNP; distribute with DE-IT BESS shares.</x:v>
      </x:c>
      <x:c r="U129" s="83" t="str">
        <x:v>S07 + ASSUMPTION</x:v>
      </x:c>
      <x:c r="V129" s="83" t="str">
        <x:v>Terna 2050 Table 4; PNIEC 2050 FRNP total</x:v>
      </x:c>
      <x:c r="W129" s="120"/>
      <x:c r="X129" s="83" t="str">
        <x:v>D — Transparent extrapolation</x:v>
      </x:c>
      <x:c r="Y129" s="83" t="str">
        <x:v>PROVISIONAL FOR PHASE 5</x:v>
      </x:c>
      <x:c r="Z129" s="83" t="str">
        <x:v>PHASE 5 READY — RUN BLOCKED pending nuclear siting/refuelling, hourly profiles, hydro inputs, 2050 CO2 price and final CLI pin</x:v>
      </x:c>
      <x:c r="AA129" s="83" t="str">
        <x:v>National envelope 237.667 GWh; PNIEC reports storage as n/a.</x:v>
      </x:c>
    </x:row>
    <x:row r="130">
      <x:c r="A130" s="83" t="str">
        <x:v>S4-00654</x:v>
      </x:c>
      <x:c r="B130" s="83" t="str">
        <x:v>IT2050_BASE_PNIEC_NUCLEAR_8GW</x:v>
      </x:c>
      <x:c r="C130" s="83" t="n">
        <x:v>2050</x:v>
      </x:c>
      <x:c r="D130" s="83" t="str">
        <x:v>Storage power</x:v>
      </x:c>
      <x:c r="E130" s="83" t="str">
        <x:v>IT_NORD</x:v>
      </x:c>
      <x:c r="F130" s="83" t="str">
        <x:v>NORD</x:v>
      </x:c>
      <x:c r="G130" s="83" t="str">
        <x:v>PNIEC storage envelope derived from Terna 2050</x:v>
      </x:c>
      <x:c r="H130" s="83" t="str">
        <x:v>Battery portfolio discharge power</x:v>
      </x:c>
      <x:c r="I130" s="83" t="str">
        <x:v>battery</x:v>
      </x:c>
      <x:c r="J130" s="83" t="str">
        <x:v>Link</x:v>
      </x:c>
      <x:c r="K130" s="83" t="str">
        <x:v>p_nom</x:v>
      </x:c>
      <x:c r="L130" s="279" t="n">
        <x:v>3.801617944475087</x:v>
      </x:c>
      <x:c r="M130" s="279" t="str">
        <x:v>GW</x:v>
      </x:c>
      <x:c r="N130" s="279" t="n">
        <x:f>IF(L130="","",IF(M130="GW",L130*1000,IF(M130="GWh",L130*1000,IF(M130="TWh",L130*1000000,L130))))</x:f>
        <x:v>3801.617944475087</x:v>
      </x:c>
      <x:c r="O130" s="83" t="str">
        <x:f>IF(L130="","",IF(M130="GW","MW",IF(OR(M130="GWh",M130="TWh"),"MWh",M130)))</x:f>
        <x:v>MW</x:v>
      </x:c>
      <x:c r="P130" s="83" t="str"/>
      <x:c r="Q130" s="349"/>
      <x:c r="R130" s="349" t="str">
        <x:f>IF(L130="","",IF(Q130&lt;&gt;"",L130*Q130,IF(OR(ISNUMBER(SEARCH("EUR2025",M130&amp;"")),P130=2025,P130="2025"),L130,"")))</x:f>
      </x:c>
      <x:c r="S130" s="83" t="str">
        <x:v>D — Model-build bridge</x:v>
      </x:c>
      <x:c r="T130" s="83" t="str">
        <x:v>Use the Terna nuclear-case aggregate duration of 5.444444 h for the 237.667 GWh envelope.</x:v>
      </x:c>
      <x:c r="U130" s="83" t="str">
        <x:v>S07 + ASSUMPTION</x:v>
      </x:c>
      <x:c r="V130" s="83" t="str">
        <x:v>Terna 2050 storage energy/power relationship</x:v>
      </x:c>
      <x:c r="W130" s="120"/>
      <x:c r="X130" s="83" t="str">
        <x:v>D — Transparent derivation</x:v>
      </x:c>
      <x:c r="Y130" s="83" t="str">
        <x:v>PROVISIONAL FOR PHASE 5</x:v>
      </x:c>
      <x:c r="Z130" s="83" t="str">
        <x:v>PHASE 5 READY — RUN BLOCKED pending nuclear siting/refuelling, hourly profiles, hydro inputs, 2050 CO2 price and final CLI pin</x:v>
      </x:c>
      <x:c r="AA130" s="83" t="str">
        <x:v>National discharge-power envelope 43.653 GW.</x:v>
      </x:c>
    </x:row>
    <x:row r="131">
      <x:c r="A131" s="83" t="str">
        <x:v>S4-00655</x:v>
      </x:c>
      <x:c r="B131" s="83" t="str">
        <x:v>IT2050_BASE_PNIEC_NUCLEAR_8GW</x:v>
      </x:c>
      <x:c r="C131" s="83" t="n">
        <x:v>2050</x:v>
      </x:c>
      <x:c r="D131" s="83" t="str">
        <x:v>Storage</x:v>
      </x:c>
      <x:c r="E131" s="83" t="str">
        <x:v>IT_CNOR</x:v>
      </x:c>
      <x:c r="F131" s="83" t="str">
        <x:v>CNOR</x:v>
      </x:c>
      <x:c r="G131" s="83" t="str">
        <x:v>PNIEC storage envelope derived from Terna 2050</x:v>
      </x:c>
      <x:c r="H131" s="83" t="str">
        <x:v>Battery portfolio energy</x:v>
      </x:c>
      <x:c r="I131" s="83" t="str">
        <x:v>battery</x:v>
      </x:c>
      <x:c r="J131" s="83" t="str">
        <x:v>Store + Links</x:v>
      </x:c>
      <x:c r="K131" s="83" t="str">
        <x:v>e_nom</x:v>
      </x:c>
      <x:c r="L131" s="279" t="n">
        <x:v>7.137137137137137</x:v>
      </x:c>
      <x:c r="M131" s="279" t="str">
        <x:v>GWh</x:v>
      </x:c>
      <x:c r="N131" s="279" t="n">
        <x:f>IF(L131="","",IF(M131="GW",L131*1000,IF(M131="GWh",L131*1000,IF(M131="TWh",L131*1000000,L131))))</x:f>
        <x:v>7137.137137137137</x:v>
      </x:c>
      <x:c r="O131" s="83" t="str">
        <x:f>IF(L131="","",IF(M131="GW","MW",IF(OR(M131="GWh",M131="TWh"),"MWh",M131)))</x:f>
        <x:v>MWh</x:v>
      </x:c>
      <x:c r="P131" s="83" t="str"/>
      <x:c r="Q131" s="349"/>
      <x:c r="R131" s="349" t="str">
        <x:f>IF(L131="","",IF(Q131&lt;&gt;"",L131*Q131,IF(OR(ISNUMBER(SEARCH("EUR2025",M131&amp;"")),P131=2025,P131="2025"),L131,"")))</x:f>
      </x:c>
      <x:c r="S131" s="83" t="str">
        <x:v>D — Model-build bridge</x:v>
      </x:c>
      <x:c r="T131" s="83" t="str">
        <x:v>Extrapolate Terna's storage relationship from 196 GWh at 246 GW FRNP and 216 GWh at 270 GW FRNP to PNIEC's 296 GW FRNP; distribute with DE-IT BESS shares.</x:v>
      </x:c>
      <x:c r="U131" s="83" t="str">
        <x:v>S07 + ASSUMPTION</x:v>
      </x:c>
      <x:c r="V131" s="83" t="str">
        <x:v>Terna 2050 Table 4; PNIEC 2050 FRNP total</x:v>
      </x:c>
      <x:c r="W131" s="120"/>
      <x:c r="X131" s="83" t="str">
        <x:v>D — Transparent extrapolation</x:v>
      </x:c>
      <x:c r="Y131" s="83" t="str">
        <x:v>PROVISIONAL FOR PHASE 5</x:v>
      </x:c>
      <x:c r="Z131" s="83" t="str">
        <x:v>PHASE 5 READY — RUN BLOCKED pending nuclear siting/refuelling, hourly profiles, hydro inputs, 2050 CO2 price and final CLI pin</x:v>
      </x:c>
      <x:c r="AA131" s="83" t="str">
        <x:v>National envelope 237.667 GWh; PNIEC reports storage as n/a.</x:v>
      </x:c>
    </x:row>
    <x:row r="132">
      <x:c r="A132" s="83" t="str">
        <x:v>S4-00656</x:v>
      </x:c>
      <x:c r="B132" s="83" t="str">
        <x:v>IT2050_BASE_PNIEC_NUCLEAR_8GW</x:v>
      </x:c>
      <x:c r="C132" s="83" t="n">
        <x:v>2050</x:v>
      </x:c>
      <x:c r="D132" s="83" t="str">
        <x:v>Storage power</x:v>
      </x:c>
      <x:c r="E132" s="83" t="str">
        <x:v>IT_CNOR</x:v>
      </x:c>
      <x:c r="F132" s="83" t="str">
        <x:v>CNOR</x:v>
      </x:c>
      <x:c r="G132" s="83" t="str">
        <x:v>PNIEC storage envelope derived from Terna 2050</x:v>
      </x:c>
      <x:c r="H132" s="83" t="str">
        <x:v>Battery portfolio discharge power</x:v>
      </x:c>
      <x:c r="I132" s="83" t="str">
        <x:v>battery</x:v>
      </x:c>
      <x:c r="J132" s="83" t="str">
        <x:v>Link</x:v>
      </x:c>
      <x:c r="K132" s="83" t="str">
        <x:v>p_nom</x:v>
      </x:c>
      <x:c r="L132" s="279" t="n">
        <x:v>1.310902739474168</x:v>
      </x:c>
      <x:c r="M132" s="279" t="str">
        <x:v>GW</x:v>
      </x:c>
      <x:c r="N132" s="279" t="n">
        <x:f>IF(L132="","",IF(M132="GW",L132*1000,IF(M132="GWh",L132*1000,IF(M132="TWh",L132*1000000,L132))))</x:f>
        <x:v>1310.902739474168</x:v>
      </x:c>
      <x:c r="O132" s="83" t="str">
        <x:f>IF(L132="","",IF(M132="GW","MW",IF(OR(M132="GWh",M132="TWh"),"MWh",M132)))</x:f>
        <x:v>MW</x:v>
      </x:c>
      <x:c r="P132" s="83" t="str"/>
      <x:c r="Q132" s="349"/>
      <x:c r="R132" s="349" t="str">
        <x:f>IF(L132="","",IF(Q132&lt;&gt;"",L132*Q132,IF(OR(ISNUMBER(SEARCH("EUR2025",M132&amp;"")),P132=2025,P132="2025"),L132,"")))</x:f>
      </x:c>
      <x:c r="S132" s="83" t="str">
        <x:v>D — Model-build bridge</x:v>
      </x:c>
      <x:c r="T132" s="83" t="str">
        <x:v>Use the Terna nuclear-case aggregate duration of 5.444444 h for the 237.667 GWh envelope.</x:v>
      </x:c>
      <x:c r="U132" s="83" t="str">
        <x:v>S07 + ASSUMPTION</x:v>
      </x:c>
      <x:c r="V132" s="83" t="str">
        <x:v>Terna 2050 storage energy/power relationship</x:v>
      </x:c>
      <x:c r="W132" s="120"/>
      <x:c r="X132" s="83" t="str">
        <x:v>D — Transparent derivation</x:v>
      </x:c>
      <x:c r="Y132" s="83" t="str">
        <x:v>PROVISIONAL FOR PHASE 5</x:v>
      </x:c>
      <x:c r="Z132" s="83" t="str">
        <x:v>PHASE 5 READY — RUN BLOCKED pending nuclear siting/refuelling, hourly profiles, hydro inputs, 2050 CO2 price and final CLI pin</x:v>
      </x:c>
      <x:c r="AA132" s="83" t="str">
        <x:v>National discharge-power envelope 43.653 GW.</x:v>
      </x:c>
    </x:row>
    <x:row r="133">
      <x:c r="A133" s="83" t="str">
        <x:v>S4-00657</x:v>
      </x:c>
      <x:c r="B133" s="83" t="str">
        <x:v>IT2050_BASE_PNIEC_NUCLEAR_8GW</x:v>
      </x:c>
      <x:c r="C133" s="83" t="n">
        <x:v>2050</x:v>
      </x:c>
      <x:c r="D133" s="83" t="str">
        <x:v>Storage</x:v>
      </x:c>
      <x:c r="E133" s="83" t="str">
        <x:v>IT_CSUD</x:v>
      </x:c>
      <x:c r="F133" s="83" t="str">
        <x:v>CSUD</x:v>
      </x:c>
      <x:c r="G133" s="83" t="str">
        <x:v>PNIEC storage envelope derived from Terna 2050</x:v>
      </x:c>
      <x:c r="H133" s="83" t="str">
        <x:v>Battery portfolio energy</x:v>
      </x:c>
      <x:c r="I133" s="83" t="str">
        <x:v>battery</x:v>
      </x:c>
      <x:c r="J133" s="83" t="str">
        <x:v>Store + Links</x:v>
      </x:c>
      <x:c r="K133" s="83" t="str">
        <x:v>e_nom</x:v>
      </x:c>
      <x:c r="L133" s="279" t="n">
        <x:v>37.39859859859859</x:v>
      </x:c>
      <x:c r="M133" s="279" t="str">
        <x:v>GWh</x:v>
      </x:c>
      <x:c r="N133" s="279" t="n">
        <x:f>IF(L133="","",IF(M133="GW",L133*1000,IF(M133="GWh",L133*1000,IF(M133="TWh",L133*1000000,L133))))</x:f>
        <x:v>37398.59859859859</x:v>
      </x:c>
      <x:c r="O133" s="83" t="str">
        <x:f>IF(L133="","",IF(M133="GW","MW",IF(OR(M133="GWh",M133="TWh"),"MWh",M133)))</x:f>
        <x:v>MWh</x:v>
      </x:c>
      <x:c r="P133" s="83" t="str"/>
      <x:c r="Q133" s="349"/>
      <x:c r="R133" s="349" t="str">
        <x:f>IF(L133="","",IF(Q133&lt;&gt;"",L133*Q133,IF(OR(ISNUMBER(SEARCH("EUR2025",M133&amp;"")),P133=2025,P133="2025"),L133,"")))</x:f>
      </x:c>
      <x:c r="S133" s="83" t="str">
        <x:v>D — Model-build bridge</x:v>
      </x:c>
      <x:c r="T133" s="83" t="str">
        <x:v>Extrapolate Terna's storage relationship from 196 GWh at 246 GW FRNP and 216 GWh at 270 GW FRNP to PNIEC's 296 GW FRNP; distribute with DE-IT BESS shares.</x:v>
      </x:c>
      <x:c r="U133" s="83" t="str">
        <x:v>S07 + ASSUMPTION</x:v>
      </x:c>
      <x:c r="V133" s="83" t="str">
        <x:v>Terna 2050 Table 4; PNIEC 2050 FRNP total</x:v>
      </x:c>
      <x:c r="W133" s="120"/>
      <x:c r="X133" s="83" t="str">
        <x:v>D — Transparent extrapolation</x:v>
      </x:c>
      <x:c r="Y133" s="83" t="str">
        <x:v>PROVISIONAL FOR PHASE 5</x:v>
      </x:c>
      <x:c r="Z133" s="83" t="str">
        <x:v>PHASE 5 READY — RUN BLOCKED pending nuclear siting/refuelling, hourly profiles, hydro inputs, 2050 CO2 price and final CLI pin</x:v>
      </x:c>
      <x:c r="AA133" s="83" t="str">
        <x:v>National envelope 237.667 GWh; PNIEC reports storage as n/a.</x:v>
      </x:c>
    </x:row>
    <x:row r="134">
      <x:c r="A134" s="83" t="str">
        <x:v>S4-00658</x:v>
      </x:c>
      <x:c r="B134" s="83" t="str">
        <x:v>IT2050_BASE_PNIEC_NUCLEAR_8GW</x:v>
      </x:c>
      <x:c r="C134" s="83" t="n">
        <x:v>2050</x:v>
      </x:c>
      <x:c r="D134" s="83" t="str">
        <x:v>Storage power</x:v>
      </x:c>
      <x:c r="E134" s="83" t="str">
        <x:v>IT_CSUD</x:v>
      </x:c>
      <x:c r="F134" s="83" t="str">
        <x:v>CSUD</x:v>
      </x:c>
      <x:c r="G134" s="83" t="str">
        <x:v>PNIEC storage envelope derived from Terna 2050</x:v>
      </x:c>
      <x:c r="H134" s="83" t="str">
        <x:v>Battery portfolio discharge power</x:v>
      </x:c>
      <x:c r="I134" s="83" t="str">
        <x:v>battery</x:v>
      </x:c>
      <x:c r="J134" s="83" t="str">
        <x:v>Link</x:v>
      </x:c>
      <x:c r="K134" s="83" t="str">
        <x:v>p_nom</x:v>
      </x:c>
      <x:c r="L134" s="279" t="n">
        <x:v>6.86913035484464</x:v>
      </x:c>
      <x:c r="M134" s="279" t="str">
        <x:v>GW</x:v>
      </x:c>
      <x:c r="N134" s="279" t="n">
        <x:f>IF(L134="","",IF(M134="GW",L134*1000,IF(M134="GWh",L134*1000,IF(M134="TWh",L134*1000000,L134))))</x:f>
        <x:v>6869.13035484464</x:v>
      </x:c>
      <x:c r="O134" s="83" t="str">
        <x:f>IF(L134="","",IF(M134="GW","MW",IF(OR(M134="GWh",M134="TWh"),"MWh",M134)))</x:f>
        <x:v>MW</x:v>
      </x:c>
      <x:c r="P134" s="83" t="str"/>
      <x:c r="Q134" s="349"/>
      <x:c r="R134" s="349" t="str">
        <x:f>IF(L134="","",IF(Q134&lt;&gt;"",L134*Q134,IF(OR(ISNUMBER(SEARCH("EUR2025",M134&amp;"")),P134=2025,P134="2025"),L134,"")))</x:f>
      </x:c>
      <x:c r="S134" s="83" t="str">
        <x:v>D — Model-build bridge</x:v>
      </x:c>
      <x:c r="T134" s="83" t="str">
        <x:v>Use the Terna nuclear-case aggregate duration of 5.444444 h for the 237.667 GWh envelope.</x:v>
      </x:c>
      <x:c r="U134" s="83" t="str">
        <x:v>S07 + ASSUMPTION</x:v>
      </x:c>
      <x:c r="V134" s="83" t="str">
        <x:v>Terna 2050 storage energy/power relationship</x:v>
      </x:c>
      <x:c r="W134" s="120"/>
      <x:c r="X134" s="83" t="str">
        <x:v>D — Transparent derivation</x:v>
      </x:c>
      <x:c r="Y134" s="83" t="str">
        <x:v>PROVISIONAL FOR PHASE 5</x:v>
      </x:c>
      <x:c r="Z134" s="83" t="str">
        <x:v>PHASE 5 READY — RUN BLOCKED pending nuclear siting/refuelling, hourly profiles, hydro inputs, 2050 CO2 price and final CLI pin</x:v>
      </x:c>
      <x:c r="AA134" s="83" t="str">
        <x:v>National discharge-power envelope 43.653 GW.</x:v>
      </x:c>
    </x:row>
    <x:row r="135">
      <x:c r="A135" s="83" t="str">
        <x:v>S4-00659</x:v>
      </x:c>
      <x:c r="B135" s="83" t="str">
        <x:v>IT2050_BASE_PNIEC_NUCLEAR_8GW</x:v>
      </x:c>
      <x:c r="C135" s="83" t="n">
        <x:v>2050</x:v>
      </x:c>
      <x:c r="D135" s="83" t="str">
        <x:v>Storage</x:v>
      </x:c>
      <x:c r="E135" s="83" t="str">
        <x:v>IT_SUD</x:v>
      </x:c>
      <x:c r="F135" s="83" t="str">
        <x:v>SUD</x:v>
      </x:c>
      <x:c r="G135" s="83" t="str">
        <x:v>PNIEC storage envelope derived from Terna 2050</x:v>
      </x:c>
      <x:c r="H135" s="83" t="str">
        <x:v>Battery portfolio energy</x:v>
      </x:c>
      <x:c r="I135" s="83" t="str">
        <x:v>battery</x:v>
      </x:c>
      <x:c r="J135" s="83" t="str">
        <x:v>Store + Links</x:v>
      </x:c>
      <x:c r="K135" s="83" t="str">
        <x:v>e_nom</x:v>
      </x:c>
      <x:c r="L135" s="279" t="n">
        <x:v>69.51571571571571</x:v>
      </x:c>
      <x:c r="M135" s="279" t="str">
        <x:v>GWh</x:v>
      </x:c>
      <x:c r="N135" s="279" t="n">
        <x:f>IF(L135="","",IF(M135="GW",L135*1000,IF(M135="GWh",L135*1000,IF(M135="TWh",L135*1000000,L135))))</x:f>
        <x:v>69515.71571571572</x:v>
      </x:c>
      <x:c r="O135" s="83" t="str">
        <x:f>IF(L135="","",IF(M135="GW","MW",IF(OR(M135="GWh",M135="TWh"),"MWh",M135)))</x:f>
        <x:v>MWh</x:v>
      </x:c>
      <x:c r="P135" s="83" t="str"/>
      <x:c r="Q135" s="349"/>
      <x:c r="R135" s="349" t="str">
        <x:f>IF(L135="","",IF(Q135&lt;&gt;"",L135*Q135,IF(OR(ISNUMBER(SEARCH("EUR2025",M135&amp;"")),P135=2025,P135="2025"),L135,"")))</x:f>
      </x:c>
      <x:c r="S135" s="83" t="str">
        <x:v>D — Model-build bridge</x:v>
      </x:c>
      <x:c r="T135" s="83" t="str">
        <x:v>Extrapolate Terna's storage relationship from 196 GWh at 246 GW FRNP and 216 GWh at 270 GW FRNP to PNIEC's 296 GW FRNP; distribute with DE-IT BESS shares.</x:v>
      </x:c>
      <x:c r="U135" s="83" t="str">
        <x:v>S07 + ASSUMPTION</x:v>
      </x:c>
      <x:c r="V135" s="83" t="str">
        <x:v>Terna 2050 Table 4; PNIEC 2050 FRNP total</x:v>
      </x:c>
      <x:c r="W135" s="120"/>
      <x:c r="X135" s="83" t="str">
        <x:v>D — Transparent extrapolation</x:v>
      </x:c>
      <x:c r="Y135" s="83" t="str">
        <x:v>PROVISIONAL FOR PHASE 5</x:v>
      </x:c>
      <x:c r="Z135" s="83" t="str">
        <x:v>PHASE 5 READY — RUN BLOCKED pending nuclear siting/refuelling, hourly profiles, hydro inputs, 2050 CO2 price and final CLI pin</x:v>
      </x:c>
      <x:c r="AA135" s="83" t="str">
        <x:v>National envelope 237.667 GWh; PNIEC reports storage as n/a.</x:v>
      </x:c>
    </x:row>
    <x:row r="136">
      <x:c r="A136" s="83" t="str">
        <x:v>S4-00660</x:v>
      </x:c>
      <x:c r="B136" s="83" t="str">
        <x:v>IT2050_BASE_PNIEC_NUCLEAR_8GW</x:v>
      </x:c>
      <x:c r="C136" s="83" t="n">
        <x:v>2050</x:v>
      </x:c>
      <x:c r="D136" s="83" t="str">
        <x:v>Storage power</x:v>
      </x:c>
      <x:c r="E136" s="83" t="str">
        <x:v>IT_SUD</x:v>
      </x:c>
      <x:c r="F136" s="83" t="str">
        <x:v>SUD</x:v>
      </x:c>
      <x:c r="G136" s="83" t="str">
        <x:v>PNIEC storage envelope derived from Terna 2050</x:v>
      </x:c>
      <x:c r="H136" s="83" t="str">
        <x:v>Battery portfolio discharge power</x:v>
      </x:c>
      <x:c r="I136" s="83" t="str">
        <x:v>battery</x:v>
      </x:c>
      <x:c r="J136" s="83" t="str">
        <x:v>Link</x:v>
      </x:c>
      <x:c r="K136" s="83" t="str">
        <x:v>p_nom</x:v>
      </x:c>
      <x:c r="L136" s="279" t="n">
        <x:v>12.768192682478395</x:v>
      </x:c>
      <x:c r="M136" s="279" t="str">
        <x:v>GW</x:v>
      </x:c>
      <x:c r="N136" s="279" t="n">
        <x:f>IF(L136="","",IF(M136="GW",L136*1000,IF(M136="GWh",L136*1000,IF(M136="TWh",L136*1000000,L136))))</x:f>
        <x:v>12768.192682478395</x:v>
      </x:c>
      <x:c r="O136" s="83" t="str">
        <x:f>IF(L136="","",IF(M136="GW","MW",IF(OR(M136="GWh",M136="TWh"),"MWh",M136)))</x:f>
        <x:v>MW</x:v>
      </x:c>
      <x:c r="P136" s="83" t="str"/>
      <x:c r="Q136" s="349"/>
      <x:c r="R136" s="349" t="str">
        <x:f>IF(L136="","",IF(Q136&lt;&gt;"",L136*Q136,IF(OR(ISNUMBER(SEARCH("EUR2025",M136&amp;"")),P136=2025,P136="2025"),L136,"")))</x:f>
      </x:c>
      <x:c r="S136" s="83" t="str">
        <x:v>D — Model-build bridge</x:v>
      </x:c>
      <x:c r="T136" s="83" t="str">
        <x:v>Use the Terna nuclear-case aggregate duration of 5.444444 h for the 237.667 GWh envelope.</x:v>
      </x:c>
      <x:c r="U136" s="83" t="str">
        <x:v>S07 + ASSUMPTION</x:v>
      </x:c>
      <x:c r="V136" s="83" t="str">
        <x:v>Terna 2050 storage energy/power relationship</x:v>
      </x:c>
      <x:c r="W136" s="120"/>
      <x:c r="X136" s="83" t="str">
        <x:v>D — Transparent derivation</x:v>
      </x:c>
      <x:c r="Y136" s="83" t="str">
        <x:v>PROVISIONAL FOR PHASE 5</x:v>
      </x:c>
      <x:c r="Z136" s="83" t="str">
        <x:v>PHASE 5 READY — RUN BLOCKED pending nuclear siting/refuelling, hourly profiles, hydro inputs, 2050 CO2 price and final CLI pin</x:v>
      </x:c>
      <x:c r="AA136" s="83" t="str">
        <x:v>National discharge-power envelope 43.653 GW.</x:v>
      </x:c>
    </x:row>
    <x:row r="137">
      <x:c r="A137" s="83" t="str">
        <x:v>S4-00661</x:v>
      </x:c>
      <x:c r="B137" s="83" t="str">
        <x:v>IT2050_BASE_PNIEC_NUCLEAR_8GW</x:v>
      </x:c>
      <x:c r="C137" s="83" t="n">
        <x:v>2050</x:v>
      </x:c>
      <x:c r="D137" s="83" t="str">
        <x:v>Storage</x:v>
      </x:c>
      <x:c r="E137" s="83" t="str">
        <x:v>IT_CALA</x:v>
      </x:c>
      <x:c r="F137" s="83" t="str">
        <x:v>CALA</x:v>
      </x:c>
      <x:c r="G137" s="83" t="str">
        <x:v>PNIEC storage envelope derived from Terna 2050</x:v>
      </x:c>
      <x:c r="H137" s="83" t="str">
        <x:v>Battery portfolio energy</x:v>
      </x:c>
      <x:c r="I137" s="83" t="str">
        <x:v>battery</x:v>
      </x:c>
      <x:c r="J137" s="83" t="str">
        <x:v>Store + Links</x:v>
      </x:c>
      <x:c r="K137" s="83" t="str">
        <x:v>e_nom</x:v>
      </x:c>
      <x:c r="L137" s="279" t="n">
        <x:v>15.416216216216215</x:v>
      </x:c>
      <x:c r="M137" s="279" t="str">
        <x:v>GWh</x:v>
      </x:c>
      <x:c r="N137" s="279" t="n">
        <x:f>IF(L137="","",IF(M137="GW",L137*1000,IF(M137="GWh",L137*1000,IF(M137="TWh",L137*1000000,L137))))</x:f>
        <x:v>15416.216216216215</x:v>
      </x:c>
      <x:c r="O137" s="83" t="str">
        <x:f>IF(L137="","",IF(M137="GW","MW",IF(OR(M137="GWh",M137="TWh"),"MWh",M137)))</x:f>
        <x:v>MWh</x:v>
      </x:c>
      <x:c r="P137" s="83" t="str"/>
      <x:c r="Q137" s="349"/>
      <x:c r="R137" s="349" t="str">
        <x:f>IF(L137="","",IF(Q137&lt;&gt;"",L137*Q137,IF(OR(ISNUMBER(SEARCH("EUR2025",M137&amp;"")),P137=2025,P137="2025"),L137,"")))</x:f>
      </x:c>
      <x:c r="S137" s="83" t="str">
        <x:v>D — Model-build bridge</x:v>
      </x:c>
      <x:c r="T137" s="83" t="str">
        <x:v>Extrapolate Terna's storage relationship from 196 GWh at 246 GW FRNP and 216 GWh at 270 GW FRNP to PNIEC's 296 GW FRNP; distribute with DE-IT BESS shares.</x:v>
      </x:c>
      <x:c r="U137" s="83" t="str">
        <x:v>S07 + ASSUMPTION</x:v>
      </x:c>
      <x:c r="V137" s="83" t="str">
        <x:v>Terna 2050 Table 4; PNIEC 2050 FRNP total</x:v>
      </x:c>
      <x:c r="W137" s="120"/>
      <x:c r="X137" s="83" t="str">
        <x:v>D — Transparent extrapolation</x:v>
      </x:c>
      <x:c r="Y137" s="83" t="str">
        <x:v>PROVISIONAL FOR PHASE 5</x:v>
      </x:c>
      <x:c r="Z137" s="83" t="str">
        <x:v>PHASE 5 READY — RUN BLOCKED pending nuclear siting/refuelling, hourly profiles, hydro inputs, 2050 CO2 price and final CLI pin</x:v>
      </x:c>
      <x:c r="AA137" s="83" t="str">
        <x:v>National envelope 237.667 GWh; PNIEC reports storage as n/a.</x:v>
      </x:c>
    </x:row>
    <x:row r="138">
      <x:c r="A138" s="83" t="str">
        <x:v>S4-00662</x:v>
      </x:c>
      <x:c r="B138" s="83" t="str">
        <x:v>IT2050_BASE_PNIEC_NUCLEAR_8GW</x:v>
      </x:c>
      <x:c r="C138" s="83" t="n">
        <x:v>2050</x:v>
      </x:c>
      <x:c r="D138" s="83" t="str">
        <x:v>Storage power</x:v>
      </x:c>
      <x:c r="E138" s="83" t="str">
        <x:v>IT_CALA</x:v>
      </x:c>
      <x:c r="F138" s="83" t="str">
        <x:v>CALA</x:v>
      </x:c>
      <x:c r="G138" s="83" t="str">
        <x:v>PNIEC storage envelope derived from Terna 2050</x:v>
      </x:c>
      <x:c r="H138" s="83" t="str">
        <x:v>Battery portfolio discharge power</x:v>
      </x:c>
      <x:c r="I138" s="83" t="str">
        <x:v>battery</x:v>
      </x:c>
      <x:c r="J138" s="83" t="str">
        <x:v>Link</x:v>
      </x:c>
      <x:c r="K138" s="83" t="str">
        <x:v>p_nom</x:v>
      </x:c>
      <x:c r="L138" s="279" t="n">
        <x:v>2.831549917264203</x:v>
      </x:c>
      <x:c r="M138" s="279" t="str">
        <x:v>GW</x:v>
      </x:c>
      <x:c r="N138" s="279" t="n">
        <x:f>IF(L138="","",IF(M138="GW",L138*1000,IF(M138="GWh",L138*1000,IF(M138="TWh",L138*1000000,L138))))</x:f>
        <x:v>2831.549917264203</x:v>
      </x:c>
      <x:c r="O138" s="83" t="str">
        <x:f>IF(L138="","",IF(M138="GW","MW",IF(OR(M138="GWh",M138="TWh"),"MWh",M138)))</x:f>
        <x:v>MW</x:v>
      </x:c>
      <x:c r="P138" s="83" t="str"/>
      <x:c r="Q138" s="349"/>
      <x:c r="R138" s="349" t="str">
        <x:f>IF(L138="","",IF(Q138&lt;&gt;"",L138*Q138,IF(OR(ISNUMBER(SEARCH("EUR2025",M138&amp;"")),P138=2025,P138="2025"),L138,"")))</x:f>
      </x:c>
      <x:c r="S138" s="83" t="str">
        <x:v>D — Model-build bridge</x:v>
      </x:c>
      <x:c r="T138" s="83" t="str">
        <x:v>Use the Terna nuclear-case aggregate duration of 5.444444 h for the 237.667 GWh envelope.</x:v>
      </x:c>
      <x:c r="U138" s="83" t="str">
        <x:v>S07 + ASSUMPTION</x:v>
      </x:c>
      <x:c r="V138" s="83" t="str">
        <x:v>Terna 2050 storage energy/power relationship</x:v>
      </x:c>
      <x:c r="W138" s="120"/>
      <x:c r="X138" s="83" t="str">
        <x:v>D — Transparent derivation</x:v>
      </x:c>
      <x:c r="Y138" s="83" t="str">
        <x:v>PROVISIONAL FOR PHASE 5</x:v>
      </x:c>
      <x:c r="Z138" s="83" t="str">
        <x:v>PHASE 5 READY — RUN BLOCKED pending nuclear siting/refuelling, hourly profiles, hydro inputs, 2050 CO2 price and final CLI pin</x:v>
      </x:c>
      <x:c r="AA138" s="83" t="str">
        <x:v>National discharge-power envelope 43.653 GW.</x:v>
      </x:c>
    </x:row>
    <x:row r="139">
      <x:c r="A139" s="83" t="str">
        <x:v>S4-00663</x:v>
      </x:c>
      <x:c r="B139" s="83" t="str">
        <x:v>IT2050_BASE_PNIEC_NUCLEAR_8GW</x:v>
      </x:c>
      <x:c r="C139" s="83" t="n">
        <x:v>2050</x:v>
      </x:c>
      <x:c r="D139" s="83" t="str">
        <x:v>Storage</x:v>
      </x:c>
      <x:c r="E139" s="83" t="str">
        <x:v>IT_SICI</x:v>
      </x:c>
      <x:c r="F139" s="83" t="str">
        <x:v>SICI</x:v>
      </x:c>
      <x:c r="G139" s="83" t="str">
        <x:v>PNIEC storage envelope derived from Terna 2050</x:v>
      </x:c>
      <x:c r="H139" s="83" t="str">
        <x:v>Battery portfolio energy</x:v>
      </x:c>
      <x:c r="I139" s="83" t="str">
        <x:v>battery</x:v>
      </x:c>
      <x:c r="J139" s="83" t="str">
        <x:v>Store + Links</x:v>
      </x:c>
      <x:c r="K139" s="83" t="str">
        <x:v>e_nom</x:v>
      </x:c>
      <x:c r="L139" s="279" t="n">
        <x:v>53.10030030030031</x:v>
      </x:c>
      <x:c r="M139" s="279" t="str">
        <x:v>GWh</x:v>
      </x:c>
      <x:c r="N139" s="279" t="n">
        <x:f>IF(L139="","",IF(M139="GW",L139*1000,IF(M139="GWh",L139*1000,IF(M139="TWh",L139*1000000,L139))))</x:f>
        <x:v>53100.30030030031</x:v>
      </x:c>
      <x:c r="O139" s="83" t="str">
        <x:f>IF(L139="","",IF(M139="GW","MW",IF(OR(M139="GWh",M139="TWh"),"MWh",M139)))</x:f>
        <x:v>MWh</x:v>
      </x:c>
      <x:c r="P139" s="83" t="str"/>
      <x:c r="Q139" s="349"/>
      <x:c r="R139" s="349" t="str">
        <x:f>IF(L139="","",IF(Q139&lt;&gt;"",L139*Q139,IF(OR(ISNUMBER(SEARCH("EUR2025",M139&amp;"")),P139=2025,P139="2025"),L139,"")))</x:f>
      </x:c>
      <x:c r="S139" s="83" t="str">
        <x:v>D — Model-build bridge</x:v>
      </x:c>
      <x:c r="T139" s="83" t="str">
        <x:v>Extrapolate Terna's storage relationship from 196 GWh at 246 GW FRNP and 216 GWh at 270 GW FRNP to PNIEC's 296 GW FRNP; distribute with DE-IT BESS shares.</x:v>
      </x:c>
      <x:c r="U139" s="83" t="str">
        <x:v>S07 + ASSUMPTION</x:v>
      </x:c>
      <x:c r="V139" s="83" t="str">
        <x:v>Terna 2050 Table 4; PNIEC 2050 FRNP total</x:v>
      </x:c>
      <x:c r="W139" s="120"/>
      <x:c r="X139" s="83" t="str">
        <x:v>D — Transparent extrapolation</x:v>
      </x:c>
      <x:c r="Y139" s="83" t="str">
        <x:v>PROVISIONAL FOR PHASE 5</x:v>
      </x:c>
      <x:c r="Z139" s="83" t="str">
        <x:v>PHASE 5 READY — RUN BLOCKED pending nuclear siting/refuelling, hourly profiles, hydro inputs, 2050 CO2 price and final CLI pin</x:v>
      </x:c>
      <x:c r="AA139" s="83" t="str">
        <x:v>National envelope 237.667 GWh; PNIEC reports storage as n/a.</x:v>
      </x:c>
    </x:row>
    <x:row r="140">
      <x:c r="A140" s="83" t="str">
        <x:v>S4-00664</x:v>
      </x:c>
      <x:c r="B140" s="83" t="str">
        <x:v>IT2050_BASE_PNIEC_NUCLEAR_8GW</x:v>
      </x:c>
      <x:c r="C140" s="83" t="n">
        <x:v>2050</x:v>
      </x:c>
      <x:c r="D140" s="83" t="str">
        <x:v>Storage power</x:v>
      </x:c>
      <x:c r="E140" s="83" t="str">
        <x:v>IT_SICI</x:v>
      </x:c>
      <x:c r="F140" s="83" t="str">
        <x:v>SICI</x:v>
      </x:c>
      <x:c r="G140" s="83" t="str">
        <x:v>PNIEC storage envelope derived from Terna 2050</x:v>
      </x:c>
      <x:c r="H140" s="83" t="str">
        <x:v>Battery portfolio discharge power</x:v>
      </x:c>
      <x:c r="I140" s="83" t="str">
        <x:v>battery</x:v>
      </x:c>
      <x:c r="J140" s="83" t="str">
        <x:v>Link</x:v>
      </x:c>
      <x:c r="K140" s="83" t="str">
        <x:v>p_nom</x:v>
      </x:c>
      <x:c r="L140" s="279" t="n">
        <x:v>9.75311638168781</x:v>
      </x:c>
      <x:c r="M140" s="279" t="str">
        <x:v>GW</x:v>
      </x:c>
      <x:c r="N140" s="279" t="n">
        <x:f>IF(L140="","",IF(M140="GW",L140*1000,IF(M140="GWh",L140*1000,IF(M140="TWh",L140*1000000,L140))))</x:f>
        <x:v>9753.11638168781</x:v>
      </x:c>
      <x:c r="O140" s="83" t="str">
        <x:f>IF(L140="","",IF(M140="GW","MW",IF(OR(M140="GWh",M140="TWh"),"MWh",M140)))</x:f>
        <x:v>MW</x:v>
      </x:c>
      <x:c r="P140" s="83" t="str"/>
      <x:c r="Q140" s="349"/>
      <x:c r="R140" s="349" t="str">
        <x:f>IF(L140="","",IF(Q140&lt;&gt;"",L140*Q140,IF(OR(ISNUMBER(SEARCH("EUR2025",M140&amp;"")),P140=2025,P140="2025"),L140,"")))</x:f>
      </x:c>
      <x:c r="S140" s="83" t="str">
        <x:v>D — Model-build bridge</x:v>
      </x:c>
      <x:c r="T140" s="83" t="str">
        <x:v>Use the Terna nuclear-case aggregate duration of 5.444444 h for the 237.667 GWh envelope.</x:v>
      </x:c>
      <x:c r="U140" s="83" t="str">
        <x:v>S07 + ASSUMPTION</x:v>
      </x:c>
      <x:c r="V140" s="83" t="str">
        <x:v>Terna 2050 storage energy/power relationship</x:v>
      </x:c>
      <x:c r="W140" s="120"/>
      <x:c r="X140" s="83" t="str">
        <x:v>D — Transparent derivation</x:v>
      </x:c>
      <x:c r="Y140" s="83" t="str">
        <x:v>PROVISIONAL FOR PHASE 5</x:v>
      </x:c>
      <x:c r="Z140" s="83" t="str">
        <x:v>PHASE 5 READY — RUN BLOCKED pending nuclear siting/refuelling, hourly profiles, hydro inputs, 2050 CO2 price and final CLI pin</x:v>
      </x:c>
      <x:c r="AA140" s="83" t="str">
        <x:v>National discharge-power envelope 43.653 GW.</x:v>
      </x:c>
    </x:row>
    <x:row r="141">
      <x:c r="A141" s="83" t="str">
        <x:v>S4-00665</x:v>
      </x:c>
      <x:c r="B141" s="83" t="str">
        <x:v>IT2050_BASE_PNIEC_NUCLEAR_8GW</x:v>
      </x:c>
      <x:c r="C141" s="83" t="n">
        <x:v>2050</x:v>
      </x:c>
      <x:c r="D141" s="83" t="str">
        <x:v>Storage</x:v>
      </x:c>
      <x:c r="E141" s="83" t="str">
        <x:v>IT_SARD</x:v>
      </x:c>
      <x:c r="F141" s="83" t="str">
        <x:v>SARD</x:v>
      </x:c>
      <x:c r="G141" s="83" t="str">
        <x:v>PNIEC storage envelope derived from Terna 2050</x:v>
      </x:c>
      <x:c r="H141" s="83" t="str">
        <x:v>Battery portfolio energy</x:v>
      </x:c>
      <x:c r="I141" s="83" t="str">
        <x:v>battery</x:v>
      </x:c>
      <x:c r="J141" s="83" t="str">
        <x:v>Store + Links</x:v>
      </x:c>
      <x:c r="K141" s="83" t="str">
        <x:v>e_nom</x:v>
      </x:c>
      <x:c r="L141" s="279" t="n">
        <x:v>34.401001001001</x:v>
      </x:c>
      <x:c r="M141" s="279" t="str">
        <x:v>GWh</x:v>
      </x:c>
      <x:c r="N141" s="279" t="n">
        <x:f>IF(L141="","",IF(M141="GW",L141*1000,IF(M141="GWh",L141*1000,IF(M141="TWh",L141*1000000,L141))))</x:f>
        <x:v>34401.001001001</x:v>
      </x:c>
      <x:c r="O141" s="83" t="str">
        <x:f>IF(L141="","",IF(M141="GW","MW",IF(OR(M141="GWh",M141="TWh"),"MWh",M141)))</x:f>
        <x:v>MWh</x:v>
      </x:c>
      <x:c r="P141" s="83" t="str"/>
      <x:c r="Q141" s="349"/>
      <x:c r="R141" s="349" t="str">
        <x:f>IF(L141="","",IF(Q141&lt;&gt;"",L141*Q141,IF(OR(ISNUMBER(SEARCH("EUR2025",M141&amp;"")),P141=2025,P141="2025"),L141,"")))</x:f>
      </x:c>
      <x:c r="S141" s="83" t="str">
        <x:v>D — Model-build bridge</x:v>
      </x:c>
      <x:c r="T141" s="83" t="str">
        <x:v>Extrapolate Terna's storage relationship from 196 GWh at 246 GW FRNP and 216 GWh at 270 GW FRNP to PNIEC's 296 GW FRNP; distribute with DE-IT BESS shares.</x:v>
      </x:c>
      <x:c r="U141" s="83" t="str">
        <x:v>S07 + ASSUMPTION</x:v>
      </x:c>
      <x:c r="V141" s="83" t="str">
        <x:v>Terna 2050 Table 4; PNIEC 2050 FRNP total</x:v>
      </x:c>
      <x:c r="W141" s="120"/>
      <x:c r="X141" s="83" t="str">
        <x:v>D — Transparent extrapolation</x:v>
      </x:c>
      <x:c r="Y141" s="83" t="str">
        <x:v>PROVISIONAL FOR PHASE 5</x:v>
      </x:c>
      <x:c r="Z141" s="83" t="str">
        <x:v>PHASE 5 READY — RUN BLOCKED pending nuclear siting/refuelling, hourly profiles, hydro inputs, 2050 CO2 price and final CLI pin</x:v>
      </x:c>
      <x:c r="AA141" s="83" t="str">
        <x:v>National envelope 237.667 GWh; PNIEC reports storage as n/a.</x:v>
      </x:c>
    </x:row>
    <x:row r="142">
      <x:c r="A142" s="83" t="str">
        <x:v>S4-00666</x:v>
      </x:c>
      <x:c r="B142" s="83" t="str">
        <x:v>IT2050_BASE_PNIEC_NUCLEAR_8GW</x:v>
      </x:c>
      <x:c r="C142" s="83" t="n">
        <x:v>2050</x:v>
      </x:c>
      <x:c r="D142" s="83" t="str">
        <x:v>Storage power</x:v>
      </x:c>
      <x:c r="E142" s="83" t="str">
        <x:v>IT_SARD</x:v>
      </x:c>
      <x:c r="F142" s="83" t="str">
        <x:v>SARD</x:v>
      </x:c>
      <x:c r="G142" s="83" t="str">
        <x:v>PNIEC storage envelope derived from Terna 2050</x:v>
      </x:c>
      <x:c r="H142" s="83" t="str">
        <x:v>Battery portfolio discharge power</x:v>
      </x:c>
      <x:c r="I142" s="83" t="str">
        <x:v>battery</x:v>
      </x:c>
      <x:c r="J142" s="83" t="str">
        <x:v>Link</x:v>
      </x:c>
      <x:c r="K142" s="83" t="str">
        <x:v>p_nom</x:v>
      </x:c>
      <x:c r="L142" s="279" t="n">
        <x:v>6.31855120426549</x:v>
      </x:c>
      <x:c r="M142" s="279" t="str">
        <x:v>GW</x:v>
      </x:c>
      <x:c r="N142" s="279" t="n">
        <x:f>IF(L142="","",IF(M142="GW",L142*1000,IF(M142="GWh",L142*1000,IF(M142="TWh",L142*1000000,L142))))</x:f>
        <x:v>6318.55120426549</x:v>
      </x:c>
      <x:c r="O142" s="83" t="str">
        <x:f>IF(L142="","",IF(M142="GW","MW",IF(OR(M142="GWh",M142="TWh"),"MWh",M142)))</x:f>
        <x:v>MW</x:v>
      </x:c>
      <x:c r="P142" s="83" t="str"/>
      <x:c r="Q142" s="349"/>
      <x:c r="R142" s="349" t="str">
        <x:f>IF(L142="","",IF(Q142&lt;&gt;"",L142*Q142,IF(OR(ISNUMBER(SEARCH("EUR2025",M142&amp;"")),P142=2025,P142="2025"),L142,"")))</x:f>
      </x:c>
      <x:c r="S142" s="83" t="str">
        <x:v>D — Model-build bridge</x:v>
      </x:c>
      <x:c r="T142" s="83" t="str">
        <x:v>Use the Terna nuclear-case aggregate duration of 5.444444 h for the 237.667 GWh envelope.</x:v>
      </x:c>
      <x:c r="U142" s="83" t="str">
        <x:v>S07 + ASSUMPTION</x:v>
      </x:c>
      <x:c r="V142" s="83" t="str">
        <x:v>Terna 2050 storage energy/power relationship</x:v>
      </x:c>
      <x:c r="W142" s="120"/>
      <x:c r="X142" s="83" t="str">
        <x:v>D — Transparent derivation</x:v>
      </x:c>
      <x:c r="Y142" s="83" t="str">
        <x:v>PROVISIONAL FOR PHASE 5</x:v>
      </x:c>
      <x:c r="Z142" s="83" t="str">
        <x:v>PHASE 5 READY — RUN BLOCKED pending nuclear siting/refuelling, hourly profiles, hydro inputs, 2050 CO2 price and final CLI pin</x:v>
      </x:c>
      <x:c r="AA142" s="83" t="str">
        <x:v>National discharge-power envelope 43.653 GW.</x:v>
      </x:c>
    </x:row>
    <x:row r="143">
      <x:c r="A143" s="83" t="str">
        <x:v>S4-00667</x:v>
      </x:c>
      <x:c r="B143" s="83" t="str">
        <x:v>IT2050_BASE_PNIEC_NUCLEAR_8GW</x:v>
      </x:c>
      <x:c r="C143" s="83" t="n">
        <x:v>2050</x:v>
      </x:c>
      <x:c r="D143" s="83" t="str">
        <x:v>Storage</x:v>
      </x:c>
      <x:c r="E143" s="83" t="str">
        <x:v>PyPSA-Eur existing sites</x:v>
      </x:c>
      <x:c r="F143" s="83"/>
      <x:c r="G143" s="83" t="str">
        <x:v>Pompaggi esistenti</x:v>
      </x:c>
      <x:c r="H143" s="83" t="str">
        <x:v>Pumped hydro energy</x:v>
      </x:c>
      <x:c r="I143" s="83" t="str">
        <x:v>PHS</x:v>
      </x:c>
      <x:c r="J143" s="83" t="str">
        <x:v>Store + Links</x:v>
      </x:c>
      <x:c r="K143" s="83" t="str">
        <x:v>e_nom</x:v>
      </x:c>
      <x:c r="L143" s="279" t="n">
        <x:v>53</x:v>
      </x:c>
      <x:c r="M143" s="279" t="str">
        <x:v>GWh</x:v>
      </x:c>
      <x:c r="N143" s="279" t="n">
        <x:f>IF(L143="","",IF(M143="GW",L143*1000,IF(M143="GWh",L143*1000,IF(M143="TWh",L143*1000000,L143))))</x:f>
        <x:v>53000</x:v>
      </x:c>
      <x:c r="O143" s="83" t="str">
        <x:f>IF(L143="","",IF(M143="GW","MW",IF(OR(M143="GWh",M143="TWh"),"MWh",M143)))</x:f>
        <x:v>MWh</x:v>
      </x:c>
      <x:c r="P143" s="83" t="str"/>
      <x:c r="Q143" s="349"/>
      <x:c r="R143" s="349" t="str">
        <x:f>IF(L143="","",IF(Q143&lt;&gt;"",L143*Q143,IF(OR(ISNUMBER(SEARCH("EUR2025",M143&amp;"")),P143=2025,P143="2025"),L143,"")))</x:f>
      </x:c>
      <x:c r="S143" s="83" t="str">
        <x:v>A — Direct</x:v>
      </x:c>
      <x:c r="T143" s="83" t="str">
        <x:v>Retain existing sites and physical stock.</x:v>
      </x:c>
      <x:c r="U143" s="83" t="str">
        <x:v>S01</x:v>
      </x:c>
      <x:c r="V143" s="83" t="str">
        <x:v>Pumped-hydro stock</x:v>
      </x:c>
      <x:c r="W143" s="120"/>
      <x:c r="X143" s="83" t="str">
        <x:v>A — Direct</x:v>
      </x:c>
      <x:c r="Y143" s="83" t="str">
        <x:v>APPROVED BASE PACKAGE</x:v>
      </x:c>
      <x:c r="Z143" s="83" t="str">
        <x:v>PHASE 5 READY — RUN BLOCKED pending nuclear siting/refuelling, hourly profiles, hydro inputs, 2050 CO2 price and final CLI pin</x:v>
      </x:c>
      <x:c r="AA143" s="83"/>
    </x:row>
    <x:row r="144">
      <x:c r="A144" s="83" t="str">
        <x:v>S4-00668</x:v>
      </x:c>
      <x:c r="B144" s="83" t="str">
        <x:v>IT2050_BASE_PNIEC_NUCLEAR_8GW</x:v>
      </x:c>
      <x:c r="C144" s="83" t="n">
        <x:v>2050</x:v>
      </x:c>
      <x:c r="D144" s="83" t="str">
        <x:v>Storage</x:v>
      </x:c>
      <x:c r="E144" s="83" t="str">
        <x:v>PyPSA-Eur existing sites</x:v>
      </x:c>
      <x:c r="F144" s="83"/>
      <x:c r="G144" s="83" t="str">
        <x:v>Pompaggi esistenti</x:v>
      </x:c>
      <x:c r="H144" s="83" t="str">
        <x:v>Pumped hydro charge power</x:v>
      </x:c>
      <x:c r="I144" s="83" t="str">
        <x:v>PHS</x:v>
      </x:c>
      <x:c r="J144" s="83" t="str">
        <x:v>Link</x:v>
      </x:c>
      <x:c r="K144" s="83" t="str">
        <x:v>p_nom</x:v>
      </x:c>
      <x:c r="L144" s="279" t="n">
        <x:v>6.4</x:v>
      </x:c>
      <x:c r="M144" s="279" t="str">
        <x:v>GW</x:v>
      </x:c>
      <x:c r="N144" s="279" t="n">
        <x:f>IF(L144="","",IF(M144="GW",L144*1000,IF(M144="GWh",L144*1000,IF(M144="TWh",L144*1000000,L144))))</x:f>
        <x:v>6400</x:v>
      </x:c>
      <x:c r="O144" s="83" t="str">
        <x:f>IF(L144="","",IF(M144="GW","MW",IF(OR(M144="GWh",M144="TWh"),"MWh",M144)))</x:f>
        <x:v>MW</x:v>
      </x:c>
      <x:c r="P144" s="83" t="str"/>
      <x:c r="Q144" s="349"/>
      <x:c r="R144" s="349" t="str">
        <x:f>IF(L144="","",IF(Q144&lt;&gt;"",L144*Q144,IF(OR(ISNUMBER(SEARCH("EUR2025",M144&amp;"")),P144=2025,P144="2025"),L144,"")))</x:f>
      </x:c>
      <x:c r="S144" s="83" t="str">
        <x:v>A — Direct</x:v>
      </x:c>
      <x:c r="T144" s="83" t="str">
        <x:v>Retain existing sites and physical stock.</x:v>
      </x:c>
      <x:c r="U144" s="83" t="str">
        <x:v>S01</x:v>
      </x:c>
      <x:c r="V144" s="83" t="str">
        <x:v>Pumped-hydro stock</x:v>
      </x:c>
      <x:c r="W144" s="120"/>
      <x:c r="X144" s="83" t="str">
        <x:v>A — Direct</x:v>
      </x:c>
      <x:c r="Y144" s="83" t="str">
        <x:v>APPROVED BASE PACKAGE</x:v>
      </x:c>
      <x:c r="Z144" s="83" t="str">
        <x:v>PHASE 5 READY — RUN BLOCKED pending nuclear siting/refuelling, hourly profiles, hydro inputs, 2050 CO2 price and final CLI pin</x:v>
      </x:c>
      <x:c r="AA144" s="83"/>
    </x:row>
    <x:row r="145">
      <x:c r="A145" s="83" t="str">
        <x:v>S4-00669</x:v>
      </x:c>
      <x:c r="B145" s="83" t="str">
        <x:v>IT2050_BASE_PNIEC_NUCLEAR_8GW</x:v>
      </x:c>
      <x:c r="C145" s="83" t="n">
        <x:v>2050</x:v>
      </x:c>
      <x:c r="D145" s="83" t="str">
        <x:v>Storage</x:v>
      </x:c>
      <x:c r="E145" s="83" t="str">
        <x:v>PyPSA-Eur existing sites</x:v>
      </x:c>
      <x:c r="F145" s="83"/>
      <x:c r="G145" s="83" t="str">
        <x:v>Pompaggi esistenti</x:v>
      </x:c>
      <x:c r="H145" s="83" t="str">
        <x:v>Pumped hydro discharge power</x:v>
      </x:c>
      <x:c r="I145" s="83" t="str">
        <x:v>PHS</x:v>
      </x:c>
      <x:c r="J145" s="83" t="str">
        <x:v>Link</x:v>
      </x:c>
      <x:c r="K145" s="83" t="str">
        <x:v>p_nom</x:v>
      </x:c>
      <x:c r="L145" s="279" t="n">
        <x:v>7.3</x:v>
      </x:c>
      <x:c r="M145" s="279" t="str">
        <x:v>GW</x:v>
      </x:c>
      <x:c r="N145" s="279" t="n">
        <x:f>IF(L145="","",IF(M145="GW",L145*1000,IF(M145="GWh",L145*1000,IF(M145="TWh",L145*1000000,L145))))</x:f>
        <x:v>7300</x:v>
      </x:c>
      <x:c r="O145" s="83" t="str">
        <x:f>IF(L145="","",IF(M145="GW","MW",IF(OR(M145="GWh",M145="TWh"),"MWh",M145)))</x:f>
        <x:v>MW</x:v>
      </x:c>
      <x:c r="P145" s="83" t="str"/>
      <x:c r="Q145" s="349"/>
      <x:c r="R145" s="349" t="str">
        <x:f>IF(L145="","",IF(Q145&lt;&gt;"",L145*Q145,IF(OR(ISNUMBER(SEARCH("EUR2025",M145&amp;"")),P145=2025,P145="2025"),L145,"")))</x:f>
      </x:c>
      <x:c r="S145" s="83" t="str">
        <x:v>A — Direct</x:v>
      </x:c>
      <x:c r="T145" s="83" t="str">
        <x:v>Retain existing sites and physical stock.</x:v>
      </x:c>
      <x:c r="U145" s="83" t="str">
        <x:v>S01</x:v>
      </x:c>
      <x:c r="V145" s="83" t="str">
        <x:v>Pumped-hydro stock</x:v>
      </x:c>
      <x:c r="W145" s="120"/>
      <x:c r="X145" s="83" t="str">
        <x:v>A — Direct</x:v>
      </x:c>
      <x:c r="Y145" s="83" t="str">
        <x:v>APPROVED BASE PACKAGE</x:v>
      </x:c>
      <x:c r="Z145" s="83" t="str">
        <x:v>PHASE 5 READY — RUN BLOCKED pending nuclear siting/refuelling, hourly profiles, hydro inputs, 2050 CO2 price and final CLI pin</x:v>
      </x:c>
      <x:c r="AA145" s="83"/>
    </x:row>
    <x:row r="146">
      <x:c r="A146" s="83" t="str">
        <x:v>S4-00670</x:v>
      </x:c>
      <x:c r="B146" s="83" t="str">
        <x:v>IT2050_BASE_PNIEC_NUCLEAR_8GW</x:v>
      </x:c>
      <x:c r="C146" s="83" t="n">
        <x:v>2050</x:v>
      </x:c>
      <x:c r="D146" s="83" t="str">
        <x:v>Transmission</x:v>
      </x:c>
      <x:c r="E146" s="83" t="str">
        <x:v>NORD-&gt;CNOR</x:v>
      </x:c>
      <x:c r="F146" s="83" t="str">
        <x:v>NORD</x:v>
      </x:c>
      <x:c r="G146" s="83" t="str">
        <x:v>2040 PDS floor</x:v>
      </x:c>
      <x:c r="H146" s="83" t="str">
        <x:v>Directional interzonal link</x:v>
      </x:c>
      <x:c r="I146" s="83" t="str">
        <x:v>electricity</x:v>
      </x:c>
      <x:c r="J146" s="83" t="str">
        <x:v>Link</x:v>
      </x:c>
      <x:c r="K146" s="83" t="str">
        <x:v>p_nom</x:v>
      </x:c>
      <x:c r="L146" s="279" t="n">
        <x:v>6100</x:v>
      </x:c>
      <x:c r="M146" s="279" t="str">
        <x:v>MW</x:v>
      </x:c>
      <x:c r="N146" s="279" t="n">
        <x:f>IF(L146="","",IF(M146="GW",L146*1000,IF(M146="GWh",L146*1000,IF(M146="TWh",L146*1000000,L146))))</x:f>
        <x:v>6100</x:v>
      </x:c>
      <x:c r="O146" s="83" t="str">
        <x:f>IF(L146="","",IF(M146="GW","MW",IF(OR(M146="GWh",M146="TWh"),"MWh",M146)))</x:f>
        <x:v>MW</x:v>
      </x:c>
      <x:c r="P146" s="83" t="str"/>
      <x:c r="Q146" s="349"/>
      <x:c r="R146" s="349" t="str">
        <x:f>IF(L146="","",IF(Q146&lt;&gt;"",L146*Q146,IF(OR(ISNUMBER(SEARCH("EUR2025",M146&amp;"")),P146=2025,P146="2025"),L146,"")))</x:f>
      </x:c>
      <x:c r="S146" s="83" t="str">
        <x:v>C — Proxy/floor</x:v>
      </x:c>
      <x:c r="T146" s="83" t="str">
        <x:v>Use PDS 2040 capacity as documented 2050 floor; not an official 2050 target.</x:v>
      </x:c>
      <x:c r="U146" s="83" t="str">
        <x:v>S03 / assumption</x:v>
      </x:c>
      <x:c r="V146" s="83" t="str">
        <x:v>S03 Figure 3 floor</x:v>
      </x:c>
      <x:c r="W146" s="120"/>
      <x:c r="X146" s="83" t="str">
        <x:v>C — Proxy</x:v>
      </x:c>
      <x:c r="Y146" s="83" t="str">
        <x:v>APPROVED BASE PACKAGE</x:v>
      </x:c>
      <x:c r="Z146" s="83" t="str">
        <x:v>PHASE 5 READY — RUN BLOCKED pending nuclear siting/refuelling, hourly profiles, hydro inputs, 2050 CO2 price and final CLI pin</x:v>
      </x:c>
      <x:c r="AA146" s="83"/>
    </x:row>
    <x:row r="147">
      <x:c r="A147" s="83" t="str">
        <x:v>S4-00671</x:v>
      </x:c>
      <x:c r="B147" s="83" t="str">
        <x:v>IT2050_BASE_PNIEC_NUCLEAR_8GW</x:v>
      </x:c>
      <x:c r="C147" s="83" t="n">
        <x:v>2050</x:v>
      </x:c>
      <x:c r="D147" s="83" t="str">
        <x:v>Transmission</x:v>
      </x:c>
      <x:c r="E147" s="83" t="str">
        <x:v>CNOR-&gt;NORD</x:v>
      </x:c>
      <x:c r="F147" s="83" t="str">
        <x:v>CNOR</x:v>
      </x:c>
      <x:c r="G147" s="83" t="str">
        <x:v>2040 PDS floor</x:v>
      </x:c>
      <x:c r="H147" s="83" t="str">
        <x:v>Directional interzonal link</x:v>
      </x:c>
      <x:c r="I147" s="83" t="str">
        <x:v>electricity</x:v>
      </x:c>
      <x:c r="J147" s="83" t="str">
        <x:v>Link</x:v>
      </x:c>
      <x:c r="K147" s="83" t="str">
        <x:v>p_nom</x:v>
      </x:c>
      <x:c r="L147" s="279" t="n">
        <x:v>5300</x:v>
      </x:c>
      <x:c r="M147" s="279" t="str">
        <x:v>MW</x:v>
      </x:c>
      <x:c r="N147" s="279" t="n">
        <x:f>IF(L147="","",IF(M147="GW",L147*1000,IF(M147="GWh",L147*1000,IF(M147="TWh",L147*1000000,L147))))</x:f>
        <x:v>5300</x:v>
      </x:c>
      <x:c r="O147" s="83" t="str">
        <x:f>IF(L147="","",IF(M147="GW","MW",IF(OR(M147="GWh",M147="TWh"),"MWh",M147)))</x:f>
        <x:v>MW</x:v>
      </x:c>
      <x:c r="P147" s="83" t="str"/>
      <x:c r="Q147" s="349"/>
      <x:c r="R147" s="349" t="str">
        <x:f>IF(L147="","",IF(Q147&lt;&gt;"",L147*Q147,IF(OR(ISNUMBER(SEARCH("EUR2025",M147&amp;"")),P147=2025,P147="2025"),L147,"")))</x:f>
      </x:c>
      <x:c r="S147" s="83" t="str">
        <x:v>C — Proxy/floor</x:v>
      </x:c>
      <x:c r="T147" s="83" t="str">
        <x:v>Use PDS 2040 capacity as documented 2050 floor; not an official 2050 target.</x:v>
      </x:c>
      <x:c r="U147" s="83" t="str">
        <x:v>S03 / assumption</x:v>
      </x:c>
      <x:c r="V147" s="83" t="str">
        <x:v>S03 Figure 3 floor</x:v>
      </x:c>
      <x:c r="W147" s="120"/>
      <x:c r="X147" s="83" t="str">
        <x:v>C — Proxy</x:v>
      </x:c>
      <x:c r="Y147" s="83" t="str">
        <x:v>APPROVED BASE PACKAGE</x:v>
      </x:c>
      <x:c r="Z147" s="83" t="str">
        <x:v>PHASE 5 READY — RUN BLOCKED pending nuclear siting/refuelling, hourly profiles, hydro inputs, 2050 CO2 price and final CLI pin</x:v>
      </x:c>
      <x:c r="AA147" s="83"/>
    </x:row>
    <x:row r="148">
      <x:c r="A148" s="83" t="str">
        <x:v>S4-00672</x:v>
      </x:c>
      <x:c r="B148" s="83" t="str">
        <x:v>IT2050_BASE_PNIEC_NUCLEAR_8GW</x:v>
      </x:c>
      <x:c r="C148" s="83" t="n">
        <x:v>2050</x:v>
      </x:c>
      <x:c r="D148" s="83" t="str">
        <x:v>Transmission</x:v>
      </x:c>
      <x:c r="E148" s="83" t="str">
        <x:v>CNOR-&gt;CSUD</x:v>
      </x:c>
      <x:c r="F148" s="83" t="str">
        <x:v>CNOR</x:v>
      </x:c>
      <x:c r="G148" s="83" t="str">
        <x:v>2040 PDS floor</x:v>
      </x:c>
      <x:c r="H148" s="83" t="str">
        <x:v>Directional interzonal link</x:v>
      </x:c>
      <x:c r="I148" s="83" t="str">
        <x:v>electricity</x:v>
      </x:c>
      <x:c r="J148" s="83" t="str">
        <x:v>Link</x:v>
      </x:c>
      <x:c r="K148" s="83" t="str">
        <x:v>p_nom</x:v>
      </x:c>
      <x:c r="L148" s="279" t="n">
        <x:v>5400</x:v>
      </x:c>
      <x:c r="M148" s="279" t="str">
        <x:v>MW</x:v>
      </x:c>
      <x:c r="N148" s="279" t="n">
        <x:f>IF(L148="","",IF(M148="GW",L148*1000,IF(M148="GWh",L148*1000,IF(M148="TWh",L148*1000000,L148))))</x:f>
        <x:v>5400</x:v>
      </x:c>
      <x:c r="O148" s="83" t="str">
        <x:f>IF(L148="","",IF(M148="GW","MW",IF(OR(M148="GWh",M148="TWh"),"MWh",M148)))</x:f>
        <x:v>MW</x:v>
      </x:c>
      <x:c r="P148" s="83" t="str"/>
      <x:c r="Q148" s="349"/>
      <x:c r="R148" s="349" t="str">
        <x:f>IF(L148="","",IF(Q148&lt;&gt;"",L148*Q148,IF(OR(ISNUMBER(SEARCH("EUR2025",M148&amp;"")),P148=2025,P148="2025"),L148,"")))</x:f>
      </x:c>
      <x:c r="S148" s="83" t="str">
        <x:v>C — Proxy/floor</x:v>
      </x:c>
      <x:c r="T148" s="83" t="str">
        <x:v>Use PDS 2040 capacity as documented 2050 floor; not an official 2050 target.</x:v>
      </x:c>
      <x:c r="U148" s="83" t="str">
        <x:v>S03 / assumption</x:v>
      </x:c>
      <x:c r="V148" s="83" t="str">
        <x:v>S03 Figure 3 floor</x:v>
      </x:c>
      <x:c r="W148" s="120"/>
      <x:c r="X148" s="83" t="str">
        <x:v>C — Proxy</x:v>
      </x:c>
      <x:c r="Y148" s="83" t="str">
        <x:v>APPROVED BASE PACKAGE</x:v>
      </x:c>
      <x:c r="Z148" s="83" t="str">
        <x:v>PHASE 5 READY — RUN BLOCKED pending nuclear siting/refuelling, hourly profiles, hydro inputs, 2050 CO2 price and final CLI pin</x:v>
      </x:c>
      <x:c r="AA148" s="83"/>
    </x:row>
    <x:row r="149">
      <x:c r="A149" s="83" t="str">
        <x:v>S4-00673</x:v>
      </x:c>
      <x:c r="B149" s="83" t="str">
        <x:v>IT2050_BASE_PNIEC_NUCLEAR_8GW</x:v>
      </x:c>
      <x:c r="C149" s="83" t="n">
        <x:v>2050</x:v>
      </x:c>
      <x:c r="D149" s="83" t="str">
        <x:v>Transmission</x:v>
      </x:c>
      <x:c r="E149" s="83" t="str">
        <x:v>CSUD-&gt;CNOR</x:v>
      </x:c>
      <x:c r="F149" s="83" t="str">
        <x:v>CSUD</x:v>
      </x:c>
      <x:c r="G149" s="83" t="str">
        <x:v>2040 PDS floor</x:v>
      </x:c>
      <x:c r="H149" s="83" t="str">
        <x:v>Directional interzonal link</x:v>
      </x:c>
      <x:c r="I149" s="83" t="str">
        <x:v>electricity</x:v>
      </x:c>
      <x:c r="J149" s="83" t="str">
        <x:v>Link</x:v>
      </x:c>
      <x:c r="K149" s="83" t="str">
        <x:v>p_nom</x:v>
      </x:c>
      <x:c r="L149" s="279" t="n">
        <x:v>6100</x:v>
      </x:c>
      <x:c r="M149" s="279" t="str">
        <x:v>MW</x:v>
      </x:c>
      <x:c r="N149" s="279" t="n">
        <x:f>IF(L149="","",IF(M149="GW",L149*1000,IF(M149="GWh",L149*1000,IF(M149="TWh",L149*1000000,L149))))</x:f>
        <x:v>6100</x:v>
      </x:c>
      <x:c r="O149" s="83" t="str">
        <x:f>IF(L149="","",IF(M149="GW","MW",IF(OR(M149="GWh",M149="TWh"),"MWh",M149)))</x:f>
        <x:v>MW</x:v>
      </x:c>
      <x:c r="P149" s="83" t="str"/>
      <x:c r="Q149" s="349"/>
      <x:c r="R149" s="349" t="str">
        <x:f>IF(L149="","",IF(Q149&lt;&gt;"",L149*Q149,IF(OR(ISNUMBER(SEARCH("EUR2025",M149&amp;"")),P149=2025,P149="2025"),L149,"")))</x:f>
      </x:c>
      <x:c r="S149" s="83" t="str">
        <x:v>C — Proxy/floor</x:v>
      </x:c>
      <x:c r="T149" s="83" t="str">
        <x:v>Use PDS 2040 capacity as documented 2050 floor; not an official 2050 target.</x:v>
      </x:c>
      <x:c r="U149" s="83" t="str">
        <x:v>S03 / assumption</x:v>
      </x:c>
      <x:c r="V149" s="83" t="str">
        <x:v>S03 Figure 3 floor</x:v>
      </x:c>
      <x:c r="W149" s="120"/>
      <x:c r="X149" s="83" t="str">
        <x:v>C — Proxy</x:v>
      </x:c>
      <x:c r="Y149" s="83" t="str">
        <x:v>APPROVED BASE PACKAGE</x:v>
      </x:c>
      <x:c r="Z149" s="83" t="str">
        <x:v>PHASE 5 READY — RUN BLOCKED pending nuclear siting/refuelling, hourly profiles, hydro inputs, 2050 CO2 price and final CLI pin</x:v>
      </x:c>
      <x:c r="AA149" s="83"/>
    </x:row>
    <x:row r="150">
      <x:c r="A150" s="83" t="str">
        <x:v>S4-00674</x:v>
      </x:c>
      <x:c r="B150" s="83" t="str">
        <x:v>IT2050_BASE_PNIEC_NUCLEAR_8GW</x:v>
      </x:c>
      <x:c r="C150" s="83" t="n">
        <x:v>2050</x:v>
      </x:c>
      <x:c r="D150" s="83" t="str">
        <x:v>Transmission</x:v>
      </x:c>
      <x:c r="E150" s="83" t="str">
        <x:v>CSUD-&gt;SUD</x:v>
      </x:c>
      <x:c r="F150" s="83" t="str">
        <x:v>CSUD</x:v>
      </x:c>
      <x:c r="G150" s="83" t="str">
        <x:v>2040 PDS floor</x:v>
      </x:c>
      <x:c r="H150" s="83" t="str">
        <x:v>Directional interzonal link</x:v>
      </x:c>
      <x:c r="I150" s="83" t="str">
        <x:v>electricity</x:v>
      </x:c>
      <x:c r="J150" s="83" t="str">
        <x:v>Link</x:v>
      </x:c>
      <x:c r="K150" s="83" t="str">
        <x:v>p_nom</x:v>
      </x:c>
      <x:c r="L150" s="279" t="n">
        <x:v>6300</x:v>
      </x:c>
      <x:c r="M150" s="279" t="str">
        <x:v>MW</x:v>
      </x:c>
      <x:c r="N150" s="279" t="n">
        <x:f>IF(L150="","",IF(M150="GW",L150*1000,IF(M150="GWh",L150*1000,IF(M150="TWh",L150*1000000,L150))))</x:f>
        <x:v>6300</x:v>
      </x:c>
      <x:c r="O150" s="83" t="str">
        <x:f>IF(L150="","",IF(M150="GW","MW",IF(OR(M150="GWh",M150="TWh"),"MWh",M150)))</x:f>
        <x:v>MW</x:v>
      </x:c>
      <x:c r="P150" s="83" t="str"/>
      <x:c r="Q150" s="349"/>
      <x:c r="R150" s="349" t="str">
        <x:f>IF(L150="","",IF(Q150&lt;&gt;"",L150*Q150,IF(OR(ISNUMBER(SEARCH("EUR2025",M150&amp;"")),P150=2025,P150="2025"),L150,"")))</x:f>
      </x:c>
      <x:c r="S150" s="83" t="str">
        <x:v>C — Proxy/floor</x:v>
      </x:c>
      <x:c r="T150" s="83" t="str">
        <x:v>Use PDS 2040 capacity as documented 2050 floor; not an official 2050 target.</x:v>
      </x:c>
      <x:c r="U150" s="83" t="str">
        <x:v>S03 / assumption</x:v>
      </x:c>
      <x:c r="V150" s="83" t="str">
        <x:v>S03 Figure 3 floor</x:v>
      </x:c>
      <x:c r="W150" s="120"/>
      <x:c r="X150" s="83" t="str">
        <x:v>C — Proxy</x:v>
      </x:c>
      <x:c r="Y150" s="83" t="str">
        <x:v>APPROVED BASE PACKAGE</x:v>
      </x:c>
      <x:c r="Z150" s="83" t="str">
        <x:v>PHASE 5 READY — RUN BLOCKED pending nuclear siting/refuelling, hourly profiles, hydro inputs, 2050 CO2 price and final CLI pin</x:v>
      </x:c>
      <x:c r="AA150" s="83"/>
    </x:row>
    <x:row r="151">
      <x:c r="A151" s="83" t="str">
        <x:v>S4-00675</x:v>
      </x:c>
      <x:c r="B151" s="83" t="str">
        <x:v>IT2050_BASE_PNIEC_NUCLEAR_8GW</x:v>
      </x:c>
      <x:c r="C151" s="83" t="n">
        <x:v>2050</x:v>
      </x:c>
      <x:c r="D151" s="83" t="str">
        <x:v>Transmission</x:v>
      </x:c>
      <x:c r="E151" s="83" t="str">
        <x:v>SUD-&gt;CSUD</x:v>
      </x:c>
      <x:c r="F151" s="83" t="str">
        <x:v>SUD</x:v>
      </x:c>
      <x:c r="G151" s="83" t="str">
        <x:v>2040 PDS floor</x:v>
      </x:c>
      <x:c r="H151" s="83" t="str">
        <x:v>Directional interzonal link</x:v>
      </x:c>
      <x:c r="I151" s="83" t="str">
        <x:v>electricity</x:v>
      </x:c>
      <x:c r="J151" s="83" t="str">
        <x:v>Link</x:v>
      </x:c>
      <x:c r="K151" s="83" t="str">
        <x:v>p_nom</x:v>
      </x:c>
      <x:c r="L151" s="279" t="n">
        <x:v>9100</x:v>
      </x:c>
      <x:c r="M151" s="279" t="str">
        <x:v>MW</x:v>
      </x:c>
      <x:c r="N151" s="279" t="n">
        <x:f>IF(L151="","",IF(M151="GW",L151*1000,IF(M151="GWh",L151*1000,IF(M151="TWh",L151*1000000,L151))))</x:f>
        <x:v>9100</x:v>
      </x:c>
      <x:c r="O151" s="83" t="str">
        <x:f>IF(L151="","",IF(M151="GW","MW",IF(OR(M151="GWh",M151="TWh"),"MWh",M151)))</x:f>
        <x:v>MW</x:v>
      </x:c>
      <x:c r="P151" s="83" t="str"/>
      <x:c r="Q151" s="349"/>
      <x:c r="R151" s="349" t="str">
        <x:f>IF(L151="","",IF(Q151&lt;&gt;"",L151*Q151,IF(OR(ISNUMBER(SEARCH("EUR2025",M151&amp;"")),P151=2025,P151="2025"),L151,"")))</x:f>
      </x:c>
      <x:c r="S151" s="83" t="str">
        <x:v>C — Proxy/floor</x:v>
      </x:c>
      <x:c r="T151" s="83" t="str">
        <x:v>Use PDS 2040 capacity as documented 2050 floor; not an official 2050 target.</x:v>
      </x:c>
      <x:c r="U151" s="83" t="str">
        <x:v>S03 / assumption</x:v>
      </x:c>
      <x:c r="V151" s="83" t="str">
        <x:v>S03 Figure 3 floor</x:v>
      </x:c>
      <x:c r="W151" s="120"/>
      <x:c r="X151" s="83" t="str">
        <x:v>C — Proxy</x:v>
      </x:c>
      <x:c r="Y151" s="83" t="str">
        <x:v>APPROVED BASE PACKAGE</x:v>
      </x:c>
      <x:c r="Z151" s="83" t="str">
        <x:v>PHASE 5 READY — RUN BLOCKED pending nuclear siting/refuelling, hourly profiles, hydro inputs, 2050 CO2 price and final CLI pin</x:v>
      </x:c>
      <x:c r="AA151" s="83"/>
    </x:row>
    <x:row r="152">
      <x:c r="A152" s="83" t="str">
        <x:v>S4-00676</x:v>
      </x:c>
      <x:c r="B152" s="83" t="str">
        <x:v>IT2050_BASE_PNIEC_NUCLEAR_8GW</x:v>
      </x:c>
      <x:c r="C152" s="83" t="n">
        <x:v>2050</x:v>
      </x:c>
      <x:c r="D152" s="83" t="str">
        <x:v>Transmission</x:v>
      </x:c>
      <x:c r="E152" s="83" t="str">
        <x:v>SUD-&gt;CALA</x:v>
      </x:c>
      <x:c r="F152" s="83" t="str">
        <x:v>SUD</x:v>
      </x:c>
      <x:c r="G152" s="83" t="str">
        <x:v>2040 PDS floor</x:v>
      </x:c>
      <x:c r="H152" s="83" t="str">
        <x:v>Directional interzonal link</x:v>
      </x:c>
      <x:c r="I152" s="83" t="str">
        <x:v>electricity</x:v>
      </x:c>
      <x:c r="J152" s="83" t="str">
        <x:v>Link</x:v>
      </x:c>
      <x:c r="K152" s="83" t="str">
        <x:v>p_nom</x:v>
      </x:c>
      <x:c r="L152" s="279" t="n">
        <x:v>4100</x:v>
      </x:c>
      <x:c r="M152" s="279" t="str">
        <x:v>MW</x:v>
      </x:c>
      <x:c r="N152" s="279" t="n">
        <x:f>IF(L152="","",IF(M152="GW",L152*1000,IF(M152="GWh",L152*1000,IF(M152="TWh",L152*1000000,L152))))</x:f>
        <x:v>4100</x:v>
      </x:c>
      <x:c r="O152" s="83" t="str">
        <x:f>IF(L152="","",IF(M152="GW","MW",IF(OR(M152="GWh",M152="TWh"),"MWh",M152)))</x:f>
        <x:v>MW</x:v>
      </x:c>
      <x:c r="P152" s="83" t="str"/>
      <x:c r="Q152" s="349"/>
      <x:c r="R152" s="349" t="str">
        <x:f>IF(L152="","",IF(Q152&lt;&gt;"",L152*Q152,IF(OR(ISNUMBER(SEARCH("EUR2025",M152&amp;"")),P152=2025,P152="2025"),L152,"")))</x:f>
      </x:c>
      <x:c r="S152" s="83" t="str">
        <x:v>C — Proxy/floor</x:v>
      </x:c>
      <x:c r="T152" s="83" t="str">
        <x:v>Use PDS 2040 capacity as documented 2050 floor; not an official 2050 target.</x:v>
      </x:c>
      <x:c r="U152" s="83" t="str">
        <x:v>S03 / assumption</x:v>
      </x:c>
      <x:c r="V152" s="83" t="str">
        <x:v>S03 Figure 3 floor</x:v>
      </x:c>
      <x:c r="W152" s="120"/>
      <x:c r="X152" s="83" t="str">
        <x:v>C — Proxy</x:v>
      </x:c>
      <x:c r="Y152" s="83" t="str">
        <x:v>APPROVED BASE PACKAGE</x:v>
      </x:c>
      <x:c r="Z152" s="83" t="str">
        <x:v>PHASE 5 READY — RUN BLOCKED pending nuclear siting/refuelling, hourly profiles, hydro inputs, 2050 CO2 price and final CLI pin</x:v>
      </x:c>
      <x:c r="AA152" s="83"/>
    </x:row>
    <x:row r="153">
      <x:c r="A153" s="83" t="str">
        <x:v>S4-00677</x:v>
      </x:c>
      <x:c r="B153" s="83" t="str">
        <x:v>IT2050_BASE_PNIEC_NUCLEAR_8GW</x:v>
      </x:c>
      <x:c r="C153" s="83" t="n">
        <x:v>2050</x:v>
      </x:c>
      <x:c r="D153" s="83" t="str">
        <x:v>Transmission</x:v>
      </x:c>
      <x:c r="E153" s="83" t="str">
        <x:v>CALA-&gt;SUD</x:v>
      </x:c>
      <x:c r="F153" s="83" t="str">
        <x:v>CALA</x:v>
      </x:c>
      <x:c r="G153" s="83" t="str">
        <x:v>2040 PDS floor</x:v>
      </x:c>
      <x:c r="H153" s="83" t="str">
        <x:v>Directional interzonal link</x:v>
      </x:c>
      <x:c r="I153" s="83" t="str">
        <x:v>electricity</x:v>
      </x:c>
      <x:c r="J153" s="83" t="str">
        <x:v>Link</x:v>
      </x:c>
      <x:c r="K153" s="83" t="str">
        <x:v>p_nom</x:v>
      </x:c>
      <x:c r="L153" s="279" t="n">
        <x:v>5350</x:v>
      </x:c>
      <x:c r="M153" s="279" t="str">
        <x:v>MW</x:v>
      </x:c>
      <x:c r="N153" s="279" t="n">
        <x:f>IF(L153="","",IF(M153="GW",L153*1000,IF(M153="GWh",L153*1000,IF(M153="TWh",L153*1000000,L153))))</x:f>
        <x:v>5350</x:v>
      </x:c>
      <x:c r="O153" s="83" t="str">
        <x:f>IF(L153="","",IF(M153="GW","MW",IF(OR(M153="GWh",M153="TWh"),"MWh",M153)))</x:f>
        <x:v>MW</x:v>
      </x:c>
      <x:c r="P153" s="83" t="str"/>
      <x:c r="Q153" s="349"/>
      <x:c r="R153" s="349" t="str">
        <x:f>IF(L153="","",IF(Q153&lt;&gt;"",L153*Q153,IF(OR(ISNUMBER(SEARCH("EUR2025",M153&amp;"")),P153=2025,P153="2025"),L153,"")))</x:f>
      </x:c>
      <x:c r="S153" s="83" t="str">
        <x:v>C — Proxy/floor</x:v>
      </x:c>
      <x:c r="T153" s="83" t="str">
        <x:v>Use PDS 2040 capacity as documented 2050 floor; not an official 2050 target.</x:v>
      </x:c>
      <x:c r="U153" s="83" t="str">
        <x:v>S03 / assumption</x:v>
      </x:c>
      <x:c r="V153" s="83" t="str">
        <x:v>S03 Figure 3 floor</x:v>
      </x:c>
      <x:c r="W153" s="120"/>
      <x:c r="X153" s="83" t="str">
        <x:v>C — Proxy</x:v>
      </x:c>
      <x:c r="Y153" s="83" t="str">
        <x:v>APPROVED BASE PACKAGE</x:v>
      </x:c>
      <x:c r="Z153" s="83" t="str">
        <x:v>PHASE 5 READY — RUN BLOCKED pending nuclear siting/refuelling, hourly profiles, hydro inputs, 2050 CO2 price and final CLI pin</x:v>
      </x:c>
      <x:c r="AA153" s="83"/>
    </x:row>
    <x:row r="154">
      <x:c r="A154" s="83" t="str">
        <x:v>S4-00678</x:v>
      </x:c>
      <x:c r="B154" s="83" t="str">
        <x:v>IT2050_BASE_PNIEC_NUCLEAR_8GW</x:v>
      </x:c>
      <x:c r="C154" s="83" t="n">
        <x:v>2050</x:v>
      </x:c>
      <x:c r="D154" s="83" t="str">
        <x:v>Transmission</x:v>
      </x:c>
      <x:c r="E154" s="83" t="str">
        <x:v>CALA-&gt;SICI</x:v>
      </x:c>
      <x:c r="F154" s="83" t="str">
        <x:v>CALA</x:v>
      </x:c>
      <x:c r="G154" s="83" t="str">
        <x:v>2040 PDS floor</x:v>
      </x:c>
      <x:c r="H154" s="83" t="str">
        <x:v>Directional interzonal link</x:v>
      </x:c>
      <x:c r="I154" s="83" t="str">
        <x:v>electricity</x:v>
      </x:c>
      <x:c r="J154" s="83" t="str">
        <x:v>Link</x:v>
      </x:c>
      <x:c r="K154" s="83" t="str">
        <x:v>p_nom</x:v>
      </x:c>
      <x:c r="L154" s="279" t="n">
        <x:v>4150</x:v>
      </x:c>
      <x:c r="M154" s="279" t="str">
        <x:v>MW</x:v>
      </x:c>
      <x:c r="N154" s="279" t="n">
        <x:f>IF(L154="","",IF(M154="GW",L154*1000,IF(M154="GWh",L154*1000,IF(M154="TWh",L154*1000000,L154))))</x:f>
        <x:v>4150</x:v>
      </x:c>
      <x:c r="O154" s="83" t="str">
        <x:f>IF(L154="","",IF(M154="GW","MW",IF(OR(M154="GWh",M154="TWh"),"MWh",M154)))</x:f>
        <x:v>MW</x:v>
      </x:c>
      <x:c r="P154" s="83" t="str"/>
      <x:c r="Q154" s="349"/>
      <x:c r="R154" s="349" t="str">
        <x:f>IF(L154="","",IF(Q154&lt;&gt;"",L154*Q154,IF(OR(ISNUMBER(SEARCH("EUR2025",M154&amp;"")),P154=2025,P154="2025"),L154,"")))</x:f>
      </x:c>
      <x:c r="S154" s="83" t="str">
        <x:v>C — Proxy/floor</x:v>
      </x:c>
      <x:c r="T154" s="83" t="str">
        <x:v>Use PDS 2040 capacity as documented 2050 floor; not an official 2050 target.</x:v>
      </x:c>
      <x:c r="U154" s="83" t="str">
        <x:v>S03 / assumption</x:v>
      </x:c>
      <x:c r="V154" s="83" t="str">
        <x:v>S03 Figure 3 floor</x:v>
      </x:c>
      <x:c r="W154" s="120"/>
      <x:c r="X154" s="83" t="str">
        <x:v>C — Proxy</x:v>
      </x:c>
      <x:c r="Y154" s="83" t="str">
        <x:v>APPROVED BASE PACKAGE</x:v>
      </x:c>
      <x:c r="Z154" s="83" t="str">
        <x:v>PHASE 5 READY — RUN BLOCKED pending nuclear siting/refuelling, hourly profiles, hydro inputs, 2050 CO2 price and final CLI pin</x:v>
      </x:c>
      <x:c r="AA154" s="83"/>
    </x:row>
    <x:row r="155">
      <x:c r="A155" s="83" t="str">
        <x:v>S4-00679</x:v>
      </x:c>
      <x:c r="B155" s="83" t="str">
        <x:v>IT2050_BASE_PNIEC_NUCLEAR_8GW</x:v>
      </x:c>
      <x:c r="C155" s="83" t="n">
        <x:v>2050</x:v>
      </x:c>
      <x:c r="D155" s="83" t="str">
        <x:v>Transmission</x:v>
      </x:c>
      <x:c r="E155" s="83" t="str">
        <x:v>SICI-&gt;CALA</x:v>
      </x:c>
      <x:c r="F155" s="83" t="str">
        <x:v>SICI</x:v>
      </x:c>
      <x:c r="G155" s="83" t="str">
        <x:v>2040 PDS floor</x:v>
      </x:c>
      <x:c r="H155" s="83" t="str">
        <x:v>Directional interzonal link</x:v>
      </x:c>
      <x:c r="I155" s="83" t="str">
        <x:v>electricity</x:v>
      </x:c>
      <x:c r="J155" s="83" t="str">
        <x:v>Link</x:v>
      </x:c>
      <x:c r="K155" s="83" t="str">
        <x:v>p_nom</x:v>
      </x:c>
      <x:c r="L155" s="279" t="n">
        <x:v>4100</x:v>
      </x:c>
      <x:c r="M155" s="279" t="str">
        <x:v>MW</x:v>
      </x:c>
      <x:c r="N155" s="279" t="n">
        <x:f>IF(L155="","",IF(M155="GW",L155*1000,IF(M155="GWh",L155*1000,IF(M155="TWh",L155*1000000,L155))))</x:f>
        <x:v>4100</x:v>
      </x:c>
      <x:c r="O155" s="83" t="str">
        <x:f>IF(L155="","",IF(M155="GW","MW",IF(OR(M155="GWh",M155="TWh"),"MWh",M155)))</x:f>
        <x:v>MW</x:v>
      </x:c>
      <x:c r="P155" s="83" t="str"/>
      <x:c r="Q155" s="349"/>
      <x:c r="R155" s="349" t="str">
        <x:f>IF(L155="","",IF(Q155&lt;&gt;"",L155*Q155,IF(OR(ISNUMBER(SEARCH("EUR2025",M155&amp;"")),P155=2025,P155="2025"),L155,"")))</x:f>
      </x:c>
      <x:c r="S155" s="83" t="str">
        <x:v>C — Proxy/floor</x:v>
      </x:c>
      <x:c r="T155" s="83" t="str">
        <x:v>Use PDS 2040 capacity as documented 2050 floor; not an official 2050 target.</x:v>
      </x:c>
      <x:c r="U155" s="83" t="str">
        <x:v>S03 / assumption</x:v>
      </x:c>
      <x:c r="V155" s="83" t="str">
        <x:v>S03 Figure 3 floor</x:v>
      </x:c>
      <x:c r="W155" s="120"/>
      <x:c r="X155" s="83" t="str">
        <x:v>C — Proxy</x:v>
      </x:c>
      <x:c r="Y155" s="83" t="str">
        <x:v>APPROVED BASE PACKAGE</x:v>
      </x:c>
      <x:c r="Z155" s="83" t="str">
        <x:v>PHASE 5 READY — RUN BLOCKED pending nuclear siting/refuelling, hourly profiles, hydro inputs, 2050 CO2 price and final CLI pin</x:v>
      </x:c>
      <x:c r="AA155" s="83"/>
    </x:row>
    <x:row r="156">
      <x:c r="A156" s="83" t="str">
        <x:v>S4-00680</x:v>
      </x:c>
      <x:c r="B156" s="83" t="str">
        <x:v>IT2050_BASE_PNIEC_NUCLEAR_8GW</x:v>
      </x:c>
      <x:c r="C156" s="83" t="n">
        <x:v>2050</x:v>
      </x:c>
      <x:c r="D156" s="83" t="str">
        <x:v>Transmission</x:v>
      </x:c>
      <x:c r="E156" s="83" t="str">
        <x:v>CSUD-&gt;SARD</x:v>
      </x:c>
      <x:c r="F156" s="83" t="str">
        <x:v>CSUD</x:v>
      </x:c>
      <x:c r="G156" s="83" t="str">
        <x:v>2040 PDS floor</x:v>
      </x:c>
      <x:c r="H156" s="83" t="str">
        <x:v>Directional interzonal link</x:v>
      </x:c>
      <x:c r="I156" s="83" t="str">
        <x:v>electricity</x:v>
      </x:c>
      <x:c r="J156" s="83" t="str">
        <x:v>Link</x:v>
      </x:c>
      <x:c r="K156" s="83" t="str">
        <x:v>p_nom</x:v>
      </x:c>
      <x:c r="L156" s="279" t="n">
        <x:v>1720</x:v>
      </x:c>
      <x:c r="M156" s="279" t="str">
        <x:v>MW</x:v>
      </x:c>
      <x:c r="N156" s="279" t="n">
        <x:f>IF(L156="","",IF(M156="GW",L156*1000,IF(M156="GWh",L156*1000,IF(M156="TWh",L156*1000000,L156))))</x:f>
        <x:v>1720</x:v>
      </x:c>
      <x:c r="O156" s="83" t="str">
        <x:f>IF(L156="","",IF(M156="GW","MW",IF(OR(M156="GWh",M156="TWh"),"MWh",M156)))</x:f>
        <x:v>MW</x:v>
      </x:c>
      <x:c r="P156" s="83" t="str"/>
      <x:c r="Q156" s="349"/>
      <x:c r="R156" s="349" t="str">
        <x:f>IF(L156="","",IF(Q156&lt;&gt;"",L156*Q156,IF(OR(ISNUMBER(SEARCH("EUR2025",M156&amp;"")),P156=2025,P156="2025"),L156,"")))</x:f>
      </x:c>
      <x:c r="S156" s="83" t="str">
        <x:v>C — Proxy/floor</x:v>
      </x:c>
      <x:c r="T156" s="83" t="str">
        <x:v>Use PDS 2040 capacity as documented 2050 floor; not an official 2050 target.</x:v>
      </x:c>
      <x:c r="U156" s="83" t="str">
        <x:v>S03 / assumption</x:v>
      </x:c>
      <x:c r="V156" s="83" t="str">
        <x:v>S03 Figure 3 floor</x:v>
      </x:c>
      <x:c r="W156" s="120"/>
      <x:c r="X156" s="83" t="str">
        <x:v>C — Proxy</x:v>
      </x:c>
      <x:c r="Y156" s="83" t="str">
        <x:v>APPROVED BASE PACKAGE</x:v>
      </x:c>
      <x:c r="Z156" s="83" t="str">
        <x:v>PHASE 5 READY — RUN BLOCKED pending nuclear siting/refuelling, hourly profiles, hydro inputs, 2050 CO2 price and final CLI pin</x:v>
      </x:c>
      <x:c r="AA156" s="83"/>
    </x:row>
    <x:row r="157">
      <x:c r="A157" s="83" t="str">
        <x:v>S4-00681</x:v>
      </x:c>
      <x:c r="B157" s="83" t="str">
        <x:v>IT2050_BASE_PNIEC_NUCLEAR_8GW</x:v>
      </x:c>
      <x:c r="C157" s="83" t="n">
        <x:v>2050</x:v>
      </x:c>
      <x:c r="D157" s="83" t="str">
        <x:v>Transmission</x:v>
      </x:c>
      <x:c r="E157" s="83" t="str">
        <x:v>SARD-&gt;CSUD</x:v>
      </x:c>
      <x:c r="F157" s="83" t="str">
        <x:v>SARD</x:v>
      </x:c>
      <x:c r="G157" s="83" t="str">
        <x:v>2040 PDS floor</x:v>
      </x:c>
      <x:c r="H157" s="83" t="str">
        <x:v>Directional interzonal link</x:v>
      </x:c>
      <x:c r="I157" s="83" t="str">
        <x:v>electricity</x:v>
      </x:c>
      <x:c r="J157" s="83" t="str">
        <x:v>Link</x:v>
      </x:c>
      <x:c r="K157" s="83" t="str">
        <x:v>p_nom</x:v>
      </x:c>
      <x:c r="L157" s="279" t="n">
        <x:v>1900</x:v>
      </x:c>
      <x:c r="M157" s="279" t="str">
        <x:v>MW</x:v>
      </x:c>
      <x:c r="N157" s="279" t="n">
        <x:f>IF(L157="","",IF(M157="GW",L157*1000,IF(M157="GWh",L157*1000,IF(M157="TWh",L157*1000000,L157))))</x:f>
        <x:v>1900</x:v>
      </x:c>
      <x:c r="O157" s="83" t="str">
        <x:f>IF(L157="","",IF(M157="GW","MW",IF(OR(M157="GWh",M157="TWh"),"MWh",M157)))</x:f>
        <x:v>MW</x:v>
      </x:c>
      <x:c r="P157" s="83" t="str"/>
      <x:c r="Q157" s="349"/>
      <x:c r="R157" s="349" t="str">
        <x:f>IF(L157="","",IF(Q157&lt;&gt;"",L157*Q157,IF(OR(ISNUMBER(SEARCH("EUR2025",M157&amp;"")),P157=2025,P157="2025"),L157,"")))</x:f>
      </x:c>
      <x:c r="S157" s="83" t="str">
        <x:v>C — Proxy/floor</x:v>
      </x:c>
      <x:c r="T157" s="83" t="str">
        <x:v>Use PDS 2040 capacity as documented 2050 floor; not an official 2050 target.</x:v>
      </x:c>
      <x:c r="U157" s="83" t="str">
        <x:v>S03 / assumption</x:v>
      </x:c>
      <x:c r="V157" s="83" t="str">
        <x:v>S03 Figure 3 floor</x:v>
      </x:c>
      <x:c r="W157" s="120"/>
      <x:c r="X157" s="83" t="str">
        <x:v>C — Proxy</x:v>
      </x:c>
      <x:c r="Y157" s="83" t="str">
        <x:v>APPROVED BASE PACKAGE</x:v>
      </x:c>
      <x:c r="Z157" s="83" t="str">
        <x:v>PHASE 5 READY — RUN BLOCKED pending nuclear siting/refuelling, hourly profiles, hydro inputs, 2050 CO2 price and final CLI pin</x:v>
      </x:c>
      <x:c r="AA157" s="83"/>
    </x:row>
    <x:row r="158">
      <x:c r="A158" s="83" t="str">
        <x:v>S4-00682</x:v>
      </x:c>
      <x:c r="B158" s="83" t="str">
        <x:v>IT2050_BASE_PNIEC_NUCLEAR_8GW</x:v>
      </x:c>
      <x:c r="C158" s="83" t="n">
        <x:v>2050</x:v>
      </x:c>
      <x:c r="D158" s="83" t="str">
        <x:v>Transmission</x:v>
      </x:c>
      <x:c r="E158" s="83" t="str">
        <x:v>CNOR-&gt;CORS</x:v>
      </x:c>
      <x:c r="F158" s="83" t="str">
        <x:v>CNOR</x:v>
      </x:c>
      <x:c r="G158" s="83" t="str">
        <x:v>2040 PDS floor</x:v>
      </x:c>
      <x:c r="H158" s="83" t="str">
        <x:v>Directional interzonal link</x:v>
      </x:c>
      <x:c r="I158" s="83" t="str">
        <x:v>electricity</x:v>
      </x:c>
      <x:c r="J158" s="83" t="str">
        <x:v>Link</x:v>
      </x:c>
      <x:c r="K158" s="83" t="str">
        <x:v>p_nom</x:v>
      </x:c>
      <x:c r="L158" s="279" t="n">
        <x:v>400</x:v>
      </x:c>
      <x:c r="M158" s="279" t="str">
        <x:v>MW</x:v>
      </x:c>
      <x:c r="N158" s="279" t="n">
        <x:f>IF(L158="","",IF(M158="GW",L158*1000,IF(M158="GWh",L158*1000,IF(M158="TWh",L158*1000000,L158))))</x:f>
        <x:v>400</x:v>
      </x:c>
      <x:c r="O158" s="83" t="str">
        <x:f>IF(L158="","",IF(M158="GW","MW",IF(OR(M158="GWh",M158="TWh"),"MWh",M158)))</x:f>
        <x:v>MW</x:v>
      </x:c>
      <x:c r="P158" s="83" t="str"/>
      <x:c r="Q158" s="349"/>
      <x:c r="R158" s="349" t="str">
        <x:f>IF(L158="","",IF(Q158&lt;&gt;"",L158*Q158,IF(OR(ISNUMBER(SEARCH("EUR2025",M158&amp;"")),P158=2025,P158="2025"),L158,"")))</x:f>
      </x:c>
      <x:c r="S158" s="83" t="str">
        <x:v>C — Proxy/floor</x:v>
      </x:c>
      <x:c r="T158" s="83" t="str">
        <x:v>Use PDS 2040 capacity as documented 2050 floor; not an official 2050 target.</x:v>
      </x:c>
      <x:c r="U158" s="83" t="str">
        <x:v>S03 / assumption</x:v>
      </x:c>
      <x:c r="V158" s="83" t="str">
        <x:v>S03 Figure 3 floor</x:v>
      </x:c>
      <x:c r="W158" s="120"/>
      <x:c r="X158" s="83" t="str">
        <x:v>C — Proxy</x:v>
      </x:c>
      <x:c r="Y158" s="83" t="str">
        <x:v>APPROVED BASE PACKAGE</x:v>
      </x:c>
      <x:c r="Z158" s="83" t="str">
        <x:v>PHASE 5 READY — RUN BLOCKED pending nuclear siting/refuelling, hourly profiles, hydro inputs, 2050 CO2 price and final CLI pin</x:v>
      </x:c>
      <x:c r="AA158" s="83"/>
    </x:row>
    <x:row r="159">
      <x:c r="A159" s="83" t="str">
        <x:v>S4-00683</x:v>
      </x:c>
      <x:c r="B159" s="83" t="str">
        <x:v>IT2050_BASE_PNIEC_NUCLEAR_8GW</x:v>
      </x:c>
      <x:c r="C159" s="83" t="n">
        <x:v>2050</x:v>
      </x:c>
      <x:c r="D159" s="83" t="str">
        <x:v>Transmission</x:v>
      </x:c>
      <x:c r="E159" s="83" t="str">
        <x:v>CORS-&gt;CNOR</x:v>
      </x:c>
      <x:c r="F159" s="83" t="str">
        <x:v>CORS</x:v>
      </x:c>
      <x:c r="G159" s="83" t="str">
        <x:v>2040 PDS floor</x:v>
      </x:c>
      <x:c r="H159" s="83" t="str">
        <x:v>Directional interzonal link</x:v>
      </x:c>
      <x:c r="I159" s="83" t="str">
        <x:v>electricity</x:v>
      </x:c>
      <x:c r="J159" s="83" t="str">
        <x:v>Link</x:v>
      </x:c>
      <x:c r="K159" s="83" t="str">
        <x:v>p_nom</x:v>
      </x:c>
      <x:c r="L159" s="279" t="n">
        <x:v>400</x:v>
      </x:c>
      <x:c r="M159" s="279" t="str">
        <x:v>MW</x:v>
      </x:c>
      <x:c r="N159" s="279" t="n">
        <x:f>IF(L159="","",IF(M159="GW",L159*1000,IF(M159="GWh",L159*1000,IF(M159="TWh",L159*1000000,L159))))</x:f>
        <x:v>400</x:v>
      </x:c>
      <x:c r="O159" s="83" t="str">
        <x:f>IF(L159="","",IF(M159="GW","MW",IF(OR(M159="GWh",M159="TWh"),"MWh",M159)))</x:f>
        <x:v>MW</x:v>
      </x:c>
      <x:c r="P159" s="83" t="str"/>
      <x:c r="Q159" s="349"/>
      <x:c r="R159" s="349" t="str">
        <x:f>IF(L159="","",IF(Q159&lt;&gt;"",L159*Q159,IF(OR(ISNUMBER(SEARCH("EUR2025",M159&amp;"")),P159=2025,P159="2025"),L159,"")))</x:f>
      </x:c>
      <x:c r="S159" s="83" t="str">
        <x:v>C — Proxy/floor</x:v>
      </x:c>
      <x:c r="T159" s="83" t="str">
        <x:v>Use PDS 2040 capacity as documented 2050 floor; not an official 2050 target.</x:v>
      </x:c>
      <x:c r="U159" s="83" t="str">
        <x:v>S03 / assumption</x:v>
      </x:c>
      <x:c r="V159" s="83" t="str">
        <x:v>S03 Figure 3 floor</x:v>
      </x:c>
      <x:c r="W159" s="120"/>
      <x:c r="X159" s="83" t="str">
        <x:v>C — Proxy</x:v>
      </x:c>
      <x:c r="Y159" s="83" t="str">
        <x:v>APPROVED BASE PACKAGE</x:v>
      </x:c>
      <x:c r="Z159" s="83" t="str">
        <x:v>PHASE 5 READY — RUN BLOCKED pending nuclear siting/refuelling, hourly profiles, hydro inputs, 2050 CO2 price and final CLI pin</x:v>
      </x:c>
      <x:c r="AA159" s="83"/>
    </x:row>
    <x:row r="160">
      <x:c r="A160" s="83" t="str">
        <x:v>S4-00684</x:v>
      </x:c>
      <x:c r="B160" s="83" t="str">
        <x:v>IT2050_BASE_PNIEC_NUCLEAR_8GW</x:v>
      </x:c>
      <x:c r="C160" s="83" t="n">
        <x:v>2050</x:v>
      </x:c>
      <x:c r="D160" s="83" t="str">
        <x:v>Transmission</x:v>
      </x:c>
      <x:c r="E160" s="83" t="str">
        <x:v>CORS-&gt;SARD</x:v>
      </x:c>
      <x:c r="F160" s="83" t="str">
        <x:v>CORS</x:v>
      </x:c>
      <x:c r="G160" s="83" t="str">
        <x:v>2040 PDS floor</x:v>
      </x:c>
      <x:c r="H160" s="83" t="str">
        <x:v>Directional interzonal link</x:v>
      </x:c>
      <x:c r="I160" s="83" t="str">
        <x:v>electricity</x:v>
      </x:c>
      <x:c r="J160" s="83" t="str">
        <x:v>Link</x:v>
      </x:c>
      <x:c r="K160" s="83" t="str">
        <x:v>p_nom</x:v>
      </x:c>
      <x:c r="L160" s="279" t="n">
        <x:v>400</x:v>
      </x:c>
      <x:c r="M160" s="279" t="str">
        <x:v>MW</x:v>
      </x:c>
      <x:c r="N160" s="279" t="n">
        <x:f>IF(L160="","",IF(M160="GW",L160*1000,IF(M160="GWh",L160*1000,IF(M160="TWh",L160*1000000,L160))))</x:f>
        <x:v>400</x:v>
      </x:c>
      <x:c r="O160" s="83" t="str">
        <x:f>IF(L160="","",IF(M160="GW","MW",IF(OR(M160="GWh",M160="TWh"),"MWh",M160)))</x:f>
        <x:v>MW</x:v>
      </x:c>
      <x:c r="P160" s="83" t="str"/>
      <x:c r="Q160" s="349"/>
      <x:c r="R160" s="349" t="str">
        <x:f>IF(L160="","",IF(Q160&lt;&gt;"",L160*Q160,IF(OR(ISNUMBER(SEARCH("EUR2025",M160&amp;"")),P160=2025,P160="2025"),L160,"")))</x:f>
      </x:c>
      <x:c r="S160" s="83" t="str">
        <x:v>C — Proxy/floor</x:v>
      </x:c>
      <x:c r="T160" s="83" t="str">
        <x:v>Use PDS 2040 capacity as documented 2050 floor; not an official 2050 target.</x:v>
      </x:c>
      <x:c r="U160" s="83" t="str">
        <x:v>S03 / assumption</x:v>
      </x:c>
      <x:c r="V160" s="83" t="str">
        <x:v>S03 Figure 3 floor</x:v>
      </x:c>
      <x:c r="W160" s="120"/>
      <x:c r="X160" s="83" t="str">
        <x:v>C — Proxy</x:v>
      </x:c>
      <x:c r="Y160" s="83" t="str">
        <x:v>APPROVED BASE PACKAGE</x:v>
      </x:c>
      <x:c r="Z160" s="83" t="str">
        <x:v>PHASE 5 READY — RUN BLOCKED pending nuclear siting/refuelling, hourly profiles, hydro inputs, 2050 CO2 price and final CLI pin</x:v>
      </x:c>
      <x:c r="AA160" s="83"/>
    </x:row>
    <x:row r="161">
      <x:c r="A161" s="83" t="str">
        <x:v>S4-00685</x:v>
      </x:c>
      <x:c r="B161" s="83" t="str">
        <x:v>IT2050_BASE_PNIEC_NUCLEAR_8GW</x:v>
      </x:c>
      <x:c r="C161" s="83" t="n">
        <x:v>2050</x:v>
      </x:c>
      <x:c r="D161" s="83" t="str">
        <x:v>Transmission</x:v>
      </x:c>
      <x:c r="E161" s="83" t="str">
        <x:v>SARD-&gt;CORS</x:v>
      </x:c>
      <x:c r="F161" s="83" t="str">
        <x:v>SARD</x:v>
      </x:c>
      <x:c r="G161" s="83" t="str">
        <x:v>2040 PDS floor</x:v>
      </x:c>
      <x:c r="H161" s="83" t="str">
        <x:v>Directional interzonal link</x:v>
      </x:c>
      <x:c r="I161" s="83" t="str">
        <x:v>electricity</x:v>
      </x:c>
      <x:c r="J161" s="83" t="str">
        <x:v>Link</x:v>
      </x:c>
      <x:c r="K161" s="83" t="str">
        <x:v>p_nom</x:v>
      </x:c>
      <x:c r="L161" s="279" t="n">
        <x:v>400</x:v>
      </x:c>
      <x:c r="M161" s="279" t="str">
        <x:v>MW</x:v>
      </x:c>
      <x:c r="N161" s="279" t="n">
        <x:f>IF(L161="","",IF(M161="GW",L161*1000,IF(M161="GWh",L161*1000,IF(M161="TWh",L161*1000000,L161))))</x:f>
        <x:v>400</x:v>
      </x:c>
      <x:c r="O161" s="83" t="str">
        <x:f>IF(L161="","",IF(M161="GW","MW",IF(OR(M161="GWh",M161="TWh"),"MWh",M161)))</x:f>
        <x:v>MW</x:v>
      </x:c>
      <x:c r="P161" s="83" t="str"/>
      <x:c r="Q161" s="349"/>
      <x:c r="R161" s="349" t="str">
        <x:f>IF(L161="","",IF(Q161&lt;&gt;"",L161*Q161,IF(OR(ISNUMBER(SEARCH("EUR2025",M161&amp;"")),P161=2025,P161="2025"),L161,"")))</x:f>
      </x:c>
      <x:c r="S161" s="83" t="str">
        <x:v>C — Proxy/floor</x:v>
      </x:c>
      <x:c r="T161" s="83" t="str">
        <x:v>Use PDS 2040 capacity as documented 2050 floor; not an official 2050 target.</x:v>
      </x:c>
      <x:c r="U161" s="83" t="str">
        <x:v>S03 / assumption</x:v>
      </x:c>
      <x:c r="V161" s="83" t="str">
        <x:v>S03 Figure 3 floor</x:v>
      </x:c>
      <x:c r="W161" s="120"/>
      <x:c r="X161" s="83" t="str">
        <x:v>C — Proxy</x:v>
      </x:c>
      <x:c r="Y161" s="83" t="str">
        <x:v>APPROVED BASE PACKAGE</x:v>
      </x:c>
      <x:c r="Z161" s="83" t="str">
        <x:v>PHASE 5 READY — RUN BLOCKED pending nuclear siting/refuelling, hourly profiles, hydro inputs, 2050 CO2 price and final CLI pin</x:v>
      </x:c>
      <x:c r="AA161" s="83"/>
    </x:row>
    <x:row r="162">
      <x:c r="A162" s="83" t="str">
        <x:v>S4-00686</x:v>
      </x:c>
      <x:c r="B162" s="83" t="str">
        <x:v>IT2050_BASE_PNIEC_NUCLEAR_8GW</x:v>
      </x:c>
      <x:c r="C162" s="83" t="n">
        <x:v>2050</x:v>
      </x:c>
      <x:c r="D162" s="83" t="str">
        <x:v>Transmission</x:v>
      </x:c>
      <x:c r="E162" s="83" t="str">
        <x:v>NORD-&gt;SUD</x:v>
      </x:c>
      <x:c r="F162" s="83" t="str">
        <x:v>NORD</x:v>
      </x:c>
      <x:c r="G162" s="83" t="str">
        <x:v>2040 PDS floor</x:v>
      </x:c>
      <x:c r="H162" s="83" t="str">
        <x:v>Directional interzonal link</x:v>
      </x:c>
      <x:c r="I162" s="83" t="str">
        <x:v>electricity</x:v>
      </x:c>
      <x:c r="J162" s="83" t="str">
        <x:v>Link</x:v>
      </x:c>
      <x:c r="K162" s="83" t="str">
        <x:v>p_nom</x:v>
      </x:c>
      <x:c r="L162" s="279" t="n">
        <x:v>2100</x:v>
      </x:c>
      <x:c r="M162" s="279" t="str">
        <x:v>MW</x:v>
      </x:c>
      <x:c r="N162" s="279" t="n">
        <x:f>IF(L162="","",IF(M162="GW",L162*1000,IF(M162="GWh",L162*1000,IF(M162="TWh",L162*1000000,L162))))</x:f>
        <x:v>2100</x:v>
      </x:c>
      <x:c r="O162" s="83" t="str">
        <x:f>IF(L162="","",IF(M162="GW","MW",IF(OR(M162="GWh",M162="TWh"),"MWh",M162)))</x:f>
        <x:v>MW</x:v>
      </x:c>
      <x:c r="P162" s="83" t="str"/>
      <x:c r="Q162" s="349"/>
      <x:c r="R162" s="349" t="str">
        <x:f>IF(L162="","",IF(Q162&lt;&gt;"",L162*Q162,IF(OR(ISNUMBER(SEARCH("EUR2025",M162&amp;"")),P162=2025,P162="2025"),L162,"")))</x:f>
      </x:c>
      <x:c r="S162" s="83" t="str">
        <x:v>C — Proxy/floor</x:v>
      </x:c>
      <x:c r="T162" s="83" t="str">
        <x:v>Use PDS 2040 capacity as documented 2050 floor; not an official 2050 target.</x:v>
      </x:c>
      <x:c r="U162" s="83" t="str">
        <x:v>S03 / assumption</x:v>
      </x:c>
      <x:c r="V162" s="83" t="str">
        <x:v>S03 Figure 3 floor</x:v>
      </x:c>
      <x:c r="W162" s="120"/>
      <x:c r="X162" s="83" t="str">
        <x:v>C — Proxy</x:v>
      </x:c>
      <x:c r="Y162" s="83" t="str">
        <x:v>APPROVED BASE PACKAGE</x:v>
      </x:c>
      <x:c r="Z162" s="83" t="str">
        <x:v>PHASE 5 READY — RUN BLOCKED pending nuclear siting/refuelling, hourly profiles, hydro inputs, 2050 CO2 price and final CLI pin</x:v>
      </x:c>
      <x:c r="AA162" s="83"/>
    </x:row>
    <x:row r="163">
      <x:c r="A163" s="83" t="str">
        <x:v>S4-00687</x:v>
      </x:c>
      <x:c r="B163" s="83" t="str">
        <x:v>IT2050_BASE_PNIEC_NUCLEAR_8GW</x:v>
      </x:c>
      <x:c r="C163" s="83" t="n">
        <x:v>2050</x:v>
      </x:c>
      <x:c r="D163" s="83" t="str">
        <x:v>Transmission</x:v>
      </x:c>
      <x:c r="E163" s="83" t="str">
        <x:v>SUD-&gt;NORD</x:v>
      </x:c>
      <x:c r="F163" s="83" t="str">
        <x:v>SUD</x:v>
      </x:c>
      <x:c r="G163" s="83" t="str">
        <x:v>2040 PDS floor</x:v>
      </x:c>
      <x:c r="H163" s="83" t="str">
        <x:v>Directional interzonal link</x:v>
      </x:c>
      <x:c r="I163" s="83" t="str">
        <x:v>electricity</x:v>
      </x:c>
      <x:c r="J163" s="83" t="str">
        <x:v>Link</x:v>
      </x:c>
      <x:c r="K163" s="83" t="str">
        <x:v>p_nom</x:v>
      </x:c>
      <x:c r="L163" s="279" t="n">
        <x:v>2100</x:v>
      </x:c>
      <x:c r="M163" s="279" t="str">
        <x:v>MW</x:v>
      </x:c>
      <x:c r="N163" s="279" t="n">
        <x:f>IF(L163="","",IF(M163="GW",L163*1000,IF(M163="GWh",L163*1000,IF(M163="TWh",L163*1000000,L163))))</x:f>
        <x:v>2100</x:v>
      </x:c>
      <x:c r="O163" s="83" t="str">
        <x:f>IF(L163="","",IF(M163="GW","MW",IF(OR(M163="GWh",M163="TWh"),"MWh",M163)))</x:f>
        <x:v>MW</x:v>
      </x:c>
      <x:c r="P163" s="83" t="str"/>
      <x:c r="Q163" s="349"/>
      <x:c r="R163" s="349" t="str">
        <x:f>IF(L163="","",IF(Q163&lt;&gt;"",L163*Q163,IF(OR(ISNUMBER(SEARCH("EUR2025",M163&amp;"")),P163=2025,P163="2025"),L163,"")))</x:f>
      </x:c>
      <x:c r="S163" s="83" t="str">
        <x:v>C — Proxy/floor</x:v>
      </x:c>
      <x:c r="T163" s="83" t="str">
        <x:v>Use PDS 2040 capacity as documented 2050 floor; not an official 2050 target.</x:v>
      </x:c>
      <x:c r="U163" s="83" t="str">
        <x:v>S03 / assumption</x:v>
      </x:c>
      <x:c r="V163" s="83" t="str">
        <x:v>S03 Figure 3 floor</x:v>
      </x:c>
      <x:c r="W163" s="120"/>
      <x:c r="X163" s="83" t="str">
        <x:v>C — Proxy</x:v>
      </x:c>
      <x:c r="Y163" s="83" t="str">
        <x:v>APPROVED BASE PACKAGE</x:v>
      </x:c>
      <x:c r="Z163" s="83" t="str">
        <x:v>PHASE 5 READY — RUN BLOCKED pending nuclear siting/refuelling, hourly profiles, hydro inputs, 2050 CO2 price and final CLI pin</x:v>
      </x:c>
      <x:c r="AA163" s="83"/>
    </x:row>
    <x:row r="164">
      <x:c r="A164" s="83" t="str">
        <x:v>S4-00688</x:v>
      </x:c>
      <x:c r="B164" s="83" t="str">
        <x:v>IT2050_BASE_PNIEC_NUCLEAR_8GW</x:v>
      </x:c>
      <x:c r="C164" s="83" t="n">
        <x:v>2050</x:v>
      </x:c>
      <x:c r="D164" s="83" t="str">
        <x:v>Transmission</x:v>
      </x:c>
      <x:c r="E164" s="83" t="str">
        <x:v>NORD-&gt;CSUD</x:v>
      </x:c>
      <x:c r="F164" s="83" t="str">
        <x:v>NORD</x:v>
      </x:c>
      <x:c r="G164" s="83" t="str">
        <x:v>2040 PDS floor</x:v>
      </x:c>
      <x:c r="H164" s="83" t="str">
        <x:v>Directional interzonal link</x:v>
      </x:c>
      <x:c r="I164" s="83" t="str">
        <x:v>electricity</x:v>
      </x:c>
      <x:c r="J164" s="83" t="str">
        <x:v>Link</x:v>
      </x:c>
      <x:c r="K164" s="83" t="str">
        <x:v>p_nom</x:v>
      </x:c>
      <x:c r="L164" s="279" t="n">
        <x:v>2100</x:v>
      </x:c>
      <x:c r="M164" s="279" t="str">
        <x:v>MW</x:v>
      </x:c>
      <x:c r="N164" s="279" t="n">
        <x:f>IF(L164="","",IF(M164="GW",L164*1000,IF(M164="GWh",L164*1000,IF(M164="TWh",L164*1000000,L164))))</x:f>
        <x:v>2100</x:v>
      </x:c>
      <x:c r="O164" s="83" t="str">
        <x:f>IF(L164="","",IF(M164="GW","MW",IF(OR(M164="GWh",M164="TWh"),"MWh",M164)))</x:f>
        <x:v>MW</x:v>
      </x:c>
      <x:c r="P164" s="83" t="str"/>
      <x:c r="Q164" s="349"/>
      <x:c r="R164" s="349" t="str">
        <x:f>IF(L164="","",IF(Q164&lt;&gt;"",L164*Q164,IF(OR(ISNUMBER(SEARCH("EUR2025",M164&amp;"")),P164=2025,P164="2025"),L164,"")))</x:f>
      </x:c>
      <x:c r="S164" s="83" t="str">
        <x:v>C — Proxy/floor</x:v>
      </x:c>
      <x:c r="T164" s="83" t="str">
        <x:v>Use PDS 2040 capacity as documented 2050 floor; not an official 2050 target.</x:v>
      </x:c>
      <x:c r="U164" s="83" t="str">
        <x:v>S03 / assumption</x:v>
      </x:c>
      <x:c r="V164" s="83" t="str">
        <x:v>S03 Figure 3 floor</x:v>
      </x:c>
      <x:c r="W164" s="120"/>
      <x:c r="X164" s="83" t="str">
        <x:v>C — Proxy</x:v>
      </x:c>
      <x:c r="Y164" s="83" t="str">
        <x:v>APPROVED BASE PACKAGE</x:v>
      </x:c>
      <x:c r="Z164" s="83" t="str">
        <x:v>PHASE 5 READY — RUN BLOCKED pending nuclear siting/refuelling, hourly profiles, hydro inputs, 2050 CO2 price and final CLI pin</x:v>
      </x:c>
      <x:c r="AA164" s="83"/>
    </x:row>
    <x:row r="165">
      <x:c r="A165" s="83" t="str">
        <x:v>S4-00689</x:v>
      </x:c>
      <x:c r="B165" s="83" t="str">
        <x:v>IT2050_BASE_PNIEC_NUCLEAR_8GW</x:v>
      </x:c>
      <x:c r="C165" s="83" t="n">
        <x:v>2050</x:v>
      </x:c>
      <x:c r="D165" s="83" t="str">
        <x:v>Transmission</x:v>
      </x:c>
      <x:c r="E165" s="83" t="str">
        <x:v>CSUD-&gt;NORD</x:v>
      </x:c>
      <x:c r="F165" s="83" t="str">
        <x:v>CSUD</x:v>
      </x:c>
      <x:c r="G165" s="83" t="str">
        <x:v>2040 PDS floor</x:v>
      </x:c>
      <x:c r="H165" s="83" t="str">
        <x:v>Directional interzonal link</x:v>
      </x:c>
      <x:c r="I165" s="83" t="str">
        <x:v>electricity</x:v>
      </x:c>
      <x:c r="J165" s="83" t="str">
        <x:v>Link</x:v>
      </x:c>
      <x:c r="K165" s="83" t="str">
        <x:v>p_nom</x:v>
      </x:c>
      <x:c r="L165" s="279" t="n">
        <x:v>2100</x:v>
      </x:c>
      <x:c r="M165" s="279" t="str">
        <x:v>MW</x:v>
      </x:c>
      <x:c r="N165" s="279" t="n">
        <x:f>IF(L165="","",IF(M165="GW",L165*1000,IF(M165="GWh",L165*1000,IF(M165="TWh",L165*1000000,L165))))</x:f>
        <x:v>2100</x:v>
      </x:c>
      <x:c r="O165" s="83" t="str">
        <x:f>IF(L165="","",IF(M165="GW","MW",IF(OR(M165="GWh",M165="TWh"),"MWh",M165)))</x:f>
        <x:v>MW</x:v>
      </x:c>
      <x:c r="P165" s="83" t="str"/>
      <x:c r="Q165" s="349"/>
      <x:c r="R165" s="349" t="str">
        <x:f>IF(L165="","",IF(Q165&lt;&gt;"",L165*Q165,IF(OR(ISNUMBER(SEARCH("EUR2025",M165&amp;"")),P165=2025,P165="2025"),L165,"")))</x:f>
      </x:c>
      <x:c r="S165" s="83" t="str">
        <x:v>C — Proxy/floor</x:v>
      </x:c>
      <x:c r="T165" s="83" t="str">
        <x:v>Use PDS 2040 capacity as documented 2050 floor; not an official 2050 target.</x:v>
      </x:c>
      <x:c r="U165" s="83" t="str">
        <x:v>S03 / assumption</x:v>
      </x:c>
      <x:c r="V165" s="83" t="str">
        <x:v>S03 Figure 3 floor</x:v>
      </x:c>
      <x:c r="W165" s="120"/>
      <x:c r="X165" s="83" t="str">
        <x:v>C — Proxy</x:v>
      </x:c>
      <x:c r="Y165" s="83" t="str">
        <x:v>APPROVED BASE PACKAGE</x:v>
      </x:c>
      <x:c r="Z165" s="83" t="str">
        <x:v>PHASE 5 READY — RUN BLOCKED pending nuclear siting/refuelling, hourly profiles, hydro inputs, 2050 CO2 price and final CLI pin</x:v>
      </x:c>
      <x:c r="AA165" s="83"/>
    </x:row>
    <x:row r="166">
      <x:c r="A166" s="83" t="str">
        <x:v>S4-00690</x:v>
      </x:c>
      <x:c r="B166" s="83" t="str">
        <x:v>IT2050_BASE_PNIEC_NUCLEAR_8GW</x:v>
      </x:c>
      <x:c r="C166" s="83" t="n">
        <x:v>2050</x:v>
      </x:c>
      <x:c r="D166" s="83" t="str">
        <x:v>Transmission</x:v>
      </x:c>
      <x:c r="E166" s="83" t="str">
        <x:v>CSUD-&gt;SICI</x:v>
      </x:c>
      <x:c r="F166" s="83" t="str">
        <x:v>CSUD</x:v>
      </x:c>
      <x:c r="G166" s="83" t="str">
        <x:v>2040 PDS floor</x:v>
      </x:c>
      <x:c r="H166" s="83" t="str">
        <x:v>Directional interzonal link</x:v>
      </x:c>
      <x:c r="I166" s="83" t="str">
        <x:v>electricity</x:v>
      </x:c>
      <x:c r="J166" s="83" t="str">
        <x:v>Link</x:v>
      </x:c>
      <x:c r="K166" s="83" t="str">
        <x:v>p_nom</x:v>
      </x:c>
      <x:c r="L166" s="279" t="n">
        <x:v>1000</x:v>
      </x:c>
      <x:c r="M166" s="279" t="str">
        <x:v>MW</x:v>
      </x:c>
      <x:c r="N166" s="279" t="n">
        <x:f>IF(L166="","",IF(M166="GW",L166*1000,IF(M166="GWh",L166*1000,IF(M166="TWh",L166*1000000,L166))))</x:f>
        <x:v>1000</x:v>
      </x:c>
      <x:c r="O166" s="83" t="str">
        <x:f>IF(L166="","",IF(M166="GW","MW",IF(OR(M166="GWh",M166="TWh"),"MWh",M166)))</x:f>
        <x:v>MW</x:v>
      </x:c>
      <x:c r="P166" s="83" t="str"/>
      <x:c r="Q166" s="349"/>
      <x:c r="R166" s="349" t="str">
        <x:f>IF(L166="","",IF(Q166&lt;&gt;"",L166*Q166,IF(OR(ISNUMBER(SEARCH("EUR2025",M166&amp;"")),P166=2025,P166="2025"),L166,"")))</x:f>
      </x:c>
      <x:c r="S166" s="83" t="str">
        <x:v>C — Proxy/floor</x:v>
      </x:c>
      <x:c r="T166" s="83" t="str">
        <x:v>Use PDS 2040 capacity as documented 2050 floor; not an official 2050 target.</x:v>
      </x:c>
      <x:c r="U166" s="83" t="str">
        <x:v>S03 / assumption</x:v>
      </x:c>
      <x:c r="V166" s="83" t="str">
        <x:v>S03 Figure 3 floor</x:v>
      </x:c>
      <x:c r="W166" s="120"/>
      <x:c r="X166" s="83" t="str">
        <x:v>C — Proxy</x:v>
      </x:c>
      <x:c r="Y166" s="83" t="str">
        <x:v>APPROVED BASE PACKAGE</x:v>
      </x:c>
      <x:c r="Z166" s="83" t="str">
        <x:v>PHASE 5 READY — RUN BLOCKED pending nuclear siting/refuelling, hourly profiles, hydro inputs, 2050 CO2 price and final CLI pin</x:v>
      </x:c>
      <x:c r="AA166" s="83"/>
    </x:row>
    <x:row r="167">
      <x:c r="A167" s="83" t="str">
        <x:v>S4-00691</x:v>
      </x:c>
      <x:c r="B167" s="83" t="str">
        <x:v>IT2050_BASE_PNIEC_NUCLEAR_8GW</x:v>
      </x:c>
      <x:c r="C167" s="83" t="n">
        <x:v>2050</x:v>
      </x:c>
      <x:c r="D167" s="83" t="str">
        <x:v>Transmission</x:v>
      </x:c>
      <x:c r="E167" s="83" t="str">
        <x:v>SICI-&gt;CSUD</x:v>
      </x:c>
      <x:c r="F167" s="83" t="str">
        <x:v>SICI</x:v>
      </x:c>
      <x:c r="G167" s="83" t="str">
        <x:v>2040 PDS floor</x:v>
      </x:c>
      <x:c r="H167" s="83" t="str">
        <x:v>Directional interzonal link</x:v>
      </x:c>
      <x:c r="I167" s="83" t="str">
        <x:v>electricity</x:v>
      </x:c>
      <x:c r="J167" s="83" t="str">
        <x:v>Link</x:v>
      </x:c>
      <x:c r="K167" s="83" t="str">
        <x:v>p_nom</x:v>
      </x:c>
      <x:c r="L167" s="279" t="n">
        <x:v>1000</x:v>
      </x:c>
      <x:c r="M167" s="279" t="str">
        <x:v>MW</x:v>
      </x:c>
      <x:c r="N167" s="279" t="n">
        <x:f>IF(L167="","",IF(M167="GW",L167*1000,IF(M167="GWh",L167*1000,IF(M167="TWh",L167*1000000,L167))))</x:f>
        <x:v>1000</x:v>
      </x:c>
      <x:c r="O167" s="83" t="str">
        <x:f>IF(L167="","",IF(M167="GW","MW",IF(OR(M167="GWh",M167="TWh"),"MWh",M167)))</x:f>
        <x:v>MW</x:v>
      </x:c>
      <x:c r="P167" s="83" t="str"/>
      <x:c r="Q167" s="349"/>
      <x:c r="R167" s="349" t="str">
        <x:f>IF(L167="","",IF(Q167&lt;&gt;"",L167*Q167,IF(OR(ISNUMBER(SEARCH("EUR2025",M167&amp;"")),P167=2025,P167="2025"),L167,"")))</x:f>
      </x:c>
      <x:c r="S167" s="83" t="str">
        <x:v>C — Proxy/floor</x:v>
      </x:c>
      <x:c r="T167" s="83" t="str">
        <x:v>Use PDS 2040 capacity as documented 2050 floor; not an official 2050 target.</x:v>
      </x:c>
      <x:c r="U167" s="83" t="str">
        <x:v>S03 / assumption</x:v>
      </x:c>
      <x:c r="V167" s="83" t="str">
        <x:v>S03 Figure 3 floor</x:v>
      </x:c>
      <x:c r="W167" s="120"/>
      <x:c r="X167" s="83" t="str">
        <x:v>C — Proxy</x:v>
      </x:c>
      <x:c r="Y167" s="83" t="str">
        <x:v>APPROVED BASE PACKAGE</x:v>
      </x:c>
      <x:c r="Z167" s="83" t="str">
        <x:v>PHASE 5 READY — RUN BLOCKED pending nuclear siting/refuelling, hourly profiles, hydro inputs, 2050 CO2 price and final CLI pin</x:v>
      </x:c>
      <x:c r="AA167" s="83"/>
    </x:row>
    <x:row r="168">
      <x:c r="A168" s="83" t="str">
        <x:v>S4-00692</x:v>
      </x:c>
      <x:c r="B168" s="83" t="str">
        <x:v>IT2050_BASE_PNIEC_NUCLEAR_8GW</x:v>
      </x:c>
      <x:c r="C168" s="83" t="n">
        <x:v>2050</x:v>
      </x:c>
      <x:c r="D168" s="83" t="str">
        <x:v>Transmission</x:v>
      </x:c>
      <x:c r="E168" s="83" t="str">
        <x:v>SARD-&gt;SICI</x:v>
      </x:c>
      <x:c r="F168" s="83" t="str">
        <x:v>SARD</x:v>
      </x:c>
      <x:c r="G168" s="83" t="str">
        <x:v>2040 PDS floor</x:v>
      </x:c>
      <x:c r="H168" s="83" t="str">
        <x:v>Directional interzonal link</x:v>
      </x:c>
      <x:c r="I168" s="83" t="str">
        <x:v>electricity</x:v>
      </x:c>
      <x:c r="J168" s="83" t="str">
        <x:v>Link</x:v>
      </x:c>
      <x:c r="K168" s="83" t="str">
        <x:v>p_nom</x:v>
      </x:c>
      <x:c r="L168" s="279" t="n">
        <x:v>1000</x:v>
      </x:c>
      <x:c r="M168" s="279" t="str">
        <x:v>MW</x:v>
      </x:c>
      <x:c r="N168" s="279" t="n">
        <x:f>IF(L168="","",IF(M168="GW",L168*1000,IF(M168="GWh",L168*1000,IF(M168="TWh",L168*1000000,L168))))</x:f>
        <x:v>1000</x:v>
      </x:c>
      <x:c r="O168" s="83" t="str">
        <x:f>IF(L168="","",IF(M168="GW","MW",IF(OR(M168="GWh",M168="TWh"),"MWh",M168)))</x:f>
        <x:v>MW</x:v>
      </x:c>
      <x:c r="P168" s="83" t="str"/>
      <x:c r="Q168" s="349"/>
      <x:c r="R168" s="349" t="str">
        <x:f>IF(L168="","",IF(Q168&lt;&gt;"",L168*Q168,IF(OR(ISNUMBER(SEARCH("EUR2025",M168&amp;"")),P168=2025,P168="2025"),L168,"")))</x:f>
      </x:c>
      <x:c r="S168" s="83" t="str">
        <x:v>C — Proxy/floor</x:v>
      </x:c>
      <x:c r="T168" s="83" t="str">
        <x:v>Use PDS 2040 capacity as documented 2050 floor; not an official 2050 target.</x:v>
      </x:c>
      <x:c r="U168" s="83" t="str">
        <x:v>S03 / assumption</x:v>
      </x:c>
      <x:c r="V168" s="83" t="str">
        <x:v>S03 Figure 3 floor</x:v>
      </x:c>
      <x:c r="W168" s="120"/>
      <x:c r="X168" s="83" t="str">
        <x:v>C — Proxy</x:v>
      </x:c>
      <x:c r="Y168" s="83" t="str">
        <x:v>APPROVED BASE PACKAGE</x:v>
      </x:c>
      <x:c r="Z168" s="83" t="str">
        <x:v>PHASE 5 READY — RUN BLOCKED pending nuclear siting/refuelling, hourly profiles, hydro inputs, 2050 CO2 price and final CLI pin</x:v>
      </x:c>
      <x:c r="AA168" s="83"/>
    </x:row>
    <x:row r="169">
      <x:c r="A169" s="83" t="str">
        <x:v>S4-00693</x:v>
      </x:c>
      <x:c r="B169" s="83" t="str">
        <x:v>IT2050_BASE_PNIEC_NUCLEAR_8GW</x:v>
      </x:c>
      <x:c r="C169" s="83" t="n">
        <x:v>2050</x:v>
      </x:c>
      <x:c r="D169" s="83" t="str">
        <x:v>Transmission</x:v>
      </x:c>
      <x:c r="E169" s="83" t="str">
        <x:v>SICI-&gt;SARD</x:v>
      </x:c>
      <x:c r="F169" s="83" t="str">
        <x:v>SICI</x:v>
      </x:c>
      <x:c r="G169" s="83" t="str">
        <x:v>2040 PDS floor</x:v>
      </x:c>
      <x:c r="H169" s="83" t="str">
        <x:v>Directional interzonal link</x:v>
      </x:c>
      <x:c r="I169" s="83" t="str">
        <x:v>electricity</x:v>
      </x:c>
      <x:c r="J169" s="83" t="str">
        <x:v>Link</x:v>
      </x:c>
      <x:c r="K169" s="83" t="str">
        <x:v>p_nom</x:v>
      </x:c>
      <x:c r="L169" s="279" t="n">
        <x:v>1000</x:v>
      </x:c>
      <x:c r="M169" s="279" t="str">
        <x:v>MW</x:v>
      </x:c>
      <x:c r="N169" s="279" t="n">
        <x:f>IF(L169="","",IF(M169="GW",L169*1000,IF(M169="GWh",L169*1000,IF(M169="TWh",L169*1000000,L169))))</x:f>
        <x:v>1000</x:v>
      </x:c>
      <x:c r="O169" s="83" t="str">
        <x:f>IF(L169="","",IF(M169="GW","MW",IF(OR(M169="GWh",M169="TWh"),"MWh",M169)))</x:f>
        <x:v>MW</x:v>
      </x:c>
      <x:c r="P169" s="83" t="str"/>
      <x:c r="Q169" s="349"/>
      <x:c r="R169" s="349" t="str">
        <x:f>IF(L169="","",IF(Q169&lt;&gt;"",L169*Q169,IF(OR(ISNUMBER(SEARCH("EUR2025",M169&amp;"")),P169=2025,P169="2025"),L169,"")))</x:f>
      </x:c>
      <x:c r="S169" s="83" t="str">
        <x:v>C — Proxy/floor</x:v>
      </x:c>
      <x:c r="T169" s="83" t="str">
        <x:v>Use PDS 2040 capacity as documented 2050 floor; not an official 2050 target.</x:v>
      </x:c>
      <x:c r="U169" s="83" t="str">
        <x:v>S03 / assumption</x:v>
      </x:c>
      <x:c r="V169" s="83" t="str">
        <x:v>S03 Figure 3 floor</x:v>
      </x:c>
      <x:c r="W169" s="120"/>
      <x:c r="X169" s="83" t="str">
        <x:v>C — Proxy</x:v>
      </x:c>
      <x:c r="Y169" s="83" t="str">
        <x:v>APPROVED BASE PACKAGE</x:v>
      </x:c>
      <x:c r="Z169" s="83" t="str">
        <x:v>PHASE 5 READY — RUN BLOCKED pending nuclear siting/refuelling, hourly profiles, hydro inputs, 2050 CO2 price and final CLI pin</x:v>
      </x:c>
      <x:c r="AA169" s="83"/>
    </x:row>
    <x:row r="170">
      <x:c r="A170" s="83" t="str">
        <x:v>S4-00694</x:v>
      </x:c>
      <x:c r="B170" s="83" t="str">
        <x:v>IT2050_BASE_PNIEC_NUCLEAR_8GW</x:v>
      </x:c>
      <x:c r="C170" s="83" t="n">
        <x:v>2050</x:v>
      </x:c>
      <x:c r="D170" s="83" t="str">
        <x:v>Fuel and CO2</x:v>
      </x:c>
      <x:c r="E170" s="83" t="str">
        <x:v>Italy</x:v>
      </x:c>
      <x:c r="F170" s="83"/>
      <x:c r="G170" s="83" t="str">
        <x:v>Gas fuel candidate</x:v>
      </x:c>
      <x:c r="H170" s="83" t="str">
        <x:v>Natural gas fuel price</x:v>
      </x:c>
      <x:c r="I170" s="83" t="str">
        <x:v>gas</x:v>
      </x:c>
      <x:c r="J170" s="83" t="str">
        <x:v>Carrier/Generator</x:v>
      </x:c>
      <x:c r="K170" s="83" t="str">
        <x:v>fuel_cost</x:v>
      </x:c>
      <x:c r="L170" s="279" t="n">
        <x:v>22.7578</x:v>
      </x:c>
      <x:c r="M170" s="279" t="str">
        <x:v>EUR/MWh_th</x:v>
      </x:c>
      <x:c r="N170" s="279" t="n">
        <x:f>IF(L170="","",IF(M170="GW",L170*1000,IF(M170="GWh",L170*1000,IF(M170="TWh",L170*1000000,L170))))</x:f>
        <x:v>22.7578</x:v>
      </x:c>
      <x:c r="O170" s="83" t="str">
        <x:f>IF(L170="","",IF(M170="GW","MW",IF(OR(M170="GWh",M170="TWh"),"MWh",M170)))</x:f>
        <x:v>EUR/MWh_th</x:v>
      </x:c>
      <x:c r="P170" s="83" t="str">
        <x:v>2025.0</x:v>
      </x:c>
      <x:c r="Q170" s="349"/>
      <x:c r="R170" s="349" t="n">
        <x:f>IF(L170="","",IF(Q170&lt;&gt;"",L170*Q170,IF(OR(ISNUMBER(SEARCH("EUR2025",M170&amp;"")),P170=2025,P170="2025"),L170,"")))</x:f>
        <x:v>22.7578</x:v>
      </x:c>
      <x:c r="S170" s="83" t="str">
        <x:v>C — External candidate</x:v>
      </x:c>
      <x:c r="T170" s="83" t="str">
        <x:v>Use technology-data v0.15.0/TYNDP-linked fuel assumption provisionally.</x:v>
      </x:c>
      <x:c r="U170" s="83" t="str">
        <x:v>EXT-TD</x:v>
      </x:c>
      <x:c r="V170" s="83" t="str">
        <x:v>technology-data v0.15.0 2050</x:v>
      </x:c>
      <x:c r="W170" s="120" t="str">
        <x:v>https://github.com/PyPSA/technology-data/releases/tag/v0.15.0</x:v>
      </x:c>
      <x:c r="X170" s="83" t="str">
        <x:v>C — Provisional</x:v>
      </x:c>
      <x:c r="Y170" s="83" t="str">
        <x:v>APPROVED BASE PACKAGE</x:v>
      </x:c>
      <x:c r="Z170" s="83" t="str">
        <x:v>PHASE 5 READY — RUN BLOCKED pending nuclear siting/refuelling, hourly profiles, hydro inputs, 2050 CO2 price and final CLI pin</x:v>
      </x:c>
      <x:c r="AA170" s="83"/>
    </x:row>
    <x:row r="171">
      <x:c r="A171" s="83" t="str">
        <x:v>S4-00695</x:v>
      </x:c>
      <x:c r="B171" s="83" t="str">
        <x:v>IT2050_BASE_PNIEC_NUCLEAR_8GW</x:v>
      </x:c>
      <x:c r="C171" s="83" t="n">
        <x:v>2050</x:v>
      </x:c>
      <x:c r="D171" s="83" t="str">
        <x:v>Fuel and CO2</x:v>
      </x:c>
      <x:c r="E171" s="83" t="str">
        <x:v>Italy</x:v>
      </x:c>
      <x:c r="F171" s="83"/>
      <x:c r="G171" s="83" t="str">
        <x:v>CO2 ETS 2050</x:v>
      </x:c>
      <x:c r="H171" s="83" t="str">
        <x:v>CO2 allowance price</x:v>
      </x:c>
      <x:c r="I171" s="83" t="str">
        <x:v>co2</x:v>
      </x:c>
      <x:c r="J171" s="83" t="str">
        <x:v>Carrier/Generator</x:v>
      </x:c>
      <x:c r="K171" s="83" t="str">
        <x:v>marginal_cost build</x:v>
      </x:c>
      <x:c r="L171" s="279"/>
      <x:c r="M171" s="279" t="str">
        <x:v>EUR2025/tCO2</x:v>
      </x:c>
      <x:c r="N171" s="279" t="str">
        <x:f>IF(L171="","",IF(M171="GW",L171*1000,IF(M171="GWh",L171*1000,IF(M171="TWh",L171*1000000,L171))))</x:f>
      </x:c>
      <x:c r="O171" s="83" t="str">
        <x:f>IF(L171="","",IF(M171="GW","MW",IF(OR(M171="GWh",M171="TWh"),"MWh",M171)))</x:f>
      </x:c>
      <x:c r="P171" s="83" t="str"/>
      <x:c r="Q171" s="349"/>
      <x:c r="R171" s="349" t="str">
        <x:f>IF(L171="","",IF(Q171&lt;&gt;"",L171*Q171,IF(OR(ISNUMBER(SEARCH("EUR2025",M171&amp;"")),P171=2025,P171="2025"),L171,"")))</x:f>
      </x:c>
      <x:c r="S171" s="83" t="str">
        <x:v>E — Gap</x:v>
      </x:c>
      <x:c r="T171" s="83" t="str">
        <x:v>No value adopted; choose official 2050 scenario source.</x:v>
      </x:c>
      <x:c r="U171" s="83" t="str">
        <x:v>G3D-027</x:v>
      </x:c>
      <x:c r="V171" s="83" t="str">
        <x:v>External gap register</x:v>
      </x:c>
      <x:c r="W171" s="120"/>
      <x:c r="X171" s="83" t="str">
        <x:v>E — Gap</x:v>
      </x:c>
      <x:c r="Y171" s="83" t="str">
        <x:v>APPROVED BASE PACKAGE</x:v>
      </x:c>
      <x:c r="Z171" s="83" t="str">
        <x:v>PHASE 5 READY — RUN BLOCKED pending nuclear siting/refuelling, hourly profiles, hydro inputs, 2050 CO2 price and final CLI pin</x:v>
      </x:c>
      <x:c r="AA171" s="83"/>
    </x:row>
    <x:row r="172">
      <x:c r="A172" s="83" t="str">
        <x:v>S4-00696</x:v>
      </x:c>
      <x:c r="B172" s="83" t="str">
        <x:v>IT2050_BASE_PNIEC_NUCLEAR_8GW</x:v>
      </x:c>
      <x:c r="C172" s="83" t="n">
        <x:v>2050</x:v>
      </x:c>
      <x:c r="D172" s="83" t="str">
        <x:v>Technical parameters</x:v>
      </x:c>
      <x:c r="E172" s="83" t="str">
        <x:v>National technology class</x:v>
      </x:c>
      <x:c r="F172" s="83"/>
      <x:c r="G172" s="83" t="str">
        <x:v>CCGT</x:v>
      </x:c>
      <x:c r="H172" s="83" t="str">
        <x:v>CCGT efficiency</x:v>
      </x:c>
      <x:c r="I172" s="83" t="str">
        <x:v>ccgt</x:v>
      </x:c>
      <x:c r="J172" s="83" t="str">
        <x:v>Generator/Carrier</x:v>
      </x:c>
      <x:c r="K172" s="83" t="str">
        <x:v>efficiency</x:v>
      </x:c>
      <x:c r="L172" s="279" t="n">
        <x:v>0.6</x:v>
      </x:c>
      <x:c r="M172" s="279" t="str">
        <x:v>per unit</x:v>
      </x:c>
      <x:c r="N172" s="279" t="n">
        <x:f>IF(L172="","",IF(M172="GW",L172*1000,IF(M172="GWh",L172*1000,IF(M172="TWh",L172*1000000,L172))))</x:f>
        <x:v>0.6</x:v>
      </x:c>
      <x:c r="O172" s="83" t="str">
        <x:f>IF(L172="","",IF(M172="GW","MW",IF(OR(M172="GWh",M172="TWh"),"MWh",M172)))</x:f>
        <x:v>per unit</x:v>
      </x:c>
      <x:c r="P172" s="83" t="str">
        <x:v>2015.0</x:v>
      </x:c>
      <x:c r="Q172" s="349"/>
      <x:c r="R172" s="349" t="str">
        <x:f>IF(L172="","",IF(Q172&lt;&gt;"",L172*Q172,IF(OR(ISNUMBER(SEARCH("EUR2025",M172&amp;"")),P172=2025,P172="2025"),L172,"")))</x:f>
      </x:c>
      <x:c r="S172" s="83" t="str">
        <x:v>C — External candidate</x:v>
      </x:c>
      <x:c r="T172" s="83" t="str">
        <x:v>Use v0.15.0 provisionally; actual CLI release/commit overrides.</x:v>
      </x:c>
      <x:c r="U172" s="83" t="str">
        <x:v>EXT-TD</x:v>
      </x:c>
      <x:c r="V172" s="83" t="str">
        <x:v>technology-data v0.15.0 2050</x:v>
      </x:c>
      <x:c r="W172" s="120" t="str">
        <x:v>https://github.com/PyPSA/technology-data/releases/tag/v0.15.0</x:v>
      </x:c>
      <x:c r="X172" s="83" t="str">
        <x:v>C — Provisional</x:v>
      </x:c>
      <x:c r="Y172" s="83" t="str">
        <x:v>APPROVED BASE PACKAGE</x:v>
      </x:c>
      <x:c r="Z172" s="83" t="str">
        <x:v>PHASE 5 READY — RUN BLOCKED pending nuclear siting/refuelling, hourly profiles, hydro inputs, 2050 CO2 price and final CLI pin</x:v>
      </x:c>
      <x:c r="AA172" s="83"/>
    </x:row>
    <x:row r="173">
      <x:c r="A173" s="83" t="str">
        <x:v>S4-00697</x:v>
      </x:c>
      <x:c r="B173" s="83" t="str">
        <x:v>IT2050_BASE_PNIEC_NUCLEAR_8GW</x:v>
      </x:c>
      <x:c r="C173" s="83" t="n">
        <x:v>2050</x:v>
      </x:c>
      <x:c r="D173" s="83" t="str">
        <x:v>Technical parameters</x:v>
      </x:c>
      <x:c r="E173" s="83" t="str">
        <x:v>National technology class</x:v>
      </x:c>
      <x:c r="F173" s="83"/>
      <x:c r="G173" s="83" t="str">
        <x:v>CCGT</x:v>
      </x:c>
      <x:c r="H173" s="83" t="str">
        <x:v>CCGT VOM</x:v>
      </x:c>
      <x:c r="I173" s="83" t="str">
        <x:v>ccgt</x:v>
      </x:c>
      <x:c r="J173" s="83" t="str">
        <x:v>Generator/Carrier</x:v>
      </x:c>
      <x:c r="K173" s="83" t="str">
        <x:v>marginal_cost/VOM</x:v>
      </x:c>
      <x:c r="L173" s="279" t="n">
        <x:v>5.3432</x:v>
      </x:c>
      <x:c r="M173" s="279" t="str">
        <x:v>EUR/MWh</x:v>
      </x:c>
      <x:c r="N173" s="279" t="n">
        <x:f>IF(L173="","",IF(M173="GW",L173*1000,IF(M173="GWh",L173*1000,IF(M173="TWh",L173*1000000,L173))))</x:f>
        <x:v>5.3432</x:v>
      </x:c>
      <x:c r="O173" s="83" t="str">
        <x:f>IF(L173="","",IF(M173="GW","MW",IF(OR(M173="GWh",M173="TWh"),"MWh",M173)))</x:f>
        <x:v>EUR/MWh</x:v>
      </x:c>
      <x:c r="P173" s="83" t="str">
        <x:v>2025.0</x:v>
      </x:c>
      <x:c r="Q173" s="349"/>
      <x:c r="R173" s="349" t="n">
        <x:f>IF(L173="","",IF(Q173&lt;&gt;"",L173*Q173,IF(OR(ISNUMBER(SEARCH("EUR2025",M173&amp;"")),P173=2025,P173="2025"),L173,"")))</x:f>
        <x:v>5.3432</x:v>
      </x:c>
      <x:c r="S173" s="83" t="str">
        <x:v>C — External candidate</x:v>
      </x:c>
      <x:c r="T173" s="83" t="str">
        <x:v>Use v0.15.0 provisionally; actual CLI release/commit overrides.</x:v>
      </x:c>
      <x:c r="U173" s="83" t="str">
        <x:v>EXT-TD</x:v>
      </x:c>
      <x:c r="V173" s="83" t="str">
        <x:v>technology-data v0.15.0 2050</x:v>
      </x:c>
      <x:c r="W173" s="120" t="str">
        <x:v>https://github.com/PyPSA/technology-data/releases/tag/v0.15.0</x:v>
      </x:c>
      <x:c r="X173" s="83" t="str">
        <x:v>C — Provisional</x:v>
      </x:c>
      <x:c r="Y173" s="83" t="str">
        <x:v>APPROVED BASE PACKAGE</x:v>
      </x:c>
      <x:c r="Z173" s="83" t="str">
        <x:v>PHASE 5 READY — RUN BLOCKED pending nuclear siting/refuelling, hourly profiles, hydro inputs, 2050 CO2 price and final CLI pin</x:v>
      </x:c>
      <x:c r="AA173" s="83"/>
    </x:row>
    <x:row r="174">
      <x:c r="A174" s="83" t="str">
        <x:v>S4-00698</x:v>
      </x:c>
      <x:c r="B174" s="83" t="str">
        <x:v>IT2050_BASE_PNIEC_NUCLEAR_8GW</x:v>
      </x:c>
      <x:c r="C174" s="83" t="n">
        <x:v>2050</x:v>
      </x:c>
      <x:c r="D174" s="83" t="str">
        <x:v>Technical parameters</x:v>
      </x:c>
      <x:c r="E174" s="83" t="str">
        <x:v>National technology class</x:v>
      </x:c>
      <x:c r="F174" s="83"/>
      <x:c r="G174" s="83" t="str">
        <x:v>OCGT</x:v>
      </x:c>
      <x:c r="H174" s="83" t="str">
        <x:v>OCGT efficiency</x:v>
      </x:c>
      <x:c r="I174" s="83" t="str">
        <x:v>ocgt</x:v>
      </x:c>
      <x:c r="J174" s="83" t="str">
        <x:v>Generator/Carrier</x:v>
      </x:c>
      <x:c r="K174" s="83" t="str">
        <x:v>efficiency</x:v>
      </x:c>
      <x:c r="L174" s="279" t="n">
        <x:v>0.43</x:v>
      </x:c>
      <x:c r="M174" s="279" t="str">
        <x:v>per unit</x:v>
      </x:c>
      <x:c r="N174" s="279" t="n">
        <x:f>IF(L174="","",IF(M174="GW",L174*1000,IF(M174="GWh",L174*1000,IF(M174="TWh",L174*1000000,L174))))</x:f>
        <x:v>0.43</x:v>
      </x:c>
      <x:c r="O174" s="83" t="str">
        <x:f>IF(L174="","",IF(M174="GW","MW",IF(OR(M174="GWh",M174="TWh"),"MWh",M174)))</x:f>
        <x:v>per unit</x:v>
      </x:c>
      <x:c r="P174" s="83" t="str">
        <x:v>2015.0</x:v>
      </x:c>
      <x:c r="Q174" s="349"/>
      <x:c r="R174" s="349" t="str">
        <x:f>IF(L174="","",IF(Q174&lt;&gt;"",L174*Q174,IF(OR(ISNUMBER(SEARCH("EUR2025",M174&amp;"")),P174=2025,P174="2025"),L174,"")))</x:f>
      </x:c>
      <x:c r="S174" s="83" t="str">
        <x:v>C — External candidate</x:v>
      </x:c>
      <x:c r="T174" s="83" t="str">
        <x:v>Use v0.15.0 provisionally; actual CLI release/commit overrides.</x:v>
      </x:c>
      <x:c r="U174" s="83" t="str">
        <x:v>EXT-TD</x:v>
      </x:c>
      <x:c r="V174" s="83" t="str">
        <x:v>technology-data v0.15.0 2050</x:v>
      </x:c>
      <x:c r="W174" s="120" t="str">
        <x:v>https://github.com/PyPSA/technology-data/releases/tag/v0.15.0</x:v>
      </x:c>
      <x:c r="X174" s="83" t="str">
        <x:v>C — Provisional</x:v>
      </x:c>
      <x:c r="Y174" s="83" t="str">
        <x:v>APPROVED BASE PACKAGE</x:v>
      </x:c>
      <x:c r="Z174" s="83" t="str">
        <x:v>PHASE 5 READY — RUN BLOCKED pending nuclear siting/refuelling, hourly profiles, hydro inputs, 2050 CO2 price and final CLI pin</x:v>
      </x:c>
      <x:c r="AA174" s="83"/>
    </x:row>
    <x:row r="175">
      <x:c r="A175" s="83" t="str">
        <x:v>S4-00699</x:v>
      </x:c>
      <x:c r="B175" s="83" t="str">
        <x:v>IT2050_BASE_PNIEC_NUCLEAR_8GW</x:v>
      </x:c>
      <x:c r="C175" s="83" t="n">
        <x:v>2050</x:v>
      </x:c>
      <x:c r="D175" s="83" t="str">
        <x:v>Technical parameters</x:v>
      </x:c>
      <x:c r="E175" s="83" t="str">
        <x:v>National technology class</x:v>
      </x:c>
      <x:c r="F175" s="83"/>
      <x:c r="G175" s="83" t="str">
        <x:v>OCGT</x:v>
      </x:c>
      <x:c r="H175" s="83" t="str">
        <x:v>OCGT VOM</x:v>
      </x:c>
      <x:c r="I175" s="83" t="str">
        <x:v>ocgt</x:v>
      </x:c>
      <x:c r="J175" s="83" t="str">
        <x:v>Generator/Carrier</x:v>
      </x:c>
      <x:c r="K175" s="83" t="str">
        <x:v>marginal_cost/VOM</x:v>
      </x:c>
      <x:c r="L175" s="279" t="n">
        <x:v>6.0111</x:v>
      </x:c>
      <x:c r="M175" s="279" t="str">
        <x:v>EUR/MWh</x:v>
      </x:c>
      <x:c r="N175" s="279" t="n">
        <x:f>IF(L175="","",IF(M175="GW",L175*1000,IF(M175="GWh",L175*1000,IF(M175="TWh",L175*1000000,L175))))</x:f>
        <x:v>6.0111</x:v>
      </x:c>
      <x:c r="O175" s="83" t="str">
        <x:f>IF(L175="","",IF(M175="GW","MW",IF(OR(M175="GWh",M175="TWh"),"MWh",M175)))</x:f>
        <x:v>EUR/MWh</x:v>
      </x:c>
      <x:c r="P175" s="83" t="str">
        <x:v>2025.0</x:v>
      </x:c>
      <x:c r="Q175" s="349"/>
      <x:c r="R175" s="349" t="n">
        <x:f>IF(L175="","",IF(Q175&lt;&gt;"",L175*Q175,IF(OR(ISNUMBER(SEARCH("EUR2025",M175&amp;"")),P175=2025,P175="2025"),L175,"")))</x:f>
        <x:v>6.0111</x:v>
      </x:c>
      <x:c r="S175" s="83" t="str">
        <x:v>C — External candidate</x:v>
      </x:c>
      <x:c r="T175" s="83" t="str">
        <x:v>Use v0.15.0 provisionally; actual CLI release/commit overrides.</x:v>
      </x:c>
      <x:c r="U175" s="83" t="str">
        <x:v>EXT-TD</x:v>
      </x:c>
      <x:c r="V175" s="83" t="str">
        <x:v>technology-data v0.15.0 2050</x:v>
      </x:c>
      <x:c r="W175" s="120" t="str">
        <x:v>https://github.com/PyPSA/technology-data/releases/tag/v0.15.0</x:v>
      </x:c>
      <x:c r="X175" s="83" t="str">
        <x:v>C — Provisional</x:v>
      </x:c>
      <x:c r="Y175" s="83" t="str">
        <x:v>APPROVED BASE PACKAGE</x:v>
      </x:c>
      <x:c r="Z175" s="83" t="str">
        <x:v>PHASE 5 READY — RUN BLOCKED pending nuclear siting/refuelling, hourly profiles, hydro inputs, 2050 CO2 price and final CLI pin</x:v>
      </x:c>
      <x:c r="AA175" s="83"/>
    </x:row>
    <x:row r="176">
      <x:c r="A176" s="83" t="str">
        <x:v>S4-00700</x:v>
      </x:c>
      <x:c r="B176" s="83" t="str">
        <x:v>IT2050_BASE_PNIEC_NUCLEAR_8GW</x:v>
      </x:c>
      <x:c r="C176" s="83" t="n">
        <x:v>2050</x:v>
      </x:c>
      <x:c r="D176" s="83" t="str">
        <x:v>Technical parameters</x:v>
      </x:c>
      <x:c r="E176" s="83" t="str">
        <x:v>National technology class</x:v>
      </x:c>
      <x:c r="F176" s="83"/>
      <x:c r="G176" s="83" t="str">
        <x:v>gas</x:v>
      </x:c>
      <x:c r="H176" s="83" t="str">
        <x:v>gas CO2 intensity</x:v>
      </x:c>
      <x:c r="I176" s="83" t="str">
        <x:v>gas</x:v>
      </x:c>
      <x:c r="J176" s="83" t="str">
        <x:v>Generator/Carrier</x:v>
      </x:c>
      <x:c r="K176" s="83" t="str">
        <x:v>co2_emissions</x:v>
      </x:c>
      <x:c r="L176" s="279" t="n">
        <x:v>0.198</x:v>
      </x:c>
      <x:c r="M176" s="279" t="str">
        <x:v>tCO2/MWh_th</x:v>
      </x:c>
      <x:c r="N176" s="279" t="n">
        <x:f>IF(L176="","",IF(M176="GW",L176*1000,IF(M176="GWh",L176*1000,IF(M176="TWh",L176*1000000,L176))))</x:f>
        <x:v>0.198</x:v>
      </x:c>
      <x:c r="O176" s="83" t="str">
        <x:f>IF(L176="","",IF(M176="GW","MW",IF(OR(M176="GWh",M176="TWh"),"MWh",M176)))</x:f>
        <x:v>tCO2/MWh_th</x:v>
      </x:c>
      <x:c r="P176" s="83" t="str"/>
      <x:c r="Q176" s="349"/>
      <x:c r="R176" s="349" t="str">
        <x:f>IF(L176="","",IF(Q176&lt;&gt;"",L176*Q176,IF(OR(ISNUMBER(SEARCH("EUR2025",M176&amp;"")),P176=2025,P176="2025"),L176,"")))</x:f>
      </x:c>
      <x:c r="S176" s="83" t="str">
        <x:v>C — External candidate</x:v>
      </x:c>
      <x:c r="T176" s="83" t="str">
        <x:v>Use v0.15.0 provisionally; actual CLI release/commit overrides.</x:v>
      </x:c>
      <x:c r="U176" s="83" t="str">
        <x:v>EXT-TD</x:v>
      </x:c>
      <x:c r="V176" s="83" t="str">
        <x:v>technology-data v0.15.0 2050</x:v>
      </x:c>
      <x:c r="W176" s="120" t="str">
        <x:v>https://github.com/PyPSA/technology-data/releases/tag/v0.15.0</x:v>
      </x:c>
      <x:c r="X176" s="83" t="str">
        <x:v>C — Provisional</x:v>
      </x:c>
      <x:c r="Y176" s="83" t="str">
        <x:v>APPROVED BASE PACKAGE</x:v>
      </x:c>
      <x:c r="Z176" s="83" t="str">
        <x:v>PHASE 5 READY — RUN BLOCKED pending nuclear siting/refuelling, hourly profiles, hydro inputs, 2050 CO2 price and final CLI pin</x:v>
      </x:c>
      <x:c r="AA176" s="83"/>
    </x:row>
    <x:row r="177">
      <x:c r="A177" s="83" t="str">
        <x:v>S4-00701</x:v>
      </x:c>
      <x:c r="B177" s="83" t="str">
        <x:v>IT2050_BASE_PNIEC_NUCLEAR_8GW</x:v>
      </x:c>
      <x:c r="C177" s="83" t="n">
        <x:v>2050</x:v>
      </x:c>
      <x:c r="D177" s="83" t="str">
        <x:v>Technical parameters</x:v>
      </x:c>
      <x:c r="E177" s="83" t="str">
        <x:v>Nuclear sites open</x:v>
      </x:c>
      <x:c r="F177" s="83"/>
      <x:c r="G177" s="83" t="str">
        <x:v>Nuclear</x:v>
      </x:c>
      <x:c r="H177" s="83" t="str">
        <x:v>Nuclear efficiency</x:v>
      </x:c>
      <x:c r="I177" s="83" t="str">
        <x:v>nuclear</x:v>
      </x:c>
      <x:c r="J177" s="83" t="str">
        <x:v>Generator</x:v>
      </x:c>
      <x:c r="K177" s="83" t="str">
        <x:v>efficiency</x:v>
      </x:c>
      <x:c r="L177" s="279" t="n">
        <x:v>0.326</x:v>
      </x:c>
      <x:c r="M177" s="279" t="str">
        <x:v>p.u.</x:v>
      </x:c>
      <x:c r="N177" s="279" t="n">
        <x:f>IF(L177="","",IF(M177="GW",L177*1000,IF(M177="GWh",L177*1000,IF(M177="TWh",L177*1000000,L177))))</x:f>
        <x:v>0.326</x:v>
      </x:c>
      <x:c r="O177" s="83" t="str">
        <x:f>IF(L177="","",IF(M177="GW","MW",IF(OR(M177="GWh",M177="TWh"),"MWh",M177)))</x:f>
        <x:v>p.u.</x:v>
      </x:c>
      <x:c r="P177" s="83" t="str">
        <x:v>2023.0</x:v>
      </x:c>
      <x:c r="Q177" s="349"/>
      <x:c r="R177" s="349" t="str">
        <x:f>IF(L177="","",IF(Q177&lt;&gt;"",L177*Q177,IF(OR(ISNUMBER(SEARCH("EUR2025",M177&amp;"")),P177=2025,P177="2025"),L177,"")))</x:f>
      </x:c>
      <x:c r="S177" s="83" t="str">
        <x:v>C — External candidate</x:v>
      </x:c>
      <x:c r="T177" s="83" t="str">
        <x:v>Use v0.15.0 provisionally; add availability/refuelling externally.</x:v>
      </x:c>
      <x:c r="U177" s="83" t="str">
        <x:v>EXT-TD</x:v>
      </x:c>
      <x:c r="V177" s="83" t="str">
        <x:v>technology-data v0.15.0 2050</x:v>
      </x:c>
      <x:c r="W177" s="120" t="str">
        <x:v>https://github.com/PyPSA/technology-data/releases/tag/v0.15.0</x:v>
      </x:c>
      <x:c r="X177" s="83" t="str">
        <x:v>C — Provisional</x:v>
      </x:c>
      <x:c r="Y177" s="83" t="str">
        <x:v>APPROVED BASE PACKAGE</x:v>
      </x:c>
      <x:c r="Z177" s="83" t="str">
        <x:v>PHASE 5 READY — RUN BLOCKED pending nuclear siting/refuelling, hourly profiles, hydro inputs, 2050 CO2 price and final CLI pin</x:v>
      </x:c>
      <x:c r="AA177" s="83"/>
    </x:row>
    <x:row r="178">
      <x:c r="A178" s="83" t="str">
        <x:v>S4-00702</x:v>
      </x:c>
      <x:c r="B178" s="83" t="str">
        <x:v>IT2050_BASE_PNIEC_NUCLEAR_8GW</x:v>
      </x:c>
      <x:c r="C178" s="83" t="n">
        <x:v>2050</x:v>
      </x:c>
      <x:c r="D178" s="83" t="str">
        <x:v>Technical parameters</x:v>
      </x:c>
      <x:c r="E178" s="83" t="str">
        <x:v>Nuclear sites open</x:v>
      </x:c>
      <x:c r="F178" s="83"/>
      <x:c r="G178" s="83" t="str">
        <x:v>Nuclear</x:v>
      </x:c>
      <x:c r="H178" s="83" t="str">
        <x:v>Nuclear VOM</x:v>
      </x:c>
      <x:c r="I178" s="83" t="str">
        <x:v>nuclear</x:v>
      </x:c>
      <x:c r="J178" s="83" t="str">
        <x:v>Generator</x:v>
      </x:c>
      <x:c r="K178" s="83" t="str">
        <x:v>marginal_cost/VOM</x:v>
      </x:c>
      <x:c r="L178" s="279" t="n">
        <x:v>4.459</x:v>
      </x:c>
      <x:c r="M178" s="279" t="str">
        <x:v>EUR/MWh_e</x:v>
      </x:c>
      <x:c r="N178" s="279" t="n">
        <x:f>IF(L178="","",IF(M178="GW",L178*1000,IF(M178="GWh",L178*1000,IF(M178="TWh",L178*1000000,L178))))</x:f>
        <x:v>4.459</x:v>
      </x:c>
      <x:c r="O178" s="83" t="str">
        <x:f>IF(L178="","",IF(M178="GW","MW",IF(OR(M178="GWh",M178="TWh"),"MWh",M178)))</x:f>
        <x:v>EUR/MWh_e</x:v>
      </x:c>
      <x:c r="P178" s="83" t="str">
        <x:v>2025.0</x:v>
      </x:c>
      <x:c r="Q178" s="349"/>
      <x:c r="R178" s="349" t="n">
        <x:f>IF(L178="","",IF(Q178&lt;&gt;"",L178*Q178,IF(OR(ISNUMBER(SEARCH("EUR2025",M178&amp;"")),P178=2025,P178="2025"),L178,"")))</x:f>
        <x:v>4.459</x:v>
      </x:c>
      <x:c r="S178" s="83" t="str">
        <x:v>C — External candidate</x:v>
      </x:c>
      <x:c r="T178" s="83" t="str">
        <x:v>Use v0.15.0 provisionally; add availability/refuelling externally.</x:v>
      </x:c>
      <x:c r="U178" s="83" t="str">
        <x:v>EXT-TD</x:v>
      </x:c>
      <x:c r="V178" s="83" t="str">
        <x:v>technology-data v0.15.0 2050</x:v>
      </x:c>
      <x:c r="W178" s="120" t="str">
        <x:v>https://github.com/PyPSA/technology-data/releases/tag/v0.15.0</x:v>
      </x:c>
      <x:c r="X178" s="83" t="str">
        <x:v>C — Provisional</x:v>
      </x:c>
      <x:c r="Y178" s="83" t="str">
        <x:v>APPROVED BASE PACKAGE</x:v>
      </x:c>
      <x:c r="Z178" s="83" t="str">
        <x:v>PHASE 5 READY — RUN BLOCKED pending nuclear siting/refuelling, hourly profiles, hydro inputs, 2050 CO2 price and final CLI pin</x:v>
      </x:c>
      <x:c r="AA178" s="83"/>
    </x:row>
    <x:row r="179">
      <x:c r="A179" s="83" t="str">
        <x:v>S4-00703</x:v>
      </x:c>
      <x:c r="B179" s="83" t="str">
        <x:v>IT2050_BASE_PNIEC_NUCLEAR_8GW</x:v>
      </x:c>
      <x:c r="C179" s="83" t="n">
        <x:v>2050</x:v>
      </x:c>
      <x:c r="D179" s="83" t="str">
        <x:v>Technical parameters</x:v>
      </x:c>
      <x:c r="E179" s="83" t="str">
        <x:v>Nuclear sites open</x:v>
      </x:c>
      <x:c r="F179" s="83"/>
      <x:c r="G179" s="83" t="str">
        <x:v>Nuclear</x:v>
      </x:c>
      <x:c r="H179" s="83" t="str">
        <x:v>Nuclear fuel</x:v>
      </x:c>
      <x:c r="I179" s="83" t="str">
        <x:v>nuclear</x:v>
      </x:c>
      <x:c r="J179" s="83" t="str">
        <x:v>Generator</x:v>
      </x:c>
      <x:c r="K179" s="83" t="str">
        <x:v>fuel_cost</x:v>
      </x:c>
      <x:c r="L179" s="279" t="n">
        <x:v>7.4536</x:v>
      </x:c>
      <x:c r="M179" s="279" t="str">
        <x:v>EUR/MWh_th</x:v>
      </x:c>
      <x:c r="N179" s="279" t="n">
        <x:f>IF(L179="","",IF(M179="GW",L179*1000,IF(M179="GWh",L179*1000,IF(M179="TWh",L179*1000000,L179))))</x:f>
        <x:v>7.4536</x:v>
      </x:c>
      <x:c r="O179" s="83" t="str">
        <x:f>IF(L179="","",IF(M179="GW","MW",IF(OR(M179="GWh",M179="TWh"),"MWh",M179)))</x:f>
        <x:v>EUR/MWh_th</x:v>
      </x:c>
      <x:c r="P179" s="83" t="str">
        <x:v>2025.0</x:v>
      </x:c>
      <x:c r="Q179" s="349"/>
      <x:c r="R179" s="349" t="n">
        <x:f>IF(L179="","",IF(Q179&lt;&gt;"",L179*Q179,IF(OR(ISNUMBER(SEARCH("EUR2025",M179&amp;"")),P179=2025,P179="2025"),L179,"")))</x:f>
        <x:v>7.4536</x:v>
      </x:c>
      <x:c r="S179" s="83" t="str">
        <x:v>C — External candidate</x:v>
      </x:c>
      <x:c r="T179" s="83" t="str">
        <x:v>Use v0.15.0 provisionally; add availability/refuelling externally.</x:v>
      </x:c>
      <x:c r="U179" s="83" t="str">
        <x:v>EXT-TD</x:v>
      </x:c>
      <x:c r="V179" s="83" t="str">
        <x:v>technology-data v0.15.0 2050</x:v>
      </x:c>
      <x:c r="W179" s="120" t="str">
        <x:v>https://github.com/PyPSA/technology-data/releases/tag/v0.15.0</x:v>
      </x:c>
      <x:c r="X179" s="83" t="str">
        <x:v>C — Provisional</x:v>
      </x:c>
      <x:c r="Y179" s="83" t="str">
        <x:v>APPROVED BASE PACKAGE</x:v>
      </x:c>
      <x:c r="Z179" s="83" t="str">
        <x:v>PHASE 5 READY — RUN BLOCKED pending nuclear siting/refuelling, hourly profiles, hydro inputs, 2050 CO2 price and final CLI pin</x:v>
      </x:c>
      <x:c r="AA179" s="83"/>
    </x:row>
    <x:row r="180">
      <x:c r="A180" s="83" t="str">
        <x:v>S4-00704</x:v>
      </x:c>
      <x:c r="B180" s="83" t="str">
        <x:v>IT2050_BASE_PNIEC_NUCLEAR_8GW</x:v>
      </x:c>
      <x:c r="C180" s="83" t="n">
        <x:v>2050</x:v>
      </x:c>
      <x:c r="D180" s="83" t="str">
        <x:v>Technical parameters</x:v>
      </x:c>
      <x:c r="E180" s="83" t="str">
        <x:v>All zones</x:v>
      </x:c>
      <x:c r="F180" s="83"/>
      <x:c r="G180" s="83" t="str">
        <x:v>solar-rooftop</x:v>
      </x:c>
      <x:c r="H180" s="83" t="str">
        <x:v>solar-rooftop marginal cost</x:v>
      </x:c>
      <x:c r="I180" s="83" t="str">
        <x:v>solar-rooftop</x:v>
      </x:c>
      <x:c r="J180" s="83" t="str">
        <x:v>Generator</x:v>
      </x:c>
      <x:c r="K180" s="83" t="str">
        <x:v>marginal_cost</x:v>
      </x:c>
      <x:c r="L180" s="279" t="n">
        <x:v>0</x:v>
      </x:c>
      <x:c r="M180" s="279" t="str">
        <x:v>EUR2025/MWh</x:v>
      </x:c>
      <x:c r="N180" s="279" t="str">
        <x:f>IF(L180="","",IF(M180="GW",L180*1000,IF(M180="GWh",L180*1000,IF(M180="TWh",L180*1000000,L180))))</x:f>
      </x:c>
      <x:c r="O180" s="83" t="str">
        <x:f>IF(L180="","",IF(M180="GW","MW",IF(OR(M180="GWh",M180="TWh"),"MWh",M180)))</x:f>
      </x:c>
      <x:c r="P180" s="83" t="str"/>
      <x:c r="Q180" s="349"/>
      <x:c r="R180" s="349" t="str">
        <x:f>IF(L180="","",IF(Q180&lt;&gt;"",L180*Q180,IF(OR(ISNUMBER(SEARCH("EUR2025",M180&amp;"")),P180=2025,P180="2025"),L180,"")))</x:f>
      </x:c>
      <x:c r="S180" s="83" t="str">
        <x:v>C — Harmonisation rule</x:v>
      </x:c>
      <x:c r="T180" s="83" t="str">
        <x:v>Zero marginal cost in base.</x:v>
      </x:c>
      <x:c r="U180" s="83" t="str">
        <x:v>ASSUMPTION</x:v>
      </x:c>
      <x:c r="V180" s="83" t="str">
        <x:v>Phase 4 dispatch boundary</x:v>
      </x:c>
      <x:c r="W180" s="120"/>
      <x:c r="X180" s="83" t="str">
        <x:v>A — Direct</x:v>
      </x:c>
      <x:c r="Y180" s="83" t="str">
        <x:v>APPROVED BASE PACKAGE</x:v>
      </x:c>
      <x:c r="Z180" s="83" t="str">
        <x:v>PHASE 5 READY — RUN BLOCKED pending nuclear siting/refuelling, hourly profiles, hydro inputs, 2050 CO2 price and final CLI pin</x:v>
      </x:c>
      <x:c r="AA180" s="83"/>
    </x:row>
    <x:row r="181">
      <x:c r="A181" s="83" t="str">
        <x:v>S4-00705</x:v>
      </x:c>
      <x:c r="B181" s="83" t="str">
        <x:v>IT2050_BASE_PNIEC_NUCLEAR_8GW</x:v>
      </x:c>
      <x:c r="C181" s="83" t="n">
        <x:v>2050</x:v>
      </x:c>
      <x:c r="D181" s="83" t="str">
        <x:v>Technical parameters</x:v>
      </x:c>
      <x:c r="E181" s="83" t="str">
        <x:v>All zones</x:v>
      </x:c>
      <x:c r="F181" s="83"/>
      <x:c r="G181" s="83" t="str">
        <x:v>solar-utility</x:v>
      </x:c>
      <x:c r="H181" s="83" t="str">
        <x:v>solar-utility marginal cost</x:v>
      </x:c>
      <x:c r="I181" s="83" t="str">
        <x:v>solar-utility</x:v>
      </x:c>
      <x:c r="J181" s="83" t="str">
        <x:v>Generator</x:v>
      </x:c>
      <x:c r="K181" s="83" t="str">
        <x:v>marginal_cost</x:v>
      </x:c>
      <x:c r="L181" s="279" t="n">
        <x:v>0</x:v>
      </x:c>
      <x:c r="M181" s="279" t="str">
        <x:v>EUR2025/MWh</x:v>
      </x:c>
      <x:c r="N181" s="279" t="str">
        <x:f>IF(L181="","",IF(M181="GW",L181*1000,IF(M181="GWh",L181*1000,IF(M181="TWh",L181*1000000,L181))))</x:f>
      </x:c>
      <x:c r="O181" s="83" t="str">
        <x:f>IF(L181="","",IF(M181="GW","MW",IF(OR(M181="GWh",M181="TWh"),"MWh",M181)))</x:f>
      </x:c>
      <x:c r="P181" s="83" t="str"/>
      <x:c r="Q181" s="349"/>
      <x:c r="R181" s="349" t="str">
        <x:f>IF(L181="","",IF(Q181&lt;&gt;"",L181*Q181,IF(OR(ISNUMBER(SEARCH("EUR2025",M181&amp;"")),P181=2025,P181="2025"),L181,"")))</x:f>
      </x:c>
      <x:c r="S181" s="83" t="str">
        <x:v>C — Harmonisation rule</x:v>
      </x:c>
      <x:c r="T181" s="83" t="str">
        <x:v>Zero marginal cost in base.</x:v>
      </x:c>
      <x:c r="U181" s="83" t="str">
        <x:v>ASSUMPTION</x:v>
      </x:c>
      <x:c r="V181" s="83" t="str">
        <x:v>Phase 4 dispatch boundary</x:v>
      </x:c>
      <x:c r="W181" s="120"/>
      <x:c r="X181" s="83" t="str">
        <x:v>A — Direct</x:v>
      </x:c>
      <x:c r="Y181" s="83" t="str">
        <x:v>APPROVED BASE PACKAGE</x:v>
      </x:c>
      <x:c r="Z181" s="83" t="str">
        <x:v>PHASE 5 READY — RUN BLOCKED pending nuclear siting/refuelling, hourly profiles, hydro inputs, 2050 CO2 price and final CLI pin</x:v>
      </x:c>
      <x:c r="AA181" s="83"/>
    </x:row>
    <x:row r="182">
      <x:c r="A182" s="83" t="str">
        <x:v>S4-00706</x:v>
      </x:c>
      <x:c r="B182" s="83" t="str">
        <x:v>IT2050_BASE_PNIEC_NUCLEAR_8GW</x:v>
      </x:c>
      <x:c r="C182" s="83" t="n">
        <x:v>2050</x:v>
      </x:c>
      <x:c r="D182" s="83" t="str">
        <x:v>Technical parameters</x:v>
      </x:c>
      <x:c r="E182" s="83" t="str">
        <x:v>All zones</x:v>
      </x:c>
      <x:c r="F182" s="83"/>
      <x:c r="G182" s="83" t="str">
        <x:v>onwind</x:v>
      </x:c>
      <x:c r="H182" s="83" t="str">
        <x:v>onwind marginal cost</x:v>
      </x:c>
      <x:c r="I182" s="83" t="str">
        <x:v>onwind</x:v>
      </x:c>
      <x:c r="J182" s="83" t="str">
        <x:v>Generator</x:v>
      </x:c>
      <x:c r="K182" s="83" t="str">
        <x:v>marginal_cost</x:v>
      </x:c>
      <x:c r="L182" s="279" t="n">
        <x:v>0</x:v>
      </x:c>
      <x:c r="M182" s="279" t="str">
        <x:v>EUR2025/MWh</x:v>
      </x:c>
      <x:c r="N182" s="279" t="str">
        <x:f>IF(L182="","",IF(M182="GW",L182*1000,IF(M182="GWh",L182*1000,IF(M182="TWh",L182*1000000,L182))))</x:f>
      </x:c>
      <x:c r="O182" s="83" t="str">
        <x:f>IF(L182="","",IF(M182="GW","MW",IF(OR(M182="GWh",M182="TWh"),"MWh",M182)))</x:f>
      </x:c>
      <x:c r="P182" s="83" t="str"/>
      <x:c r="Q182" s="349"/>
      <x:c r="R182" s="349" t="str">
        <x:f>IF(L182="","",IF(Q182&lt;&gt;"",L182*Q182,IF(OR(ISNUMBER(SEARCH("EUR2025",M182&amp;"")),P182=2025,P182="2025"),L182,"")))</x:f>
      </x:c>
      <x:c r="S182" s="83" t="str">
        <x:v>C — Harmonisation rule</x:v>
      </x:c>
      <x:c r="T182" s="83" t="str">
        <x:v>Zero marginal cost in base.</x:v>
      </x:c>
      <x:c r="U182" s="83" t="str">
        <x:v>ASSUMPTION</x:v>
      </x:c>
      <x:c r="V182" s="83" t="str">
        <x:v>Phase 4 dispatch boundary</x:v>
      </x:c>
      <x:c r="W182" s="120"/>
      <x:c r="X182" s="83" t="str">
        <x:v>A — Direct</x:v>
      </x:c>
      <x:c r="Y182" s="83" t="str">
        <x:v>APPROVED BASE PACKAGE</x:v>
      </x:c>
      <x:c r="Z182" s="83" t="str">
        <x:v>PHASE 5 READY — RUN BLOCKED pending nuclear siting/refuelling, hourly profiles, hydro inputs, 2050 CO2 price and final CLI pin</x:v>
      </x:c>
      <x:c r="AA182" s="83"/>
    </x:row>
    <x:row r="183">
      <x:c r="A183" s="83" t="str">
        <x:v>S4-00707</x:v>
      </x:c>
      <x:c r="B183" s="83" t="str">
        <x:v>IT2050_BASE_PNIEC_NUCLEAR_8GW</x:v>
      </x:c>
      <x:c r="C183" s="83" t="n">
        <x:v>2050</x:v>
      </x:c>
      <x:c r="D183" s="83" t="str">
        <x:v>Technical parameters</x:v>
      </x:c>
      <x:c r="E183" s="83" t="str">
        <x:v>All zones</x:v>
      </x:c>
      <x:c r="F183" s="83"/>
      <x:c r="G183" s="83" t="str">
        <x:v>offwind</x:v>
      </x:c>
      <x:c r="H183" s="83" t="str">
        <x:v>offwind marginal cost</x:v>
      </x:c>
      <x:c r="I183" s="83" t="str">
        <x:v>offwind</x:v>
      </x:c>
      <x:c r="J183" s="83" t="str">
        <x:v>Generator</x:v>
      </x:c>
      <x:c r="K183" s="83" t="str">
        <x:v>marginal_cost</x:v>
      </x:c>
      <x:c r="L183" s="279" t="n">
        <x:v>0</x:v>
      </x:c>
      <x:c r="M183" s="279" t="str">
        <x:v>EUR2025/MWh</x:v>
      </x:c>
      <x:c r="N183" s="279" t="str">
        <x:f>IF(L183="","",IF(M183="GW",L183*1000,IF(M183="GWh",L183*1000,IF(M183="TWh",L183*1000000,L183))))</x:f>
      </x:c>
      <x:c r="O183" s="83" t="str">
        <x:f>IF(L183="","",IF(M183="GW","MW",IF(OR(M183="GWh",M183="TWh"),"MWh",M183)))</x:f>
      </x:c>
      <x:c r="P183" s="83" t="str"/>
      <x:c r="Q183" s="349"/>
      <x:c r="R183" s="349" t="str">
        <x:f>IF(L183="","",IF(Q183&lt;&gt;"",L183*Q183,IF(OR(ISNUMBER(SEARCH("EUR2025",M183&amp;"")),P183=2025,P183="2025"),L183,"")))</x:f>
      </x:c>
      <x:c r="S183" s="83" t="str">
        <x:v>C — Harmonisation rule</x:v>
      </x:c>
      <x:c r="T183" s="83" t="str">
        <x:v>Zero marginal cost in base.</x:v>
      </x:c>
      <x:c r="U183" s="83" t="str">
        <x:v>ASSUMPTION</x:v>
      </x:c>
      <x:c r="V183" s="83" t="str">
        <x:v>Phase 4 dispatch boundary</x:v>
      </x:c>
      <x:c r="W183" s="120"/>
      <x:c r="X183" s="83" t="str">
        <x:v>A — Direct</x:v>
      </x:c>
      <x:c r="Y183" s="83" t="str">
        <x:v>APPROVED BASE PACKAGE</x:v>
      </x:c>
      <x:c r="Z183" s="83" t="str">
        <x:v>PHASE 5 READY — RUN BLOCKED pending nuclear siting/refuelling, hourly profiles, hydro inputs, 2050 CO2 price and final CLI pin</x:v>
      </x:c>
      <x:c r="AA183" s="83"/>
    </x:row>
    <x:row r="184">
      <x:c r="A184" s="83" t="str">
        <x:v>S4-00708</x:v>
      </x:c>
      <x:c r="B184" s="83" t="str">
        <x:v>IT2050_BASE_PNIEC_NUCLEAR_8GW</x:v>
      </x:c>
      <x:c r="C184" s="83" t="n">
        <x:v>2050</x:v>
      </x:c>
      <x:c r="D184" s="83" t="str">
        <x:v>Technical parameters</x:v>
      </x:c>
      <x:c r="E184" s="83" t="str">
        <x:v>All zones</x:v>
      </x:c>
      <x:c r="F184" s="83"/>
      <x:c r="G184" s="83" t="str">
        <x:v>Li-ion battery</x:v>
      </x:c>
      <x:c r="H184" s="83" t="str">
        <x:v>Battery one-way efficiency</x:v>
      </x:c>
      <x:c r="I184" s="83" t="str">
        <x:v>battery</x:v>
      </x:c>
      <x:c r="J184" s="83" t="str">
        <x:v>Link</x:v>
      </x:c>
      <x:c r="K184" s="83" t="str">
        <x:v>efficiency</x:v>
      </x:c>
      <x:c r="L184" s="279" t="n">
        <x:v>0.9486832980505138</x:v>
      </x:c>
      <x:c r="M184" s="279" t="str">
        <x:v>p.u.</x:v>
      </x:c>
      <x:c r="N184" s="279" t="n">
        <x:f>IF(L184="","",IF(M184="GW",L184*1000,IF(M184="GWh",L184*1000,IF(M184="TWh",L184*1000000,L184))))</x:f>
        <x:v>0.9486832980505138</x:v>
      </x:c>
      <x:c r="O184" s="83" t="str">
        <x:f>IF(L184="","",IF(M184="GW","MW",IF(OR(M184="GWh",M184="TWh"),"MWh",M184)))</x:f>
        <x:v>p.u.</x:v>
      </x:c>
      <x:c r="P184" s="83" t="str"/>
      <x:c r="Q184" s="349"/>
      <x:c r="R184" s="349" t="str">
        <x:f>IF(L184="","",IF(Q184&lt;&gt;"",L184*Q184,IF(OR(ISNUMBER(SEARCH("EUR2025",M184&amp;"")),P184=2025,P184="2025"),L184,"")))</x:f>
      </x:c>
      <x:c r="S184" s="83" t="str">
        <x:v>B — Derived</x:v>
      </x:c>
      <x:c r="T184" s="83" t="str">
        <x:v>sqrt(0.90 round-trip), symmetric charge/discharge.</x:v>
      </x:c>
      <x:c r="U184" s="83" t="str">
        <x:v>S07 / EXT-TD</x:v>
      </x:c>
      <x:c r="V184" s="83" t="str">
        <x:v>Terna 90% RTE; technology-data inverter 96%</x:v>
      </x:c>
      <x:c r="W184" s="120"/>
      <x:c r="X184" s="83" t="str">
        <x:v>B — Derived</x:v>
      </x:c>
      <x:c r="Y184" s="83" t="str">
        <x:v>APPROVED BASE PACKAGE</x:v>
      </x:c>
      <x:c r="Z184" s="83" t="str">
        <x:v>PHASE 5 READY — RUN BLOCKED pending nuclear siting/refuelling, hourly profiles, hydro inputs, 2050 CO2 price and final CLI pin</x:v>
      </x:c>
      <x:c r="AA184" s="83"/>
    </x:row>
    <x:row r="185">
      <x:c r="A185" s="83" t="str">
        <x:v>S4-00709</x:v>
      </x:c>
      <x:c r="B185" s="83" t="str">
        <x:v>IT2050_BASE_PNIEC_NUCLEAR_8GW</x:v>
      </x:c>
      <x:c r="C185" s="83" t="n">
        <x:v>2050</x:v>
      </x:c>
      <x:c r="D185" s="83" t="str">
        <x:v>Technical parameters</x:v>
      </x:c>
      <x:c r="E185" s="83" t="str">
        <x:v>Existing PHS sites</x:v>
      </x:c>
      <x:c r="F185" s="83"/>
      <x:c r="G185" s="83" t="str">
        <x:v>PHS</x:v>
      </x:c>
      <x:c r="H185" s="83" t="str">
        <x:v>PHS one-way efficiency</x:v>
      </x:c>
      <x:c r="I185" s="83" t="str">
        <x:v>PHS</x:v>
      </x:c>
      <x:c r="J185" s="83" t="str">
        <x:v>Link</x:v>
      </x:c>
      <x:c r="K185" s="83" t="str">
        <x:v>efficiency</x:v>
      </x:c>
      <x:c r="L185" s="279" t="n">
        <x:v>0.8660254037844386</x:v>
      </x:c>
      <x:c r="M185" s="279" t="str">
        <x:v>p.u.</x:v>
      </x:c>
      <x:c r="N185" s="279" t="n">
        <x:f>IF(L185="","",IF(M185="GW",L185*1000,IF(M185="GWh",L185*1000,IF(M185="TWh",L185*1000000,L185))))</x:f>
        <x:v>0.8660254037844386</x:v>
      </x:c>
      <x:c r="O185" s="83" t="str">
        <x:f>IF(L185="","",IF(M185="GW","MW",IF(OR(M185="GWh",M185="TWh"),"MWh",M185)))</x:f>
        <x:v>p.u.</x:v>
      </x:c>
      <x:c r="P185" s="83" t="str"/>
      <x:c r="Q185" s="349"/>
      <x:c r="R185" s="349" t="str">
        <x:f>IF(L185="","",IF(Q185&lt;&gt;"",L185*Q185,IF(OR(ISNUMBER(SEARCH("EUR2025",M185&amp;"")),P185=2025,P185="2025"),L185,"")))</x:f>
      </x:c>
      <x:c r="S185" s="83" t="str">
        <x:v>C — External candidate</x:v>
      </x:c>
      <x:c r="T185" s="83" t="str">
        <x:v>sqrt(technology-data 0.75 round-trip).</x:v>
      </x:c>
      <x:c r="U185" s="83" t="str">
        <x:v>EXT-TD</x:v>
      </x:c>
      <x:c r="V185" s="83" t="str">
        <x:v>technology-data v0.15.0</x:v>
      </x:c>
      <x:c r="W185" s="120" t="str">
        <x:v>https://github.com/PyPSA/technology-data/releases/tag/v0.15.0</x:v>
      </x:c>
      <x:c r="X185" s="83" t="str">
        <x:v>C — Provisional</x:v>
      </x:c>
      <x:c r="Y185" s="83" t="str">
        <x:v>APPROVED BASE PACKAGE</x:v>
      </x:c>
      <x:c r="Z185" s="83" t="str">
        <x:v>PHASE 5 READY — RUN BLOCKED pending nuclear siting/refuelling, hourly profiles, hydro inputs, 2050 CO2 price and final CLI pin</x:v>
      </x:c>
      <x:c r="AA185" s="83"/>
    </x:row>
    <x:row r="186">
      <x:c r="A186" s="83" t="str">
        <x:v>S4-00710</x:v>
      </x:c>
      <x:c r="B186" s="83" t="str">
        <x:v>IT2050_BASE_PNIEC_NUCLEAR_8GW</x:v>
      </x:c>
      <x:c r="C186" s="83" t="n">
        <x:v>2050</x:v>
      </x:c>
      <x:c r="D186" s="83" t="str">
        <x:v>Policy status</x:v>
      </x:c>
      <x:c r="E186" s="83" t="str">
        <x:v>Italy</x:v>
      </x:c>
      <x:c r="F186" s="83"/>
      <x:c r="G186" s="83" t="str">
        <x:v>Nuclear enabling framework</x:v>
      </x:c>
      <x:c r="H186" s="83" t="str">
        <x:v>Nuclear policy status</x:v>
      </x:c>
      <x:c r="I186" s="83" t="str">
        <x:v>policy</x:v>
      </x:c>
      <x:c r="J186" s="83" t="str">
        <x:v>Metadata</x:v>
      </x:c>
      <x:c r="K186" s="83" t="str">
        <x:v>status</x:v>
      </x:c>
      <x:c r="L186" s="279" t="n">
        <x:v>1</x:v>
      </x:c>
      <x:c r="M186" s="279" t="str">
        <x:v>boolean</x:v>
      </x:c>
      <x:c r="N186" s="279" t="n">
        <x:f>IF(L186="","",IF(M186="GW",L186*1000,IF(M186="GWh",L186*1000,IF(M186="TWh",L186*1000000,L186))))</x:f>
        <x:v>1</x:v>
      </x:c>
      <x:c r="O186" s="83" t="str">
        <x:f>IF(L186="","",IF(M186="GW","MW",IF(OR(M186="GWh",M186="TWh"),"MWh",M186)))</x:f>
        <x:v>boolean</x:v>
      </x:c>
      <x:c r="P186" s="83" t="str"/>
      <x:c r="Q186" s="349"/>
      <x:c r="R186" s="349" t="str">
        <x:f>IF(L186="","",IF(Q186&lt;&gt;"",L186*Q186,IF(OR(ISNUMBER(SEARCH("EUR2025",M186&amp;"")),P186=2025,P186="2025"),L186,"")))</x:f>
      </x:c>
      <x:c r="S186" s="83" t="str">
        <x:v>A — Direct scenario branch</x:v>
      </x:c>
      <x:c r="T186" s="83" t="str">
        <x:v>PNIEC 2050 nuclear branch selected as the approved baseline.</x:v>
      </x:c>
      <x:c r="U186" s="83" t="str">
        <x:v>S08 / USER_DECISION</x:v>
      </x:c>
      <x:c r="V186" s="83" t="str">
        <x:v>PNIEC 2024 pp.92-93; user gate</x:v>
      </x:c>
      <x:c r="W186" s="120" t="str">
        <x:v>https://www.senato.it/leggi-e-documenti/disegni-di-legge/scheda-ddl?did=60187</x:v>
      </x:c>
      <x:c r="X186" s="83" t="str">
        <x:v>A — Direct branch</x:v>
      </x:c>
      <x:c r="Y186" s="83" t="str">
        <x:v>APPROVED BASE PACKAGE</x:v>
      </x:c>
      <x:c r="Z186" s="83" t="str">
        <x:v>PHASE 5 READY — RUN BLOCKED pending nuclear siting/refuelling, hourly profiles, hydro inputs, 2050 CO2 price and final CLI pin</x:v>
      </x:c>
      <x:c r="AA186" s="83" t="str">
        <x:v>Replaces the superseded custom 4 GW interpolation.</x:v>
      </x:c>
    </x:row>
    <x:row r="187">
      <x:c r="A187" s="83" t="str">
        <x:v>S4-00711</x:v>
      </x:c>
      <x:c r="B187" s="83" t="str">
        <x:v>IT2050_BASE_PNIEC_NUCLEAR_8GW</x:v>
      </x:c>
      <x:c r="C187" s="83" t="n">
        <x:v>2050</x:v>
      </x:c>
      <x:c r="D187" s="83" t="str">
        <x:v>Model setting</x:v>
      </x:c>
      <x:c r="E187" s="83" t="str">
        <x:v>System</x:v>
      </x:c>
      <x:c r="F187" s="83"/>
      <x:c r="G187" s="83" t="str">
        <x:v>Capacity expansion</x:v>
      </x:c>
      <x:c r="H187" s="83" t="str">
        <x:v>Fixed capacities</x:v>
      </x:c>
      <x:c r="I187" s="83" t="str">
        <x:v>model</x:v>
      </x:c>
      <x:c r="J187" s="83" t="str">
        <x:v>Network</x:v>
      </x:c>
      <x:c r="K187" s="83" t="str">
        <x:v>p_nom_extendable</x:v>
      </x:c>
      <x:c r="L187" s="279" t="n">
        <x:v>0</x:v>
      </x:c>
      <x:c r="M187" s="279" t="str">
        <x:v>boolean</x:v>
      </x:c>
      <x:c r="N187" s="279" t="str">
        <x:f>IF(L187="","",IF(M187="GW",L187*1000,IF(M187="GWh",L187*1000,IF(M187="TWh",L187*1000000,L187))))</x:f>
      </x:c>
      <x:c r="O187" s="83" t="str">
        <x:f>IF(L187="","",IF(M187="GW","MW",IF(OR(M187="GWh",M187="TWh"),"MWh",M187)))</x:f>
      </x:c>
      <x:c r="P187" s="83" t="str"/>
      <x:c r="Q187" s="349"/>
      <x:c r="R187" s="349" t="str">
        <x:f>IF(L187="","",IF(Q187&lt;&gt;"",L187*Q187,IF(OR(ISNUMBER(SEARCH("EUR2025",M187&amp;"")),P187=2025,P187="2025"),L187,"")))</x:f>
      </x:c>
      <x:c r="S187" s="83" t="str">
        <x:v>Project decision</x:v>
      </x:c>
      <x:c r="T187" s="83" t="str">
        <x:v>All capacities fixed; dispatch-only.</x:v>
      </x:c>
      <x:c r="U187" s="83" t="str">
        <x:v>PLAN</x:v>
      </x:c>
      <x:c r="V187" s="83" t="str">
        <x:v>Phase 2 decision</x:v>
      </x:c>
      <x:c r="W187" s="120"/>
      <x:c r="X187" s="83" t="str">
        <x:v>A — Direct</x:v>
      </x:c>
      <x:c r="Y187" s="83" t="str">
        <x:v>APPROVED BASE PACKAGE</x:v>
      </x:c>
      <x:c r="Z187" s="83" t="str">
        <x:v>PHASE 5 READY — RUN BLOCKED pending nuclear siting/refuelling, hourly profiles, hydro inputs, 2050 CO2 price and final CLI pin</x:v>
      </x:c>
      <x:c r="AA187" s="83"/>
    </x:row>
    <x:row r="188">
      <x:c r="A188" t="str">
        <x:v>S4-PNIEC-001</x:v>
      </x:c>
      <x:c r="B188" t="str">
        <x:v>IT2050_BASE_PNIEC_NUCLEAR_8GW</x:v>
      </x:c>
      <x:c r="C188" t="n">
        <x:v>2050</x:v>
      </x:c>
      <x:c r="D188" t="str">
        <x:v>Annual balance QA</x:v>
      </x:c>
      <x:c r="E188" t="str">
        <x:v>Italy</x:v>
      </x:c>
      <x:c r="F188"/>
      <x:c r="G188" t="str">
        <x:v>National production</x:v>
      </x:c>
      <x:c r="H188" t="str">
        <x:v>National electricity production</x:v>
      </x:c>
      <x:c r="I188" t="str">
        <x:v>electricity</x:v>
      </x:c>
      <x:c r="J188" t="str">
        <x:v>QA</x:v>
      </x:c>
      <x:c r="K188" t="str">
        <x:v>annual_target</x:v>
      </x:c>
      <x:c r="L188" t="n">
        <x:v>596.8</x:v>
      </x:c>
      <x:c r="M188" t="str">
        <x:v>TWh</x:v>
      </x:c>
      <x:c r="N188" t="n">
        <x:f>IF(L188="","",IF(M188="GW",L188*1000,IF(M188="GWh",L188*1000,IF(M188="TWh",L188*1000000,L188))))</x:f>
        <x:v>596800000</x:v>
      </x:c>
      <x:c r="O188" t="str">
        <x:f>IF(L188="","",IF(M188="GW","MW",IF(OR(M188="GWh",M188="TWh"),"MWh",M188)))</x:f>
        <x:v>MWh</x:v>
      </x:c>
      <x:c r="P188"/>
      <x:c r="Q188"/>
      <x:c r="R188" t="str">
        <x:f>IF(L188="","",IF(Q188&lt;&gt;"",L188*Q188,IF(OR(ISNUMBER(SEARCH("EUR2025",M188&amp;"")),P188=2025,P188="2025"),L188,"")))</x:f>
      </x:c>
      <x:c r="S188" t="str">
        <x:v>A — Direct</x:v>
      </x:c>
      <x:c r="T188" t="str">
        <x:v>Direct PNIEC 2050 nuclear-branch value.</x:v>
      </x:c>
      <x:c r="U188" t="str">
        <x:v>S08 / S07</x:v>
      </x:c>
      <x:c r="V188" t="str">
        <x:v>PNIEC 2024 Figures 7-8; Terna 2050 Table 3</x:v>
      </x:c>
      <x:c r="W188"/>
      <x:c r="X188" t="str">
        <x:v>A — Direct</x:v>
      </x:c>
      <x:c r="Y188" t="str">
        <x:v>APPROVED QA TARGET</x:v>
      </x:c>
      <x:c r="Z188" t="str">
        <x:v>PHASE 5 READY</x:v>
      </x:c>
      <x:c r="AA188" t="str">
        <x:v>Control target; not a substitute for hourly dispatch profiles.</x:v>
      </x:c>
    </x:row>
    <x:row r="189">
      <x:c r="A189" t="str">
        <x:v>S4-PNIEC-002</x:v>
      </x:c>
      <x:c r="B189" t="str">
        <x:v>IT2050_BASE_PNIEC_NUCLEAR_8GW</x:v>
      </x:c>
      <x:c r="C189" t="n">
        <x:v>2050</x:v>
      </x:c>
      <x:c r="D189" t="str">
        <x:v>Annual balance QA</x:v>
      </x:c>
      <x:c r="E189" t="str">
        <x:v>Italy</x:v>
      </x:c>
      <x:c r="F189"/>
      <x:c r="G189" t="str">
        <x:v>Photovoltaic production</x:v>
      </x:c>
      <x:c r="H189" t="str">
        <x:v>PV annual generation target</x:v>
      </x:c>
      <x:c r="I189" t="str">
        <x:v>solar</x:v>
      </x:c>
      <x:c r="J189" t="str">
        <x:v>QA</x:v>
      </x:c>
      <x:c r="K189" t="str">
        <x:v>annual_target</x:v>
      </x:c>
      <x:c r="L189" t="n">
        <x:v>345.8</x:v>
      </x:c>
      <x:c r="M189" t="str">
        <x:v>TWh</x:v>
      </x:c>
      <x:c r="N189" t="n">
        <x:f>IF(L189="","",IF(M189="GW",L189*1000,IF(M189="GWh",L189*1000,IF(M189="TWh",L189*1000000,L189))))</x:f>
        <x:v>345800000</x:v>
      </x:c>
      <x:c r="O189" t="str">
        <x:f>IF(L189="","",IF(M189="GW","MW",IF(OR(M189="GWh",M189="TWh"),"MWh",M189)))</x:f>
        <x:v>MWh</x:v>
      </x:c>
      <x:c r="P189"/>
      <x:c r="Q189"/>
      <x:c r="R189" t="str">
        <x:f>IF(L189="","",IF(Q189&lt;&gt;"",L189*Q189,IF(OR(ISNUMBER(SEARCH("EUR2025",M189&amp;"")),P189=2025,P189="2025"),L189,"")))</x:f>
      </x:c>
      <x:c r="S189" t="str">
        <x:v>A — Direct</x:v>
      </x:c>
      <x:c r="T189" t="str">
        <x:v>Direct PNIEC 2050 nuclear-branch value.</x:v>
      </x:c>
      <x:c r="U189" t="str">
        <x:v>S08 / S07</x:v>
      </x:c>
      <x:c r="V189" t="str">
        <x:v>PNIEC 2024 Figures 7-8; Terna 2050 Table 3</x:v>
      </x:c>
      <x:c r="W189"/>
      <x:c r="X189" t="str">
        <x:v>A — Direct</x:v>
      </x:c>
      <x:c r="Y189" t="str">
        <x:v>APPROVED QA TARGET</x:v>
      </x:c>
      <x:c r="Z189" t="str">
        <x:v>PHASE 5 READY</x:v>
      </x:c>
      <x:c r="AA189" t="str">
        <x:v>Control target; not a substitute for hourly dispatch profiles.</x:v>
      </x:c>
    </x:row>
    <x:row r="190">
      <x:c r="A190" t="str">
        <x:v>S4-PNIEC-003</x:v>
      </x:c>
      <x:c r="B190" t="str">
        <x:v>IT2050_BASE_PNIEC_NUCLEAR_8GW</x:v>
      </x:c>
      <x:c r="C190" t="n">
        <x:v>2050</x:v>
      </x:c>
      <x:c r="D190" t="str">
        <x:v>Annual balance QA</x:v>
      </x:c>
      <x:c r="E190" t="str">
        <x:v>Italy</x:v>
      </x:c>
      <x:c r="F190"/>
      <x:c r="G190" t="str">
        <x:v>Other renewable production</x:v>
      </x:c>
      <x:c r="H190" t="str">
        <x:v>Other FER annual generation target</x:v>
      </x:c>
      <x:c r="I190" t="str">
        <x:v>renewables</x:v>
      </x:c>
      <x:c r="J190" t="str">
        <x:v>QA</x:v>
      </x:c>
      <x:c r="K190" t="str">
        <x:v>annual_target</x:v>
      </x:c>
      <x:c r="L190" t="n">
        <x:v>164.1</x:v>
      </x:c>
      <x:c r="M190" t="str">
        <x:v>TWh</x:v>
      </x:c>
      <x:c r="N190" t="n">
        <x:f>IF(L190="","",IF(M190="GW",L190*1000,IF(M190="GWh",L190*1000,IF(M190="TWh",L190*1000000,L190))))</x:f>
        <x:v>164100000</x:v>
      </x:c>
      <x:c r="O190" t="str">
        <x:f>IF(L190="","",IF(M190="GW","MW",IF(OR(M190="GWh",M190="TWh"),"MWh",M190)))</x:f>
        <x:v>MWh</x:v>
      </x:c>
      <x:c r="P190"/>
      <x:c r="Q190"/>
      <x:c r="R190" t="str">
        <x:f>IF(L190="","",IF(Q190&lt;&gt;"",L190*Q190,IF(OR(ISNUMBER(SEARCH("EUR2025",M190&amp;"")),P190=2025,P190="2025"),L190,"")))</x:f>
      </x:c>
      <x:c r="S190" t="str">
        <x:v>A — Direct</x:v>
      </x:c>
      <x:c r="T190" t="str">
        <x:v>Direct PNIEC 2050 nuclear-branch value.</x:v>
      </x:c>
      <x:c r="U190" t="str">
        <x:v>S08 / S07</x:v>
      </x:c>
      <x:c r="V190" t="str">
        <x:v>PNIEC 2024 Figures 7-8; Terna 2050 Table 3</x:v>
      </x:c>
      <x:c r="W190"/>
      <x:c r="X190" t="str">
        <x:v>A — Direct</x:v>
      </x:c>
      <x:c r="Y190" t="str">
        <x:v>APPROVED QA TARGET</x:v>
      </x:c>
      <x:c r="Z190" t="str">
        <x:v>PHASE 5 READY</x:v>
      </x:c>
      <x:c r="AA190" t="str">
        <x:v>Control target; not a substitute for hourly dispatch profiles.</x:v>
      </x:c>
    </x:row>
    <x:row r="191">
      <x:c r="A191" t="str">
        <x:v>S4-PNIEC-004</x:v>
      </x:c>
      <x:c r="B191" t="str">
        <x:v>IT2050_BASE_PNIEC_NUCLEAR_8GW</x:v>
      </x:c>
      <x:c r="C191" t="n">
        <x:v>2050</x:v>
      </x:c>
      <x:c r="D191" t="str">
        <x:v>Annual balance QA</x:v>
      </x:c>
      <x:c r="E191" t="str">
        <x:v>Italy</x:v>
      </x:c>
      <x:c r="F191"/>
      <x:c r="G191" t="str">
        <x:v>Nuclear production</x:v>
      </x:c>
      <x:c r="H191" t="str">
        <x:v>Nuclear annual generation target</x:v>
      </x:c>
      <x:c r="I191" t="str">
        <x:v>nuclear</x:v>
      </x:c>
      <x:c r="J191" t="str">
        <x:v>QA</x:v>
      </x:c>
      <x:c r="K191" t="str">
        <x:v>annual_target</x:v>
      </x:c>
      <x:c r="L191" t="n">
        <x:v>64.2</x:v>
      </x:c>
      <x:c r="M191" t="str">
        <x:v>TWh</x:v>
      </x:c>
      <x:c r="N191" t="n">
        <x:f>IF(L191="","",IF(M191="GW",L191*1000,IF(M191="GWh",L191*1000,IF(M191="TWh",L191*1000000,L191))))</x:f>
        <x:v>64200000</x:v>
      </x:c>
      <x:c r="O191" t="str">
        <x:f>IF(L191="","",IF(M191="GW","MW",IF(OR(M191="GWh",M191="TWh"),"MWh",M191)))</x:f>
        <x:v>MWh</x:v>
      </x:c>
      <x:c r="P191"/>
      <x:c r="Q191"/>
      <x:c r="R191" t="str">
        <x:f>IF(L191="","",IF(Q191&lt;&gt;"",L191*Q191,IF(OR(ISNUMBER(SEARCH("EUR2025",M191&amp;"")),P191=2025,P191="2025"),L191,"")))</x:f>
      </x:c>
      <x:c r="S191" t="str">
        <x:v>A — Direct</x:v>
      </x:c>
      <x:c r="T191" t="str">
        <x:v>Direct PNIEC 2050 nuclear-branch value.</x:v>
      </x:c>
      <x:c r="U191" t="str">
        <x:v>S08 / S07</x:v>
      </x:c>
      <x:c r="V191" t="str">
        <x:v>PNIEC 2024 Figures 7-8; Terna 2050 Table 3</x:v>
      </x:c>
      <x:c r="W191"/>
      <x:c r="X191" t="str">
        <x:v>A — Direct</x:v>
      </x:c>
      <x:c r="Y191" t="str">
        <x:v>APPROVED QA TARGET</x:v>
      </x:c>
      <x:c r="Z191" t="str">
        <x:v>PHASE 5 READY</x:v>
      </x:c>
      <x:c r="AA191" t="str">
        <x:v>Control target; not a substitute for hourly dispatch profiles.</x:v>
      </x:c>
    </x:row>
    <x:row r="192">
      <x:c r="A192" t="str">
        <x:v>S4-PNIEC-005</x:v>
      </x:c>
      <x:c r="B192" t="str">
        <x:v>IT2050_BASE_PNIEC_NUCLEAR_8GW</x:v>
      </x:c>
      <x:c r="C192" t="n">
        <x:v>2050</x:v>
      </x:c>
      <x:c r="D192" t="str">
        <x:v>Annual balance QA</x:v>
      </x:c>
      <x:c r="E192" t="str">
        <x:v>Italy</x:v>
      </x:c>
      <x:c r="F192"/>
      <x:c r="G192" t="str">
        <x:v>Net imports</x:v>
      </x:c>
      <x:c r="H192" t="str">
        <x:v>Net electricity imports target</x:v>
      </x:c>
      <x:c r="I192" t="str">
        <x:v>electricity</x:v>
      </x:c>
      <x:c r="J192" t="str">
        <x:v>QA</x:v>
      </x:c>
      <x:c r="K192" t="str">
        <x:v>annual_target</x:v>
      </x:c>
      <x:c r="L192" t="n">
        <x:v>17.7</x:v>
      </x:c>
      <x:c r="M192" t="str">
        <x:v>TWh</x:v>
      </x:c>
      <x:c r="N192" t="n">
        <x:f>IF(L192="","",IF(M192="GW",L192*1000,IF(M192="GWh",L192*1000,IF(M192="TWh",L192*1000000,L192))))</x:f>
        <x:v>17700000</x:v>
      </x:c>
      <x:c r="O192" t="str">
        <x:f>IF(L192="","",IF(M192="GW","MW",IF(OR(M192="GWh",M192="TWh"),"MWh",M192)))</x:f>
        <x:v>MWh</x:v>
      </x:c>
      <x:c r="P192"/>
      <x:c r="Q192"/>
      <x:c r="R192" t="str">
        <x:f>IF(L192="","",IF(Q192&lt;&gt;"",L192*Q192,IF(OR(ISNUMBER(SEARCH("EUR2025",M192&amp;"")),P192=2025,P192="2025"),L192,"")))</x:f>
      </x:c>
      <x:c r="S192" t="str">
        <x:v>A — Direct</x:v>
      </x:c>
      <x:c r="T192" t="str">
        <x:v>Direct PNIEC 2050 nuclear-branch value.</x:v>
      </x:c>
      <x:c r="U192" t="str">
        <x:v>S08 / S07</x:v>
      </x:c>
      <x:c r="V192" t="str">
        <x:v>PNIEC 2024 Figures 7-8; Terna 2050 Table 3</x:v>
      </x:c>
      <x:c r="W192"/>
      <x:c r="X192" t="str">
        <x:v>A — Direct</x:v>
      </x:c>
      <x:c r="Y192" t="str">
        <x:v>APPROVED QA TARGET</x:v>
      </x:c>
      <x:c r="Z192" t="str">
        <x:v>PHASE 5 READY</x:v>
      </x:c>
      <x:c r="AA192" t="str">
        <x:v>Control target; not a substitute for hourly dispatch profiles.</x:v>
      </x:c>
    </x:row>
    <x:row r="193">
      <x:c r="A193" t="str">
        <x:v>S4-PNIEC-006</x:v>
      </x:c>
      <x:c r="B193" t="str">
        <x:v>IT2050_BASE_PNIEC_NUCLEAR_8GW</x:v>
      </x:c>
      <x:c r="C193" t="n">
        <x:v>2050</x:v>
      </x:c>
      <x:c r="D193" t="str">
        <x:v>Annual balance QA</x:v>
      </x:c>
      <x:c r="E193" t="str">
        <x:v>Italy</x:v>
      </x:c>
      <x:c r="F193"/>
      <x:c r="G193" t="str">
        <x:v>Storage losses</x:v>
      </x:c>
      <x:c r="H193" t="str">
        <x:v>Implied annual storage losses</x:v>
      </x:c>
      <x:c r="I193" t="str">
        <x:v>battery</x:v>
      </x:c>
      <x:c r="J193" t="str">
        <x:v>QA</x:v>
      </x:c>
      <x:c r="K193" t="str">
        <x:v>annual_target</x:v>
      </x:c>
      <x:c r="L193" t="n">
        <x:v>31.399999999999977</x:v>
      </x:c>
      <x:c r="M193" t="str">
        <x:v>TWh</x:v>
      </x:c>
      <x:c r="N193" t="n">
        <x:f>IF(L193="","",IF(M193="GW",L193*1000,IF(M193="GWh",L193*1000,IF(M193="TWh",L193*1000000,L193))))</x:f>
        <x:v>31399999.999999978</x:v>
      </x:c>
      <x:c r="O193" t="str">
        <x:f>IF(L193="","",IF(M193="GW","MW",IF(OR(M193="GWh",M193="TWh"),"MWh",M193)))</x:f>
        <x:v>MWh</x:v>
      </x:c>
      <x:c r="P193"/>
      <x:c r="Q193"/>
      <x:c r="R193" t="str">
        <x:f>IF(L193="","",IF(Q193&lt;&gt;"",L193*Q193,IF(OR(ISNUMBER(SEARCH("EUR2025",M193&amp;"")),P193=2025,P193="2025"),L193,"")))</x:f>
      </x:c>
      <x:c r="S193" t="str">
        <x:v>B — Derived balance</x:v>
      </x:c>
      <x:c r="T193" t="str">
        <x:v>National production + net imports - total demand.</x:v>
      </x:c>
      <x:c r="U193" t="str">
        <x:v>S08 / S07</x:v>
      </x:c>
      <x:c r="V193" t="str">
        <x:v>PNIEC 2024 Figures 7-8; Terna 2050 Table 3</x:v>
      </x:c>
      <x:c r="W193"/>
      <x:c r="X193" t="str">
        <x:v>B — Derived balance</x:v>
      </x:c>
      <x:c r="Y193" t="str">
        <x:v>APPROVED QA TARGET</x:v>
      </x:c>
      <x:c r="Z193" t="str">
        <x:v>PHASE 5 READY</x:v>
      </x:c>
      <x:c r="AA193" t="str">
        <x:v>Control target; not a substitute for hourly dispatch profiles.</x:v>
      </x:c>
    </x:row>
    <x:row r="194">
      <x:c r="A194" t="str">
        <x:v>S4-PNIEC-007</x:v>
      </x:c>
      <x:c r="B194" t="str">
        <x:v>IT2050_BASE_PNIEC_NUCLEAR_8GW</x:v>
      </x:c>
      <x:c r="C194" t="n">
        <x:v>2050</x:v>
      </x:c>
      <x:c r="D194" t="str">
        <x:v>Technical parameters</x:v>
      </x:c>
      <x:c r="E194" t="str">
        <x:v>Italy</x:v>
      </x:c>
      <x:c r="F194"/>
      <x:c r="G194" t="str">
        <x:v>Nuclear load factor</x:v>
      </x:c>
      <x:c r="H194" t="str">
        <x:v>Nuclear annual load factor</x:v>
      </x:c>
      <x:c r="I194" t="str">
        <x:v>nuclear</x:v>
      </x:c>
      <x:c r="J194" t="str">
        <x:v>Generator</x:v>
      </x:c>
      <x:c r="K194" t="str">
        <x:v>capacity_factor QA</x:v>
      </x:c>
      <x:c r="L194" t="n">
        <x:v>0.916095890410959</x:v>
      </x:c>
      <x:c r="M194" t="str">
        <x:v>p.u.</x:v>
      </x:c>
      <x:c r="N194" t="n">
        <x:f>IF(L194="","",IF(M194="GW",L194*1000,IF(M194="GWh",L194*1000,IF(M194="TWh",L194*1000000,L194))))</x:f>
        <x:v>0.916095890410959</x:v>
      </x:c>
      <x:c r="O194" t="str">
        <x:f>IF(L194="","",IF(M194="GW","MW",IF(OR(M194="GWh",M194="TWh"),"MWh",M194)))</x:f>
        <x:v>p.u.</x:v>
      </x:c>
      <x:c r="P194"/>
      <x:c r="Q194"/>
      <x:c r="R194" t="str">
        <x:f>IF(L194="","",IF(Q194&lt;&gt;"",L194*Q194,IF(OR(ISNUMBER(SEARCH("EUR2025",M194&amp;"")),P194=2025,P194="2025"),L194,"")))</x:f>
      </x:c>
      <x:c r="S194" t="str">
        <x:v>B — Derived</x:v>
      </x:c>
      <x:c r="T194" t="str">
        <x:v>64.2 TWh / (8 GW × 8.76 TWh/GW-year).</x:v>
      </x:c>
      <x:c r="U194" t="str">
        <x:v>S08 / S07</x:v>
      </x:c>
      <x:c r="V194" t="str">
        <x:v>PNIEC 2024 Figures 7-8; Terna 2050 Table 3</x:v>
      </x:c>
      <x:c r="W194"/>
      <x:c r="X194" t="str">
        <x:v>B — Derived</x:v>
      </x:c>
      <x:c r="Y194" t="str">
        <x:v>APPROVED QA TARGET</x:v>
      </x:c>
      <x:c r="Z194" t="str">
        <x:v>PHASE 5 READY</x:v>
      </x:c>
      <x:c r="AA194" t="str">
        <x:v>Control target; not a substitute for hourly dispatch profiles.</x:v>
      </x:c>
    </x:row>
  </x:sheetData>
  <x:mergeCells>
    <x:mergeCell ref="A1:AA1"/>
    <x:mergeCell ref="A2:AA2"/>
  </x:mergeCells>
  <x:conditionalFormatting sqref="S5:S187">
    <x:cfRule type="expression" dxfId="92" priority="1">
      <x:formula>LEFT(S5,1)="A"</x:formula>
    </x:cfRule>
    <x:cfRule type="expression" dxfId="93" priority="2">
      <x:formula>OR(LEFT(S5,1)="C",LEFT(S5,1)="D")</x:formula>
    </x:cfRule>
  </x:conditionalFormatting>
  <x:conditionalFormatting sqref="Y5:Y187">
    <x:cfRule type="expression" dxfId="94" priority="3">
      <x:formula>ISNUMBER(SEARCH("Adopted",Y5))</x:formula>
    </x:cfRule>
  </x:conditionalFormatting>
  <x:conditionalFormatting sqref="Z5:Z187">
    <x:cfRule type="expression" dxfId="95" priority="4">
      <x:formula>ISNUMBER(SEARCH("Blocked",Z5))</x:formula>
    </x:cfRule>
    <x:cfRule type="expression" dxfId="96" priority="5">
      <x:formula>ISNUMBER(SEARCH("Conditional",Z5))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72bd5cbacd46f8"/>
  </x:tableParts>
</x:worksheet>
</file>

<file path=xl/worksheets/sheet5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6" hidden="0" customWidth="1"/>
    <x:col min="4" max="4" width="28" hidden="0" customWidth="1"/>
    <x:col min="5" max="5" width="18" hidden="0" customWidth="1"/>
    <x:col min="6" max="6" width="26" hidden="0" customWidth="1"/>
    <x:col min="7" max="7" width="72" hidden="0" customWidth="1"/>
    <x:col min="8" max="8" width="28" hidden="0" customWidth="1"/>
    <x:col min="9" max="9" width="58" hidden="0" customWidth="1"/>
  </x:cols>
  <x:sheetData>
    <x:row r="1" ht="34" customHeight="1">
      <x:c r="A1" s="340" t="str">
        <x:v>Registro delle assunzioni e armonizzazioni</x:v>
      </x:c>
      <x:c r="B1" s="340"/>
      <x:c r="C1" s="340"/>
      <x:c r="D1" s="340"/>
      <x:c r="E1" s="340"/>
      <x:c r="F1" s="340"/>
      <x:c r="G1" s="340"/>
      <x:c r="H1" s="340"/>
      <x:c r="I1" s="340"/>
    </x:row>
    <x:row r="2" ht="30" customHeight="1">
      <x:c r="A2" s="344" t="str">
        <x:v>Ogni assunzione ha fonte, razionale, gate e stato espliciti</x:v>
      </x:c>
      <x:c r="B2" s="344"/>
      <x:c r="C2" s="344"/>
      <x:c r="D2" s="344"/>
      <x:c r="E2" s="344"/>
      <x:c r="F2" s="344"/>
      <x:c r="G2" s="344"/>
      <x:c r="H2" s="344"/>
      <x:c r="I2" s="344"/>
    </x:row>
    <x:row r="4" ht="42" customHeight="1">
      <x:c r="A4" s="348" t="str">
        <x:v>Assumption ID</x:v>
      </x:c>
      <x:c r="B4" s="348" t="str">
        <x:v>Tema</x:v>
      </x:c>
      <x:c r="C4" s="348" t="str">
        <x:v>Valore</x:v>
      </x:c>
      <x:c r="D4" s="348" t="str">
        <x:v>Classificazione</x:v>
      </x:c>
      <x:c r="E4" s="348" t="str">
        <x:v>Stato</x:v>
      </x:c>
      <x:c r="F4" s="348" t="str">
        <x:v>Quando blocca</x:v>
      </x:c>
      <x:c r="G4" s="348" t="str">
        <x:v>Razionale</x:v>
      </x:c>
      <x:c r="H4" s="348" t="str">
        <x:v>Fonte</x:v>
      </x:c>
      <x:c r="I4" s="348" t="str">
        <x:v>URL fonte</x:v>
      </x:c>
    </x:row>
    <x:row r="5">
      <x:c r="A5" s="83" t="str">
        <x:v>A4-001</x:v>
      </x:c>
      <x:c r="B5" s="83" t="str">
        <x:v>Base scenario 2040</x:v>
      </x:c>
      <x:c r="C5" s="83" t="str">
        <x:v>IT2040_BASE_DEIT</x:v>
      </x:c>
      <x:c r="D5" s="83" t="str">
        <x:v>Scenario selection</x:v>
      </x:c>
      <x:c r="E5" s="83" t="str">
        <x:v>APPROVED</x:v>
      </x:c>
      <x:c r="F5" s="83" t="str">
        <x:v>Gate approval</x:v>
      </x:c>
      <x:c r="G5" s="83" t="str">
        <x:v>DE-IT approved by the user as the 2040 central case.</x:v>
      </x:c>
      <x:c r="H5" s="83" t="str">
        <x:v>S09/S03</x:v>
      </x:c>
      <x:c r="I5" s="120"/>
    </x:row>
    <x:row r="6">
      <x:c r="A6" s="83" t="str">
        <x:v>A4-002</x:v>
      </x:c>
      <x:c r="B6" s="83" t="str">
        <x:v>Base scenario 2050</x:v>
      </x:c>
      <x:c r="C6" s="83" t="str">
        <x:v>IT2050_BASE_PNIEC_NUCLEAR_8GW</x:v>
      </x:c>
      <x:c r="D6" s="83" t="str">
        <x:v>Scenario selection</x:v>
      </x:c>
      <x:c r="E6" s="83" t="str">
        <x:v>APPROVED</x:v>
      </x:c>
      <x:c r="F6" s="83" t="str">
        <x:v>Gate approval</x:v>
      </x:c>
      <x:c r="G6" s="83" t="str">
        <x:v>Direct PNIEC 2050 nuclear branch with the official mean capacity of 8 GW.</x:v>
      </x:c>
      <x:c r="H6" s="83" t="str">
        <x:v>S08 / S07</x:v>
      </x:c>
      <x:c r="I6" s="120"/>
    </x:row>
    <x:row r="7">
      <x:c r="A7" s="83" t="str">
        <x:v>A4-003</x:v>
      </x:c>
      <x:c r="B7" s="83" t="str">
        <x:v>No-nuclear branch</x:v>
      </x:c>
      <x:c r="C7" s="83" t="str">
        <x:v>IT2050_SENS_NO_NUCLEAR retained as sensitivity</x:v>
      </x:c>
      <x:c r="D7" s="83" t="str">
        <x:v>Scenario selection</x:v>
      </x:c>
      <x:c r="E7" s="83" t="str">
        <x:v>APPROVED</x:v>
      </x:c>
      <x:c r="F7" s="83" t="str">
        <x:v>Before nuclear run</x:v>
      </x:c>
      <x:c r="G7" s="83" t="str">
        <x:v>Preserves a no-nuclear counterfactual.</x:v>
      </x:c>
      <x:c r="H7" s="83" t="str">
        <x:v>S07 + official policy status</x:v>
      </x:c>
      <x:c r="I7" s="120" t="str">
        <x:v>https://www.senato.it/leggi-e-documenti/disegni-di-legge/scheda-ddl?did=60187</x:v>
      </x:c>
    </x:row>
    <x:row r="8">
      <x:c r="A8" s="83" t="str">
        <x:v>A4-004</x:v>
      </x:c>
      <x:c r="B8" s="83" t="str">
        <x:v>Monetary base</x:v>
      </x:c>
      <x:c r="C8" s="83" t="str">
        <x:v>EUR2025</x:v>
      </x:c>
      <x:c r="D8" s="83" t="str">
        <x:v>Unit harmonisation</x:v>
      </x:c>
      <x:c r="E8" s="83" t="str">
        <x:v>APPROVED</x:v>
      </x:c>
      <x:c r="F8" s="83" t="str">
        <x:v>Before final workbook</x:v>
      </x:c>
      <x:c r="G8" s="83" t="str">
        <x:v>Most v0.15.0 variable costs use currency year 2025.</x:v>
      </x:c>
      <x:c r="H8" s="83" t="str">
        <x:v>technology-data v0.15.0</x:v>
      </x:c>
      <x:c r="I8" s="120" t="str">
        <x:v>https://github.com/PyPSA/technology-data/releases/tag/v0.15.0</x:v>
      </x:c>
    </x:row>
    <x:row r="9">
      <x:c r="A9" s="83" t="str">
        <x:v>A4-005</x:v>
      </x:c>
      <x:c r="B9" s="83" t="str">
        <x:v>2023-to-2025 deflator</x:v>
      </x:c>
      <x:c r="C9" s="83" t="n">
        <x:v>1.045504</x:v>
      </x:c>
      <x:c r="D9" s="83" t="str">
        <x:v>Monetary conversion</x:v>
      </x:c>
      <x:c r="E9" s="83" t="str">
        <x:v>PROPOSED</x:v>
      </x:c>
      <x:c r="F9" s="83" t="str">
        <x:v>Before final workbook</x:v>
      </x:c>
      <x:c r="G9" s="83" t="str">
        <x:v>Cumulative euro-area HICP using 2.4% for 2024 and 2.1% for 2025.</x:v>
      </x:c>
      <x:c r="H9" s="83" t="str">
        <x:v>ECB/Eurostat</x:v>
      </x:c>
      <x:c r="I9" s="120" t="str">
        <x:v>https://www.ecb.europa.eu/stats/ecb_surveys/survey_of_professional_forecasters/html/ecb.spf2025q4.en.html</x:v>
      </x:c>
    </x:row>
    <x:row r="10">
      <x:c r="A10" s="83" t="str">
        <x:v>A4-006</x:v>
      </x:c>
      <x:c r="B10" s="83" t="str">
        <x:v>Technology-data release</x:v>
      </x:c>
      <x:c r="C10" s="83" t="str">
        <x:v>v0.15.0 provisional; actual CLI pin prevails</x:v>
      </x:c>
      <x:c r="D10" s="83" t="str">
        <x:v>Technical data</x:v>
      </x:c>
      <x:c r="E10" s="83" t="str">
        <x:v>APPROVED</x:v>
      </x:c>
      <x:c r="F10" s="83" t="str">
        <x:v>Before model build</x:v>
      </x:c>
      <x:c r="G10" s="83" t="str">
        <x:v>Latest official release at the phase date; project lock/commit remains authoritative.</x:v>
      </x:c>
      <x:c r="H10" s="83" t="str">
        <x:v>PyPSA technology-data</x:v>
      </x:c>
      <x:c r="I10" s="120" t="str">
        <x:v>https://github.com/PyPSA/technology-data/releases/tag/v0.15.0</x:v>
      </x:c>
    </x:row>
    <x:row r="11">
      <x:c r="A11" s="83" t="str">
        <x:v>A4-007</x:v>
      </x:c>
      <x:c r="B11" s="83" t="str">
        <x:v>PyPSA-Eur reference architecture</x:v>
      </x:c>
      <x:c r="C11" s="83" t="str">
        <x:v>v2026.02.0 reference only</x:v>
      </x:c>
      <x:c r="D11" s="83" t="str">
        <x:v>Model architecture</x:v>
      </x:c>
      <x:c r="E11" s="83" t="str">
        <x:v>PROPOSED</x:v>
      </x:c>
      <x:c r="F11" s="83" t="str">
        <x:v>Before model build</x:v>
      </x:c>
      <x:c r="G11" s="83" t="str">
        <x:v>Latest official release at the phase date and includes TYNDP base network; actual project version prevails.</x:v>
      </x:c>
      <x:c r="H11" s="83" t="str">
        <x:v>PyPSA-Eur release</x:v>
      </x:c>
      <x:c r="I11" s="120" t="str">
        <x:v>https://github.com/PyPSA/pypsa-eur/releases/tag/v2026.02.0</x:v>
      </x:c>
    </x:row>
    <x:row r="12">
      <x:c r="A12" s="83" t="str">
        <x:v>A4-008</x:v>
      </x:c>
      <x:c r="B12" s="83" t="str">
        <x:v>Small-scale battery split</x:v>
      </x:c>
      <x:c r="C12" s="83" t="str">
        <x:v>66.7% energy at 2h; 33.3% at 4h</x:v>
      </x:c>
      <x:c r="D12" s="83" t="str">
        <x:v>Storage harmonisation</x:v>
      </x:c>
      <x:c r="E12" s="83" t="str">
        <x:v>APPROVED</x:v>
      </x:c>
      <x:c r="F12" s="83" t="str">
        <x:v>Gate approval</x:v>
      </x:c>
      <x:c r="G12" s="83" t="str">
        <x:v>Matches the observed aggregate portfolio duration near 2.4h while retaining DDS classes.</x:v>
      </x:c>
      <x:c r="H12" s="83" t="str">
        <x:v>S01/S09</x:v>
      </x:c>
      <x:c r="I12" s="120"/>
    </x:row>
    <x:row r="13">
      <x:c r="A13" s="83" t="str">
        <x:v>A4-009</x:v>
      </x:c>
      <x:c r="B13" s="83" t="str">
        <x:v>Capacity Market battery duration</x:v>
      </x:c>
      <x:c r="C13" s="83" t="str">
        <x:v>4h</x:v>
      </x:c>
      <x:c r="D13" s="83" t="str">
        <x:v>Storage harmonisation</x:v>
      </x:c>
      <x:c r="E13" s="83" t="str">
        <x:v>APPROVED</x:v>
      </x:c>
      <x:c r="F13" s="83" t="str">
        <x:v>Gate approval</x:v>
      </x:c>
      <x:c r="G13" s="83" t="str">
        <x:v>Terna RAI 2025 reports approximately four-hour average duration for Capacity Market storage.</x:v>
      </x:c>
      <x:c r="H13" s="83" t="str">
        <x:v>User decision + Terna RAI 2025</x:v>
      </x:c>
      <x:c r="I13" s="120" t="str">
        <x:v>https://download.terna.it/terna/Rapporto_Adeguatezza_Italia_2025_8de802607202dd6.pdf</x:v>
      </x:c>
    </x:row>
    <x:row r="14">
      <x:c r="A14" s="83" t="str">
        <x:v>A4-010</x:v>
      </x:c>
      <x:c r="B14" s="83" t="str">
        <x:v>Battery one-way efficiency</x:v>
      </x:c>
      <x:c r="C14" s="83" t="n">
        <x:v>0.9486832980505138</x:v>
      </x:c>
      <x:c r="D14" s="83" t="str">
        <x:v>Storage parameter</x:v>
      </x:c>
      <x:c r="E14" s="83" t="str">
        <x:v>PROPOSED</x:v>
      </x:c>
      <x:c r="F14" s="83" t="str">
        <x:v>Before model build</x:v>
      </x:c>
      <x:c r="G14" s="83" t="str">
        <x:v>Symmetric square root of Terna 90% round-trip benchmark.</x:v>
      </x:c>
      <x:c r="H14" s="83" t="str">
        <x:v>S07</x:v>
      </x:c>
      <x:c r="I14" s="120"/>
    </x:row>
    <x:row r="15">
      <x:c r="A15" s="83" t="str">
        <x:v>A4-011</x:v>
      </x:c>
      <x:c r="B15" s="83" t="str">
        <x:v>PHS one-way efficiency</x:v>
      </x:c>
      <x:c r="C15" s="83" t="n">
        <x:v>0.8660254037844386</x:v>
      </x:c>
      <x:c r="D15" s="83" t="str">
        <x:v>Storage parameter</x:v>
      </x:c>
      <x:c r="E15" s="83" t="str">
        <x:v>PROPOSED</x:v>
      </x:c>
      <x:c r="F15" s="83" t="str">
        <x:v>Before model build</x:v>
      </x:c>
      <x:c r="G15" s="83" t="str">
        <x:v>Symmetric square root of provisional technology-data 75% round-trip.</x:v>
      </x:c>
      <x:c r="H15" s="83" t="str">
        <x:v>technology-data v0.15.0</x:v>
      </x:c>
      <x:c r="I15" s="120" t="str">
        <x:v>https://github.com/PyPSA/technology-data/releases/tag/v0.15.0</x:v>
      </x:c>
    </x:row>
    <x:row r="16">
      <x:c r="A16" s="83" t="str">
        <x:v>A4-012</x:v>
      </x:c>
      <x:c r="B16" s="83" t="str">
        <x:v>PHS energy</x:v>
      </x:c>
      <x:c r="C16" s="83" t="str">
        <x:v>53 GWh physical stock</x:v>
      </x:c>
      <x:c r="D16" s="83" t="str">
        <x:v>Storage accounting</x:v>
      </x:c>
      <x:c r="E16" s="83" t="str">
        <x:v>PROPOSED</x:v>
      </x:c>
      <x:c r="F16" s="83" t="str">
        <x:v>Gate approval</x:v>
      </x:c>
      <x:c r="G16" s="83" t="str">
        <x:v>Use physical asset estimate; retain 50 GWh DDS as QA only.</x:v>
      </x:c>
      <x:c r="H16" s="83" t="str">
        <x:v>S01/S09</x:v>
      </x:c>
      <x:c r="I16" s="120"/>
    </x:row>
    <x:row r="17">
      <x:c r="A17" s="83" t="str">
        <x:v>A4-013</x:v>
      </x:c>
      <x:c r="B17" s="83" t="str">
        <x:v>Renewable marginal cost</x:v>
      </x:c>
      <x:c r="C17" s="83" t="str">
        <x:v>0 EUR2025/MWh in base</x:v>
      </x:c>
      <x:c r="D17" s="83" t="str">
        <x:v>Dispatch rule</x:v>
      </x:c>
      <x:c r="E17" s="83" t="str">
        <x:v>PROPOSED</x:v>
      </x:c>
      <x:c r="F17" s="83" t="str">
        <x:v>Before model build</x:v>
      </x:c>
      <x:c r="G17" s="83" t="str">
        <x:v>CAPEX/LCOE excluded from fixed-capacity dispatch objective.</x:v>
      </x:c>
      <x:c r="H17" s="83" t="str">
        <x:v>Phase 3D</x:v>
      </x:c>
      <x:c r="I17" s="120"/>
    </x:row>
    <x:row r="18">
      <x:c r="A18" s="83" t="str">
        <x:v>A4-014</x:v>
      </x:c>
      <x:c r="B18" s="83" t="str">
        <x:v>Unit commitment</x:v>
      </x:c>
      <x:c r="C18" s="83" t="str">
        <x:v>Off in base</x:v>
      </x:c>
      <x:c r="D18" s="83" t="str">
        <x:v>Model setting</x:v>
      </x:c>
      <x:c r="E18" s="83" t="str">
        <x:v>DEFINED</x:v>
      </x:c>
      <x:c r="F18" s="83" t="str">
        <x:v>No</x:v>
      </x:c>
      <x:c r="G18" s="83" t="str">
        <x:v>Linear dispatch base; UC as separate sensitivity.</x:v>
      </x:c>
      <x:c r="H18" s="83" t="str">
        <x:v>Phase 2/3D</x:v>
      </x:c>
      <x:c r="I18" s="120"/>
    </x:row>
    <x:row r="19">
      <x:c r="A19" s="83" t="str">
        <x:v>A4-015</x:v>
      </x:c>
      <x:c r="B19" s="83" t="str">
        <x:v>Transmission representation</x:v>
      </x:c>
      <x:c r="C19" s="83" t="str">
        <x:v>Two directional Links where asymmetric</x:v>
      </x:c>
      <x:c r="D19" s="83" t="str">
        <x:v>Network</x:v>
      </x:c>
      <x:c r="E19" s="83" t="str">
        <x:v>PROPOSED</x:v>
      </x:c>
      <x:c r="F19" s="83" t="str">
        <x:v>Before model build</x:v>
      </x:c>
      <x:c r="G19" s="83" t="str">
        <x:v>PDS capacities are directional.</x:v>
      </x:c>
      <x:c r="H19" s="83" t="str">
        <x:v>S03</x:v>
      </x:c>
      <x:c r="I19" s="120"/>
    </x:row>
    <x:row r="20">
      <x:c r="A20" s="83" t="str">
        <x:v>A4-016</x:v>
      </x:c>
      <x:c r="B20" s="83" t="str">
        <x:v>2050 grid</x:v>
      </x:c>
      <x:c r="C20" s="83" t="str">
        <x:v>PDS 2040 as documented floor</x:v>
      </x:c>
      <x:c r="D20" s="83" t="str">
        <x:v>Network</x:v>
      </x:c>
      <x:c r="E20" s="83" t="str">
        <x:v>PROPOSED</x:v>
      </x:c>
      <x:c r="F20" s="83" t="str">
        <x:v>Gate approval</x:v>
      </x:c>
      <x:c r="G20" s="83" t="str">
        <x:v>No complete official 2050 NTC matrix is available.</x:v>
      </x:c>
      <x:c r="H20" s="83" t="str">
        <x:v>S03/S07</x:v>
      </x:c>
      <x:c r="I20" s="120"/>
    </x:row>
    <x:row r="21">
      <x:c r="A21" s="83" t="str">
        <x:v>A4-017</x:v>
      </x:c>
      <x:c r="B21" s="83" t="str">
        <x:v>Foreign systems</x:v>
      </x:c>
      <x:c r="C21" s="83" t="str">
        <x:v>Endogenous PyPSA-Eur where available</x:v>
      </x:c>
      <x:c r="D21" s="83" t="str">
        <x:v>Geography/network</x:v>
      </x:c>
      <x:c r="E21" s="83" t="str">
        <x:v>PROPOSED</x:v>
      </x:c>
      <x:c r="F21" s="83" t="str">
        <x:v>Before model build</x:v>
      </x:c>
      <x:c r="G21" s="83" t="str">
        <x:v>Avoid exogenous import-price assumptions and double counting.</x:v>
      </x:c>
      <x:c r="H21" s="83" t="str">
        <x:v>S09/PyPSA-Eur</x:v>
      </x:c>
      <x:c r="I21" s="120" t="str">
        <x:v>https://github.com/PyPSA/pypsa-eur/releases/tag/v2026.02.0</x:v>
      </x:c>
    </x:row>
    <x:row r="22">
      <x:c r="A22" s="83" t="str">
        <x:v>A4-018</x:v>
      </x:c>
      <x:c r="B22" s="83" t="str">
        <x:v>2040 demand geography</x:v>
      </x:c>
      <x:c r="C22" s="83" t="str">
        <x:v>Scale base-year PyPSA-Eur zonal load shares to annual rigid-load target</x:v>
      </x:c>
      <x:c r="D22" s="83" t="str">
        <x:v>Demand distribution</x:v>
      </x:c>
      <x:c r="E22" s="83" t="str">
        <x:v>PROPOSED</x:v>
      </x:c>
      <x:c r="F22" s="83" t="str">
        <x:v>Before model build</x:v>
      </x:c>
      <x:c r="G22" s="83" t="str">
        <x:v>No direct future zonal demand table in the corpus.</x:v>
      </x:c>
      <x:c r="H22" s="83" t="str">
        <x:v>PyPSA-Eur + S09</x:v>
      </x:c>
      <x:c r="I22" s="120" t="str">
        <x:v>https://github.com/PyPSA/pypsa-eur/releases/tag/v2026.02.0</x:v>
      </x:c>
    </x:row>
    <x:row r="23">
      <x:c r="A23" s="83" t="str">
        <x:v>A4-019</x:v>
      </x:c>
      <x:c r="B23" s="83" t="str">
        <x:v>2050 PNIEC demand composition</x:v>
      </x:c>
      <x:c r="C23" s="83" t="str">
        <x:v>501.6 TWh rigid + 81.5 TWh Power-to-X = 583.1 TWh</x:v>
      </x:c>
      <x:c r="D23" s="83" t="str">
        <x:v>Direct/derived PNIEC demand</x:v>
      </x:c>
      <x:c r="E23" s="83" t="str">
        <x:v>APPROVED</x:v>
      </x:c>
      <x:c r="F23" s="83" t="str">
        <x:v>Gate approval</x:v>
      </x:c>
      <x:c r="G23" s="83" t="str">
        <x:v>Uses direct PNIEC branch values rather than scaling a Terna total.</x:v>
      </x:c>
      <x:c r="H23" s="83" t="str">
        <x:v>S08 / S07</x:v>
      </x:c>
      <x:c r="I23" s="120"/>
    </x:row>
    <x:row r="24">
      <x:c r="A24" s="83" t="str">
        <x:v>A4-020</x:v>
      </x:c>
      <x:c r="B24" s="83" t="str">
        <x:v>2050 PNIEC generation geography</x:v>
      </x:c>
      <x:c r="C24" s="83" t="str">
        <x:v>Scale DE-IT 2040 zonal technology shares to PNIEC national totals</x:v>
      </x:c>
      <x:c r="D24" s="83" t="str">
        <x:v>Capacity distribution</x:v>
      </x:c>
      <x:c r="E24" s="83" t="str">
        <x:v>APPROVED</x:v>
      </x:c>
      <x:c r="F24" s="83" t="str">
        <x:v>Gate approval</x:v>
      </x:c>
      <x:c r="G24" s="83" t="str">
        <x:v>PNIEC gives national totals only; preserves technology-specific 2040 zonal structure.</x:v>
      </x:c>
      <x:c r="H24" s="83" t="str">
        <x:v>S07/S09</x:v>
      </x:c>
      <x:c r="I24" s="120"/>
    </x:row>
    <x:row r="25">
      <x:c r="A25" s="83" t="str">
        <x:v>A4-021</x:v>
      </x:c>
      <x:c r="B25" s="83" t="str">
        <x:v>2050 PNIEC BESS geography</x:v>
      </x:c>
      <x:c r="C25" s="83" t="str">
        <x:v>Scale DE-IT 2040 total BESS zonal shares to the provisional PNIEC storage envelope</x:v>
      </x:c>
      <x:c r="D25" s="83" t="str">
        <x:v>Storage distribution</x:v>
      </x:c>
      <x:c r="E25" s="83" t="str">
        <x:v>APPROVED</x:v>
      </x:c>
      <x:c r="F25" s="83" t="str">
        <x:v>Gate approval</x:v>
      </x:c>
      <x:c r="G25" s="83" t="str">
        <x:v>No PNIEC zonal storage allocation is available.</x:v>
      </x:c>
      <x:c r="H25" s="83" t="str">
        <x:v>S07/S09</x:v>
      </x:c>
      <x:c r="I25" s="120"/>
    </x:row>
    <x:row r="26">
      <x:c r="A26" s="83" t="str">
        <x:v>A4-022</x:v>
      </x:c>
      <x:c r="B26" s="83" t="str">
        <x:v>2050 PNIEC storage envelope</x:v>
      </x:c>
      <x:c r="C26" s="83" t="str">
        <x:v>237.666667 GWh / 43.653061 GW</x:v>
      </x:c>
      <x:c r="D26" s="83" t="str">
        <x:v>Transparent model-build bridge</x:v>
      </x:c>
      <x:c r="E26" s="83" t="str">
        <x:v>PROVISIONAL</x:v>
      </x:c>
      <x:c r="F26" s="83" t="str">
        <x:v>Review before the first 2050 run</x:v>
      </x:c>
      <x:c r="G26" s="83" t="str">
        <x:v>Linear extrapolation of Terna's efficient-storage relationship from 246 GW FRNP/196 GWh and 270 GW FRNP/216 GWh to PNIEC's 296 GW FRNP; power preserves the 196 GWh/36 GW aggregate duration.</x:v>
      </x:c>
      <x:c r="H26" s="83" t="str">
        <x:v>S07 + Phase 4 derivation</x:v>
      </x:c>
      <x:c r="I26" s="120"/>
    </x:row>
    <x:row r="27">
      <x:c r="A27" s="83" t="str">
        <x:v>A4-023</x:v>
      </x:c>
      <x:c r="B27" s="83" t="str">
        <x:v>Hydro modelling</x:v>
      </x:c>
      <x:c r="C27" s="83" t="str">
        <x:v>Preserve PyPSA-Eur assets/profiles and scale annual output/inflows</x:v>
      </x:c>
      <x:c r="D27" s="83" t="str">
        <x:v>Hydro</x:v>
      </x:c>
      <x:c r="E27" s="83" t="str">
        <x:v>PROPOSED</x:v>
      </x:c>
      <x:c r="F27" s="83" t="str">
        <x:v>Before model build</x:v>
      </x:c>
      <x:c r="G27" s="83" t="str">
        <x:v>Annual Terna values do not provide hourly inflows or reservoir energy.</x:v>
      </x:c>
      <x:c r="H27" s="83" t="str">
        <x:v>S09/PyPSA-Eur</x:v>
      </x:c>
      <x:c r="I27" s="120" t="str">
        <x:v>https://github.com/PyPSA/pypsa-eur/releases/tag/v2026.02.0</x:v>
      </x:c>
    </x:row>
    <x:row r="28">
      <x:c r="A28" s="83" t="str">
        <x:v>A4-024</x:v>
      </x:c>
      <x:c r="B28" s="83" t="str">
        <x:v>Thermal fleet allocation</x:v>
      </x:c>
      <x:c r="C28" s="83" t="str">
        <x:v>Plant/cohort mapping; 55 GW is control envelope only</x:v>
      </x:c>
      <x:c r="D28" s="83" t="str">
        <x:v>Thermal</x:v>
      </x:c>
      <x:c r="E28" s="83" t="str">
        <x:v>PROPOSED</x:v>
      </x:c>
      <x:c r="F28" s="83" t="str">
        <x:v>Before model build</x:v>
      </x:c>
      <x:c r="G28" s="83" t="str">
        <x:v>Avoid one generic thermal generator and preserve merit-order diversity.</x:v>
      </x:c>
      <x:c r="H28" s="83" t="str">
        <x:v>S09 + external plant data</x:v>
      </x:c>
      <x:c r="I28" s="120"/>
    </x:row>
    <x:row r="29">
      <x:c r="A29" s="83" t="str">
        <x:v>A4-025</x:v>
      </x:c>
      <x:c r="B29" s="83" t="str">
        <x:v>2050 CO2 price</x:v>
      </x:c>
      <x:c r="C29" s="83" t="str">
        <x:v>OPEN</x:v>
      </x:c>
      <x:c r="D29" s="83" t="str">
        <x:v>Fuel/CO2</x:v>
      </x:c>
      <x:c r="E29" s="83" t="str">
        <x:v>OPEN</x:v>
      </x:c>
      <x:c r="F29" s="83" t="str">
        <x:v>Before 2050 run</x:v>
      </x:c>
      <x:c r="G29" s="83" t="str">
        <x:v>No value adopted; 2040 is not extrapolated.</x:v>
      </x:c>
      <x:c r="H29" s="83" t="str">
        <x:v>G3D-027</x:v>
      </x:c>
      <x:c r="I29" s="120" t="str">
        <x:v>https://2024.entsos-tyndp-scenarios.eu/</x:v>
      </x:c>
    </x:row>
    <x:row r="30">
      <x:c r="A30" s="83" t="str">
        <x:v>A4-026</x:v>
      </x:c>
      <x:c r="B30" s="83" t="str">
        <x:v>VOLL</x:v>
      </x:c>
      <x:c r="C30" s="83" t="str">
        <x:v>OPEN</x:v>
      </x:c>
      <x:c r="D30" s="83" t="str">
        <x:v>Market</x:v>
      </x:c>
      <x:c r="E30" s="83" t="str">
        <x:v>OPEN</x:v>
      </x:c>
      <x:c r="F30" s="83" t="str">
        <x:v>Before any run</x:v>
      </x:c>
      <x:c r="G30" s="83" t="str">
        <x:v>Required to set load-shedding price.</x:v>
      </x:c>
      <x:c r="H30" s="83" t="str">
        <x:v>G3D-025</x:v>
      </x:c>
      <x:c r="I30" s="120"/>
    </x:row>
    <x:row r="31">
      <x:c r="A31" s="83" t="str">
        <x:v>A4-027</x:v>
      </x:c>
      <x:c r="B31" s="83" t="str">
        <x:v>Price caps/floors</x:v>
      </x:c>
      <x:c r="C31" s="83" t="str">
        <x:v>Interpretation layer, not automatic clipping until rules are sourced</x:v>
      </x:c>
      <x:c r="D31" s="83" t="str">
        <x:v>Market</x:v>
      </x:c>
      <x:c r="E31" s="83" t="str">
        <x:v>PROPOSED</x:v>
      </x:c>
      <x:c r="F31" s="83" t="str">
        <x:v>Before results interpretation</x:v>
      </x:c>
      <x:c r="G31" s="83" t="str">
        <x:v>Model shadow prices and market settlement limits are distinct.</x:v>
      </x:c>
      <x:c r="H31" s="83" t="str">
        <x:v>GME/Phase 3D gap</x:v>
      </x:c>
      <x:c r="I31" s="120"/>
    </x:row>
    <x:row r="32">
      <x:c r="A32" s="83" t="str">
        <x:v>A4-028</x:v>
      </x:c>
      <x:c r="B32" s="83" t="str">
        <x:v>Network losses</x:v>
      </x:c>
      <x:c r="C32" s="83" t="str">
        <x:v>No interzonal link losses in base; losses embedded in demand perimeter</x:v>
      </x:c>
      <x:c r="D32" s="83" t="str">
        <x:v>Accounting</x:v>
      </x:c>
      <x:c r="E32" s="83" t="str">
        <x:v>PROPOSED</x:v>
      </x:c>
      <x:c r="F32" s="83" t="str">
        <x:v>Gate approval</x:v>
      </x:c>
      <x:c r="G32" s="83" t="str">
        <x:v>Avoid double counting without corridor-specific loss factors.</x:v>
      </x:c>
      <x:c r="H32" s="83" t="str">
        <x:v>Phase 3C</x:v>
      </x:c>
      <x:c r="I32" s="120"/>
    </x:row>
    <x:row r="33">
      <x:c r="A33" s="83" t="str">
        <x:v>A4-029</x:v>
      </x:c>
      <x:c r="B33" s="83" t="str">
        <x:v>Capacity expansion</x:v>
      </x:c>
      <x:c r="C33" s="83" t="str">
        <x:v>Disabled</x:v>
      </x:c>
      <x:c r="D33" s="83" t="str">
        <x:v>Model setting</x:v>
      </x:c>
      <x:c r="E33" s="83" t="str">
        <x:v>DEFINED</x:v>
      </x:c>
      <x:c r="F33" s="83" t="str">
        <x:v>No</x:v>
      </x:c>
      <x:c r="G33" s="83" t="str">
        <x:v>Dispatch-only scope.</x:v>
      </x:c>
      <x:c r="H33" s="83" t="str">
        <x:v>Phase 2</x:v>
      </x:c>
      <x:c r="I33" s="120"/>
    </x:row>
    <x:row r="34">
      <x:c r="A34" s="83" t="str">
        <x:v>A4-030</x:v>
      </x:c>
      <x:c r="B34" s="83" t="str">
        <x:v>2050 High Grid</x:v>
      </x:c>
      <x:c r="C34" s="83" t="str">
        <x:v>Not executable until corridor-specific official uplift exists</x:v>
      </x:c>
      <x:c r="D34" s="83" t="str">
        <x:v>Sensitivity</x:v>
      </x:c>
      <x:c r="E34" s="83" t="str">
        <x:v>OPEN</x:v>
      </x:c>
      <x:c r="F34" s="83" t="str">
        <x:v>Only for High Grid sensitivity</x:v>
      </x:c>
      <x:c r="G34" s="83" t="str">
        <x:v>No uniform uplift is applied.</x:v>
      </x:c>
      <x:c r="H34" s="83" t="str">
        <x:v>Phase 3C</x:v>
      </x:c>
      <x:c r="I34" s="120"/>
    </x:row>
    <x:row r="35">
      <x:c r="A35" s="378" t="str">
        <x:v>A4-034</x:v>
      </x:c>
      <x:c r="B35" s="378" t="str">
        <x:v>PNIEC 2050 nuclear base</x:v>
      </x:c>
      <x:c r="C35" s="378" t="str">
        <x:v>8 GW mean capacity; 7.5-8.5 GW source range</x:v>
      </x:c>
      <x:c r="D35" s="378" t="str">
        <x:v>Direct scenario selection</x:v>
      </x:c>
      <x:c r="E35" s="378" t="str">
        <x:v>APPROVED</x:v>
      </x:c>
      <x:c r="F35" s="378" t="str">
        <x:v>No — adopted for Phase 5</x:v>
      </x:c>
      <x:c r="G35" s="378" t="str">
        <x:v>The official PNIEC nuclear branch replaces the superseded custom 4 GW interpolation.</x:v>
      </x:c>
      <x:c r="H35" s="378" t="str">
        <x:v>PNIEC 2024 / Terna 2050 Tables 3-4</x:v>
      </x:c>
      <x:c r="I35" s="378" t="str"/>
    </x:row>
    <x:row r="36">
      <x:c r="A36" s="378" t="str">
        <x:v>A4-035</x:v>
      </x:c>
      <x:c r="B36" s="378" t="str">
        <x:v>PNIEC 2050 storage bridge</x:v>
      </x:c>
      <x:c r="C36" s="378" t="str">
        <x:v>237.666667 GWh and 43.653061 GW</x:v>
      </x:c>
      <x:c r="D36" s="378" t="str">
        <x:v>Transparent extrapolation</x:v>
      </x:c>
      <x:c r="E36" s="378" t="str">
        <x:v>PROVISIONAL</x:v>
      </x:c>
      <x:c r="F36" s="378" t="str">
        <x:v>Review before the first 2050 run</x:v>
      </x:c>
      <x:c r="G36" s="378" t="str">
        <x:v>PNIEC reports storage as n/a. The bridge extrapolates Terna's two technical FRNP/storage points and preserves the nuclear-case aggregate duration.</x:v>
      </x:c>
      <x:c r="H36" s="378" t="str">
        <x:v>Terna 2050 Table 4 + PNIEC FRNP total</x:v>
      </x:c>
      <x:c r="I36" s="378" t="str"/>
    </x:row>
    <x:row r="37">
      <x:c r="A37" s="378" t="str">
        <x:v>A4-036</x:v>
      </x:c>
      <x:c r="B37" s="378" t="str">
        <x:v>PNIEC 2050 annual-balance controls</x:v>
      </x:c>
      <x:c r="C37" s="378" t="str">
        <x:v>596.8 TWh national production; 17.7 TWh net imports; 31.4 TWh implied storage losses</x:v>
      </x:c>
      <x:c r="D37" s="378" t="str">
        <x:v>Direct and derived QA</x:v>
      </x:c>
      <x:c r="E37" s="378" t="str">
        <x:v>APPROVED</x:v>
      </x:c>
      <x:c r="F37" s="378" t="str">
        <x:v>No — QA only</x:v>
      </x:c>
      <x:c r="G37" s="378" t="str">
        <x:v>Provides annual consistency checks for the Phase 5 model-ready workbook.</x:v>
      </x:c>
      <x:c r="H37" s="378" t="str">
        <x:v>PNIEC 2024 Figures 7-8 / Terna 2050 Table 3</x:v>
      </x:c>
      <x:c r="I37" s="378" t="str"/>
    </x:row>
    <x:row r="38">
      <x:c r="A38" s="396"/>
      <x:c r="B38" s="396"/>
      <x:c r="C38" s="396"/>
      <x:c r="D38" s="396"/>
      <x:c r="E38" s="396"/>
      <x:c r="F38" s="396"/>
      <x:c r="G38" s="396"/>
      <x:c r="H38" s="396"/>
      <x:c r="I38" s="396"/>
    </x:row>
    <x:row r="39">
      <x:c r="A39" s="396"/>
      <x:c r="B39" s="396"/>
      <x:c r="C39" s="396"/>
      <x:c r="D39" s="396"/>
      <x:c r="E39" s="396"/>
      <x:c r="F39" s="396"/>
      <x:c r="G39" s="396"/>
      <x:c r="H39" s="396"/>
      <x:c r="I39" s="396"/>
    </x:row>
    <x:row r="40">
      <x:c r="A40" s="396"/>
      <x:c r="B40" s="396"/>
      <x:c r="C40" s="396"/>
      <x:c r="D40" s="396"/>
      <x:c r="E40" s="396"/>
      <x:c r="F40" s="396"/>
      <x:c r="G40" s="396"/>
      <x:c r="H40" s="396"/>
      <x:c r="I40" s="396"/>
    </x:row>
  </x:sheetData>
  <x:mergeCells>
    <x:mergeCell ref="A1:I1"/>
    <x:mergeCell ref="A2:I2"/>
  </x:mergeCells>
  <x:conditionalFormatting sqref="E5:E34">
    <x:cfRule type="expression" dxfId="97" priority="1">
      <x:formula>E5="APPROVED"</x:formula>
    </x:cfRule>
    <x:cfRule type="expression" dxfId="98" priority="2">
      <x:formula>E5="PROPOSED"</x:formula>
    </x:cfRule>
  </x:conditionalFormatting>
  <x:dataValidations count="1">
    <x:dataValidation type="list" sqref="E5:E34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fb37787203444e"/>
  </x:tableParts>
</x:worksheet>
</file>

<file path=xl/worksheets/sheet5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22" hidden="0" customWidth="1"/>
    <x:col min="4" max="4" width="24" hidden="0" customWidth="1"/>
    <x:col min="5" max="5" width="68" hidden="0" customWidth="1"/>
    <x:col min="6" max="6" width="58" hidden="0" customWidth="1"/>
  </x:cols>
  <x:sheetData>
    <x:row r="1" ht="34" customHeight="1">
      <x:c r="A1" s="340" t="str">
        <x:v>Tassonomia tecnica armonizzata</x:v>
      </x:c>
      <x:c r="B1" s="340"/>
      <x:c r="C1" s="340"/>
      <x:c r="D1" s="340"/>
      <x:c r="E1" s="340"/>
      <x:c r="F1" s="340"/>
    </x:row>
    <x:row r="2" ht="30" customHeight="1">
      <x:c r="A2" s="344" t="str">
        <x:v>Mapping univoco delle tecnologie di fonte verso carrier e componenti PyPSA</x:v>
      </x:c>
      <x:c r="B2" s="344"/>
      <x:c r="C2" s="344"/>
      <x:c r="D2" s="344"/>
      <x:c r="E2" s="344"/>
      <x:c r="F2" s="344"/>
    </x:row>
    <x:row r="4" ht="42" customHeight="1">
      <x:c r="A4" s="348" t="str">
        <x:v>Tecnologia fonte</x:v>
      </x:c>
      <x:c r="B4" s="348" t="str">
        <x:v>Tecnologia standard</x:v>
      </x:c>
      <x:c r="C4" s="348" t="str">
        <x:v>Carrier</x:v>
      </x:c>
      <x:c r="D4" s="348" t="str">
        <x:v>Componente PyPSA</x:v>
      </x:c>
      <x:c r="E4" s="348" t="str">
        <x:v>Regola di aggregazione</x:v>
      </x:c>
      <x:c r="F4" s="348" t="str">
        <x:v>Note</x:v>
      </x:c>
    </x:row>
    <x:row r="5">
      <x:c r="A5" s="83" t="str">
        <x:v>Solare distribuito</x:v>
      </x:c>
      <x:c r="B5" s="83" t="str">
        <x:v>Solar rooftop/distributed</x:v>
      </x:c>
      <x:c r="C5" s="83" t="str">
        <x:v>solar-rooftop</x:v>
      </x:c>
      <x:c r="D5" s="83" t="str">
        <x:v>Generator</x:v>
      </x:c>
      <x:c r="E5" s="83" t="str">
        <x:v>Keep separate from utility PV; zonal direct in 2040.</x:v>
      </x:c>
      <x:c r="F5" s="83" t="str">
        <x:v>Behind-the-meter treatment must not double count demand reduction.</x:v>
      </x:c>
    </x:row>
    <x:row r="6">
      <x:c r="A6" s="83" t="str">
        <x:v>Solare utility</x:v>
      </x:c>
      <x:c r="B6" s="83" t="str">
        <x:v>Solar utility</x:v>
      </x:c>
      <x:c r="C6" s="83" t="str">
        <x:v>solar-utility</x:v>
      </x:c>
      <x:c r="D6" s="83" t="str">
        <x:v>Generator</x:v>
      </x:c>
      <x:c r="E6" s="83" t="str">
        <x:v>Zonal direct 2040; 2050 scaled from DE-IT shares.</x:v>
      </x:c>
      <x:c r="F6" s="83" t="str"/>
    </x:row>
    <x:row r="7">
      <x:c r="A7" s="83" t="str">
        <x:v>Eolico onshore</x:v>
      </x:c>
      <x:c r="B7" s="83" t="str">
        <x:v>Wind onshore</x:v>
      </x:c>
      <x:c r="C7" s="83" t="str">
        <x:v>onwind</x:v>
      </x:c>
      <x:c r="D7" s="83" t="str">
        <x:v>Generator</x:v>
      </x:c>
      <x:c r="E7" s="83" t="str">
        <x:v>Zonal direct 2040; 2050 scaled from DE-IT shares.</x:v>
      </x:c>
      <x:c r="F7" s="83" t="str"/>
    </x:row>
    <x:row r="8">
      <x:c r="A8" s="83" t="str">
        <x:v>Eolico offshore</x:v>
      </x:c>
      <x:c r="B8" s="83" t="str">
        <x:v>Wind offshore unspecified</x:v>
      </x:c>
      <x:c r="C8" s="83" t="str">
        <x:v>offwind</x:v>
      </x:c>
      <x:c r="D8" s="83" t="str">
        <x:v>Generator</x:v>
      </x:c>
      <x:c r="E8" s="83" t="str">
        <x:v>Retain generic carrier until fixed/floating and connection split is available.</x:v>
      </x:c>
      <x:c r="F8" s="83" t="str">
        <x:v>Do not assign all Italian offshore to one subtechnology without evidence.</x:v>
      </x:c>
    </x:row>
    <x:row r="9">
      <x:c r="A9" s="83" t="str">
        <x:v>Parco termoelettrico aggregato</x:v>
      </x:c>
      <x:c r="B9" s="83" t="str">
        <x:v>Thermal plant cohorts</x:v>
      </x:c>
      <x:c r="C9" s="83" t="str">
        <x:v>CCGT/OCGT/other</x:v>
      </x:c>
      <x:c r="D9" s="83" t="str">
        <x:v>Generator</x:v>
      </x:c>
      <x:c r="E9" s="83" t="str">
        <x:v>Use plant-level fleet; national 55 GW is a reconciliation envelope only.</x:v>
      </x:c>
      <x:c r="F9" s="83" t="str">
        <x:v>No generic 55 GW generator.</x:v>
      </x:c>
    </x:row>
    <x:row r="10">
      <x:c r="A10" s="83" t="str">
        <x:v>Gas naturale</x:v>
      </x:c>
      <x:c r="B10" s="83" t="str">
        <x:v>Natural gas carrier</x:v>
      </x:c>
      <x:c r="C10" s="83" t="str">
        <x:v>gas</x:v>
      </x:c>
      <x:c r="D10" s="83" t="str">
        <x:v>Carrier</x:v>
      </x:c>
      <x:c r="E10" s="83" t="str">
        <x:v>Scenario fuel price overrides generic technology-data fuel price for 2040.</x:v>
      </x:c>
      <x:c r="F10" s="83" t="str"/>
    </x:row>
    <x:row r="11">
      <x:c r="A11" s="83" t="str">
        <x:v>Altro non FER / programmabile</x:v>
      </x:c>
      <x:c r="B11" s="83" t="str">
        <x:v>Programmable portfolio</x:v>
      </x:c>
      <x:c r="C11" s="83" t="str">
        <x:v>multiple</x:v>
      </x:c>
      <x:c r="D11" s="83" t="str">
        <x:v>Generator portfolio</x:v>
      </x:c>
      <x:c r="E11" s="83" t="str">
        <x:v>Disaggregate into biomass, geothermal, gas/CCS, nuclear or other classes before run.</x:v>
      </x:c>
      <x:c r="F11" s="83" t="str">
        <x:v>Annual generation is QA, not a component.</x:v>
      </x:c>
    </x:row>
    <x:row r="12">
      <x:c r="A12" s="83" t="str">
        <x:v>Idroelettrico</x:v>
      </x:c>
      <x:c r="B12" s="83" t="str">
        <x:v>Run-of-river + reservoir hydro</x:v>
      </x:c>
      <x:c r="C12" s="83" t="str">
        <x:v>ror/hydro</x:v>
      </x:c>
      <x:c r="D12" s="83" t="str">
        <x:v>Generator / StorageUnit</x:v>
      </x:c>
      <x:c r="E12" s="83" t="str">
        <x:v>Preserve PyPSA-Eur plant geography and profiles; scale annual output/inflows to source QA.</x:v>
      </x:c>
      <x:c r="F12" s="83" t="str"/>
    </x:row>
    <x:row r="13">
      <x:c r="A13" s="83" t="str">
        <x:v>Pompaggi esistenti</x:v>
      </x:c>
      <x:c r="B13" s="83" t="str">
        <x:v>Pumped hydro</x:v>
      </x:c>
      <x:c r="C13" s="83" t="str">
        <x:v>PHS</x:v>
      </x:c>
      <x:c r="D13" s="83" t="str">
        <x:v>Store + Links</x:v>
      </x:c>
      <x:c r="E13" s="83" t="str">
        <x:v>53 GWh physical stock; 6.4 GW charge, 7.3 GW discharge.</x:v>
      </x:c>
      <x:c r="F13" s="83" t="str">
        <x:v>50 GWh DDS is reconciliation convention only.</x:v>
      </x:c>
    </x:row>
    <x:row r="14">
      <x:c r="A14" s="83" t="str">
        <x:v>Small Scale</x:v>
      </x:c>
      <x:c r="B14" s="83" t="str">
        <x:v>Battery small 2h + 4h</x:v>
      </x:c>
      <x:c r="C14" s="83" t="str">
        <x:v>battery</x:v>
      </x:c>
      <x:c r="D14" s="83" t="str">
        <x:v>Store + Links</x:v>
      </x:c>
      <x:c r="E14" s="83" t="str">
        <x:v>Proposed 2/3 energy in 2h and 1/3 in 4h.</x:v>
      </x:c>
      <x:c r="F14" s="83" t="str">
        <x:v>User approval required.</x:v>
      </x:c>
    </x:row>
    <x:row r="15">
      <x:c r="A15" s="83" t="str">
        <x:v>Utility Scale</x:v>
      </x:c>
      <x:c r="B15" s="83" t="str">
        <x:v>Battery utility 8h</x:v>
      </x:c>
      <x:c r="C15" s="83" t="str">
        <x:v>battery</x:v>
      </x:c>
      <x:c r="D15" s="83" t="str">
        <x:v>Store + Links</x:v>
      </x:c>
      <x:c r="E15" s="83" t="str">
        <x:v>Direct 8h class; p_nom=e_nom/8.</x:v>
      </x:c>
      <x:c r="F15" s="83" t="str"/>
    </x:row>
    <x:row r="16">
      <x:c r="A16" s="83" t="str">
        <x:v>CM</x:v>
      </x:c>
      <x:c r="B16" s="83" t="str">
        <x:v>Capacity Market battery 4h</x:v>
      </x:c>
      <x:c r="C16" s="83" t="str">
        <x:v>battery</x:v>
      </x:c>
      <x:c r="D16" s="83" t="str">
        <x:v>Store + Links</x:v>
      </x:c>
      <x:c r="E16" s="83" t="str">
        <x:v>Energy direct; provisional 4h duration.</x:v>
      </x:c>
      <x:c r="F16" s="83" t="str">
        <x:v>User approval required.</x:v>
      </x:c>
    </x:row>
    <x:row r="17">
      <x:c r="A17" s="83" t="str">
        <x:v>Accumuli elettrochimici 2050</x:v>
      </x:c>
      <x:c r="B17" s="83" t="str">
        <x:v>Battery portfolio</x:v>
      </x:c>
      <x:c r="C17" s="83" t="str">
        <x:v>battery</x:v>
      </x:c>
      <x:c r="D17" s="83" t="str">
        <x:v>Store + Links</x:v>
      </x:c>
      <x:c r="E17" s="83" t="str">
        <x:v>Zonal shares from DE-IT 2040 total BESS; power direct or inferred from 5.44h portfolio duration.</x:v>
      </x:c>
      <x:c r="F17" s="83" t="str"/>
    </x:row>
    <x:row r="18">
      <x:c r="A18" s="83" t="str">
        <x:v>Produzione H2 / Power-to-X</x:v>
      </x:c>
      <x:c r="B18" s="83" t="str">
        <x:v>Flexible electrolysis/P2X load</x:v>
      </x:c>
      <x:c r="C18" s="83" t="str">
        <x:v>H2 electrolysis</x:v>
      </x:c>
      <x:c r="D18" s="83" t="str">
        <x:v>Link or flexible Load</x:v>
      </x:c>
      <x:c r="E18" s="83" t="str">
        <x:v>Annual electricity target plus capacity/temporal flexibility constraints.</x:v>
      </x:c>
      <x:c r="F18" s="83" t="str">
        <x:v>Do not model as fully rigid without sensitivity.</x:v>
      </x:c>
    </x:row>
    <x:row r="19">
      <x:c r="A19" s="83" t="str">
        <x:v>Nucleare</x:v>
      </x:c>
      <x:c r="B19" s="83" t="str">
        <x:v>New nuclear / SMR portfolio</x:v>
      </x:c>
      <x:c r="C19" s="83" t="str">
        <x:v>nuclear</x:v>
      </x:c>
      <x:c r="D19" s="83" t="str">
        <x:v>Generator</x:v>
      </x:c>
      <x:c r="E19" s="83" t="str">
        <x:v>National capacity direct; siting and operational parameters separate.</x:v>
      </x:c>
      <x:c r="F19" s="83" t="str">
        <x:v>Sensitivity, not proposed base.</x:v>
      </x:c>
    </x:row>
    <x:row r="20">
      <x:c r="A20" s="83" t="str">
        <x:v>Interzonal NTC</x:v>
      </x:c>
      <x:c r="B20" s="83" t="str">
        <x:v>Directional market-transfer link</x:v>
      </x:c>
      <x:c r="C20" s="83" t="str">
        <x:v>electricity</x:v>
      </x:c>
      <x:c r="D20" s="83" t="str">
        <x:v>Link</x:v>
      </x:c>
      <x:c r="E20" s="83" t="str">
        <x:v>Two directed Links when asymmetric; p_nom_extendable=False.</x:v>
      </x:c>
      <x:c r="F20" s="83" t="str">
        <x:v>Do not use nominal cable rating.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7cc187b721a459f"/>
  </x:tableParts>
</x:worksheet>
</file>

<file path=xl/worksheets/sheet5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1" hidden="0" customWidth="1"/>
    <x:col min="4" max="4" width="32" hidden="0" customWidth="1"/>
    <x:col min="5" max="5" width="20" hidden="0" customWidth="1"/>
    <x:col min="6" max="6" width="40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4" hidden="0" customWidth="1"/>
    <x:col min="12" max="12" width="14" hidden="0" customWidth="1"/>
    <x:col min="13" max="13" width="58" hidden="0" customWidth="1"/>
    <x:col min="14" max="14" width="64" hidden="0" customWidth="1"/>
  </x:cols>
  <x:sheetData>
    <x:row r="1" ht="34" customHeight="1">
      <x:c r="A1" s="340" t="str">
        <x:v>Controlli di riconciliazione degli scenari</x:v>
      </x:c>
      <x:c r="B1" s="340"/>
      <x:c r="C1" s="340"/>
      <x:c r="D1" s="340"/>
      <x:c r="E1" s="340"/>
      <x:c r="F1" s="340"/>
      <x:c r="G1" s="340"/>
      <x:c r="H1" s="340"/>
      <x:c r="I1" s="340"/>
      <x:c r="J1" s="340"/>
      <x:c r="K1" s="340"/>
      <x:c r="L1" s="340"/>
      <x:c r="M1" s="340"/>
      <x:c r="N1" s="340"/>
    </x:row>
    <x:row r="2" ht="30" customHeight="1">
      <x:c r="A2" s="344" t="str">
        <x:v>63 controlli formula-driven: domanda, capacità, storage, rete, tassonomia, moneta, MACSE e bilancio PNIEC 2050</x:v>
      </x:c>
      <x:c r="B2" s="344"/>
      <x:c r="C2" s="344"/>
      <x:c r="D2" s="344"/>
      <x:c r="E2" s="344"/>
      <x:c r="F2" s="344"/>
      <x:c r="G2" s="344"/>
      <x:c r="H2" s="344"/>
      <x:c r="I2" s="344"/>
      <x:c r="J2" s="344"/>
      <x:c r="K2" s="344"/>
      <x:c r="L2" s="344"/>
      <x:c r="M2" s="344"/>
      <x:c r="N2" s="344"/>
    </x:row>
    <x:row r="4" ht="42" customHeight="1">
      <x:c r="A4" s="348" t="str">
        <x:v>Recon ID</x:v>
      </x:c>
      <x:c r="B4" s="348" t="str">
        <x:v>Scenario ID</x:v>
      </x:c>
      <x:c r="C4" s="348" t="str">
        <x:v>Anno</x:v>
      </x:c>
      <x:c r="D4" s="348" t="str">
        <x:v>Tipo controllo</x:v>
      </x:c>
      <x:c r="E4" s="348" t="str">
        <x:v>Categoria</x:v>
      </x:c>
      <x:c r="F4" s="348" t="str">
        <x:v>Metrica</x:v>
      </x:c>
      <x:c r="G4" s="348" t="str">
        <x:v>Atteso</x:v>
      </x:c>
      <x:c r="H4" s="348" t="str">
        <x:v>Calcolato</x:v>
      </x:c>
      <x:c r="I4" s="348" t="str">
        <x:v>Differenza</x:v>
      </x:c>
      <x:c r="J4" s="348" t="str">
        <x:v>Unità</x:v>
      </x:c>
      <x:c r="K4" s="348" t="str">
        <x:v>Tolleranza</x:v>
      </x:c>
      <x:c r="L4" s="348" t="str">
        <x:v>Stato</x:v>
      </x:c>
      <x:c r="M4" s="348" t="str">
        <x:v>Logica</x:v>
      </x:c>
      <x:c r="N4" s="348" t="str">
        <x:v>Note</x:v>
      </x:c>
    </x:row>
    <x:row r="5">
      <x:c r="A5" s="83" t="str">
        <x:v>R4-0001</x:v>
      </x:c>
      <x:c r="B5" s="83" t="str">
        <x:v>IT2040_BASE_DEIT</x:v>
      </x:c>
      <x:c r="C5" s="83" t="n">
        <x:v>2040</x:v>
      </x:c>
      <x:c r="D5" s="83" t="str">
        <x:v>Demand accounting</x:v>
      </x:c>
      <x:c r="E5" s="83" t="str">
        <x:v>Demand</x:v>
      </x:c>
      <x:c r="F5" s="83" t="str">
        <x:v>Rigid + P2X = total</x:v>
      </x:c>
      <x:c r="G5" s="349" t="n">
        <x:v>439</x:v>
      </x:c>
      <x:c r="H5" s="349" t="n">
        <x:f>SUMIFS('SCENARIO_2040'!$L:$L,'SCENARIO_2040'!$B:$B,$B5,'SCENARIO_2040'!$D:$D,"Demand",'SCENARIO_2040'!$M:$M,"TWh")+SUMIFS('SCENARIO_2040'!$L:$L,'SCENARIO_2040'!$B:$B,$B5,'SCENARIO_2040'!$D:$D,"Flexible demand",'SCENARIO_2040'!$M:$M,"TWh")</x:f>
        <x:v>439.5</x:v>
      </x:c>
      <x:c r="I5" s="349" t="n">
        <x:f>H5-G5</x:f>
        <x:v>0.5</x:v>
      </x:c>
      <x:c r="J5" s="349" t="str">
        <x:v>TWh</x:v>
      </x:c>
      <x:c r="K5" s="349" t="n">
        <x:v>1</x:v>
      </x:c>
      <x:c r="L5" s="83" t="str">
        <x:f>IF(ABS(I5)&lt;=K5,"PASS","REVIEW")</x:f>
        <x:v>PASS</x:v>
      </x:c>
      <x:c r="M5" s="83" t="str">
        <x:v>SUM rigid annual energy + P2X annual energy</x:v>
      </x:c>
      <x:c r="N5" s="83"/>
    </x:row>
    <x:row r="6">
      <x:c r="A6" s="83" t="str">
        <x:v>R4-0002</x:v>
      </x:c>
      <x:c r="B6" s="83" t="str">
        <x:v>IT2040_BASE_DEIT</x:v>
      </x:c>
      <x:c r="C6" s="83" t="n">
        <x:v>2040</x:v>
      </x:c>
      <x:c r="D6" s="83" t="str">
        <x:v>Zonal capacity sum</x:v>
      </x:c>
      <x:c r="E6" s="83" t="str">
        <x:v>Generation</x:v>
      </x:c>
      <x:c r="F6" s="83" t="str">
        <x:v>Solar rooftop/distributed</x:v>
      </x:c>
      <x:c r="G6" s="349" t="n">
        <x:v>41.7</x:v>
      </x:c>
      <x:c r="H6" s="349" t="n">
        <x:f>SUMIFS('SCENARIO_2040'!$L:$L,'SCENARIO_2040'!$B:$B,$B6,'SCENARIO_2040'!$D:$D,"Generation capacity",'SCENARIO_2040'!$H:$H,$F6)</x:f>
        <x:v>41.70000000000001</x:v>
      </x:c>
      <x:c r="I6" s="349" t="n">
        <x:f>H6-G6</x:f>
        <x:v>7.105427357601002e-15</x:v>
      </x:c>
      <x:c r="J6" s="349" t="str">
        <x:v>GW</x:v>
      </x:c>
      <x:c r="K6" s="349" t="n">
        <x:v>0.001</x:v>
      </x:c>
      <x:c r="L6" s="83" t="str">
        <x:f>IF(ABS(I6)&lt;=K6,"PASS","REVIEW")</x:f>
        <x:v>PASS</x:v>
      </x:c>
      <x:c r="M6" s="83" t="str">
        <x:v>SUMIFS scenario rows by standard technology</x:v>
      </x:c>
      <x:c r="N6" s="83"/>
    </x:row>
    <x:row r="7">
      <x:c r="A7" s="83" t="str">
        <x:v>R4-0003</x:v>
      </x:c>
      <x:c r="B7" s="83" t="str">
        <x:v>IT2040_BASE_DEIT</x:v>
      </x:c>
      <x:c r="C7" s="83" t="n">
        <x:v>2040</x:v>
      </x:c>
      <x:c r="D7" s="83" t="str">
        <x:v>Zonal capacity sum</x:v>
      </x:c>
      <x:c r="E7" s="83" t="str">
        <x:v>Generation</x:v>
      </x:c>
      <x:c r="F7" s="83" t="str">
        <x:v>Solar utility</x:v>
      </x:c>
      <x:c r="G7" s="349" t="n">
        <x:v>79.2</x:v>
      </x:c>
      <x:c r="H7" s="349" t="n">
        <x:f>SUMIFS('SCENARIO_2040'!$L:$L,'SCENARIO_2040'!$B:$B,$B7,'SCENARIO_2040'!$D:$D,"Generation capacity",'SCENARIO_2040'!$H:$H,$F7)</x:f>
        <x:v>79.2</x:v>
      </x:c>
      <x:c r="I7" s="349" t="n">
        <x:f>H7-G7</x:f>
        <x:v>0</x:v>
      </x:c>
      <x:c r="J7" s="349" t="str">
        <x:v>GW</x:v>
      </x:c>
      <x:c r="K7" s="349" t="n">
        <x:v>0.001</x:v>
      </x:c>
      <x:c r="L7" s="83" t="str">
        <x:f>IF(ABS(I7)&lt;=K7,"PASS","REVIEW")</x:f>
        <x:v>PASS</x:v>
      </x:c>
      <x:c r="M7" s="83" t="str">
        <x:v>SUMIFS scenario rows by standard technology</x:v>
      </x:c>
      <x:c r="N7" s="83"/>
    </x:row>
    <x:row r="8">
      <x:c r="A8" s="83" t="str">
        <x:v>R4-0004</x:v>
      </x:c>
      <x:c r="B8" s="83" t="str">
        <x:v>IT2040_BASE_DEIT</x:v>
      </x:c>
      <x:c r="C8" s="83" t="n">
        <x:v>2040</x:v>
      </x:c>
      <x:c r="D8" s="83" t="str">
        <x:v>Zonal capacity sum</x:v>
      </x:c>
      <x:c r="E8" s="83" t="str">
        <x:v>Generation</x:v>
      </x:c>
      <x:c r="F8" s="83" t="str">
        <x:v>Wind onshore</x:v>
      </x:c>
      <x:c r="G8" s="349" t="n">
        <x:v>34.1</x:v>
      </x:c>
      <x:c r="H8" s="349" t="n">
        <x:f>SUMIFS('SCENARIO_2040'!$L:$L,'SCENARIO_2040'!$B:$B,$B8,'SCENARIO_2040'!$D:$D,"Generation capacity",'SCENARIO_2040'!$H:$H,$F8)</x:f>
        <x:v>34.1</x:v>
      </x:c>
      <x:c r="I8" s="349" t="n">
        <x:f>H8-G8</x:f>
        <x:v>0</x:v>
      </x:c>
      <x:c r="J8" s="349" t="str">
        <x:v>GW</x:v>
      </x:c>
      <x:c r="K8" s="349" t="n">
        <x:v>0.001</x:v>
      </x:c>
      <x:c r="L8" s="83" t="str">
        <x:f>IF(ABS(I8)&lt;=K8,"PASS","REVIEW")</x:f>
        <x:v>PASS</x:v>
      </x:c>
      <x:c r="M8" s="83" t="str">
        <x:v>SUMIFS scenario rows by standard technology</x:v>
      </x:c>
      <x:c r="N8" s="83"/>
    </x:row>
    <x:row r="9">
      <x:c r="A9" s="83" t="str">
        <x:v>R4-0005</x:v>
      </x:c>
      <x:c r="B9" s="83" t="str">
        <x:v>IT2040_BASE_DEIT</x:v>
      </x:c>
      <x:c r="C9" s="83" t="n">
        <x:v>2040</x:v>
      </x:c>
      <x:c r="D9" s="83" t="str">
        <x:v>Zonal capacity sum</x:v>
      </x:c>
      <x:c r="E9" s="83" t="str">
        <x:v>Generation</x:v>
      </x:c>
      <x:c r="F9" s="83" t="str">
        <x:v>Wind offshore unspecified</x:v>
      </x:c>
      <x:c r="G9" s="349" t="n">
        <x:v>15.200000000000001</x:v>
      </x:c>
      <x:c r="H9" s="349" t="n">
        <x:f>SUMIFS('SCENARIO_2040'!$L:$L,'SCENARIO_2040'!$B:$B,$B9,'SCENARIO_2040'!$D:$D,"Generation capacity",'SCENARIO_2040'!$H:$H,$F9)</x:f>
        <x:v>15.2</x:v>
      </x:c>
      <x:c r="I9" s="349" t="n">
        <x:f>H9-G9</x:f>
        <x:v>-1.7763568394002505e-15</x:v>
      </x:c>
      <x:c r="J9" s="349" t="str">
        <x:v>GW</x:v>
      </x:c>
      <x:c r="K9" s="349" t="n">
        <x:v>0.001</x:v>
      </x:c>
      <x:c r="L9" s="83" t="str">
        <x:f>IF(ABS(I9)&lt;=K9,"PASS","REVIEW")</x:f>
        <x:v>PASS</x:v>
      </x:c>
      <x:c r="M9" s="83" t="str">
        <x:v>SUMIFS scenario rows by standard technology</x:v>
      </x:c>
      <x:c r="N9" s="83"/>
    </x:row>
    <x:row r="10">
      <x:c r="A10" s="83" t="str">
        <x:v>R4-0006</x:v>
      </x:c>
      <x:c r="B10" s="83" t="str">
        <x:v>IT2040_BASE_DEIT</x:v>
      </x:c>
      <x:c r="C10" s="83" t="n">
        <x:v>2040</x:v>
      </x:c>
      <x:c r="D10" s="83" t="str">
        <x:v>Storage energy sum</x:v>
      </x:c>
      <x:c r="E10" s="83" t="str">
        <x:v>Storage</x:v>
      </x:c>
      <x:c r="F10" s="83" t="str">
        <x:v>BESS energy excluding PHS</x:v>
      </x:c>
      <x:c r="G10" s="349" t="n">
        <x:v>166.5</x:v>
      </x:c>
      <x:c r="H10" s="349" t="n">
        <x:f>SUMIFS('SCENARIO_2040'!$L:$L,'SCENARIO_2040'!$B:$B,$B10,'SCENARIO_2040'!$D:$D,"Storage",'SCENARIO_2040'!$I:$I,"battery")</x:f>
        <x:v>166.4</x:v>
      </x:c>
      <x:c r="I10" s="349" t="n">
        <x:f>H10-G10</x:f>
        <x:v>-0.09999999999999432</x:v>
      </x:c>
      <x:c r="J10" s="349" t="str">
        <x:v>GWh</x:v>
      </x:c>
      <x:c r="K10" s="349" t="n">
        <x:v>0.21</x:v>
      </x:c>
      <x:c r="L10" s="83" t="str">
        <x:f>IF(ABS(I10)&lt;=K10,"PASS","REVIEW")</x:f>
        <x:v>PASS</x:v>
      </x:c>
      <x:c r="M10" s="83" t="str">
        <x:v>SUM BESS e_nom rows excluding PHS</x:v>
      </x:c>
      <x:c r="N10" s="83" t="str">
        <x:v>Small differences arise from one-decimal zonal source rounding.</x:v>
      </x:c>
    </x:row>
    <x:row r="11">
      <x:c r="A11" s="83" t="str">
        <x:v>R4-0007</x:v>
      </x:c>
      <x:c r="B11" s="83" t="str">
        <x:v>IT2040_BASE_DEIT</x:v>
      </x:c>
      <x:c r="C11" s="83" t="n">
        <x:v>2040</x:v>
      </x:c>
      <x:c r="D11" s="83" t="str">
        <x:v>Topology count</x:v>
      </x:c>
      <x:c r="E11" s="83" t="str">
        <x:v>Network</x:v>
      </x:c>
      <x:c r="F11" s="83" t="str">
        <x:v>Directional internal links</x:v>
      </x:c>
      <x:c r="G11" s="349" t="n">
        <x:v>24</x:v>
      </x:c>
      <x:c r="H11" s="349" t="n">
        <x:f>COUNTIFS('SCENARIO_2040'!$B:$B,$B11,'SCENARIO_2040'!$D:$D,"Transmission")</x:f>
        <x:v>24</x:v>
      </x:c>
      <x:c r="I11" s="349" t="n">
        <x:f>H11-G11</x:f>
        <x:v>0</x:v>
      </x:c>
      <x:c r="J11" s="349" t="str">
        <x:v>count</x:v>
      </x:c>
      <x:c r="K11" s="349" t="n">
        <x:v>0</x:v>
      </x:c>
      <x:c r="L11" s="83" t="str">
        <x:f>IF(ABS(I11)&lt;=K11,"PASS","REVIEW")</x:f>
        <x:v>PASS</x:v>
      </x:c>
      <x:c r="M11" s="83" t="str">
        <x:v>COUNTIFS Transmission rows</x:v>
      </x:c>
      <x:c r="N11" s="83"/>
    </x:row>
    <x:row r="12">
      <x:c r="A12" s="83" t="str">
        <x:v>R4-0008</x:v>
      </x:c>
      <x:c r="B12" s="83" t="str">
        <x:v>IT2040_BASE_DEIT</x:v>
      </x:c>
      <x:c r="C12" s="83" t="n">
        <x:v>2040</x:v>
      </x:c>
      <x:c r="D12" s="83" t="str">
        <x:v>Monetary conversion</x:v>
      </x:c>
      <x:c r="E12" s="83" t="str">
        <x:v>Fuel</x:v>
      </x:c>
      <x:c r="F12" s="83" t="str">
        <x:v>Gas EUR2025</x:v>
      </x:c>
      <x:c r="G12" s="349" t="n">
        <x:v>38.0563456</x:v>
      </x:c>
      <x:c r="H12" s="349" t="n">
        <x:f>SUMIFS('SCENARIO_2040'!$R:$R,'SCENARIO_2040'!$B:$B,$B12,'SCENARIO_2040'!$D:$D,"Fuel and CO2",'SCENARIO_2040'!$H:$H,"Natural gas fuel price")</x:f>
        <x:v>38.0563456</x:v>
      </x:c>
      <x:c r="I12" s="349" t="n">
        <x:f>H12-G12</x:f>
        <x:v>0</x:v>
      </x:c>
      <x:c r="J12" s="349" t="str">
        <x:v>EUR2025/MWh_th</x:v>
      </x:c>
      <x:c r="K12" s="349" t="n">
        <x:v>0.001</x:v>
      </x:c>
      <x:c r="L12" s="83" t="str">
        <x:f>IF(ABS(I12)&lt;=K12,"PASS","REVIEW")</x:f>
        <x:v>PASS</x:v>
      </x:c>
      <x:c r="M12" s="83" t="str">
        <x:v>36.4 EUR2023 × deflator</x:v>
      </x:c>
      <x:c r="N12" s="83"/>
    </x:row>
    <x:row r="13">
      <x:c r="A13" s="83" t="str">
        <x:v>R4-0009</x:v>
      </x:c>
      <x:c r="B13" s="83" t="str">
        <x:v>IT2040_ALT_GAIT</x:v>
      </x:c>
      <x:c r="C13" s="83" t="n">
        <x:v>2040</x:v>
      </x:c>
      <x:c r="D13" s="83" t="str">
        <x:v>Demand accounting</x:v>
      </x:c>
      <x:c r="E13" s="83" t="str">
        <x:v>Demand</x:v>
      </x:c>
      <x:c r="F13" s="83" t="str">
        <x:v>Rigid + P2X = total</x:v>
      </x:c>
      <x:c r="G13" s="349" t="n">
        <x:v>415.2</x:v>
      </x:c>
      <x:c r="H13" s="349" t="n">
        <x:f>SUMIFS('SCENARIO_2040'!$L:$L,'SCENARIO_2040'!$B:$B,$B13,'SCENARIO_2040'!$D:$D,"Demand",'SCENARIO_2040'!$M:$M,"TWh")+SUMIFS('SCENARIO_2040'!$L:$L,'SCENARIO_2040'!$B:$B,$B13,'SCENARIO_2040'!$D:$D,"Flexible demand",'SCENARIO_2040'!$M:$M,"TWh")</x:f>
        <x:v>415.5</x:v>
      </x:c>
      <x:c r="I13" s="349" t="n">
        <x:f>H13-G13</x:f>
        <x:v>0.30000000000001137</x:v>
      </x:c>
      <x:c r="J13" s="349" t="str">
        <x:v>TWh</x:v>
      </x:c>
      <x:c r="K13" s="349" t="n">
        <x:v>1</x:v>
      </x:c>
      <x:c r="L13" s="83" t="str">
        <x:f>IF(ABS(I13)&lt;=K13,"PASS","REVIEW")</x:f>
        <x:v>PASS</x:v>
      </x:c>
      <x:c r="M13" s="83" t="str">
        <x:v>SUM rigid annual energy + P2X annual energy</x:v>
      </x:c>
      <x:c r="N13" s="83"/>
    </x:row>
    <x:row r="14">
      <x:c r="A14" s="83" t="str">
        <x:v>R4-0010</x:v>
      </x:c>
      <x:c r="B14" s="83" t="str">
        <x:v>IT2040_ALT_GAIT</x:v>
      </x:c>
      <x:c r="C14" s="83" t="n">
        <x:v>2040</x:v>
      </x:c>
      <x:c r="D14" s="83" t="str">
        <x:v>Zonal capacity sum</x:v>
      </x:c>
      <x:c r="E14" s="83" t="str">
        <x:v>Generation</x:v>
      </x:c>
      <x:c r="F14" s="83" t="str">
        <x:v>Solar rooftop/distributed</x:v>
      </x:c>
      <x:c r="G14" s="349" t="n">
        <x:v>42.4</x:v>
      </x:c>
      <x:c r="H14" s="349" t="n">
        <x:f>SUMIFS('SCENARIO_2040'!$L:$L,'SCENARIO_2040'!$B:$B,$B14,'SCENARIO_2040'!$D:$D,"Generation capacity",'SCENARIO_2040'!$H:$H,$F14)</x:f>
        <x:v>42.400000000000006</x:v>
      </x:c>
      <x:c r="I14" s="349" t="n">
        <x:f>H14-G14</x:f>
        <x:v>7.105427357601002e-15</x:v>
      </x:c>
      <x:c r="J14" s="349" t="str">
        <x:v>GW</x:v>
      </x:c>
      <x:c r="K14" s="349" t="n">
        <x:v>0.001</x:v>
      </x:c>
      <x:c r="L14" s="83" t="str">
        <x:f>IF(ABS(I14)&lt;=K14,"PASS","REVIEW")</x:f>
        <x:v>PASS</x:v>
      </x:c>
      <x:c r="M14" s="83" t="str">
        <x:v>SUMIFS scenario rows by standard technology</x:v>
      </x:c>
      <x:c r="N14" s="83"/>
    </x:row>
    <x:row r="15">
      <x:c r="A15" s="83" t="str">
        <x:v>R4-0011</x:v>
      </x:c>
      <x:c r="B15" s="83" t="str">
        <x:v>IT2040_ALT_GAIT</x:v>
      </x:c>
      <x:c r="C15" s="83" t="n">
        <x:v>2040</x:v>
      </x:c>
      <x:c r="D15" s="83" t="str">
        <x:v>Zonal capacity sum</x:v>
      </x:c>
      <x:c r="E15" s="83" t="str">
        <x:v>Generation</x:v>
      </x:c>
      <x:c r="F15" s="83" t="str">
        <x:v>Solar utility</x:v>
      </x:c>
      <x:c r="G15" s="349" t="n">
        <x:v>68.7</x:v>
      </x:c>
      <x:c r="H15" s="349" t="n">
        <x:f>SUMIFS('SCENARIO_2040'!$L:$L,'SCENARIO_2040'!$B:$B,$B15,'SCENARIO_2040'!$D:$D,"Generation capacity",'SCENARIO_2040'!$H:$H,$F15)</x:f>
        <x:v>68.7</x:v>
      </x:c>
      <x:c r="I15" s="349" t="n">
        <x:f>H15-G15</x:f>
        <x:v>0</x:v>
      </x:c>
      <x:c r="J15" s="349" t="str">
        <x:v>GW</x:v>
      </x:c>
      <x:c r="K15" s="349" t="n">
        <x:v>0.001</x:v>
      </x:c>
      <x:c r="L15" s="83" t="str">
        <x:f>IF(ABS(I15)&lt;=K15,"PASS","REVIEW")</x:f>
        <x:v>PASS</x:v>
      </x:c>
      <x:c r="M15" s="83" t="str">
        <x:v>SUMIFS scenario rows by standard technology</x:v>
      </x:c>
      <x:c r="N15" s="83"/>
    </x:row>
    <x:row r="16">
      <x:c r="A16" s="83" t="str">
        <x:v>R4-0012</x:v>
      </x:c>
      <x:c r="B16" s="83" t="str">
        <x:v>IT2040_ALT_GAIT</x:v>
      </x:c>
      <x:c r="C16" s="83" t="n">
        <x:v>2040</x:v>
      </x:c>
      <x:c r="D16" s="83" t="str">
        <x:v>Zonal capacity sum</x:v>
      </x:c>
      <x:c r="E16" s="83" t="str">
        <x:v>Generation</x:v>
      </x:c>
      <x:c r="F16" s="83" t="str">
        <x:v>Wind onshore</x:v>
      </x:c>
      <x:c r="G16" s="349" t="n">
        <x:v>30.9</x:v>
      </x:c>
      <x:c r="H16" s="349" t="n">
        <x:f>SUMIFS('SCENARIO_2040'!$L:$L,'SCENARIO_2040'!$B:$B,$B16,'SCENARIO_2040'!$D:$D,"Generation capacity",'SCENARIO_2040'!$H:$H,$F16)</x:f>
        <x:v>30.900000000000002</x:v>
      </x:c>
      <x:c r="I16" s="349" t="n">
        <x:f>H16-G16</x:f>
        <x:v>3.552713678800501e-15</x:v>
      </x:c>
      <x:c r="J16" s="349" t="str">
        <x:v>GW</x:v>
      </x:c>
      <x:c r="K16" s="349" t="n">
        <x:v>0.001</x:v>
      </x:c>
      <x:c r="L16" s="83" t="str">
        <x:f>IF(ABS(I16)&lt;=K16,"PASS","REVIEW")</x:f>
        <x:v>PASS</x:v>
      </x:c>
      <x:c r="M16" s="83" t="str">
        <x:v>SUMIFS scenario rows by standard technology</x:v>
      </x:c>
      <x:c r="N16" s="83"/>
    </x:row>
    <x:row r="17">
      <x:c r="A17" s="83" t="str">
        <x:v>R4-0013</x:v>
      </x:c>
      <x:c r="B17" s="83" t="str">
        <x:v>IT2040_ALT_GAIT</x:v>
      </x:c>
      <x:c r="C17" s="83" t="n">
        <x:v>2040</x:v>
      </x:c>
      <x:c r="D17" s="83" t="str">
        <x:v>Zonal capacity sum</x:v>
      </x:c>
      <x:c r="E17" s="83" t="str">
        <x:v>Generation</x:v>
      </x:c>
      <x:c r="F17" s="83" t="str">
        <x:v>Wind offshore unspecified</x:v>
      </x:c>
      <x:c r="G17" s="349" t="n">
        <x:v>12.1</x:v>
      </x:c>
      <x:c r="H17" s="349" t="n">
        <x:f>SUMIFS('SCENARIO_2040'!$L:$L,'SCENARIO_2040'!$B:$B,$B17,'SCENARIO_2040'!$D:$D,"Generation capacity",'SCENARIO_2040'!$H:$H,$F17)</x:f>
        <x:v>12.100000000000001</x:v>
      </x:c>
      <x:c r="I17" s="349" t="n">
        <x:f>H17-G17</x:f>
        <x:v>1.7763568394002505e-15</x:v>
      </x:c>
      <x:c r="J17" s="349" t="str">
        <x:v>GW</x:v>
      </x:c>
      <x:c r="K17" s="349" t="n">
        <x:v>0.001</x:v>
      </x:c>
      <x:c r="L17" s="83" t="str">
        <x:f>IF(ABS(I17)&lt;=K17,"PASS","REVIEW")</x:f>
        <x:v>PASS</x:v>
      </x:c>
      <x:c r="M17" s="83" t="str">
        <x:v>SUMIFS scenario rows by standard technology</x:v>
      </x:c>
      <x:c r="N17" s="83"/>
    </x:row>
    <x:row r="18">
      <x:c r="A18" s="83" t="str">
        <x:v>R4-0014</x:v>
      </x:c>
      <x:c r="B18" s="83" t="str">
        <x:v>IT2040_ALT_GAIT</x:v>
      </x:c>
      <x:c r="C18" s="83" t="n">
        <x:v>2040</x:v>
      </x:c>
      <x:c r="D18" s="83" t="str">
        <x:v>Storage energy sum</x:v>
      </x:c>
      <x:c r="E18" s="83" t="str">
        <x:v>Storage</x:v>
      </x:c>
      <x:c r="F18" s="83" t="str">
        <x:v>BESS energy excluding PHS</x:v>
      </x:c>
      <x:c r="G18" s="349" t="n">
        <x:v>133.6</x:v>
      </x:c>
      <x:c r="H18" s="349" t="n">
        <x:f>SUMIFS('SCENARIO_2040'!$L:$L,'SCENARIO_2040'!$B:$B,$B18,'SCENARIO_2040'!$D:$D,"Storage",'SCENARIO_2040'!$I:$I,"battery")</x:f>
        <x:v>133.69999999999996</x:v>
      </x:c>
      <x:c r="I18" s="349" t="n">
        <x:f>H18-G18</x:f>
        <x:v>0.0999999999999659</x:v>
      </x:c>
      <x:c r="J18" s="349" t="str">
        <x:v>GWh</x:v>
      </x:c>
      <x:c r="K18" s="349" t="n">
        <x:v>0.21</x:v>
      </x:c>
      <x:c r="L18" s="83" t="str">
        <x:f>IF(ABS(I18)&lt;=K18,"PASS","REVIEW")</x:f>
        <x:v>PASS</x:v>
      </x:c>
      <x:c r="M18" s="83" t="str">
        <x:v>SUM BESS e_nom rows excluding PHS</x:v>
      </x:c>
      <x:c r="N18" s="83" t="str">
        <x:v>Small differences arise from one-decimal zonal source rounding.</x:v>
      </x:c>
    </x:row>
    <x:row r="19">
      <x:c r="A19" s="83" t="str">
        <x:v>R4-0015</x:v>
      </x:c>
      <x:c r="B19" s="83" t="str">
        <x:v>IT2040_ALT_GAIT</x:v>
      </x:c>
      <x:c r="C19" s="83" t="n">
        <x:v>2040</x:v>
      </x:c>
      <x:c r="D19" s="83" t="str">
        <x:v>Topology count</x:v>
      </x:c>
      <x:c r="E19" s="83" t="str">
        <x:v>Network</x:v>
      </x:c>
      <x:c r="F19" s="83" t="str">
        <x:v>Directional internal links</x:v>
      </x:c>
      <x:c r="G19" s="349" t="n">
        <x:v>24</x:v>
      </x:c>
      <x:c r="H19" s="349" t="n">
        <x:f>COUNTIFS('SCENARIO_2040'!$B:$B,$B19,'SCENARIO_2040'!$D:$D,"Transmission")</x:f>
        <x:v>24</x:v>
      </x:c>
      <x:c r="I19" s="349" t="n">
        <x:f>H19-G19</x:f>
        <x:v>0</x:v>
      </x:c>
      <x:c r="J19" s="349" t="str">
        <x:v>count</x:v>
      </x:c>
      <x:c r="K19" s="349" t="n">
        <x:v>0</x:v>
      </x:c>
      <x:c r="L19" s="83" t="str">
        <x:f>IF(ABS(I19)&lt;=K19,"PASS","REVIEW")</x:f>
        <x:v>PASS</x:v>
      </x:c>
      <x:c r="M19" s="83" t="str">
        <x:v>COUNTIFS Transmission rows</x:v>
      </x:c>
      <x:c r="N19" s="83"/>
    </x:row>
    <x:row r="20">
      <x:c r="A20" s="83" t="str">
        <x:v>R4-0016</x:v>
      </x:c>
      <x:c r="B20" s="83" t="str">
        <x:v>IT2040_ALT_GAIT</x:v>
      </x:c>
      <x:c r="C20" s="83" t="n">
        <x:v>2040</x:v>
      </x:c>
      <x:c r="D20" s="83" t="str">
        <x:v>Monetary conversion</x:v>
      </x:c>
      <x:c r="E20" s="83" t="str">
        <x:v>Fuel</x:v>
      </x:c>
      <x:c r="F20" s="83" t="str">
        <x:v>Gas EUR2025</x:v>
      </x:c>
      <x:c r="G20" s="349" t="n">
        <x:v>38.0563456</x:v>
      </x:c>
      <x:c r="H20" s="349" t="n">
        <x:f>SUMIFS('SCENARIO_2040'!$R:$R,'SCENARIO_2040'!$B:$B,$B20,'SCENARIO_2040'!$D:$D,"Fuel and CO2",'SCENARIO_2040'!$H:$H,"Natural gas fuel price")</x:f>
        <x:v>38.0563456</x:v>
      </x:c>
      <x:c r="I20" s="349" t="n">
        <x:f>H20-G20</x:f>
        <x:v>0</x:v>
      </x:c>
      <x:c r="J20" s="349" t="str">
        <x:v>EUR2025/MWh_th</x:v>
      </x:c>
      <x:c r="K20" s="349" t="n">
        <x:v>0.001</x:v>
      </x:c>
      <x:c r="L20" s="83" t="str">
        <x:f>IF(ABS(I20)&lt;=K20,"PASS","REVIEW")</x:f>
        <x:v>PASS</x:v>
      </x:c>
      <x:c r="M20" s="83" t="str">
        <x:v>36.4 EUR2023 × deflator</x:v>
      </x:c>
      <x:c r="N20" s="83"/>
    </x:row>
    <x:row r="21">
      <x:c r="A21" s="83" t="str">
        <x:v>R4-0017</x:v>
      </x:c>
      <x:c r="B21" s="83" t="str">
        <x:v>IT2040_ALT_SLOW</x:v>
      </x:c>
      <x:c r="C21" s="83" t="n">
        <x:v>2040</x:v>
      </x:c>
      <x:c r="D21" s="83" t="str">
        <x:v>Demand accounting</x:v>
      </x:c>
      <x:c r="E21" s="83" t="str">
        <x:v>Demand</x:v>
      </x:c>
      <x:c r="F21" s="83" t="str">
        <x:v>Rigid + P2X = total</x:v>
      </x:c>
      <x:c r="G21" s="349" t="n">
        <x:v>404.4</x:v>
      </x:c>
      <x:c r="H21" s="349" t="n">
        <x:f>SUMIFS('SCENARIO_2040'!$L:$L,'SCENARIO_2040'!$B:$B,$B21,'SCENARIO_2040'!$D:$D,"Demand",'SCENARIO_2040'!$M:$M,"TWh")+SUMIFS('SCENARIO_2040'!$L:$L,'SCENARIO_2040'!$B:$B,$B21,'SCENARIO_2040'!$D:$D,"Flexible demand",'SCENARIO_2040'!$M:$M,"TWh")</x:f>
        <x:v>404.8</x:v>
      </x:c>
      <x:c r="I21" s="349" t="n">
        <x:f>H21-G21</x:f>
        <x:v>0.4000000000000341</x:v>
      </x:c>
      <x:c r="J21" s="349" t="str">
        <x:v>TWh</x:v>
      </x:c>
      <x:c r="K21" s="349" t="n">
        <x:v>1</x:v>
      </x:c>
      <x:c r="L21" s="83" t="str">
        <x:f>IF(ABS(I21)&lt;=K21,"PASS","REVIEW")</x:f>
        <x:v>PASS</x:v>
      </x:c>
      <x:c r="M21" s="83" t="str">
        <x:v>SUM rigid annual energy + P2X annual energy</x:v>
      </x:c>
      <x:c r="N21" s="83"/>
    </x:row>
    <x:row r="22">
      <x:c r="A22" s="83" t="str">
        <x:v>R4-0018</x:v>
      </x:c>
      <x:c r="B22" s="83" t="str">
        <x:v>IT2040_ALT_SLOW</x:v>
      </x:c>
      <x:c r="C22" s="83" t="n">
        <x:v>2040</x:v>
      </x:c>
      <x:c r="D22" s="83" t="str">
        <x:v>Zonal capacity sum</x:v>
      </x:c>
      <x:c r="E22" s="83" t="str">
        <x:v>Generation</x:v>
      </x:c>
      <x:c r="F22" s="83" t="str">
        <x:v>Solar rooftop/distributed</x:v>
      </x:c>
      <x:c r="G22" s="349" t="n">
        <x:v>39.2</x:v>
      </x:c>
      <x:c r="H22" s="349" t="n">
        <x:f>SUMIFS('SCENARIO_2040'!$L:$L,'SCENARIO_2040'!$B:$B,$B22,'SCENARIO_2040'!$D:$D,"Generation capacity",'SCENARIO_2040'!$H:$H,$F22)</x:f>
        <x:v>39.20000000000001</x:v>
      </x:c>
      <x:c r="I22" s="349" t="n">
        <x:f>H22-G22</x:f>
        <x:v>7.105427357601002e-15</x:v>
      </x:c>
      <x:c r="J22" s="349" t="str">
        <x:v>GW</x:v>
      </x:c>
      <x:c r="K22" s="349" t="n">
        <x:v>0.001</x:v>
      </x:c>
      <x:c r="L22" s="83" t="str">
        <x:f>IF(ABS(I22)&lt;=K22,"PASS","REVIEW")</x:f>
        <x:v>PASS</x:v>
      </x:c>
      <x:c r="M22" s="83" t="str">
        <x:v>SUMIFS scenario rows by standard technology</x:v>
      </x:c>
      <x:c r="N22" s="83"/>
    </x:row>
    <x:row r="23">
      <x:c r="A23" s="83" t="str">
        <x:v>R4-0019</x:v>
      </x:c>
      <x:c r="B23" s="83" t="str">
        <x:v>IT2040_ALT_SLOW</x:v>
      </x:c>
      <x:c r="C23" s="83" t="n">
        <x:v>2040</x:v>
      </x:c>
      <x:c r="D23" s="83" t="str">
        <x:v>Zonal capacity sum</x:v>
      </x:c>
      <x:c r="E23" s="83" t="str">
        <x:v>Generation</x:v>
      </x:c>
      <x:c r="F23" s="83" t="str">
        <x:v>Solar utility</x:v>
      </x:c>
      <x:c r="G23" s="349" t="n">
        <x:v>66</x:v>
      </x:c>
      <x:c r="H23" s="349" t="n">
        <x:f>SUMIFS('SCENARIO_2040'!$L:$L,'SCENARIO_2040'!$B:$B,$B23,'SCENARIO_2040'!$D:$D,"Generation capacity",'SCENARIO_2040'!$H:$H,$F23)</x:f>
        <x:v>66</x:v>
      </x:c>
      <x:c r="I23" s="349" t="n">
        <x:f>H23-G23</x:f>
        <x:v>0</x:v>
      </x:c>
      <x:c r="J23" s="349" t="str">
        <x:v>GW</x:v>
      </x:c>
      <x:c r="K23" s="349" t="n">
        <x:v>0.001</x:v>
      </x:c>
      <x:c r="L23" s="83" t="str">
        <x:f>IF(ABS(I23)&lt;=K23,"PASS","REVIEW")</x:f>
        <x:v>PASS</x:v>
      </x:c>
      <x:c r="M23" s="83" t="str">
        <x:v>SUMIFS scenario rows by standard technology</x:v>
      </x:c>
      <x:c r="N23" s="83"/>
    </x:row>
    <x:row r="24">
      <x:c r="A24" s="83" t="str">
        <x:v>R4-0020</x:v>
      </x:c>
      <x:c r="B24" s="83" t="str">
        <x:v>IT2040_ALT_SLOW</x:v>
      </x:c>
      <x:c r="C24" s="83" t="n">
        <x:v>2040</x:v>
      </x:c>
      <x:c r="D24" s="83" t="str">
        <x:v>Zonal capacity sum</x:v>
      </x:c>
      <x:c r="E24" s="83" t="str">
        <x:v>Generation</x:v>
      </x:c>
      <x:c r="F24" s="83" t="str">
        <x:v>Wind onshore</x:v>
      </x:c>
      <x:c r="G24" s="349" t="n">
        <x:v>29</x:v>
      </x:c>
      <x:c r="H24" s="349" t="n">
        <x:f>SUMIFS('SCENARIO_2040'!$L:$L,'SCENARIO_2040'!$B:$B,$B24,'SCENARIO_2040'!$D:$D,"Generation capacity",'SCENARIO_2040'!$H:$H,$F24)</x:f>
        <x:v>29</x:v>
      </x:c>
      <x:c r="I24" s="349" t="n">
        <x:f>H24-G24</x:f>
        <x:v>0</x:v>
      </x:c>
      <x:c r="J24" s="349" t="str">
        <x:v>GW</x:v>
      </x:c>
      <x:c r="K24" s="349" t="n">
        <x:v>0.001</x:v>
      </x:c>
      <x:c r="L24" s="83" t="str">
        <x:f>IF(ABS(I24)&lt;=K24,"PASS","REVIEW")</x:f>
        <x:v>PASS</x:v>
      </x:c>
      <x:c r="M24" s="83" t="str">
        <x:v>SUMIFS scenario rows by standard technology</x:v>
      </x:c>
      <x:c r="N24" s="83"/>
    </x:row>
    <x:row r="25">
      <x:c r="A25" s="83" t="str">
        <x:v>R4-0021</x:v>
      </x:c>
      <x:c r="B25" s="83" t="str">
        <x:v>IT2040_ALT_SLOW</x:v>
      </x:c>
      <x:c r="C25" s="83" t="n">
        <x:v>2040</x:v>
      </x:c>
      <x:c r="D25" s="83" t="str">
        <x:v>Zonal capacity sum</x:v>
      </x:c>
      <x:c r="E25" s="83" t="str">
        <x:v>Generation</x:v>
      </x:c>
      <x:c r="F25" s="83" t="str">
        <x:v>Wind offshore unspecified</x:v>
      </x:c>
      <x:c r="G25" s="349" t="n">
        <x:v>10.1</x:v>
      </x:c>
      <x:c r="H25" s="349" t="n">
        <x:f>SUMIFS('SCENARIO_2040'!$L:$L,'SCENARIO_2040'!$B:$B,$B25,'SCENARIO_2040'!$D:$D,"Generation capacity",'SCENARIO_2040'!$H:$H,$F25)</x:f>
        <x:v>10.100000000000001</x:v>
      </x:c>
      <x:c r="I25" s="349" t="n">
        <x:f>H25-G25</x:f>
        <x:v>1.7763568394002505e-15</x:v>
      </x:c>
      <x:c r="J25" s="349" t="str">
        <x:v>GW</x:v>
      </x:c>
      <x:c r="K25" s="349" t="n">
        <x:v>0.001</x:v>
      </x:c>
      <x:c r="L25" s="83" t="str">
        <x:f>IF(ABS(I25)&lt;=K25,"PASS","REVIEW")</x:f>
        <x:v>PASS</x:v>
      </x:c>
      <x:c r="M25" s="83" t="str">
        <x:v>SUMIFS scenario rows by standard technology</x:v>
      </x:c>
      <x:c r="N25" s="83"/>
    </x:row>
    <x:row r="26">
      <x:c r="A26" s="83" t="str">
        <x:v>R4-0022</x:v>
      </x:c>
      <x:c r="B26" s="83" t="str">
        <x:v>IT2040_ALT_SLOW</x:v>
      </x:c>
      <x:c r="C26" s="83" t="n">
        <x:v>2040</x:v>
      </x:c>
      <x:c r="D26" s="83" t="str">
        <x:v>Storage energy sum</x:v>
      </x:c>
      <x:c r="E26" s="83" t="str">
        <x:v>Storage</x:v>
      </x:c>
      <x:c r="F26" s="83" t="str">
        <x:v>BESS energy excluding PHS</x:v>
      </x:c>
      <x:c r="G26" s="349" t="n">
        <x:v>117</x:v>
      </x:c>
      <x:c r="H26" s="349" t="n">
        <x:f>SUMIFS('SCENARIO_2040'!$L:$L,'SCENARIO_2040'!$B:$B,$B26,'SCENARIO_2040'!$D:$D,"Storage",'SCENARIO_2040'!$I:$I,"battery")</x:f>
        <x:v>116.8</x:v>
      </x:c>
      <x:c r="I26" s="349" t="n">
        <x:f>H26-G26</x:f>
        <x:v>-0.20000000000000284</x:v>
      </x:c>
      <x:c r="J26" s="349" t="str">
        <x:v>GWh</x:v>
      </x:c>
      <x:c r="K26" s="349" t="n">
        <x:v>0.21</x:v>
      </x:c>
      <x:c r="L26" s="83" t="str">
        <x:f>IF(ABS(I26)&lt;=K26,"PASS","REVIEW")</x:f>
        <x:v>PASS</x:v>
      </x:c>
      <x:c r="M26" s="83" t="str">
        <x:v>SUM BESS e_nom rows excluding PHS</x:v>
      </x:c>
      <x:c r="N26" s="83" t="str">
        <x:v>Small differences arise from one-decimal zonal source rounding.</x:v>
      </x:c>
    </x:row>
    <x:row r="27">
      <x:c r="A27" s="83" t="str">
        <x:v>R4-0023</x:v>
      </x:c>
      <x:c r="B27" s="83" t="str">
        <x:v>IT2040_ALT_SLOW</x:v>
      </x:c>
      <x:c r="C27" s="83" t="n">
        <x:v>2040</x:v>
      </x:c>
      <x:c r="D27" s="83" t="str">
        <x:v>Topology count</x:v>
      </x:c>
      <x:c r="E27" s="83" t="str">
        <x:v>Network</x:v>
      </x:c>
      <x:c r="F27" s="83" t="str">
        <x:v>Directional internal links</x:v>
      </x:c>
      <x:c r="G27" s="349" t="n">
        <x:v>24</x:v>
      </x:c>
      <x:c r="H27" s="349" t="n">
        <x:f>COUNTIFS('SCENARIO_2040'!$B:$B,$B27,'SCENARIO_2040'!$D:$D,"Transmission")</x:f>
        <x:v>24</x:v>
      </x:c>
      <x:c r="I27" s="349" t="n">
        <x:f>H27-G27</x:f>
        <x:v>0</x:v>
      </x:c>
      <x:c r="J27" s="349" t="str">
        <x:v>count</x:v>
      </x:c>
      <x:c r="K27" s="349" t="n">
        <x:v>0</x:v>
      </x:c>
      <x:c r="L27" s="83" t="str">
        <x:f>IF(ABS(I27)&lt;=K27,"PASS","REVIEW")</x:f>
        <x:v>PASS</x:v>
      </x:c>
      <x:c r="M27" s="83" t="str">
        <x:v>COUNTIFS Transmission rows</x:v>
      </x:c>
      <x:c r="N27" s="83"/>
    </x:row>
    <x:row r="28">
      <x:c r="A28" s="83" t="str">
        <x:v>R4-0024</x:v>
      </x:c>
      <x:c r="B28" s="83" t="str">
        <x:v>IT2040_ALT_SLOW</x:v>
      </x:c>
      <x:c r="C28" s="83" t="n">
        <x:v>2040</x:v>
      </x:c>
      <x:c r="D28" s="83" t="str">
        <x:v>Monetary conversion</x:v>
      </x:c>
      <x:c r="E28" s="83" t="str">
        <x:v>Fuel</x:v>
      </x:c>
      <x:c r="F28" s="83" t="str">
        <x:v>Gas EUR2025</x:v>
      </x:c>
      <x:c r="G28" s="349" t="n">
        <x:v>38.0563456</x:v>
      </x:c>
      <x:c r="H28" s="349" t="n">
        <x:f>SUMIFS('SCENARIO_2040'!$R:$R,'SCENARIO_2040'!$B:$B,$B28,'SCENARIO_2040'!$D:$D,"Fuel and CO2",'SCENARIO_2040'!$H:$H,"Natural gas fuel price")</x:f>
        <x:v>38.0563456</x:v>
      </x:c>
      <x:c r="I28" s="349" t="n">
        <x:f>H28-G28</x:f>
        <x:v>0</x:v>
      </x:c>
      <x:c r="J28" s="349" t="str">
        <x:v>EUR2025/MWh_th</x:v>
      </x:c>
      <x:c r="K28" s="349" t="n">
        <x:v>0.001</x:v>
      </x:c>
      <x:c r="L28" s="83" t="str">
        <x:f>IF(ABS(I28)&lt;=K28,"PASS","REVIEW")</x:f>
        <x:v>PASS</x:v>
      </x:c>
      <x:c r="M28" s="83" t="str">
        <x:v>36.4 EUR2023 × deflator</x:v>
      </x:c>
      <x:c r="N28" s="83"/>
    </x:row>
    <x:row r="29">
      <x:c r="A29" s="83" t="str">
        <x:v>R4-0025</x:v>
      </x:c>
      <x:c r="B29" s="83" t="str">
        <x:v>IT2040_GRID_DELAY</x:v>
      </x:c>
      <x:c r="C29" s="83" t="n">
        <x:v>2040</x:v>
      </x:c>
      <x:c r="D29" s="83" t="str">
        <x:v>Demand accounting</x:v>
      </x:c>
      <x:c r="E29" s="83" t="str">
        <x:v>Demand</x:v>
      </x:c>
      <x:c r="F29" s="83" t="str">
        <x:v>Rigid + P2X = total</x:v>
      </x:c>
      <x:c r="G29" s="349" t="n">
        <x:v>439</x:v>
      </x:c>
      <x:c r="H29" s="349" t="n">
        <x:f>SUMIFS('SCENARIO_2040'!$L:$L,'SCENARIO_2040'!$B:$B,$B29,'SCENARIO_2040'!$D:$D,"Demand",'SCENARIO_2040'!$M:$M,"TWh")+SUMIFS('SCENARIO_2040'!$L:$L,'SCENARIO_2040'!$B:$B,$B29,'SCENARIO_2040'!$D:$D,"Flexible demand",'SCENARIO_2040'!$M:$M,"TWh")</x:f>
        <x:v>439.5</x:v>
      </x:c>
      <x:c r="I29" s="349" t="n">
        <x:f>H29-G29</x:f>
        <x:v>0.5</x:v>
      </x:c>
      <x:c r="J29" s="349" t="str">
        <x:v>TWh</x:v>
      </x:c>
      <x:c r="K29" s="349" t="n">
        <x:v>1</x:v>
      </x:c>
      <x:c r="L29" s="83" t="str">
        <x:f>IF(ABS(I29)&lt;=K29,"PASS","REVIEW")</x:f>
        <x:v>PASS</x:v>
      </x:c>
      <x:c r="M29" s="83" t="str">
        <x:v>SUM rigid annual energy + P2X annual energy</x:v>
      </x:c>
      <x:c r="N29" s="83"/>
    </x:row>
    <x:row r="30">
      <x:c r="A30" s="83" t="str">
        <x:v>R4-0026</x:v>
      </x:c>
      <x:c r="B30" s="83" t="str">
        <x:v>IT2040_GRID_DELAY</x:v>
      </x:c>
      <x:c r="C30" s="83" t="n">
        <x:v>2040</x:v>
      </x:c>
      <x:c r="D30" s="83" t="str">
        <x:v>Zonal capacity sum</x:v>
      </x:c>
      <x:c r="E30" s="83" t="str">
        <x:v>Generation</x:v>
      </x:c>
      <x:c r="F30" s="83" t="str">
        <x:v>Solar rooftop/distributed</x:v>
      </x:c>
      <x:c r="G30" s="349" t="n">
        <x:v>41.7</x:v>
      </x:c>
      <x:c r="H30" s="349" t="n">
        <x:f>SUMIFS('SCENARIO_2040'!$L:$L,'SCENARIO_2040'!$B:$B,$B30,'SCENARIO_2040'!$D:$D,"Generation capacity",'SCENARIO_2040'!$H:$H,$F30)</x:f>
        <x:v>41.70000000000001</x:v>
      </x:c>
      <x:c r="I30" s="349" t="n">
        <x:f>H30-G30</x:f>
        <x:v>7.105427357601002e-15</x:v>
      </x:c>
      <x:c r="J30" s="349" t="str">
        <x:v>GW</x:v>
      </x:c>
      <x:c r="K30" s="349" t="n">
        <x:v>0.001</x:v>
      </x:c>
      <x:c r="L30" s="83" t="str">
        <x:f>IF(ABS(I30)&lt;=K30,"PASS","REVIEW")</x:f>
        <x:v>PASS</x:v>
      </x:c>
      <x:c r="M30" s="83" t="str">
        <x:v>SUMIFS scenario rows by standard technology</x:v>
      </x:c>
      <x:c r="N30" s="83"/>
    </x:row>
    <x:row r="31">
      <x:c r="A31" s="83" t="str">
        <x:v>R4-0027</x:v>
      </x:c>
      <x:c r="B31" s="83" t="str">
        <x:v>IT2040_GRID_DELAY</x:v>
      </x:c>
      <x:c r="C31" s="83" t="n">
        <x:v>2040</x:v>
      </x:c>
      <x:c r="D31" s="83" t="str">
        <x:v>Zonal capacity sum</x:v>
      </x:c>
      <x:c r="E31" s="83" t="str">
        <x:v>Generation</x:v>
      </x:c>
      <x:c r="F31" s="83" t="str">
        <x:v>Solar utility</x:v>
      </x:c>
      <x:c r="G31" s="349" t="n">
        <x:v>79.2</x:v>
      </x:c>
      <x:c r="H31" s="349" t="n">
        <x:f>SUMIFS('SCENARIO_2040'!$L:$L,'SCENARIO_2040'!$B:$B,$B31,'SCENARIO_2040'!$D:$D,"Generation capacity",'SCENARIO_2040'!$H:$H,$F31)</x:f>
        <x:v>79.2</x:v>
      </x:c>
      <x:c r="I31" s="349" t="n">
        <x:f>H31-G31</x:f>
        <x:v>0</x:v>
      </x:c>
      <x:c r="J31" s="349" t="str">
        <x:v>GW</x:v>
      </x:c>
      <x:c r="K31" s="349" t="n">
        <x:v>0.001</x:v>
      </x:c>
      <x:c r="L31" s="83" t="str">
        <x:f>IF(ABS(I31)&lt;=K31,"PASS","REVIEW")</x:f>
        <x:v>PASS</x:v>
      </x:c>
      <x:c r="M31" s="83" t="str">
        <x:v>SUMIFS scenario rows by standard technology</x:v>
      </x:c>
      <x:c r="N31" s="83"/>
    </x:row>
    <x:row r="32">
      <x:c r="A32" s="83" t="str">
        <x:v>R4-0028</x:v>
      </x:c>
      <x:c r="B32" s="83" t="str">
        <x:v>IT2040_GRID_DELAY</x:v>
      </x:c>
      <x:c r="C32" s="83" t="n">
        <x:v>2040</x:v>
      </x:c>
      <x:c r="D32" s="83" t="str">
        <x:v>Zonal capacity sum</x:v>
      </x:c>
      <x:c r="E32" s="83" t="str">
        <x:v>Generation</x:v>
      </x:c>
      <x:c r="F32" s="83" t="str">
        <x:v>Wind onshore</x:v>
      </x:c>
      <x:c r="G32" s="349" t="n">
        <x:v>34.1</x:v>
      </x:c>
      <x:c r="H32" s="349" t="n">
        <x:f>SUMIFS('SCENARIO_2040'!$L:$L,'SCENARIO_2040'!$B:$B,$B32,'SCENARIO_2040'!$D:$D,"Generation capacity",'SCENARIO_2040'!$H:$H,$F32)</x:f>
        <x:v>34.1</x:v>
      </x:c>
      <x:c r="I32" s="349" t="n">
        <x:f>H32-G32</x:f>
        <x:v>0</x:v>
      </x:c>
      <x:c r="J32" s="349" t="str">
        <x:v>GW</x:v>
      </x:c>
      <x:c r="K32" s="349" t="n">
        <x:v>0.001</x:v>
      </x:c>
      <x:c r="L32" s="83" t="str">
        <x:f>IF(ABS(I32)&lt;=K32,"PASS","REVIEW")</x:f>
        <x:v>PASS</x:v>
      </x:c>
      <x:c r="M32" s="83" t="str">
        <x:v>SUMIFS scenario rows by standard technology</x:v>
      </x:c>
      <x:c r="N32" s="83"/>
    </x:row>
    <x:row r="33">
      <x:c r="A33" s="83" t="str">
        <x:v>R4-0029</x:v>
      </x:c>
      <x:c r="B33" s="83" t="str">
        <x:v>IT2040_GRID_DELAY</x:v>
      </x:c>
      <x:c r="C33" s="83" t="n">
        <x:v>2040</x:v>
      </x:c>
      <x:c r="D33" s="83" t="str">
        <x:v>Zonal capacity sum</x:v>
      </x:c>
      <x:c r="E33" s="83" t="str">
        <x:v>Generation</x:v>
      </x:c>
      <x:c r="F33" s="83" t="str">
        <x:v>Wind offshore unspecified</x:v>
      </x:c>
      <x:c r="G33" s="349" t="n">
        <x:v>15.200000000000001</x:v>
      </x:c>
      <x:c r="H33" s="349" t="n">
        <x:f>SUMIFS('SCENARIO_2040'!$L:$L,'SCENARIO_2040'!$B:$B,$B33,'SCENARIO_2040'!$D:$D,"Generation capacity",'SCENARIO_2040'!$H:$H,$F33)</x:f>
        <x:v>15.2</x:v>
      </x:c>
      <x:c r="I33" s="349" t="n">
        <x:f>H33-G33</x:f>
        <x:v>-1.7763568394002505e-15</x:v>
      </x:c>
      <x:c r="J33" s="349" t="str">
        <x:v>GW</x:v>
      </x:c>
      <x:c r="K33" s="349" t="n">
        <x:v>0.001</x:v>
      </x:c>
      <x:c r="L33" s="83" t="str">
        <x:f>IF(ABS(I33)&lt;=K33,"PASS","REVIEW")</x:f>
        <x:v>PASS</x:v>
      </x:c>
      <x:c r="M33" s="83" t="str">
        <x:v>SUMIFS scenario rows by standard technology</x:v>
      </x:c>
      <x:c r="N33" s="83"/>
    </x:row>
    <x:row r="34">
      <x:c r="A34" s="83" t="str">
        <x:v>R4-0030</x:v>
      </x:c>
      <x:c r="B34" s="83" t="str">
        <x:v>IT2040_GRID_DELAY</x:v>
      </x:c>
      <x:c r="C34" s="83" t="n">
        <x:v>2040</x:v>
      </x:c>
      <x:c r="D34" s="83" t="str">
        <x:v>Storage energy sum</x:v>
      </x:c>
      <x:c r="E34" s="83" t="str">
        <x:v>Storage</x:v>
      </x:c>
      <x:c r="F34" s="83" t="str">
        <x:v>BESS energy excluding PHS</x:v>
      </x:c>
      <x:c r="G34" s="349" t="n">
        <x:v>166.5</x:v>
      </x:c>
      <x:c r="H34" s="349" t="n">
        <x:f>SUMIFS('SCENARIO_2040'!$L:$L,'SCENARIO_2040'!$B:$B,$B34,'SCENARIO_2040'!$D:$D,"Storage",'SCENARIO_2040'!$I:$I,"battery")</x:f>
        <x:v>166.4</x:v>
      </x:c>
      <x:c r="I34" s="349" t="n">
        <x:f>H34-G34</x:f>
        <x:v>-0.09999999999999432</x:v>
      </x:c>
      <x:c r="J34" s="349" t="str">
        <x:v>GWh</x:v>
      </x:c>
      <x:c r="K34" s="349" t="n">
        <x:v>0.21</x:v>
      </x:c>
      <x:c r="L34" s="83" t="str">
        <x:f>IF(ABS(I34)&lt;=K34,"PASS","REVIEW")</x:f>
        <x:v>PASS</x:v>
      </x:c>
      <x:c r="M34" s="83" t="str">
        <x:v>SUM BESS e_nom rows excluding PHS</x:v>
      </x:c>
      <x:c r="N34" s="83" t="str">
        <x:v>Small differences arise from one-decimal zonal source rounding.</x:v>
      </x:c>
    </x:row>
    <x:row r="35">
      <x:c r="A35" s="83" t="str">
        <x:v>R4-0031</x:v>
      </x:c>
      <x:c r="B35" s="83" t="str">
        <x:v>IT2040_GRID_DELAY</x:v>
      </x:c>
      <x:c r="C35" s="83" t="n">
        <x:v>2040</x:v>
      </x:c>
      <x:c r="D35" s="83" t="str">
        <x:v>Topology count</x:v>
      </x:c>
      <x:c r="E35" s="83" t="str">
        <x:v>Network</x:v>
      </x:c>
      <x:c r="F35" s="83" t="str">
        <x:v>Directional internal links</x:v>
      </x:c>
      <x:c r="G35" s="349" t="n">
        <x:v>24</x:v>
      </x:c>
      <x:c r="H35" s="349" t="n">
        <x:f>COUNTIFS('SCENARIO_2040'!$B:$B,$B35,'SCENARIO_2040'!$D:$D,"Transmission")</x:f>
        <x:v>24</x:v>
      </x:c>
      <x:c r="I35" s="349" t="n">
        <x:f>H35-G35</x:f>
        <x:v>0</x:v>
      </x:c>
      <x:c r="J35" s="349" t="str">
        <x:v>count</x:v>
      </x:c>
      <x:c r="K35" s="349" t="n">
        <x:v>0</x:v>
      </x:c>
      <x:c r="L35" s="83" t="str">
        <x:f>IF(ABS(I35)&lt;=K35,"PASS","REVIEW")</x:f>
        <x:v>PASS</x:v>
      </x:c>
      <x:c r="M35" s="83" t="str">
        <x:v>COUNTIFS Transmission rows</x:v>
      </x:c>
      <x:c r="N35" s="83"/>
    </x:row>
    <x:row r="36">
      <x:c r="A36" s="83" t="str">
        <x:v>R4-0032</x:v>
      </x:c>
      <x:c r="B36" s="83" t="str">
        <x:v>IT2040_GRID_DELAY</x:v>
      </x:c>
      <x:c r="C36" s="83" t="n">
        <x:v>2040</x:v>
      </x:c>
      <x:c r="D36" s="83" t="str">
        <x:v>Monetary conversion</x:v>
      </x:c>
      <x:c r="E36" s="83" t="str">
        <x:v>Fuel</x:v>
      </x:c>
      <x:c r="F36" s="83" t="str">
        <x:v>Gas EUR2025</x:v>
      </x:c>
      <x:c r="G36" s="349" t="n">
        <x:v>38.0563456</x:v>
      </x:c>
      <x:c r="H36" s="349" t="n">
        <x:f>SUMIFS('SCENARIO_2040'!$R:$R,'SCENARIO_2040'!$B:$B,$B36,'SCENARIO_2040'!$D:$D,"Fuel and CO2",'SCENARIO_2040'!$H:$H,"Natural gas fuel price")</x:f>
        <x:v>38.0563456</x:v>
      </x:c>
      <x:c r="I36" s="349" t="n">
        <x:f>H36-G36</x:f>
        <x:v>0</x:v>
      </x:c>
      <x:c r="J36" s="349" t="str">
        <x:v>EUR2025/MWh_th</x:v>
      </x:c>
      <x:c r="K36" s="349" t="n">
        <x:v>0.001</x:v>
      </x:c>
      <x:c r="L36" s="83" t="str">
        <x:f>IF(ABS(I36)&lt;=K36,"PASS","REVIEW")</x:f>
        <x:v>PASS</x:v>
      </x:c>
      <x:c r="M36" s="83" t="str">
        <x:v>36.4 EUR2023 × deflator</x:v>
      </x:c>
      <x:c r="N36" s="83"/>
    </x:row>
    <x:row r="37">
      <x:c r="A37" s="83" t="str">
        <x:v>R4-0033</x:v>
      </x:c>
      <x:c r="B37" s="83" t="str">
        <x:v>IT2050_SENS_NO_NUCLEAR</x:v>
      </x:c>
      <x:c r="C37" s="83" t="n">
        <x:v>2050</x:v>
      </x:c>
      <x:c r="D37" s="83" t="str">
        <x:v>Demand accounting</x:v>
      </x:c>
      <x:c r="E37" s="83" t="str">
        <x:v>Demand</x:v>
      </x:c>
      <x:c r="F37" s="83" t="str">
        <x:v>Rigid + P2X = total</x:v>
      </x:c>
      <x:c r="G37" s="349" t="n">
        <x:v>583</x:v>
      </x:c>
      <x:c r="H37" s="349" t="n">
        <x:f>SUMIFS('SCENARIO_2050'!$L:$L,'SCENARIO_2050'!$B:$B,$B37,'SCENARIO_2050'!$D:$D,"Demand",'SCENARIO_2050'!$M:$M,"TWh")+SUMIFS('SCENARIO_2050'!$L:$L,'SCENARIO_2050'!$B:$B,$B37,'SCENARIO_2050'!$D:$D,"Flexible demand",'SCENARIO_2050'!$M:$M,"TWh")</x:f>
        <x:v>583</x:v>
      </x:c>
      <x:c r="I37" s="349" t="n">
        <x:f>H37-G37</x:f>
        <x:v>0</x:v>
      </x:c>
      <x:c r="J37" s="349" t="str">
        <x:v>TWh</x:v>
      </x:c>
      <x:c r="K37" s="349" t="n">
        <x:v>0.001</x:v>
      </x:c>
      <x:c r="L37" s="83" t="str">
        <x:f>IF(ABS(I37)&lt;=K37,"PASS","REVIEW")</x:f>
        <x:v>PASS</x:v>
      </x:c>
      <x:c r="M37" s="83" t="str">
        <x:v>SUM rigid + flexible annual energy</x:v>
      </x:c>
      <x:c r="N37" s="83"/>
    </x:row>
    <x:row r="38">
      <x:c r="A38" s="83" t="str">
        <x:v>R4-0034</x:v>
      </x:c>
      <x:c r="B38" s="83" t="str">
        <x:v>IT2050_SENS_NO_NUCLEAR</x:v>
      </x:c>
      <x:c r="C38" s="83" t="n">
        <x:v>2050</x:v>
      </x:c>
      <x:c r="D38" s="83" t="str">
        <x:v>Zonal capacity sum</x:v>
      </x:c>
      <x:c r="E38" s="83" t="str">
        <x:v>Generation</x:v>
      </x:c>
      <x:c r="F38" s="83" t="str">
        <x:v>Solar rooftop/distributed</x:v>
      </x:c>
      <x:c r="G38" s="349" t="n">
        <x:v>68.98263027295287</x:v>
      </x:c>
      <x:c r="H38" s="349" t="n">
        <x:f>SUMIFS('SCENARIO_2050'!$L:$L,'SCENARIO_2050'!$B:$B,$B38,'SCENARIO_2050'!$D:$D,"Generation capacity",'SCENARIO_2050'!$H:$H,$F38)</x:f>
        <x:v>68.98263027295286</x:v>
      </x:c>
      <x:c r="I38" s="349" t="n">
        <x:f>H38-G38</x:f>
        <x:v>-1.4210854715202004e-14</x:v>
      </x:c>
      <x:c r="J38" s="349" t="str">
        <x:v>GW</x:v>
      </x:c>
      <x:c r="K38" s="349" t="n">
        <x:v>0.001</x:v>
      </x:c>
      <x:c r="L38" s="83" t="str">
        <x:f>IF(ABS(I38)&lt;=K38,"PASS","REVIEW")</x:f>
        <x:v>PASS</x:v>
      </x:c>
      <x:c r="M38" s="83" t="str">
        <x:v>SUMIFS scenario rows by standard technology</x:v>
      </x:c>
      <x:c r="N38" s="83"/>
    </x:row>
    <x:row r="39">
      <x:c r="A39" s="83" t="str">
        <x:v>R4-0035</x:v>
      </x:c>
      <x:c r="B39" s="83" t="str">
        <x:v>IT2050_SENS_NO_NUCLEAR</x:v>
      </x:c>
      <x:c r="C39" s="83" t="n">
        <x:v>2050</x:v>
      </x:c>
      <x:c r="D39" s="83" t="str">
        <x:v>Zonal capacity sum</x:v>
      </x:c>
      <x:c r="E39" s="83" t="str">
        <x:v>Generation</x:v>
      </x:c>
      <x:c r="F39" s="83" t="str">
        <x:v>Solar utility</x:v>
      </x:c>
      <x:c r="G39" s="349" t="n">
        <x:v>131.01736972704714</x:v>
      </x:c>
      <x:c r="H39" s="349" t="n">
        <x:f>SUMIFS('SCENARIO_2050'!$L:$L,'SCENARIO_2050'!$B:$B,$B39,'SCENARIO_2050'!$D:$D,"Generation capacity",'SCENARIO_2050'!$H:$H,$F39)</x:f>
        <x:v>131.01736972704714</x:v>
      </x:c>
      <x:c r="I39" s="349" t="n">
        <x:f>H39-G39</x:f>
        <x:v>0</x:v>
      </x:c>
      <x:c r="J39" s="349" t="str">
        <x:v>GW</x:v>
      </x:c>
      <x:c r="K39" s="349" t="n">
        <x:v>0.001</x:v>
      </x:c>
      <x:c r="L39" s="83" t="str">
        <x:f>IF(ABS(I39)&lt;=K39,"PASS","REVIEW")</x:f>
        <x:v>PASS</x:v>
      </x:c>
      <x:c r="M39" s="83" t="str">
        <x:v>SUMIFS scenario rows by standard technology</x:v>
      </x:c>
      <x:c r="N39" s="83"/>
    </x:row>
    <x:row r="40">
      <x:c r="A40" s="83" t="str">
        <x:v>R4-0036</x:v>
      </x:c>
      <x:c r="B40" s="83" t="str">
        <x:v>IT2050_SENS_NO_NUCLEAR</x:v>
      </x:c>
      <x:c r="C40" s="83" t="n">
        <x:v>2050</x:v>
      </x:c>
      <x:c r="D40" s="83" t="str">
        <x:v>Zonal capacity sum</x:v>
      </x:c>
      <x:c r="E40" s="83" t="str">
        <x:v>Generation</x:v>
      </x:c>
      <x:c r="F40" s="83" t="str">
        <x:v>Wind onshore</x:v>
      </x:c>
      <x:c r="G40" s="349" t="n">
        <x:v>50</x:v>
      </x:c>
      <x:c r="H40" s="349" t="n">
        <x:f>SUMIFS('SCENARIO_2050'!$L:$L,'SCENARIO_2050'!$B:$B,$B40,'SCENARIO_2050'!$D:$D,"Generation capacity",'SCENARIO_2050'!$H:$H,$F40)</x:f>
        <x:v>50</x:v>
      </x:c>
      <x:c r="I40" s="349" t="n">
        <x:f>H40-G40</x:f>
        <x:v>0</x:v>
      </x:c>
      <x:c r="J40" s="349" t="str">
        <x:v>GW</x:v>
      </x:c>
      <x:c r="K40" s="349" t="n">
        <x:v>0.001</x:v>
      </x:c>
      <x:c r="L40" s="83" t="str">
        <x:f>IF(ABS(I40)&lt;=K40,"PASS","REVIEW")</x:f>
        <x:v>PASS</x:v>
      </x:c>
      <x:c r="M40" s="83" t="str">
        <x:v>SUMIFS scenario rows by standard technology</x:v>
      </x:c>
      <x:c r="N40" s="83"/>
    </x:row>
    <x:row r="41">
      <x:c r="A41" s="83" t="str">
        <x:v>R4-0037</x:v>
      </x:c>
      <x:c r="B41" s="83" t="str">
        <x:v>IT2050_SENS_NO_NUCLEAR</x:v>
      </x:c>
      <x:c r="C41" s="83" t="n">
        <x:v>2050</x:v>
      </x:c>
      <x:c r="D41" s="83" t="str">
        <x:v>Zonal capacity sum</x:v>
      </x:c>
      <x:c r="E41" s="83" t="str">
        <x:v>Generation</x:v>
      </x:c>
      <x:c r="F41" s="83" t="str">
        <x:v>Wind offshore unspecified</x:v>
      </x:c>
      <x:c r="G41" s="349" t="n">
        <x:v>20</x:v>
      </x:c>
      <x:c r="H41" s="349" t="n">
        <x:f>SUMIFS('SCENARIO_2050'!$L:$L,'SCENARIO_2050'!$B:$B,$B41,'SCENARIO_2050'!$D:$D,"Generation capacity",'SCENARIO_2050'!$H:$H,$F41)</x:f>
        <x:v>20</x:v>
      </x:c>
      <x:c r="I41" s="349" t="n">
        <x:f>H41-G41</x:f>
        <x:v>0</x:v>
      </x:c>
      <x:c r="J41" s="349" t="str">
        <x:v>GW</x:v>
      </x:c>
      <x:c r="K41" s="349" t="n">
        <x:v>0.001</x:v>
      </x:c>
      <x:c r="L41" s="83" t="str">
        <x:f>IF(ABS(I41)&lt;=K41,"PASS","REVIEW")</x:f>
        <x:v>PASS</x:v>
      </x:c>
      <x:c r="M41" s="83" t="str">
        <x:v>SUMIFS scenario rows by standard technology</x:v>
      </x:c>
      <x:c r="N41" s="83"/>
    </x:row>
    <x:row r="42">
      <x:c r="A42" s="83" t="str">
        <x:v>R4-0038</x:v>
      </x:c>
      <x:c r="B42" s="83" t="str">
        <x:v>IT2050_SENS_NO_NUCLEAR</x:v>
      </x:c>
      <x:c r="C42" s="83" t="n">
        <x:v>2050</x:v>
      </x:c>
      <x:c r="D42" s="83" t="str">
        <x:v>Storage energy sum</x:v>
      </x:c>
      <x:c r="E42" s="83" t="str">
        <x:v>Storage</x:v>
      </x:c>
      <x:c r="F42" s="83" t="str">
        <x:v>BESS energy</x:v>
      </x:c>
      <x:c r="G42" s="349" t="n">
        <x:v>216</x:v>
      </x:c>
      <x:c r="H42" s="349" t="n">
        <x:f>SUMIFS('SCENARIO_2050'!$L:$L,'SCENARIO_2050'!$B:$B,$B42,'SCENARIO_2050'!$D:$D,"Storage",'SCENARIO_2050'!$I:$I,"battery")</x:f>
        <x:v>216.00000000000003</x:v>
      </x:c>
      <x:c r="I42" s="349" t="n">
        <x:f>H42-G42</x:f>
        <x:v>2.842170943040401e-14</x:v>
      </x:c>
      <x:c r="J42" s="349" t="str">
        <x:v>GWh</x:v>
      </x:c>
      <x:c r="K42" s="349" t="n">
        <x:v>0.001</x:v>
      </x:c>
      <x:c r="L42" s="83" t="str">
        <x:f>IF(ABS(I42)&lt;=K42,"PASS","REVIEW")</x:f>
        <x:v>PASS</x:v>
      </x:c>
      <x:c r="M42" s="83" t="str">
        <x:v>SUM zonal BESS e_nom</x:v>
      </x:c>
      <x:c r="N42" s="83"/>
    </x:row>
    <x:row r="43">
      <x:c r="A43" s="83" t="str">
        <x:v>R4-0039</x:v>
      </x:c>
      <x:c r="B43" s="83" t="str">
        <x:v>IT2050_SENS_NO_NUCLEAR</x:v>
      </x:c>
      <x:c r="C43" s="83" t="n">
        <x:v>2050</x:v>
      </x:c>
      <x:c r="D43" s="83" t="str">
        <x:v>Storage power sum</x:v>
      </x:c>
      <x:c r="E43" s="83" t="str">
        <x:v>Storage</x:v>
      </x:c>
      <x:c r="F43" s="83" t="str">
        <x:v>BESS discharge power</x:v>
      </x:c>
      <x:c r="G43" s="349" t="n">
        <x:v>39.6734693877551</x:v>
      </x:c>
      <x:c r="H43" s="349" t="n">
        <x:f>SUMIFS('SCENARIO_2050'!$L:$L,'SCENARIO_2050'!$B:$B,$B43,'SCENARIO_2050'!$D:$D,"Storage power",'SCENARIO_2050'!$I:$I,"battery")</x:f>
        <x:v>39.6734693877551</x:v>
      </x:c>
      <x:c r="I43" s="349" t="n">
        <x:f>H43-G43</x:f>
        <x:v>0</x:v>
      </x:c>
      <x:c r="J43" s="349" t="str">
        <x:v>GW</x:v>
      </x:c>
      <x:c r="K43" s="349" t="n">
        <x:v>0.001</x:v>
      </x:c>
      <x:c r="L43" s="83" t="str">
        <x:f>IF(ABS(I43)&lt;=K43,"PASS","REVIEW")</x:f>
        <x:v>PASS</x:v>
      </x:c>
      <x:c r="M43" s="83" t="str">
        <x:v>SUM zonal BESS p_nom</x:v>
      </x:c>
      <x:c r="N43" s="83"/>
    </x:row>
    <x:row r="44">
      <x:c r="A44" s="83" t="str">
        <x:v>R4-0040</x:v>
      </x:c>
      <x:c r="B44" s="83" t="str">
        <x:v>IT2050_SENS_NO_NUCLEAR</x:v>
      </x:c>
      <x:c r="C44" s="83" t="n">
        <x:v>2050</x:v>
      </x:c>
      <x:c r="D44" s="83" t="str">
        <x:v>Storage duration</x:v>
      </x:c>
      <x:c r="E44" s="83" t="str">
        <x:v>Storage</x:v>
      </x:c>
      <x:c r="F44" s="83" t="str">
        <x:v>BESS aggregate duration</x:v>
      </x:c>
      <x:c r="G44" s="349" t="n">
        <x:v>5.444444444444445</x:v>
      </x:c>
      <x:c r="H44" s="349" t="n">
        <x:f>SUMIFS('SCENARIO_2050'!$L:$L,'SCENARIO_2050'!$B:$B,$B44,'SCENARIO_2050'!$D:$D,"Storage",'SCENARIO_2050'!$I:$I,"battery")/SUMIFS('SCENARIO_2050'!$L:$L,'SCENARIO_2050'!$B:$B,$B44,'SCENARIO_2050'!$D:$D,"Storage power",'SCENARIO_2050'!$I:$I,"battery")</x:f>
        <x:v>5.4444444444444455</x:v>
      </x:c>
      <x:c r="I44" s="349" t="n">
        <x:f>H44-G44</x:f>
        <x:v>8.881784197001252e-16</x:v>
      </x:c>
      <x:c r="J44" s="349" t="str">
        <x:v>h</x:v>
      </x:c>
      <x:c r="K44" s="349" t="n">
        <x:v>0.001</x:v>
      </x:c>
      <x:c r="L44" s="83" t="str">
        <x:f>IF(ABS(I44)&lt;=K44,"PASS","REVIEW")</x:f>
        <x:v>PASS</x:v>
      </x:c>
      <x:c r="M44" s="83" t="str">
        <x:v>Energy / power</x:v>
      </x:c>
      <x:c r="N44" s="83"/>
    </x:row>
    <x:row r="45">
      <x:c r="A45" s="83" t="str">
        <x:v>R4-0041</x:v>
      </x:c>
      <x:c r="B45" s="83" t="str">
        <x:v>IT2050_SENS_NO_NUCLEAR</x:v>
      </x:c>
      <x:c r="C45" s="83" t="n">
        <x:v>2050</x:v>
      </x:c>
      <x:c r="D45" s="83" t="str">
        <x:v>Topology count</x:v>
      </x:c>
      <x:c r="E45" s="83" t="str">
        <x:v>Network</x:v>
      </x:c>
      <x:c r="F45" s="83" t="str">
        <x:v>Directional internal links</x:v>
      </x:c>
      <x:c r="G45" s="349" t="n">
        <x:v>24</x:v>
      </x:c>
      <x:c r="H45" s="349" t="n">
        <x:f>COUNTIFS('SCENARIO_2050'!$B:$B,$B45,'SCENARIO_2050'!$D:$D,"Transmission")</x:f>
        <x:v>24</x:v>
      </x:c>
      <x:c r="I45" s="349" t="n">
        <x:f>H45-G45</x:f>
        <x:v>0</x:v>
      </x:c>
      <x:c r="J45" s="349" t="str">
        <x:v>count</x:v>
      </x:c>
      <x:c r="K45" s="349" t="n">
        <x:v>0</x:v>
      </x:c>
      <x:c r="L45" s="83" t="str">
        <x:f>IF(ABS(I45)&lt;=K45,"PASS","REVIEW")</x:f>
        <x:v>PASS</x:v>
      </x:c>
      <x:c r="M45" s="83" t="str">
        <x:v>COUNTIFS Transmission rows</x:v>
      </x:c>
      <x:c r="N45" s="83"/>
    </x:row>
    <x:row r="46">
      <x:c r="A46" s="83" t="str">
        <x:v>R4-0042</x:v>
      </x:c>
      <x:c r="B46" s="83" t="str">
        <x:v>IT2050_BASE_PNIEC_NUCLEAR_8GW</x:v>
      </x:c>
      <x:c r="C46" s="83" t="n">
        <x:v>2050</x:v>
      </x:c>
      <x:c r="D46" s="83" t="str">
        <x:v>Demand accounting</x:v>
      </x:c>
      <x:c r="E46" s="83" t="str">
        <x:v>Demand</x:v>
      </x:c>
      <x:c r="F46" s="83" t="str">
        <x:v>Rigid + P2X = total</x:v>
      </x:c>
      <x:c r="G46" s="349" t="n">
        <x:v>583.1</x:v>
      </x:c>
      <x:c r="H46" s="349" t="n">
        <x:f>SUMIFS('SCENARIO_2050'!$L:$L,'SCENARIO_2050'!$B:$B,$B46,'SCENARIO_2050'!$D:$D,"Demand",'SCENARIO_2050'!$M:$M,"TWh")+SUMIFS('SCENARIO_2050'!$L:$L,'SCENARIO_2050'!$B:$B,$B46,'SCENARIO_2050'!$D:$D,"Flexible demand",'SCENARIO_2050'!$M:$M,"TWh")</x:f>
        <x:v>583.1</x:v>
      </x:c>
      <x:c r="I46" s="349" t="n">
        <x:f>H46-G46</x:f>
        <x:v>0</x:v>
      </x:c>
      <x:c r="J46" s="349" t="str">
        <x:v>TWh</x:v>
      </x:c>
      <x:c r="K46" s="349" t="n">
        <x:v>0.001</x:v>
      </x:c>
      <x:c r="L46" s="83" t="str">
        <x:f>IF(ABS(I46)&lt;=K46,"PASS","REVIEW")</x:f>
        <x:v>PASS</x:v>
      </x:c>
      <x:c r="M46" s="83" t="str">
        <x:v>SUM rigid + flexible annual energy</x:v>
      </x:c>
      <x:c r="N46" s="83" t="str">
        <x:v>Updated for the direct PNIEC 8 GW base.</x:v>
      </x:c>
    </x:row>
    <x:row r="47">
      <x:c r="A47" s="83" t="str">
        <x:v>R4-0043</x:v>
      </x:c>
      <x:c r="B47" s="83" t="str">
        <x:v>IT2050_BASE_PNIEC_NUCLEAR_8GW</x:v>
      </x:c>
      <x:c r="C47" s="83" t="n">
        <x:v>2050</x:v>
      </x:c>
      <x:c r="D47" s="83" t="str">
        <x:v>Zonal capacity sum</x:v>
      </x:c>
      <x:c r="E47" s="83" t="str">
        <x:v>Generation</x:v>
      </x:c>
      <x:c r="F47" s="83" t="str">
        <x:v>Solar rooftop/distributed</x:v>
      </x:c>
      <x:c r="G47" s="349" t="n">
        <x:v>84.50372208436724</x:v>
      </x:c>
      <x:c r="H47" s="349" t="n">
        <x:f>SUMIFS('SCENARIO_2050'!$L:$L,'SCENARIO_2050'!$B:$B,$B47,'SCENARIO_2050'!$D:$D,"Generation capacity",'SCENARIO_2050'!$H:$H,$F47)</x:f>
        <x:v>84.50372208436724</x:v>
      </x:c>
      <x:c r="I47" s="349" t="n">
        <x:f>H47-G47</x:f>
        <x:v>0</x:v>
      </x:c>
      <x:c r="J47" s="349" t="str">
        <x:v>GW</x:v>
      </x:c>
      <x:c r="K47" s="349" t="n">
        <x:v>0.001</x:v>
      </x:c>
      <x:c r="L47" s="83" t="str">
        <x:f>IF(ABS(I47)&lt;=K47,"PASS","REVIEW")</x:f>
        <x:v>PASS</x:v>
      </x:c>
      <x:c r="M47" s="83" t="str">
        <x:v>SUMIFS scenario rows by standard technology</x:v>
      </x:c>
      <x:c r="N47" s="83" t="str">
        <x:v>Updated for the direct PNIEC 8 GW base.</x:v>
      </x:c>
    </x:row>
    <x:row r="48">
      <x:c r="A48" s="83" t="str">
        <x:v>R4-0044</x:v>
      </x:c>
      <x:c r="B48" s="83" t="str">
        <x:v>IT2050_BASE_PNIEC_NUCLEAR_8GW</x:v>
      </x:c>
      <x:c r="C48" s="83" t="n">
        <x:v>2050</x:v>
      </x:c>
      <x:c r="D48" s="83" t="str">
        <x:v>Zonal capacity sum</x:v>
      </x:c>
      <x:c r="E48" s="83" t="str">
        <x:v>Generation</x:v>
      </x:c>
      <x:c r="F48" s="83" t="str">
        <x:v>Solar utility</x:v>
      </x:c>
      <x:c r="G48" s="349" t="n">
        <x:v>160.49627791563273</x:v>
      </x:c>
      <x:c r="H48" s="349" t="n">
        <x:f>SUMIFS('SCENARIO_2050'!$L:$L,'SCENARIO_2050'!$B:$B,$B48,'SCENARIO_2050'!$D:$D,"Generation capacity",'SCENARIO_2050'!$H:$H,$F48)</x:f>
        <x:v>160.49627791563273</x:v>
      </x:c>
      <x:c r="I48" s="349" t="n">
        <x:f>H48-G48</x:f>
        <x:v>0</x:v>
      </x:c>
      <x:c r="J48" s="349" t="str">
        <x:v>GW</x:v>
      </x:c>
      <x:c r="K48" s="349" t="n">
        <x:v>0.001</x:v>
      </x:c>
      <x:c r="L48" s="83" t="str">
        <x:f>IF(ABS(I48)&lt;=K48,"PASS","REVIEW")</x:f>
        <x:v>PASS</x:v>
      </x:c>
      <x:c r="M48" s="83" t="str">
        <x:v>SUMIFS scenario rows by standard technology</x:v>
      </x:c>
      <x:c r="N48" s="83" t="str">
        <x:v>Updated for the direct PNIEC 8 GW base.</x:v>
      </x:c>
    </x:row>
    <x:row r="49">
      <x:c r="A49" s="83" t="str">
        <x:v>R4-0045</x:v>
      </x:c>
      <x:c r="B49" s="83" t="str">
        <x:v>IT2050_BASE_PNIEC_NUCLEAR_8GW</x:v>
      </x:c>
      <x:c r="C49" s="83" t="n">
        <x:v>2050</x:v>
      </x:c>
      <x:c r="D49" s="83" t="str">
        <x:v>Zonal capacity sum</x:v>
      </x:c>
      <x:c r="E49" s="83" t="str">
        <x:v>Generation</x:v>
      </x:c>
      <x:c r="F49" s="83" t="str">
        <x:v>Wind onshore</x:v>
      </x:c>
      <x:c r="G49" s="349" t="n">
        <x:v>36</x:v>
      </x:c>
      <x:c r="H49" s="349" t="n">
        <x:f>SUMIFS('SCENARIO_2050'!$L:$L,'SCENARIO_2050'!$B:$B,$B49,'SCENARIO_2050'!$D:$D,"Generation capacity",'SCENARIO_2050'!$H:$H,$F49)</x:f>
        <x:v>36</x:v>
      </x:c>
      <x:c r="I49" s="349" t="n">
        <x:f>H49-G49</x:f>
        <x:v>0</x:v>
      </x:c>
      <x:c r="J49" s="349" t="str">
        <x:v>GW</x:v>
      </x:c>
      <x:c r="K49" s="349" t="n">
        <x:v>0.001</x:v>
      </x:c>
      <x:c r="L49" s="83" t="str">
        <x:f>IF(ABS(I49)&lt;=K49,"PASS","REVIEW")</x:f>
        <x:v>PASS</x:v>
      </x:c>
      <x:c r="M49" s="83" t="str">
        <x:v>SUMIFS scenario rows by standard technology</x:v>
      </x:c>
      <x:c r="N49" s="83" t="str">
        <x:v>Updated for the direct PNIEC 8 GW base.</x:v>
      </x:c>
    </x:row>
    <x:row r="50">
      <x:c r="A50" s="83" t="str">
        <x:v>R4-0046</x:v>
      </x:c>
      <x:c r="B50" s="83" t="str">
        <x:v>IT2050_BASE_PNIEC_NUCLEAR_8GW</x:v>
      </x:c>
      <x:c r="C50" s="83" t="n">
        <x:v>2050</x:v>
      </x:c>
      <x:c r="D50" s="83" t="str">
        <x:v>Zonal capacity sum</x:v>
      </x:c>
      <x:c r="E50" s="83" t="str">
        <x:v>Generation</x:v>
      </x:c>
      <x:c r="F50" s="83" t="str">
        <x:v>Wind offshore unspecified</x:v>
      </x:c>
      <x:c r="G50" s="349" t="n">
        <x:v>15</x:v>
      </x:c>
      <x:c r="H50" s="349" t="n">
        <x:f>SUMIFS('SCENARIO_2050'!$L:$L,'SCENARIO_2050'!$B:$B,$B50,'SCENARIO_2050'!$D:$D,"Generation capacity",'SCENARIO_2050'!$H:$H,$F50)</x:f>
        <x:v>15.000000000000002</x:v>
      </x:c>
      <x:c r="I50" s="349" t="n">
        <x:f>H50-G50</x:f>
        <x:v>1.7763568394002505e-15</x:v>
      </x:c>
      <x:c r="J50" s="349" t="str">
        <x:v>GW</x:v>
      </x:c>
      <x:c r="K50" s="349" t="n">
        <x:v>0.001</x:v>
      </x:c>
      <x:c r="L50" s="83" t="str">
        <x:f>IF(ABS(I50)&lt;=K50,"PASS","REVIEW")</x:f>
        <x:v>PASS</x:v>
      </x:c>
      <x:c r="M50" s="83" t="str">
        <x:v>SUMIFS scenario rows by standard technology</x:v>
      </x:c>
      <x:c r="N50" s="83" t="str">
        <x:v>Updated for the direct PNIEC 8 GW base.</x:v>
      </x:c>
    </x:row>
    <x:row r="51">
      <x:c r="A51" s="83" t="str">
        <x:v>R4-0047</x:v>
      </x:c>
      <x:c r="B51" s="83" t="str">
        <x:v>IT2050_BASE_PNIEC_NUCLEAR_8GW</x:v>
      </x:c>
      <x:c r="C51" s="83" t="n">
        <x:v>2050</x:v>
      </x:c>
      <x:c r="D51" s="83" t="str">
        <x:v>Storage energy sum</x:v>
      </x:c>
      <x:c r="E51" s="83" t="str">
        <x:v>Storage</x:v>
      </x:c>
      <x:c r="F51" s="83" t="str">
        <x:v>BESS energy</x:v>
      </x:c>
      <x:c r="G51" s="349" t="n">
        <x:v>237.66666666666666</x:v>
      </x:c>
      <x:c r="H51" s="349" t="n">
        <x:f>SUMIFS('SCENARIO_2050'!$L:$L,'SCENARIO_2050'!$B:$B,$B51,'SCENARIO_2050'!$D:$D,"Storage",'SCENARIO_2050'!$I:$I,"battery")</x:f>
        <x:v>237.66666666666666</x:v>
      </x:c>
      <x:c r="I51" s="349" t="n">
        <x:f>H51-G51</x:f>
        <x:v>0</x:v>
      </x:c>
      <x:c r="J51" s="349" t="str">
        <x:v>GWh</x:v>
      </x:c>
      <x:c r="K51" s="349" t="n">
        <x:v>0.001</x:v>
      </x:c>
      <x:c r="L51" s="83" t="str">
        <x:f>IF(ABS(I51)&lt;=K51,"PASS","REVIEW")</x:f>
        <x:v>PASS</x:v>
      </x:c>
      <x:c r="M51" s="83" t="str">
        <x:v>SUM zonal BESS e_nom</x:v>
      </x:c>
      <x:c r="N51" s="83" t="str">
        <x:v>Updated for the direct PNIEC 8 GW base.</x:v>
      </x:c>
    </x:row>
    <x:row r="52">
      <x:c r="A52" s="83" t="str">
        <x:v>R4-0048</x:v>
      </x:c>
      <x:c r="B52" s="83" t="str">
        <x:v>IT2050_BASE_PNIEC_NUCLEAR_8GW</x:v>
      </x:c>
      <x:c r="C52" s="83" t="n">
        <x:v>2050</x:v>
      </x:c>
      <x:c r="D52" s="83" t="str">
        <x:v>Storage power sum</x:v>
      </x:c>
      <x:c r="E52" s="83" t="str">
        <x:v>Storage</x:v>
      </x:c>
      <x:c r="F52" s="83" t="str">
        <x:v>BESS discharge power</x:v>
      </x:c>
      <x:c r="G52" s="349" t="n">
        <x:v>43.65306122448979</x:v>
      </x:c>
      <x:c r="H52" s="349" t="n">
        <x:f>SUMIFS('SCENARIO_2050'!$L:$L,'SCENARIO_2050'!$B:$B,$B52,'SCENARIO_2050'!$D:$D,"Storage power",'SCENARIO_2050'!$I:$I,"battery")</x:f>
        <x:v>43.6530612244898</x:v>
      </x:c>
      <x:c r="I52" s="349" t="n">
        <x:f>H52-G52</x:f>
        <x:v>7.105427357601002e-15</x:v>
      </x:c>
      <x:c r="J52" s="349" t="str">
        <x:v>GW</x:v>
      </x:c>
      <x:c r="K52" s="349" t="n">
        <x:v>0.001</x:v>
      </x:c>
      <x:c r="L52" s="83" t="str">
        <x:f>IF(ABS(I52)&lt;=K52,"PASS","REVIEW")</x:f>
        <x:v>PASS</x:v>
      </x:c>
      <x:c r="M52" s="83" t="str">
        <x:v>SUM zonal BESS p_nom</x:v>
      </x:c>
      <x:c r="N52" s="83" t="str">
        <x:v>Updated for the direct PNIEC 8 GW base.</x:v>
      </x:c>
    </x:row>
    <x:row r="53">
      <x:c r="A53" s="83" t="str">
        <x:v>R4-0049</x:v>
      </x:c>
      <x:c r="B53" s="83" t="str">
        <x:v>IT2050_BASE_PNIEC_NUCLEAR_8GW</x:v>
      </x:c>
      <x:c r="C53" s="83" t="n">
        <x:v>2050</x:v>
      </x:c>
      <x:c r="D53" s="83" t="str">
        <x:v>Storage duration</x:v>
      </x:c>
      <x:c r="E53" s="83" t="str">
        <x:v>Storage</x:v>
      </x:c>
      <x:c r="F53" s="83" t="str">
        <x:v>BESS aggregate duration</x:v>
      </x:c>
      <x:c r="G53" s="349" t="n">
        <x:v>5.444444444444445</x:v>
      </x:c>
      <x:c r="H53" s="349" t="n">
        <x:f>SUMIFS('SCENARIO_2050'!$L:$L,'SCENARIO_2050'!$B:$B,$B53,'SCENARIO_2050'!$D:$D,"Storage",'SCENARIO_2050'!$I:$I,"battery")/SUMIFS('SCENARIO_2050'!$L:$L,'SCENARIO_2050'!$B:$B,$B53,'SCENARIO_2050'!$D:$D,"Storage power",'SCENARIO_2050'!$I:$I,"battery")</x:f>
        <x:v>5.444444444444444</x:v>
      </x:c>
      <x:c r="I53" s="349" t="n">
        <x:f>H53-G53</x:f>
        <x:v>-8.881784197001252e-16</x:v>
      </x:c>
      <x:c r="J53" s="349" t="str">
        <x:v>h</x:v>
      </x:c>
      <x:c r="K53" s="349" t="n">
        <x:v>0.001</x:v>
      </x:c>
      <x:c r="L53" s="83" t="str">
        <x:f>IF(ABS(I53)&lt;=K53,"PASS","REVIEW")</x:f>
        <x:v>PASS</x:v>
      </x:c>
      <x:c r="M53" s="83" t="str">
        <x:v>Energy / power</x:v>
      </x:c>
      <x:c r="N53" s="83" t="str">
        <x:v>Updated for the direct PNIEC 8 GW base.</x:v>
      </x:c>
    </x:row>
    <x:row r="54">
      <x:c r="A54" s="83" t="str">
        <x:v>R4-0050</x:v>
      </x:c>
      <x:c r="B54" s="83" t="str">
        <x:v>IT2050_BASE_PNIEC_NUCLEAR_8GW</x:v>
      </x:c>
      <x:c r="C54" s="83" t="n">
        <x:v>2050</x:v>
      </x:c>
      <x:c r="D54" s="83" t="str">
        <x:v>Topology count</x:v>
      </x:c>
      <x:c r="E54" s="83" t="str">
        <x:v>Network</x:v>
      </x:c>
      <x:c r="F54" s="83" t="str">
        <x:v>Directional internal links</x:v>
      </x:c>
      <x:c r="G54" s="349" t="n">
        <x:v>24</x:v>
      </x:c>
      <x:c r="H54" s="349" t="n">
        <x:f>COUNTIFS('SCENARIO_2050'!$B:$B,$B54,'SCENARIO_2050'!$D:$D,"Transmission")</x:f>
        <x:v>24</x:v>
      </x:c>
      <x:c r="I54" s="349" t="n">
        <x:f>H54-G54</x:f>
        <x:v>0</x:v>
      </x:c>
      <x:c r="J54" s="349" t="str">
        <x:v>count</x:v>
      </x:c>
      <x:c r="K54" s="349" t="n">
        <x:v>0</x:v>
      </x:c>
      <x:c r="L54" s="83" t="str">
        <x:f>IF(ABS(I54)&lt;=K54,"PASS","REVIEW")</x:f>
        <x:v>PASS</x:v>
      </x:c>
      <x:c r="M54" s="83" t="str">
        <x:v>COUNTIFS Transmission rows</x:v>
      </x:c>
      <x:c r="N54" s="83" t="str">
        <x:v>Updated for the direct PNIEC 8 GW base.</x:v>
      </x:c>
    </x:row>
    <x:row r="55">
      <x:c r="A55" s="83" t="str">
        <x:v>R4-0051</x:v>
      </x:c>
      <x:c r="B55" s="83" t="str">
        <x:v>ALL</x:v>
      </x:c>
      <x:c r="C55" s="83"/>
      <x:c r="D55" s="83" t="str">
        <x:v>Taxonomy</x:v>
      </x:c>
      <x:c r="E55" s="83" t="str">
        <x:v>Governance</x:v>
      </x:c>
      <x:c r="F55" s="83" t="str">
        <x:v>Duplicate source technologies</x:v>
      </x:c>
      <x:c r="G55" s="349" t="n">
        <x:v>16</x:v>
      </x:c>
      <x:c r="H55" s="349" t="n">
        <x:f>COUNTA('TECH_TAXONOMY'!$A$5:$A$20)</x:f>
        <x:v>16</x:v>
      </x:c>
      <x:c r="I55" s="349" t="n">
        <x:f>H55-G55</x:f>
        <x:v>0</x:v>
      </x:c>
      <x:c r="J55" s="349" t="str">
        <x:v>count</x:v>
      </x:c>
      <x:c r="K55" s="349" t="n">
        <x:v>0</x:v>
      </x:c>
      <x:c r="L55" s="83" t="str">
        <x:f>IF(ABS(I55)&lt;=K55,"PASS","REVIEW")</x:f>
        <x:v>PASS</x:v>
      </x:c>
      <x:c r="M55" s="83" t="str">
        <x:v>Unique source technology count</x:v>
      </x:c>
      <x:c r="N55" s="83"/>
    </x:row>
    <x:row r="56">
      <x:c r="A56" s="83" t="str">
        <x:v>R4-0052</x:v>
      </x:c>
      <x:c r="B56" s="83" t="str">
        <x:v>ALL</x:v>
      </x:c>
      <x:c r="C56" s="83"/>
      <x:c r="D56" s="83" t="str">
        <x:v>Monetary base</x:v>
      </x:c>
      <x:c r="E56" s="83" t="str">
        <x:v>Economics</x:v>
      </x:c>
      <x:c r="F56" s="83" t="str">
        <x:v>2023-to-2025 factor</x:v>
      </x:c>
      <x:c r="G56" s="349" t="n">
        <x:v>1.045504</x:v>
      </x:c>
      <x:c r="H56" s="349" t="n">
        <x:f>SUMIFS('ASSUMPTIONS'!$C:$C,'ASSUMPTIONS'!$A:$A,"A4-005")</x:f>
        <x:v>1.045504</x:v>
      </x:c>
      <x:c r="I56" s="349" t="n">
        <x:f>H56-G56</x:f>
        <x:v>0</x:v>
      </x:c>
      <x:c r="J56" s="349" t="str">
        <x:v>factor</x:v>
      </x:c>
      <x:c r="K56" s="349" t="n">
        <x:v>1e-9</x:v>
      </x:c>
      <x:c r="L56" s="83" t="str">
        <x:f>IF(ABS(I56)&lt;=K56,"PASS","REVIEW")</x:f>
        <x:v>PASS</x:v>
      </x:c>
      <x:c r="M56" s="83" t="str">
        <x:v>(1+2024 inflation)*(1+2025 inflation)</x:v>
      </x:c>
      <x:c r="N56" s="83"/>
    </x:row>
    <x:row r="57">
      <x:c r="A57" s="377" t="str">
        <x:v>R4-0057</x:v>
      </x:c>
      <x:c r="B57" s="377" t="str">
        <x:v>IT2050_BASE_PNIEC_NUCLEAR_8GW</x:v>
      </x:c>
      <x:c r="C57" s="377" t="n">
        <x:v>2050</x:v>
      </x:c>
      <x:c r="D57" s="377" t="str">
        <x:v>Annual balance QA</x:v>
      </x:c>
      <x:c r="E57" s="377" t="str">
        <x:v>Energy</x:v>
      </x:c>
      <x:c r="F57" s="377" t="str">
        <x:v>National electricity production</x:v>
      </x:c>
      <x:c r="G57" s="388" t="n">
        <x:v>596.8</x:v>
      </x:c>
      <x:c r="H57" s="388" t="n">
        <x:f>SUMIFS('SCENARIO_2050'!$L:$L,'SCENARIO_2050'!$B:$B,$B57,'SCENARIO_2050'!$H:$H,$F57)</x:f>
        <x:v>596.8</x:v>
      </x:c>
      <x:c r="I57" s="388" t="n">
        <x:f>H57-G57</x:f>
        <x:v>0</x:v>
      </x:c>
      <x:c r="J57" s="388" t="str">
        <x:v>TWh</x:v>
      </x:c>
      <x:c r="K57" s="388" t="n">
        <x:v>0.001</x:v>
      </x:c>
      <x:c r="L57" s="377" t="str">
        <x:f>IF(ABS(I57)&lt;=K57,"PASS","REVIEW")</x:f>
        <x:v>PASS</x:v>
      </x:c>
      <x:c r="M57" s="377" t="str">
        <x:v>SUM annual target</x:v>
      </x:c>
      <x:c r="N57" s="377" t="str">
        <x:v>Direct PNIEC value</x:v>
      </x:c>
    </x:row>
    <x:row r="58">
      <x:c r="A58" s="377" t="str">
        <x:v>R4-0058</x:v>
      </x:c>
      <x:c r="B58" s="377" t="str">
        <x:v>IT2050_BASE_PNIEC_NUCLEAR_8GW</x:v>
      </x:c>
      <x:c r="C58" s="377" t="n">
        <x:v>2050</x:v>
      </x:c>
      <x:c r="D58" s="377" t="str">
        <x:v>Annual balance QA</x:v>
      </x:c>
      <x:c r="E58" s="377" t="str">
        <x:v>Energy</x:v>
      </x:c>
      <x:c r="F58" s="377" t="str">
        <x:v>Nuclear annual generation target</x:v>
      </x:c>
      <x:c r="G58" s="388" t="n">
        <x:v>64.2</x:v>
      </x:c>
      <x:c r="H58" s="388" t="n">
        <x:f>SUMIFS('SCENARIO_2050'!$L:$L,'SCENARIO_2050'!$B:$B,$B58,'SCENARIO_2050'!$H:$H,$F58)</x:f>
        <x:v>64.2</x:v>
      </x:c>
      <x:c r="I58" s="388" t="n">
        <x:f>H58-G58</x:f>
        <x:v>0</x:v>
      </x:c>
      <x:c r="J58" s="388" t="str">
        <x:v>TWh</x:v>
      </x:c>
      <x:c r="K58" s="388" t="n">
        <x:v>0.001</x:v>
      </x:c>
      <x:c r="L58" s="377" t="str">
        <x:f>IF(ABS(I58)&lt;=K58,"PASS","REVIEW")</x:f>
        <x:v>PASS</x:v>
      </x:c>
      <x:c r="M58" s="377" t="str">
        <x:v>SUM annual target</x:v>
      </x:c>
      <x:c r="N58" s="377" t="str">
        <x:v>Direct PNIEC value</x:v>
      </x:c>
    </x:row>
    <x:row r="59">
      <x:c r="A59" s="377" t="str">
        <x:v>R4-0059</x:v>
      </x:c>
      <x:c r="B59" s="377" t="str">
        <x:v>IT2050_BASE_PNIEC_NUCLEAR_8GW</x:v>
      </x:c>
      <x:c r="C59" s="377" t="n">
        <x:v>2050</x:v>
      </x:c>
      <x:c r="D59" s="377" t="str">
        <x:v>Annual balance QA</x:v>
      </x:c>
      <x:c r="E59" s="377" t="str">
        <x:v>Trade</x:v>
      </x:c>
      <x:c r="F59" s="377" t="str">
        <x:v>Net electricity imports target</x:v>
      </x:c>
      <x:c r="G59" s="388" t="n">
        <x:v>17.7</x:v>
      </x:c>
      <x:c r="H59" s="388" t="n">
        <x:f>SUMIFS('SCENARIO_2050'!$L:$L,'SCENARIO_2050'!$B:$B,$B59,'SCENARIO_2050'!$H:$H,$F59)</x:f>
        <x:v>17.7</x:v>
      </x:c>
      <x:c r="I59" s="388" t="n">
        <x:f>H59-G59</x:f>
        <x:v>0</x:v>
      </x:c>
      <x:c r="J59" s="388" t="str">
        <x:v>TWh</x:v>
      </x:c>
      <x:c r="K59" s="388" t="n">
        <x:v>0.001</x:v>
      </x:c>
      <x:c r="L59" s="377" t="str">
        <x:f>IF(ABS(I59)&lt;=K59,"PASS","REVIEW")</x:f>
        <x:v>PASS</x:v>
      </x:c>
      <x:c r="M59" s="377" t="str">
        <x:v>SUM annual target</x:v>
      </x:c>
      <x:c r="N59" s="377" t="str">
        <x:v>Direct PNIEC value</x:v>
      </x:c>
    </x:row>
    <x:row r="60">
      <x:c r="A60" s="377" t="str">
        <x:v>R4-0060</x:v>
      </x:c>
      <x:c r="B60" s="377" t="str">
        <x:v>IT2050_BASE_PNIEC_NUCLEAR_8GW</x:v>
      </x:c>
      <x:c r="C60" s="377" t="n">
        <x:v>2050</x:v>
      </x:c>
      <x:c r="D60" s="377" t="str">
        <x:v>Annual balance QA</x:v>
      </x:c>
      <x:c r="E60" s="377" t="str">
        <x:v>Storage</x:v>
      </x:c>
      <x:c r="F60" s="377" t="str">
        <x:v>Implied annual storage losses</x:v>
      </x:c>
      <x:c r="G60" s="388" t="n">
        <x:v>31.399999999999977</x:v>
      </x:c>
      <x:c r="H60" s="388" t="n">
        <x:f>SUMIFS('SCENARIO_2050'!$L:$L,'SCENARIO_2050'!$B:$B,$B60,'SCENARIO_2050'!$H:$H,$F60)</x:f>
        <x:v>31.399999999999977</x:v>
      </x:c>
      <x:c r="I60" s="388" t="n">
        <x:f>H60-G60</x:f>
        <x:v>0</x:v>
      </x:c>
      <x:c r="J60" s="388" t="str">
        <x:v>TWh</x:v>
      </x:c>
      <x:c r="K60" s="388" t="n">
        <x:v>0.001</x:v>
      </x:c>
      <x:c r="L60" s="377" t="str">
        <x:f>IF(ABS(I60)&lt;=K60,"PASS","REVIEW")</x:f>
        <x:v>PASS</x:v>
      </x:c>
      <x:c r="M60" s="377" t="str">
        <x:v>SUM annual target</x:v>
      </x:c>
      <x:c r="N60" s="377" t="str">
        <x:v>Production + imports - demand</x:v>
      </x:c>
    </x:row>
    <x:row r="61">
      <x:c r="A61" s="396" t="str">
        <x:v>R4-0061</x:v>
      </x:c>
      <x:c r="B61" s="396" t="str">
        <x:v>IT2050_BASE_PNIEC_NUCLEAR_8GW</x:v>
      </x:c>
      <x:c r="C61" s="396" t="n">
        <x:v>2050</x:v>
      </x:c>
      <x:c r="D61" s="396" t="str">
        <x:v>Storage bridge</x:v>
      </x:c>
      <x:c r="E61" s="396" t="str">
        <x:v>Storage</x:v>
      </x:c>
      <x:c r="F61" s="396" t="str">
        <x:v>BESS energy</x:v>
      </x:c>
      <x:c r="G61" s="397" t="n">
        <x:v>237.66666666666666</x:v>
      </x:c>
      <x:c r="H61" s="397" t="n">
        <x:f>SUMIFS('SCENARIO_2050'!$L:$L,'SCENARIO_2050'!$B:$B,$B61,'SCENARIO_2050'!$D:$D,"Storage",'SCENARIO_2050'!$I:$I,"battery")</x:f>
        <x:v>237.66666666666666</x:v>
      </x:c>
      <x:c r="I61" s="397" t="n">
        <x:f>H61-G61</x:f>
        <x:v>0</x:v>
      </x:c>
      <x:c r="J61" s="397" t="str">
        <x:v>GWh</x:v>
      </x:c>
      <x:c r="K61" s="397" t="n">
        <x:v>0.001</x:v>
      </x:c>
      <x:c r="L61" s="396" t="str">
        <x:f>IF(ABS(I61)&lt;=K61,"PASS","REVIEW")</x:f>
        <x:v>PASS</x:v>
      </x:c>
      <x:c r="M61" s="396" t="str">
        <x:v>SUM zonal BESS energy</x:v>
      </x:c>
      <x:c r="N61" s="396" t="str">
        <x:v>Provisional PNIEC bridge</x:v>
      </x:c>
    </x:row>
    <x:row r="62">
      <x:c r="A62" s="396" t="str">
        <x:v>R4-0062</x:v>
      </x:c>
      <x:c r="B62" s="396" t="str">
        <x:v>IT2050_BASE_PNIEC_NUCLEAR_8GW</x:v>
      </x:c>
      <x:c r="C62" s="396" t="n">
        <x:v>2050</x:v>
      </x:c>
      <x:c r="D62" s="396" t="str">
        <x:v>Storage bridge</x:v>
      </x:c>
      <x:c r="E62" s="396" t="str">
        <x:v>Storage</x:v>
      </x:c>
      <x:c r="F62" s="396" t="str">
        <x:v>BESS discharge power</x:v>
      </x:c>
      <x:c r="G62" s="397" t="n">
        <x:v>43.65306122448979</x:v>
      </x:c>
      <x:c r="H62" s="397" t="n">
        <x:f>SUMIFS('SCENARIO_2050'!$L:$L,'SCENARIO_2050'!$B:$B,$B62,'SCENARIO_2050'!$D:$D,"Storage power",'SCENARIO_2050'!$I:$I,"battery")</x:f>
        <x:v>43.6530612244898</x:v>
      </x:c>
      <x:c r="I62" s="397" t="n">
        <x:f>H62-G62</x:f>
        <x:v>7.105427357601002e-15</x:v>
      </x:c>
      <x:c r="J62" s="397" t="str">
        <x:v>GW</x:v>
      </x:c>
      <x:c r="K62" s="397" t="n">
        <x:v>0.001</x:v>
      </x:c>
      <x:c r="L62" s="396" t="str">
        <x:f>IF(ABS(I62)&lt;=K62,"PASS","REVIEW")</x:f>
        <x:v>PASS</x:v>
      </x:c>
      <x:c r="M62" s="396" t="str">
        <x:v>SUM zonal BESS power</x:v>
      </x:c>
      <x:c r="N62" s="396" t="str">
        <x:v>Provisional PNIEC bridge</x:v>
      </x:c>
    </x:row>
    <x:row r="63">
      <x:c r="A63" s="396" t="str">
        <x:v>R4-0063</x:v>
      </x:c>
      <x:c r="B63" s="396" t="str">
        <x:v>IT2050_BASE_PNIEC_NUCLEAR_8GW</x:v>
      </x:c>
      <x:c r="C63" s="396" t="n">
        <x:v>2050</x:v>
      </x:c>
      <x:c r="D63" s="396" t="str">
        <x:v>Technical QA</x:v>
      </x:c>
      <x:c r="E63" s="396" t="str">
        <x:v>Nuclear</x:v>
      </x:c>
      <x:c r="F63" s="396" t="str">
        <x:v>Nuclear annual load factor</x:v>
      </x:c>
      <x:c r="G63" s="397" t="n">
        <x:v>0.916095890410959</x:v>
      </x:c>
      <x:c r="H63" s="397" t="n">
        <x:f>SUMIFS('SCENARIO_2050'!$L:$L,'SCENARIO_2050'!$B:$B,$B63,'SCENARIO_2050'!$H:$H,$F63)</x:f>
        <x:v>0.916095890410959</x:v>
      </x:c>
      <x:c r="I63" s="397" t="n">
        <x:f>H63-G63</x:f>
        <x:v>0</x:v>
      </x:c>
      <x:c r="J63" s="397" t="str">
        <x:v>p.u.</x:v>
      </x:c>
      <x:c r="K63" s="397" t="n">
        <x:v>0.000001</x:v>
      </x:c>
      <x:c r="L63" s="396" t="str">
        <x:f>IF(ABS(I63)&lt;=K63,"PASS","REVIEW")</x:f>
        <x:v>PASS</x:v>
      </x:c>
      <x:c r="M63" s="396" t="str">
        <x:v>SUM technical target</x:v>
      </x:c>
      <x:c r="N63" s="396" t="str">
        <x:v>64.2 TWh / 8 GW</x:v>
      </x:c>
    </x:row>
    <x:row r="64">
      <x:c r="A64" s="396"/>
      <x:c r="B64" s="396"/>
      <x:c r="C64" s="396"/>
      <x:c r="D64" s="396"/>
      <x:c r="E64" s="396"/>
      <x:c r="F64" s="396"/>
      <x:c r="G64" s="397"/>
      <x:c r="H64" s="397" t="n">
        <x:f>SUMIFS('SCENARIO_2050'!$L:$L,'SCENARIO_2050'!$B:$B,$B64,'SCENARIO_2050'!$H:$H,$F64)</x:f>
        <x:v>0</x:v>
      </x:c>
      <x:c r="I64" s="397" t="n">
        <x:f>H64-G64</x:f>
        <x:v>0</x:v>
      </x:c>
      <x:c r="J64" s="397"/>
      <x:c r="K64" s="397"/>
      <x:c r="L64" s="396" t="str">
        <x:f>IF(ABS(I64)&lt;=K64,"PASS","REVIEW")</x:f>
        <x:v>PASS</x:v>
      </x:c>
      <x:c r="M64" s="396"/>
      <x:c r="N64" s="396"/>
    </x:row>
    <x:row r="65">
      <x:c r="A65" s="396"/>
      <x:c r="B65" s="396"/>
      <x:c r="C65" s="396"/>
      <x:c r="D65" s="396"/>
      <x:c r="E65" s="396"/>
      <x:c r="F65" s="396"/>
      <x:c r="G65" s="397"/>
      <x:c r="H65" s="397" t="n">
        <x:f>SUMIFS('SCENARIO_2050'!$L:$L,'SCENARIO_2050'!$B:$B,$B65,'SCENARIO_2050'!$H:$H,$F65)</x:f>
        <x:v>0</x:v>
      </x:c>
      <x:c r="I65" s="397" t="n">
        <x:f>H65-G65</x:f>
        <x:v>0</x:v>
      </x:c>
      <x:c r="J65" s="397"/>
      <x:c r="K65" s="397"/>
      <x:c r="L65" s="396" t="str">
        <x:f>IF(ABS(I65)&lt;=K65,"PASS","REVIEW")</x:f>
        <x:v>PASS</x:v>
      </x:c>
      <x:c r="M65" s="396"/>
      <x:c r="N65" s="396"/>
    </x:row>
    <x:row r="66">
      <x:c r="A66" s="396"/>
      <x:c r="B66" s="396"/>
      <x:c r="C66" s="396"/>
      <x:c r="D66" s="396"/>
      <x:c r="E66" s="396"/>
      <x:c r="F66" s="396"/>
      <x:c r="G66" s="397"/>
      <x:c r="H66" s="397" t="n">
        <x:f>SUMIFS('SCENARIO_2050'!$L:$L,'SCENARIO_2050'!$B:$B,$B66,'SCENARIO_2050'!$H:$H,$F66)</x:f>
        <x:v>0</x:v>
      </x:c>
      <x:c r="I66" s="397" t="n">
        <x:f>H66-G66</x:f>
        <x:v>0</x:v>
      </x:c>
      <x:c r="J66" s="397"/>
      <x:c r="K66" s="397"/>
      <x:c r="L66" s="396" t="str">
        <x:f>IF(ABS(I66)&lt;=K66,"PASS","REVIEW")</x:f>
        <x:v>PASS</x:v>
      </x:c>
      <x:c r="M66" s="396"/>
      <x:c r="N66" s="396"/>
    </x:row>
    <x:row r="67">
      <x:c r="A67" s="396"/>
      <x:c r="B67" s="396"/>
      <x:c r="C67" s="396"/>
      <x:c r="D67" s="396"/>
      <x:c r="E67" s="396"/>
      <x:c r="F67" s="396"/>
      <x:c r="G67" s="397"/>
      <x:c r="H67" s="397" t="n">
        <x:f>SUMIFS('SCENARIO_2050'!$L:$L,'SCENARIO_2050'!$B:$B,$B67,'SCENARIO_2050'!$H:$H,$F67)</x:f>
        <x:v>0</x:v>
      </x:c>
      <x:c r="I67" s="397" t="n">
        <x:f>H67-G67</x:f>
        <x:v>0</x:v>
      </x:c>
      <x:c r="J67" s="397"/>
      <x:c r="K67" s="397"/>
      <x:c r="L67" s="396" t="str">
        <x:f>IF(ABS(I67)&lt;=K67,"PASS","REVIEW")</x:f>
        <x:v>PASS</x:v>
      </x:c>
      <x:c r="M67" s="396"/>
      <x:c r="N67" s="396"/>
    </x:row>
  </x:sheetData>
  <x:mergeCells>
    <x:mergeCell ref="A1:N1"/>
    <x:mergeCell ref="A2:N2"/>
  </x:mergeCells>
  <x:conditionalFormatting sqref="L5:L56">
    <x:cfRule type="expression" dxfId="99" priority="1">
      <x:formula>L5="PASS"</x:formula>
    </x:cfRule>
    <x:cfRule type="expression" dxfId="100" priority="2">
      <x:formula>L5="REVIEW"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b493264ede49c9"/>
  </x:tableParts>
</x:worksheet>
</file>

<file path=xl/worksheets/sheet5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22" hidden="0" customWidth="1"/>
    <x:col min="4" max="4" width="66" hidden="0" customWidth="1"/>
    <x:col min="5" max="5" width="18" hidden="0" customWidth="1"/>
    <x:col min="6" max="6" width="30" hidden="0" customWidth="1"/>
    <x:col min="7" max="7" width="18" hidden="0" customWidth="1"/>
  </x:cols>
  <x:sheetData>
    <x:row r="1" ht="34" customHeight="1">
      <x:c r="A1" s="340" t="str">
        <x:v>Gate decisionale degli scenari</x:v>
      </x:c>
      <x:c r="B1" s="340"/>
      <x:c r="C1" s="340"/>
      <x:c r="D1" s="340"/>
      <x:c r="E1" s="340"/>
      <x:c r="F1" s="340"/>
      <x:c r="G1" s="340"/>
    </x:row>
    <x:row r="2" ht="30" customHeight="1">
      <x:c r="A2" s="344" t="str">
        <x:v>La scelta dello scenario base non equivale ancora all'autorizzazione del run PyPSA</x:v>
      </x:c>
      <x:c r="B2" s="344"/>
      <x:c r="C2" s="344"/>
      <x:c r="D2" s="344"/>
      <x:c r="E2" s="344"/>
      <x:c r="F2" s="344"/>
      <x:c r="G2" s="344"/>
    </x:row>
    <x:row r="4" ht="42" customHeight="1">
      <x:c r="A4" s="348" t="str">
        <x:v>Decision ID</x:v>
      </x:c>
      <x:c r="B4" s="348" t="str">
        <x:v>Decisione</x:v>
      </x:c>
      <x:c r="C4" s="348" t="str">
        <x:v>Raccomandazione</x:v>
      </x:c>
      <x:c r="D4" s="348" t="str">
        <x:v>Effetto</x:v>
      </x:c>
      <x:c r="E4" s="348" t="str">
        <x:v>Gate</x:v>
      </x:c>
      <x:c r="F4" s="348" t="str">
        <x:v>Decisione utente</x:v>
      </x:c>
      <x:c r="G4" s="348" t="str">
        <x:v>Stato gate</x:v>
      </x:c>
    </x:row>
    <x:row r="5">
      <x:c r="A5" s="83" t="str">
        <x:v>D4-01</x:v>
      </x:c>
      <x:c r="B5" s="83" t="str">
        <x:v>Approve DE-IT as 2040 base</x:v>
      </x:c>
      <x:c r="C5" s="83" t="str">
        <x:v>Approved: DE-IT base</x:v>
      </x:c>
      <x:c r="D5" s="83" t="str">
        <x:v>Sets IT2040_BASE_DEIT as central case.</x:v>
      </x:c>
      <x:c r="E5" s="83" t="str">
        <x:v>Gate</x:v>
      </x:c>
      <x:c r="F5" s="83" t="str">
        <x:v>APPROVE</x:v>
      </x:c>
      <x:c r="G5" s="83" t="str">
        <x:v>CLOSED</x:v>
      </x:c>
    </x:row>
    <x:row r="6">
      <x:c r="A6" s="83" t="str">
        <x:v>D4-02</x:v>
      </x:c>
      <x:c r="B6" s="83" t="str">
        <x:v>Approve the direct PNIEC 8 GW nuclear scenario as 2050 base</x:v>
      </x:c>
      <x:c r="C6" s="83" t="str">
        <x:v>Approved: PNIEC 8 GW base</x:v>
      </x:c>
      <x:c r="D6" s="83" t="str">
        <x:v>Sets IT2050_BASE_PNIEC_NUCLEAR_8GW as the central 2050 case.</x:v>
      </x:c>
      <x:c r="E6" s="83" t="str">
        <x:v>Gate</x:v>
      </x:c>
      <x:c r="F6" s="83" t="str">
        <x:v>APPROVE</x:v>
      </x:c>
      <x:c r="G6" s="83" t="str">
        <x:v>CLOSED</x:v>
      </x:c>
    </x:row>
    <x:row r="7">
      <x:c r="A7" s="83" t="str">
        <x:v>D4-03</x:v>
      </x:c>
      <x:c r="B7" s="83" t="str">
        <x:v>Approve 2h/4h small-battery split</x:v>
      </x:c>
      <x:c r="C7" s="83" t="str">
        <x:v>Approved 66.7% / 33.3% energy split</x:v>
      </x:c>
      <x:c r="D7" s="83" t="str">
        <x:v>Makes 2040 BESS power modelable.</x:v>
      </x:c>
      <x:c r="E7" s="83" t="str">
        <x:v>Gate</x:v>
      </x:c>
      <x:c r="F7" s="83" t="str">
        <x:v>APPROVE</x:v>
      </x:c>
      <x:c r="G7" s="83" t="str">
        <x:v>CLOSED</x:v>
      </x:c>
    </x:row>
    <x:row r="8">
      <x:c r="A8" s="83" t="str">
        <x:v>D4-04</x:v>
      </x:c>
      <x:c r="B8" s="83" t="str">
        <x:v>Approve Capacity Market four-hour duration</x:v>
      </x:c>
      <x:c r="C8" s="83" t="str">
        <x:v>Approved 4h; CM remains separate from MACSE</x:v>
      </x:c>
      <x:c r="D8" s="83" t="str">
        <x:v>Keeps DDS Capacity Market energy separate from the MACSE procurement path.</x:v>
      </x:c>
      <x:c r="E8" s="83" t="str">
        <x:v>Gate</x:v>
      </x:c>
      <x:c r="F8" s="83" t="str">
        <x:v>APPROVE</x:v>
      </x:c>
      <x:c r="G8" s="83" t="str">
        <x:v>CLOSED</x:v>
      </x:c>
    </x:row>
    <x:row r="9">
      <x:c r="A9" s="83" t="str">
        <x:v>D4-05</x:v>
      </x:c>
      <x:c r="B9" s="83" t="str">
        <x:v>Approve 2050 zonal capacity proxy</x:v>
      </x:c>
      <x:c r="C9" s="83" t="str">
        <x:v>Approved: DE-IT 2040 technology shares</x:v>
      </x:c>
      <x:c r="D9" s="83" t="str">
        <x:v>Makes 2050 solar/wind zonal capacities modelable.</x:v>
      </x:c>
      <x:c r="E9" s="83" t="str">
        <x:v>Gate</x:v>
      </x:c>
      <x:c r="F9" s="83" t="str">
        <x:v>APPROVE</x:v>
      </x:c>
      <x:c r="G9" s="83" t="str">
        <x:v>CLOSED</x:v>
      </x:c>
    </x:row>
    <x:row r="10">
      <x:c r="A10" s="83" t="str">
        <x:v>D4-06</x:v>
      </x:c>
      <x:c r="B10" s="83" t="str">
        <x:v>Approve 2050 PNIEC BESS geography and provisional storage bridge</x:v>
      </x:c>
      <x:c r="C10" s="83" t="str">
        <x:v>Approved for Phase 5: 237.667 GWh / 43.653 GW</x:v>
      </x:c>
      <x:c r="D10" s="83" t="str">
        <x:v>Makes the PNIEC 8 GW scenario structurally complete while preserving a review flag before the run.</x:v>
      </x:c>
      <x:c r="E10" s="83" t="str">
        <x:v>Gate</x:v>
      </x:c>
      <x:c r="F10" s="83" t="str">
        <x:v>APPROVE</x:v>
      </x:c>
      <x:c r="G10" s="83" t="str">
        <x:v>CLOSED</x:v>
      </x:c>
    </x:row>
    <x:row r="11">
      <x:c r="A11" s="83" t="str">
        <x:v>D4-07</x:v>
      </x:c>
      <x:c r="B11" s="83" t="str">
        <x:v>Approve EUR2025 base and HICP conversion</x:v>
      </x:c>
      <x:c r="C11" s="83" t="str">
        <x:v>Approved</x:v>
      </x:c>
      <x:c r="D11" s="83" t="str">
        <x:v>Normalises DDS EUR2023 commodity prices for combination with v0.15.0 VOM.</x:v>
      </x:c>
      <x:c r="E11" s="83" t="str">
        <x:v>Gate</x:v>
      </x:c>
      <x:c r="F11" s="83" t="str">
        <x:v>APPROVE</x:v>
      </x:c>
      <x:c r="G11" s="83" t="str">
        <x:v>CLOSED</x:v>
      </x:c>
    </x:row>
    <x:row r="12">
      <x:c r="A12" s="83" t="str">
        <x:v>D4-08</x:v>
      </x:c>
      <x:c r="B12" s="83" t="str">
        <x:v>Approve v0.15.0 as provisional technical set</x:v>
      </x:c>
      <x:c r="C12" s="83" t="str">
        <x:v>Approved provisionally; actual CLI pin overrides</x:v>
      </x:c>
      <x:c r="D12" s="83" t="str">
        <x:v>Allows workbook construction while preserving reproducibility control.</x:v>
      </x:c>
      <x:c r="E12" s="83" t="str">
        <x:v>Before Phase 5 workbook</x:v>
      </x:c>
      <x:c r="F12" s="83" t="str">
        <x:v>APPROVE</x:v>
      </x:c>
      <x:c r="G12" s="83" t="str">
        <x:v>CLOSED</x:v>
      </x:c>
    </x:row>
    <x:row r="13">
      <x:c r="A13" s="83" t="str">
        <x:v>D4-09</x:v>
      </x:c>
      <x:c r="B13" s="83" t="str">
        <x:v>Approve 2050 grid floor</x:v>
      </x:c>
      <x:c r="C13" s="83" t="str">
        <x:v>Approved: PDS 2040 network floor</x:v>
      </x:c>
      <x:c r="D13" s="83" t="str">
        <x:v>Makes the central 2050 topology explicit without claiming an official 2050 target.</x:v>
      </x:c>
      <x:c r="E13" s="83" t="str">
        <x:v>Gate</x:v>
      </x:c>
      <x:c r="F13" s="83" t="str">
        <x:v>APPROVE</x:v>
      </x:c>
      <x:c r="G13" s="83" t="str">
        <x:v>CLOSED</x:v>
      </x:c>
    </x:row>
    <x:row r="14">
      <x:c r="A14" s="83" t="str">
        <x:v>D4-10</x:v>
      </x:c>
      <x:c r="B14" s="83" t="str">
        <x:v>Approve conditional status of scenarios</x:v>
      </x:c>
      <x:c r="C14" s="83" t="str">
        <x:v>Approved: Phase 5 ready, run blockers remain explicit</x:v>
      </x:c>
      <x:c r="D14" s="83" t="str">
        <x:v>Phase 5 can build a clean workbook without pretending the run is ready.</x:v>
      </x:c>
      <x:c r="E14" s="83" t="str">
        <x:v>Gate</x:v>
      </x:c>
      <x:c r="F14" s="83" t="str">
        <x:v>APPROVE</x:v>
      </x:c>
      <x:c r="G14" s="83" t="str">
        <x:v>CLOSED</x:v>
      </x:c>
    </x:row>
    <x:row r="15">
      <x:c r="A15" s="377" t="str">
        <x:v>D4-12</x:v>
      </x:c>
      <x:c r="B15" s="377" t="str">
        <x:v>Approve the PNIEC 2050 storage bridge for Phase 5 construction</x:v>
      </x:c>
      <x:c r="C15" s="377" t="str">
        <x:v>Approved provisionally: 237.667 GWh / 43.653 GW</x:v>
      </x:c>
      <x:c r="D15" s="377" t="str">
        <x:v>Closes the scenario-input schema; replace it if a direct PNIEC-compatible storage study is acquired before the run.</x:v>
      </x:c>
      <x:c r="E15" s="377" t="str">
        <x:v>Before first 2050 run</x:v>
      </x:c>
      <x:c r="F15" s="377" t="str">
        <x:v>APPROVE</x:v>
      </x:c>
      <x:c r="G15" s="377" t="str">
        <x:v>CLOSED FOR PHASE 5</x:v>
      </x:c>
    </x:row>
    <x:row r="16">
      <x:c r="A16" s="395"/>
      <x:c r="B16" s="395"/>
      <x:c r="C16" s="395"/>
      <x:c r="D16" s="395"/>
      <x:c r="E16" s="395"/>
      <x:c r="F16" s="395"/>
      <x:c r="G16" s="395"/>
    </x:row>
  </x:sheetData>
  <x:mergeCells>
    <x:mergeCell ref="A1:G1"/>
    <x:mergeCell ref="A2:G2"/>
  </x:mergeCells>
  <x:conditionalFormatting sqref="G5:G14">
    <x:cfRule type="expression" dxfId="101" priority="1">
      <x:formula>G5="CLOSED"</x:formula>
    </x:cfRule>
    <x:cfRule type="expression" dxfId="102" priority="2">
      <x:formula>G5="PENDING"</x:formula>
    </x:cfRule>
  </x:conditionalFormatting>
  <x:dataValidations count="2">
    <x:dataValidation type="list" sqref="F5:F14">
      <x:formula1>"APPROVE,MODIFY,REJECT,DEFER"</x:formula1>
    </x:dataValidation>
    <x:dataValidation type="list" sqref="G5:G14">
      <x:formula1>"PENDING,CLOSED,SUPERSEDED"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456369039e459e"/>
  </x:tableParts>
</x:worksheet>
</file>

<file path=xl/worksheets/sheet5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8" hidden="0" customWidth="1"/>
    <x:col min="4" max="4" width="24" hidden="0" customWidth="1"/>
    <x:col min="5" max="5" width="42" hidden="0" customWidth="1"/>
    <x:col min="6" max="6" width="17" hidden="0" customWidth="1"/>
    <x:col min="7" max="7" width="17" hidden="0" customWidth="1"/>
    <x:col min="8" max="8" width="22" hidden="0" customWidth="1"/>
    <x:col min="9" max="9" width="46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340" t="str">
        <x:v>Fase 4 v1.2 — Scenari armonizzati e autorizzazione Fase 5</x:v>
      </x:c>
      <x:c r="B1" s="340"/>
      <x:c r="C1" s="340"/>
      <x:c r="D1" s="340"/>
      <x:c r="E1" s="340"/>
      <x:c r="F1" s="340"/>
      <x:c r="G1" s="340"/>
      <x:c r="H1" s="340"/>
      <x:c r="I1" s="340"/>
      <x:c r="J1" s="340"/>
      <x:c r="K1" s="340"/>
      <x:c r="L1" s="340"/>
      <x:c r="M1" s="340"/>
      <x:c r="N1" s="340"/>
      <x:c r="O1" s="340"/>
      <x:c r="P1" s="340"/>
      <x:c r="Q1" s="340"/>
      <x:c r="R1" s="340"/>
    </x:row>
    <x:row r="2" ht="30" customHeight="1">
      <x:c r="A2" s="344" t="str">
        <x:v>Base approvate: DE-IT 2040 e PNIEC 2050 con 8 GW nucleari; input diretti, proxy e bridge provvisori restano separati</x:v>
      </x:c>
      <x:c r="B2" s="344"/>
      <x:c r="C2" s="344"/>
      <x:c r="D2" s="344"/>
      <x:c r="E2" s="344"/>
      <x:c r="F2" s="344"/>
      <x:c r="G2" s="344"/>
      <x:c r="H2" s="344"/>
      <x:c r="I2" s="344"/>
      <x:c r="J2" s="344"/>
      <x:c r="K2" s="344"/>
      <x:c r="L2" s="344"/>
      <x:c r="M2" s="344"/>
      <x:c r="N2" s="344"/>
      <x:c r="O2" s="344"/>
      <x:c r="P2" s="344"/>
      <x:c r="Q2" s="344"/>
      <x:c r="R2" s="344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351" t="str">
        <x:v>Indicatore</x:v>
      </x:c>
      <x:c r="B4" s="351" t="str">
        <x:v>Valore</x:v>
      </x:c>
      <x:c r="C4" s="45"/>
      <x:c r="D4" s="351" t="str">
        <x:v>Scenari base proposti</x:v>
      </x:c>
      <x:c r="E4" s="351"/>
      <x:c r="F4" s="351"/>
      <x:c r="G4" s="351"/>
      <x:c r="H4" s="351"/>
      <x:c r="I4" s="351"/>
      <x:c r="J4" s="351"/>
      <x:c r="K4" s="45"/>
      <x:c r="L4" s="45"/>
      <x:c r="M4" s="45"/>
      <x:c r="N4" s="45"/>
      <x:c r="O4" s="45"/>
      <x:c r="P4" s="45"/>
      <x:c r="Q4" s="45"/>
      <x:c r="R4" s="45"/>
    </x:row>
    <x:row r="5">
      <x:c r="A5" s="353" t="str">
        <x:v>Scenari catalogati</x:v>
      </x:c>
      <x:c r="B5" s="48" t="n">
        <x:v>8</x:v>
      </x:c>
      <x:c r="C5" s="45"/>
      <x:c r="D5" s="358" t="str">
        <x:v>2040: IT2040_BASE_DEIT approvato. Capacity Market resta separato dal percorso MACSE 42 GWh. 2050: IT2050_BASE_PNIEC_NUCLEAR_8GW approvato come caso centrale, con 583,1 TWh di domanda, 296 GW FRNP e 8 GW nucleari. Poiché il PNIEC non quantifica gli accumuli, il workbook usa un bridge provvisorio di 237.7 GWh / 43.65 GW derivato dalla relazione Terna. Il caso senza nucleare resta sensitivity.</x:v>
      </x:c>
      <x:c r="E5" s="358"/>
      <x:c r="F5" s="358"/>
      <x:c r="G5" s="358"/>
      <x:c r="H5" s="358"/>
      <x:c r="I5" s="358"/>
      <x:c r="J5" s="358"/>
      <x:c r="K5" s="45"/>
      <x:c r="L5" s="45"/>
      <x:c r="M5" s="45"/>
      <x:c r="N5" s="45"/>
      <x:c r="O5" s="45"/>
      <x:c r="P5" s="45"/>
      <x:c r="Q5" s="45"/>
      <x:c r="R5" s="45"/>
    </x:row>
    <x:row r="6">
      <x:c r="A6" s="353" t="str">
        <x:v>Righe scenario 2040</x:v>
      </x:c>
      <x:c r="B6" s="48" t="n">
        <x:v>528</x:v>
      </x:c>
      <x:c r="C6" s="45"/>
      <x:c r="D6" s="358"/>
      <x:c r="E6" s="358"/>
      <x:c r="F6" s="358"/>
      <x:c r="G6" s="358"/>
      <x:c r="H6" s="358"/>
      <x:c r="I6" s="358"/>
      <x:c r="J6" s="358"/>
      <x:c r="K6" s="45"/>
      <x:c r="L6" s="45"/>
      <x:c r="M6" s="45"/>
      <x:c r="N6" s="45"/>
      <x:c r="O6" s="45"/>
      <x:c r="P6" s="45"/>
      <x:c r="Q6" s="45"/>
      <x:c r="R6" s="45"/>
    </x:row>
    <x:row r="7">
      <x:c r="A7" s="353" t="str">
        <x:v>Righe scenario 2050</x:v>
      </x:c>
      <x:c r="B7" s="48" t="n">
        <x:v>190</x:v>
      </x:c>
      <x:c r="C7" s="45"/>
      <x:c r="D7" s="358"/>
      <x:c r="E7" s="358"/>
      <x:c r="F7" s="358"/>
      <x:c r="G7" s="358"/>
      <x:c r="H7" s="358"/>
      <x:c r="I7" s="358"/>
      <x:c r="J7" s="358"/>
      <x:c r="K7" s="45"/>
      <x:c r="L7" s="45"/>
      <x:c r="M7" s="45"/>
      <x:c r="N7" s="45"/>
      <x:c r="O7" s="45"/>
      <x:c r="P7" s="45"/>
      <x:c r="Q7" s="45"/>
      <x:c r="R7" s="45"/>
    </x:row>
    <x:row r="8">
      <x:c r="A8" s="353" t="str">
        <x:v>Assunzioni</x:v>
      </x:c>
      <x:c r="B8" s="48" t="n">
        <x:v>36</x:v>
      </x:c>
      <x:c r="C8" s="45"/>
      <x:c r="D8" s="358"/>
      <x:c r="E8" s="358"/>
      <x:c r="F8" s="358"/>
      <x:c r="G8" s="358"/>
      <x:c r="H8" s="358"/>
      <x:c r="I8" s="358"/>
      <x:c r="J8" s="358"/>
      <x:c r="K8" s="45"/>
      <x:c r="L8" s="45"/>
      <x:c r="M8" s="45"/>
      <x:c r="N8" s="45"/>
      <x:c r="O8" s="45"/>
      <x:c r="P8" s="45"/>
      <x:c r="Q8" s="45"/>
      <x:c r="R8" s="45"/>
    </x:row>
    <x:row r="9">
      <x:c r="A9" s="353" t="str">
        <x:v>Riconciliazioni</x:v>
      </x:c>
      <x:c r="B9" s="48" t="n">
        <x:v>63</x:v>
      </x:c>
      <x:c r="C9" s="45"/>
      <x:c r="D9" s="358"/>
      <x:c r="E9" s="358"/>
      <x:c r="F9" s="358"/>
      <x:c r="G9" s="358"/>
      <x:c r="H9" s="358"/>
      <x:c r="I9" s="358"/>
      <x:c r="J9" s="358"/>
      <x:c r="K9" s="45"/>
      <x:c r="L9" s="45"/>
      <x:c r="M9" s="45"/>
      <x:c r="N9" s="45"/>
      <x:c r="O9" s="45"/>
      <x:c r="P9" s="45"/>
      <x:c r="Q9" s="45"/>
      <x:c r="R9" s="45"/>
    </x:row>
    <x:row r="10">
      <x:c r="A10" s="353" t="str">
        <x:v>QA PASS</x:v>
      </x:c>
      <x:c r="B10" s="48" t="n">
        <x:v>63</x:v>
      </x:c>
      <x:c r="C10" s="45"/>
      <x:c r="D10" s="358"/>
      <x:c r="E10" s="358"/>
      <x:c r="F10" s="358"/>
      <x:c r="G10" s="358"/>
      <x:c r="H10" s="358"/>
      <x:c r="I10" s="358"/>
      <x:c r="J10" s="358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353" t="str">
        <x:v>QA REVIEW</x:v>
      </x:c>
      <x:c r="B11" s="48" t="n">
        <x:v>0</x:v>
      </x:c>
      <x:c r="C11" s="45"/>
      <x:c r="D11" s="358"/>
      <x:c r="E11" s="358"/>
      <x:c r="F11" s="358"/>
      <x:c r="G11" s="358"/>
      <x:c r="H11" s="358"/>
      <x:c r="I11" s="358"/>
      <x:c r="J11" s="358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353" t="str">
        <x:v>Tassonomie</x:v>
      </x:c>
      <x:c r="B12" s="48" t="n">
        <x:v>16</x:v>
      </x:c>
      <x:c r="C12" s="45"/>
      <x:c r="D12" s="358"/>
      <x:c r="E12" s="358"/>
      <x:c r="F12" s="358"/>
      <x:c r="G12" s="358"/>
      <x:c r="H12" s="358"/>
      <x:c r="I12" s="358"/>
      <x:c r="J12" s="358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353" t="str">
        <x:v>Decisioni gate</x:v>
      </x:c>
      <x:c r="B13" s="48" t="n">
        <x:v>12</x:v>
      </x:c>
      <x:c r="C13" s="45"/>
      <x:c r="D13" s="358"/>
      <x:c r="E13" s="358"/>
      <x:c r="F13" s="358"/>
      <x:c r="G13" s="358"/>
      <x:c r="H13" s="358"/>
      <x:c r="I13" s="358"/>
      <x:c r="J13" s="358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 ht="22" customHeight="1">
      <x:c r="A16" s="359" t="str">
        <x:v>Scenario 2040</x:v>
      </x:c>
      <x:c r="B16" s="359" t="str">
        <x:v>Domanda TWh</x:v>
      </x:c>
      <x:c r="C16" s="359" t="str">
        <x:v>Solare GW</x:v>
      </x:c>
      <x:c r="D16" s="359" t="str">
        <x:v>Onshore GW</x:v>
      </x:c>
      <x:c r="E16" s="359" t="str">
        <x:v>Offshore GW</x:v>
      </x:c>
      <x:c r="F16" s="359" t="str">
        <x:v>BESS GWh</x:v>
      </x:c>
      <x:c r="G16" s="359" t="str">
        <x:v>BESS GW</x:v>
      </x:c>
      <x:c r="H16" s="359" t="str">
        <x:v>Rete</x:v>
      </x:c>
      <x:c r="I16" s="359" t="str">
        <x:v>Ruolo</x:v>
      </x:c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 ht="22" customHeight="1">
      <x:c r="A17" s="45" t="str">
        <x:v>Base DE-IT</x:v>
      </x:c>
      <x:c r="B17" s="225" t="n">
        <x:f>SUMIFS('SCENARIO_2040'!$L:$L,'SCENARIO_2040'!$B:$B,"IT2040_BASE_DEIT",'SCENARIO_2040'!$D:$D,"QA target",'SCENARIO_2040'!$H:$H,"Total annual electricity requirement")</x:f>
        <x:v>439</x:v>
      </x:c>
      <x:c r="C17" s="225" t="n">
        <x:f>SUMIFS('SCENARIO_2040'!$L:$L,'SCENARIO_2040'!$B:$B,"IT2040_BASE_DEIT",'SCENARIO_2040'!$D:$D,"Generation capacity",'SCENARIO_2040'!$I:$I,"solar-rooftop")+SUMIFS('SCENARIO_2040'!$L:$L,'SCENARIO_2040'!$B:$B,"IT2040_BASE_DEIT",'SCENARIO_2040'!$D:$D,"Generation capacity",'SCENARIO_2040'!$I:$I,"solar-utility")</x:f>
        <x:v>120.9</x:v>
      </x:c>
      <x:c r="D17" s="225" t="n">
        <x:f>SUMIFS('SCENARIO_2040'!$L:$L,'SCENARIO_2040'!$B:$B,"IT2040_BASE_DEIT",'SCENARIO_2040'!$D:$D,"Generation capacity",'SCENARIO_2040'!$H:$H,"Wind onshore")</x:f>
        <x:v>34.1</x:v>
      </x:c>
      <x:c r="E17" s="225" t="n">
        <x:f>SUMIFS('SCENARIO_2040'!$L:$L,'SCENARIO_2040'!$B:$B,"IT2040_BASE_DEIT",'SCENARIO_2040'!$D:$D,"Generation capacity",'SCENARIO_2040'!$H:$H,"Wind offshore unspecified")</x:f>
        <x:v>15.2</x:v>
      </x:c>
      <x:c r="F17" s="225" t="n">
        <x:f>SUMIFS('SCENARIO_2040'!$L:$L,'SCENARIO_2040'!$B:$B,"IT2040_BASE_DEIT",'SCENARIO_2040'!$D:$D,"Storage",'SCENARIO_2040'!$I:$I,"battery")</x:f>
        <x:v>166.4</x:v>
      </x:c>
      <x:c r="G17" s="225" t="n">
        <x:f>SUMIFS('SCENARIO_2040'!$L:$L,'SCENARIO_2040'!$B:$B,"IT2040_BASE_DEIT",'SCENARIO_2040'!$D:$D,"Storage power",'SCENARIO_2040'!$I:$I,"battery")</x:f>
        <x:v>27.26666666666667</x:v>
      </x:c>
      <x:c r="H17" s="45" t="str">
        <x:v>2040_BASE</x:v>
      </x:c>
      <x:c r="I17" s="45" t="str">
        <x:v>APPROVED BASE</x:v>
      </x:c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 ht="22" customHeight="1">
      <x:c r="A18" s="45" t="str">
        <x:v>GA-IT</x:v>
      </x:c>
      <x:c r="B18" s="225" t="n">
        <x:f>SUMIFS('SCENARIO_2040'!$L:$L,'SCENARIO_2040'!$B:$B,"IT2040_ALT_GAIT",'SCENARIO_2040'!$D:$D,"QA target",'SCENARIO_2040'!$H:$H,"Total annual electricity requirement")</x:f>
        <x:v>415.2</x:v>
      </x:c>
      <x:c r="C18" s="225" t="n">
        <x:f>SUMIFS('SCENARIO_2040'!$L:$L,'SCENARIO_2040'!$B:$B,"IT2040_ALT_GAIT",'SCENARIO_2040'!$D:$D,"Generation capacity",'SCENARIO_2040'!$I:$I,"solar-rooftop")+SUMIFS('SCENARIO_2040'!$L:$L,'SCENARIO_2040'!$B:$B,"IT2040_ALT_GAIT",'SCENARIO_2040'!$D:$D,"Generation capacity",'SCENARIO_2040'!$I:$I,"solar-utility")</x:f>
        <x:v>111.10000000000001</x:v>
      </x:c>
      <x:c r="D18" s="225" t="n">
        <x:f>SUMIFS('SCENARIO_2040'!$L:$L,'SCENARIO_2040'!$B:$B,"IT2040_ALT_GAIT",'SCENARIO_2040'!$D:$D,"Generation capacity",'SCENARIO_2040'!$H:$H,"Wind onshore")</x:f>
        <x:v>30.900000000000002</x:v>
      </x:c>
      <x:c r="E18" s="225" t="n">
        <x:f>SUMIFS('SCENARIO_2040'!$L:$L,'SCENARIO_2040'!$B:$B,"IT2040_ALT_GAIT",'SCENARIO_2040'!$D:$D,"Generation capacity",'SCENARIO_2040'!$H:$H,"Wind offshore unspecified")</x:f>
        <x:v>12.100000000000001</x:v>
      </x:c>
      <x:c r="F18" s="225" t="n">
        <x:f>SUMIFS('SCENARIO_2040'!$L:$L,'SCENARIO_2040'!$B:$B,"IT2040_ALT_GAIT",'SCENARIO_2040'!$D:$D,"Storage",'SCENARIO_2040'!$I:$I,"battery")</x:f>
        <x:v>133.69999999999996</x:v>
      </x:c>
      <x:c r="G18" s="225" t="n">
        <x:f>SUMIFS('SCENARIO_2040'!$L:$L,'SCENARIO_2040'!$B:$B,"IT2040_ALT_GAIT",'SCENARIO_2040'!$D:$D,"Storage power",'SCENARIO_2040'!$I:$I,"battery")</x:f>
        <x:v>23.004166666666666</x:v>
      </x:c>
      <x:c r="H18" s="45" t="str">
        <x:v>2040_BASE</x:v>
      </x:c>
      <x:c r="I18" s="45" t="str">
        <x:v>SENSITIVITY</x:v>
      </x:c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 ht="22" customHeight="1">
      <x:c r="A19" s="45" t="str">
        <x:v>PNIEC Slow</x:v>
      </x:c>
      <x:c r="B19" s="225" t="n">
        <x:f>SUMIFS('SCENARIO_2040'!$L:$L,'SCENARIO_2040'!$B:$B,"IT2040_ALT_SLOW",'SCENARIO_2040'!$D:$D,"QA target",'SCENARIO_2040'!$H:$H,"Total annual electricity requirement")</x:f>
        <x:v>404.4</x:v>
      </x:c>
      <x:c r="C19" s="225" t="n">
        <x:f>SUMIFS('SCENARIO_2040'!$L:$L,'SCENARIO_2040'!$B:$B,"IT2040_ALT_SLOW",'SCENARIO_2040'!$D:$D,"Generation capacity",'SCENARIO_2040'!$I:$I,"solar-rooftop")+SUMIFS('SCENARIO_2040'!$L:$L,'SCENARIO_2040'!$B:$B,"IT2040_ALT_SLOW",'SCENARIO_2040'!$D:$D,"Generation capacity",'SCENARIO_2040'!$I:$I,"solar-utility")</x:f>
        <x:v>105.20000000000002</x:v>
      </x:c>
      <x:c r="D19" s="225" t="n">
        <x:f>SUMIFS('SCENARIO_2040'!$L:$L,'SCENARIO_2040'!$B:$B,"IT2040_ALT_SLOW",'SCENARIO_2040'!$D:$D,"Generation capacity",'SCENARIO_2040'!$H:$H,"Wind onshore")</x:f>
        <x:v>29</x:v>
      </x:c>
      <x:c r="E19" s="225" t="n">
        <x:f>SUMIFS('SCENARIO_2040'!$L:$L,'SCENARIO_2040'!$B:$B,"IT2040_ALT_SLOW",'SCENARIO_2040'!$D:$D,"Generation capacity",'SCENARIO_2040'!$H:$H,"Wind offshore unspecified")</x:f>
        <x:v>10.100000000000001</x:v>
      </x:c>
      <x:c r="F19" s="225" t="n">
        <x:f>SUMIFS('SCENARIO_2040'!$L:$L,'SCENARIO_2040'!$B:$B,"IT2040_ALT_SLOW",'SCENARIO_2040'!$D:$D,"Storage",'SCENARIO_2040'!$I:$I,"battery")</x:f>
        <x:v>116.8</x:v>
      </x:c>
      <x:c r="G19" s="225" t="n">
        <x:f>SUMIFS('SCENARIO_2040'!$L:$L,'SCENARIO_2040'!$B:$B,"IT2040_ALT_SLOW",'SCENARIO_2040'!$D:$D,"Storage power",'SCENARIO_2040'!$I:$I,"battery")</x:f>
        <x:v>20.600000000000005</x:v>
      </x:c>
      <x:c r="H19" s="45" t="str">
        <x:v>2040_BASE</x:v>
      </x:c>
      <x:c r="I19" s="45" t="str">
        <x:v>SENSITIVITY</x:v>
      </x:c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 ht="22" customHeight="1">
      <x:c r="A20" s="45" t="str">
        <x:v>DE-IT / rete 2035</x:v>
      </x:c>
      <x:c r="B20" s="225" t="n">
        <x:f>SUMIFS('SCENARIO_2040'!$L:$L,'SCENARIO_2040'!$B:$B,"IT2040_GRID_DELAY",'SCENARIO_2040'!$D:$D,"QA target",'SCENARIO_2040'!$H:$H,"Total annual electricity requirement")</x:f>
        <x:v>439</x:v>
      </x:c>
      <x:c r="C20" s="225" t="n">
        <x:f>SUMIFS('SCENARIO_2040'!$L:$L,'SCENARIO_2040'!$B:$B,"IT2040_GRID_DELAY",'SCENARIO_2040'!$D:$D,"Generation capacity",'SCENARIO_2040'!$I:$I,"solar-rooftop")+SUMIFS('SCENARIO_2040'!$L:$L,'SCENARIO_2040'!$B:$B,"IT2040_GRID_DELAY",'SCENARIO_2040'!$D:$D,"Generation capacity",'SCENARIO_2040'!$I:$I,"solar-utility")</x:f>
        <x:v>120.9</x:v>
      </x:c>
      <x:c r="D20" s="225" t="n">
        <x:f>SUMIFS('SCENARIO_2040'!$L:$L,'SCENARIO_2040'!$B:$B,"IT2040_GRID_DELAY",'SCENARIO_2040'!$D:$D,"Generation capacity",'SCENARIO_2040'!$H:$H,"Wind onshore")</x:f>
        <x:v>34.1</x:v>
      </x:c>
      <x:c r="E20" s="225" t="n">
        <x:f>SUMIFS('SCENARIO_2040'!$L:$L,'SCENARIO_2040'!$B:$B,"IT2040_GRID_DELAY",'SCENARIO_2040'!$D:$D,"Generation capacity",'SCENARIO_2040'!$H:$H,"Wind offshore unspecified")</x:f>
        <x:v>15.2</x:v>
      </x:c>
      <x:c r="F20" s="225" t="n">
        <x:f>SUMIFS('SCENARIO_2040'!$L:$L,'SCENARIO_2040'!$B:$B,"IT2040_GRID_DELAY",'SCENARIO_2040'!$D:$D,"Storage",'SCENARIO_2040'!$I:$I,"battery")</x:f>
        <x:v>166.4</x:v>
      </x:c>
      <x:c r="G20" s="225" t="n">
        <x:f>SUMIFS('SCENARIO_2040'!$L:$L,'SCENARIO_2040'!$B:$B,"IT2040_GRID_DELAY",'SCENARIO_2040'!$D:$D,"Storage power",'SCENARIO_2040'!$I:$I,"battery")</x:f>
        <x:v>27.26666666666667</x:v>
      </x:c>
      <x:c r="H20" s="45" t="str">
        <x:v>2040_CONSERVATIVE</x:v>
      </x:c>
      <x:c r="I20" s="45" t="str">
        <x:v>SENSITIVITY</x:v>
      </x:c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 ht="24" customHeight="1">
      <x:c r="A24" s="359" t="str">
        <x:v>Scenario 2050</x:v>
      </x:c>
      <x:c r="B24" s="359" t="str">
        <x:v>Domanda TWh</x:v>
      </x:c>
      <x:c r="C24" s="359" t="str">
        <x:v>Solare GW</x:v>
      </x:c>
      <x:c r="D24" s="359" t="str">
        <x:v>Onshore GW</x:v>
      </x:c>
      <x:c r="E24" s="359" t="str">
        <x:v>Offshore GW</x:v>
      </x:c>
      <x:c r="F24" s="359" t="str">
        <x:v>Nucleare GW</x:v>
      </x:c>
      <x:c r="G24" s="359" t="str">
        <x:v>BESS GWh</x:v>
      </x:c>
      <x:c r="H24" s="359" t="str">
        <x:v>BESS GW</x:v>
      </x:c>
      <x:c r="I24" s="359" t="str">
        <x:v>Stato</x:v>
      </x:c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 ht="38" customHeight="1">
      <x:c r="A25" s="45" t="str">
        <x:v>Base PNIEC nucleare 8 GW</x:v>
      </x:c>
      <x:c r="B25" s="225" t="n">
        <x:f>SUMIFS('SCENARIO_2050'!$L:$L,'SCENARIO_2050'!$B:$B,"IT2050_BASE_PNIEC_NUCLEAR_8GW",'SCENARIO_2050'!$D:$D,"QA target",'SCENARIO_2050'!$H:$H,"Total annual electricity requirement")</x:f>
        <x:v>583.1</x:v>
      </x:c>
      <x:c r="C25" s="225" t="n">
        <x:f>SUMIFS('SCENARIO_2050'!$L:$L,'SCENARIO_2050'!$B:$B,"IT2050_BASE_PNIEC_NUCLEAR_8GW",'SCENARIO_2050'!$D:$D,"Generation capacity",'SCENARIO_2050'!$I:$I,"solar-rooftop")+SUMIFS('SCENARIO_2050'!$L:$L,'SCENARIO_2050'!$B:$B,"IT2050_BASE_PNIEC_NUCLEAR_8GW",'SCENARIO_2050'!$D:$D,"Generation capacity",'SCENARIO_2050'!$I:$I,"solar-utility")</x:f>
        <x:v>244.99999999999997</x:v>
      </x:c>
      <x:c r="D25" s="225" t="n">
        <x:f>SUMIFS('SCENARIO_2050'!$L:$L,'SCENARIO_2050'!$B:$B,"IT2050_BASE_PNIEC_NUCLEAR_8GW",'SCENARIO_2050'!$D:$D,"Generation capacity",'SCENARIO_2050'!$H:$H,"Wind onshore")</x:f>
        <x:v>36</x:v>
      </x:c>
      <x:c r="E25" s="225" t="n">
        <x:f>SUMIFS('SCENARIO_2050'!$L:$L,'SCENARIO_2050'!$B:$B,"IT2050_BASE_PNIEC_NUCLEAR_8GW",'SCENARIO_2050'!$D:$D,"Generation capacity",'SCENARIO_2050'!$H:$H,"Wind offshore unspecified")</x:f>
        <x:v>15.000000000000002</x:v>
      </x:c>
      <x:c r="F25" s="225" t="n">
        <x:f>SUMIFS('SCENARIO_2050'!$L:$L,'SCENARIO_2050'!$B:$B,"IT2050_BASE_PNIEC_NUCLEAR_8GW",'SCENARIO_2050'!$D:$D,"Generation capacity",'SCENARIO_2050'!$H:$H,"New nuclear / SMR portfolio")</x:f>
        <x:v>8</x:v>
      </x:c>
      <x:c r="G25" s="225" t="n">
        <x:f>SUMIFS('SCENARIO_2050'!$L:$L,'SCENARIO_2050'!$B:$B,"IT2050_BASE_PNIEC_NUCLEAR_8GW",'SCENARIO_2050'!$D:$D,"Storage",'SCENARIO_2050'!$I:$I,"battery")</x:f>
        <x:v>237.66666666666666</x:v>
      </x:c>
      <x:c r="H25" s="225" t="n">
        <x:f>SUMIFS('SCENARIO_2050'!$L:$L,'SCENARIO_2050'!$B:$B,"IT2050_BASE_PNIEC_NUCLEAR_8GW",'SCENARIO_2050'!$D:$D,"Storage power",'SCENARIO_2050'!$I:$I,"battery")</x:f>
        <x:v>43.6530612244898</x:v>
      </x:c>
      <x:c r="I25" s="407" t="str">
        <x:v>PHASE 5 READY — RUN BLOCKED by siting/refuelling, profiles, hydro, CO2 price and CLI pin</x:v>
      </x:c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 ht="38" customHeight="1">
      <x:c r="A26" s="45" t="str">
        <x:v>Sensitivity Terna senza nucleare</x:v>
      </x:c>
      <x:c r="B26" s="225" t="n">
        <x:f>SUMIFS('SCENARIO_2050'!$L:$L,'SCENARIO_2050'!$B:$B,"IT2050_SENS_NO_NUCLEAR",'SCENARIO_2050'!$D:$D,"QA target",'SCENARIO_2050'!$H:$H,"Total annual electricity requirement")</x:f>
        <x:v>583</x:v>
      </x:c>
      <x:c r="C26" s="225" t="n">
        <x:f>SUMIFS('SCENARIO_2050'!$L:$L,'SCENARIO_2050'!$B:$B,"IT2050_SENS_NO_NUCLEAR",'SCENARIO_2050'!$D:$D,"Generation capacity",'SCENARIO_2050'!$I:$I,"solar-rooftop")+SUMIFS('SCENARIO_2050'!$L:$L,'SCENARIO_2050'!$B:$B,"IT2050_SENS_NO_NUCLEAR",'SCENARIO_2050'!$D:$D,"Generation capacity",'SCENARIO_2050'!$I:$I,"solar-utility")</x:f>
        <x:v>200</x:v>
      </x:c>
      <x:c r="D26" s="225" t="n">
        <x:f>SUMIFS('SCENARIO_2050'!$L:$L,'SCENARIO_2050'!$B:$B,"IT2050_SENS_NO_NUCLEAR",'SCENARIO_2050'!$D:$D,"Generation capacity",'SCENARIO_2050'!$H:$H,"Wind onshore")</x:f>
        <x:v>50</x:v>
      </x:c>
      <x:c r="E26" s="225" t="n">
        <x:f>SUMIFS('SCENARIO_2050'!$L:$L,'SCENARIO_2050'!$B:$B,"IT2050_SENS_NO_NUCLEAR",'SCENARIO_2050'!$D:$D,"Generation capacity",'SCENARIO_2050'!$H:$H,"Wind offshore unspecified")</x:f>
        <x:v>20</x:v>
      </x:c>
      <x:c r="F26" s="225" t="n">
        <x:f>SUMIFS('SCENARIO_2050'!$L:$L,'SCENARIO_2050'!$B:$B,"IT2050_SENS_NO_NUCLEAR",'SCENARIO_2050'!$D:$D,"Generation capacity",'SCENARIO_2050'!$H:$H,"New nuclear / SMR portfolio")</x:f>
        <x:v>0</x:v>
      </x:c>
      <x:c r="G26" s="225" t="n">
        <x:f>SUMIFS('SCENARIO_2050'!$L:$L,'SCENARIO_2050'!$B:$B,"IT2050_SENS_NO_NUCLEAR",'SCENARIO_2050'!$D:$D,"Storage",'SCENARIO_2050'!$I:$I,"battery")</x:f>
        <x:v>216.00000000000003</x:v>
      </x:c>
      <x:c r="H26" s="225" t="n">
        <x:f>SUMIFS('SCENARIO_2050'!$L:$L,'SCENARIO_2050'!$B:$B,"IT2050_SENS_NO_NUCLEAR",'SCENARIO_2050'!$D:$D,"Storage power",'SCENARIO_2050'!$I:$I,"battery")</x:f>
        <x:v>39.6734693877551</x:v>
      </x:c>
      <x:c r="I26" s="407" t="str">
        <x:v>CONDITIONAL SENSITIVITY</x:v>
      </x:c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359" t="str">
        <x:v>Decisioni richieste al gate</x:v>
      </x:c>
      <x:c r="B30" s="359"/>
      <x:c r="C30" s="359"/>
      <x:c r="D30" s="359" t="str">
        <x:v>Readiness e limiti</x:v>
      </x:c>
      <x:c r="E30" s="359"/>
      <x:c r="F30" s="359"/>
      <x:c r="G30" s="359"/>
      <x:c r="H30" s="359"/>
      <x:c r="I30" s="359"/>
      <x:c r="J30" s="359"/>
      <x:c r="K30" s="45"/>
      <x:c r="L30" s="45"/>
      <x:c r="M30" s="45"/>
      <x:c r="N30" s="45"/>
      <x:c r="O30" s="45"/>
      <x:c r="P30" s="45"/>
      <x:c r="Q30" s="45"/>
      <x:c r="R30" s="45"/>
    </x:row>
    <x:row r="31" ht="32" customHeight="1">
      <x:c r="A31" s="367" t="str">
        <x:v>2040 base</x:v>
      </x:c>
      <x:c r="B31" s="262" t="str">
        <x:v>DE-IT approvato come caso centrale.</x:v>
      </x:c>
      <x:c r="C31" s="45"/>
      <x:c r="D31" s="367" t="str">
        <x:v>Scenario specification</x:v>
      </x:c>
      <x:c r="E31" s="262" t="str">
        <x:v>READY — annuale, zonale e direzionale</x:v>
      </x:c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 ht="32" customHeight="1">
      <x:c r="A32" s="367" t="str">
        <x:v>2050 base</x:v>
      </x:c>
      <x:c r="B32" s="262" t="str">
        <x:v>PNIEC con 8 GW nucleari approvato come caso centrale.</x:v>
      </x:c>
      <x:c r="C32" s="45"/>
      <x:c r="D32" s="367" t="str">
        <x:v>Reconciliation</x:v>
      </x:c>
      <x:c r="E32" s="262" t="str">
        <x:v>READY — 63/63 controlli entro tolleranza</x:v>
      </x:c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 ht="32" customHeight="1">
      <x:c r="A33" s="367" t="str">
        <x:v>No-nuclear sensitivity</x:v>
      </x:c>
      <x:c r="B33" s="262" t="str">
        <x:v>Terna senza nucleare mantenuto come controfattuale tecnico.</x:v>
      </x:c>
      <x:c r="C33" s="45"/>
      <x:c r="D33" s="367" t="str">
        <x:v>PNIEC source bridge</x:v>
      </x:c>
      <x:c r="E33" s="262" t="str">
        <x:v>READY — valori diretti e assunzioni separati</x:v>
      </x:c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</x:row>
    <x:row r="34" ht="32" customHeight="1">
      <x:c r="A34" s="367" t="str">
        <x:v>Small-scale BESS</x:v>
      </x:c>
      <x:c r="B34" s="262" t="str">
        <x:v>Approvato: 2/3 a 2h e 1/3 a 4h.</x:v>
      </x:c>
      <x:c r="C34" s="45"/>
      <x:c r="D34" s="367" t="str">
        <x:v>Nuclear siting/refuelling</x:v>
      </x:c>
      <x:c r="E34" s="262" t="str">
        <x:v>OPEN — blocca il run, non la Fase 5</x:v>
      </x:c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 ht="32" customHeight="1">
      <x:c r="A35" s="367" t="str">
        <x:v>Capacity Market BESS</x:v>
      </x:c>
      <x:c r="B35" s="262" t="str">
        <x:v>Approvato: 4h; separato da MACSE.</x:v>
      </x:c>
      <x:c r="C35" s="45"/>
      <x:c r="D35" s="367" t="str">
        <x:v>Hourly profiles</x:v>
      </x:c>
      <x:c r="E35" s="262" t="str">
        <x:v>OPEN — domanda, FER, idro e P2X</x:v>
      </x:c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 ht="32" customHeight="1">
      <x:c r="A36" s="367" t="str">
        <x:v>MACSE</x:v>
      </x:c>
      <x:c r="B36" s="262" t="str">
        <x:v>42 GWh = 10 + 16 + 16, inclusi nella categoria Utility Scale.</x:v>
      </x:c>
      <x:c r="C36" s="45"/>
      <x:c r="D36" s="367" t="str">
        <x:v>Thermal/hydro detail</x:v>
      </x:c>
      <x:c r="E36" s="262" t="str">
        <x:v>OPEN — impianti, coorti, inflow e SOC</x:v>
      </x:c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 ht="32" customHeight="1">
      <x:c r="A37" s="367" t="str">
        <x:v>Storage 2050</x:v>
      </x:c>
      <x:c r="B37" s="262" t="str">
        <x:v>Bridge provvisorio 237,67 GWh / 43,65 GW, da rivedere prima del run.</x:v>
      </x:c>
      <x:c r="C37" s="45"/>
      <x:c r="D37" s="367" t="str">
        <x:v>2050 CO₂ / VOLL</x:v>
      </x:c>
      <x:c r="E37" s="262" t="str">
        <x:v>OPEN</x:v>
      </x:c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 ht="32" customHeight="1">
      <x:c r="A38" s="367" t="str">
        <x:v>Moneta / tech-data</x:v>
      </x:c>
      <x:c r="B38" s="262" t="str">
        <x:v>EUR2025; v0.15.0 subordinato al pin CLI.</x:v>
      </x:c>
      <x:c r="C38" s="45"/>
      <x:c r="D38" s="367" t="str">
        <x:v>Phase 5 workbook</x:v>
      </x:c>
      <x:c r="E38" s="368" t="str">
        <x:v>AUTHORISED</x:v>
      </x:c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 t="str">
        <x:v>Scenario</x:v>
      </x:c>
      <x:c r="B45" s="45" t="str">
        <x:v>Domanda TWh</x:v>
      </x:c>
      <x:c r="C45" s="45"/>
      <x:c r="D45" s="45" t="str">
        <x:v>Scenario</x:v>
      </x:c>
      <x:c r="E45" s="45" t="str">
        <x:v>Solare GW</x:v>
      </x:c>
      <x:c r="F45" s="45" t="str">
        <x:v>Onshore GW</x:v>
      </x:c>
      <x:c r="G45" s="45" t="str">
        <x:v>Offshore GW</x:v>
      </x:c>
      <x:c r="H45" s="45" t="str">
        <x:v>Nucleare GW</x:v>
      </x:c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 t="str">
        <x:v>DE-IT</x:v>
      </x:c>
      <x:c r="B46" s="45" t="n">
        <x:f>B17</x:f>
        <x:v>439</x:v>
      </x:c>
      <x:c r="C46" s="45"/>
      <x:c r="D46" s="45" t="str">
        <x:v>PNIEC nuclear 8 GW base</x:v>
      </x:c>
      <x:c r="E46" s="45" t="n">
        <x:f>C25</x:f>
        <x:v>244.99999999999997</x:v>
      </x:c>
      <x:c r="F46" s="45" t="n">
        <x:f>D25</x:f>
        <x:v>36</x:v>
      </x:c>
      <x:c r="G46" s="45" t="n">
        <x:f>E25</x:f>
        <x:v>15.000000000000002</x:v>
      </x:c>
      <x:c r="H46" s="45" t="n">
        <x:f>F25</x:f>
        <x:v>8</x:v>
      </x:c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GA-IT</x:v>
      </x:c>
      <x:c r="B47" s="45" t="n">
        <x:f>B18</x:f>
        <x:v>415.2</x:v>
      </x:c>
      <x:c r="C47" s="45"/>
      <x:c r="D47" s="45" t="str">
        <x:v>Terna no-nuclear sensitivity</x:v>
      </x:c>
      <x:c r="E47" s="45" t="n">
        <x:f>C26</x:f>
        <x:v>200</x:v>
      </x:c>
      <x:c r="F47" s="45" t="n">
        <x:f>D26</x:f>
        <x:v>50</x:v>
      </x:c>
      <x:c r="G47" s="45" t="n">
        <x:f>E26</x:f>
        <x:v>20</x:v>
      </x:c>
      <x:c r="H47" s="45" t="n">
        <x:f>F26</x:f>
        <x:v>0</x:v>
      </x:c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 t="str">
        <x:v>PNIEC Slow</x:v>
      </x:c>
      <x:c r="B48" s="45" t="n">
        <x:f>B19</x:f>
        <x:v>404.4</x:v>
      </x:c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</x:row>
    <x:row r="49">
      <x:c r="A49" s="45" t="str">
        <x:v>Grid delay</x:v>
      </x:c>
      <x:c r="B49" s="45" t="n">
        <x:f>B20</x:f>
        <x:v>439</x:v>
      </x:c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</x:row>
  </x:sheetData>
  <x:mergeCells>
    <x:mergeCell ref="A1:R1"/>
    <x:mergeCell ref="A2:R2"/>
    <x:mergeCell ref="D4:J4"/>
    <x:mergeCell ref="D5:J13"/>
    <x:mergeCell ref="A30:J30"/>
    <x:mergeCell ref="D30:J30"/>
  </x:mergeCells>
  <x:conditionalFormatting sqref="I25:I26">
    <x:cfRule type="expression" dxfId="103" priority="1">
      <x:formula>ISNUMBER(SEARCH("BLOCKED",I25))</x:formula>
    </x:cfRule>
    <x:cfRule type="expression" dxfId="104" priority="2">
      <x:formula>ISNUMBER(SEARCH("CONDITIONAL",I25))</x:formula>
    </x:cfRule>
  </x:conditionalFormatting>
  <x:conditionalFormatting sqref="E31:E32">
    <x:cfRule type="expression" dxfId="105" priority="3">
      <x:formula>LEFT(E31,5)="READY"</x:formula>
    </x:cfRule>
  </x:conditionalFormatting>
  <x:conditionalFormatting sqref="E33:E37">
    <x:cfRule type="expression" dxfId="106" priority="4">
      <x:formula>LEFT(E33,4)="OPEN"</x:formula>
    </x:cfRule>
  </x:conditionalFormatting>
  <x:pageMargins left="0.7" right="0.7" top="0.75" bottom="0.75" header="0.3" footer="0.3"/>
  <x:drawing xmlns:r="http://schemas.openxmlformats.org/officeDocument/2006/relationships" r:id="R3423fb310c354c55"/>
</x:worksheet>
</file>

<file path=xl/worksheets/sheet5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5" hidden="0" customWidth="1"/>
    <x:col min="4" max="4" width="15" hidden="0" customWidth="1"/>
    <x:col min="5" max="5" width="12" hidden="0" customWidth="1"/>
    <x:col min="6" max="6" width="20" hidden="0" customWidth="1"/>
    <x:col min="7" max="7" width="28" hidden="0" customWidth="1"/>
    <x:col min="8" max="8" width="62" hidden="0" customWidth="1"/>
    <x:col min="9" max="9" width="62" hidden="0" customWidth="1"/>
  </x:cols>
  <x:sheetData>
    <x:row r="1" ht="34" customHeight="1">
      <x:c r="A1" s="381" t="str">
        <x:v>MACSE — roadmap di approvvigionamento e boundary contabile</x:v>
      </x:c>
      <x:c r="B1" s="381"/>
      <x:c r="C1" s="381"/>
      <x:c r="D1" s="381"/>
      <x:c r="E1" s="381"/>
      <x:c r="F1" s="381"/>
      <x:c r="G1" s="381"/>
      <x:c r="H1" s="381"/>
      <x:c r="I1" s="381"/>
    </x:row>
    <x:row r="2" ht="32" customHeight="1">
      <x:c r="A2" s="383" t="str">
        <x:v>10 GWh già assegnati + 16 GWh 2029 + 16 GWh nella successiva asta; 42 GWh sono inclusi nella categoria Utility Scale e non si sommano nuovamente al totale BESS</x:v>
      </x:c>
      <x:c r="B2" s="383"/>
      <x:c r="C2" s="383"/>
      <x:c r="D2" s="383"/>
      <x:c r="E2" s="383"/>
      <x:c r="F2" s="383"/>
      <x:c r="G2" s="383"/>
      <x:c r="H2" s="383"/>
      <x:c r="I2" s="383"/>
    </x:row>
    <x:row r="4" ht="36" customHeight="1">
      <x:c r="A4" s="387" t="str">
        <x:v>Tranche</x:v>
      </x:c>
      <x:c r="B4" s="387" t="str">
        <x:v>Anno consegna</x:v>
      </x:c>
      <x:c r="C4" s="387" t="str">
        <x:v>Status</x:v>
      </x:c>
      <x:c r="D4" s="387" t="str">
        <x:v>Energia GWh</x:v>
      </x:c>
      <x:c r="E4" s="387" t="str">
        <x:v>Durata h</x:v>
      </x:c>
      <x:c r="F4" s="387" t="str">
        <x:v>Potenza implicita GW</x:v>
      </x:c>
      <x:c r="G4" s="387" t="str">
        <x:v>Classe evidenza</x:v>
      </x:c>
      <x:c r="H4" s="387" t="str">
        <x:v>Fonte ufficiale</x:v>
      </x:c>
      <x:c r="I4" s="387" t="str">
        <x:v>Note</x:v>
      </x:c>
    </x:row>
    <x:row r="5">
      <x:c r="A5" s="83" t="str">
        <x:v>Prima asta MACSE</x:v>
      </x:c>
      <x:c r="B5" s="83" t="n">
        <x:v>2028</x:v>
      </x:c>
      <x:c r="C5" s="83" t="str">
        <x:v>ASSEGNATA</x:v>
      </x:c>
      <x:c r="D5" s="242" t="n">
        <x:v>10</x:v>
      </x:c>
      <x:c r="E5" s="242" t="n">
        <x:v>8</x:v>
      </x:c>
      <x:c r="F5" s="242" t="n">
        <x:f>D5/E5</x:f>
        <x:v>1.25</x:v>
      </x:c>
      <x:c r="G5" s="83" t="str">
        <x:v>A — Official awarded</x:v>
      </x:c>
      <x:c r="H5" s="83" t="str">
        <x:v>https://download.terna.it/terna/Rapporto_Adeguatezza_Italia_2025_8de802607202dd6.pdf</x:v>
      </x:c>
      <x:c r="I5" s="83" t="str">
        <x:v>Terna reports 10 GWh awarded on 30 September 2025 for delivery in 2028.</x:v>
      </x:c>
    </x:row>
    <x:row r="6">
      <x:c r="A6" s="83" t="str">
        <x:v>Seconda asta MACSE</x:v>
      </x:c>
      <x:c r="B6" s="83" t="n">
        <x:v>2029</x:v>
      </x:c>
      <x:c r="C6" s="83" t="str">
        <x:v>FABBISOGNO APPROVATO</x:v>
      </x:c>
      <x:c r="D6" s="242" t="n">
        <x:v>16</x:v>
      </x:c>
      <x:c r="E6" s="242" t="n">
        <x:v>8</x:v>
      </x:c>
      <x:c r="F6" s="242" t="n">
        <x:f>D6/E6</x:f>
        <x:v>2</x:v>
      </x:c>
      <x:c r="G6" s="83" t="str">
        <x:v>A — Official requirement</x:v>
      </x:c>
      <x:c r="H6" s="83" t="str">
        <x:v>https://download.terna.it/terna/Fabbisogno_di_nuova_capacita_di_stoccaggio_al_2029_8debcba830a85f3.pdf</x:v>
      </x:c>
      <x:c r="I6" s="83" t="str">
        <x:v>Approved with D.M. 20 May 2026, n. 162.</x:v>
      </x:c>
    </x:row>
    <x:row r="7">
      <x:c r="A7" s="83" t="str">
        <x:v>Terza asta MACSE</x:v>
      </x:c>
      <x:c r="B7" s="83" t="n">
        <x:v>2030</x:v>
      </x:c>
      <x:c r="C7" s="83" t="str">
        <x:v>ASSUNZIONE DI SCENARIO</x:v>
      </x:c>
      <x:c r="D7" s="242" t="n">
        <x:v>16</x:v>
      </x:c>
      <x:c r="E7" s="242" t="n">
        <x:v>8</x:v>
      </x:c>
      <x:c r="F7" s="242" t="n">
        <x:f>D7/E7</x:f>
        <x:v>2</x:v>
      </x:c>
      <x:c r="G7" s="83" t="str">
        <x:v>C — Derived/revisable</x:v>
      </x:c>
      <x:c r="H7" s="83" t="str">
        <x:v>https://download.terna.it/terna/Fabbisogno_di_nuova_capacita_di_stoccaggio_al_2029_8debcba830a85f3.pdf</x:v>
      </x:c>
      <x:c r="I7" s="83" t="str">
        <x:v>Residual half of the 32 GWh identified by Terna for the two auctions after 2028; may be revised.</x:v>
      </x:c>
    </x:row>
    <x:row r="8">
      <x:c r="A8" s="83" t="str">
        <x:v>Totale roadmap</x:v>
      </x:c>
      <x:c r="B8" s="83"/>
      <x:c r="C8" s="83" t="str">
        <x:v>APPROVATO PER IL MODELLO</x:v>
      </x:c>
      <x:c r="D8" s="242" t="n">
        <x:f>SUM(D5:D7)</x:f>
        <x:v>42</x:v>
      </x:c>
      <x:c r="E8" s="242" t="n">
        <x:v>8</x:v>
      </x:c>
      <x:c r="F8" s="242" t="n">
        <x:f>D8/E8</x:f>
        <x:v>5.25</x:v>
      </x:c>
      <x:c r="G8" s="83" t="str">
        <x:v>B/C — Mixed official and assumption</x:v>
      </x:c>
      <x:c r="H8" s="83" t="str">
        <x:v>https://download.terna.it/terna/Fabbisogno_di_nuova_capacita_di_stoccaggio_al_2029_8debcba830a85f3.pdf</x:v>
      </x:c>
      <x:c r="I8" s="83" t="str">
        <x:v>Accounting subset of Utility Scale; Capacity Market remains separate.</x:v>
      </x:c>
    </x:row>
  </x:sheetData>
  <x:mergeCells>
    <x:mergeCell ref="A1:I1"/>
    <x:mergeCell ref="A2:I2"/>
  </x:mergeCells>
  <x:conditionalFormatting sqref="C5:C8">
    <x:cfRule type="expression" dxfId="107" priority="1">
      <x:formula>C5="ASSEGNATA"</x:formula>
    </x:cfRule>
    <x:cfRule type="expression" dxfId="108" priority="2">
      <x:formula>ISNUMBER(SEARCH("ASSUNZIONE",C5))</x:formula>
    </x:cfRule>
    <x:cfRule type="expression" dxfId="109" priority="3">
      <x:formula>ISNUMBER(SEARCH("APPROVATO",C5))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54c88a9c8e439b"/>
  </x:tableParts>
</x:worksheet>
</file>

<file path=xl/worksheets/sheet5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2" hidden="0" customWidth="1"/>
    <x:col min="5" max="5" width="20" hidden="0" customWidth="1"/>
    <x:col min="6" max="6" width="58" hidden="0" customWidth="1"/>
    <x:col min="7" max="7" width="42" hidden="0" customWidth="1"/>
    <x:col min="8" max="8" width="26" hidden="0" customWidth="1"/>
  </x:cols>
  <x:sheetData>
    <x:row r="1" ht="34" customHeight="1">
      <x:c r="A1" s="400" t="str">
        <x:v>PNIEC 2050 — scenario base con 8 GW nucleari</x:v>
      </x:c>
      <x:c r="B1" s="400"/>
      <x:c r="C1" s="400"/>
      <x:c r="D1" s="400"/>
      <x:c r="E1" s="400"/>
      <x:c r="F1" s="400"/>
      <x:c r="G1" s="400"/>
      <x:c r="H1" s="400"/>
    </x:row>
    <x:row r="2" ht="28" customHeight="1">
      <x:c r="A2" s="402" t="str">
        <x:v>Valori PNIEC diretti separati dalle armonizzazioni necessarie per il workbook model-ready della Fase 5</x:v>
      </x:c>
      <x:c r="B2" s="402"/>
      <x:c r="C2" s="402"/>
      <x:c r="D2" s="402"/>
      <x:c r="E2" s="402"/>
      <x:c r="F2" s="402"/>
      <x:c r="G2" s="402"/>
      <x:c r="H2" s="402"/>
    </x:row>
    <x:row r="4" ht="38" customHeight="1">
      <x:c r="A4" s="406" t="str">
        <x:v>Parametro</x:v>
      </x:c>
      <x:c r="B4" s="406" t="str">
        <x:v>Valore fonte</x:v>
      </x:c>
      <x:c r="C4" s="406" t="str">
        <x:v>Valore modello</x:v>
      </x:c>
      <x:c r="D4" s="406" t="str">
        <x:v>Unità</x:v>
      </x:c>
      <x:c r="E4" s="406" t="str">
        <x:v>Classe evidenza</x:v>
      </x:c>
      <x:c r="F4" s="406" t="str">
        <x:v>Trasformazione / boundary</x:v>
      </x:c>
      <x:c r="G4" s="406" t="str">
        <x:v>Fonte</x:v>
      </x:c>
      <x:c r="H4" s="406" t="str">
        <x:v>Status Fase 5</x:v>
      </x:c>
    </x:row>
    <x:row r="5">
      <x:c r="A5" s="83" t="str">
        <x:v>Domanda totale</x:v>
      </x:c>
      <x:c r="B5" s="197" t="n">
        <x:v>583.1</x:v>
      </x:c>
      <x:c r="C5" s="197" t="n">
        <x:v>583.1</x:v>
      </x:c>
      <x:c r="D5" s="83" t="str">
        <x:v>TWh</x:v>
      </x:c>
      <x:c r="E5" s="83" t="str">
        <x:v>A — Direct</x:v>
      </x:c>
      <x:c r="F5" s="83" t="str">
        <x:v>Nessuna</x:v>
      </x:c>
      <x:c r="G5" s="83" t="str">
        <x:v>PNIEC 2024 / Terna Table 3</x:v>
      </x:c>
      <x:c r="H5" s="83" t="str">
        <x:v>APPROVED</x:v>
      </x:c>
    </x:row>
    <x:row r="6">
      <x:c r="A6" s="83" t="str">
        <x:v>Domanda rigida</x:v>
      </x:c>
      <x:c r="B6" s="197"/>
      <x:c r="C6" s="197" t="n">
        <x:v>501.6</x:v>
      </x:c>
      <x:c r="D6" s="83" t="str">
        <x:v>TWh</x:v>
      </x:c>
      <x:c r="E6" s="83" t="str">
        <x:v>B — Derived</x:v>
      </x:c>
      <x:c r="F6" s="83" t="str">
        <x:v>583.1 - 81.5 TWh P2X</x:v>
      </x:c>
      <x:c r="G6" s="83" t="str">
        <x:v>PNIEC 2024 / Terna Table 3</x:v>
      </x:c>
      <x:c r="H6" s="83" t="str">
        <x:v>APPROVED</x:v>
      </x:c>
    </x:row>
    <x:row r="7">
      <x:c r="A7" s="83" t="str">
        <x:v>Power-to-X</x:v>
      </x:c>
      <x:c r="B7" s="197" t="n">
        <x:v>81.5</x:v>
      </x:c>
      <x:c r="C7" s="197" t="n">
        <x:v>81.5</x:v>
      </x:c>
      <x:c r="D7" s="83" t="str">
        <x:v>TWh</x:v>
      </x:c>
      <x:c r="E7" s="83" t="str">
        <x:v>A — Direct</x:v>
      </x:c>
      <x:c r="F7" s="83" t="str">
        <x:v>Nessuna</x:v>
      </x:c>
      <x:c r="G7" s="83" t="str">
        <x:v>PNIEC 2024 / Terna Table 3</x:v>
      </x:c>
      <x:c r="H7" s="83" t="str">
        <x:v>APPROVED</x:v>
      </x:c>
    </x:row>
    <x:row r="8">
      <x:c r="A8" s="83" t="str">
        <x:v>Solare</x:v>
      </x:c>
      <x:c r="B8" s="197" t="n">
        <x:v>245</x:v>
      </x:c>
      <x:c r="C8" s="197" t="n">
        <x:v>245</x:v>
      </x:c>
      <x:c r="D8" s="83" t="str">
        <x:v>GW</x:v>
      </x:c>
      <x:c r="E8" s="83" t="str">
        <x:v>A/C</x:v>
      </x:c>
      <x:c r="F8" s="83" t="str">
        <x:v>Totale diretto; distribuzione zonale DE-IT 2040</x:v>
      </x:c>
      <x:c r="G8" s="83" t="str">
        <x:v>PNIEC 2024 / DDS 2024</x:v>
      </x:c>
      <x:c r="H8" s="83" t="str">
        <x:v>APPROVED</x:v>
      </x:c>
    </x:row>
    <x:row r="9">
      <x:c r="A9" s="83" t="str">
        <x:v>Eolico onshore</x:v>
      </x:c>
      <x:c r="B9" s="197" t="n">
        <x:v>36</x:v>
      </x:c>
      <x:c r="C9" s="197" t="n">
        <x:v>36</x:v>
      </x:c>
      <x:c r="D9" s="83" t="str">
        <x:v>GW</x:v>
      </x:c>
      <x:c r="E9" s="83" t="str">
        <x:v>A/C</x:v>
      </x:c>
      <x:c r="F9" s="83" t="str">
        <x:v>Totale diretto; distribuzione zonale DE-IT 2040</x:v>
      </x:c>
      <x:c r="G9" s="83" t="str">
        <x:v>PNIEC 2024 / DDS 2024</x:v>
      </x:c>
      <x:c r="H9" s="83" t="str">
        <x:v>APPROVED</x:v>
      </x:c>
    </x:row>
    <x:row r="10">
      <x:c r="A10" s="83" t="str">
        <x:v>Eolico offshore</x:v>
      </x:c>
      <x:c r="B10" s="197" t="n">
        <x:v>15</x:v>
      </x:c>
      <x:c r="C10" s="197" t="n">
        <x:v>15</x:v>
      </x:c>
      <x:c r="D10" s="83" t="str">
        <x:v>GW</x:v>
      </x:c>
      <x:c r="E10" s="83" t="str">
        <x:v>A/C</x:v>
      </x:c>
      <x:c r="F10" s="83" t="str">
        <x:v>Totale diretto; distribuzione zonale DE-IT 2040</x:v>
      </x:c>
      <x:c r="G10" s="83" t="str">
        <x:v>PNIEC 2024 / DDS 2024</x:v>
      </x:c>
      <x:c r="H10" s="83" t="str">
        <x:v>APPROVED</x:v>
      </x:c>
    </x:row>
    <x:row r="11">
      <x:c r="A11" s="83" t="str">
        <x:v>Nucleare</x:v>
      </x:c>
      <x:c r="B11" s="197" t="n">
        <x:v>8</x:v>
      </x:c>
      <x:c r="C11" s="197" t="n">
        <x:v>8</x:v>
      </x:c>
      <x:c r="D11" s="83" t="str">
        <x:v>GW</x:v>
      </x:c>
      <x:c r="E11" s="83" t="str">
        <x:v>A/E</x:v>
      </x:c>
      <x:c r="F11" s="83" t="str">
        <x:v>Media PNIEC; siting non definito</x:v>
      </x:c>
      <x:c r="G11" s="83" t="str">
        <x:v>PNIEC 2024</x:v>
      </x:c>
      <x:c r="H11" s="83" t="str">
        <x:v>APPROVED / SITING OPEN</x:v>
      </x:c>
    </x:row>
    <x:row r="12">
      <x:c r="A12" s="83" t="str">
        <x:v>Produzione nucleare</x:v>
      </x:c>
      <x:c r="B12" s="197" t="n">
        <x:v>64.2</x:v>
      </x:c>
      <x:c r="C12" s="197" t="n">
        <x:v>64.2</x:v>
      </x:c>
      <x:c r="D12" s="83" t="str">
        <x:v>TWh</x:v>
      </x:c>
      <x:c r="E12" s="83" t="str">
        <x:v>A — Direct</x:v>
      </x:c>
      <x:c r="F12" s="83" t="str">
        <x:v>Controllo annuale</x:v>
      </x:c>
      <x:c r="G12" s="83" t="str">
        <x:v>PNIEC 2024 / Terna Table 3</x:v>
      </x:c>
      <x:c r="H12" s="83" t="str">
        <x:v>APPROVED QA</x:v>
      </x:c>
    </x:row>
    <x:row r="13">
      <x:c r="A13" s="83" t="str">
        <x:v>Load factor nucleare</x:v>
      </x:c>
      <x:c r="B13" s="197"/>
      <x:c r="C13" s="197" t="n">
        <x:v>0.916095890410959</x:v>
      </x:c>
      <x:c r="D13" s="83" t="str">
        <x:v>p.u.</x:v>
      </x:c>
      <x:c r="E13" s="83" t="str">
        <x:v>B — Derived</x:v>
      </x:c>
      <x:c r="F13" s="83" t="str">
        <x:v>64.2 / (8 × 8.76)</x:v>
      </x:c>
      <x:c r="G13" s="83" t="str">
        <x:v>PNIEC 2024</x:v>
      </x:c>
      <x:c r="H13" s="83" t="str">
        <x:v>APPROVED QA</x:v>
      </x:c>
    </x:row>
    <x:row r="14">
      <x:c r="A14" s="83" t="str">
        <x:v>Accumuli elettrochimici</x:v>
      </x:c>
      <x:c r="B14" s="197"/>
      <x:c r="C14" s="197" t="n">
        <x:v>237.66666666666666</x:v>
      </x:c>
      <x:c r="D14" s="83" t="str">
        <x:v>GWh</x:v>
      </x:c>
      <x:c r="E14" s="83" t="str">
        <x:v>D — Bridge</x:v>
      </x:c>
      <x:c r="F14" s="83" t="str">
        <x:v>Extrapolazione relazione Terna FRNP/storage</x:v>
      </x:c>
      <x:c r="G14" s="83" t="str">
        <x:v>Terna 2050 Table 4</x:v>
      </x:c>
      <x:c r="H14" s="83" t="str">
        <x:v>PROVISIONAL</x:v>
      </x:c>
    </x:row>
    <x:row r="15">
      <x:c r="A15" s="83" t="str">
        <x:v>Potenza BESS</x:v>
      </x:c>
      <x:c r="B15" s="197"/>
      <x:c r="C15" s="197" t="n">
        <x:v>43.65306122448979</x:v>
      </x:c>
      <x:c r="D15" s="83" t="str">
        <x:v>GW</x:v>
      </x:c>
      <x:c r="E15" s="83" t="str">
        <x:v>D — Bridge</x:v>
      </x:c>
      <x:c r="F15" s="83" t="str">
        <x:v>Durata aggregata 196/36 = 5.444h</x:v>
      </x:c>
      <x:c r="G15" s="83" t="str">
        <x:v>Terna 2050 Table 4</x:v>
      </x:c>
      <x:c r="H15" s="83" t="str">
        <x:v>PROVISIONAL</x:v>
      </x:c>
    </x:row>
    <x:row r="16">
      <x:c r="A16" s="83" t="str">
        <x:v>Import netto</x:v>
      </x:c>
      <x:c r="B16" s="197" t="n">
        <x:v>17.7</x:v>
      </x:c>
      <x:c r="C16" s="197" t="n">
        <x:v>17.7</x:v>
      </x:c>
      <x:c r="D16" s="83" t="str">
        <x:v>TWh</x:v>
      </x:c>
      <x:c r="E16" s="83" t="str">
        <x:v>A — Direct</x:v>
      </x:c>
      <x:c r="F16" s="83" t="str">
        <x:v>Controllo annuale, non vincolo orario</x:v>
      </x:c>
      <x:c r="G16" s="83" t="str">
        <x:v>PNIEC 2024</x:v>
      </x:c>
      <x:c r="H16" s="83" t="str">
        <x:v>APPROVED QA</x:v>
      </x:c>
    </x:row>
    <x:row r="17">
      <x:c r="A17" s="83" t="str">
        <x:v>Perdite accumuli implicite</x:v>
      </x:c>
      <x:c r="B17" s="197"/>
      <x:c r="C17" s="197" t="n">
        <x:v>31.399999999999977</x:v>
      </x:c>
      <x:c r="D17" s="83" t="str">
        <x:v>TWh</x:v>
      </x:c>
      <x:c r="E17" s="83" t="str">
        <x:v>B — Derived</x:v>
      </x:c>
      <x:c r="F17" s="83" t="str">
        <x:v>596.8 + 17.7 - 583.1</x:v>
      </x:c>
      <x:c r="G17" s="83" t="str">
        <x:v>PNIEC 2024</x:v>
      </x:c>
      <x:c r="H17" s="83" t="str">
        <x:v>APPROVED QA</x:v>
      </x:c>
    </x:row>
    <x:row r="18">
      <x:c r="A18" s="83" t="str">
        <x:v>Rete 2050</x:v>
      </x:c>
      <x:c r="B18" s="197"/>
      <x:c r="C18" s="197"/>
      <x:c r="D18" s="83" t="str">
        <x:v>MW</x:v>
      </x:c>
      <x:c r="E18" s="83" t="str">
        <x:v>C — Proxy</x:v>
      </x:c>
      <x:c r="F18" s="83" t="str">
        <x:v>PDS 2040 usato come floor documentato</x:v>
      </x:c>
      <x:c r="G18" s="83" t="str">
        <x:v>Terna PDS 2025</x:v>
      </x:c>
      <x:c r="H18" s="83" t="str">
        <x:v>APPROVED FLOOR</x:v>
      </x:c>
    </x:row>
  </x:sheetData>
  <x:mergeCells>
    <x:mergeCell ref="A1:H1"/>
    <x:mergeCell ref="A2:H2"/>
  </x:mergeCells>
  <x:conditionalFormatting sqref="E5:E18">
    <x:cfRule type="expression" dxfId="110" priority="1">
      <x:formula>LEFT(E5,1)="A"</x:formula>
    </x:cfRule>
    <x:cfRule type="expression" dxfId="111" priority="2">
      <x:formula>OR(LEFT(E5,1)="C",LEFT(E5,1)="D")</x:formula>
    </x:cfRule>
  </x:conditionalFormatting>
  <x:conditionalFormatting sqref="H5:H18">
    <x:cfRule type="expression" dxfId="112" priority="3">
      <x:formula>ISNUMBER(SEARCH("PROVISIONAL",H5))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10534d9c83442a"/>
  </x:tableParts>
</x:worksheet>
</file>